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8_{8B778B64-CB8D-4089-93DA-F912A5739AB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mmary" sheetId="3" r:id="rId1"/>
    <sheet name="Summary by Division" sheetId="1" r:id="rId2"/>
    <sheet name="2027" sheetId="2" r:id="rId3"/>
    <sheet name="Full list (horizontal)" sheetId="4" r:id="rId4"/>
  </sheets>
  <externalReferences>
    <externalReference r:id="rId5"/>
    <externalReference r:id="rId6"/>
  </externalReferences>
  <definedNames>
    <definedName name="_xlnm._FilterDatabase" localSheetId="2" hidden="1">'2027'!$A$3:$V$340</definedName>
    <definedName name="_xlnm._FilterDatabase" localSheetId="3" hidden="1">'Full list (horizontal)'!$B$2:$H$1247</definedName>
    <definedName name="_xlnm._FilterDatabase" localSheetId="1" hidden="1">'Summary by Division'!$A$5:$J$299</definedName>
    <definedName name="_xlnm.Print_Area" localSheetId="2">'2027'!$A$1:$W$142</definedName>
    <definedName name="_xlnm.Print_Area" localSheetId="0">Summary!$A$1:$J$37</definedName>
    <definedName name="_xlnm.Print_Area" localSheetId="1">'Summary by Division'!$A$1:$J$299</definedName>
    <definedName name="_xlnm.Print_Titles" localSheetId="2">'2027'!$2:$3</definedName>
    <definedName name="_xlnm.Print_Titles" localSheetId="1">'Summary by Division'!$4:$5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9" i="1" l="1"/>
  <c r="F299" i="1"/>
  <c r="G299" i="1"/>
  <c r="H299" i="1"/>
  <c r="I299" i="1"/>
  <c r="D299" i="1"/>
  <c r="A298" i="1"/>
  <c r="B298" i="1"/>
  <c r="B111" i="3" s="1"/>
  <c r="C298" i="1"/>
  <c r="D298" i="1"/>
  <c r="E298" i="1"/>
  <c r="F298" i="1"/>
  <c r="G298" i="1"/>
  <c r="H298" i="1"/>
  <c r="I298" i="1"/>
  <c r="J298" i="1"/>
  <c r="C74" i="3"/>
  <c r="D74" i="3"/>
  <c r="E74" i="3"/>
  <c r="F74" i="3"/>
  <c r="G74" i="3"/>
  <c r="H74" i="3"/>
  <c r="I74" i="3"/>
  <c r="C73" i="3"/>
  <c r="G73" i="3"/>
  <c r="H73" i="3"/>
  <c r="A262" i="1"/>
  <c r="B262" i="1"/>
  <c r="B75" i="3" s="1"/>
  <c r="C262" i="1"/>
  <c r="D262" i="1"/>
  <c r="E262" i="1"/>
  <c r="F262" i="1"/>
  <c r="H262" i="1"/>
  <c r="I262" i="1" s="1"/>
  <c r="A263" i="1"/>
  <c r="B263" i="1"/>
  <c r="B76" i="3" s="1"/>
  <c r="C263" i="1"/>
  <c r="D263" i="1"/>
  <c r="E263" i="1"/>
  <c r="F263" i="1"/>
  <c r="H263" i="1"/>
  <c r="A264" i="1"/>
  <c r="B264" i="1"/>
  <c r="B77" i="3" s="1"/>
  <c r="C264" i="1"/>
  <c r="D264" i="1"/>
  <c r="E264" i="1"/>
  <c r="F264" i="1"/>
  <c r="H264" i="1"/>
  <c r="A265" i="1"/>
  <c r="B265" i="1"/>
  <c r="B78" i="3" s="1"/>
  <c r="C265" i="1"/>
  <c r="D265" i="1"/>
  <c r="E265" i="1"/>
  <c r="F265" i="1"/>
  <c r="H265" i="1"/>
  <c r="A266" i="1"/>
  <c r="B266" i="1"/>
  <c r="B79" i="3" s="1"/>
  <c r="C266" i="1"/>
  <c r="D266" i="1"/>
  <c r="E266" i="1"/>
  <c r="F266" i="1"/>
  <c r="H266" i="1"/>
  <c r="I266" i="1" s="1"/>
  <c r="A267" i="1"/>
  <c r="B267" i="1"/>
  <c r="B80" i="3" s="1"/>
  <c r="C267" i="1"/>
  <c r="D267" i="1"/>
  <c r="E267" i="1"/>
  <c r="F267" i="1"/>
  <c r="H267" i="1"/>
  <c r="I267" i="1" s="1"/>
  <c r="A268" i="1"/>
  <c r="B268" i="1"/>
  <c r="B81" i="3" s="1"/>
  <c r="C268" i="1"/>
  <c r="D268" i="1"/>
  <c r="E268" i="1"/>
  <c r="F268" i="1"/>
  <c r="H268" i="1"/>
  <c r="A269" i="1"/>
  <c r="B269" i="1"/>
  <c r="B82" i="3" s="1"/>
  <c r="C269" i="1"/>
  <c r="D269" i="1"/>
  <c r="E269" i="1"/>
  <c r="F269" i="1"/>
  <c r="H269" i="1"/>
  <c r="A270" i="1"/>
  <c r="B270" i="1"/>
  <c r="B83" i="3" s="1"/>
  <c r="C270" i="1"/>
  <c r="D270" i="1"/>
  <c r="E270" i="1"/>
  <c r="F270" i="1"/>
  <c r="G270" i="1"/>
  <c r="H270" i="1"/>
  <c r="I270" i="1"/>
  <c r="J270" i="1"/>
  <c r="A271" i="1"/>
  <c r="B271" i="1"/>
  <c r="B84" i="3" s="1"/>
  <c r="C271" i="1"/>
  <c r="D271" i="1"/>
  <c r="E271" i="1"/>
  <c r="F271" i="1"/>
  <c r="H271" i="1"/>
  <c r="A272" i="1"/>
  <c r="B272" i="1"/>
  <c r="B85" i="3" s="1"/>
  <c r="C272" i="1"/>
  <c r="D272" i="1"/>
  <c r="E272" i="1"/>
  <c r="F272" i="1"/>
  <c r="H272" i="1"/>
  <c r="I272" i="1"/>
  <c r="J272" i="1"/>
  <c r="A273" i="1"/>
  <c r="B273" i="1"/>
  <c r="B86" i="3" s="1"/>
  <c r="C273" i="1"/>
  <c r="D273" i="1"/>
  <c r="E273" i="1"/>
  <c r="F273" i="1"/>
  <c r="H273" i="1"/>
  <c r="A274" i="1"/>
  <c r="B274" i="1"/>
  <c r="B87" i="3" s="1"/>
  <c r="C274" i="1"/>
  <c r="D274" i="1"/>
  <c r="E274" i="1"/>
  <c r="F274" i="1"/>
  <c r="G274" i="1"/>
  <c r="H274" i="1"/>
  <c r="I274" i="1" s="1"/>
  <c r="A275" i="1"/>
  <c r="B275" i="1"/>
  <c r="B88" i="3" s="1"/>
  <c r="C275" i="1"/>
  <c r="D275" i="1"/>
  <c r="E275" i="1"/>
  <c r="F275" i="1"/>
  <c r="H275" i="1"/>
  <c r="I275" i="1" s="1"/>
  <c r="A276" i="1"/>
  <c r="B276" i="1"/>
  <c r="B89" i="3" s="1"/>
  <c r="C276" i="1"/>
  <c r="D276" i="1"/>
  <c r="E276" i="1"/>
  <c r="F276" i="1"/>
  <c r="H276" i="1"/>
  <c r="A277" i="1"/>
  <c r="B277" i="1"/>
  <c r="B90" i="3" s="1"/>
  <c r="C277" i="1"/>
  <c r="D277" i="1"/>
  <c r="E277" i="1"/>
  <c r="F277" i="1"/>
  <c r="H277" i="1"/>
  <c r="A278" i="1"/>
  <c r="B278" i="1"/>
  <c r="B91" i="3" s="1"/>
  <c r="C278" i="1"/>
  <c r="D278" i="1"/>
  <c r="G278" i="1" s="1"/>
  <c r="E278" i="1"/>
  <c r="F278" i="1"/>
  <c r="H278" i="1"/>
  <c r="A279" i="1"/>
  <c r="B279" i="1"/>
  <c r="B92" i="3" s="1"/>
  <c r="C279" i="1"/>
  <c r="D279" i="1"/>
  <c r="E279" i="1"/>
  <c r="F279" i="1"/>
  <c r="H279" i="1"/>
  <c r="I279" i="1" s="1"/>
  <c r="A280" i="1"/>
  <c r="B280" i="1"/>
  <c r="B93" i="3" s="1"/>
  <c r="C280" i="1"/>
  <c r="D280" i="1"/>
  <c r="G280" i="1" s="1"/>
  <c r="E280" i="1"/>
  <c r="F280" i="1"/>
  <c r="H280" i="1"/>
  <c r="A281" i="1"/>
  <c r="B281" i="1"/>
  <c r="B94" i="3" s="1"/>
  <c r="C281" i="1"/>
  <c r="D281" i="1"/>
  <c r="E281" i="1"/>
  <c r="F281" i="1"/>
  <c r="H281" i="1"/>
  <c r="I281" i="1"/>
  <c r="J281" i="1" s="1"/>
  <c r="A282" i="1"/>
  <c r="B282" i="1"/>
  <c r="B95" i="3" s="1"/>
  <c r="C282" i="1"/>
  <c r="D282" i="1"/>
  <c r="E282" i="1"/>
  <c r="F282" i="1"/>
  <c r="H282" i="1"/>
  <c r="A283" i="1"/>
  <c r="B283" i="1"/>
  <c r="B96" i="3" s="1"/>
  <c r="C283" i="1"/>
  <c r="D283" i="1"/>
  <c r="E283" i="1"/>
  <c r="F283" i="1"/>
  <c r="H283" i="1"/>
  <c r="A284" i="1"/>
  <c r="B284" i="1"/>
  <c r="B97" i="3" s="1"/>
  <c r="C284" i="1"/>
  <c r="D284" i="1"/>
  <c r="E284" i="1"/>
  <c r="F284" i="1"/>
  <c r="H284" i="1"/>
  <c r="A285" i="1"/>
  <c r="B285" i="1"/>
  <c r="B98" i="3" s="1"/>
  <c r="C285" i="1"/>
  <c r="D285" i="1"/>
  <c r="G285" i="1" s="1"/>
  <c r="E285" i="1"/>
  <c r="F285" i="1"/>
  <c r="H285" i="1"/>
  <c r="A286" i="1"/>
  <c r="B286" i="1"/>
  <c r="B99" i="3" s="1"/>
  <c r="C286" i="1"/>
  <c r="D286" i="1"/>
  <c r="E286" i="1"/>
  <c r="F286" i="1"/>
  <c r="H286" i="1"/>
  <c r="A287" i="1"/>
  <c r="B287" i="1"/>
  <c r="B100" i="3" s="1"/>
  <c r="C287" i="1"/>
  <c r="D287" i="1"/>
  <c r="E287" i="1"/>
  <c r="F287" i="1"/>
  <c r="H287" i="1"/>
  <c r="A288" i="1"/>
  <c r="B288" i="1"/>
  <c r="B101" i="3" s="1"/>
  <c r="C288" i="1"/>
  <c r="D288" i="1"/>
  <c r="E288" i="1"/>
  <c r="F288" i="1"/>
  <c r="H288" i="1"/>
  <c r="A289" i="1"/>
  <c r="B289" i="1"/>
  <c r="B102" i="3" s="1"/>
  <c r="C289" i="1"/>
  <c r="D289" i="1"/>
  <c r="E289" i="1"/>
  <c r="F289" i="1"/>
  <c r="H289" i="1"/>
  <c r="A290" i="1"/>
  <c r="B290" i="1"/>
  <c r="B103" i="3" s="1"/>
  <c r="C290" i="1"/>
  <c r="D290" i="1"/>
  <c r="E290" i="1"/>
  <c r="F290" i="1"/>
  <c r="H290" i="1"/>
  <c r="A291" i="1"/>
  <c r="B291" i="1"/>
  <c r="B104" i="3" s="1"/>
  <c r="C291" i="1"/>
  <c r="D291" i="1"/>
  <c r="E291" i="1"/>
  <c r="F291" i="1"/>
  <c r="H291" i="1"/>
  <c r="A292" i="1"/>
  <c r="B292" i="1"/>
  <c r="B105" i="3" s="1"/>
  <c r="C292" i="1"/>
  <c r="D292" i="1"/>
  <c r="E292" i="1"/>
  <c r="F292" i="1"/>
  <c r="H292" i="1"/>
  <c r="A293" i="1"/>
  <c r="B293" i="1"/>
  <c r="B106" i="3" s="1"/>
  <c r="C293" i="1"/>
  <c r="D293" i="1"/>
  <c r="E293" i="1"/>
  <c r="F293" i="1"/>
  <c r="G293" i="1"/>
  <c r="H293" i="1"/>
  <c r="A294" i="1"/>
  <c r="B294" i="1"/>
  <c r="B107" i="3" s="1"/>
  <c r="C294" i="1"/>
  <c r="D294" i="1"/>
  <c r="E294" i="1"/>
  <c r="F294" i="1"/>
  <c r="G294" i="1"/>
  <c r="H294" i="1"/>
  <c r="I294" i="1" s="1"/>
  <c r="A295" i="1"/>
  <c r="B295" i="1"/>
  <c r="B108" i="3" s="1"/>
  <c r="C295" i="1"/>
  <c r="D295" i="1"/>
  <c r="E295" i="1"/>
  <c r="F295" i="1"/>
  <c r="H295" i="1"/>
  <c r="I295" i="1" s="1"/>
  <c r="A296" i="1"/>
  <c r="B296" i="1"/>
  <c r="B109" i="3" s="1"/>
  <c r="C296" i="1"/>
  <c r="D296" i="1"/>
  <c r="I296" i="1" s="1"/>
  <c r="E296" i="1"/>
  <c r="F296" i="1"/>
  <c r="H296" i="1"/>
  <c r="A297" i="1"/>
  <c r="B297" i="1"/>
  <c r="B110" i="3" s="1"/>
  <c r="C297" i="1"/>
  <c r="D297" i="1"/>
  <c r="E297" i="1"/>
  <c r="F297" i="1"/>
  <c r="H297" i="1"/>
  <c r="D1244" i="4"/>
  <c r="D1243" i="4"/>
  <c r="D1234" i="4"/>
  <c r="D1233" i="4"/>
  <c r="D1231" i="4"/>
  <c r="D1221" i="4"/>
  <c r="D1220" i="4"/>
  <c r="D1219" i="4"/>
  <c r="D1218" i="4"/>
  <c r="D1217" i="4"/>
  <c r="D1204" i="4"/>
  <c r="D1200" i="4"/>
  <c r="D1199" i="4"/>
  <c r="D1196" i="4"/>
  <c r="D1193" i="4"/>
  <c r="D1192" i="4"/>
  <c r="D1191" i="4"/>
  <c r="D1190" i="4"/>
  <c r="D1189" i="4"/>
  <c r="D1184" i="4"/>
  <c r="D1177" i="4"/>
  <c r="D1175" i="4"/>
  <c r="D1173" i="4"/>
  <c r="D1165" i="4"/>
  <c r="D1163" i="4"/>
  <c r="D1162" i="4"/>
  <c r="D1155" i="4"/>
  <c r="D1154" i="4"/>
  <c r="D1153" i="4"/>
  <c r="D1152" i="4"/>
  <c r="D1151" i="4"/>
  <c r="D1150" i="4"/>
  <c r="D1149" i="4"/>
  <c r="D1135" i="4"/>
  <c r="D1129" i="4"/>
  <c r="D1128" i="4"/>
  <c r="D1115" i="4"/>
  <c r="D1112" i="4"/>
  <c r="D1110" i="4"/>
  <c r="D1105" i="4"/>
  <c r="D1104" i="4"/>
  <c r="D1103" i="4"/>
  <c r="D1102" i="4"/>
  <c r="D1093" i="4"/>
  <c r="D1077" i="4"/>
  <c r="D1075" i="4"/>
  <c r="D1065" i="4"/>
  <c r="D1062" i="4"/>
  <c r="D1061" i="4"/>
  <c r="D1037" i="4"/>
  <c r="D1036" i="4"/>
  <c r="D1022" i="4"/>
  <c r="D1015" i="4"/>
  <c r="D1011" i="4"/>
  <c r="D1010" i="4"/>
  <c r="D1009" i="4"/>
  <c r="D997" i="4"/>
  <c r="D996" i="4"/>
  <c r="D995" i="4"/>
  <c r="D992" i="4"/>
  <c r="D989" i="4"/>
  <c r="D988" i="4"/>
  <c r="D987" i="4"/>
  <c r="D986" i="4"/>
  <c r="D985" i="4"/>
  <c r="D984" i="4"/>
  <c r="D983" i="4"/>
  <c r="D982" i="4"/>
  <c r="D968" i="4"/>
  <c r="D967" i="4"/>
  <c r="D865" i="4"/>
  <c r="D819" i="4"/>
  <c r="D814" i="4"/>
  <c r="D812" i="4"/>
  <c r="D811" i="4"/>
  <c r="D810" i="4"/>
  <c r="D809" i="4"/>
  <c r="D808" i="4"/>
  <c r="D807" i="4"/>
  <c r="D805" i="4"/>
  <c r="D804" i="4"/>
  <c r="D803" i="4"/>
  <c r="D802" i="4"/>
  <c r="D801" i="4"/>
  <c r="D800" i="4"/>
  <c r="D798" i="4"/>
  <c r="D797" i="4"/>
  <c r="D794" i="4"/>
  <c r="D793" i="4"/>
  <c r="D790" i="4"/>
  <c r="D785" i="4"/>
  <c r="D784" i="4"/>
  <c r="D783" i="4"/>
  <c r="D781" i="4"/>
  <c r="D771" i="4"/>
  <c r="D770" i="4"/>
  <c r="D769" i="4"/>
  <c r="D764" i="4"/>
  <c r="D763" i="4"/>
  <c r="D761" i="4"/>
  <c r="D760" i="4"/>
  <c r="D656" i="4"/>
  <c r="D654" i="4"/>
  <c r="D653" i="4"/>
  <c r="D652" i="4"/>
  <c r="D651" i="4"/>
  <c r="D604" i="4"/>
  <c r="D603" i="4"/>
  <c r="D602" i="4"/>
  <c r="D601" i="4"/>
  <c r="D600" i="4"/>
  <c r="D589" i="4"/>
  <c r="D585" i="4"/>
  <c r="D577" i="4"/>
  <c r="D570" i="4"/>
  <c r="D569" i="4"/>
  <c r="D547" i="4"/>
  <c r="D543" i="4"/>
  <c r="D521" i="4"/>
  <c r="D509" i="4"/>
  <c r="D508" i="4"/>
  <c r="D507" i="4"/>
  <c r="D505" i="4"/>
  <c r="D484" i="4"/>
  <c r="D474" i="4"/>
  <c r="D465" i="4"/>
  <c r="D464" i="4"/>
  <c r="D454" i="4"/>
  <c r="D406" i="4"/>
  <c r="D399" i="4"/>
  <c r="D398" i="4"/>
  <c r="D397" i="4"/>
  <c r="D396" i="4"/>
  <c r="D395" i="4"/>
  <c r="D394" i="4"/>
  <c r="D393" i="4"/>
  <c r="D392" i="4"/>
  <c r="D346" i="4"/>
  <c r="D307" i="4"/>
  <c r="D295" i="4"/>
  <c r="D294" i="4"/>
  <c r="D293" i="4"/>
  <c r="D292" i="4"/>
  <c r="D270" i="4"/>
  <c r="D246" i="4"/>
  <c r="D245" i="4"/>
  <c r="D244" i="4"/>
  <c r="D243" i="4"/>
  <c r="D241" i="4"/>
  <c r="D240" i="4"/>
  <c r="D239" i="4"/>
  <c r="D238" i="4"/>
  <c r="D237" i="4"/>
  <c r="D234" i="4"/>
  <c r="D233" i="4"/>
  <c r="D232" i="4"/>
  <c r="D219" i="4"/>
  <c r="D218" i="4"/>
  <c r="D217" i="4"/>
  <c r="D215" i="4"/>
  <c r="D210" i="4"/>
  <c r="D209" i="4"/>
  <c r="D208" i="4"/>
  <c r="D207" i="4"/>
  <c r="D206" i="4"/>
  <c r="D205" i="4"/>
  <c r="D204" i="4"/>
  <c r="D203" i="4"/>
  <c r="D202" i="4"/>
  <c r="D176" i="4"/>
  <c r="D175" i="4"/>
  <c r="D174" i="4"/>
  <c r="D173" i="4"/>
  <c r="D169" i="4"/>
  <c r="D167" i="4"/>
  <c r="D166" i="4"/>
  <c r="D165" i="4"/>
  <c r="D164" i="4"/>
  <c r="D159" i="4"/>
  <c r="D157" i="4"/>
  <c r="D156" i="4"/>
  <c r="D155" i="4"/>
  <c r="D154" i="4"/>
  <c r="D153" i="4"/>
  <c r="D152" i="4"/>
  <c r="D151" i="4"/>
  <c r="D150" i="4"/>
  <c r="D133" i="4"/>
  <c r="D130" i="4"/>
  <c r="D122" i="4"/>
  <c r="D120" i="4"/>
  <c r="D119" i="4"/>
  <c r="D115" i="4"/>
  <c r="D114" i="4"/>
  <c r="D107" i="4"/>
  <c r="D106" i="4"/>
  <c r="D105" i="4"/>
  <c r="D104" i="4"/>
  <c r="D103" i="4"/>
  <c r="D80" i="4"/>
  <c r="D79" i="4"/>
  <c r="D78" i="4"/>
  <c r="D77" i="4"/>
  <c r="D76" i="4"/>
  <c r="D75" i="4"/>
  <c r="D74" i="4"/>
  <c r="D67" i="4"/>
  <c r="D45" i="4"/>
  <c r="D44" i="4"/>
  <c r="D42" i="4"/>
  <c r="D38" i="4"/>
  <c r="D37" i="4"/>
  <c r="D19" i="4"/>
  <c r="D1101" i="4"/>
  <c r="D1100" i="4"/>
  <c r="D1099" i="4"/>
  <c r="D1098" i="4"/>
  <c r="D1097" i="4"/>
  <c r="D1096" i="4"/>
  <c r="D1095" i="4"/>
  <c r="D1094" i="4"/>
  <c r="D782" i="4"/>
  <c r="D762" i="4"/>
  <c r="D242" i="4"/>
  <c r="B6" i="1"/>
  <c r="C6" i="1"/>
  <c r="D6" i="1"/>
  <c r="J6" i="1" s="1"/>
  <c r="E6" i="1"/>
  <c r="F6" i="1"/>
  <c r="H6" i="1"/>
  <c r="C111" i="3" l="1"/>
  <c r="C112" i="3" s="1"/>
  <c r="D111" i="3"/>
  <c r="D112" i="3" s="1"/>
  <c r="D113" i="3" s="1"/>
  <c r="E111" i="3"/>
  <c r="E112" i="3" s="1"/>
  <c r="F111" i="3"/>
  <c r="F112" i="3" s="1"/>
  <c r="F113" i="3" s="1"/>
  <c r="G111" i="3"/>
  <c r="I280" i="1"/>
  <c r="J280" i="1" s="1"/>
  <c r="I278" i="1"/>
  <c r="J278" i="1" s="1"/>
  <c r="I297" i="1"/>
  <c r="I286" i="1"/>
  <c r="J286" i="1" s="1"/>
  <c r="I263" i="1"/>
  <c r="J263" i="1" s="1"/>
  <c r="G296" i="1"/>
  <c r="I283" i="1"/>
  <c r="J283" i="1" s="1"/>
  <c r="I287" i="1"/>
  <c r="I264" i="1"/>
  <c r="J264" i="1" s="1"/>
  <c r="I285" i="1"/>
  <c r="J285" i="1" s="1"/>
  <c r="I6" i="1"/>
  <c r="J267" i="1"/>
  <c r="J294" i="1"/>
  <c r="G290" i="1"/>
  <c r="G269" i="1"/>
  <c r="G297" i="1"/>
  <c r="G286" i="1"/>
  <c r="J296" i="1"/>
  <c r="G267" i="1"/>
  <c r="G283" i="1"/>
  <c r="I289" i="1"/>
  <c r="J289" i="1" s="1"/>
  <c r="I291" i="1"/>
  <c r="J291" i="1" s="1"/>
  <c r="G266" i="1"/>
  <c r="G272" i="1"/>
  <c r="I290" i="1"/>
  <c r="J290" i="1" s="1"/>
  <c r="G284" i="1"/>
  <c r="I265" i="1"/>
  <c r="J265" i="1" s="1"/>
  <c r="G288" i="1"/>
  <c r="I273" i="1"/>
  <c r="J273" i="1" s="1"/>
  <c r="G262" i="1"/>
  <c r="J262" i="1"/>
  <c r="G282" i="1"/>
  <c r="G264" i="1"/>
  <c r="I293" i="1"/>
  <c r="J293" i="1" s="1"/>
  <c r="I269" i="1"/>
  <c r="J269" i="1" s="1"/>
  <c r="G273" i="1"/>
  <c r="G271" i="1"/>
  <c r="G291" i="1"/>
  <c r="G287" i="1"/>
  <c r="G275" i="1"/>
  <c r="J275" i="1"/>
  <c r="G289" i="1"/>
  <c r="G277" i="1"/>
  <c r="I277" i="1"/>
  <c r="J277" i="1"/>
  <c r="G276" i="1"/>
  <c r="G265" i="1"/>
  <c r="G263" i="1"/>
  <c r="J297" i="1"/>
  <c r="G292" i="1"/>
  <c r="I288" i="1"/>
  <c r="J288" i="1" s="1"/>
  <c r="G281" i="1"/>
  <c r="G279" i="1"/>
  <c r="G268" i="1"/>
  <c r="I282" i="1"/>
  <c r="J282" i="1" s="1"/>
  <c r="G295" i="1"/>
  <c r="I271" i="1"/>
  <c r="J271" i="1" s="1"/>
  <c r="J274" i="1"/>
  <c r="J266" i="1"/>
  <c r="I292" i="1"/>
  <c r="J292" i="1" s="1"/>
  <c r="I276" i="1"/>
  <c r="J276" i="1" s="1"/>
  <c r="I268" i="1"/>
  <c r="J268" i="1" s="1"/>
  <c r="J295" i="1"/>
  <c r="J287" i="1"/>
  <c r="J279" i="1"/>
  <c r="I284" i="1"/>
  <c r="J284" i="1" s="1"/>
  <c r="G6" i="1"/>
  <c r="K32" i="1"/>
  <c r="K33" i="1"/>
  <c r="K34" i="1"/>
  <c r="K31" i="1"/>
  <c r="K23" i="1"/>
  <c r="H111" i="3" l="1"/>
  <c r="G112" i="3"/>
  <c r="G113" i="3" s="1"/>
  <c r="C113" i="3"/>
  <c r="D115" i="1"/>
  <c r="J115" i="1" s="1"/>
  <c r="E115" i="1"/>
  <c r="F115" i="1"/>
  <c r="H115" i="1"/>
  <c r="D116" i="1"/>
  <c r="E116" i="1"/>
  <c r="F116" i="1"/>
  <c r="H116" i="1"/>
  <c r="C115" i="1"/>
  <c r="C116" i="1"/>
  <c r="B115" i="1"/>
  <c r="B116" i="1"/>
  <c r="H112" i="3" l="1"/>
  <c r="I112" i="3" s="1"/>
  <c r="I111" i="3"/>
  <c r="I115" i="1"/>
  <c r="G116" i="1"/>
  <c r="G115" i="1"/>
  <c r="J116" i="1"/>
  <c r="I116" i="1"/>
  <c r="H137" i="1"/>
  <c r="A145" i="1" l="1"/>
  <c r="B145" i="1"/>
  <c r="C145" i="1"/>
  <c r="D145" i="1"/>
  <c r="E145" i="1"/>
  <c r="F145" i="1"/>
  <c r="H145" i="1"/>
  <c r="A146" i="1"/>
  <c r="B146" i="1"/>
  <c r="C146" i="1"/>
  <c r="D146" i="1"/>
  <c r="E146" i="1"/>
  <c r="F146" i="1"/>
  <c r="H146" i="1"/>
  <c r="A147" i="1"/>
  <c r="B147" i="1"/>
  <c r="C147" i="1"/>
  <c r="D147" i="1"/>
  <c r="E147" i="1"/>
  <c r="F147" i="1"/>
  <c r="H147" i="1"/>
  <c r="A148" i="1"/>
  <c r="B148" i="1"/>
  <c r="C148" i="1"/>
  <c r="D148" i="1"/>
  <c r="E148" i="1"/>
  <c r="F148" i="1"/>
  <c r="H148" i="1"/>
  <c r="A149" i="1"/>
  <c r="B149" i="1"/>
  <c r="C149" i="1"/>
  <c r="D149" i="1"/>
  <c r="E149" i="1"/>
  <c r="F149" i="1"/>
  <c r="H149" i="1"/>
  <c r="A150" i="1"/>
  <c r="B150" i="1"/>
  <c r="C150" i="1"/>
  <c r="D150" i="1"/>
  <c r="E150" i="1"/>
  <c r="F150" i="1"/>
  <c r="H150" i="1"/>
  <c r="A151" i="1"/>
  <c r="B151" i="1"/>
  <c r="C151" i="1"/>
  <c r="D151" i="1"/>
  <c r="E151" i="1"/>
  <c r="F151" i="1"/>
  <c r="H151" i="1"/>
  <c r="A152" i="1"/>
  <c r="B152" i="1"/>
  <c r="C152" i="1"/>
  <c r="D152" i="1"/>
  <c r="E152" i="1"/>
  <c r="F152" i="1"/>
  <c r="H152" i="1"/>
  <c r="A153" i="1"/>
  <c r="B153" i="1"/>
  <c r="C153" i="1"/>
  <c r="D153" i="1"/>
  <c r="E153" i="1"/>
  <c r="F153" i="1"/>
  <c r="H153" i="1"/>
  <c r="A154" i="1"/>
  <c r="B154" i="1"/>
  <c r="C154" i="1"/>
  <c r="D154" i="1"/>
  <c r="E154" i="1"/>
  <c r="F154" i="1"/>
  <c r="H154" i="1"/>
  <c r="A155" i="1"/>
  <c r="B155" i="1"/>
  <c r="C155" i="1"/>
  <c r="D155" i="1"/>
  <c r="E155" i="1"/>
  <c r="F155" i="1"/>
  <c r="H155" i="1"/>
  <c r="A156" i="1"/>
  <c r="B156" i="1"/>
  <c r="C156" i="1"/>
  <c r="D156" i="1"/>
  <c r="E156" i="1"/>
  <c r="F156" i="1"/>
  <c r="H156" i="1"/>
  <c r="A157" i="1"/>
  <c r="B157" i="1"/>
  <c r="C157" i="1"/>
  <c r="D157" i="1"/>
  <c r="E157" i="1"/>
  <c r="F157" i="1"/>
  <c r="H157" i="1"/>
  <c r="A158" i="1"/>
  <c r="B158" i="1"/>
  <c r="C158" i="1"/>
  <c r="D158" i="1"/>
  <c r="E158" i="1"/>
  <c r="F158" i="1"/>
  <c r="H158" i="1"/>
  <c r="A159" i="1"/>
  <c r="B159" i="1"/>
  <c r="C159" i="1"/>
  <c r="D159" i="1"/>
  <c r="E159" i="1"/>
  <c r="F159" i="1"/>
  <c r="H159" i="1"/>
  <c r="A160" i="1"/>
  <c r="B160" i="1"/>
  <c r="C160" i="1"/>
  <c r="D160" i="1"/>
  <c r="E160" i="1"/>
  <c r="F160" i="1"/>
  <c r="H160" i="1"/>
  <c r="A161" i="1"/>
  <c r="B161" i="1"/>
  <c r="C161" i="1"/>
  <c r="D161" i="1"/>
  <c r="E161" i="1"/>
  <c r="F161" i="1"/>
  <c r="H161" i="1"/>
  <c r="A162" i="1"/>
  <c r="B162" i="1"/>
  <c r="C162" i="1"/>
  <c r="D162" i="1"/>
  <c r="E162" i="1"/>
  <c r="F162" i="1"/>
  <c r="H162" i="1"/>
  <c r="A163" i="1"/>
  <c r="B163" i="1"/>
  <c r="C163" i="1"/>
  <c r="D163" i="1"/>
  <c r="E163" i="1"/>
  <c r="F163" i="1"/>
  <c r="H163" i="1"/>
  <c r="A164" i="1"/>
  <c r="B164" i="1"/>
  <c r="C164" i="1"/>
  <c r="D164" i="1"/>
  <c r="E164" i="1"/>
  <c r="F164" i="1"/>
  <c r="H164" i="1"/>
  <c r="A165" i="1"/>
  <c r="B165" i="1"/>
  <c r="C165" i="1"/>
  <c r="D165" i="1"/>
  <c r="E165" i="1"/>
  <c r="F165" i="1"/>
  <c r="H165" i="1"/>
  <c r="A166" i="1"/>
  <c r="B166" i="1"/>
  <c r="C166" i="1"/>
  <c r="D166" i="1"/>
  <c r="E166" i="1"/>
  <c r="F166" i="1"/>
  <c r="H166" i="1"/>
  <c r="A167" i="1"/>
  <c r="B167" i="1"/>
  <c r="C167" i="1"/>
  <c r="D167" i="1"/>
  <c r="E167" i="1"/>
  <c r="F167" i="1"/>
  <c r="H167" i="1"/>
  <c r="A168" i="1"/>
  <c r="B168" i="1"/>
  <c r="C168" i="1"/>
  <c r="D168" i="1"/>
  <c r="E168" i="1"/>
  <c r="F168" i="1"/>
  <c r="H168" i="1"/>
  <c r="A169" i="1"/>
  <c r="B169" i="1"/>
  <c r="C169" i="1"/>
  <c r="D169" i="1"/>
  <c r="E169" i="1"/>
  <c r="F169" i="1"/>
  <c r="H169" i="1"/>
  <c r="A170" i="1"/>
  <c r="B170" i="1"/>
  <c r="C170" i="1"/>
  <c r="D170" i="1"/>
  <c r="E170" i="1"/>
  <c r="F170" i="1"/>
  <c r="H170" i="1"/>
  <c r="A171" i="1"/>
  <c r="B171" i="1"/>
  <c r="C171" i="1"/>
  <c r="D171" i="1"/>
  <c r="E171" i="1"/>
  <c r="F171" i="1"/>
  <c r="H171" i="1"/>
  <c r="A172" i="1"/>
  <c r="B172" i="1"/>
  <c r="C172" i="1"/>
  <c r="D172" i="1"/>
  <c r="E172" i="1"/>
  <c r="F172" i="1"/>
  <c r="H172" i="1"/>
  <c r="A173" i="1"/>
  <c r="B173" i="1"/>
  <c r="C173" i="1"/>
  <c r="D173" i="1"/>
  <c r="E173" i="1"/>
  <c r="F173" i="1"/>
  <c r="H173" i="1"/>
  <c r="A174" i="1"/>
  <c r="B174" i="1"/>
  <c r="C174" i="1"/>
  <c r="D174" i="1"/>
  <c r="E174" i="1"/>
  <c r="F174" i="1"/>
  <c r="H174" i="1"/>
  <c r="A175" i="1"/>
  <c r="B175" i="1"/>
  <c r="C175" i="1"/>
  <c r="D175" i="1"/>
  <c r="E175" i="1"/>
  <c r="F175" i="1"/>
  <c r="H175" i="1"/>
  <c r="A176" i="1"/>
  <c r="B176" i="1"/>
  <c r="C176" i="1"/>
  <c r="D176" i="1"/>
  <c r="E176" i="1"/>
  <c r="F176" i="1"/>
  <c r="H176" i="1"/>
  <c r="A177" i="1"/>
  <c r="B177" i="1"/>
  <c r="C177" i="1"/>
  <c r="D177" i="1"/>
  <c r="E177" i="1"/>
  <c r="F177" i="1"/>
  <c r="H177" i="1"/>
  <c r="A178" i="1"/>
  <c r="B178" i="1"/>
  <c r="C178" i="1"/>
  <c r="D178" i="1"/>
  <c r="E178" i="1"/>
  <c r="F178" i="1"/>
  <c r="H178" i="1"/>
  <c r="A179" i="1"/>
  <c r="B179" i="1"/>
  <c r="C179" i="1"/>
  <c r="D179" i="1"/>
  <c r="E179" i="1"/>
  <c r="F179" i="1"/>
  <c r="H179" i="1"/>
  <c r="A180" i="1"/>
  <c r="B180" i="1"/>
  <c r="C180" i="1"/>
  <c r="D180" i="1"/>
  <c r="E180" i="1"/>
  <c r="F180" i="1"/>
  <c r="H180" i="1"/>
  <c r="A181" i="1"/>
  <c r="B181" i="1"/>
  <c r="C181" i="1"/>
  <c r="D181" i="1"/>
  <c r="E181" i="1"/>
  <c r="F181" i="1"/>
  <c r="H181" i="1"/>
  <c r="A182" i="1"/>
  <c r="B182" i="1"/>
  <c r="C182" i="1"/>
  <c r="D182" i="1"/>
  <c r="E182" i="1"/>
  <c r="F182" i="1"/>
  <c r="H182" i="1"/>
  <c r="A183" i="1"/>
  <c r="B183" i="1"/>
  <c r="C183" i="1"/>
  <c r="D183" i="1"/>
  <c r="E183" i="1"/>
  <c r="F183" i="1"/>
  <c r="H183" i="1"/>
  <c r="A184" i="1"/>
  <c r="B184" i="1"/>
  <c r="C184" i="1"/>
  <c r="D184" i="1"/>
  <c r="E184" i="1"/>
  <c r="F184" i="1"/>
  <c r="H184" i="1"/>
  <c r="A185" i="1"/>
  <c r="B185" i="1"/>
  <c r="C185" i="1"/>
  <c r="D185" i="1"/>
  <c r="J185" i="1" s="1"/>
  <c r="E185" i="1"/>
  <c r="F185" i="1"/>
  <c r="H185" i="1"/>
  <c r="A186" i="1"/>
  <c r="B186" i="1"/>
  <c r="C186" i="1"/>
  <c r="D186" i="1"/>
  <c r="E186" i="1"/>
  <c r="F186" i="1"/>
  <c r="H186" i="1"/>
  <c r="A187" i="1"/>
  <c r="B187" i="1"/>
  <c r="C187" i="1"/>
  <c r="D187" i="1"/>
  <c r="E187" i="1"/>
  <c r="F187" i="1"/>
  <c r="H187" i="1"/>
  <c r="A188" i="1"/>
  <c r="B188" i="1"/>
  <c r="C188" i="1"/>
  <c r="D188" i="1"/>
  <c r="E188" i="1"/>
  <c r="F188" i="1"/>
  <c r="H188" i="1"/>
  <c r="A189" i="1"/>
  <c r="B189" i="1"/>
  <c r="C189" i="1"/>
  <c r="D189" i="1"/>
  <c r="E189" i="1"/>
  <c r="F189" i="1"/>
  <c r="H189" i="1"/>
  <c r="A190" i="1"/>
  <c r="B190" i="1"/>
  <c r="C190" i="1"/>
  <c r="D190" i="1"/>
  <c r="E190" i="1"/>
  <c r="F190" i="1"/>
  <c r="H190" i="1"/>
  <c r="A191" i="1"/>
  <c r="B191" i="1"/>
  <c r="C191" i="1"/>
  <c r="D191" i="1"/>
  <c r="E191" i="1"/>
  <c r="F191" i="1"/>
  <c r="H191" i="1"/>
  <c r="A192" i="1"/>
  <c r="B192" i="1"/>
  <c r="C192" i="1"/>
  <c r="D192" i="1"/>
  <c r="E192" i="1"/>
  <c r="F192" i="1"/>
  <c r="H192" i="1"/>
  <c r="A193" i="1"/>
  <c r="B193" i="1"/>
  <c r="C193" i="1"/>
  <c r="D193" i="1"/>
  <c r="E193" i="1"/>
  <c r="F193" i="1"/>
  <c r="H193" i="1"/>
  <c r="A194" i="1"/>
  <c r="B194" i="1"/>
  <c r="C194" i="1"/>
  <c r="D194" i="1"/>
  <c r="E194" i="1"/>
  <c r="F194" i="1"/>
  <c r="H194" i="1"/>
  <c r="A195" i="1"/>
  <c r="B195" i="1"/>
  <c r="C195" i="1"/>
  <c r="D195" i="1"/>
  <c r="E195" i="1"/>
  <c r="F195" i="1"/>
  <c r="H195" i="1"/>
  <c r="A196" i="1"/>
  <c r="B196" i="1"/>
  <c r="C196" i="1"/>
  <c r="D196" i="1"/>
  <c r="E196" i="1"/>
  <c r="F196" i="1"/>
  <c r="H196" i="1"/>
  <c r="A197" i="1"/>
  <c r="B197" i="1"/>
  <c r="C197" i="1"/>
  <c r="D197" i="1"/>
  <c r="E197" i="1"/>
  <c r="F197" i="1"/>
  <c r="H197" i="1"/>
  <c r="A198" i="1"/>
  <c r="B198" i="1"/>
  <c r="C198" i="1"/>
  <c r="D198" i="1"/>
  <c r="E198" i="1"/>
  <c r="F198" i="1"/>
  <c r="H198" i="1"/>
  <c r="A199" i="1"/>
  <c r="B199" i="1"/>
  <c r="C199" i="1"/>
  <c r="D199" i="1"/>
  <c r="E199" i="1"/>
  <c r="F199" i="1"/>
  <c r="H199" i="1"/>
  <c r="A200" i="1"/>
  <c r="B200" i="1"/>
  <c r="C200" i="1"/>
  <c r="D200" i="1"/>
  <c r="E200" i="1"/>
  <c r="F200" i="1"/>
  <c r="H200" i="1"/>
  <c r="A201" i="1"/>
  <c r="B201" i="1"/>
  <c r="C201" i="1"/>
  <c r="D201" i="1"/>
  <c r="E201" i="1"/>
  <c r="F201" i="1"/>
  <c r="H201" i="1"/>
  <c r="A202" i="1"/>
  <c r="B202" i="1"/>
  <c r="C202" i="1"/>
  <c r="D202" i="1"/>
  <c r="E202" i="1"/>
  <c r="F202" i="1"/>
  <c r="H202" i="1"/>
  <c r="A203" i="1"/>
  <c r="B203" i="1"/>
  <c r="C203" i="1"/>
  <c r="D203" i="1"/>
  <c r="E203" i="1"/>
  <c r="F203" i="1"/>
  <c r="H203" i="1"/>
  <c r="A204" i="1"/>
  <c r="B204" i="1"/>
  <c r="C204" i="1"/>
  <c r="D204" i="1"/>
  <c r="E204" i="1"/>
  <c r="F204" i="1"/>
  <c r="H204" i="1"/>
  <c r="A205" i="1"/>
  <c r="B205" i="1"/>
  <c r="C205" i="1"/>
  <c r="D205" i="1"/>
  <c r="E205" i="1"/>
  <c r="F205" i="1"/>
  <c r="H205" i="1"/>
  <c r="A206" i="1"/>
  <c r="B206" i="1"/>
  <c r="C206" i="1"/>
  <c r="D206" i="1"/>
  <c r="E206" i="1"/>
  <c r="F206" i="1"/>
  <c r="H206" i="1"/>
  <c r="A207" i="1"/>
  <c r="B207" i="1"/>
  <c r="C207" i="1"/>
  <c r="D207" i="1"/>
  <c r="E207" i="1"/>
  <c r="F207" i="1"/>
  <c r="H207" i="1"/>
  <c r="A208" i="1"/>
  <c r="B208" i="1"/>
  <c r="C208" i="1"/>
  <c r="D208" i="1"/>
  <c r="E208" i="1"/>
  <c r="F208" i="1"/>
  <c r="H208" i="1"/>
  <c r="A209" i="1"/>
  <c r="B209" i="1"/>
  <c r="C209" i="1"/>
  <c r="D209" i="1"/>
  <c r="E209" i="1"/>
  <c r="F209" i="1"/>
  <c r="H209" i="1"/>
  <c r="A210" i="1"/>
  <c r="B210" i="1"/>
  <c r="C210" i="1"/>
  <c r="D210" i="1"/>
  <c r="E210" i="1"/>
  <c r="F210" i="1"/>
  <c r="H210" i="1"/>
  <c r="A211" i="1"/>
  <c r="B211" i="1"/>
  <c r="C211" i="1"/>
  <c r="D211" i="1"/>
  <c r="E211" i="1"/>
  <c r="F211" i="1"/>
  <c r="H211" i="1"/>
  <c r="A212" i="1"/>
  <c r="B212" i="1"/>
  <c r="C212" i="1"/>
  <c r="D212" i="1"/>
  <c r="E212" i="1"/>
  <c r="F212" i="1"/>
  <c r="H212" i="1"/>
  <c r="A213" i="1"/>
  <c r="B213" i="1"/>
  <c r="C213" i="1"/>
  <c r="D213" i="1"/>
  <c r="E213" i="1"/>
  <c r="F213" i="1"/>
  <c r="H213" i="1"/>
  <c r="A214" i="1"/>
  <c r="B214" i="1"/>
  <c r="C214" i="1"/>
  <c r="D214" i="1"/>
  <c r="E214" i="1"/>
  <c r="F214" i="1"/>
  <c r="H214" i="1"/>
  <c r="A215" i="1"/>
  <c r="B215" i="1"/>
  <c r="C215" i="1"/>
  <c r="D215" i="1"/>
  <c r="E215" i="1"/>
  <c r="F215" i="1"/>
  <c r="H215" i="1"/>
  <c r="A216" i="1"/>
  <c r="B216" i="1"/>
  <c r="C216" i="1"/>
  <c r="D216" i="1"/>
  <c r="J216" i="1" s="1"/>
  <c r="E216" i="1"/>
  <c r="F216" i="1"/>
  <c r="H216" i="1"/>
  <c r="A217" i="1"/>
  <c r="B217" i="1"/>
  <c r="C217" i="1"/>
  <c r="D217" i="1"/>
  <c r="E217" i="1"/>
  <c r="F217" i="1"/>
  <c r="H217" i="1"/>
  <c r="A218" i="1"/>
  <c r="B218" i="1"/>
  <c r="C218" i="1"/>
  <c r="D218" i="1"/>
  <c r="E218" i="1"/>
  <c r="F218" i="1"/>
  <c r="H218" i="1"/>
  <c r="A219" i="1"/>
  <c r="B219" i="1"/>
  <c r="C219" i="1"/>
  <c r="D219" i="1"/>
  <c r="E219" i="1"/>
  <c r="F219" i="1"/>
  <c r="H219" i="1"/>
  <c r="A220" i="1"/>
  <c r="B220" i="1"/>
  <c r="C220" i="1"/>
  <c r="D220" i="1"/>
  <c r="E220" i="1"/>
  <c r="F220" i="1"/>
  <c r="H220" i="1"/>
  <c r="A221" i="1"/>
  <c r="B221" i="1"/>
  <c r="C221" i="1"/>
  <c r="D221" i="1"/>
  <c r="E221" i="1"/>
  <c r="F221" i="1"/>
  <c r="H221" i="1"/>
  <c r="A222" i="1"/>
  <c r="B222" i="1"/>
  <c r="C222" i="1"/>
  <c r="D222" i="1"/>
  <c r="E222" i="1"/>
  <c r="F222" i="1"/>
  <c r="H222" i="1"/>
  <c r="A223" i="1"/>
  <c r="B223" i="1"/>
  <c r="C223" i="1"/>
  <c r="D223" i="1"/>
  <c r="E223" i="1"/>
  <c r="F223" i="1"/>
  <c r="H223" i="1"/>
  <c r="A224" i="1"/>
  <c r="B224" i="1"/>
  <c r="C224" i="1"/>
  <c r="D224" i="1"/>
  <c r="E224" i="1"/>
  <c r="F224" i="1"/>
  <c r="H224" i="1"/>
  <c r="A225" i="1"/>
  <c r="B225" i="1"/>
  <c r="C225" i="1"/>
  <c r="D225" i="1"/>
  <c r="E225" i="1"/>
  <c r="F225" i="1"/>
  <c r="H225" i="1"/>
  <c r="A226" i="1"/>
  <c r="B226" i="1"/>
  <c r="C226" i="1"/>
  <c r="D226" i="1"/>
  <c r="E226" i="1"/>
  <c r="F226" i="1"/>
  <c r="H226" i="1"/>
  <c r="A227" i="1"/>
  <c r="B227" i="1"/>
  <c r="C227" i="1"/>
  <c r="D227" i="1"/>
  <c r="E227" i="1"/>
  <c r="F227" i="1"/>
  <c r="H227" i="1"/>
  <c r="A228" i="1"/>
  <c r="B228" i="1"/>
  <c r="C228" i="1"/>
  <c r="D228" i="1"/>
  <c r="E228" i="1"/>
  <c r="F228" i="1"/>
  <c r="H228" i="1"/>
  <c r="A229" i="1"/>
  <c r="B229" i="1"/>
  <c r="C229" i="1"/>
  <c r="D229" i="1"/>
  <c r="E229" i="1"/>
  <c r="F229" i="1"/>
  <c r="H229" i="1"/>
  <c r="A230" i="1"/>
  <c r="B230" i="1"/>
  <c r="C230" i="1"/>
  <c r="D230" i="1"/>
  <c r="E230" i="1"/>
  <c r="F230" i="1"/>
  <c r="H230" i="1"/>
  <c r="A231" i="1"/>
  <c r="B231" i="1"/>
  <c r="C231" i="1"/>
  <c r="D231" i="1"/>
  <c r="E231" i="1"/>
  <c r="F231" i="1"/>
  <c r="H231" i="1"/>
  <c r="A232" i="1"/>
  <c r="B232" i="1"/>
  <c r="C232" i="1"/>
  <c r="D232" i="1"/>
  <c r="E232" i="1"/>
  <c r="F232" i="1"/>
  <c r="H232" i="1"/>
  <c r="A233" i="1"/>
  <c r="B233" i="1"/>
  <c r="C233" i="1"/>
  <c r="D233" i="1"/>
  <c r="E233" i="1"/>
  <c r="F233" i="1"/>
  <c r="H233" i="1"/>
  <c r="A234" i="1"/>
  <c r="B234" i="1"/>
  <c r="C234" i="1"/>
  <c r="D234" i="1"/>
  <c r="E234" i="1"/>
  <c r="F234" i="1"/>
  <c r="H234" i="1"/>
  <c r="A235" i="1"/>
  <c r="B235" i="1"/>
  <c r="C235" i="1"/>
  <c r="D235" i="1"/>
  <c r="J235" i="1" s="1"/>
  <c r="E235" i="1"/>
  <c r="F235" i="1"/>
  <c r="H235" i="1"/>
  <c r="A236" i="1"/>
  <c r="B236" i="1"/>
  <c r="C236" i="1"/>
  <c r="D236" i="1"/>
  <c r="E236" i="1"/>
  <c r="F236" i="1"/>
  <c r="H236" i="1"/>
  <c r="A237" i="1"/>
  <c r="B237" i="1"/>
  <c r="C237" i="1"/>
  <c r="D237" i="1"/>
  <c r="E237" i="1"/>
  <c r="F237" i="1"/>
  <c r="H237" i="1"/>
  <c r="A238" i="1"/>
  <c r="B238" i="1"/>
  <c r="C238" i="1"/>
  <c r="D238" i="1"/>
  <c r="E238" i="1"/>
  <c r="F238" i="1"/>
  <c r="H238" i="1"/>
  <c r="A239" i="1"/>
  <c r="B239" i="1"/>
  <c r="C239" i="1"/>
  <c r="D239" i="1"/>
  <c r="E239" i="1"/>
  <c r="F239" i="1"/>
  <c r="H239" i="1"/>
  <c r="A240" i="1"/>
  <c r="B240" i="1"/>
  <c r="C240" i="1"/>
  <c r="D240" i="1"/>
  <c r="E240" i="1"/>
  <c r="F240" i="1"/>
  <c r="H240" i="1"/>
  <c r="A241" i="1"/>
  <c r="B241" i="1"/>
  <c r="C241" i="1"/>
  <c r="D241" i="1"/>
  <c r="E241" i="1"/>
  <c r="F241" i="1"/>
  <c r="H241" i="1"/>
  <c r="A242" i="1"/>
  <c r="B242" i="1"/>
  <c r="C242" i="1"/>
  <c r="D242" i="1"/>
  <c r="E242" i="1"/>
  <c r="F242" i="1"/>
  <c r="H242" i="1"/>
  <c r="A243" i="1"/>
  <c r="B243" i="1"/>
  <c r="C243" i="1"/>
  <c r="D243" i="1"/>
  <c r="E243" i="1"/>
  <c r="F243" i="1"/>
  <c r="H243" i="1"/>
  <c r="A244" i="1"/>
  <c r="B244" i="1"/>
  <c r="C244" i="1"/>
  <c r="D244" i="1"/>
  <c r="E244" i="1"/>
  <c r="F244" i="1"/>
  <c r="H244" i="1"/>
  <c r="A245" i="1"/>
  <c r="B245" i="1"/>
  <c r="C245" i="1"/>
  <c r="D245" i="1"/>
  <c r="E245" i="1"/>
  <c r="F245" i="1"/>
  <c r="H245" i="1"/>
  <c r="A246" i="1"/>
  <c r="B246" i="1"/>
  <c r="C246" i="1"/>
  <c r="D246" i="1"/>
  <c r="E246" i="1"/>
  <c r="F246" i="1"/>
  <c r="H246" i="1"/>
  <c r="A247" i="1"/>
  <c r="B247" i="1"/>
  <c r="C247" i="1"/>
  <c r="D247" i="1"/>
  <c r="E247" i="1"/>
  <c r="F247" i="1"/>
  <c r="H247" i="1"/>
  <c r="A248" i="1"/>
  <c r="B248" i="1"/>
  <c r="C248" i="1"/>
  <c r="D248" i="1"/>
  <c r="E248" i="1"/>
  <c r="F248" i="1"/>
  <c r="H248" i="1"/>
  <c r="A249" i="1"/>
  <c r="B249" i="1"/>
  <c r="C249" i="1"/>
  <c r="D249" i="1"/>
  <c r="E249" i="1"/>
  <c r="F249" i="1"/>
  <c r="H249" i="1"/>
  <c r="A250" i="1"/>
  <c r="B250" i="1"/>
  <c r="C250" i="1"/>
  <c r="D250" i="1"/>
  <c r="E250" i="1"/>
  <c r="F250" i="1"/>
  <c r="H250" i="1"/>
  <c r="A251" i="1"/>
  <c r="B251" i="1"/>
  <c r="C251" i="1"/>
  <c r="D251" i="1"/>
  <c r="E251" i="1"/>
  <c r="F251" i="1"/>
  <c r="H251" i="1"/>
  <c r="A252" i="1"/>
  <c r="B252" i="1"/>
  <c r="C252" i="1"/>
  <c r="D252" i="1"/>
  <c r="E252" i="1"/>
  <c r="F252" i="1"/>
  <c r="H252" i="1"/>
  <c r="A253" i="1"/>
  <c r="B253" i="1"/>
  <c r="C253" i="1"/>
  <c r="D253" i="1"/>
  <c r="E253" i="1"/>
  <c r="F253" i="1"/>
  <c r="H253" i="1"/>
  <c r="A254" i="1"/>
  <c r="B254" i="1"/>
  <c r="C254" i="1"/>
  <c r="D254" i="1"/>
  <c r="E254" i="1"/>
  <c r="F254" i="1"/>
  <c r="H254" i="1"/>
  <c r="A255" i="1"/>
  <c r="B255" i="1"/>
  <c r="C255" i="1"/>
  <c r="D255" i="1"/>
  <c r="E255" i="1"/>
  <c r="F255" i="1"/>
  <c r="H255" i="1"/>
  <c r="A256" i="1"/>
  <c r="B256" i="1"/>
  <c r="C256" i="1"/>
  <c r="D256" i="1"/>
  <c r="E256" i="1"/>
  <c r="F256" i="1"/>
  <c r="H256" i="1"/>
  <c r="A257" i="1"/>
  <c r="B257" i="1"/>
  <c r="C257" i="1"/>
  <c r="D257" i="1"/>
  <c r="E257" i="1"/>
  <c r="F257" i="1"/>
  <c r="H257" i="1"/>
  <c r="A258" i="1"/>
  <c r="B258" i="1"/>
  <c r="C258" i="1"/>
  <c r="D258" i="1"/>
  <c r="E258" i="1"/>
  <c r="F258" i="1"/>
  <c r="H258" i="1"/>
  <c r="A259" i="1"/>
  <c r="B259" i="1"/>
  <c r="C259" i="1"/>
  <c r="D259" i="1"/>
  <c r="E259" i="1"/>
  <c r="F259" i="1"/>
  <c r="H259" i="1"/>
  <c r="A260" i="1"/>
  <c r="B260" i="1"/>
  <c r="C260" i="1"/>
  <c r="D260" i="1"/>
  <c r="E260" i="1"/>
  <c r="F260" i="1"/>
  <c r="H260" i="1"/>
  <c r="A261" i="1"/>
  <c r="B261" i="1"/>
  <c r="C261" i="1"/>
  <c r="D261" i="1"/>
  <c r="E261" i="1"/>
  <c r="F261" i="1"/>
  <c r="H261" i="1"/>
  <c r="I233" i="1" l="1"/>
  <c r="J233" i="1" s="1"/>
  <c r="I185" i="1"/>
  <c r="I183" i="1"/>
  <c r="J183" i="1" s="1"/>
  <c r="I204" i="1"/>
  <c r="J204" i="1" s="1"/>
  <c r="I145" i="1"/>
  <c r="J145" i="1" s="1"/>
  <c r="G231" i="1"/>
  <c r="I153" i="1"/>
  <c r="J153" i="1" s="1"/>
  <c r="I243" i="1"/>
  <c r="J243" i="1" s="1"/>
  <c r="I230" i="1"/>
  <c r="J230" i="1" s="1"/>
  <c r="G200" i="1"/>
  <c r="G177" i="1"/>
  <c r="I220" i="1"/>
  <c r="J220" i="1" s="1"/>
  <c r="G220" i="1"/>
  <c r="I168" i="1"/>
  <c r="J168" i="1" s="1"/>
  <c r="I231" i="1"/>
  <c r="J231" i="1" s="1"/>
  <c r="G204" i="1"/>
  <c r="G188" i="1"/>
  <c r="G190" i="1"/>
  <c r="G244" i="1"/>
  <c r="G183" i="1"/>
  <c r="G233" i="1"/>
  <c r="G192" i="1"/>
  <c r="I172" i="1"/>
  <c r="J172" i="1" s="1"/>
  <c r="I187" i="1"/>
  <c r="J187" i="1" s="1"/>
  <c r="G185" i="1"/>
  <c r="G217" i="1"/>
  <c r="G193" i="1"/>
  <c r="G191" i="1"/>
  <c r="I171" i="1"/>
  <c r="J171" i="1" s="1"/>
  <c r="I212" i="1"/>
  <c r="J212" i="1" s="1"/>
  <c r="I181" i="1"/>
  <c r="J181" i="1" s="1"/>
  <c r="I174" i="1"/>
  <c r="J174" i="1" s="1"/>
  <c r="I165" i="1"/>
  <c r="J165" i="1" s="1"/>
  <c r="I244" i="1"/>
  <c r="J244" i="1" s="1"/>
  <c r="I155" i="1"/>
  <c r="J155" i="1" s="1"/>
  <c r="I235" i="1"/>
  <c r="I215" i="1"/>
  <c r="I190" i="1"/>
  <c r="J190" i="1" s="1"/>
  <c r="I184" i="1"/>
  <c r="J184" i="1" s="1"/>
  <c r="I169" i="1"/>
  <c r="J169" i="1" s="1"/>
  <c r="G184" i="1"/>
  <c r="I252" i="1"/>
  <c r="J252" i="1" s="1"/>
  <c r="G153" i="1"/>
  <c r="I148" i="1"/>
  <c r="J148" i="1" s="1"/>
  <c r="I216" i="1"/>
  <c r="I255" i="1"/>
  <c r="J255" i="1" s="1"/>
  <c r="I224" i="1"/>
  <c r="J224" i="1" s="1"/>
  <c r="J215" i="1"/>
  <c r="I213" i="1"/>
  <c r="J213" i="1" s="1"/>
  <c r="I248" i="1"/>
  <c r="J248" i="1" s="1"/>
  <c r="I217" i="1"/>
  <c r="J217" i="1" s="1"/>
  <c r="I206" i="1"/>
  <c r="J206" i="1" s="1"/>
  <c r="G216" i="1"/>
  <c r="G256" i="1"/>
  <c r="I197" i="1"/>
  <c r="J197" i="1" s="1"/>
  <c r="I219" i="1"/>
  <c r="J219" i="1" s="1"/>
  <c r="G215" i="1"/>
  <c r="G151" i="1"/>
  <c r="G260" i="1"/>
  <c r="I246" i="1"/>
  <c r="J246" i="1" s="1"/>
  <c r="I229" i="1"/>
  <c r="J229" i="1" s="1"/>
  <c r="I177" i="1"/>
  <c r="J177" i="1" s="1"/>
  <c r="G246" i="1"/>
  <c r="I211" i="1"/>
  <c r="G174" i="1"/>
  <c r="G156" i="1"/>
  <c r="G248" i="1"/>
  <c r="G209" i="1"/>
  <c r="G206" i="1"/>
  <c r="G249" i="1"/>
  <c r="G159" i="1"/>
  <c r="I241" i="1"/>
  <c r="J241" i="1" s="1"/>
  <c r="G158" i="1"/>
  <c r="I149" i="1"/>
  <c r="J149" i="1" s="1"/>
  <c r="G171" i="1"/>
  <c r="G175" i="1"/>
  <c r="G198" i="1"/>
  <c r="I179" i="1"/>
  <c r="J179" i="1" s="1"/>
  <c r="I180" i="1"/>
  <c r="J180" i="1" s="1"/>
  <c r="G247" i="1"/>
  <c r="I225" i="1"/>
  <c r="I188" i="1"/>
  <c r="J188" i="1" s="1"/>
  <c r="G160" i="1"/>
  <c r="I151" i="1"/>
  <c r="J151" i="1" s="1"/>
  <c r="G255" i="1"/>
  <c r="I147" i="1"/>
  <c r="J147" i="1" s="1"/>
  <c r="G168" i="1"/>
  <c r="G166" i="1"/>
  <c r="I259" i="1"/>
  <c r="J259" i="1" s="1"/>
  <c r="I227" i="1"/>
  <c r="J227" i="1" s="1"/>
  <c r="G208" i="1"/>
  <c r="G172" i="1"/>
  <c r="G157" i="1"/>
  <c r="G239" i="1"/>
  <c r="I245" i="1"/>
  <c r="J245" i="1" s="1"/>
  <c r="I198" i="1"/>
  <c r="J198" i="1" s="1"/>
  <c r="I175" i="1"/>
  <c r="J175" i="1" s="1"/>
  <c r="I152" i="1"/>
  <c r="J152" i="1" s="1"/>
  <c r="G253" i="1"/>
  <c r="G145" i="1"/>
  <c r="G240" i="1"/>
  <c r="G210" i="1"/>
  <c r="G176" i="1"/>
  <c r="I201" i="1"/>
  <c r="J201" i="1" s="1"/>
  <c r="I156" i="1"/>
  <c r="J156" i="1" s="1"/>
  <c r="I260" i="1"/>
  <c r="J260" i="1" s="1"/>
  <c r="G203" i="1"/>
  <c r="I158" i="1"/>
  <c r="J158" i="1" s="1"/>
  <c r="I249" i="1"/>
  <c r="J249" i="1" s="1"/>
  <c r="I247" i="1"/>
  <c r="J247" i="1" s="1"/>
  <c r="I239" i="1"/>
  <c r="J239" i="1" s="1"/>
  <c r="I209" i="1"/>
  <c r="J209" i="1" s="1"/>
  <c r="I207" i="1"/>
  <c r="J207" i="1" s="1"/>
  <c r="I203" i="1"/>
  <c r="J203" i="1" s="1"/>
  <c r="I196" i="1"/>
  <c r="J196" i="1" s="1"/>
  <c r="G182" i="1"/>
  <c r="I173" i="1"/>
  <c r="J173" i="1" s="1"/>
  <c r="I251" i="1"/>
  <c r="J251" i="1" s="1"/>
  <c r="G224" i="1"/>
  <c r="G207" i="1"/>
  <c r="I200" i="1"/>
  <c r="J200" i="1" s="1"/>
  <c r="G169" i="1"/>
  <c r="G152" i="1"/>
  <c r="G150" i="1"/>
  <c r="G164" i="1"/>
  <c r="G230" i="1"/>
  <c r="G170" i="1"/>
  <c r="G232" i="1"/>
  <c r="G241" i="1"/>
  <c r="I205" i="1"/>
  <c r="J205" i="1" s="1"/>
  <c r="I166" i="1"/>
  <c r="J166" i="1" s="1"/>
  <c r="I164" i="1"/>
  <c r="J164" i="1" s="1"/>
  <c r="I261" i="1"/>
  <c r="J261" i="1" s="1"/>
  <c r="I228" i="1"/>
  <c r="J228" i="1" s="1"/>
  <c r="J211" i="1"/>
  <c r="G228" i="1"/>
  <c r="G201" i="1"/>
  <c r="G189" i="1"/>
  <c r="G211" i="1"/>
  <c r="G223" i="1"/>
  <c r="I223" i="1"/>
  <c r="J223" i="1" s="1"/>
  <c r="G199" i="1"/>
  <c r="I199" i="1"/>
  <c r="J199" i="1" s="1"/>
  <c r="G245" i="1"/>
  <c r="G225" i="1"/>
  <c r="J225" i="1"/>
  <c r="G237" i="1"/>
  <c r="G178" i="1"/>
  <c r="G162" i="1"/>
  <c r="G180" i="1"/>
  <c r="G254" i="1"/>
  <c r="G179" i="1"/>
  <c r="I161" i="1"/>
  <c r="J161" i="1" s="1"/>
  <c r="G195" i="1"/>
  <c r="G219" i="1"/>
  <c r="I195" i="1"/>
  <c r="J195" i="1" s="1"/>
  <c r="G257" i="1"/>
  <c r="I257" i="1"/>
  <c r="J257" i="1" s="1"/>
  <c r="I232" i="1"/>
  <c r="J232" i="1" s="1"/>
  <c r="G222" i="1"/>
  <c r="G212" i="1"/>
  <c r="I236" i="1"/>
  <c r="J236" i="1"/>
  <c r="G163" i="1"/>
  <c r="G187" i="1"/>
  <c r="G251" i="1"/>
  <c r="G236" i="1"/>
  <c r="G196" i="1"/>
  <c r="I159" i="1"/>
  <c r="J159" i="1" s="1"/>
  <c r="I157" i="1"/>
  <c r="J157" i="1" s="1"/>
  <c r="G147" i="1"/>
  <c r="G252" i="1"/>
  <c r="G238" i="1"/>
  <c r="J238" i="1"/>
  <c r="G221" i="1"/>
  <c r="G148" i="1"/>
  <c r="I254" i="1"/>
  <c r="J254" i="1" s="1"/>
  <c r="G214" i="1"/>
  <c r="J214" i="1"/>
  <c r="G161" i="1"/>
  <c r="I163" i="1"/>
  <c r="J163" i="1" s="1"/>
  <c r="I193" i="1"/>
  <c r="J193" i="1" s="1"/>
  <c r="G167" i="1"/>
  <c r="I167" i="1"/>
  <c r="J167" i="1" s="1"/>
  <c r="I256" i="1"/>
  <c r="J256" i="1" s="1"/>
  <c r="I191" i="1"/>
  <c r="J191" i="1" s="1"/>
  <c r="I189" i="1"/>
  <c r="J189" i="1" s="1"/>
  <c r="G155" i="1"/>
  <c r="G243" i="1"/>
  <c r="I237" i="1"/>
  <c r="I222" i="1"/>
  <c r="J222" i="1" s="1"/>
  <c r="G213" i="1"/>
  <c r="I192" i="1"/>
  <c r="J192" i="1" s="1"/>
  <c r="G181" i="1"/>
  <c r="I160" i="1"/>
  <c r="J160" i="1" s="1"/>
  <c r="G149" i="1"/>
  <c r="G250" i="1"/>
  <c r="G235" i="1"/>
  <c r="G205" i="1"/>
  <c r="G173" i="1"/>
  <c r="G261" i="1"/>
  <c r="I240" i="1"/>
  <c r="J240" i="1" s="1"/>
  <c r="I214" i="1"/>
  <c r="I182" i="1"/>
  <c r="J182" i="1" s="1"/>
  <c r="I150" i="1"/>
  <c r="J150" i="1" s="1"/>
  <c r="I253" i="1"/>
  <c r="J253" i="1" s="1"/>
  <c r="G229" i="1"/>
  <c r="G186" i="1"/>
  <c r="G154" i="1"/>
  <c r="G259" i="1"/>
  <c r="I238" i="1"/>
  <c r="I221" i="1"/>
  <c r="J221" i="1" s="1"/>
  <c r="G227" i="1"/>
  <c r="I208" i="1"/>
  <c r="J208" i="1" s="1"/>
  <c r="G197" i="1"/>
  <c r="I176" i="1"/>
  <c r="J176" i="1" s="1"/>
  <c r="G165" i="1"/>
  <c r="I258" i="1"/>
  <c r="J258" i="1" s="1"/>
  <c r="I250" i="1"/>
  <c r="J250" i="1" s="1"/>
  <c r="I242" i="1"/>
  <c r="J242" i="1" s="1"/>
  <c r="I234" i="1"/>
  <c r="J234" i="1" s="1"/>
  <c r="I226" i="1"/>
  <c r="J226" i="1" s="1"/>
  <c r="I218" i="1"/>
  <c r="J218" i="1" s="1"/>
  <c r="I210" i="1"/>
  <c r="J210" i="1" s="1"/>
  <c r="I202" i="1"/>
  <c r="J202" i="1" s="1"/>
  <c r="I194" i="1"/>
  <c r="J194" i="1" s="1"/>
  <c r="I186" i="1"/>
  <c r="J186" i="1" s="1"/>
  <c r="I178" i="1"/>
  <c r="J178" i="1" s="1"/>
  <c r="I170" i="1"/>
  <c r="J170" i="1" s="1"/>
  <c r="I162" i="1"/>
  <c r="J162" i="1" s="1"/>
  <c r="I154" i="1"/>
  <c r="J154" i="1" s="1"/>
  <c r="I146" i="1"/>
  <c r="J146" i="1" s="1"/>
  <c r="J237" i="1"/>
  <c r="G258" i="1"/>
  <c r="G242" i="1"/>
  <c r="G234" i="1"/>
  <c r="G226" i="1"/>
  <c r="G218" i="1"/>
  <c r="G202" i="1"/>
  <c r="G194" i="1"/>
  <c r="G146" i="1"/>
  <c r="K111" i="2" l="1"/>
  <c r="L111" i="2" s="1"/>
  <c r="M111" i="2" s="1"/>
  <c r="N111" i="2" s="1"/>
  <c r="O111" i="2" s="1"/>
  <c r="P111" i="2" s="1"/>
  <c r="Q111" i="2" s="1"/>
  <c r="R111" i="2" s="1"/>
  <c r="S111" i="2" s="1"/>
  <c r="T111" i="2" s="1"/>
  <c r="U111" i="2" s="1"/>
  <c r="V111" i="2" s="1"/>
  <c r="I112" i="2"/>
  <c r="K112" i="2" s="1"/>
  <c r="L112" i="2" s="1"/>
  <c r="M112" i="2" s="1"/>
  <c r="N112" i="2" s="1"/>
  <c r="O112" i="2" s="1"/>
  <c r="P112" i="2" s="1"/>
  <c r="Q112" i="2" s="1"/>
  <c r="R112" i="2" s="1"/>
  <c r="S112" i="2" s="1"/>
  <c r="T112" i="2" s="1"/>
  <c r="U112" i="2" s="1"/>
  <c r="V112" i="2" s="1"/>
  <c r="I115" i="2"/>
  <c r="K115" i="2" s="1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V115" i="2" s="1"/>
  <c r="K110" i="2"/>
  <c r="L110" i="2" s="1"/>
  <c r="M110" i="2" s="1"/>
  <c r="N110" i="2" s="1"/>
  <c r="O110" i="2" s="1"/>
  <c r="P110" i="2" s="1"/>
  <c r="Q110" i="2" s="1"/>
  <c r="R110" i="2" s="1"/>
  <c r="S110" i="2" s="1"/>
  <c r="T110" i="2" s="1"/>
  <c r="U110" i="2" s="1"/>
  <c r="V110" i="2" s="1"/>
  <c r="B67" i="1"/>
  <c r="C67" i="1"/>
  <c r="D67" i="1"/>
  <c r="E67" i="1"/>
  <c r="F67" i="1"/>
  <c r="H67" i="1"/>
  <c r="F139" i="1"/>
  <c r="F144" i="1"/>
  <c r="F143" i="1"/>
  <c r="F142" i="1"/>
  <c r="F141" i="1"/>
  <c r="F140" i="1"/>
  <c r="I67" i="1" l="1"/>
  <c r="J67" i="1" s="1"/>
  <c r="G67" i="1"/>
  <c r="H95" i="1"/>
  <c r="D84" i="1" l="1"/>
  <c r="K64" i="2" l="1"/>
  <c r="L64" i="2" s="1"/>
  <c r="M64" i="2" s="1"/>
  <c r="N64" i="2" s="1"/>
  <c r="O64" i="2" s="1"/>
  <c r="P64" i="2" s="1"/>
  <c r="Q64" i="2" s="1"/>
  <c r="R64" i="2" s="1"/>
  <c r="S64" i="2" s="1"/>
  <c r="T64" i="2" s="1"/>
  <c r="U64" i="2" s="1"/>
  <c r="V64" i="2" s="1"/>
  <c r="K63" i="2"/>
  <c r="L63" i="2" s="1"/>
  <c r="M63" i="2" s="1"/>
  <c r="N63" i="2" s="1"/>
  <c r="O63" i="2" s="1"/>
  <c r="P63" i="2" s="1"/>
  <c r="Q63" i="2" s="1"/>
  <c r="R63" i="2" s="1"/>
  <c r="S63" i="2" s="1"/>
  <c r="T63" i="2" s="1"/>
  <c r="U63" i="2" s="1"/>
  <c r="V63" i="2" s="1"/>
  <c r="K61" i="2"/>
  <c r="L61" i="2" s="1"/>
  <c r="M61" i="2" s="1"/>
  <c r="N61" i="2" s="1"/>
  <c r="O61" i="2" s="1"/>
  <c r="P61" i="2" s="1"/>
  <c r="Q61" i="2" s="1"/>
  <c r="R61" i="2" s="1"/>
  <c r="S61" i="2" s="1"/>
  <c r="T61" i="2" s="1"/>
  <c r="U61" i="2" s="1"/>
  <c r="V61" i="2" s="1"/>
  <c r="I59" i="2"/>
  <c r="K59" i="2" s="1"/>
  <c r="L59" i="2" s="1"/>
  <c r="M59" i="2" s="1"/>
  <c r="N59" i="2" s="1"/>
  <c r="O59" i="2" s="1"/>
  <c r="P59" i="2" s="1"/>
  <c r="Q59" i="2" s="1"/>
  <c r="R59" i="2" s="1"/>
  <c r="S59" i="2" s="1"/>
  <c r="T59" i="2" s="1"/>
  <c r="U59" i="2" s="1"/>
  <c r="V59" i="2" s="1"/>
  <c r="I58" i="2"/>
  <c r="K51" i="2"/>
  <c r="L51" i="2" s="1"/>
  <c r="M51" i="2" s="1"/>
  <c r="N51" i="2" s="1"/>
  <c r="O51" i="2" s="1"/>
  <c r="P51" i="2" s="1"/>
  <c r="Q51" i="2" s="1"/>
  <c r="R51" i="2" s="1"/>
  <c r="S51" i="2" s="1"/>
  <c r="T51" i="2" s="1"/>
  <c r="U51" i="2" s="1"/>
  <c r="V51" i="2" s="1"/>
  <c r="L33" i="2"/>
  <c r="M33" i="2" s="1"/>
  <c r="N33" i="2" s="1"/>
  <c r="O33" i="2" s="1"/>
  <c r="P33" i="2" s="1"/>
  <c r="Q33" i="2" s="1"/>
  <c r="R33" i="2" s="1"/>
  <c r="S33" i="2" s="1"/>
  <c r="T33" i="2" s="1"/>
  <c r="U33" i="2" s="1"/>
  <c r="H35" i="1"/>
  <c r="F35" i="1"/>
  <c r="E35" i="1"/>
  <c r="D35" i="1"/>
  <c r="C35" i="1"/>
  <c r="B35" i="1"/>
  <c r="I35" i="1" l="1"/>
  <c r="J35" i="1" s="1"/>
  <c r="G35" i="1"/>
  <c r="K27" i="2"/>
  <c r="L27" i="2" s="1"/>
  <c r="M27" i="2" s="1"/>
  <c r="N27" i="2" s="1"/>
  <c r="O27" i="2" s="1"/>
  <c r="P27" i="2" s="1"/>
  <c r="Q27" i="2" s="1"/>
  <c r="H28" i="1"/>
  <c r="F28" i="1"/>
  <c r="E28" i="1"/>
  <c r="D28" i="1"/>
  <c r="C28" i="1"/>
  <c r="B28" i="1"/>
  <c r="R27" i="2" l="1"/>
  <c r="S27" i="2" s="1"/>
  <c r="T27" i="2" s="1"/>
  <c r="U27" i="2" s="1"/>
  <c r="V27" i="2" s="1"/>
  <c r="I28" i="1"/>
  <c r="J28" i="1" s="1"/>
  <c r="G28" i="1"/>
  <c r="B18" i="1" l="1"/>
  <c r="C18" i="1"/>
  <c r="D18" i="1"/>
  <c r="E18" i="1"/>
  <c r="F18" i="1"/>
  <c r="H18" i="1"/>
  <c r="G18" i="1" l="1"/>
  <c r="I18" i="1"/>
  <c r="J18" i="1" s="1"/>
  <c r="B7" i="1"/>
  <c r="B8" i="1"/>
  <c r="C8" i="1"/>
  <c r="D8" i="1"/>
  <c r="E8" i="1"/>
  <c r="F8" i="1"/>
  <c r="V6" i="2"/>
  <c r="H8" i="1" s="1"/>
  <c r="D7" i="1"/>
  <c r="E7" i="1"/>
  <c r="I133" i="2"/>
  <c r="V133" i="2" s="1"/>
  <c r="I131" i="2"/>
  <c r="V131" i="2" s="1"/>
  <c r="V132" i="2"/>
  <c r="V134" i="2"/>
  <c r="I130" i="2"/>
  <c r="V130" i="2" s="1"/>
  <c r="G8" i="1" l="1"/>
  <c r="I8" i="1"/>
  <c r="J8" i="1" s="1"/>
  <c r="C7" i="1" l="1"/>
  <c r="F7" i="1"/>
  <c r="H7" i="1"/>
  <c r="B9" i="1"/>
  <c r="C9" i="1"/>
  <c r="D9" i="1"/>
  <c r="E9" i="1"/>
  <c r="F9" i="1"/>
  <c r="H9" i="1"/>
  <c r="B10" i="1"/>
  <c r="C10" i="1"/>
  <c r="D10" i="1"/>
  <c r="E10" i="1"/>
  <c r="F10" i="1"/>
  <c r="H10" i="1"/>
  <c r="B11" i="1"/>
  <c r="C11" i="1"/>
  <c r="D11" i="1"/>
  <c r="E11" i="1"/>
  <c r="F11" i="1"/>
  <c r="H11" i="1"/>
  <c r="B12" i="1"/>
  <c r="C12" i="1"/>
  <c r="D12" i="1"/>
  <c r="E12" i="1"/>
  <c r="F12" i="1"/>
  <c r="H12" i="1"/>
  <c r="B13" i="1"/>
  <c r="C13" i="1"/>
  <c r="D13" i="1"/>
  <c r="E13" i="1"/>
  <c r="F13" i="1"/>
  <c r="H13" i="1"/>
  <c r="B14" i="1"/>
  <c r="C14" i="1"/>
  <c r="D14" i="1"/>
  <c r="E14" i="1"/>
  <c r="F14" i="1"/>
  <c r="H14" i="1"/>
  <c r="B15" i="1"/>
  <c r="C15" i="1"/>
  <c r="D15" i="1"/>
  <c r="E15" i="1"/>
  <c r="F15" i="1"/>
  <c r="H15" i="1"/>
  <c r="B16" i="1"/>
  <c r="C16" i="1"/>
  <c r="D16" i="1"/>
  <c r="E16" i="1"/>
  <c r="F16" i="1"/>
  <c r="H16" i="1"/>
  <c r="B17" i="1"/>
  <c r="C17" i="1"/>
  <c r="D17" i="1"/>
  <c r="E17" i="1"/>
  <c r="F17" i="1"/>
  <c r="H17" i="1"/>
  <c r="B19" i="1"/>
  <c r="C19" i="1"/>
  <c r="D19" i="1"/>
  <c r="E19" i="1"/>
  <c r="F19" i="1"/>
  <c r="H19" i="1"/>
  <c r="B20" i="1"/>
  <c r="C20" i="1"/>
  <c r="D20" i="1"/>
  <c r="E20" i="1"/>
  <c r="F20" i="1"/>
  <c r="H20" i="1"/>
  <c r="B21" i="1"/>
  <c r="C21" i="1"/>
  <c r="D21" i="1"/>
  <c r="E21" i="1"/>
  <c r="F21" i="1"/>
  <c r="H21" i="1"/>
  <c r="B22" i="1"/>
  <c r="C22" i="1"/>
  <c r="D22" i="1"/>
  <c r="E22" i="1"/>
  <c r="F22" i="1"/>
  <c r="H22" i="1"/>
  <c r="B23" i="1"/>
  <c r="C23" i="1"/>
  <c r="D23" i="1"/>
  <c r="E23" i="1"/>
  <c r="F23" i="1"/>
  <c r="H23" i="1"/>
  <c r="B24" i="1"/>
  <c r="C24" i="1"/>
  <c r="D24" i="1"/>
  <c r="E24" i="1"/>
  <c r="F24" i="1"/>
  <c r="H24" i="1"/>
  <c r="B25" i="1"/>
  <c r="C25" i="1"/>
  <c r="D25" i="1"/>
  <c r="E25" i="1"/>
  <c r="F25" i="1"/>
  <c r="H25" i="1"/>
  <c r="B26" i="1"/>
  <c r="C26" i="1"/>
  <c r="D26" i="1"/>
  <c r="E26" i="1"/>
  <c r="F26" i="1"/>
  <c r="H26" i="1"/>
  <c r="B27" i="1"/>
  <c r="C27" i="1"/>
  <c r="D27" i="1"/>
  <c r="E27" i="1"/>
  <c r="F27" i="1"/>
  <c r="H27" i="1"/>
  <c r="B29" i="1"/>
  <c r="C29" i="1"/>
  <c r="D29" i="1"/>
  <c r="E29" i="1"/>
  <c r="F29" i="1"/>
  <c r="H29" i="1"/>
  <c r="B30" i="1"/>
  <c r="C30" i="1"/>
  <c r="D30" i="1"/>
  <c r="E30" i="1"/>
  <c r="F30" i="1"/>
  <c r="H30" i="1"/>
  <c r="B31" i="1"/>
  <c r="C31" i="1"/>
  <c r="D31" i="1"/>
  <c r="E31" i="1"/>
  <c r="F31" i="1"/>
  <c r="H31" i="1"/>
  <c r="B32" i="1"/>
  <c r="C32" i="1"/>
  <c r="D32" i="1"/>
  <c r="E32" i="1"/>
  <c r="F32" i="1"/>
  <c r="H32" i="1"/>
  <c r="B33" i="1"/>
  <c r="C33" i="1"/>
  <c r="D33" i="1"/>
  <c r="E33" i="1"/>
  <c r="F33" i="1"/>
  <c r="H33" i="1"/>
  <c r="B34" i="1"/>
  <c r="C34" i="1"/>
  <c r="D34" i="1"/>
  <c r="E34" i="1"/>
  <c r="F34" i="1"/>
  <c r="H34" i="1"/>
  <c r="B36" i="1"/>
  <c r="C36" i="1"/>
  <c r="D36" i="1"/>
  <c r="E36" i="1"/>
  <c r="F36" i="1"/>
  <c r="H36" i="1"/>
  <c r="B37" i="1"/>
  <c r="C37" i="1"/>
  <c r="D37" i="1"/>
  <c r="E37" i="1"/>
  <c r="F37" i="1"/>
  <c r="H37" i="1"/>
  <c r="B38" i="1"/>
  <c r="C38" i="1"/>
  <c r="D38" i="1"/>
  <c r="E38" i="1"/>
  <c r="F38" i="1"/>
  <c r="H38" i="1"/>
  <c r="B39" i="1"/>
  <c r="C39" i="1"/>
  <c r="D39" i="1"/>
  <c r="E39" i="1"/>
  <c r="F39" i="1"/>
  <c r="H39" i="1"/>
  <c r="B40" i="1"/>
  <c r="C40" i="1"/>
  <c r="D40" i="1"/>
  <c r="E40" i="1"/>
  <c r="F40" i="1"/>
  <c r="H40" i="1"/>
  <c r="B41" i="1"/>
  <c r="C41" i="1"/>
  <c r="D41" i="1"/>
  <c r="E41" i="1"/>
  <c r="F41" i="1"/>
  <c r="H41" i="1"/>
  <c r="B42" i="1"/>
  <c r="C42" i="1"/>
  <c r="D42" i="1"/>
  <c r="E42" i="1"/>
  <c r="F42" i="1"/>
  <c r="H42" i="1"/>
  <c r="B43" i="1"/>
  <c r="C43" i="1"/>
  <c r="D43" i="1"/>
  <c r="E43" i="1"/>
  <c r="F43" i="1"/>
  <c r="H43" i="1"/>
  <c r="B44" i="1"/>
  <c r="C44" i="1"/>
  <c r="D44" i="1"/>
  <c r="E44" i="1"/>
  <c r="F44" i="1"/>
  <c r="H44" i="1"/>
  <c r="B45" i="1"/>
  <c r="C45" i="1"/>
  <c r="D45" i="1"/>
  <c r="E45" i="1"/>
  <c r="F45" i="1"/>
  <c r="H45" i="1"/>
  <c r="B46" i="1"/>
  <c r="C46" i="1"/>
  <c r="D46" i="1"/>
  <c r="E46" i="1"/>
  <c r="F46" i="1"/>
  <c r="H46" i="1"/>
  <c r="B47" i="1"/>
  <c r="C47" i="1"/>
  <c r="D47" i="1"/>
  <c r="E47" i="1"/>
  <c r="F47" i="1"/>
  <c r="H47" i="1"/>
  <c r="B48" i="1"/>
  <c r="C48" i="1"/>
  <c r="D48" i="1"/>
  <c r="E48" i="1"/>
  <c r="F48" i="1"/>
  <c r="H48" i="1"/>
  <c r="B49" i="1"/>
  <c r="C49" i="1"/>
  <c r="D49" i="1"/>
  <c r="E49" i="1"/>
  <c r="F49" i="1"/>
  <c r="H49" i="1"/>
  <c r="B50" i="1"/>
  <c r="C50" i="1"/>
  <c r="D50" i="1"/>
  <c r="E50" i="1"/>
  <c r="F50" i="1"/>
  <c r="H50" i="1"/>
  <c r="B51" i="1"/>
  <c r="C51" i="1"/>
  <c r="D51" i="1"/>
  <c r="E51" i="1"/>
  <c r="F51" i="1"/>
  <c r="H51" i="1"/>
  <c r="B52" i="1"/>
  <c r="C52" i="1"/>
  <c r="D52" i="1"/>
  <c r="E52" i="1"/>
  <c r="F52" i="1"/>
  <c r="H52" i="1"/>
  <c r="B53" i="1"/>
  <c r="C53" i="1"/>
  <c r="D53" i="1"/>
  <c r="E53" i="1"/>
  <c r="F53" i="1"/>
  <c r="H53" i="1"/>
  <c r="B54" i="1"/>
  <c r="C54" i="1"/>
  <c r="D54" i="1"/>
  <c r="E54" i="1"/>
  <c r="F54" i="1"/>
  <c r="H54" i="1"/>
  <c r="B55" i="1"/>
  <c r="C55" i="1"/>
  <c r="D55" i="1"/>
  <c r="E55" i="1"/>
  <c r="F55" i="1"/>
  <c r="H55" i="1"/>
  <c r="B56" i="1"/>
  <c r="C56" i="1"/>
  <c r="D56" i="1"/>
  <c r="E56" i="1"/>
  <c r="F56" i="1"/>
  <c r="H56" i="1"/>
  <c r="B57" i="1"/>
  <c r="C57" i="1"/>
  <c r="D57" i="1"/>
  <c r="E57" i="1"/>
  <c r="F57" i="1"/>
  <c r="H57" i="1"/>
  <c r="B58" i="1"/>
  <c r="C58" i="1"/>
  <c r="D58" i="1"/>
  <c r="E58" i="1"/>
  <c r="F58" i="1"/>
  <c r="H58" i="1"/>
  <c r="B59" i="1"/>
  <c r="C59" i="1"/>
  <c r="D59" i="1"/>
  <c r="E59" i="1"/>
  <c r="F59" i="1"/>
  <c r="H59" i="1"/>
  <c r="B60" i="1"/>
  <c r="C60" i="1"/>
  <c r="D60" i="1"/>
  <c r="E60" i="1"/>
  <c r="F60" i="1"/>
  <c r="H60" i="1"/>
  <c r="B61" i="1"/>
  <c r="C61" i="1"/>
  <c r="D61" i="1"/>
  <c r="E61" i="1"/>
  <c r="F61" i="1"/>
  <c r="H61" i="1"/>
  <c r="B62" i="1"/>
  <c r="C62" i="1"/>
  <c r="D62" i="1"/>
  <c r="E62" i="1"/>
  <c r="F62" i="1"/>
  <c r="H62" i="1"/>
  <c r="B63" i="1"/>
  <c r="C63" i="1"/>
  <c r="D63" i="1"/>
  <c r="E63" i="1"/>
  <c r="F63" i="1"/>
  <c r="H63" i="1"/>
  <c r="B64" i="1"/>
  <c r="C64" i="1"/>
  <c r="D64" i="1"/>
  <c r="E64" i="1"/>
  <c r="F64" i="1"/>
  <c r="H64" i="1"/>
  <c r="B65" i="1"/>
  <c r="C65" i="1"/>
  <c r="D65" i="1"/>
  <c r="E65" i="1"/>
  <c r="F65" i="1"/>
  <c r="H65" i="1"/>
  <c r="B66" i="1"/>
  <c r="C66" i="1"/>
  <c r="D66" i="1"/>
  <c r="E66" i="1"/>
  <c r="F66" i="1"/>
  <c r="H66" i="1"/>
  <c r="B68" i="1"/>
  <c r="C68" i="1"/>
  <c r="D68" i="1"/>
  <c r="E68" i="1"/>
  <c r="F68" i="1"/>
  <c r="H68" i="1"/>
  <c r="B69" i="1"/>
  <c r="C69" i="1"/>
  <c r="D69" i="1"/>
  <c r="E69" i="1"/>
  <c r="F69" i="1"/>
  <c r="H69" i="1"/>
  <c r="B70" i="1"/>
  <c r="C70" i="1"/>
  <c r="D70" i="1"/>
  <c r="E70" i="1"/>
  <c r="F70" i="1"/>
  <c r="H70" i="1"/>
  <c r="B71" i="1"/>
  <c r="C71" i="1"/>
  <c r="D71" i="1"/>
  <c r="E71" i="1"/>
  <c r="F71" i="1"/>
  <c r="H71" i="1"/>
  <c r="B72" i="1"/>
  <c r="C72" i="1"/>
  <c r="D72" i="1"/>
  <c r="E72" i="1"/>
  <c r="F72" i="1"/>
  <c r="H72" i="1"/>
  <c r="B73" i="1"/>
  <c r="C73" i="1"/>
  <c r="D73" i="1"/>
  <c r="E73" i="1"/>
  <c r="F73" i="1"/>
  <c r="H73" i="1"/>
  <c r="B74" i="1"/>
  <c r="C74" i="1"/>
  <c r="D74" i="1"/>
  <c r="E74" i="1"/>
  <c r="F74" i="1"/>
  <c r="H74" i="1"/>
  <c r="B75" i="1"/>
  <c r="C75" i="1"/>
  <c r="D75" i="1"/>
  <c r="E75" i="1"/>
  <c r="F75" i="1"/>
  <c r="H75" i="1"/>
  <c r="B76" i="1"/>
  <c r="C76" i="1"/>
  <c r="D76" i="1"/>
  <c r="E76" i="1"/>
  <c r="F76" i="1"/>
  <c r="H76" i="1"/>
  <c r="B77" i="1"/>
  <c r="C77" i="1"/>
  <c r="D77" i="1"/>
  <c r="E77" i="1"/>
  <c r="F77" i="1"/>
  <c r="H77" i="1"/>
  <c r="B78" i="1"/>
  <c r="C78" i="1"/>
  <c r="D78" i="1"/>
  <c r="E78" i="1"/>
  <c r="F78" i="1"/>
  <c r="H78" i="1"/>
  <c r="B79" i="1"/>
  <c r="C79" i="1"/>
  <c r="D79" i="1"/>
  <c r="E79" i="1"/>
  <c r="F79" i="1"/>
  <c r="H79" i="1"/>
  <c r="B80" i="1"/>
  <c r="C80" i="1"/>
  <c r="D80" i="1"/>
  <c r="E80" i="1"/>
  <c r="F80" i="1"/>
  <c r="H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H87" i="1"/>
  <c r="B88" i="1"/>
  <c r="C88" i="1"/>
  <c r="D88" i="1"/>
  <c r="E88" i="1"/>
  <c r="F88" i="1"/>
  <c r="H88" i="1"/>
  <c r="B89" i="1"/>
  <c r="C89" i="1"/>
  <c r="D89" i="1"/>
  <c r="E89" i="1"/>
  <c r="F89" i="1"/>
  <c r="H89" i="1"/>
  <c r="B90" i="1"/>
  <c r="C90" i="1"/>
  <c r="D90" i="1"/>
  <c r="E90" i="1"/>
  <c r="F90" i="1"/>
  <c r="H90" i="1"/>
  <c r="B91" i="1"/>
  <c r="C91" i="1"/>
  <c r="D91" i="1"/>
  <c r="E91" i="1"/>
  <c r="F91" i="1"/>
  <c r="H91" i="1"/>
  <c r="B92" i="1"/>
  <c r="C92" i="1"/>
  <c r="D92" i="1"/>
  <c r="E92" i="1"/>
  <c r="F92" i="1"/>
  <c r="H92" i="1"/>
  <c r="B93" i="1"/>
  <c r="C93" i="1"/>
  <c r="D93" i="1"/>
  <c r="E93" i="1"/>
  <c r="F93" i="1"/>
  <c r="H93" i="1"/>
  <c r="B94" i="1"/>
  <c r="C94" i="1"/>
  <c r="D94" i="1"/>
  <c r="E94" i="1"/>
  <c r="F94" i="1"/>
  <c r="H94" i="1"/>
  <c r="B95" i="1"/>
  <c r="C95" i="1"/>
  <c r="D95" i="1"/>
  <c r="E95" i="1"/>
  <c r="F95" i="1"/>
  <c r="B96" i="1"/>
  <c r="C96" i="1"/>
  <c r="D96" i="1"/>
  <c r="E96" i="1"/>
  <c r="F96" i="1"/>
  <c r="H96" i="1"/>
  <c r="B97" i="1"/>
  <c r="C97" i="1"/>
  <c r="D97" i="1"/>
  <c r="E97" i="1"/>
  <c r="F97" i="1"/>
  <c r="H97" i="1"/>
  <c r="B98" i="1"/>
  <c r="C98" i="1"/>
  <c r="D98" i="1"/>
  <c r="E98" i="1"/>
  <c r="F98" i="1"/>
  <c r="H98" i="1"/>
  <c r="B99" i="1"/>
  <c r="C99" i="1"/>
  <c r="D99" i="1"/>
  <c r="E99" i="1"/>
  <c r="F99" i="1"/>
  <c r="H99" i="1"/>
  <c r="B100" i="1"/>
  <c r="C100" i="1"/>
  <c r="D100" i="1"/>
  <c r="E100" i="1"/>
  <c r="F100" i="1"/>
  <c r="H100" i="1"/>
  <c r="B101" i="1"/>
  <c r="C101" i="1"/>
  <c r="D101" i="1"/>
  <c r="E101" i="1"/>
  <c r="F101" i="1"/>
  <c r="H101" i="1"/>
  <c r="B102" i="1"/>
  <c r="C102" i="1"/>
  <c r="D102" i="1"/>
  <c r="E102" i="1"/>
  <c r="F102" i="1"/>
  <c r="H102" i="1"/>
  <c r="B103" i="1"/>
  <c r="C103" i="1"/>
  <c r="D103" i="1"/>
  <c r="E103" i="1"/>
  <c r="F103" i="1"/>
  <c r="H103" i="1"/>
  <c r="B104" i="1"/>
  <c r="C104" i="1"/>
  <c r="D104" i="1"/>
  <c r="E104" i="1"/>
  <c r="F104" i="1"/>
  <c r="H104" i="1"/>
  <c r="B105" i="1"/>
  <c r="C105" i="1"/>
  <c r="D105" i="1"/>
  <c r="E105" i="1"/>
  <c r="F105" i="1"/>
  <c r="H105" i="1"/>
  <c r="B106" i="1"/>
  <c r="C106" i="1"/>
  <c r="D106" i="1"/>
  <c r="E106" i="1"/>
  <c r="F106" i="1"/>
  <c r="H106" i="1"/>
  <c r="B107" i="1"/>
  <c r="C107" i="1"/>
  <c r="D107" i="1"/>
  <c r="E107" i="1"/>
  <c r="F107" i="1"/>
  <c r="H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D110" i="1"/>
  <c r="E110" i="1"/>
  <c r="F110" i="1"/>
  <c r="B111" i="1"/>
  <c r="C111" i="1"/>
  <c r="D111" i="1"/>
  <c r="E111" i="1"/>
  <c r="F111" i="1"/>
  <c r="B112" i="1"/>
  <c r="C112" i="1"/>
  <c r="D112" i="1"/>
  <c r="E112" i="1"/>
  <c r="F112" i="1"/>
  <c r="H112" i="1"/>
  <c r="B113" i="1"/>
  <c r="C113" i="1"/>
  <c r="D113" i="1"/>
  <c r="E113" i="1"/>
  <c r="B114" i="1"/>
  <c r="C114" i="1"/>
  <c r="D114" i="1"/>
  <c r="E114" i="1"/>
  <c r="F114" i="1"/>
  <c r="H114" i="1"/>
  <c r="B117" i="1"/>
  <c r="C117" i="1"/>
  <c r="D117" i="1"/>
  <c r="E117" i="1"/>
  <c r="F117" i="1"/>
  <c r="H117" i="1"/>
  <c r="B118" i="1"/>
  <c r="C118" i="1"/>
  <c r="D118" i="1"/>
  <c r="E118" i="1"/>
  <c r="F118" i="1"/>
  <c r="H118" i="1"/>
  <c r="B119" i="1"/>
  <c r="C119" i="1"/>
  <c r="D119" i="1"/>
  <c r="E119" i="1"/>
  <c r="F119" i="1"/>
  <c r="H119" i="1"/>
  <c r="B120" i="1"/>
  <c r="C120" i="1"/>
  <c r="D120" i="1"/>
  <c r="E120" i="1"/>
  <c r="F120" i="1"/>
  <c r="H120" i="1"/>
  <c r="B121" i="1"/>
  <c r="C121" i="1"/>
  <c r="D121" i="1"/>
  <c r="E121" i="1"/>
  <c r="F121" i="1"/>
  <c r="H121" i="1"/>
  <c r="B122" i="1"/>
  <c r="C122" i="1"/>
  <c r="D122" i="1"/>
  <c r="E122" i="1"/>
  <c r="F122" i="1"/>
  <c r="H122" i="1"/>
  <c r="B123" i="1"/>
  <c r="C123" i="1"/>
  <c r="D123" i="1"/>
  <c r="E123" i="1"/>
  <c r="F123" i="1"/>
  <c r="H123" i="1"/>
  <c r="B124" i="1"/>
  <c r="C124" i="1"/>
  <c r="D124" i="1"/>
  <c r="E124" i="1"/>
  <c r="F124" i="1"/>
  <c r="H124" i="1"/>
  <c r="B125" i="1"/>
  <c r="C125" i="1"/>
  <c r="D125" i="1"/>
  <c r="E125" i="1"/>
  <c r="F125" i="1"/>
  <c r="H125" i="1"/>
  <c r="B126" i="1"/>
  <c r="C126" i="1"/>
  <c r="D126" i="1"/>
  <c r="E126" i="1"/>
  <c r="F126" i="1"/>
  <c r="H126" i="1"/>
  <c r="B127" i="1"/>
  <c r="C127" i="1"/>
  <c r="D127" i="1"/>
  <c r="E127" i="1"/>
  <c r="F127" i="1"/>
  <c r="H127" i="1"/>
  <c r="B128" i="1"/>
  <c r="C128" i="1"/>
  <c r="D128" i="1"/>
  <c r="E128" i="1"/>
  <c r="F128" i="1"/>
  <c r="H128" i="1"/>
  <c r="B129" i="1"/>
  <c r="C129" i="1"/>
  <c r="D129" i="1"/>
  <c r="E129" i="1"/>
  <c r="F129" i="1"/>
  <c r="H129" i="1"/>
  <c r="B130" i="1"/>
  <c r="C130" i="1"/>
  <c r="D130" i="1"/>
  <c r="E130" i="1"/>
  <c r="F130" i="1"/>
  <c r="H130" i="1"/>
  <c r="B131" i="1"/>
  <c r="C131" i="1"/>
  <c r="D131" i="1"/>
  <c r="E131" i="1"/>
  <c r="F131" i="1"/>
  <c r="H131" i="1"/>
  <c r="B132" i="1"/>
  <c r="C132" i="1"/>
  <c r="D132" i="1"/>
  <c r="E132" i="1"/>
  <c r="F132" i="1"/>
  <c r="H132" i="1"/>
  <c r="B133" i="1"/>
  <c r="C133" i="1"/>
  <c r="D133" i="1"/>
  <c r="E133" i="1"/>
  <c r="F133" i="1"/>
  <c r="H133" i="1"/>
  <c r="B134" i="1"/>
  <c r="C134" i="1"/>
  <c r="D134" i="1"/>
  <c r="E134" i="1"/>
  <c r="F134" i="1"/>
  <c r="H134" i="1"/>
  <c r="B135" i="1"/>
  <c r="C135" i="1"/>
  <c r="D135" i="1"/>
  <c r="E135" i="1"/>
  <c r="F135" i="1"/>
  <c r="H135" i="1"/>
  <c r="B136" i="1"/>
  <c r="C136" i="1"/>
  <c r="D136" i="1"/>
  <c r="E136" i="1"/>
  <c r="F136" i="1"/>
  <c r="H136" i="1"/>
  <c r="B137" i="1"/>
  <c r="C137" i="1"/>
  <c r="D137" i="1"/>
  <c r="E137" i="1"/>
  <c r="F137" i="1"/>
  <c r="B138" i="1"/>
  <c r="C138" i="1"/>
  <c r="D138" i="1"/>
  <c r="E138" i="1"/>
  <c r="F138" i="1"/>
  <c r="H138" i="1"/>
  <c r="B139" i="1"/>
  <c r="C139" i="1"/>
  <c r="D139" i="1"/>
  <c r="E139" i="1"/>
  <c r="H139" i="1"/>
  <c r="B140" i="1"/>
  <c r="C140" i="1"/>
  <c r="D140" i="1"/>
  <c r="E140" i="1"/>
  <c r="H140" i="1"/>
  <c r="B141" i="1"/>
  <c r="C141" i="1"/>
  <c r="D141" i="1"/>
  <c r="E141" i="1"/>
  <c r="H141" i="1"/>
  <c r="B142" i="1"/>
  <c r="C142" i="1"/>
  <c r="D142" i="1"/>
  <c r="E142" i="1"/>
  <c r="H142" i="1"/>
  <c r="B143" i="1"/>
  <c r="C143" i="1"/>
  <c r="D143" i="1"/>
  <c r="E143" i="1"/>
  <c r="H143" i="1"/>
  <c r="B144" i="1"/>
  <c r="C144" i="1"/>
  <c r="D144" i="1"/>
  <c r="E144" i="1"/>
  <c r="H144" i="1"/>
  <c r="V106" i="2"/>
  <c r="H108" i="1" s="1"/>
  <c r="V107" i="2"/>
  <c r="H109" i="1" s="1"/>
  <c r="V108" i="2"/>
  <c r="H110" i="1" s="1"/>
  <c r="V109" i="2"/>
  <c r="H111" i="1" s="1"/>
  <c r="I7" i="1" l="1"/>
  <c r="G7" i="3"/>
  <c r="G13" i="3"/>
  <c r="C60" i="3"/>
  <c r="D88" i="3"/>
  <c r="D60" i="3"/>
  <c r="C13" i="3"/>
  <c r="F85" i="3"/>
  <c r="E66" i="3"/>
  <c r="G88" i="3"/>
  <c r="D67" i="3"/>
  <c r="D65" i="3"/>
  <c r="G60" i="3"/>
  <c r="C6" i="3"/>
  <c r="C24" i="3"/>
  <c r="C41" i="3"/>
  <c r="G82" i="3"/>
  <c r="G108" i="3"/>
  <c r="G56" i="3"/>
  <c r="G27" i="3"/>
  <c r="D24" i="3"/>
  <c r="G10" i="3"/>
  <c r="C14" i="3"/>
  <c r="E57" i="3"/>
  <c r="D27" i="3"/>
  <c r="E34" i="3"/>
  <c r="C25" i="3"/>
  <c r="C93" i="3"/>
  <c r="F104" i="3"/>
  <c r="E89" i="3"/>
  <c r="C87" i="3"/>
  <c r="C63" i="3"/>
  <c r="D98" i="3"/>
  <c r="D76" i="3"/>
  <c r="D10" i="3"/>
  <c r="E77" i="3"/>
  <c r="C108" i="3"/>
  <c r="C106" i="3"/>
  <c r="C80" i="3"/>
  <c r="C66" i="3"/>
  <c r="E80" i="3"/>
  <c r="F78" i="3"/>
  <c r="G87" i="3"/>
  <c r="C51" i="3"/>
  <c r="E53" i="3"/>
  <c r="D50" i="3"/>
  <c r="E102" i="3"/>
  <c r="D66" i="3"/>
  <c r="E20" i="3"/>
  <c r="F88" i="3"/>
  <c r="C78" i="3"/>
  <c r="D101" i="3"/>
  <c r="C82" i="3"/>
  <c r="G55" i="3"/>
  <c r="G105" i="3"/>
  <c r="H105" i="3" s="1"/>
  <c r="E43" i="3"/>
  <c r="C90" i="3"/>
  <c r="D20" i="3"/>
  <c r="C27" i="3"/>
  <c r="G63" i="3"/>
  <c r="E12" i="3"/>
  <c r="C31" i="3"/>
  <c r="E85" i="3"/>
  <c r="F97" i="3"/>
  <c r="D17" i="3"/>
  <c r="G62" i="3"/>
  <c r="D63" i="3"/>
  <c r="E92" i="3"/>
  <c r="D26" i="3"/>
  <c r="F95" i="3"/>
  <c r="D6" i="3"/>
  <c r="D52" i="3"/>
  <c r="F6" i="3"/>
  <c r="F60" i="3"/>
  <c r="G98" i="3"/>
  <c r="H98" i="3" s="1"/>
  <c r="D110" i="3"/>
  <c r="D93" i="3"/>
  <c r="E105" i="3"/>
  <c r="E46" i="3"/>
  <c r="C11" i="3"/>
  <c r="G76" i="3"/>
  <c r="E11" i="3"/>
  <c r="G42" i="3"/>
  <c r="G102" i="3"/>
  <c r="C89" i="3"/>
  <c r="G48" i="3"/>
  <c r="G106" i="3"/>
  <c r="H106" i="3" s="1"/>
  <c r="I106" i="3" s="1"/>
  <c r="D99" i="3"/>
  <c r="D78" i="3"/>
  <c r="C96" i="3"/>
  <c r="E51" i="3"/>
  <c r="E88" i="3"/>
  <c r="C44" i="3"/>
  <c r="C105" i="3"/>
  <c r="D77" i="3"/>
  <c r="C61" i="3"/>
  <c r="D29" i="3"/>
  <c r="C32" i="3"/>
  <c r="F79" i="3"/>
  <c r="C64" i="3"/>
  <c r="D11" i="3"/>
  <c r="F82" i="3"/>
  <c r="D33" i="3"/>
  <c r="F67" i="3"/>
  <c r="C95" i="3"/>
  <c r="G49" i="3"/>
  <c r="G68" i="3"/>
  <c r="G16" i="3"/>
  <c r="G33" i="3"/>
  <c r="E63" i="3"/>
  <c r="E100" i="3"/>
  <c r="G104" i="3"/>
  <c r="D81" i="3"/>
  <c r="D28" i="3"/>
  <c r="C53" i="3"/>
  <c r="E95" i="3"/>
  <c r="E76" i="3"/>
  <c r="E107" i="3"/>
  <c r="C102" i="3"/>
  <c r="E109" i="3"/>
  <c r="D45" i="3"/>
  <c r="F102" i="3"/>
  <c r="G40" i="3"/>
  <c r="G57" i="3"/>
  <c r="G110" i="3"/>
  <c r="G54" i="3"/>
  <c r="D94" i="3"/>
  <c r="D32" i="3"/>
  <c r="F53" i="3"/>
  <c r="G29" i="3"/>
  <c r="E67" i="3"/>
  <c r="E69" i="3"/>
  <c r="G101" i="3"/>
  <c r="E61" i="3"/>
  <c r="F57" i="3"/>
  <c r="C98" i="3"/>
  <c r="E110" i="3"/>
  <c r="C34" i="3"/>
  <c r="E98" i="3"/>
  <c r="C77" i="3"/>
  <c r="F51" i="3"/>
  <c r="E84" i="3"/>
  <c r="F48" i="3"/>
  <c r="G59" i="3"/>
  <c r="E91" i="3"/>
  <c r="G94" i="3"/>
  <c r="D61" i="3"/>
  <c r="D84" i="3"/>
  <c r="F75" i="3"/>
  <c r="D106" i="3"/>
  <c r="E41" i="3"/>
  <c r="D85" i="3"/>
  <c r="F86" i="3"/>
  <c r="G12" i="3"/>
  <c r="G53" i="3"/>
  <c r="E29" i="3"/>
  <c r="C18" i="3"/>
  <c r="F92" i="3"/>
  <c r="C45" i="3"/>
  <c r="F93" i="3"/>
  <c r="D13" i="3"/>
  <c r="E31" i="3"/>
  <c r="E44" i="3"/>
  <c r="D48" i="3"/>
  <c r="C67" i="3"/>
  <c r="E19" i="3"/>
  <c r="F54" i="3"/>
  <c r="F110" i="3"/>
  <c r="E45" i="3"/>
  <c r="C94" i="3"/>
  <c r="G11" i="3"/>
  <c r="E97" i="3"/>
  <c r="C50" i="3"/>
  <c r="G103" i="3"/>
  <c r="D96" i="3"/>
  <c r="C55" i="3"/>
  <c r="F94" i="3"/>
  <c r="E108" i="3"/>
  <c r="E18" i="3"/>
  <c r="C101" i="3"/>
  <c r="F56" i="3"/>
  <c r="C26" i="3"/>
  <c r="G22" i="3"/>
  <c r="C42" i="3"/>
  <c r="C57" i="3"/>
  <c r="E58" i="3"/>
  <c r="E48" i="3"/>
  <c r="C68" i="3"/>
  <c r="C88" i="3"/>
  <c r="G43" i="3"/>
  <c r="F109" i="3"/>
  <c r="D7" i="3"/>
  <c r="D18" i="3"/>
  <c r="E13" i="3"/>
  <c r="E8" i="3"/>
  <c r="D80" i="3"/>
  <c r="E83" i="3"/>
  <c r="F69" i="3"/>
  <c r="G30" i="3"/>
  <c r="D54" i="3"/>
  <c r="D68" i="3"/>
  <c r="D42" i="3"/>
  <c r="G23" i="3"/>
  <c r="G64" i="3"/>
  <c r="C97" i="3"/>
  <c r="E56" i="3"/>
  <c r="G92" i="3"/>
  <c r="F76" i="3"/>
  <c r="F77" i="3"/>
  <c r="F44" i="3"/>
  <c r="C12" i="3"/>
  <c r="E54" i="3"/>
  <c r="D9" i="3"/>
  <c r="C86" i="3"/>
  <c r="E106" i="3"/>
  <c r="E86" i="3"/>
  <c r="E75" i="3"/>
  <c r="D102" i="3"/>
  <c r="F81" i="3"/>
  <c r="E104" i="3"/>
  <c r="E59" i="3"/>
  <c r="G67" i="3"/>
  <c r="G81" i="3"/>
  <c r="D31" i="3"/>
  <c r="G96" i="3"/>
  <c r="F65" i="3"/>
  <c r="D30" i="3"/>
  <c r="E65" i="3"/>
  <c r="C20" i="3"/>
  <c r="E52" i="3"/>
  <c r="F59" i="3"/>
  <c r="G19" i="3"/>
  <c r="D107" i="3"/>
  <c r="C62" i="3"/>
  <c r="C8" i="3"/>
  <c r="E82" i="3"/>
  <c r="D90" i="3"/>
  <c r="F107" i="3"/>
  <c r="D12" i="3"/>
  <c r="E16" i="3"/>
  <c r="D59" i="3"/>
  <c r="D16" i="3"/>
  <c r="C100" i="3"/>
  <c r="C83" i="3"/>
  <c r="C99" i="3"/>
  <c r="F66" i="3"/>
  <c r="E24" i="3"/>
  <c r="G100" i="3"/>
  <c r="C92" i="3"/>
  <c r="C65" i="3"/>
  <c r="E30" i="3"/>
  <c r="C85" i="3"/>
  <c r="G69" i="3"/>
  <c r="D55" i="3"/>
  <c r="D103" i="3"/>
  <c r="C43" i="3"/>
  <c r="F61" i="3"/>
  <c r="C107" i="3"/>
  <c r="G58" i="3"/>
  <c r="C47" i="3"/>
  <c r="F52" i="3"/>
  <c r="D64" i="3"/>
  <c r="E96" i="3"/>
  <c r="D108" i="3"/>
  <c r="G20" i="3"/>
  <c r="E68" i="3"/>
  <c r="E14" i="3"/>
  <c r="E10" i="3"/>
  <c r="C56" i="3"/>
  <c r="E32" i="3"/>
  <c r="D100" i="3"/>
  <c r="F101" i="3"/>
  <c r="C103" i="3"/>
  <c r="G65" i="3"/>
  <c r="G41" i="3"/>
  <c r="C10" i="3"/>
  <c r="F47" i="3"/>
  <c r="E42" i="3"/>
  <c r="C30" i="3"/>
  <c r="D19" i="3"/>
  <c r="G8" i="3"/>
  <c r="D23" i="3"/>
  <c r="F46" i="3"/>
  <c r="E50" i="3"/>
  <c r="E17" i="3"/>
  <c r="D91" i="3"/>
  <c r="G93" i="3"/>
  <c r="E99" i="3"/>
  <c r="C19" i="3"/>
  <c r="D21" i="3"/>
  <c r="D44" i="3"/>
  <c r="F84" i="3"/>
  <c r="F96" i="3"/>
  <c r="G14" i="3"/>
  <c r="F62" i="3"/>
  <c r="D51" i="3"/>
  <c r="G78" i="3"/>
  <c r="H78" i="3" s="1"/>
  <c r="D69" i="3"/>
  <c r="C21" i="3"/>
  <c r="D62" i="3"/>
  <c r="E40" i="3"/>
  <c r="F58" i="3"/>
  <c r="D83" i="3"/>
  <c r="G90" i="3"/>
  <c r="F108" i="3"/>
  <c r="F100" i="3"/>
  <c r="E90" i="3"/>
  <c r="C23" i="3"/>
  <c r="G9" i="3"/>
  <c r="G25" i="3"/>
  <c r="C9" i="3"/>
  <c r="C59" i="3"/>
  <c r="G46" i="3"/>
  <c r="D75" i="3"/>
  <c r="D87" i="3"/>
  <c r="D22" i="3"/>
  <c r="G91" i="3"/>
  <c r="G85" i="3"/>
  <c r="G50" i="3"/>
  <c r="E94" i="3"/>
  <c r="F49" i="3"/>
  <c r="E27" i="3"/>
  <c r="G24" i="3"/>
  <c r="D41" i="3"/>
  <c r="D14" i="3"/>
  <c r="D40" i="3"/>
  <c r="D34" i="3"/>
  <c r="D82" i="3"/>
  <c r="D92" i="3"/>
  <c r="E60" i="3"/>
  <c r="D79" i="3"/>
  <c r="D97" i="3"/>
  <c r="G66" i="3"/>
  <c r="D25" i="3"/>
  <c r="C109" i="3"/>
  <c r="C58" i="3"/>
  <c r="G107" i="3"/>
  <c r="F89" i="3"/>
  <c r="G15" i="3"/>
  <c r="D95" i="3"/>
  <c r="D47" i="3"/>
  <c r="C52" i="3"/>
  <c r="C46" i="3"/>
  <c r="E33" i="3"/>
  <c r="F103" i="3"/>
  <c r="G75" i="3"/>
  <c r="G47" i="3"/>
  <c r="C75" i="3"/>
  <c r="E87" i="3"/>
  <c r="G61" i="3"/>
  <c r="F55" i="3"/>
  <c r="G109" i="3"/>
  <c r="E81" i="3"/>
  <c r="F50" i="3"/>
  <c r="F63" i="3"/>
  <c r="E6" i="3"/>
  <c r="D56" i="3"/>
  <c r="E62" i="3"/>
  <c r="G89" i="3"/>
  <c r="H89" i="3" s="1"/>
  <c r="I89" i="3" s="1"/>
  <c r="F41" i="3"/>
  <c r="G18" i="3"/>
  <c r="D49" i="3"/>
  <c r="D46" i="3"/>
  <c r="G77" i="3"/>
  <c r="E15" i="3"/>
  <c r="G99" i="3"/>
  <c r="C76" i="3"/>
  <c r="E103" i="3"/>
  <c r="G84" i="3"/>
  <c r="C17" i="3"/>
  <c r="F106" i="3"/>
  <c r="E93" i="3"/>
  <c r="C104" i="3"/>
  <c r="C79" i="3"/>
  <c r="E47" i="3"/>
  <c r="F42" i="3"/>
  <c r="C110" i="3"/>
  <c r="D86" i="3"/>
  <c r="C69" i="3"/>
  <c r="D104" i="3"/>
  <c r="G79" i="3"/>
  <c r="G86" i="3"/>
  <c r="E49" i="3"/>
  <c r="F45" i="3"/>
  <c r="G45" i="3"/>
  <c r="G34" i="3"/>
  <c r="G31" i="3"/>
  <c r="F83" i="3"/>
  <c r="D8" i="3"/>
  <c r="F68" i="3"/>
  <c r="F105" i="3"/>
  <c r="E79" i="3"/>
  <c r="F91" i="3"/>
  <c r="C28" i="3"/>
  <c r="C7" i="3"/>
  <c r="G6" i="3"/>
  <c r="E25" i="3"/>
  <c r="E22" i="3"/>
  <c r="D43" i="3"/>
  <c r="E64" i="3"/>
  <c r="G52" i="3"/>
  <c r="F90" i="3"/>
  <c r="F99" i="3"/>
  <c r="F87" i="3"/>
  <c r="E28" i="3"/>
  <c r="E9" i="3"/>
  <c r="C22" i="3"/>
  <c r="C16" i="3"/>
  <c r="C54" i="3"/>
  <c r="G28" i="3"/>
  <c r="D58" i="3"/>
  <c r="F43" i="3"/>
  <c r="D109" i="3"/>
  <c r="C49" i="3"/>
  <c r="E26" i="3"/>
  <c r="C81" i="3"/>
  <c r="E23" i="3"/>
  <c r="C29" i="3"/>
  <c r="E21" i="3"/>
  <c r="G26" i="3"/>
  <c r="F64" i="3"/>
  <c r="G95" i="3"/>
  <c r="C33" i="3"/>
  <c r="F98" i="3"/>
  <c r="G44" i="3"/>
  <c r="E78" i="3"/>
  <c r="D15" i="3"/>
  <c r="C91" i="3"/>
  <c r="F80" i="3"/>
  <c r="E101" i="3"/>
  <c r="E55" i="3"/>
  <c r="D105" i="3"/>
  <c r="D57" i="3"/>
  <c r="G21" i="3"/>
  <c r="G97" i="3"/>
  <c r="C48" i="3"/>
  <c r="G32" i="3"/>
  <c r="G83" i="3"/>
  <c r="D53" i="3"/>
  <c r="C84" i="3"/>
  <c r="D89" i="3"/>
  <c r="G51" i="3"/>
  <c r="G17" i="3"/>
  <c r="G80" i="3"/>
  <c r="C40" i="3"/>
  <c r="C15" i="3"/>
  <c r="F40" i="3"/>
  <c r="G7" i="1"/>
  <c r="E7" i="3"/>
  <c r="I39" i="1"/>
  <c r="I23" i="1"/>
  <c r="I21" i="1"/>
  <c r="I13" i="1"/>
  <c r="G106" i="1"/>
  <c r="G122" i="1"/>
  <c r="I122" i="1"/>
  <c r="J122" i="1" s="1"/>
  <c r="I90" i="1"/>
  <c r="I74" i="1"/>
  <c r="J74" i="1" s="1"/>
  <c r="I57" i="1"/>
  <c r="I41" i="1"/>
  <c r="I138" i="1"/>
  <c r="I131" i="1"/>
  <c r="I99" i="1"/>
  <c r="I83" i="1"/>
  <c r="I66" i="1"/>
  <c r="G124" i="1"/>
  <c r="I111" i="1"/>
  <c r="J111" i="1" s="1"/>
  <c r="I133" i="1"/>
  <c r="I113" i="1"/>
  <c r="I124" i="1"/>
  <c r="I140" i="1"/>
  <c r="I81" i="1"/>
  <c r="I64" i="1"/>
  <c r="I48" i="1"/>
  <c r="I31" i="1"/>
  <c r="G92" i="1"/>
  <c r="G50" i="1"/>
  <c r="I92" i="1"/>
  <c r="J92" i="1" s="1"/>
  <c r="I50" i="1"/>
  <c r="J50" i="1" s="1"/>
  <c r="I126" i="1"/>
  <c r="I101" i="1"/>
  <c r="I76" i="1"/>
  <c r="I59" i="1"/>
  <c r="I33" i="1"/>
  <c r="I142" i="1"/>
  <c r="I135" i="1"/>
  <c r="J135" i="1" s="1"/>
  <c r="I117" i="1"/>
  <c r="J117" i="1" s="1"/>
  <c r="I94" i="1"/>
  <c r="I85" i="1"/>
  <c r="I69" i="1"/>
  <c r="J69" i="1" s="1"/>
  <c r="I52" i="1"/>
  <c r="I43" i="1"/>
  <c r="J43" i="1" s="1"/>
  <c r="I25" i="1"/>
  <c r="J25" i="1" s="1"/>
  <c r="I65" i="1"/>
  <c r="J65" i="1" s="1"/>
  <c r="I40" i="1"/>
  <c r="I22" i="1"/>
  <c r="G71" i="1"/>
  <c r="G12" i="1"/>
  <c r="G9" i="1"/>
  <c r="I110" i="1"/>
  <c r="I128" i="1"/>
  <c r="I103" i="1"/>
  <c r="I78" i="1"/>
  <c r="J78" i="1" s="1"/>
  <c r="I141" i="1"/>
  <c r="I134" i="1"/>
  <c r="I114" i="1"/>
  <c r="I68" i="1"/>
  <c r="I51" i="1"/>
  <c r="I42" i="1"/>
  <c r="I24" i="1"/>
  <c r="J24" i="1" s="1"/>
  <c r="I127" i="1"/>
  <c r="I102" i="1"/>
  <c r="I77" i="1"/>
  <c r="J77" i="1" s="1"/>
  <c r="I60" i="1"/>
  <c r="I34" i="1"/>
  <c r="I16" i="1"/>
  <c r="G78" i="1"/>
  <c r="F23" i="3" s="1"/>
  <c r="I87" i="1"/>
  <c r="G69" i="1"/>
  <c r="I137" i="1"/>
  <c r="I130" i="1"/>
  <c r="I105" i="1"/>
  <c r="I56" i="1"/>
  <c r="I47" i="1"/>
  <c r="G36" i="1"/>
  <c r="I30" i="1"/>
  <c r="G80" i="1"/>
  <c r="I75" i="1"/>
  <c r="I58" i="1"/>
  <c r="I49" i="1"/>
  <c r="I32" i="1"/>
  <c r="I14" i="1"/>
  <c r="I70" i="1"/>
  <c r="I53" i="1"/>
  <c r="I44" i="1"/>
  <c r="I26" i="1"/>
  <c r="J26" i="1" s="1"/>
  <c r="I9" i="1"/>
  <c r="J9" i="1" s="1"/>
  <c r="I79" i="1"/>
  <c r="J79" i="1" s="1"/>
  <c r="I62" i="1"/>
  <c r="I37" i="1"/>
  <c r="I19" i="1"/>
  <c r="I88" i="1"/>
  <c r="I72" i="1"/>
  <c r="I55" i="1"/>
  <c r="I46" i="1"/>
  <c r="I29" i="1"/>
  <c r="J29" i="1" s="1"/>
  <c r="I11" i="1"/>
  <c r="J11" i="1" s="1"/>
  <c r="G84" i="1"/>
  <c r="I109" i="1"/>
  <c r="G95" i="1"/>
  <c r="I144" i="1"/>
  <c r="J144" i="1" s="1"/>
  <c r="I119" i="1"/>
  <c r="I96" i="1"/>
  <c r="I15" i="1"/>
  <c r="I121" i="1"/>
  <c r="I107" i="1"/>
  <c r="I98" i="1"/>
  <c r="J98" i="1" s="1"/>
  <c r="I89" i="1"/>
  <c r="I112" i="1"/>
  <c r="J112" i="1" s="1"/>
  <c r="G82" i="1"/>
  <c r="G93" i="1"/>
  <c r="I139" i="1"/>
  <c r="I132" i="1"/>
  <c r="I123" i="1"/>
  <c r="I125" i="1"/>
  <c r="I100" i="1"/>
  <c r="J100" i="1" s="1"/>
  <c r="I91" i="1"/>
  <c r="G108" i="1"/>
  <c r="G144" i="1"/>
  <c r="I80" i="1"/>
  <c r="J80" i="1" s="1"/>
  <c r="I143" i="1"/>
  <c r="I136" i="1"/>
  <c r="I118" i="1"/>
  <c r="I95" i="1"/>
  <c r="J95" i="1" s="1"/>
  <c r="I84" i="1"/>
  <c r="J84" i="1" s="1"/>
  <c r="I61" i="1"/>
  <c r="I36" i="1"/>
  <c r="J36" i="1" s="1"/>
  <c r="I17" i="1"/>
  <c r="G47" i="1"/>
  <c r="I82" i="1"/>
  <c r="J82" i="1" s="1"/>
  <c r="I129" i="1"/>
  <c r="I104" i="1"/>
  <c r="I73" i="1"/>
  <c r="I54" i="1"/>
  <c r="I45" i="1"/>
  <c r="I27" i="1"/>
  <c r="J27" i="1" s="1"/>
  <c r="I10" i="1"/>
  <c r="G27" i="1"/>
  <c r="G65" i="1"/>
  <c r="I108" i="1"/>
  <c r="J108" i="1" s="1"/>
  <c r="G135" i="1"/>
  <c r="I93" i="1"/>
  <c r="J93" i="1" s="1"/>
  <c r="I71" i="1"/>
  <c r="J71" i="1" s="1"/>
  <c r="I120" i="1"/>
  <c r="I106" i="1"/>
  <c r="J106" i="1" s="1"/>
  <c r="I97" i="1"/>
  <c r="I86" i="1"/>
  <c r="I63" i="1"/>
  <c r="G43" i="1"/>
  <c r="I38" i="1"/>
  <c r="I20" i="1"/>
  <c r="I12" i="1"/>
  <c r="J12" i="1" s="1"/>
  <c r="G72" i="1"/>
  <c r="G121" i="1"/>
  <c r="G98" i="1"/>
  <c r="G90" i="1"/>
  <c r="G118" i="1"/>
  <c r="G79" i="1"/>
  <c r="G44" i="1"/>
  <c r="G111" i="1"/>
  <c r="G57" i="1"/>
  <c r="G26" i="1"/>
  <c r="G73" i="1"/>
  <c r="G59" i="1"/>
  <c r="G130" i="1"/>
  <c r="G119" i="1"/>
  <c r="G88" i="1"/>
  <c r="G61" i="1"/>
  <c r="G20" i="1"/>
  <c r="G34" i="1"/>
  <c r="G94" i="1"/>
  <c r="G74" i="1"/>
  <c r="G42" i="1"/>
  <c r="G32" i="1"/>
  <c r="G140" i="1"/>
  <c r="G14" i="1"/>
  <c r="G126" i="1"/>
  <c r="G128" i="1"/>
  <c r="G132" i="1"/>
  <c r="G143" i="1"/>
  <c r="G127" i="1"/>
  <c r="G96" i="1"/>
  <c r="G17" i="1"/>
  <c r="F10" i="3" s="1"/>
  <c r="G100" i="1"/>
  <c r="G29" i="1"/>
  <c r="G138" i="1"/>
  <c r="G104" i="1"/>
  <c r="G70" i="1"/>
  <c r="G52" i="1"/>
  <c r="G41" i="1"/>
  <c r="G16" i="1"/>
  <c r="G142" i="1"/>
  <c r="G102" i="1"/>
  <c r="G87" i="1"/>
  <c r="G60" i="1"/>
  <c r="G54" i="1"/>
  <c r="G21" i="1"/>
  <c r="G19" i="1"/>
  <c r="G46" i="1"/>
  <c r="G85" i="1"/>
  <c r="G10" i="1"/>
  <c r="G23" i="1"/>
  <c r="G112" i="1"/>
  <c r="G49" i="1"/>
  <c r="G114" i="1"/>
  <c r="G51" i="1"/>
  <c r="G40" i="1"/>
  <c r="F16" i="3" s="1"/>
  <c r="G15" i="1"/>
  <c r="G11" i="1"/>
  <c r="G39" i="1"/>
  <c r="G68" i="1"/>
  <c r="G62" i="1"/>
  <c r="G120" i="1"/>
  <c r="G137" i="1"/>
  <c r="G101" i="1"/>
  <c r="G86" i="1"/>
  <c r="G55" i="1"/>
  <c r="G30" i="1"/>
  <c r="G63" i="1"/>
  <c r="G129" i="1"/>
  <c r="G110" i="1"/>
  <c r="G45" i="1"/>
  <c r="G33" i="1"/>
  <c r="G76" i="1"/>
  <c r="G25" i="1"/>
  <c r="G109" i="1"/>
  <c r="G103" i="1"/>
  <c r="G53" i="1"/>
  <c r="G37" i="1"/>
  <c r="G113" i="1"/>
  <c r="G75" i="1"/>
  <c r="G81" i="1"/>
  <c r="G77" i="1"/>
  <c r="G24" i="1"/>
  <c r="G136" i="1"/>
  <c r="G134" i="1"/>
  <c r="G97" i="1"/>
  <c r="G22" i="1"/>
  <c r="G91" i="1"/>
  <c r="G139" i="1"/>
  <c r="G117" i="1"/>
  <c r="G64" i="1"/>
  <c r="J15" i="1"/>
  <c r="G141" i="1"/>
  <c r="G66" i="1"/>
  <c r="G48" i="1"/>
  <c r="G89" i="1"/>
  <c r="J7" i="1"/>
  <c r="G31" i="1"/>
  <c r="G123" i="1"/>
  <c r="G83" i="1"/>
  <c r="G133" i="1"/>
  <c r="G107" i="1"/>
  <c r="G58" i="1"/>
  <c r="G13" i="1"/>
  <c r="G131" i="1"/>
  <c r="G105" i="1"/>
  <c r="G56" i="1"/>
  <c r="G38" i="1"/>
  <c r="G125" i="1"/>
  <c r="G99" i="1"/>
  <c r="F12" i="3" l="1"/>
  <c r="H88" i="3"/>
  <c r="H97" i="3"/>
  <c r="H85" i="3"/>
  <c r="F31" i="3"/>
  <c r="F20" i="3"/>
  <c r="F15" i="3"/>
  <c r="F11" i="3"/>
  <c r="H80" i="3"/>
  <c r="H96" i="3"/>
  <c r="F27" i="3"/>
  <c r="F25" i="3"/>
  <c r="H108" i="3"/>
  <c r="I108" i="3" s="1"/>
  <c r="F34" i="3"/>
  <c r="F29" i="3"/>
  <c r="H56" i="3"/>
  <c r="I56" i="3" s="1"/>
  <c r="F8" i="3"/>
  <c r="F9" i="3"/>
  <c r="F17" i="3"/>
  <c r="F24" i="3"/>
  <c r="F19" i="3"/>
  <c r="F33" i="3"/>
  <c r="F21" i="3"/>
  <c r="F30" i="3"/>
  <c r="F14" i="3"/>
  <c r="F13" i="3"/>
  <c r="F22" i="3"/>
  <c r="H90" i="3"/>
  <c r="I90" i="3" s="1"/>
  <c r="H93" i="3"/>
  <c r="I93" i="3" s="1"/>
  <c r="F26" i="3"/>
  <c r="H92" i="3"/>
  <c r="I92" i="3" s="1"/>
  <c r="F18" i="3"/>
  <c r="H82" i="3"/>
  <c r="I82" i="3" s="1"/>
  <c r="F32" i="3"/>
  <c r="F28" i="3"/>
  <c r="H110" i="3"/>
  <c r="I110" i="3" s="1"/>
  <c r="H95" i="3"/>
  <c r="I95" i="3" s="1"/>
  <c r="H77" i="3"/>
  <c r="I77" i="3" s="1"/>
  <c r="D70" i="3"/>
  <c r="D71" i="3" s="1"/>
  <c r="I80" i="3"/>
  <c r="E35" i="3"/>
  <c r="H94" i="3"/>
  <c r="I94" i="3" s="1"/>
  <c r="H102" i="3"/>
  <c r="I102" i="3" s="1"/>
  <c r="I88" i="3"/>
  <c r="J39" i="1"/>
  <c r="H84" i="3"/>
  <c r="I84" i="3" s="1"/>
  <c r="H100" i="3"/>
  <c r="I100" i="3" s="1"/>
  <c r="I78" i="3"/>
  <c r="H75" i="3"/>
  <c r="H81" i="3"/>
  <c r="I81" i="3" s="1"/>
  <c r="H101" i="3"/>
  <c r="I101" i="3" s="1"/>
  <c r="E113" i="3"/>
  <c r="H103" i="3"/>
  <c r="I103" i="3" s="1"/>
  <c r="H104" i="3"/>
  <c r="I104" i="3" s="1"/>
  <c r="H76" i="3"/>
  <c r="I76" i="3" s="1"/>
  <c r="I85" i="3"/>
  <c r="I79" i="3"/>
  <c r="G35" i="3"/>
  <c r="C35" i="3"/>
  <c r="H83" i="3"/>
  <c r="I83" i="3" s="1"/>
  <c r="H86" i="3"/>
  <c r="I86" i="3" s="1"/>
  <c r="H109" i="3"/>
  <c r="I109" i="3" s="1"/>
  <c r="H107" i="3"/>
  <c r="I107" i="3" s="1"/>
  <c r="D35" i="3"/>
  <c r="I97" i="3"/>
  <c r="H79" i="3"/>
  <c r="H99" i="3"/>
  <c r="I99" i="3" s="1"/>
  <c r="I105" i="3"/>
  <c r="F7" i="3"/>
  <c r="G70" i="3"/>
  <c r="G71" i="3" s="1"/>
  <c r="J299" i="1"/>
  <c r="H91" i="3"/>
  <c r="I91" i="3" s="1"/>
  <c r="E70" i="3"/>
  <c r="E71" i="3" s="1"/>
  <c r="I96" i="3"/>
  <c r="C70" i="3"/>
  <c r="C71" i="3" s="1"/>
  <c r="J23" i="1"/>
  <c r="F70" i="3"/>
  <c r="F71" i="3" s="1"/>
  <c r="I98" i="3"/>
  <c r="H87" i="3"/>
  <c r="I87" i="3" s="1"/>
  <c r="H41" i="3"/>
  <c r="I41" i="3" s="1"/>
  <c r="J118" i="1"/>
  <c r="J121" i="1"/>
  <c r="J114" i="1"/>
  <c r="J124" i="1"/>
  <c r="J113" i="1"/>
  <c r="H53" i="3"/>
  <c r="I53" i="3" s="1"/>
  <c r="H42" i="3"/>
  <c r="I42" i="3" s="1"/>
  <c r="H43" i="3"/>
  <c r="I43" i="3" s="1"/>
  <c r="H44" i="3"/>
  <c r="I44" i="3" s="1"/>
  <c r="H59" i="3"/>
  <c r="I59" i="3" s="1"/>
  <c r="H66" i="3"/>
  <c r="I66" i="3" s="1"/>
  <c r="H54" i="3"/>
  <c r="I54" i="3" s="1"/>
  <c r="J21" i="1"/>
  <c r="H69" i="3"/>
  <c r="I69" i="3" s="1"/>
  <c r="H47" i="3"/>
  <c r="I47" i="3" s="1"/>
  <c r="H52" i="3"/>
  <c r="I52" i="3" s="1"/>
  <c r="H62" i="3"/>
  <c r="I62" i="3" s="1"/>
  <c r="H45" i="3"/>
  <c r="I45" i="3" s="1"/>
  <c r="H50" i="3"/>
  <c r="I50" i="3" s="1"/>
  <c r="H63" i="3"/>
  <c r="I63" i="3" s="1"/>
  <c r="H60" i="3"/>
  <c r="I60" i="3" s="1"/>
  <c r="H65" i="3"/>
  <c r="I65" i="3" s="1"/>
  <c r="H55" i="3"/>
  <c r="I55" i="3" s="1"/>
  <c r="H57" i="3"/>
  <c r="I57" i="3" s="1"/>
  <c r="J96" i="1"/>
  <c r="H48" i="3"/>
  <c r="I48" i="3" s="1"/>
  <c r="H67" i="3"/>
  <c r="I67" i="3" s="1"/>
  <c r="H58" i="3"/>
  <c r="I58" i="3" s="1"/>
  <c r="H40" i="3"/>
  <c r="H51" i="3"/>
  <c r="I51" i="3" s="1"/>
  <c r="H64" i="3"/>
  <c r="I64" i="3" s="1"/>
  <c r="J13" i="1"/>
  <c r="H61" i="3"/>
  <c r="I61" i="3" s="1"/>
  <c r="H46" i="3"/>
  <c r="I46" i="3" s="1"/>
  <c r="H49" i="3"/>
  <c r="I49" i="3" s="1"/>
  <c r="J64" i="1"/>
  <c r="H68" i="3"/>
  <c r="I68" i="3" s="1"/>
  <c r="J54" i="1"/>
  <c r="J48" i="1"/>
  <c r="J57" i="1"/>
  <c r="J90" i="1"/>
  <c r="J83" i="1"/>
  <c r="J131" i="1"/>
  <c r="J81" i="1"/>
  <c r="J66" i="1"/>
  <c r="J41" i="1"/>
  <c r="J133" i="1"/>
  <c r="J68" i="1"/>
  <c r="J99" i="1"/>
  <c r="J140" i="1"/>
  <c r="J138" i="1"/>
  <c r="J31" i="1"/>
  <c r="J126" i="1"/>
  <c r="J76" i="1"/>
  <c r="J134" i="1"/>
  <c r="J55" i="1"/>
  <c r="J63" i="1"/>
  <c r="J101" i="1"/>
  <c r="J91" i="1"/>
  <c r="J85" i="1"/>
  <c r="J94" i="1"/>
  <c r="J22" i="1"/>
  <c r="J19" i="1"/>
  <c r="J16" i="1"/>
  <c r="J33" i="1"/>
  <c r="J60" i="1"/>
  <c r="J110" i="1"/>
  <c r="J40" i="1"/>
  <c r="J102" i="1"/>
  <c r="J59" i="1"/>
  <c r="J14" i="1"/>
  <c r="J34" i="1"/>
  <c r="J75" i="1"/>
  <c r="J142" i="1"/>
  <c r="J52" i="1"/>
  <c r="J141" i="1"/>
  <c r="J130" i="1"/>
  <c r="J49" i="1"/>
  <c r="J104" i="1"/>
  <c r="J127" i="1"/>
  <c r="J88" i="1"/>
  <c r="J129" i="1"/>
  <c r="J87" i="1"/>
  <c r="J143" i="1"/>
  <c r="J89" i="1"/>
  <c r="H9" i="3"/>
  <c r="J51" i="1"/>
  <c r="J58" i="1"/>
  <c r="J128" i="1"/>
  <c r="J37" i="1"/>
  <c r="J47" i="1"/>
  <c r="J32" i="1"/>
  <c r="J44" i="1"/>
  <c r="J103" i="1"/>
  <c r="J42" i="1"/>
  <c r="J30" i="1"/>
  <c r="J53" i="1"/>
  <c r="J125" i="1"/>
  <c r="J137" i="1"/>
  <c r="J70" i="1"/>
  <c r="J123" i="1"/>
  <c r="J109" i="1"/>
  <c r="J62" i="1"/>
  <c r="J56" i="1"/>
  <c r="J46" i="1"/>
  <c r="J105" i="1"/>
  <c r="J45" i="1"/>
  <c r="J20" i="1"/>
  <c r="J72" i="1"/>
  <c r="H27" i="3"/>
  <c r="J119" i="1"/>
  <c r="J97" i="1"/>
  <c r="J132" i="1"/>
  <c r="J139" i="1"/>
  <c r="J86" i="1"/>
  <c r="J107" i="1"/>
  <c r="H12" i="3"/>
  <c r="H28" i="3"/>
  <c r="H30" i="3"/>
  <c r="I30" i="3" s="1"/>
  <c r="H19" i="3"/>
  <c r="H20" i="3"/>
  <c r="H33" i="3"/>
  <c r="H23" i="3"/>
  <c r="I23" i="3" s="1"/>
  <c r="H34" i="3"/>
  <c r="H6" i="3"/>
  <c r="I6" i="3" s="1"/>
  <c r="H18" i="3"/>
  <c r="I18" i="3" s="1"/>
  <c r="H7" i="3"/>
  <c r="I7" i="3" s="1"/>
  <c r="H17" i="3"/>
  <c r="J38" i="1"/>
  <c r="H32" i="3"/>
  <c r="H25" i="3"/>
  <c r="J73" i="1"/>
  <c r="H21" i="3"/>
  <c r="H10" i="3"/>
  <c r="I10" i="3" s="1"/>
  <c r="H14" i="3"/>
  <c r="H26" i="3"/>
  <c r="H22" i="3"/>
  <c r="I22" i="3" s="1"/>
  <c r="H13" i="3"/>
  <c r="I13" i="3" s="1"/>
  <c r="H11" i="3"/>
  <c r="J120" i="1"/>
  <c r="J61" i="1"/>
  <c r="H31" i="3"/>
  <c r="I31" i="3" s="1"/>
  <c r="H16" i="3"/>
  <c r="H24" i="3"/>
  <c r="H15" i="3"/>
  <c r="H8" i="3"/>
  <c r="I8" i="3" s="1"/>
  <c r="J136" i="1"/>
  <c r="J10" i="1"/>
  <c r="J17" i="1"/>
  <c r="F35" i="3" l="1"/>
  <c r="F36" i="3" s="1"/>
  <c r="G36" i="3"/>
  <c r="G115" i="3"/>
  <c r="D36" i="3"/>
  <c r="D115" i="3"/>
  <c r="D116" i="3" s="1"/>
  <c r="E36" i="3"/>
  <c r="E115" i="3"/>
  <c r="E116" i="3" s="1"/>
  <c r="I75" i="3"/>
  <c r="C36" i="3"/>
  <c r="C115" i="3"/>
  <c r="C116" i="3" s="1"/>
  <c r="H70" i="3"/>
  <c r="I70" i="3" s="1"/>
  <c r="I40" i="3"/>
  <c r="I24" i="3"/>
  <c r="I34" i="3"/>
  <c r="I9" i="3"/>
  <c r="I27" i="3"/>
  <c r="I28" i="3"/>
  <c r="I33" i="3"/>
  <c r="I20" i="3"/>
  <c r="I17" i="3"/>
  <c r="I12" i="3"/>
  <c r="I19" i="3"/>
  <c r="I32" i="3"/>
  <c r="I25" i="3"/>
  <c r="I11" i="3"/>
  <c r="I26" i="3"/>
  <c r="I21" i="3"/>
  <c r="I14" i="3"/>
  <c r="I15" i="3"/>
  <c r="I16" i="3"/>
  <c r="H29" i="3"/>
  <c r="F115" i="3" l="1"/>
  <c r="F116" i="3" s="1"/>
  <c r="G116" i="3" l="1"/>
  <c r="I29" i="3"/>
  <c r="H35" i="3"/>
  <c r="H115" i="3" l="1"/>
  <c r="I115" i="3" s="1"/>
  <c r="I3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Laman R. Alizada</author>
  </authors>
  <commentList>
    <comment ref="V130" authorId="0" shapeId="0" xr:uid="{E4F5D7B1-9F84-4D9D-9659-180AD11146EF}">
      <text>
        <r>
          <rPr>
            <b/>
            <sz val="9"/>
            <color indexed="81"/>
            <rFont val="Tahoma"/>
            <family val="2"/>
            <charset val="204"/>
          </rPr>
          <t>Laman R. Alizada:</t>
        </r>
        <r>
          <rPr>
            <sz val="9"/>
            <color indexed="81"/>
            <rFont val="Tahoma"/>
            <family val="2"/>
            <charset val="204"/>
          </rPr>
          <t xml:space="preserve">
HR dan soruşmaq lazımdır ki passiv işçilər geri qayıdacaqmı.</t>
        </r>
      </text>
    </comment>
    <comment ref="J132" authorId="0" shapeId="0" xr:uid="{540D08DF-0739-4CC5-855A-1DFDA7D6FAD4}">
      <text>
        <r>
          <rPr>
            <b/>
            <sz val="9"/>
            <color indexed="81"/>
            <rFont val="Tahoma"/>
            <family val="2"/>
            <charset val="204"/>
          </rPr>
          <t>Laman R. Alizada:</t>
        </r>
        <r>
          <rPr>
            <sz val="9"/>
            <color indexed="81"/>
            <rFont val="Tahoma"/>
            <family val="2"/>
            <charset val="204"/>
          </rPr>
          <t xml:space="preserve">
elave olaraq 3 müveqqeti ishchi nezere alinib.</t>
        </r>
      </text>
    </comment>
    <comment ref="I133" authorId="0" shapeId="0" xr:uid="{C8A4B18A-FBDF-49E8-AE6A-CC1DF038341D}">
      <text>
        <r>
          <rPr>
            <b/>
            <sz val="9"/>
            <color indexed="81"/>
            <rFont val="Tahoma"/>
            <family val="2"/>
            <charset val="204"/>
          </rPr>
          <t>Laman R. Alizada:</t>
        </r>
        <r>
          <rPr>
            <sz val="9"/>
            <color indexed="81"/>
            <rFont val="Tahoma"/>
            <family val="2"/>
            <charset val="204"/>
          </rPr>
          <t xml:space="preserve">
normalda ilin sonuna 84 aktiv ishci olmali idi lakin 82 gorunur. Assume edirem ki iki ishchi chixacaq. Deqiqleshdirmek lazimdir
</t>
        </r>
      </text>
    </comment>
  </commentList>
</comments>
</file>

<file path=xl/sharedStrings.xml><?xml version="1.0" encoding="utf-8"?>
<sst xmlns="http://schemas.openxmlformats.org/spreadsheetml/2006/main" count="8714" uniqueCount="1889">
  <si>
    <t>31 August 2026 (actual)</t>
  </si>
  <si>
    <t>31 December 2027 (plan)</t>
  </si>
  <si>
    <t>Change in Active</t>
  </si>
  <si>
    <t>Department</t>
  </si>
  <si>
    <t>Active</t>
  </si>
  <si>
    <t>Passive</t>
  </si>
  <si>
    <t>Vacant</t>
  </si>
  <si>
    <t>Total</t>
  </si>
  <si>
    <t>Absolute</t>
  </si>
  <si>
    <t>%</t>
  </si>
  <si>
    <t>31/08/2026</t>
  </si>
  <si>
    <t>31/12/2026</t>
  </si>
  <si>
    <t xml:space="preserve">Number of Employees </t>
  </si>
  <si>
    <t>Departament</t>
  </si>
  <si>
    <t>Division</t>
  </si>
  <si>
    <t>Out-seconded FTEs</t>
  </si>
  <si>
    <t>Active current employee</t>
  </si>
  <si>
    <t>Passive current employees</t>
  </si>
  <si>
    <t>2026 YE (active current employee)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</si>
  <si>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</si>
  <si>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</si>
  <si>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</si>
  <si>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</si>
  <si>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</si>
  <si>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</si>
  <si>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</si>
  <si>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</si>
  <si>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</si>
  <si>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</si>
  <si>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</si>
  <si>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</si>
  <si>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Management</t>
  </si>
  <si>
    <t>C-level, Director, Deputy Director</t>
  </si>
  <si>
    <t>#</t>
  </si>
  <si>
    <t>Corporate Secretary Division</t>
  </si>
  <si>
    <t>Agile and Product Center of Expertise</t>
  </si>
  <si>
    <t>Payment Chapter</t>
  </si>
  <si>
    <t>AI Governance Center of Expertise</t>
  </si>
  <si>
    <t>Ecosystem Analytics</t>
  </si>
  <si>
    <t>Architecture Center of Expertise</t>
  </si>
  <si>
    <t>International Reporting and MIS Department</t>
  </si>
  <si>
    <t>MIS Reporting</t>
  </si>
  <si>
    <t>IFRS Reporting</t>
  </si>
  <si>
    <t>Modelling, Valuation and Consolidated Reporting</t>
  </si>
  <si>
    <t>BirApp Area</t>
  </si>
  <si>
    <t>Bir Enabler</t>
  </si>
  <si>
    <t>Birbank Mainpage</t>
  </si>
  <si>
    <t>BirApp Technology Area</t>
  </si>
  <si>
    <t>Birbank Platform</t>
  </si>
  <si>
    <t>Data Governance Center of Expertise</t>
  </si>
  <si>
    <t>Data Process Management</t>
  </si>
  <si>
    <t>Data Quality</t>
  </si>
  <si>
    <t>Data Steward</t>
  </si>
  <si>
    <t>Design Center of Expertise</t>
  </si>
  <si>
    <t>Product Designer 1</t>
  </si>
  <si>
    <t>Graphic Design</t>
  </si>
  <si>
    <t>Product Designer 2</t>
  </si>
  <si>
    <t>Product Designer 3</t>
  </si>
  <si>
    <t>Product Designer 4</t>
  </si>
  <si>
    <t>UX Researcher</t>
  </si>
  <si>
    <t>Ecosystem Platform and ID Area</t>
  </si>
  <si>
    <t>BirID</t>
  </si>
  <si>
    <t>Business ID</t>
  </si>
  <si>
    <t>DVS</t>
  </si>
  <si>
    <t>Legal Department</t>
  </si>
  <si>
    <t>Litigation and Legal Support Division</t>
  </si>
  <si>
    <t>Payment Business Legal Support Division</t>
  </si>
  <si>
    <t>E-commerce Business Legal Support Division</t>
  </si>
  <si>
    <t>Archive Division</t>
  </si>
  <si>
    <t>Banking Products Legal Support Division</t>
  </si>
  <si>
    <t>Corporate Law and Corporate Governance Legal Support Division</t>
  </si>
  <si>
    <t>Methodology Division</t>
  </si>
  <si>
    <t>Information Security Department</t>
  </si>
  <si>
    <t>Platform Security Division</t>
  </si>
  <si>
    <t>Network Security Division</t>
  </si>
  <si>
    <t>Information Security GRC Division</t>
  </si>
  <si>
    <t>Cyber Defense Division</t>
  </si>
  <si>
    <t>Product Security Division</t>
  </si>
  <si>
    <t>IT Risk Management Division</t>
  </si>
  <si>
    <t>Administrative Management Department</t>
  </si>
  <si>
    <t>Repair and Maintenance Division</t>
  </si>
  <si>
    <t>Transport Division</t>
  </si>
  <si>
    <t>Procurement and Supply Division</t>
  </si>
  <si>
    <t>Administrative Operations Division</t>
  </si>
  <si>
    <t>IT Infrastructure Department</t>
  </si>
  <si>
    <t>IT Access Management and Technical Support Division</t>
  </si>
  <si>
    <t>IT Service Management Division</t>
  </si>
  <si>
    <t>Network Operations Division</t>
  </si>
  <si>
    <t>System and Network Administration Division</t>
  </si>
  <si>
    <t>IT Service Monitoring and Incident Management Division</t>
  </si>
  <si>
    <t>IT Process Management Functional Area</t>
  </si>
  <si>
    <t>Compliance Department</t>
  </si>
  <si>
    <t>AML and CFT Division</t>
  </si>
  <si>
    <t>Compliance Risk Management and Monitoring Division</t>
  </si>
  <si>
    <t>Compliance Reporting Division</t>
  </si>
  <si>
    <t>Compliance Function Management Division</t>
  </si>
  <si>
    <t>Data and AI Compliance Control Division</t>
  </si>
  <si>
    <t>Ecosystem Product and Process Compliance Support Division</t>
  </si>
  <si>
    <t>Regulatory Compliance Division</t>
  </si>
  <si>
    <t>Corporate Development and Investor Relations Department</t>
  </si>
  <si>
    <t>Financial Reporting and Accounting Department</t>
  </si>
  <si>
    <t>Internal Accounting Division</t>
  </si>
  <si>
    <t>Regulatory Reporting Division</t>
  </si>
  <si>
    <t>Compensation Calculation Division</t>
  </si>
  <si>
    <t>Financial Control and Accounting Division</t>
  </si>
  <si>
    <t>Marketing Center of Expertise</t>
  </si>
  <si>
    <t>Public Relations Process</t>
  </si>
  <si>
    <t>Marketing Communications Process</t>
  </si>
  <si>
    <t>Product Marketing Process</t>
  </si>
  <si>
    <t>Digital Marketing Process</t>
  </si>
  <si>
    <t>Model Risk Management Center of Expertise</t>
  </si>
  <si>
    <t>Model Validation Chapter</t>
  </si>
  <si>
    <t>MRM Chapter</t>
  </si>
  <si>
    <t>Engineering and Technology Platforms Center of Expertise</t>
  </si>
  <si>
    <t>Data and AI Platforms Functional Area</t>
  </si>
  <si>
    <t>DevOps and SRE Functional Area</t>
  </si>
  <si>
    <t>Software Engineering Functional Area</t>
  </si>
  <si>
    <t>Customer Experience Center of Expertise</t>
  </si>
  <si>
    <t>Customer Experience Researcher</t>
  </si>
  <si>
    <t>Customer Experience Analytics and Research Process</t>
  </si>
  <si>
    <t>Customer Experience Expertise</t>
  </si>
  <si>
    <t>Strategy and Project Management Department</t>
  </si>
  <si>
    <t>Strategy Division</t>
  </si>
  <si>
    <t>Performance Management Division</t>
  </si>
  <si>
    <t>Project Management Division</t>
  </si>
  <si>
    <t>Security Department</t>
  </si>
  <si>
    <t>Guarding and Access Control Division</t>
  </si>
  <si>
    <t>HSE Division</t>
  </si>
  <si>
    <t>Fraud Cases and Digital Transactions Investigation Division</t>
  </si>
  <si>
    <t>Fraud Case Management Division</t>
  </si>
  <si>
    <t>Law Enforcement Liaison Division</t>
  </si>
  <si>
    <t>Security Systems Division</t>
  </si>
  <si>
    <t>Video Surveillance and Security Analytics Division</t>
  </si>
  <si>
    <t>Terminal Network Security Division</t>
  </si>
  <si>
    <t>Organizational Development and HR Technologies Department</t>
  </si>
  <si>
    <t>Employer Brand and CSR Functional Area</t>
  </si>
  <si>
    <t>HRBP and Talent Acquisition Functional Area</t>
  </si>
  <si>
    <t>HR TechOps, Performance and Data Functional Area</t>
  </si>
  <si>
    <t>Organizational Development and Employee Engagement Functional Area</t>
  </si>
  <si>
    <t>Organizational and Non-Financial Risk Management Department</t>
  </si>
  <si>
    <t>Payment Business Product Control Division</t>
  </si>
  <si>
    <t>FinTech Business Product Control Division</t>
  </si>
  <si>
    <t>Cash and Valuables Control Division</t>
  </si>
  <si>
    <t>Payment Business Operational Risk Management Division</t>
  </si>
  <si>
    <t>Risk Event Management Division</t>
  </si>
  <si>
    <t>ERM Division</t>
  </si>
  <si>
    <t>FinTech Business Operational Risk Management Division</t>
  </si>
  <si>
    <t>Agile and product development chapter</t>
  </si>
  <si>
    <t>Fintech chapter</t>
  </si>
  <si>
    <t>AI Engineering</t>
  </si>
  <si>
    <t>AI Governance</t>
  </si>
  <si>
    <t>AI Platforms</t>
  </si>
  <si>
    <t>Travel</t>
  </si>
  <si>
    <t>Bir Search</t>
  </si>
  <si>
    <t>Birbank SRE</t>
  </si>
  <si>
    <t>Data mühəndisliyi və texnologiyaları ekspert mərkəzi</t>
  </si>
  <si>
    <t>Data engineering 1</t>
  </si>
  <si>
    <t>Data engineering 2</t>
  </si>
  <si>
    <t>Data engineering 3</t>
  </si>
  <si>
    <t>Data engineering 4</t>
  </si>
  <si>
    <t>Data və Analitika departamenti(Marketplace)</t>
  </si>
  <si>
    <t>Data Engineering</t>
  </si>
  <si>
    <t>Kapital Bank</t>
  </si>
  <si>
    <t>PashaPay</t>
  </si>
  <si>
    <t>Competo</t>
  </si>
  <si>
    <t>Accounting Division</t>
  </si>
  <si>
    <t>Operations Accounting and Processing Division</t>
  </si>
  <si>
    <t>Administrative Accounting and Taxation Division</t>
  </si>
  <si>
    <t>Payments Management Division</t>
  </si>
  <si>
    <t>Expense Control Division</t>
  </si>
  <si>
    <t>Director, Deputy Director</t>
  </si>
  <si>
    <t>Pashapay</t>
  </si>
  <si>
    <t>Summary by Department</t>
  </si>
  <si>
    <t>2027 Headcount Plan – Source Data (by Department and Division)</t>
  </si>
  <si>
    <t>Number of vacant positions</t>
  </si>
  <si>
    <t>31 Dec 2027 (plan)</t>
  </si>
  <si>
    <t>Additional notes</t>
  </si>
  <si>
    <t>İnfo is requested</t>
  </si>
  <si>
    <t>Full name</t>
  </si>
  <si>
    <t>Position</t>
  </si>
  <si>
    <t>Korporativ katiblik şöbəsi</t>
  </si>
  <si>
    <t>Şöbə müdiri</t>
  </si>
  <si>
    <t>Korporativ katib</t>
  </si>
  <si>
    <t>Aparıcı mütəxəssis</t>
  </si>
  <si>
    <t>Mütəxəssis</t>
  </si>
  <si>
    <t>Şəxsi köməkçi</t>
  </si>
  <si>
    <t>Şəxsi köməkçi (əvəzçilik qaydasında)</t>
  </si>
  <si>
    <t>Menecer</t>
  </si>
  <si>
    <t>Kiçik mütəxəssis</t>
  </si>
  <si>
    <t>Ümumi Şöbə üzrə Kiçik Mütəxəssis</t>
  </si>
  <si>
    <t>Şəxsi asistent</t>
  </si>
  <si>
    <t>Reception (Rəsmiləşmə mərhələsində)</t>
  </si>
  <si>
    <t>Ağayeva Aysel Babakişi</t>
  </si>
  <si>
    <t>Bayramova Aynur Zirəddin</t>
  </si>
  <si>
    <t>Qasımlı Nəsibə Etibar</t>
  </si>
  <si>
    <t>Vəliyeva Nəsrin İsmayıl</t>
  </si>
  <si>
    <t>Əliyeva Lalə Sənan</t>
  </si>
  <si>
    <t>Ağayeva Xanım Çingiz</t>
  </si>
  <si>
    <t>Teymurzadə Səma Bəylər</t>
  </si>
  <si>
    <t>Abdullayeva Leyla Rüstəm</t>
  </si>
  <si>
    <t>Mehdiyeva Fərəh Şahin</t>
  </si>
  <si>
    <t>Hacıyev Anar Nadir</t>
  </si>
  <si>
    <t>Tağıyeva Elnarə Əli</t>
  </si>
  <si>
    <t>Sadıqova Ləman Əsəd</t>
  </si>
  <si>
    <t>Allahverdiyeva Femida Rafael</t>
  </si>
  <si>
    <t>Hümmətli Ramizə Ramiz</t>
  </si>
  <si>
    <t>Məmmədova Şəhanə Şahin</t>
  </si>
  <si>
    <t>İsmayılova Şükufə Muxalif</t>
  </si>
  <si>
    <t>Məmmədova Xumar Elşən</t>
  </si>
  <si>
    <t>Yahyayeva Emiliya Rasim</t>
  </si>
  <si>
    <t>Məmmədova Nərgiz Aydın</t>
  </si>
  <si>
    <t>Vəlili İranə İlmas</t>
  </si>
  <si>
    <t>Məmmədova Fidan Tahir</t>
  </si>
  <si>
    <t>Kərimova Mehparə Məmmədsadıq</t>
  </si>
  <si>
    <t>Rzayeva Ülkər Bəhram</t>
  </si>
  <si>
    <t>Məmmədova Ramilə Vaqif</t>
  </si>
  <si>
    <t>Səfərli Vüsalə Novruz</t>
  </si>
  <si>
    <t>Aslanlı Tərlan Yusif</t>
  </si>
  <si>
    <t>İsmayılova Aysel Qələmdar</t>
  </si>
  <si>
    <t>Şeydayeva Ceyla Zəki</t>
  </si>
  <si>
    <t>Raşimov Süleyman Rafik</t>
  </si>
  <si>
    <t>Əlizadə Aytac Şahbaz</t>
  </si>
  <si>
    <t>Budaqova Tərlanə Camaləddin</t>
  </si>
  <si>
    <t>Nəcəfzadə Toğrul Nazim</t>
  </si>
  <si>
    <t>Hüseynova Lalə Nazim</t>
  </si>
  <si>
    <t>Əliyeva Sona Azad</t>
  </si>
  <si>
    <t>HR listinde yox idi</t>
  </si>
  <si>
    <t>HR listinde var</t>
  </si>
  <si>
    <t>Nuri Şahnaz Səməd</t>
  </si>
  <si>
    <t>Səidova Samirə Balasultan</t>
  </si>
  <si>
    <t>Qurbanova Fatma Xasməmməd</t>
  </si>
  <si>
    <t>BARANOVSKAYA SVETLANA</t>
  </si>
  <si>
    <t>Əlizadə Turqut Elşən</t>
  </si>
  <si>
    <t>Adilzadə Aysu Elnur</t>
  </si>
  <si>
    <t>Əhmədov Azər Qabil</t>
  </si>
  <si>
    <t>Musayeva Səmanə Kəmaləddin</t>
  </si>
  <si>
    <t>Əkbərova Vəsilə Vidadi</t>
  </si>
  <si>
    <t>Şirinov Azər Qafar</t>
  </si>
  <si>
    <t>Həsənov Ramin Cabir</t>
  </si>
  <si>
    <t>Fərəcova Sevinc Taleh</t>
  </si>
  <si>
    <t>Surxayzadə Leyla Nizami</t>
  </si>
  <si>
    <t>Ağayeva Mənsurə Şahmalı</t>
  </si>
  <si>
    <t>İslamova Zərifə Elçin</t>
  </si>
  <si>
    <t>Səmədzadə Günel Səyavuş</t>
  </si>
  <si>
    <t>İsgəndərova Aysel Xəyyam</t>
  </si>
  <si>
    <t>Qasımzadə Aydın Məmmədhəsən</t>
  </si>
  <si>
    <t>Agile və məhsul ekspert mərkəzi</t>
  </si>
  <si>
    <t>Funksional sahə lideri</t>
  </si>
  <si>
    <t>Funksional lider</t>
  </si>
  <si>
    <t>Proseslər üzrə ekspert</t>
  </si>
  <si>
    <t>Agile kouç</t>
  </si>
  <si>
    <t>Scrum master</t>
  </si>
  <si>
    <t>Scrum master(müvəqqəti)</t>
  </si>
  <si>
    <t>Kərimova Gülnar Sahib</t>
  </si>
  <si>
    <t>Qarayeva Melisa İsmayil</t>
  </si>
  <si>
    <t>FOMINA MARIIA</t>
  </si>
  <si>
    <t>Status</t>
  </si>
  <si>
    <t>Əliyev Tamerlan İlqar</t>
  </si>
  <si>
    <t>Məlikova Əhədli Könül Faiq</t>
  </si>
  <si>
    <t>Şahbazova Şəbnəm Balabəy</t>
  </si>
  <si>
    <t>Vahubova Adilə Vidadi</t>
  </si>
  <si>
    <t>Namazov Orxan İlham</t>
  </si>
  <si>
    <t>Səmədova Nuranə Hüseyn</t>
  </si>
  <si>
    <t>Ələkbərova Solmaz Bulud</t>
  </si>
  <si>
    <t>Muradova Nigar Ələkbər</t>
  </si>
  <si>
    <t>İsayev İsa Hafiz</t>
  </si>
  <si>
    <t>Məmmədzadə Elnarə Vüqar</t>
  </si>
  <si>
    <t>Süleymanova Lalə Baxış</t>
  </si>
  <si>
    <t>XXX Aygül Fəxrəddin</t>
  </si>
  <si>
    <t>Ramazanova Faina Faiq</t>
  </si>
  <si>
    <t>Zeynal Bayramova Aysel Mahir</t>
  </si>
  <si>
    <t>Qurbanlı Nəzrin Rəşad</t>
  </si>
  <si>
    <t>Tağıyev Əli Baba</t>
  </si>
  <si>
    <t>Aİ governance ekspert mərkəzi</t>
  </si>
  <si>
    <t>Biznes analitik</t>
  </si>
  <si>
    <t>Biznes analitik (müvəqqəti)</t>
  </si>
  <si>
    <t>Ekspert Mərkəzinin lideri</t>
  </si>
  <si>
    <t>Aİ governance üzrə baş mütəxəssis</t>
  </si>
  <si>
    <t>Georgiy Davidov</t>
  </si>
  <si>
    <t>Sviatoslav Murzin</t>
  </si>
  <si>
    <t>Andrey Kulikov</t>
  </si>
  <si>
    <t>Timur Muminov</t>
  </si>
  <si>
    <t>Rafi Rahimov</t>
  </si>
  <si>
    <t>Ivan Perov</t>
  </si>
  <si>
    <t>Elcin Qasimov</t>
  </si>
  <si>
    <t>Centre Lead</t>
  </si>
  <si>
    <t>Corporate Architect</t>
  </si>
  <si>
    <t>Məmmədyarov Şakir Nazim</t>
  </si>
  <si>
    <t>Beynəlxalq hesabatlıq və MİS departamenti</t>
  </si>
  <si>
    <t>Direktor v.i.e.</t>
  </si>
  <si>
    <t>Əliyev Azər Azad</t>
  </si>
  <si>
    <t>MİS hesabatlıq</t>
  </si>
  <si>
    <t>Mustafazadə Novruz Anatoliy</t>
  </si>
  <si>
    <t>Hüseynova Fidan Ziyəddin</t>
  </si>
  <si>
    <t>Süleymanzadə Rəşad Süleyman</t>
  </si>
  <si>
    <t>Axundova Mayya Fuad</t>
  </si>
  <si>
    <t>Rəfiyeva Rəna İmrəddinovna</t>
  </si>
  <si>
    <t>İFRS hesabatlıq</t>
  </si>
  <si>
    <t>Abdullayev Rauf Həsənağa</t>
  </si>
  <si>
    <t>İskəndərova Səma Müsədin</t>
  </si>
  <si>
    <t>Baş mütəxəssis</t>
  </si>
  <si>
    <t>Eyvazov Ülvi Sahib</t>
  </si>
  <si>
    <t>Modelləşdirmə,Qiymətləndirmə və Konsolidasiya olunmuş Hesabatliq</t>
  </si>
  <si>
    <t>Əlizadə Ləman Rəşad</t>
  </si>
  <si>
    <t>Məmmədov Şahin Hümmət</t>
  </si>
  <si>
    <t>Zeynalov Nurlan Əzizağa</t>
  </si>
  <si>
    <t>Qurbanov Tural Salam</t>
  </si>
  <si>
    <t>Scope increase</t>
  </si>
  <si>
    <t>From Pashapay</t>
  </si>
  <si>
    <t>Ağazadə Ramin Cəmil</t>
  </si>
  <si>
    <t>Cabbarova Nigar</t>
  </si>
  <si>
    <t>BirApp</t>
  </si>
  <si>
    <t>Tribe lead</t>
  </si>
  <si>
    <t>Alıyeva Tahirə</t>
  </si>
  <si>
    <t>Product owner</t>
  </si>
  <si>
    <t>Kazımova Səidə</t>
  </si>
  <si>
    <t>BirSearch</t>
  </si>
  <si>
    <t>Əlili Ləman</t>
  </si>
  <si>
    <t>Tağızadə Səbinə</t>
  </si>
  <si>
    <t>BirEnablers</t>
  </si>
  <si>
    <t>JAMALOV SHAMIL</t>
  </si>
  <si>
    <t>Tribe tech Lead</t>
  </si>
  <si>
    <t>Staff listində yoxdur</t>
  </si>
  <si>
    <t>SHATUNOV MAKSIM</t>
  </si>
  <si>
    <t>BirApp Techonology</t>
  </si>
  <si>
    <t>PO</t>
  </si>
  <si>
    <t>Cəfərov Renad Feyzulla</t>
  </si>
  <si>
    <t>Head of Center of Expertise</t>
  </si>
  <si>
    <t>Hacıyeva Aytən Firdovsi</t>
  </si>
  <si>
    <t>Data Methodology Expert</t>
  </si>
  <si>
    <t>Lətifova Fidan Rüfət</t>
  </si>
  <si>
    <t>Asayev Camal Artur</t>
  </si>
  <si>
    <t>Data Governance Analyst</t>
  </si>
  <si>
    <t>Bağırov Azər Məzahir</t>
  </si>
  <si>
    <t>Functional Lead</t>
  </si>
  <si>
    <t>Qasımzadə Murad İlham</t>
  </si>
  <si>
    <t>Data Quality Engineer</t>
  </si>
  <si>
    <t>Ağayeva Möhtərəm Sədrəddin</t>
  </si>
  <si>
    <t>Fərzali Güllər Sadiq</t>
  </si>
  <si>
    <t>Müzəffərli Tural Zakir</t>
  </si>
  <si>
    <t>Sərkarov Ayxan Məhəmməd</t>
  </si>
  <si>
    <t>Eyvazlı Xavər İntiqam</t>
  </si>
  <si>
    <t>ONYSHCHENKO ANASTASİİA</t>
  </si>
  <si>
    <t>Abbasov Devid Yavər</t>
  </si>
  <si>
    <t>Zeynallı Rəisə Uğur</t>
  </si>
  <si>
    <t>Əsgərova Şəbnəm Ramil</t>
  </si>
  <si>
    <t>Süleymanova Nuranə Şikar</t>
  </si>
  <si>
    <t>Qurbanzadə Aysel Elçin</t>
  </si>
  <si>
    <t>Qasımova Zülqadə Aslan</t>
  </si>
  <si>
    <t>Nurmətova Hənifə Nurmət</t>
  </si>
  <si>
    <t>Panova Yekaterina Vladislavovna</t>
  </si>
  <si>
    <t>Babayev Həmid Şahin</t>
  </si>
  <si>
    <t>Ekspert funksional lider</t>
  </si>
  <si>
    <t>Həsənzadə Ülkər Nadir</t>
  </si>
  <si>
    <t>İssabayev Nursultan</t>
  </si>
  <si>
    <t>Qasımov Elmin Vahid</t>
  </si>
  <si>
    <t>Cəbrayılov Orxan Tərxan</t>
  </si>
  <si>
    <t>Funksional lider vie</t>
  </si>
  <si>
    <t>Rəhimli Ləman Əzəmət</t>
  </si>
  <si>
    <t>Data mühəndisi</t>
  </si>
  <si>
    <t>Quliyeva Nigar Kərəm</t>
  </si>
  <si>
    <t>Mustafayeva Vəfa Bəhrəm</t>
  </si>
  <si>
    <t>Cəfərov Mirzə Eldar</t>
  </si>
  <si>
    <t>Əliyev Nurhan Novruz</t>
  </si>
  <si>
    <t>Həsənov Asif Haxverdi</t>
  </si>
  <si>
    <t>Məmmədov Hüseyn Cəfər</t>
  </si>
  <si>
    <t>Süleymanova Rübabə Azər</t>
  </si>
  <si>
    <t>Hüseynli Minayə Arif</t>
  </si>
  <si>
    <t>Kərimli Leyla Qələmşah</t>
  </si>
  <si>
    <t>Ələsgərov Emil Ramiz</t>
  </si>
  <si>
    <t>Əliyev Rəsul Tofiq</t>
  </si>
  <si>
    <t>Mehdiyeva Gülşən Vilayət</t>
  </si>
  <si>
    <t>Hüseynova Təhminə Namiq</t>
  </si>
  <si>
    <t>Ələkbərova Aytən Mübariz</t>
  </si>
  <si>
    <t>Kərimli Musa İzzət</t>
  </si>
  <si>
    <t>Əsgərov Samir Abdulla</t>
  </si>
  <si>
    <t>Hacıyev Rəşid Elmar</t>
  </si>
  <si>
    <t>Sergey Torubarov</t>
  </si>
  <si>
    <t>Data və Analitika departamenti(Birmarket)</t>
  </si>
  <si>
    <t>Lead of Data Engineering Division</t>
  </si>
  <si>
    <t>Igor Kucherenko</t>
  </si>
  <si>
    <t>Senior Data Engineer</t>
  </si>
  <si>
    <t>Kostiantyn Taraman</t>
  </si>
  <si>
    <t>Arsen Meirkanov</t>
  </si>
  <si>
    <t>BRAUER ANTON</t>
  </si>
  <si>
    <t>Dizayn ekspert mərkəzi</t>
  </si>
  <si>
    <t>Ekspert mərkəzinin lideri</t>
  </si>
  <si>
    <t>Quliyev Ruslan Rafiq</t>
  </si>
  <si>
    <t>Paşayev Məhəmmədəli Əmirxan</t>
  </si>
  <si>
    <t>Məmmədov Malik Malik</t>
  </si>
  <si>
    <t>Sofiyev Murad Şahin</t>
  </si>
  <si>
    <t>Məhsul dizayneri</t>
  </si>
  <si>
    <t>Mustafazadə Günay Rizvan</t>
  </si>
  <si>
    <t>Ağazadə İbrahim Aqibət</t>
  </si>
  <si>
    <t>Graphic design</t>
  </si>
  <si>
    <t>Ağayev Nicat İlham</t>
  </si>
  <si>
    <t>Product designer 1</t>
  </si>
  <si>
    <t>Muradlı Nigar Şahin</t>
  </si>
  <si>
    <t>Kazımova Nigar İlham</t>
  </si>
  <si>
    <t>Məmmədova Nigar Cövdət</t>
  </si>
  <si>
    <t>Məmmədova Pəri Elxan</t>
  </si>
  <si>
    <t>Velmiskin Mark Valeryeviç</t>
  </si>
  <si>
    <t>Əliyev Faiq Əli</t>
  </si>
  <si>
    <t>Muradova Aygün Xanlar</t>
  </si>
  <si>
    <t>Quluzadə Vahid Aydin</t>
  </si>
  <si>
    <t>Yusifzadə Nigar Anar</t>
  </si>
  <si>
    <t>Müslümzadə Vilayət Əli</t>
  </si>
  <si>
    <t>İbrahimov Murad İsmayıl</t>
  </si>
  <si>
    <t>Qənbərova Aysel Əfsər</t>
  </si>
  <si>
    <t>Quliyev Əli Barat</t>
  </si>
  <si>
    <t>Məmmədova Xalidə Qədir</t>
  </si>
  <si>
    <t>Bağırova Nilufər Tərlan</t>
  </si>
  <si>
    <t>Ağasiyeva Nigar Hacı</t>
  </si>
  <si>
    <t>Ələsgərov Rəvan Vaqif</t>
  </si>
  <si>
    <t>Hüseynov Cavid Samir</t>
  </si>
  <si>
    <t>İsayeva Fəridə Azad</t>
  </si>
  <si>
    <t>Mirzəyev Ruslan Fikrət</t>
  </si>
  <si>
    <t>Product designer 4</t>
  </si>
  <si>
    <t>Əliyev Mirzə Rasim</t>
  </si>
  <si>
    <t>Talıbova Nərminə Eldəniz</t>
  </si>
  <si>
    <t>Həsənzadə Jalə Behbud</t>
  </si>
  <si>
    <t>Muradov Fərid Mübariz</t>
  </si>
  <si>
    <t>Hüseynli Gövhər Rüstəm</t>
  </si>
  <si>
    <t>İsmayılov Emil Məhəmməd</t>
  </si>
  <si>
    <t>Musayev Emil Elman</t>
  </si>
  <si>
    <t>Qrafik dizayner</t>
  </si>
  <si>
    <t>Neymətov Elşən Rövşən</t>
  </si>
  <si>
    <t>Paşazadə Nigar Vüqar</t>
  </si>
  <si>
    <t>Yusifli Ceyhun İlham</t>
  </si>
  <si>
    <t>Babayev Pərviz Məhərrəm</t>
  </si>
  <si>
    <t>Əliyev Hüseyn Vilayətoviç</t>
  </si>
  <si>
    <t>Abasov Anar Abasqulu</t>
  </si>
  <si>
    <t>Novruzov Vüsal Azər</t>
  </si>
  <si>
    <t>Dənyarov Səbuhi Zahid</t>
  </si>
  <si>
    <t>Səlimli İlqar Vüqar</t>
  </si>
  <si>
    <t>Rəhimli Bilal Fuad</t>
  </si>
  <si>
    <t>Əliyev Şahin Şakir</t>
  </si>
  <si>
    <t>İsmayılova Tahirə Fuad</t>
  </si>
  <si>
    <t>İsmayılov Zaur Şaiq</t>
  </si>
  <si>
    <t>Mahmudlu Xəyal Əlibaba</t>
  </si>
  <si>
    <t>Nağıyeva Rüqayyə Mirəli</t>
  </si>
  <si>
    <t>Muradov Tural Vaqif</t>
  </si>
  <si>
    <t>Məmiyev Toğrul Fədayi</t>
  </si>
  <si>
    <t>Həmidova Tamara Yusif</t>
  </si>
  <si>
    <t>KAMZAEVI GUNASH</t>
  </si>
  <si>
    <t>Bağırov Pərviz Elnur</t>
  </si>
  <si>
    <t>İstifadəçi təcrübəsi üzrə tədqiqatçı</t>
  </si>
  <si>
    <t>İbrahimova Günay Oqtay</t>
  </si>
  <si>
    <t>Quliyeva Nuridə Elşən</t>
  </si>
  <si>
    <t>Sentyabrda qoshulub</t>
  </si>
  <si>
    <t>Zhaslan Baygaskin</t>
  </si>
  <si>
    <t>Ecosystem Platform and ID</t>
  </si>
  <si>
    <t>Product Owner</t>
  </si>
  <si>
    <t>Elcin X. Quliyev</t>
  </si>
  <si>
    <t>Emin I. Huseynzada</t>
  </si>
  <si>
    <t>BusinessID</t>
  </si>
  <si>
    <t>Əli R. Quliyev</t>
  </si>
  <si>
    <t>Tribe Lead</t>
  </si>
  <si>
    <t>Hüquq departamenti</t>
  </si>
  <si>
    <t>Direktor</t>
  </si>
  <si>
    <t>Direktor müavini</t>
  </si>
  <si>
    <t>Məhkəmələr və hüquqi təminat şöbəsi</t>
  </si>
  <si>
    <t>Aparıcı hüquqşünas</t>
  </si>
  <si>
    <t>Hüquqşünas (əvəzçilik qaydasında)</t>
  </si>
  <si>
    <t>Mütəxəssis(əvəzçilik qaydasında)</t>
  </si>
  <si>
    <t>Ödəniş biznesinə hüquqi dəstək şöbəsi</t>
  </si>
  <si>
    <t>Baş hüquqşünas</t>
  </si>
  <si>
    <t>E-ticarət biznesinə hüquqi dəstək şöbəsi</t>
  </si>
  <si>
    <t>Hüquqşunas</t>
  </si>
  <si>
    <t>Arxiv şöbəsi</t>
  </si>
  <si>
    <t>Aparıcı mütəxəssis (Naxçıvan zonası üzrə)</t>
  </si>
  <si>
    <t>Mütəxəssis (Naxçıvan zonası üzrə)</t>
  </si>
  <si>
    <t>Bank məhsullarına hüquqi dəstək şöbəsi</t>
  </si>
  <si>
    <t>Hüquqşünas</t>
  </si>
  <si>
    <t>Korporativ hüquq və korporativ idarəetməyə hüquqi dəstək şöbəsi</t>
  </si>
  <si>
    <t>Menecer(əvəzçilik qaydasında)</t>
  </si>
  <si>
    <t>Hüquqşünas(0,5 ştat vahidi üzrə)</t>
  </si>
  <si>
    <t>Metodologiya şöbəsi</t>
  </si>
  <si>
    <t>Mütəxəssis (müvəqqəti)</t>
  </si>
  <si>
    <t>Rəcəbova Samirə Fuad</t>
  </si>
  <si>
    <t>Mehdiyev Arif Kamal</t>
  </si>
  <si>
    <t>Məmmədli Zaur Rasim</t>
  </si>
  <si>
    <t>Nəbizadə Ümid Edil</t>
  </si>
  <si>
    <t>Həsənov Qüdrət Həsən</t>
  </si>
  <si>
    <t>Tarverdiyeva Fərqamə Qəzənfər</t>
  </si>
  <si>
    <t>Atayeva Nəzakət İsmət</t>
  </si>
  <si>
    <t>Həsənova Afaq Dilbazin</t>
  </si>
  <si>
    <t>Gözəlova Fatimə Firdovsi</t>
  </si>
  <si>
    <t>Paşayeva Elnurə Eyvaz</t>
  </si>
  <si>
    <t>Məmmədli Nailə Eldar</t>
  </si>
  <si>
    <t>Abdullayev Rafiq Nimət</t>
  </si>
  <si>
    <t>Hacıyev Cavidan Natiq</t>
  </si>
  <si>
    <t>Əhmədzadə Orxan Fərman</t>
  </si>
  <si>
    <t>Şirəliyeva Şəms Əsgər</t>
  </si>
  <si>
    <t>Nəsirova Könül Məzahir</t>
  </si>
  <si>
    <t>Məmişova Elnarə Cəfər</t>
  </si>
  <si>
    <t>Məhərrəmova İlahə Vaqif</t>
  </si>
  <si>
    <t>Muradova Nərgiz Fəxrəddin</t>
  </si>
  <si>
    <t>Rzayeva Gülnar Fazil</t>
  </si>
  <si>
    <t>Ağasərkari Selcan Naqif</t>
  </si>
  <si>
    <t>Ağamedov Nadir Nizamoviç</t>
  </si>
  <si>
    <t>Qarayev Anar Çingiz</t>
  </si>
  <si>
    <t>Ömərli Turxan Müsəllim</t>
  </si>
  <si>
    <t>Tağiyeva Zahidə Əli</t>
  </si>
  <si>
    <t>Aslanova Tamara Mehman</t>
  </si>
  <si>
    <t>Cabbarli Ləman İlqar</t>
  </si>
  <si>
    <t>Səfərəliyeva Tahirə Mahmud</t>
  </si>
  <si>
    <t>Xəlilova Şəhanə Natiq</t>
  </si>
  <si>
    <t>Ağayev Nicat İlqar</t>
  </si>
  <si>
    <t>Misirova Nuranə Daşqın</t>
  </si>
  <si>
    <t>Zeynalova Azadə Fərrux</t>
  </si>
  <si>
    <t>Yusifov Fərid Yaşar</t>
  </si>
  <si>
    <t>Hüseynova Münəvvər Ceyhun</t>
  </si>
  <si>
    <t>Fərzəliyev Natiq Namiq</t>
  </si>
  <si>
    <t>Kərimli Sədaqət Musa</t>
  </si>
  <si>
    <t>Ələsgərli Elşən Kamil</t>
  </si>
  <si>
    <t>Abbasova Afər Müşür</t>
  </si>
  <si>
    <t>Əlimərdanova Şəhri İsmayıl</t>
  </si>
  <si>
    <t>Mürşüdzadə Ruslan Qərib</t>
  </si>
  <si>
    <t>Surxaylı Gülxanım Faiq</t>
  </si>
  <si>
    <t>Abbaszadə Gülnar Yusif</t>
  </si>
  <si>
    <t>Hüseynova Günay Şahin</t>
  </si>
  <si>
    <t>Ələkbərov Ələsgər İlham</t>
  </si>
  <si>
    <t>Quliyev Üzeyir İlham</t>
  </si>
  <si>
    <t>Kərimli Jalə Rüstəm</t>
  </si>
  <si>
    <t>Bəbirli Fidan Azər</t>
  </si>
  <si>
    <t>Əmrah Nuranə İlqar</t>
  </si>
  <si>
    <t>Mustafayeva Nərmin Elşad</t>
  </si>
  <si>
    <t>İsazadə Nadirə Şöyüf</t>
  </si>
  <si>
    <t>Nəsirulla Farid Elşən</t>
  </si>
  <si>
    <t>Mürşüdzadə Nuranə Yusif</t>
  </si>
  <si>
    <t>Məmmədova Nərmin Namiq</t>
  </si>
  <si>
    <t>Novruzlu Lalə Nazim</t>
  </si>
  <si>
    <t>Hüseynli Elgün Səadət</t>
  </si>
  <si>
    <t>Nəsirov Tural Əlixan</t>
  </si>
  <si>
    <t>Sadıqzadə Elmira Əli</t>
  </si>
  <si>
    <t>Quluzadə Toğrul Fədai</t>
  </si>
  <si>
    <t>Hüseynov Samin Heydar</t>
  </si>
  <si>
    <t>Qayıbova Fidan Ramiz</t>
  </si>
  <si>
    <t>Xəlilov Samir Əlisabəli</t>
  </si>
  <si>
    <t>Camalova Leyli Fərhad</t>
  </si>
  <si>
    <t>Hüseynov Orxan Novruz</t>
  </si>
  <si>
    <t>İslam-zadə Aysel Adil</t>
  </si>
  <si>
    <t>Hüseynova Nigar Nizami</t>
  </si>
  <si>
    <t>İslahlı Könül Fərman</t>
  </si>
  <si>
    <t>Əhmədzadə Qızyetər Abdurahman</t>
  </si>
  <si>
    <t>Hüseynova Ülkər Oktay</t>
  </si>
  <si>
    <t>Məmmədli Elşən Mayıl</t>
  </si>
  <si>
    <t>İnformasiya təhlükəsizliyi departamenti</t>
  </si>
  <si>
    <t>Şirinov Qorxmaz Əmrah</t>
  </si>
  <si>
    <t>Bayramov Samir Talıb</t>
  </si>
  <si>
    <t>Xudaquliyev Hüseyn Arif</t>
  </si>
  <si>
    <t>Əliyev Mehti Famil</t>
  </si>
  <si>
    <t>Süleymanlı Yusif Adgözəl</t>
  </si>
  <si>
    <t>Həsənov Zaur Nəsir</t>
  </si>
  <si>
    <t>Süleymanov Vaqif Elşən</t>
  </si>
  <si>
    <t>Muradi Murad Ehtibar</t>
  </si>
  <si>
    <t>Mustafayev Sahib Rövşən</t>
  </si>
  <si>
    <t>Qədirli Qədir Əfqan</t>
  </si>
  <si>
    <t>Əhmədov Rəşad Ələkbər</t>
  </si>
  <si>
    <t>Seyidzadə Rəşadət Fazil</t>
  </si>
  <si>
    <t>Kiçibəyov Nahid Namiq</t>
  </si>
  <si>
    <t>Haqverdiyev İlqar Habil</t>
  </si>
  <si>
    <t>Nağdiyev Şahin Atabəy</t>
  </si>
  <si>
    <t>Sadıqova Rəna İlqar</t>
  </si>
  <si>
    <t>Səfərli Çingiz Azər</t>
  </si>
  <si>
    <t>Kərimov Kamran Kənan</t>
  </si>
  <si>
    <t>Rzazadə Murad Elçin</t>
  </si>
  <si>
    <t>Şəfiyev Murad Şahin</t>
  </si>
  <si>
    <t>Hüseynli Əli Natiq</t>
  </si>
  <si>
    <t>Bəşirov Nəsirağa Səlahəddin</t>
  </si>
  <si>
    <t>Kərimova Mehriban Rauf</t>
  </si>
  <si>
    <t>Abbasov Şamil Bəhruz</t>
  </si>
  <si>
    <t>Qandaxov Ramazan Ramin</t>
  </si>
  <si>
    <t>Rüstəmli Zaur Firdovsi</t>
  </si>
  <si>
    <t>Səfərəliyev Sənan Bayram</t>
  </si>
  <si>
    <t>Xəlilzadə Rəşid Həmid</t>
  </si>
  <si>
    <t>Cabbarlı Samir Saleh</t>
  </si>
  <si>
    <t>İsmayılov Əbülfəz Fəhrad</t>
  </si>
  <si>
    <t>Əlimov Kamil Şamil</t>
  </si>
  <si>
    <t>Cəfərov Pərviz Elçin</t>
  </si>
  <si>
    <t>Əlləzov Qədir Sahib</t>
  </si>
  <si>
    <t>Vəliyeva İlahə Etibar</t>
  </si>
  <si>
    <t>İsmayılzadə Nigar Nail</t>
  </si>
  <si>
    <t>Salamova Günel Elşən</t>
  </si>
  <si>
    <t>Rəhimli Fuad Polad</t>
  </si>
  <si>
    <t>İmanov Elxan Səftər</t>
  </si>
  <si>
    <t>Mənsimov Nicat Cəfər</t>
  </si>
  <si>
    <t>Əliyev İbrahim Elçin</t>
  </si>
  <si>
    <t>Hüseynov Səbuhi Ramiq</t>
  </si>
  <si>
    <t>Nəbili Oktay Sübhi</t>
  </si>
  <si>
    <t>Hacıyev Orxan Şəfayət</t>
  </si>
  <si>
    <t>Akifli Rüstəm Fərmayıl</t>
  </si>
  <si>
    <t>Mursaquliyev Vahid Hikmət</t>
  </si>
  <si>
    <t>Çələbiyev Xanverdi Mübariz</t>
  </si>
  <si>
    <t>Lalayev Fərid Cəmil</t>
  </si>
  <si>
    <t>Hümbətzadə Sahib Niyazi</t>
  </si>
  <si>
    <t>İsmayılov İbrahim Zakir</t>
  </si>
  <si>
    <t>Əsgərli Toğrul İsgəndər</t>
  </si>
  <si>
    <t>Babayeva Nigar Saleh</t>
  </si>
  <si>
    <t>Ağamalıyev Əhməd Muxtar</t>
  </si>
  <si>
    <t>Abdulkərimov Fərhad Rafiq</t>
  </si>
  <si>
    <t>Mahmudov Ayxan Məmməd</t>
  </si>
  <si>
    <t>İsmayıllı Cəmil Rasim</t>
  </si>
  <si>
    <t>Abbaslı Nicat Nazir</t>
  </si>
  <si>
    <t>Qəndilov Qasım Azər</t>
  </si>
  <si>
    <t>Əsədov Pəncəli Əli</t>
  </si>
  <si>
    <t>Səlimli Əziz Səlim</t>
  </si>
  <si>
    <t>Zeynalov Ramin Vahid</t>
  </si>
  <si>
    <t>Platforma təhlükəsizliyi şöbəsi</t>
  </si>
  <si>
    <t>Şəbəkə təhlükəsizliyi şöbəsi</t>
  </si>
  <si>
    <t>İnformasiya təhlükəsizliyi üzrə GRC şöbəsi</t>
  </si>
  <si>
    <t>Kibermüdafiə şöbəsi</t>
  </si>
  <si>
    <t>Məhsul təhlükəsizliyi şöbəsi</t>
  </si>
  <si>
    <t>İT risklərinin idarə edilməsi şöbəsi</t>
  </si>
  <si>
    <t>Baş mütəxəssis (0,5 ştat vahidi üzrə)</t>
  </si>
  <si>
    <t>aparıcı mütəxəssis</t>
  </si>
  <si>
    <t>Direktor müavini (əvəzçilik qaydasında)</t>
  </si>
  <si>
    <t>baş mütəxəssis</t>
  </si>
  <si>
    <t>Kiçik mütəxəssis (0,5 ştat vahidi üzrə)</t>
  </si>
  <si>
    <t>menecer</t>
  </si>
  <si>
    <t>kiçik mütəxəssis(0,5 ştat vahidi üzrə)</t>
  </si>
  <si>
    <t>mütəxəssis(0,5 ştat vahidi üzrə)</t>
  </si>
  <si>
    <t>İnzibati idarəetmə departamenti</t>
  </si>
  <si>
    <t>Təmir və Xidmət Şöbəsi</t>
  </si>
  <si>
    <t>Ştayeva Stella Nikolayevna</t>
  </si>
  <si>
    <t>Xadimə</t>
  </si>
  <si>
    <t>Təmir və Xidmət şöbəsi</t>
  </si>
  <si>
    <t>Rəcəbova Elmira Ələskərovna</t>
  </si>
  <si>
    <t>Xadimə (0,5 ştat vahidi ilə Naxçıvan üzrə)</t>
  </si>
  <si>
    <t>Xidmətçi</t>
  </si>
  <si>
    <t>Nəqliyyat şöbəsi</t>
  </si>
  <si>
    <t>Sürücü</t>
  </si>
  <si>
    <t>Frolov Denis Aleksandroviç</t>
  </si>
  <si>
    <t>Sürücü (Naxçıvan üzrə)</t>
  </si>
  <si>
    <t>Satınalma və Təchizat Şöbəsi</t>
  </si>
  <si>
    <t>Kiçik mütəxəssis (müvəqqəti)</t>
  </si>
  <si>
    <t>İnzibati Əməliyyatlar Şöbəsi</t>
  </si>
  <si>
    <t>Aparıcı Mütəxəssis</t>
  </si>
  <si>
    <t>Baş Mütəxəssis</t>
  </si>
  <si>
    <t>Usta</t>
  </si>
  <si>
    <t>Texniki işçi</t>
  </si>
  <si>
    <t>Texniki işçi (0,5 ştat vahidi üzrə)</t>
  </si>
  <si>
    <t>Məmmədov Bəşir Mais</t>
  </si>
  <si>
    <t>Kərimov Ceyhun Əhəd</t>
  </si>
  <si>
    <t>Məmmədov Cavid Mehman</t>
  </si>
  <si>
    <t>Babayeva Günel Rizvan</t>
  </si>
  <si>
    <t>Sadıqova Durna Əlixan</t>
  </si>
  <si>
    <t>Əliyeva Fatma Rəşid</t>
  </si>
  <si>
    <t>Qurbanova Gülüş Qəndəfər</t>
  </si>
  <si>
    <t>Məmmədova Aytən Firuz</t>
  </si>
  <si>
    <t>Mehdiyeva Xuraman Ramazan</t>
  </si>
  <si>
    <t>İsmixanova Ruminə Şahbaz</t>
  </si>
  <si>
    <t>Məmmədova Xanım Zeynal</t>
  </si>
  <si>
    <t>Əliquluyeva Zərnişan Oruc</t>
  </si>
  <si>
    <t>Həsənova Validə İmran</t>
  </si>
  <si>
    <t>Qurbanova Hilal Abbas</t>
  </si>
  <si>
    <t>Əliyarova Səadət Zahid</t>
  </si>
  <si>
    <t>Bəbirova Xuraman Eldar</t>
  </si>
  <si>
    <t>Quliyeva Mədinə Baba</t>
  </si>
  <si>
    <t>Bənnayeva Sevinc Əli Ağa</t>
  </si>
  <si>
    <t>Hüseynova Fatma Müzəffər</t>
  </si>
  <si>
    <t>Bayramova Simuzər Mövlud</t>
  </si>
  <si>
    <t>Baxışeva Aygün Hüseynağa</t>
  </si>
  <si>
    <t>Novruzova Məhfuzə Naməd</t>
  </si>
  <si>
    <t>Ağayeva Samirə Şamil</t>
  </si>
  <si>
    <t>Aydınova Gülşanə Qismət</t>
  </si>
  <si>
    <t>Baxşiyeva Nailə Şahvələd</t>
  </si>
  <si>
    <t>Mikayılova Sevda Şamil</t>
  </si>
  <si>
    <t>Nəcəfova Firuzə Əlihüseyn</t>
  </si>
  <si>
    <t>Hacıyeva Məlahət Məmmədəli</t>
  </si>
  <si>
    <t>Səfərova Maksudə Məmmədvəli</t>
  </si>
  <si>
    <t>Süleymanova Yazgül İkram</t>
  </si>
  <si>
    <t>Məmmədova Sevinc Barat</t>
  </si>
  <si>
    <t>Dibirova Rəqsanə Elxan</t>
  </si>
  <si>
    <t>Bəbişova Arzu Balasəməd</t>
  </si>
  <si>
    <t>Mehtiyeva Nuranə Yusif</t>
  </si>
  <si>
    <t>Namazova Sevda Bəhlul</t>
  </si>
  <si>
    <t>Əsədova Təranə Təhməz</t>
  </si>
  <si>
    <t>Kərimova Cəvahir Sabir</t>
  </si>
  <si>
    <t>Fərəcova Qətibə Arif</t>
  </si>
  <si>
    <t>Abdullayeva Fərqanə Zeynalabdi</t>
  </si>
  <si>
    <t>Həsənova Ruhiyyə Hüseyn</t>
  </si>
  <si>
    <t>Kazımova Şölə Allahverdi</t>
  </si>
  <si>
    <t>Əliheydərova Mehriban Tofiq</t>
  </si>
  <si>
    <t>Hətəmova Nahidə Məhəmmədəli</t>
  </si>
  <si>
    <t>Ağayeva Zahirə Balayar</t>
  </si>
  <si>
    <t>Əsədova Aynur Rasim</t>
  </si>
  <si>
    <t>Rəhimova Günel Azad</t>
  </si>
  <si>
    <t>İsmayılova Ceyhunə Tofik</t>
  </si>
  <si>
    <t>Gərayeva Səadət Mirsəyyaf</t>
  </si>
  <si>
    <t>Ağayeva Səbinə Sabir</t>
  </si>
  <si>
    <t>Hacıyeva Zülfiyyə Qurban</t>
  </si>
  <si>
    <t>Mövlamova Nailə Ramiz</t>
  </si>
  <si>
    <t>İsayeva Gülnarə Vahid</t>
  </si>
  <si>
    <t>Məmmədova Aynurə Yasir</t>
  </si>
  <si>
    <t>Ağayeva İradə Bəşir</t>
  </si>
  <si>
    <t>Əhmədova İlhamə İspəndiyar</t>
  </si>
  <si>
    <t>Səfərova Rəfiqə Vaqif</t>
  </si>
  <si>
    <t>Qurbanova Xəyalə İlqar</t>
  </si>
  <si>
    <t>Məmmədalıyeva Yasəmən Möhübbət</t>
  </si>
  <si>
    <t>Süleymanova Samirə Süleyman</t>
  </si>
  <si>
    <t>Bayramova Təranə Ağasəf</t>
  </si>
  <si>
    <t>Ağayeva Gülşən Mirhabil</t>
  </si>
  <si>
    <t>Abasova Elnurə Əzizağa</t>
  </si>
  <si>
    <t>Saadova İntizar Şabiddin</t>
  </si>
  <si>
    <t>Sultanova Samirə Balaqadaş</t>
  </si>
  <si>
    <t>Məmmədli Samir Vaqif</t>
  </si>
  <si>
    <t>Əliyev Azad Nəriman</t>
  </si>
  <si>
    <t>Muradov Asif Arif</t>
  </si>
  <si>
    <t>Səfərov Azad Rasim</t>
  </si>
  <si>
    <t>Zeynalov Bəxtiyar Fuad</t>
  </si>
  <si>
    <t>Əhmədov İlqar Əli</t>
  </si>
  <si>
    <t>Nəzərov Fizuli Raqib</t>
  </si>
  <si>
    <t>Qasımzadə Tural Rafiq</t>
  </si>
  <si>
    <t>Cəlalov Namiq Maarif</t>
  </si>
  <si>
    <t>Cahangirov Yalçın İdris</t>
  </si>
  <si>
    <t>Kazımov Kamal Arif</t>
  </si>
  <si>
    <t>Məmmədov Nazim Əlif</t>
  </si>
  <si>
    <t>Əfəndiyev Müşfiq Rauf</t>
  </si>
  <si>
    <t>İmanov Ruslan Sevdiyar</t>
  </si>
  <si>
    <t>Alışov Tahir Mamed</t>
  </si>
  <si>
    <t>Babayev Cabir Müqabil</t>
  </si>
  <si>
    <t>Alai Elçin Məmməd</t>
  </si>
  <si>
    <t>Allahverdiyev Faiq Osman</t>
  </si>
  <si>
    <t>Kərimov Fazil Yusif</t>
  </si>
  <si>
    <t>Məsiyev Habil İsgəndər</t>
  </si>
  <si>
    <t>Əjdərov Ramiz Ənvər</t>
  </si>
  <si>
    <t>Qayıbov Azər Faiq</t>
  </si>
  <si>
    <t>Həsənov Firuz Fərrux</t>
  </si>
  <si>
    <t>Fətullayev Xalid Cəfər</t>
  </si>
  <si>
    <t>Zahidov Ramin Divanxan</t>
  </si>
  <si>
    <t>Babayev Rafiq Baba</t>
  </si>
  <si>
    <t>Əzizov Namiq Arif</t>
  </si>
  <si>
    <t>Quliyev İlqar Soltan</t>
  </si>
  <si>
    <t>Əliyev Cavad Natiq</t>
  </si>
  <si>
    <t>Budaqov Elxan Spartak</t>
  </si>
  <si>
    <t>Ayvazov Zaur Elmar</t>
  </si>
  <si>
    <t>Əhmədov Anar Məmiş</t>
  </si>
  <si>
    <t>Vahabov İlqar Məməti</t>
  </si>
  <si>
    <t>Əliyev Kəvakib Qarçıqay</t>
  </si>
  <si>
    <t>Novruzov Hakim Arif</t>
  </si>
  <si>
    <t>Rzayev Rza Əli</t>
  </si>
  <si>
    <t>Axundova Aygün Şahin</t>
  </si>
  <si>
    <t>Mirsiyabova Kubra Namiq</t>
  </si>
  <si>
    <t>Ayvazov Əli Tofiq</t>
  </si>
  <si>
    <t>Əliyeva Aynur Natiq</t>
  </si>
  <si>
    <t>Qacarova Əfsanə Hümbət</t>
  </si>
  <si>
    <t>Mustafayev Ruslan Yavər</t>
  </si>
  <si>
    <t>İdayətova Səbinə İlham</t>
  </si>
  <si>
    <t>Hudulova Lamiyə Kamalddin</t>
  </si>
  <si>
    <t>Hacıyeva Gülnarə Maarif</t>
  </si>
  <si>
    <t>Zeynalova Firəngiz Anar</t>
  </si>
  <si>
    <t>Bədirxanova Səbinə İsmiyat</t>
  </si>
  <si>
    <t>Quliyev Tural Alay</t>
  </si>
  <si>
    <t>Ağcabəyova Qiyafət Zaur</t>
  </si>
  <si>
    <t>Təvəkkülova Nəzakət Nizami</t>
  </si>
  <si>
    <t>Nağızadə Xəyalə Vilayət</t>
  </si>
  <si>
    <t>Rəşidov Murad Mir Yaşar</t>
  </si>
  <si>
    <t>Qaharmanova Zeynəb Əlişir</t>
  </si>
  <si>
    <t>Xammədli Aydan Kamran</t>
  </si>
  <si>
    <t>Abbasov Şamxal Asif</t>
  </si>
  <si>
    <t>Əlvani Aydan Əlirza</t>
  </si>
  <si>
    <t>Əhmədova Zərinə Mirmayis</t>
  </si>
  <si>
    <t>Sadıxzadə Şəmsi Elçin</t>
  </si>
  <si>
    <t>Rzayeva Fəridə Tofiq</t>
  </si>
  <si>
    <t>Hümbətova Vəfa Faiq</t>
  </si>
  <si>
    <t>Cəfərov İlkin Firidun</t>
  </si>
  <si>
    <t>Məmmədli Cavid Şakir</t>
  </si>
  <si>
    <t>Hacıyev Bəxtiyar Rauf</t>
  </si>
  <si>
    <t>Qaraçobanova Aybəniz İlham</t>
  </si>
  <si>
    <t>Mustafayev Ramil Rauf</t>
  </si>
  <si>
    <t>Hüseynov Sərxan Mehman</t>
  </si>
  <si>
    <t>Cahangirov Əzizxan Bəxtiyar</t>
  </si>
  <si>
    <t>Nəsibova Cəmilə Tahir</t>
  </si>
  <si>
    <t>Həsənov Rəşad Kərim</t>
  </si>
  <si>
    <t>İslamzadə Gülşən Mehman</t>
  </si>
  <si>
    <t>Nəsirov Məhəmməd Yadigar</t>
  </si>
  <si>
    <t>Əlizadə Anar Natiq</t>
  </si>
  <si>
    <t>İsmayılzadə Validə Muxtar</t>
  </si>
  <si>
    <t>Əliyev Elvin Oqtay</t>
  </si>
  <si>
    <t>Şahveranov Yusif Yurin</t>
  </si>
  <si>
    <t>Eminov Mübariz Ağaməlik</t>
  </si>
  <si>
    <t>Ağayeva Fidan Rasim</t>
  </si>
  <si>
    <t>Məmmədov Elmir Mübariz</t>
  </si>
  <si>
    <t>Həbilova Elza Faiq</t>
  </si>
  <si>
    <t>Minetullayeva Zamina Minetulla</t>
  </si>
  <si>
    <t>İbrahimov Rasim Qəzənfər</t>
  </si>
  <si>
    <t>Hikmət Elnur Hikmət</t>
  </si>
  <si>
    <t>Qüdrətov Adil İntiqam</t>
  </si>
  <si>
    <t>Adıgözəlov Ədalət Ədalət</t>
  </si>
  <si>
    <t>Bayramov Aydın Ramil</t>
  </si>
  <si>
    <t>Əsgərov Əliheydər Namdar</t>
  </si>
  <si>
    <t>İbrahimov Emil Arif</t>
  </si>
  <si>
    <t>Hacıyev Samir Ramiz</t>
  </si>
  <si>
    <t>Qurbanəliyev Rahim Məhərrəm</t>
  </si>
  <si>
    <t>Mahmudov Rafət Hüseyn</t>
  </si>
  <si>
    <t>Məlikzadə Bəhruz Arzuman</t>
  </si>
  <si>
    <t>Mürşüdov İlqar Mürşüd</t>
  </si>
  <si>
    <t>Vəliyev Rəşid Sənan</t>
  </si>
  <si>
    <t>Məmmədov Vüqar İlqar</t>
  </si>
  <si>
    <t>Fərzəliyev Alıxan İsmayil</t>
  </si>
  <si>
    <t>TALANIN MIKHAIL</t>
  </si>
  <si>
    <t>İT infrastruktur departamenti</t>
  </si>
  <si>
    <t>İT hüquqlar və texniki dəstək şöbəsi</t>
  </si>
  <si>
    <t>BULGAKOV DENIS</t>
  </si>
  <si>
    <t>İT xidmətlərinin idarə edilməsi şöbəsi</t>
  </si>
  <si>
    <t>USKOV MIKHAIL</t>
  </si>
  <si>
    <t>KOSTENKO ILIA</t>
  </si>
  <si>
    <t>NIKOLENKO TIMOFEI</t>
  </si>
  <si>
    <t>Şəbəkə əməliyyatları şöbəsi</t>
  </si>
  <si>
    <t>İT hüquqlar bölməsi</t>
  </si>
  <si>
    <t>Yermolayev Dmitriy Vitalyeviç</t>
  </si>
  <si>
    <t>Texniki dəstək bölməsi</t>
  </si>
  <si>
    <t>İlkin dəstək bölməsi</t>
  </si>
  <si>
    <t>Hüseynov Fərid Fikrət</t>
  </si>
  <si>
    <t>Sistem və şəbəkənin idarə edilməsi şöbəsi</t>
  </si>
  <si>
    <t>Sistemlərin idarə edilməsi bölməsi</t>
  </si>
  <si>
    <t>Rabitə sistemlərinin idarə edilməsi bölməsi</t>
  </si>
  <si>
    <t>Mustafayev Kamran Vladimiroviç</t>
  </si>
  <si>
    <t>Şəbəkənin idarə edilməsi bölməsi</t>
  </si>
  <si>
    <t>Orucov Tərlan Nasir</t>
  </si>
  <si>
    <t>Elifov Məhəmməd İbramoviç</t>
  </si>
  <si>
    <t>ZIIADKHANLY ZAUR</t>
  </si>
  <si>
    <t>Qreçnev Vadim Aleksandroviç</t>
  </si>
  <si>
    <t>İT xidmətlərinin monitorinqi və hadisələrin idarə edilməsi şöbəsi</t>
  </si>
  <si>
    <t>Verilənlər bazalarının idarə edilməsi bölməsi</t>
  </si>
  <si>
    <t>Sakit Amirli</t>
  </si>
  <si>
    <t>Fizuli Alakbarli</t>
  </si>
  <si>
    <t>Mehdi Ibrahimov</t>
  </si>
  <si>
    <t>Ali Zamanli</t>
  </si>
  <si>
    <t>Farhad Aliyev</t>
  </si>
  <si>
    <t>Hüseynov Samir Əli</t>
  </si>
  <si>
    <t>Əliyeva Əminə Aslan</t>
  </si>
  <si>
    <t>Kərimova Nəzrin Eldəniz</t>
  </si>
  <si>
    <t>Aslanov Fərid Həsən</t>
  </si>
  <si>
    <t>Əhmədov Eynar Eyvaz</t>
  </si>
  <si>
    <t>Əhmədov Tamerlan Mehti</t>
  </si>
  <si>
    <t>İsrafilov Racib Telman</t>
  </si>
  <si>
    <t>Məmmədov Rəşad Oqtay</t>
  </si>
  <si>
    <t>Yusibov Binnət Sadiq</t>
  </si>
  <si>
    <t>Rüstəmli Məsim Çingiz</t>
  </si>
  <si>
    <t>Vəliyev Arzu Ülfət</t>
  </si>
  <si>
    <t>İbrahimli Qoşqar Rövşən</t>
  </si>
  <si>
    <t>Məmmədov Toğrul İbrahim</t>
  </si>
  <si>
    <t>Ramazanova Çinarə Elşad</t>
  </si>
  <si>
    <t>Məmmədli Sona Naseh</t>
  </si>
  <si>
    <t>Tağıyev Əli Vilayət</t>
  </si>
  <si>
    <t>Mehdiyev Elmir Niyazi</t>
  </si>
  <si>
    <t>Salamlı Şəms Şərif</t>
  </si>
  <si>
    <t>Əhmədzadə Tehranə İsmayıl</t>
  </si>
  <si>
    <t>Səlimova Jalə Həsənağa</t>
  </si>
  <si>
    <t>Nuriyev Aydın Məhərrəməli</t>
  </si>
  <si>
    <t>Muradlı Lütviyyə Zavur</t>
  </si>
  <si>
    <t>Zülfüqarov Tural Telman</t>
  </si>
  <si>
    <t>Məmmədov Azər Vidadi</t>
  </si>
  <si>
    <t>Vəliyeva Arzu Bilal</t>
  </si>
  <si>
    <t>İsmayılzadə Vüqar Rasim</t>
  </si>
  <si>
    <t>Vəliyev Süleyman Sabir</t>
  </si>
  <si>
    <t>Ağayev Rafiq Riad</t>
  </si>
  <si>
    <t>Cəfərov Əfqan Tağı</t>
  </si>
  <si>
    <t>Cəfərzadə Araz Zaur</t>
  </si>
  <si>
    <t>Kişiyev Arif Nadir</t>
  </si>
  <si>
    <t>Nəsirov Fərid Mirteyyub</t>
  </si>
  <si>
    <t>Həsənli Murad Əprayıl</t>
  </si>
  <si>
    <t>İsayev Şamo Musa</t>
  </si>
  <si>
    <t>Həmidov Musa Səməd</t>
  </si>
  <si>
    <t>Ələkbərli Mirhüseyn Ehtibar</t>
  </si>
  <si>
    <t>Quluzadə Emil Rza</t>
  </si>
  <si>
    <t>Muradalı Kamandar Yaşar</t>
  </si>
  <si>
    <t>Qəniyev Səid Səyavuş</t>
  </si>
  <si>
    <t>Mehdiyev Anar Rza</t>
  </si>
  <si>
    <t>Məhəmmədli Nihad Ədalət</t>
  </si>
  <si>
    <t>İsmayılova Nuray Fərid</t>
  </si>
  <si>
    <t>Zeynallı Nurlan Halay</t>
  </si>
  <si>
    <t>Zeynalov Fuad Qafar</t>
  </si>
  <si>
    <t>Hacıyev Aydin Rüstəm</t>
  </si>
  <si>
    <t>Fəttayev Aydın Rauf</t>
  </si>
  <si>
    <t>Ocaqova Nuhran Əfqan</t>
  </si>
  <si>
    <t>Kişiyeva Nərgiz Zamin</t>
  </si>
  <si>
    <t>Cəfərov Sabir Məzahir</t>
  </si>
  <si>
    <t>Süleymanova Fidan Mehman</t>
  </si>
  <si>
    <t>Xudayarov Ağarza Vaqif</t>
  </si>
  <si>
    <t>Məhərrəmov Fərhad Vüqar</t>
  </si>
  <si>
    <t>Cerial Surac Bharat</t>
  </si>
  <si>
    <t>Ağazadə Əmrah Nazim</t>
  </si>
  <si>
    <t>Sultanov Ruslan Osman</t>
  </si>
  <si>
    <t>Mehdiyev Mehdi Namiq</t>
  </si>
  <si>
    <t>Namazov Nizami Namaz</t>
  </si>
  <si>
    <t>İsazadə Hacı Bəhram</t>
  </si>
  <si>
    <t>Qasımov Anar Hafiz</t>
  </si>
  <si>
    <t>Ataxanov Vüsal Elxan</t>
  </si>
  <si>
    <t>Məmmədzadə Cəlal Elxan</t>
  </si>
  <si>
    <t>Geyuşova Fidan Fazil</t>
  </si>
  <si>
    <t>Mustafazadə Fərid Xalid</t>
  </si>
  <si>
    <t>Daşdəmirov Asim Simran</t>
  </si>
  <si>
    <t>Babayev Elmar Elyar</t>
  </si>
  <si>
    <t>Vəliyev Adil Vəli</t>
  </si>
  <si>
    <t>Dadayev Ruslan Abdulla</t>
  </si>
  <si>
    <t>Əliyev Sərxan Zahid</t>
  </si>
  <si>
    <t>Əkbərov Əli Rauf</t>
  </si>
  <si>
    <t>Əzimov Emil Yalçın</t>
  </si>
  <si>
    <t>Həsənov Zamin İlham</t>
  </si>
  <si>
    <t>Əliyev Zamiq Əliağa</t>
  </si>
  <si>
    <t>Qasımov Kamran Bəxtiyar</t>
  </si>
  <si>
    <t>İsrafilov Aqşin Ramiz</t>
  </si>
  <si>
    <t>Əliyev Çinar Adil</t>
  </si>
  <si>
    <t>Mustafayeva Elnarə Elxan</t>
  </si>
  <si>
    <t>Əliyeva Məryəm Pəhlivan</t>
  </si>
  <si>
    <t>Şükürov Zaur Məhəmməd</t>
  </si>
  <si>
    <t>İT proseslərinin idarə edilməsi funksional sahəsi</t>
  </si>
  <si>
    <t>İT proseslərinin idarə edilməsi üzrə ekspert</t>
  </si>
  <si>
    <t>Ağazadə Aidə İbrahim</t>
  </si>
  <si>
    <t>Əfəndiyev Camaləddin Vasif</t>
  </si>
  <si>
    <t>İsmayılova Fidan İlkin</t>
  </si>
  <si>
    <t>Komplayens departamenti</t>
  </si>
  <si>
    <t>ÇPY və TMM şöbəsi</t>
  </si>
  <si>
    <t>Aparıcı mütəxəssis(müvəqqəti)</t>
  </si>
  <si>
    <t>Komplayens risklərinin idarə edilməsi və monitorinq şöbəsi</t>
  </si>
  <si>
    <t>Piriyev Elmar Akifoviç</t>
  </si>
  <si>
    <t>Abbaslı Alyona Oleqovna</t>
  </si>
  <si>
    <t>Baş mütəxəssis (müvəqqəti)</t>
  </si>
  <si>
    <t>Komplayens hesabatlığı şöbəsi</t>
  </si>
  <si>
    <t>Komplayens sahəsi üzrə fəaliyyətin idarə edilməsi şöbəsi</t>
  </si>
  <si>
    <t>Data və Aİ sahəsində uyğunluğa nəzarət şöbəsi</t>
  </si>
  <si>
    <t>Ekosistem üzrə məhsul və proseslərdə komplayens dəstəyi şöbəsi</t>
  </si>
  <si>
    <t>Requlyativ uyğunluq şöbəsi</t>
  </si>
  <si>
    <t>Musayeva Almaz Cavad</t>
  </si>
  <si>
    <t>Kərimov Rauf Arif</t>
  </si>
  <si>
    <t>Cəfərov Şəhriyar Şahmar</t>
  </si>
  <si>
    <t>Əhmədova Nailə Rəşid</t>
  </si>
  <si>
    <t>Qulizadə Sahilə İlyas</t>
  </si>
  <si>
    <t>Yusifov Emin Natiq</t>
  </si>
  <si>
    <t>Süleymanlı Kənan Rasim</t>
  </si>
  <si>
    <t>Məmmədova Gülnar Mustafa</t>
  </si>
  <si>
    <t>Zülfüqarov Cavid Zahid</t>
  </si>
  <si>
    <t>Niyazova Leyla Vaqif</t>
  </si>
  <si>
    <t>Qəhrəmanova Sevinc Pənah</t>
  </si>
  <si>
    <t>Həsənli Nailə Hikmət</t>
  </si>
  <si>
    <t>Qafulova Zərifə Məhərrəm</t>
  </si>
  <si>
    <t>Nifdullayev Cəmil Adil</t>
  </si>
  <si>
    <t>Vəliyeva Günel Murad</t>
  </si>
  <si>
    <t>Rəsulov Kənan Rəcəb</t>
  </si>
  <si>
    <t>Şabanova Sevinc Famil</t>
  </si>
  <si>
    <t>Şirinov Nihad Oktay</t>
  </si>
  <si>
    <t>Talıbova Pəri Zahir</t>
  </si>
  <si>
    <t>Güləliyev Sadiq Xanoğlan</t>
  </si>
  <si>
    <t>Poladzadə Məmməd Saleh</t>
  </si>
  <si>
    <t>Yusifli Ülvi Eyyub</t>
  </si>
  <si>
    <t>Əzimova Sevinc Şahin</t>
  </si>
  <si>
    <t>Sadıqov Fərid Elnur</t>
  </si>
  <si>
    <t>Mehdiyeva Nazpəri Mehman</t>
  </si>
  <si>
    <t>Əzizli Fəhmin Vaqif</t>
  </si>
  <si>
    <t>Qasımova Aynur Rauf</t>
  </si>
  <si>
    <t>Muradəliyeva Sülhiyyə Nadir</t>
  </si>
  <si>
    <t>Əsgərova Leyla Ramil</t>
  </si>
  <si>
    <t>Bəyməmmədov Sahil Yunis</t>
  </si>
  <si>
    <t>Hüseynzadə Gülnar Məzahir</t>
  </si>
  <si>
    <t>Ədilzadə Türkay Rövşən</t>
  </si>
  <si>
    <t>Məlikməmmədova Ofelya Telman</t>
  </si>
  <si>
    <t>Ağayeva Aytac Ağasəməd</t>
  </si>
  <si>
    <t>İsmayılov İsrafil Bilal</t>
  </si>
  <si>
    <t>Hüseynova Nuranə Elçin</t>
  </si>
  <si>
    <t>Şabanov Vüqar Ayaz</t>
  </si>
  <si>
    <t>Cəbiyeva Türkay Əjdər</t>
  </si>
  <si>
    <t>Orucova Gülnar Arzuman</t>
  </si>
  <si>
    <t>Mirzaliyev Mirzalı Taryel</t>
  </si>
  <si>
    <t>Quliyev Abbas Sabir</t>
  </si>
  <si>
    <t>Hüseynzadə Fuad Ceyhun</t>
  </si>
  <si>
    <t>Məmmədov Eldar Elbrus</t>
  </si>
  <si>
    <t>Mikayılova Səbinə Şahbaz</t>
  </si>
  <si>
    <t>Rüstəmzadə Xanım Fuad</t>
  </si>
  <si>
    <t>Zeynalova Günay Zəlumxan</t>
  </si>
  <si>
    <t>Babayev Nemət Rafət</t>
  </si>
  <si>
    <t>Hüseynli Əli Nizami</t>
  </si>
  <si>
    <t>Quliyev İlkin Nizami</t>
  </si>
  <si>
    <t>Səttarova Ruqiyə Vəli</t>
  </si>
  <si>
    <t>Mustafayev Kamran Çingiz</t>
  </si>
  <si>
    <t>Korporativ inkişaf və investor əlaqələri departamenti</t>
  </si>
  <si>
    <t>RIZVANOV RUSTAM</t>
  </si>
  <si>
    <t>Head of Division</t>
  </si>
  <si>
    <t>Manager</t>
  </si>
  <si>
    <t>Senior Specialist</t>
  </si>
  <si>
    <t>Specialist</t>
  </si>
  <si>
    <t>Leading Specialist</t>
  </si>
  <si>
    <t>Maternity Leave</t>
  </si>
  <si>
    <t>Head Accountant</t>
  </si>
  <si>
    <t>Head of Department</t>
  </si>
  <si>
    <t>Accountant</t>
  </si>
  <si>
    <t>Senior Accountant</t>
  </si>
  <si>
    <t>Medical absence</t>
  </si>
  <si>
    <t>Lead Accountant</t>
  </si>
  <si>
    <t>Junior Accountant</t>
  </si>
  <si>
    <t>Ramazanov Abumüslüm Fai̇kovi̇ç</t>
  </si>
  <si>
    <t>Treasurer (Night Shift)</t>
  </si>
  <si>
    <t>Treasurer (Day Shift)</t>
  </si>
  <si>
    <t>Akifli Anar Akif</t>
  </si>
  <si>
    <t>Axundov Hüseyn Bəxtiyar</t>
  </si>
  <si>
    <t>Əkbərova Xəyalə Taftıq</t>
  </si>
  <si>
    <t>Əliyev Bəxtiyar Elşad</t>
  </si>
  <si>
    <t>Əliyev Samir Yaşa</t>
  </si>
  <si>
    <t>Əlizadə Nəzrin Cavid</t>
  </si>
  <si>
    <t>Əmirli Günel Valeh</t>
  </si>
  <si>
    <t>Əmirov Əvəz Mehdi</t>
  </si>
  <si>
    <t>Əsədullayeva Səbinə Oqtay</t>
  </si>
  <si>
    <t>Hacıyev Arif Rövşən</t>
  </si>
  <si>
    <t>Həsənov İlkin Arzu</t>
  </si>
  <si>
    <t>Həsənova Aysel Arzu</t>
  </si>
  <si>
    <t>Hüseynova Səidə Adil</t>
  </si>
  <si>
    <t>İbadova Fatimə Tofiq</t>
  </si>
  <si>
    <t>İbrahimli Aydan Əfqan</t>
  </si>
  <si>
    <t>İbrahimli Şəms Ibrahim</t>
  </si>
  <si>
    <t>İsmayılzadə Elxan Tariyel</t>
  </si>
  <si>
    <t>Kərim Elmir Qorxmaz</t>
  </si>
  <si>
    <t>Kərimova Gülzar Qadir</t>
  </si>
  <si>
    <t>Məhərrəmov Adil İnşalla</t>
  </si>
  <si>
    <t>Məmmədov Kamil Rauf</t>
  </si>
  <si>
    <t>Məmmədova Elnarə İsmixan</t>
  </si>
  <si>
    <t>Məmmədova Şəfiqə Musa</t>
  </si>
  <si>
    <t>Mirzəyeva Gülnar Elçin</t>
  </si>
  <si>
    <t>Muradov Fərhad Rizvan</t>
  </si>
  <si>
    <t>Muradova Lətifə Şükür</t>
  </si>
  <si>
    <t>Musayev Zaur Adil</t>
  </si>
  <si>
    <t>Mustafayev Həsən Eyvaz</t>
  </si>
  <si>
    <t>Qurbanova Gülbacı Eldar</t>
  </si>
  <si>
    <t>Rəsulov Valeh Rövşən</t>
  </si>
  <si>
    <t>Sadıqov Nurlan Taleh</t>
  </si>
  <si>
    <t>Şəfiyev Hüseyn Fədai</t>
  </si>
  <si>
    <t>Tahirli Nəzrin Elşad</t>
  </si>
  <si>
    <t>Vəliyeva Aynur Saleh</t>
  </si>
  <si>
    <t>Verdiyeva Nilufar Yaşar</t>
  </si>
  <si>
    <t>Xəlilov Hüseyn Ələkbər</t>
  </si>
  <si>
    <t>Yadigarov Fariz Məhəmməd</t>
  </si>
  <si>
    <t>Umudova Rəna Valeh</t>
  </si>
  <si>
    <t>Cəfərov Mehman Azər</t>
  </si>
  <si>
    <t>Səmədov İlkin Səməd</t>
  </si>
  <si>
    <t>Mehdiyeva Şənay Azər</t>
  </si>
  <si>
    <t>Piriyev Abdulla Vaqif</t>
  </si>
  <si>
    <t>Əzizova Minayə Sadiq</t>
  </si>
  <si>
    <t>İsmayılova Nərmin Əfqan</t>
  </si>
  <si>
    <t>İbrahimov Fərid İlqar</t>
  </si>
  <si>
    <t>Quliyev Hüseyn Elçin</t>
  </si>
  <si>
    <t>Babayev Samir Mərdan</t>
  </si>
  <si>
    <t>Məhərrəmova Səbinə Sulduz</t>
  </si>
  <si>
    <t>Babayev Mi̇rtaği Mi̇lyarbəy</t>
  </si>
  <si>
    <t>Vəli̇xanli Ceyhun Əhəd</t>
  </si>
  <si>
    <t>Muxtarova Naymə Rasi̇m</t>
  </si>
  <si>
    <t>Vəli̇mətova Anjela Fi̇krət</t>
  </si>
  <si>
    <t>Süleymanova Lami̇yə Kəri̇m</t>
  </si>
  <si>
    <t>Səmədov Əli Tamerlan</t>
  </si>
  <si>
    <t>Alıyev Kamran Mahir</t>
  </si>
  <si>
    <t>Ağayev Vasi̇f Asəf</t>
  </si>
  <si>
    <t>Ağazadə Elşad Elçin</t>
  </si>
  <si>
    <t>Əliyev Ruslan Azər</t>
  </si>
  <si>
    <t>Məmmədov İlki̇n Abduləli̇</t>
  </si>
  <si>
    <t>Abdullayev Elnur Bi̇nnət</t>
  </si>
  <si>
    <t>Hüseynov Orxan Fi̇krət</t>
  </si>
  <si>
    <t>Məmmədov Kənan Ramazan</t>
  </si>
  <si>
    <t>Ələskərova Afaq Aqi̇l</t>
  </si>
  <si>
    <t>Məmi̇yev Nemət Abazər</t>
  </si>
  <si>
    <t>Mehdi̇yev Rövşən Mehdi̇</t>
  </si>
  <si>
    <t>Məhərrəmova Şəlalə Hüseyn</t>
  </si>
  <si>
    <t>Quli̇yeva Ləman Elçi̇n</t>
  </si>
  <si>
    <t>Orucova Gülnar Məhəmməd</t>
  </si>
  <si>
    <t>Ələkbərzadə Turan Baxış</t>
  </si>
  <si>
    <t>Salamov İmran Zahi̇d</t>
  </si>
  <si>
    <t>Məmmədov Aslan Azad</t>
  </si>
  <si>
    <t>Babaşov Kamran Adil</t>
  </si>
  <si>
    <t>Marketing COE</t>
  </si>
  <si>
    <t>Marketing COE Leader</t>
  </si>
  <si>
    <t>Məmmədova Nigar Mübariz</t>
  </si>
  <si>
    <t>Marketing Communications</t>
  </si>
  <si>
    <t>Marketing Communications Expert Chapter Lead</t>
  </si>
  <si>
    <t>Hüseynov Tural Hüseyn</t>
  </si>
  <si>
    <t>Offline Marketing</t>
  </si>
  <si>
    <t>Offline Marketing Chapter Lead (vie)</t>
  </si>
  <si>
    <t>Muxtarova Şəbnəm Bəhruz</t>
  </si>
  <si>
    <t>Offline Marketing Expert</t>
  </si>
  <si>
    <t>Osmanov Elçin Maarif</t>
  </si>
  <si>
    <t>Kazımova Fatma İsmayıl</t>
  </si>
  <si>
    <t>Məmmədova Fərqanə Elsevər</t>
  </si>
  <si>
    <t>Babayeva Mahirə Maarif</t>
  </si>
  <si>
    <t>Sofiyev Nəcbəddin Miqdad</t>
  </si>
  <si>
    <t>Səhətbəyli Elvin Əbülfət</t>
  </si>
  <si>
    <t>Əliyeva Afaq Rasim</t>
  </si>
  <si>
    <t>Əliyeva Püstə Heydər</t>
  </si>
  <si>
    <t>Xəlilova Xatirə Niyazi</t>
  </si>
  <si>
    <t>Digital Marketing</t>
  </si>
  <si>
    <t>Digital Marketing Chapter Lead</t>
  </si>
  <si>
    <t>Digital Marketing Expert</t>
  </si>
  <si>
    <t>Xasıyeva Gülay Nəsimi</t>
  </si>
  <si>
    <t>Səlimi (Məmmədzadə) Fidan Emin</t>
  </si>
  <si>
    <t>Həsənova Aynurə Laçın</t>
  </si>
  <si>
    <t>Məmmədli Cavid Mürvət</t>
  </si>
  <si>
    <t>Strategic Marketing</t>
  </si>
  <si>
    <t>Strategic Marketing Chapter Lead (vie)</t>
  </si>
  <si>
    <t>Strategic Marketing Expert</t>
  </si>
  <si>
    <t>Qasımova Samira</t>
  </si>
  <si>
    <t>Abdullazadə Nigar Tahir</t>
  </si>
  <si>
    <t>Kasatkin Pavel Andreevich</t>
  </si>
  <si>
    <t>Product Marketing</t>
  </si>
  <si>
    <t>Product Marketing Expert Chapter Lead</t>
  </si>
  <si>
    <t>Fintech Product Marketing</t>
  </si>
  <si>
    <t>Product Marketing Chapter Lead</t>
  </si>
  <si>
    <t>Product Marketing Expert</t>
  </si>
  <si>
    <t>Payments Product Marketing</t>
  </si>
  <si>
    <t>Hacılı Nərmin Xalid</t>
  </si>
  <si>
    <t>Məmmədov Pünhan İntiqam</t>
  </si>
  <si>
    <t>Ədilzadə Şamxal Əbülfət</t>
  </si>
  <si>
    <t>Həmidova Fidan Vahab</t>
  </si>
  <si>
    <t>Aghayev Sanan</t>
  </si>
  <si>
    <t>Creative Solutions</t>
  </si>
  <si>
    <t>Creative Solutions Expert Chapter Lead</t>
  </si>
  <si>
    <t>Media &amp; Content</t>
  </si>
  <si>
    <t>Creative Solutions Expert</t>
  </si>
  <si>
    <t>Məmmədova Türkan</t>
  </si>
  <si>
    <t>Qasımlı Babək</t>
  </si>
  <si>
    <t>Cəbiyeva Selcan Əjdər</t>
  </si>
  <si>
    <t>Cəlalov Ruzi</t>
  </si>
  <si>
    <t>Gulum Gurbanova</t>
  </si>
  <si>
    <t>Kseniia Oskolkova</t>
  </si>
  <si>
    <t>Creative Campaigns</t>
  </si>
  <si>
    <t>Creative Campaigns Chapter Lead</t>
  </si>
  <si>
    <t>Mehdiyeva Röya</t>
  </si>
  <si>
    <t>Mirzaeva Gunel</t>
  </si>
  <si>
    <t>Bağırova Oksana İqoryevna</t>
  </si>
  <si>
    <t>Web Administration</t>
  </si>
  <si>
    <t>Web Administration Chapter Lead (vie)</t>
  </si>
  <si>
    <t>ToV Manager</t>
  </si>
  <si>
    <t>Public Relations</t>
  </si>
  <si>
    <t>Public Relations Chapter Lead</t>
  </si>
  <si>
    <t>Public Relations Expert</t>
  </si>
  <si>
    <t>International Public Relations</t>
  </si>
  <si>
    <t>Internation Public Relations Manager</t>
  </si>
  <si>
    <t>Asəfova Maya Fuad</t>
  </si>
  <si>
    <t>Model Risk Management</t>
  </si>
  <si>
    <t>Mustafayev Zeynal Kənan</t>
  </si>
  <si>
    <t>Bəhramova İlhamə İlham</t>
  </si>
  <si>
    <t>Lead Specialist</t>
  </si>
  <si>
    <t>Quliyev Oruc Sarvan</t>
  </si>
  <si>
    <t>Məmmədova Nərmin Vəli</t>
  </si>
  <si>
    <t>Mahmudov Teymur Əkbər</t>
  </si>
  <si>
    <t>Quliyeva Fidan İlqar</t>
  </si>
  <si>
    <t>Qasımzadə Kənan Nemət</t>
  </si>
  <si>
    <t>Junior Specialist</t>
  </si>
  <si>
    <t>İsayev Vüsal İlham</t>
  </si>
  <si>
    <t>Chapter Lead</t>
  </si>
  <si>
    <t>Çıraqov Elşən Nəriman</t>
  </si>
  <si>
    <t>Expert Chapter Lead</t>
  </si>
  <si>
    <t>Nadirli Fərhad Şəfayət</t>
  </si>
  <si>
    <t>Head of CoE</t>
  </si>
  <si>
    <t>Tuzov Vladislav Yuryeviç</t>
  </si>
  <si>
    <t>Mühəndislik və texnoloji platformalar ekspert mərkəzi</t>
  </si>
  <si>
    <t>Proqram mühəndisliyi funksional sahəsi</t>
  </si>
  <si>
    <t>İT biznes analitik</t>
  </si>
  <si>
    <t>Süleymanlı Nəzrin Niyazi</t>
  </si>
  <si>
    <t>Backend developer</t>
  </si>
  <si>
    <t>Mahmudov Elvin Mədəd</t>
  </si>
  <si>
    <t>DevOps və SRE funksional sahəsi</t>
  </si>
  <si>
    <t>Servis dayanıqlığı üzrə mühəndis</t>
  </si>
  <si>
    <t>Məmmədrzayev Aslan Elçin</t>
  </si>
  <si>
    <t>Frontend developer</t>
  </si>
  <si>
    <t>Həşimov Rəşad Ramazan</t>
  </si>
  <si>
    <t>Vəlixanova Cəmilə Amil</t>
  </si>
  <si>
    <t>Seyidov Əliağa Əliağa</t>
  </si>
  <si>
    <t>Mobile developer</t>
  </si>
  <si>
    <t>Balabəyli Həmid Balabəy</t>
  </si>
  <si>
    <t>Sistem developer</t>
  </si>
  <si>
    <t>Muradov Alı Ədalət</t>
  </si>
  <si>
    <t>Dursunova Səidə Əfqan</t>
  </si>
  <si>
    <t>Platform mühəndisi</t>
  </si>
  <si>
    <t>Allahverdiyeva Nərmin Azər</t>
  </si>
  <si>
    <t>Abbaslı Təhminə Mahir</t>
  </si>
  <si>
    <t>Səfərəli Aysu Vüqar</t>
  </si>
  <si>
    <t>Əliəsgərli Ələkbər İsmayıl</t>
  </si>
  <si>
    <t>Həmidzadə Qəşəm Rövşən</t>
  </si>
  <si>
    <t>Data və Aİ platformaları funksional sahəsi</t>
  </si>
  <si>
    <t>Data platformaları üzrə mühəndis</t>
  </si>
  <si>
    <t>Dadaşov Əli Etibar</t>
  </si>
  <si>
    <t>Dəvrişov Roman Saqif</t>
  </si>
  <si>
    <t>Kərimli Tərlan Abdulxalıq</t>
  </si>
  <si>
    <t>Vəliyev Tərxan Mahir</t>
  </si>
  <si>
    <t>Tech lead</t>
  </si>
  <si>
    <t>Əliyev Ruslan Novruzəli</t>
  </si>
  <si>
    <t>Əsgərov Əsgər Səməd</t>
  </si>
  <si>
    <t>Qabullu Murad Səməd</t>
  </si>
  <si>
    <t>Qasımzadə Elgün Əli</t>
  </si>
  <si>
    <t>İbrahimzadə Samir Nemət</t>
  </si>
  <si>
    <t>Ayvazova Aytən Elmar</t>
  </si>
  <si>
    <t>Seyidli Səyyad Oktay</t>
  </si>
  <si>
    <t>Adıgözəlov Orxan İlqar</t>
  </si>
  <si>
    <t>Verilənlər bazası üzrə mühəndis</t>
  </si>
  <si>
    <t>Hüseynov Nurlan Ədalət</t>
  </si>
  <si>
    <t>Lətifli Rəvan Ənvər</t>
  </si>
  <si>
    <t>Rəhimova Aydan Aydın</t>
  </si>
  <si>
    <t>Teymurov Ərşad Etibar</t>
  </si>
  <si>
    <t>Şibliyev Murad Əliyar</t>
  </si>
  <si>
    <t>Məmmədov İnad Sahib</t>
  </si>
  <si>
    <t>GRİGOREV PAVEL</t>
  </si>
  <si>
    <t>DRESVİANNİKOV İGOR</t>
  </si>
  <si>
    <t>İsgəndərov Nadir Rüfət</t>
  </si>
  <si>
    <t>Bayramov İlham Nəriman</t>
  </si>
  <si>
    <t>Qurbanov Elnur Tofiq</t>
  </si>
  <si>
    <t>Əliyev Aslan Asif</t>
  </si>
  <si>
    <t>Əhmədov Qalib Muraz</t>
  </si>
  <si>
    <t>Ələkbərov Vüsal Eldar</t>
  </si>
  <si>
    <t>Səmədov Murad Zahir</t>
  </si>
  <si>
    <t>Əliyev Elmdar Yadigar</t>
  </si>
  <si>
    <t>AKHMETSHİN FARKHAD</t>
  </si>
  <si>
    <t>Hacı Sənan Eldar</t>
  </si>
  <si>
    <t>Paşayev Rauf Ramazan</t>
  </si>
  <si>
    <t>Qasımxanova Səidə Xanlar</t>
  </si>
  <si>
    <t>Heydərov Murad Cəfər</t>
  </si>
  <si>
    <t>Kərimli Orxan Namiq</t>
  </si>
  <si>
    <t>İsmayılov Nicat Bəxdiyar</t>
  </si>
  <si>
    <t>Əfəndiyev Rəşad Məhəmməd</t>
  </si>
  <si>
    <t>Babayev Saiq Səyavuş</t>
  </si>
  <si>
    <t>Babayev İlkin Şahin</t>
  </si>
  <si>
    <t>Abbasəliyev Cavid Anar</t>
  </si>
  <si>
    <t>Əlişov Məhəmməd Vüqar</t>
  </si>
  <si>
    <t>Səlimov Tural Şahin</t>
  </si>
  <si>
    <t>QA mühəndis</t>
  </si>
  <si>
    <t>Teymurlu Rəşid Rafiq</t>
  </si>
  <si>
    <t>Mehdizadə Afiq Nazim</t>
  </si>
  <si>
    <t>SDET mühəndis</t>
  </si>
  <si>
    <t>Hümmətov Asif Asəf</t>
  </si>
  <si>
    <t>Novruzova Aysel Aydın</t>
  </si>
  <si>
    <t>Kərimli Sadiq Şahin</t>
  </si>
  <si>
    <t>Paşazadə Müzəffər Azər</t>
  </si>
  <si>
    <t>Ağayev Ağa Polad</t>
  </si>
  <si>
    <t>Ağayev Asiman Arzu</t>
  </si>
  <si>
    <t>Şıxılı Elmin Mirəli</t>
  </si>
  <si>
    <t>Paşayev Hüseyn Gündüz</t>
  </si>
  <si>
    <t>Korporativ arxitektor</t>
  </si>
  <si>
    <t>TROSHİN SERGEİ</t>
  </si>
  <si>
    <t>Dəmirov Nicat İmran</t>
  </si>
  <si>
    <t>Ağalarlı Yusif Elmar</t>
  </si>
  <si>
    <t>Bayramov Fərid Telman</t>
  </si>
  <si>
    <t>Səlimli Asim Muxtar</t>
  </si>
  <si>
    <t>Qurbanlı Şamil Mətləb</t>
  </si>
  <si>
    <t>Bədəlov Qulu Rauf</t>
  </si>
  <si>
    <t>Hüseynli Elvin Arif</t>
  </si>
  <si>
    <t>Ağayev Ənvər Samir</t>
  </si>
  <si>
    <t>Əhmədli Səməd Fikrət</t>
  </si>
  <si>
    <t>İbrahimov Fuad Ziya</t>
  </si>
  <si>
    <t>Mirzəzadə Allahşükür Ələsgər</t>
  </si>
  <si>
    <t>Asdanlı Vüqar Mərdan</t>
  </si>
  <si>
    <t>Ağayev Aydın Adilşah</t>
  </si>
  <si>
    <t>Tağıyev Ziyadxan Bektur</t>
  </si>
  <si>
    <t>Əliyev Murad Rəşad</t>
  </si>
  <si>
    <t>Qazıyev Həmid Samir</t>
  </si>
  <si>
    <t>FEDOROVA OLGA</t>
  </si>
  <si>
    <t>Kərimli Məmmədrza Aslan</t>
  </si>
  <si>
    <t>Köçərli Fərhad Nazim</t>
  </si>
  <si>
    <t>Nurəliyev Fərid Kamran</t>
  </si>
  <si>
    <t>Əliyev Elvin Elçin</t>
  </si>
  <si>
    <t>KOSHMAN DMİTRY</t>
  </si>
  <si>
    <t>Data elmi üzrə ekspert</t>
  </si>
  <si>
    <t>Süleymanov Azər Abbas</t>
  </si>
  <si>
    <t>Güləhmədzadə Bayram Rasim</t>
  </si>
  <si>
    <t>Gülməmmədli Elvin Çingiz</t>
  </si>
  <si>
    <t>Tahirli Tahir Elşad</t>
  </si>
  <si>
    <t>MURADOV RUSLAN XXX</t>
  </si>
  <si>
    <t>Kərimov Ülvi Söhbət</t>
  </si>
  <si>
    <t>Load mühəndis</t>
  </si>
  <si>
    <t>Canbaxşiyev Teymur Əbil</t>
  </si>
  <si>
    <t>GRİGOREV ALEKSANDR</t>
  </si>
  <si>
    <t>Yusifli Pərvin Bəhruz</t>
  </si>
  <si>
    <t>İbrahimov İbrahim Rəfail</t>
  </si>
  <si>
    <t>Məmmədov Babək Qalib</t>
  </si>
  <si>
    <t>Babayev Ramil Eldar</t>
  </si>
  <si>
    <t>Cəbiyev Cavid Sabit</t>
  </si>
  <si>
    <t>Quliyeva Səbinə Ülfət</t>
  </si>
  <si>
    <t>Məmmədli Vüqar Sahib</t>
  </si>
  <si>
    <t>Rəsulzadə Rəsul Elman</t>
  </si>
  <si>
    <t>Abbaslı Əli İlham</t>
  </si>
  <si>
    <t>Şirizadə Rəşad Mehman</t>
  </si>
  <si>
    <t>Rzayev Mahir Orucəli</t>
  </si>
  <si>
    <t>Ağayev Kamal Şahin</t>
  </si>
  <si>
    <t>Məmmədova Elnarə Eldar</t>
  </si>
  <si>
    <t>Nəsirov Babək Ənvər</t>
  </si>
  <si>
    <t>Hüseynzadə Qalib Nicat</t>
  </si>
  <si>
    <t>AGAEV KİAMRAN</t>
  </si>
  <si>
    <t>Ağayev Məhəmməd Ramiz</t>
  </si>
  <si>
    <t>Əliyev İbrahim Hüseyn</t>
  </si>
  <si>
    <t>Aİ platformaları üzrə mühəndis</t>
  </si>
  <si>
    <t>Məmmədov Nurlan Əli</t>
  </si>
  <si>
    <t>Vəliyev Teymur Əzizağa</t>
  </si>
  <si>
    <t>Yunuslu Miryunus Anar</t>
  </si>
  <si>
    <t>Abdullayev Fəxrəddin Səttar</t>
  </si>
  <si>
    <t>Xəlilbəyli Nizami Cəmil</t>
  </si>
  <si>
    <t>Hacıyeva Fatimə Eldəniz</t>
  </si>
  <si>
    <t>Hacıəliyev Aleksey Aleksandroviç</t>
  </si>
  <si>
    <t>Cabbarlı Ülviyyə Cavanşir</t>
  </si>
  <si>
    <t>Zeynallı Zöhrab Zeynal</t>
  </si>
  <si>
    <t>Kərimov Fuad Azad</t>
  </si>
  <si>
    <t>Hüseynzadə Türkan Hikmət</t>
  </si>
  <si>
    <t>Yusifli Mahmud Yusif</t>
  </si>
  <si>
    <t>Həşimova Günay Mübariz</t>
  </si>
  <si>
    <t>İsmayıl-Həsən-zadə Səma Tofiq</t>
  </si>
  <si>
    <t>Abdullayev İlkin Teyfur</t>
  </si>
  <si>
    <t>Şirinov İbrahim Şeyix</t>
  </si>
  <si>
    <t>Əliyev Rauf Arif</t>
  </si>
  <si>
    <t>Qasımov Elçin Yusif</t>
  </si>
  <si>
    <t>Əliyeva Kamila Nailovna</t>
  </si>
  <si>
    <t>GAMİDOV İLGAR</t>
  </si>
  <si>
    <t>Şıxəliyev Anar Səfaqəddin</t>
  </si>
  <si>
    <t>Tağıyev İsmayıl Qurban</t>
  </si>
  <si>
    <t>Əliyev Eldar Şirəli</t>
  </si>
  <si>
    <t>Məmmədli Kərəm Lətif</t>
  </si>
  <si>
    <t>Quliyev Həbib Şahin</t>
  </si>
  <si>
    <t>BELIANUSHKINA IULIIA</t>
  </si>
  <si>
    <t>Müştəri təcrübəsi ekspert mərkəzi</t>
  </si>
  <si>
    <t>Babayeva Rüxsarə İlyas</t>
  </si>
  <si>
    <t>Hüseynov Teymur Asif</t>
  </si>
  <si>
    <t>Hüseynov Aslan Teymuraz</t>
  </si>
  <si>
    <t>Eyvazzadə Aydan Zahid</t>
  </si>
  <si>
    <t>Əmirli Fatimə Orucalı</t>
  </si>
  <si>
    <t>Şükürova Aytən Əmiraslan</t>
  </si>
  <si>
    <t>Əkbərova Çiçək Babək</t>
  </si>
  <si>
    <t>Məmmədov Fuad Tariyel</t>
  </si>
  <si>
    <t>Əhədzadə Qəmər Cəlal</t>
  </si>
  <si>
    <t>Hüseynli Səbinə Fuad</t>
  </si>
  <si>
    <t>Qədirov Nicat Məhərrəm</t>
  </si>
  <si>
    <t>Əfəndiyeva Suad Elmar</t>
  </si>
  <si>
    <t>Nəzərli Fərqanə Rasim</t>
  </si>
  <si>
    <t>Mahmudov Həsən Lazim</t>
  </si>
  <si>
    <t>Əlizadə Mələk Asəf</t>
  </si>
  <si>
    <t>Nəbiyeva Fəridə Camal</t>
  </si>
  <si>
    <t>Allahverdiyeva Əsmər Eldar</t>
  </si>
  <si>
    <t>Quliyeva Gülarə Oktay</t>
  </si>
  <si>
    <t>Cəfərli Sunaxanım Novruzovna</t>
  </si>
  <si>
    <t>Vəliyev Nicat Elsevər</t>
  </si>
  <si>
    <t>Əsədov Tural Saləddin</t>
  </si>
  <si>
    <t>Müştəri təcrübəsi üzrə tədqiqatçı</t>
  </si>
  <si>
    <t>Müştəri təcrübəsinin tətbiqi üzrə ekspert</t>
  </si>
  <si>
    <t>Strategiya və layihələrin idarə edilməsi departamenti</t>
  </si>
  <si>
    <t>Ekosistem məhsullarının idarə edilməsi üzrə ekspert</t>
  </si>
  <si>
    <t>IUSUBOVA GULNARA</t>
  </si>
  <si>
    <t>Layihə rəhbəri</t>
  </si>
  <si>
    <t>Layihələrin idarə edilməsi üzrə ekspert</t>
  </si>
  <si>
    <t>Maliyyə menecmenti departamenti</t>
  </si>
  <si>
    <t>Strategy, Budget and Analitycs division</t>
  </si>
  <si>
    <t>Rzayev Bəhruz Qənimət</t>
  </si>
  <si>
    <t>Director</t>
  </si>
  <si>
    <t>Qasımov Emil Musa</t>
  </si>
  <si>
    <t>Deputy Director</t>
  </si>
  <si>
    <t>Sofiyev Elçin Dursun</t>
  </si>
  <si>
    <t>Suleymanov Nəsib Təbriz</t>
  </si>
  <si>
    <t>İbrahimli Kamran Elşən</t>
  </si>
  <si>
    <t>Mustafayev Ceyhun Elşən</t>
  </si>
  <si>
    <t>Talıblı Mirqasım Aqil</t>
  </si>
  <si>
    <t>Ələkbərov Əzizağa Faiq</t>
  </si>
  <si>
    <t>Məmmədova Nigar Əli</t>
  </si>
  <si>
    <t>Cəlilova Günel Nadir</t>
  </si>
  <si>
    <t>İbrahimov Ruslan Vaqif</t>
  </si>
  <si>
    <t>Nəsibli Məhəmməd Namiq</t>
  </si>
  <si>
    <t>Hüseynov Polad Rafiq</t>
  </si>
  <si>
    <t>Head of Unit</t>
  </si>
  <si>
    <t>Qurbanov Yaqub Fazil</t>
  </si>
  <si>
    <t>Həmidzadə Rəhimə Rəhman</t>
  </si>
  <si>
    <t>Qasımova Xədicə Akif</t>
  </si>
  <si>
    <t>Balabəyli Abdulla Aqşin</t>
  </si>
  <si>
    <t>Quluzadə Riyad İlham</t>
  </si>
  <si>
    <t>Sarıyev Nizami Hakim</t>
  </si>
  <si>
    <t>İsgəndərli Rüstəm Zöhrab</t>
  </si>
  <si>
    <t>Nağıyev Aydın Kazım</t>
  </si>
  <si>
    <t>Cəfərli Gülnar Kamil</t>
  </si>
  <si>
    <t>Səfərov Rəsul Vahid</t>
  </si>
  <si>
    <t>Bayramova Ayşən Xaliq</t>
  </si>
  <si>
    <t>Məmmədov Rüfət Asif</t>
  </si>
  <si>
    <t>Rüstəmov Emil Səməd</t>
  </si>
  <si>
    <t>Hacılı Azər Nəsib</t>
  </si>
  <si>
    <t>Məmmədov Azər İsrafil</t>
  </si>
  <si>
    <t>Behbudov Elşən Vahid</t>
  </si>
  <si>
    <t>Məmmədov Elçin Vladimir</t>
  </si>
  <si>
    <t>Vəliyev Vüqar Vaqif</t>
  </si>
  <si>
    <t>Talıbov Rövşən Məmməd</t>
  </si>
  <si>
    <t>Cabbarov Vüsal Güldəmir</t>
  </si>
  <si>
    <t>Abdullayev Ariz Fariz</t>
  </si>
  <si>
    <t>Osmanov Ceyhun Mehman</t>
  </si>
  <si>
    <t>İsmayılov Üzeyir İlqar</t>
  </si>
  <si>
    <t>İsmayılov Elmar Nazim</t>
  </si>
  <si>
    <t>Kazımov Fərid Xeyrəddin</t>
  </si>
  <si>
    <t>Bayramov Rəhman Hüseyn</t>
  </si>
  <si>
    <t>Süleymanlı Orxan Qəhrəman</t>
  </si>
  <si>
    <t>Səfiyev Fərid Əli</t>
  </si>
  <si>
    <t>Muradov Kamran Tofiq</t>
  </si>
  <si>
    <t>Bəndəliyev Ramal Nağdəli</t>
  </si>
  <si>
    <t>Qasımzadə Anar Fəxrəddin</t>
  </si>
  <si>
    <t>Hacıyev Orxan Elxan</t>
  </si>
  <si>
    <t>Əliyev Kamran Nurməhəmməd</t>
  </si>
  <si>
    <t>Qədirov Tural Rəcəb</t>
  </si>
  <si>
    <t>Babayev Zaur Hüseynağa</t>
  </si>
  <si>
    <t>Məmmədov Orxan Mahir</t>
  </si>
  <si>
    <t>Şixməmmədov Anar Afər</t>
  </si>
  <si>
    <t>Hüseyn-zadə Natiq Ramiz</t>
  </si>
  <si>
    <t>İsrafilov Murad İsrafil</t>
  </si>
  <si>
    <t>Duniyev Şahin Yusif</t>
  </si>
  <si>
    <t>Ağayev Ruslan Nizami</t>
  </si>
  <si>
    <t>Mehdiyev Rövşən Vaqif</t>
  </si>
  <si>
    <t>Xudiyev İlqar Mehman</t>
  </si>
  <si>
    <t>Quliyev Orxan Xanlar</t>
  </si>
  <si>
    <t>Məmmədov Fərid Nazim</t>
  </si>
  <si>
    <t>Bağırov Yunis Yusub</t>
  </si>
  <si>
    <t>Əhmədov Samir Mirzəqalib</t>
  </si>
  <si>
    <t>Məmiyev Rəhman Rafael</t>
  </si>
  <si>
    <t>Əzizli İbrahim Şahin</t>
  </si>
  <si>
    <t>İbrahimov Samir Emil</t>
  </si>
  <si>
    <t>Quliyev Elxan Elşən</t>
  </si>
  <si>
    <t>Muradlı Rəfayıl Nurməmməd</t>
  </si>
  <si>
    <t>Dibirov Tahir Adilxan</t>
  </si>
  <si>
    <t>Əzimov Cavid Etibar</t>
  </si>
  <si>
    <t>Əfəndiyev İlham Nadir</t>
  </si>
  <si>
    <t>İsmayılzadə Nuranə Ramiz</t>
  </si>
  <si>
    <t>Baxşiyeva Əminə Çingiz</t>
  </si>
  <si>
    <t>Məmmədov Pərvin Firdovsi</t>
  </si>
  <si>
    <t>Quliyev Kamil Nizami</t>
  </si>
  <si>
    <t>Mirzəzadə Nahid Mirzə</t>
  </si>
  <si>
    <t>Əlili Günel Çingiz</t>
  </si>
  <si>
    <t>Security Team Leader</t>
  </si>
  <si>
    <t>Team Leader</t>
  </si>
  <si>
    <t>Nigar A. Aslanova Alasgarli</t>
  </si>
  <si>
    <t>Təşkilati və qeyri-maliyyə risklərinin idarə edilməsi departamenti</t>
  </si>
  <si>
    <t>Emil E. Ələkbərov</t>
  </si>
  <si>
    <t>Orxan N. Ələskərov</t>
  </si>
  <si>
    <t>Abbasbəyli İbrahim Emin</t>
  </si>
  <si>
    <t>ERM şöbəsi</t>
  </si>
  <si>
    <t>Sultanlı Ülfət Bəşir</t>
  </si>
  <si>
    <t>Əsgərov Mübariz Elmar</t>
  </si>
  <si>
    <t>Kərimova Xanım Əhməd</t>
  </si>
  <si>
    <t>Həsənov Tamerlan Emil</t>
  </si>
  <si>
    <t>SAHMUROVA SAMİRA</t>
  </si>
  <si>
    <t>Seyidova Zülfiyyə Sahib</t>
  </si>
  <si>
    <t>Qurbanov Orxan Sahiboviç</t>
  </si>
  <si>
    <t>Eyvazova Mədinə Namiq</t>
  </si>
  <si>
    <t>Ağazadə Ləman Kamil</t>
  </si>
  <si>
    <t>Ödəniş biznesinin əməliyyat risklərinin idarə edilməsi şöbəsi</t>
  </si>
  <si>
    <t>İmanova Günay Natiqovna</t>
  </si>
  <si>
    <t>Əhmədova Sevda Ramiz</t>
  </si>
  <si>
    <t>FinTech biznesinin məhsullara nəzarət şöbəsi</t>
  </si>
  <si>
    <t>Nəcəfov Rahil Məcid</t>
  </si>
  <si>
    <t>Məhərrəmov Ağasəf Natiq</t>
  </si>
  <si>
    <t>Muradova Şahanə Şirvan</t>
  </si>
  <si>
    <t>Axundova Sevinc Umud</t>
  </si>
  <si>
    <t>Ismayılzadə Zümrüd Ağaverdi</t>
  </si>
  <si>
    <t>Bağırov Yalçın Isa</t>
  </si>
  <si>
    <t>Tamılı Novruz Gümrah</t>
  </si>
  <si>
    <t>Ödəniş biznesinin məhsullara nəzarət şöbəsi</t>
  </si>
  <si>
    <t>Adışirin M. Salmanzadə</t>
  </si>
  <si>
    <t>Mütəxəssisi</t>
  </si>
  <si>
    <t>Risk hadisələrinin idarə edilməsi şöbəsi</t>
  </si>
  <si>
    <t>FinTech biznesinin əməliyyat risklərinin idarə edilməsi şöbəsi</t>
  </si>
  <si>
    <t>Samir F. Kərimov</t>
  </si>
  <si>
    <t>Nağd vəsaitlər və qiymətlilərə nəzarət şöbəsi</t>
  </si>
  <si>
    <t>Sevda S. Əliyeva</t>
  </si>
  <si>
    <t>Anar İ. Süleymanov</t>
  </si>
  <si>
    <t>Nəriman İ. Məmmədov</t>
  </si>
  <si>
    <t>kiçik mütəxəssisi</t>
  </si>
  <si>
    <t>Nəzər A. Mehdiyev</t>
  </si>
  <si>
    <t>Elyaz C. Allahverdiyev</t>
  </si>
  <si>
    <t>baş mütəxəssisi</t>
  </si>
  <si>
    <t>Qoşqar A. Təhməzli</t>
  </si>
  <si>
    <t>Elmira S. Xəlilova</t>
  </si>
  <si>
    <t>Müəssisə Risklərinin İdarə Edilməsi</t>
  </si>
  <si>
    <t>Nicat S. Süleymanov</t>
  </si>
  <si>
    <t>Daxili nəzarət şöbəsi</t>
  </si>
  <si>
    <t>Nərmin F. Orucova</t>
  </si>
  <si>
    <t>Nərmin Ə. Rəsulova</t>
  </si>
  <si>
    <t>Aqşin Q. Əhmədov</t>
  </si>
  <si>
    <t>Şirinov Vüqar Fuad</t>
  </si>
  <si>
    <t>Şıxəliyev Kamil Mərdan</t>
  </si>
  <si>
    <t>Quliyeva Mətanət Elçin</t>
  </si>
  <si>
    <t>Rzayeva Mədinə Sarvan</t>
  </si>
  <si>
    <t>Ələskər-zadə Mirnatiq Mirrasim</t>
  </si>
  <si>
    <t>Fərəcova Şərqiyyə Araz</t>
  </si>
  <si>
    <t>Əlizadə Elnarə Eldar</t>
  </si>
  <si>
    <t>Mehdiyev Cavidan Gündüz</t>
  </si>
  <si>
    <t>Hacıyev Asif Sərdar</t>
  </si>
  <si>
    <t>Cəlilova Günel Eylaz</t>
  </si>
  <si>
    <t>Göyüşov Rəsul Vüqar</t>
  </si>
  <si>
    <t>Babayev Nəcəf Azər</t>
  </si>
  <si>
    <t>Süleymanov Vüsal Şəmsəddin</t>
  </si>
  <si>
    <t>Abdurrəhimova Nərmin Azər</t>
  </si>
  <si>
    <t>Aydarova Nərmin Rüstəm</t>
  </si>
  <si>
    <t>İsmayilli Ağarəhim Seymur</t>
  </si>
  <si>
    <t>Quliyev Amil Mahəddin</t>
  </si>
  <si>
    <t>Abuzərli Fərid Zaid</t>
  </si>
  <si>
    <t>Göyçayeva Xanım Şahin</t>
  </si>
  <si>
    <t>Həsənov Nail Hikmət</t>
  </si>
  <si>
    <t>Abbasova Fidan Abbas</t>
  </si>
  <si>
    <t>Şahbazova Nigar Vüqar</t>
  </si>
  <si>
    <t>Əmiraslanova Nigar Azad</t>
  </si>
  <si>
    <t>Məmmədsadiqov İbrahim Vasif</t>
  </si>
  <si>
    <t>Quluzadə Bayram Elmar</t>
  </si>
  <si>
    <t>Məmmədov Kənan Eldar</t>
  </si>
  <si>
    <t>Quliyev Azər Şaban</t>
  </si>
  <si>
    <t>Ağamalıyev Kənan Ağamalı</t>
  </si>
  <si>
    <t>Məmmədov Bəxtiyar İbadulla</t>
  </si>
  <si>
    <t>Abdullayev Gündüz Ayaz</t>
  </si>
  <si>
    <t>Tağıyev Kəmran İmran</t>
  </si>
  <si>
    <t>Tağıyev Qəni Səadət</t>
  </si>
  <si>
    <t>Mehdiyev Nağı Zakir</t>
  </si>
  <si>
    <t>Əlizadə Tərlan Qəzənfər</t>
  </si>
  <si>
    <t>Qədirov Anar Məhəmməd</t>
  </si>
  <si>
    <t>Məmmədzadə Aydın Sabir</t>
  </si>
  <si>
    <t>Xəlilova Zülfiyyə Azad</t>
  </si>
  <si>
    <t>İldrımlı Orxan İlqar</t>
  </si>
  <si>
    <t>Səttarov Əli Variz</t>
  </si>
  <si>
    <t>Bayramova Tahirə Yaşar</t>
  </si>
  <si>
    <t>Əkbərova Sifayə Hacıbaba</t>
  </si>
  <si>
    <t>Həsənov Elvin Mehman</t>
  </si>
  <si>
    <t>Zeynalov Rövşən Asim</t>
  </si>
  <si>
    <t>Bayramov Afşin Məmməd</t>
  </si>
  <si>
    <t>Yunuslu Aytac Vüqar</t>
  </si>
  <si>
    <t>Meyraliyeva Cəmilə Aydın</t>
  </si>
  <si>
    <t>Əmiraslanlı Jalə Kamran</t>
  </si>
  <si>
    <t>Teymurova Lalə İlqar</t>
  </si>
  <si>
    <t>Abdullayev Elvin Nəsib</t>
  </si>
  <si>
    <t>Rəhimov Adil Müşfiq</t>
  </si>
  <si>
    <t>Soltanov Tural Telman</t>
  </si>
  <si>
    <t>Ağayeva Elza Malik</t>
  </si>
  <si>
    <t>Axundov Araz Azər</t>
  </si>
  <si>
    <t>Cəlilli Şahin Adil</t>
  </si>
  <si>
    <t>Əlizadə Elxan Kamal</t>
  </si>
  <si>
    <t>Məmmədli Ceyhun Xalid</t>
  </si>
  <si>
    <t>Umudov Zülfi İlqar</t>
  </si>
  <si>
    <t>Həsənzadə Aynur Abasqulu</t>
  </si>
  <si>
    <t>Təşkilati inkişaf və HR texnologiyaları departamenti</t>
  </si>
  <si>
    <t>İşəgötürən brendi və KSM funksional sahəsi</t>
  </si>
  <si>
    <t>İmanova Nigar Rövşən</t>
  </si>
  <si>
    <t>Tağiyeva Şahidə Namiq</t>
  </si>
  <si>
    <t>Əhmədova Kəmalə Calalətdin</t>
  </si>
  <si>
    <t>Hümmətova Aytən Şamil</t>
  </si>
  <si>
    <t>Abdullazadə Fidan Bəxtiyar</t>
  </si>
  <si>
    <t>Abbasova Jalə Ceyhun</t>
  </si>
  <si>
    <t>Qasımzadə Nigar Asif</t>
  </si>
  <si>
    <t>İsayeva Fəridə Seymur</t>
  </si>
  <si>
    <t>Poladov Yusif Canəli</t>
  </si>
  <si>
    <t>Əli Fəxrəddin Fuad</t>
  </si>
  <si>
    <t>Əhmədova Nərmin Həsən</t>
  </si>
  <si>
    <t>İsayev Maksim Maarif</t>
  </si>
  <si>
    <t>Musayeva Aygün Sahiddin</t>
  </si>
  <si>
    <t>Məmmədova Səbinə Akif</t>
  </si>
  <si>
    <t>Məmmədrəsulzadə Günay Şərakət</t>
  </si>
  <si>
    <t>HRBP və istedad cəlbi funksional sahəsi</t>
  </si>
  <si>
    <t>Cəbrayılov Fehruz Nizami</t>
  </si>
  <si>
    <t>Sultanova Fəridə Arzuman</t>
  </si>
  <si>
    <t>Səfərli Aytən Məzahir</t>
  </si>
  <si>
    <t>Mustafazadə Nigar Ceyhun</t>
  </si>
  <si>
    <t>Hacıyeva Səmra Elşad</t>
  </si>
  <si>
    <t>Babayeva Mədinə Natiq</t>
  </si>
  <si>
    <t>Zəkəryəzadə Aylin Mehman</t>
  </si>
  <si>
    <t>Əkbərova Pərvin Elçin</t>
  </si>
  <si>
    <t>Əliyeva Fidan Elmar</t>
  </si>
  <si>
    <t>Şəfiyeva Nəzrin Fikrət</t>
  </si>
  <si>
    <t>Novruzova Mədinə Natiq</t>
  </si>
  <si>
    <t>HR TechOps, performans və data funksional sahəsi</t>
  </si>
  <si>
    <t>Hüseynova Alsu Müşfiq</t>
  </si>
  <si>
    <t>Mehdiyeva Sevil Taleh</t>
  </si>
  <si>
    <t>Qəribova Lalə Təbriz</t>
  </si>
  <si>
    <t>Axundova Rimma Seymur</t>
  </si>
  <si>
    <t>Tahirov Nizami Bəylər</t>
  </si>
  <si>
    <t>Cəfərova Aida İdrət</t>
  </si>
  <si>
    <t>Hacıyeva Aytən Sərkər</t>
  </si>
  <si>
    <t>Cavadova Aytən Rəhim</t>
  </si>
  <si>
    <t>Cəlilova Elmira Şirin</t>
  </si>
  <si>
    <t>Aliyeva Kamilə Əhəd</t>
  </si>
  <si>
    <t>Şahbazova İlahə İsa</t>
  </si>
  <si>
    <t>Babazadə Şahin Rəhman</t>
  </si>
  <si>
    <t>Həsənova Xuraman Əkbər</t>
  </si>
  <si>
    <t>Dəvrişova Aygül Akif</t>
  </si>
  <si>
    <t>Həmzəyev Rüstəm Bayram</t>
  </si>
  <si>
    <t>Məlikov Ülvi Nəcəf</t>
  </si>
  <si>
    <t>Musaxanova Svetlana Allahverən</t>
  </si>
  <si>
    <t>Tehranlı Ağaəli Cahid</t>
  </si>
  <si>
    <t>Cavadlı Orxan Rauf</t>
  </si>
  <si>
    <t>Cəlilov Hüseyn İlyas</t>
  </si>
  <si>
    <t>Abasova Fəridə Ələddin</t>
  </si>
  <si>
    <t>Cəbrayılova Ülkər Vidadi</t>
  </si>
  <si>
    <t>Kamılova Milana Babək</t>
  </si>
  <si>
    <t>Namazova Zümrüd Bahadur</t>
  </si>
  <si>
    <t>Alzamanova Nərmin Sübhan</t>
  </si>
  <si>
    <t>Mehdiquliyeva Zümrüd Qadir</t>
  </si>
  <si>
    <t>Yusifova Aysel Azər</t>
  </si>
  <si>
    <t>Nağıyeva Dərya İsmixan</t>
  </si>
  <si>
    <t>Sunqarova Bikə Hacirabadan</t>
  </si>
  <si>
    <t>Nəfəsova Gülnar Siyasət</t>
  </si>
  <si>
    <t>Məmmədova Fəridə Fariz</t>
  </si>
  <si>
    <t>Hüseynova Mədinə Rövşən</t>
  </si>
  <si>
    <t>Hüseynova Tamilla Kamal</t>
  </si>
  <si>
    <t>Ələkbərova Ləman Fətullah</t>
  </si>
  <si>
    <t>Vahabov Rövşən Məzahir</t>
  </si>
  <si>
    <t>Ələkbərli Şəfiqə Elbrus</t>
  </si>
  <si>
    <t>Rasimli Günay Rasim</t>
  </si>
  <si>
    <t>Rüstəmli Səbinə Arif</t>
  </si>
  <si>
    <t>İsrayılova Səbinə Ceyhun</t>
  </si>
  <si>
    <t>Gasımova Tukazban</t>
  </si>
  <si>
    <t>Təşkilati inkişaf və işçi bağlılığı funksional sahəsi</t>
  </si>
  <si>
    <t>Heydərova Günay Şirzad</t>
  </si>
  <si>
    <t>Mansurova Nərmin Şahin</t>
  </si>
  <si>
    <t>Paşayeva Şəfiqə Azər</t>
  </si>
  <si>
    <t>Zeynalova Həmidə Gülağa</t>
  </si>
  <si>
    <t>Axundzadə Nərmin Nazim</t>
  </si>
  <si>
    <t>Quliyeva Nigar Rafiq</t>
  </si>
  <si>
    <t>Hümbətov Məhəmməd Əsəd</t>
  </si>
  <si>
    <t>Hüseynova İradə Tofiq</t>
  </si>
  <si>
    <t>Mustafayev Sabir Mustafa</t>
  </si>
  <si>
    <t>Salahova Aysel Müzəffər</t>
  </si>
  <si>
    <t>İsayeva Aydan İlham</t>
  </si>
  <si>
    <t>Rəhimli Günel Kamran</t>
  </si>
  <si>
    <t>Əkbərov Elçin Yaşar</t>
  </si>
  <si>
    <t>Mustafayeva Elnarə Əkbər</t>
  </si>
  <si>
    <t>Dadaş-zadə Arifə Aqşin</t>
  </si>
  <si>
    <t>Community lead</t>
  </si>
  <si>
    <t>İnsan resursları üzrə biznes partnyor</t>
  </si>
  <si>
    <t>Məhsul sahibi</t>
  </si>
  <si>
    <t>Camalova Nərmin Bayram</t>
  </si>
  <si>
    <t xml:space="preserve"> </t>
  </si>
  <si>
    <t>Birbank biznes sahəsi</t>
  </si>
  <si>
    <t>Biznesə dəstək departamenti</t>
  </si>
  <si>
    <t>Daxili audit departamenti</t>
  </si>
  <si>
    <t>FinTech Agile funksional sahəsi</t>
  </si>
  <si>
    <t>Fintech Analitika və Aİ ekspert mərkəzi</t>
  </si>
  <si>
    <t>FinTech arxitektura və İT idarəetmə prosesi</t>
  </si>
  <si>
    <t>FinTech mühəndislik ekspert mərkəzi</t>
  </si>
  <si>
    <t>FinTech platformalar sahəsi</t>
  </si>
  <si>
    <t>FinTech TechOps funksional sahəsi</t>
  </si>
  <si>
    <t>İstedadların idarə edilməsi departamenti</t>
  </si>
  <si>
    <t>Kiçik və orta sahibkarlarla iş departamenti</t>
  </si>
  <si>
    <t>Korporativ satışlar departamenti</t>
  </si>
  <si>
    <t>Kredit portfelinə nəzarət departamenti</t>
  </si>
  <si>
    <t>Kredit risklərinin təhlili departamenti</t>
  </si>
  <si>
    <t>Kreditlərin hüquqi təqibi departamenti</t>
  </si>
  <si>
    <t>Kreditlərin ilkin təqibi departamenti</t>
  </si>
  <si>
    <t>Maliyyə risklərinin idarə edilməsi departamenti</t>
  </si>
  <si>
    <t>Məhsulların rəsmiləşdirilməsi sahəsi</t>
  </si>
  <si>
    <t>Mikro biznes departamenti</t>
  </si>
  <si>
    <t>Müştəri dəyərləri sahəsi</t>
  </si>
  <si>
    <t>Pərakəndə biznes platformaları sahəsi</t>
  </si>
  <si>
    <t>Rəqəmsal həllər sahəsi</t>
  </si>
  <si>
    <t>Risk texnologiyaları sahəsi</t>
  </si>
  <si>
    <t>Satış kanalları departamenti</t>
  </si>
  <si>
    <t>Xəzinədarlıq departamenti</t>
  </si>
  <si>
    <t>Xidmət keyfiyyətinin idarə edilməsi departamenti</t>
  </si>
  <si>
    <t>Branches</t>
  </si>
  <si>
    <t>VİP müştərilərlə iş şöbəsi</t>
  </si>
  <si>
    <t>C level, Director, Deputy Director</t>
  </si>
  <si>
    <t>Registration and cabinet</t>
  </si>
  <si>
    <t>Account Opening, Payments and Cash Operations</t>
  </si>
  <si>
    <t>Transfers and Tariff</t>
  </si>
  <si>
    <t>CVM &amp; Engagement</t>
  </si>
  <si>
    <t>B2B &amp; Digital Experience</t>
  </si>
  <si>
    <t>Lending and leasing</t>
  </si>
  <si>
    <t>Business CRM</t>
  </si>
  <si>
    <t>Əməliyyatların icrası və dəstək şöbəsi</t>
  </si>
  <si>
    <t>Əməliyyatların icrası şöbəsi</t>
  </si>
  <si>
    <t>Xüsusi müştərilərlə iş şöbəsi</t>
  </si>
  <si>
    <t>Biznes müştərilərlə iş şöbəsi</t>
  </si>
  <si>
    <t>Əməliyyat,komplayens və davamlı audit üzrə ekspert mərkəzi</t>
  </si>
  <si>
    <t>Mühasibatlıq,büdcə və dəstək funksiyaları üzrə ekspert mərkəzi</t>
  </si>
  <si>
    <t>Bazar, kredit riskləri və modelləşmə üzrə ekspert mərkəzi</t>
  </si>
  <si>
    <t>İT audit üzrə ekspert mərkəzi</t>
  </si>
  <si>
    <t>Analytics chapter</t>
  </si>
  <si>
    <t>Aİ chapter</t>
  </si>
  <si>
    <t>İT BA chapter</t>
  </si>
  <si>
    <t>Softvvare chapter</t>
  </si>
  <si>
    <t>QA chapter</t>
  </si>
  <si>
    <t>BPM</t>
  </si>
  <si>
    <t>ZEUS</t>
  </si>
  <si>
    <t>Performansın idarə edilməsi və işçi bağlılığı şöbəsi</t>
  </si>
  <si>
    <t>İstedadların cəlbi və biznes partnyorluq şöbəsi</t>
  </si>
  <si>
    <t>Alternativ satış kanalları şöbəsi</t>
  </si>
  <si>
    <t>Lizinq və fondlarla iş şöbəsi</t>
  </si>
  <si>
    <t>KOS satışlar şöbəsi</t>
  </si>
  <si>
    <t>Qeyri-kredit məhsullarının satışı şöbəsi</t>
  </si>
  <si>
    <t>Müştərilərlə iş şöbəsi</t>
  </si>
  <si>
    <t>Təqib Strategiyalarının idarə edilməsi və analitikası şöbəsi</t>
  </si>
  <si>
    <t>Biznes kreditlərinin monitorinqi şöbəsi</t>
  </si>
  <si>
    <t>Kreditləşmə şərtlərinə nəzarət şöbəsi</t>
  </si>
  <si>
    <t>Collection process engineering</t>
  </si>
  <si>
    <t>Girovlarla iş və qiymətləndirmə prosesinə nəzarət şöbəsi</t>
  </si>
  <si>
    <t>Pərakəndə və ipoteka kredit risklərinin təhlili şöbəsi</t>
  </si>
  <si>
    <t>Korporativ kredit risklərinin təhlili şöbəsi</t>
  </si>
  <si>
    <t>KOS kredit risklərin təhlili şöbəsi</t>
  </si>
  <si>
    <t>Kredit inzibatçılığına nəzarət şöbəsi</t>
  </si>
  <si>
    <t>Qarantiya və rəqəmsal kredit risklərinin təhlili şöbəsi</t>
  </si>
  <si>
    <t>Mikro kredit və lizinq risklərinin təhlili şöbəsi</t>
  </si>
  <si>
    <t>İcra orqanları ilə iş şöbəsi</t>
  </si>
  <si>
    <t>Korporativ və təminatlı kreditlərlə iş şöbəsi</t>
  </si>
  <si>
    <t>Məhkəmələrlə iş şöbəsi</t>
  </si>
  <si>
    <t>Ümidsiz aktivlərin uçotu və qeydiyyat şöbəsi</t>
  </si>
  <si>
    <t>Digər kreditlər ilə iş şöbəsi</t>
  </si>
  <si>
    <t>İntensiv təqib şöbəsi</t>
  </si>
  <si>
    <t>Təhlil və dəstək şöbəsi</t>
  </si>
  <si>
    <t>Ünvanda təqib şöbəsi</t>
  </si>
  <si>
    <t>Strategiya,büdcə və analitika şöbəsi</t>
  </si>
  <si>
    <t>Aktiv və passivlərin idarə edilməsi şöbəsi</t>
  </si>
  <si>
    <t>Fəaliyyət göstəricilərinin təyini və hesabatlılığı şöbəsi</t>
  </si>
  <si>
    <t>Kredit risklərinin texnoloji həlləri şöbəsi</t>
  </si>
  <si>
    <t>Kredit risklərinin idarə edilməsi şöbəsi</t>
  </si>
  <si>
    <t>Maliyyə dayanıqlığı risklərinin idarə edilməsi və requlyativ tədqiqatı şöbəsi</t>
  </si>
  <si>
    <t>Bazar və likvidlik riskinin idarə edilməsi şöbəsi</t>
  </si>
  <si>
    <t>Sales channels</t>
  </si>
  <si>
    <t>Credit journeys</t>
  </si>
  <si>
    <t>Cards, Accounts and Depozit journeys</t>
  </si>
  <si>
    <t>Cabinet</t>
  </si>
  <si>
    <t>Mikro satışlar şöbəsi</t>
  </si>
  <si>
    <t>E2E Journey</t>
  </si>
  <si>
    <t>Micro Lending squad</t>
  </si>
  <si>
    <t>CVM squad</t>
  </si>
  <si>
    <t>Sales models and CRM</t>
  </si>
  <si>
    <t>Segments</t>
  </si>
  <si>
    <t>Lending portfolio</t>
  </si>
  <si>
    <t>Funding and debet portfolio</t>
  </si>
  <si>
    <t>Personalization &amp; Lifecycle</t>
  </si>
  <si>
    <t>Core Lending</t>
  </si>
  <si>
    <t>Partner loans</t>
  </si>
  <si>
    <t>Lending Service APİ</t>
  </si>
  <si>
    <t>Unified VVorkStream</t>
  </si>
  <si>
    <t>Branch Optimization</t>
  </si>
  <si>
    <t>Smart service</t>
  </si>
  <si>
    <t>Operations Optimization</t>
  </si>
  <si>
    <t>Service Quality&amp;Platforms</t>
  </si>
  <si>
    <t>Micro scoring</t>
  </si>
  <si>
    <t>Business Scoring &amp; Decision Platform</t>
  </si>
  <si>
    <t>Agro Scoring</t>
  </si>
  <si>
    <t>Marketplace Scoring</t>
  </si>
  <si>
    <t>Ecosystem Scoring</t>
  </si>
  <si>
    <t>Traditional Scoring</t>
  </si>
  <si>
    <t>Business Platform</t>
  </si>
  <si>
    <t>Tribe Leader</t>
  </si>
  <si>
    <t>Deputy Tribe Leader</t>
  </si>
  <si>
    <t>Alternativ satışlar şöbəsi</t>
  </si>
  <si>
    <t>Birbaşa satış və xidmət şöbəsi</t>
  </si>
  <si>
    <t>YSB-lərdə satış və xidmət şöbəsi</t>
  </si>
  <si>
    <t>Əlaqə mərkəzi şöbəsi</t>
  </si>
  <si>
    <t>Məsafədən satış və xidmət şöbəsi</t>
  </si>
  <si>
    <t>BirTreasury</t>
  </si>
  <si>
    <t>Dilinq əməliyyatları şöbəsi</t>
  </si>
  <si>
    <t>Xəzinədarlıq əməliyyatları şöbəsi</t>
  </si>
  <si>
    <t>İnvestisiya şöbəsi</t>
  </si>
  <si>
    <t>Beynəlxalq bankçılıq şöbəsi</t>
  </si>
  <si>
    <t>Müştəri müraciətlərinin araşdırılması şöbəsi</t>
  </si>
  <si>
    <t>Biznesə texniki dəstək şöbəsi</t>
  </si>
  <si>
    <t>Xidmət keyfiyyətinə nəzarət şöbəsi</t>
  </si>
  <si>
    <t>Xidmət strukturları ilə iş şöbəsi</t>
  </si>
  <si>
    <t>Müştəri məmnuniyyəti şöbəsi</t>
  </si>
  <si>
    <t>Pul və logistika əməliyyatları şöbəsi</t>
  </si>
  <si>
    <t>Branch Directors</t>
  </si>
  <si>
    <t>ZM managers</t>
  </si>
  <si>
    <t>Retail</t>
  </si>
  <si>
    <t>VIP</t>
  </si>
  <si>
    <t>Micro</t>
  </si>
  <si>
    <t>Administrative</t>
  </si>
  <si>
    <t>Horizontal/Vertical</t>
  </si>
  <si>
    <t>Fintech</t>
  </si>
  <si>
    <t>Horizontal</t>
  </si>
  <si>
    <t>Company</t>
  </si>
  <si>
    <t>Hacıyev Rəhim Emil</t>
  </si>
  <si>
    <t>Pirqasimova Esmira Alxanovna</t>
  </si>
  <si>
    <t>PASHAEV ANAR</t>
  </si>
  <si>
    <t>Həmidov İsrafil Şirxan</t>
  </si>
  <si>
    <t>Əliyeva Aynurə Əbülfət</t>
  </si>
  <si>
    <t>Alızadə Nihad Namiq</t>
  </si>
  <si>
    <t>Qulizadə Qaratel Fəzayıl</t>
  </si>
  <si>
    <t>Əliyev Nicat Nizami</t>
  </si>
  <si>
    <t>İsmayılova Emilya Müşfiq</t>
  </si>
  <si>
    <t>İsayev Şəhriyar Zöhrab</t>
  </si>
  <si>
    <t>Rəcəbova Leyla Rufət</t>
  </si>
  <si>
    <t>Şahbazova Rəxşəndə Rafail</t>
  </si>
  <si>
    <t>Nəsirov Həsən Vaqif</t>
  </si>
  <si>
    <t>Əhmədov Ülvi Qurban</t>
  </si>
  <si>
    <t>Əliyev Kənan Mehman</t>
  </si>
  <si>
    <t>Süleymanlı Telli Kərim</t>
  </si>
  <si>
    <t>Əliyeva Xəyalə Çingiz</t>
  </si>
  <si>
    <t>Məmmədova Alidə Bəşir</t>
  </si>
  <si>
    <t>Ağazadə Taryel İsa</t>
  </si>
  <si>
    <t>Hüseynova Zərifə Çingiz</t>
  </si>
  <si>
    <t>Süleymanov Fərid Nizami</t>
  </si>
  <si>
    <t>Salmanova Arzu Akif</t>
  </si>
  <si>
    <t>Quliyev Emil İsmayıl</t>
  </si>
  <si>
    <t>Mehdizadə Nərminə Ehtiram</t>
  </si>
  <si>
    <t>Qənizadə Pərviz Xaləddin</t>
  </si>
  <si>
    <t>Rəcəbov Abbas Vaqif</t>
  </si>
  <si>
    <t>Məlikzadə Aysel İntiqam</t>
  </si>
  <si>
    <t>Əliyeva Həcər Fizuli</t>
  </si>
  <si>
    <t>Qarayeva Aygül Mirrəhim</t>
  </si>
  <si>
    <t>Qasımova Ayla Ağası</t>
  </si>
  <si>
    <t>Hacıyeva Heyran Sabir</t>
  </si>
  <si>
    <t>Həsənov Murad Rafiq</t>
  </si>
  <si>
    <t>Məmmədli Nəzrin Murad</t>
  </si>
  <si>
    <t>Məmmədova Mi̇na Ayaz</t>
  </si>
  <si>
    <t>Xalıqov Elvin Nurəddin</t>
  </si>
  <si>
    <t>Rüstəmli Firəngiz Zahid</t>
  </si>
  <si>
    <t>Hüseynov Məhəmmədəli Namik</t>
  </si>
  <si>
    <t>Aslanova Emel Zülfüqar</t>
  </si>
  <si>
    <t>Qurbanov Əfran Əsgər</t>
  </si>
  <si>
    <t>Ələsgərova Aygül İslam</t>
  </si>
  <si>
    <t>Əsgərov Fərid Vüqar</t>
  </si>
  <si>
    <t>Abdurahmanov Elgün Sabit</t>
  </si>
  <si>
    <t>Abdıyev Azad Cəmil</t>
  </si>
  <si>
    <t>Göyüşlü Əkbər İbrahim</t>
  </si>
  <si>
    <t>Nəzərli Kazım Nazim</t>
  </si>
  <si>
    <t>Ağayeva Məsməxanım Sərvər</t>
  </si>
  <si>
    <t>Sadıxova Fərəh Abdulla</t>
  </si>
  <si>
    <t>Həmidli Elnur Hafiz</t>
  </si>
  <si>
    <t>İbrahimov Eşqin Namizəd</t>
  </si>
  <si>
    <t>İbrahimov Asim Xanlar</t>
  </si>
  <si>
    <t>Əliyeva Arzu Məhərrəm</t>
  </si>
  <si>
    <t>Qədirova Nərgiz Cəfər</t>
  </si>
  <si>
    <t>Allahverdiyeva Ülviyyə Abbas</t>
  </si>
  <si>
    <t>KANDYBA OLGA</t>
  </si>
  <si>
    <t>GONCHAROV BORIS</t>
  </si>
  <si>
    <t>Ekspert məhsul sahibi</t>
  </si>
  <si>
    <t>Rüstəmova Vəfa Elbrus</t>
  </si>
  <si>
    <t>Əzimova Aida İlqar</t>
  </si>
  <si>
    <t>Fintech total</t>
  </si>
  <si>
    <t>Grand total (all)</t>
  </si>
  <si>
    <t>Cabbarov Bahadur Fazi̇l oğlu</t>
  </si>
  <si>
    <t>Məmmədova Leyla Münasi̇f qızı</t>
  </si>
  <si>
    <t>İsmayılov Eldəni̇z Emi̇n oğlu</t>
  </si>
  <si>
    <t>Aparıcı / Baş mütəxəssis</t>
  </si>
  <si>
    <t>Menecer / Şöbə müdiri</t>
  </si>
  <si>
    <t>CX analytic</t>
  </si>
  <si>
    <t>CJM Researcher</t>
  </si>
  <si>
    <t>Sentyabrda qoshulub və HR listində yox idi</t>
  </si>
  <si>
    <t>Summary by Division</t>
  </si>
  <si>
    <t>Summary by Department (Horizontal)</t>
  </si>
  <si>
    <t>Vakant yer nəzərdə tutulmayıb.</t>
  </si>
  <si>
    <t>Əlavə 7.5 vakant yer nəzərdə tutulub.</t>
  </si>
  <si>
    <t>Əlavə 4 vakant yer nəzərdə tutulub.</t>
  </si>
  <si>
    <t>Əlavə 2 vakant yer nəzərdə tutulub.</t>
  </si>
  <si>
    <t>Əlavə 8 vakant yer nəzərdə tutulub.</t>
  </si>
  <si>
    <t>Əlavə 1 vakant yer nəzərdə tutulub.</t>
  </si>
  <si>
    <t>Əlavə 9 vakant yer nəzərdə tutulub.</t>
  </si>
  <si>
    <t>Əlavə 5.5 vakant yer nəzərdə tutulub.</t>
  </si>
  <si>
    <t>Əlavə 10 vakant yer nəzərdə tutulub.</t>
  </si>
  <si>
    <t>Əlavə 5 vakant yer nəzərdə tutulub.</t>
  </si>
  <si>
    <t>Əlavə 25 vakant yer nəzərdə tutulub.</t>
  </si>
  <si>
    <t>Əlavə 5 vakant yer nəzərdə tutulub. (HR-la deqiqleshdirmək (Emil bəydən geri dönüş gözlənilir))</t>
  </si>
  <si>
    <t>Əlavə 6 vakant yer nəzərdə tutulub. (HR tərəfindən staff budget təqdim olunmayıb).</t>
  </si>
  <si>
    <t>Əlavə 12 vakant yer nəzərdə tutulub. (iki xanım əməkdaş HR listində yox idi.</t>
  </si>
  <si>
    <t>Əlavə 10 vakant yer nəzərdə tutulub. Lakin  HR -ın təqdim etdiyi faylda 5 vakant nəzərdə tutulmuşdur.</t>
  </si>
  <si>
    <t>Əlavə 5 vakant yer nəzərdə tutulub. Lakin HR-ın təqdim etdiyi sənəddə isə vakant yer nəzərə alınmamışdır.</t>
  </si>
  <si>
    <t>Əlavə 8 vakant yer nəzərdə tutulub. Lakin HR-ın təqdim etdiyi sənəddə vakant qeyd olunmayıb.</t>
  </si>
  <si>
    <t>Vakant yer nəzərdə tutulmayıb. HR tərəfindən təqdim olunan faylda 6 əməkdaş və bir vakant gosterir.</t>
  </si>
  <si>
    <t xml:space="preserve">Əlavə 27 vakant yer nəzərdə tutulub. HR tərəfindən təqdim olunan faylda sadəcə bir vakant və 3 müvəqqəti nəzərə alınıb. </t>
  </si>
  <si>
    <t>Future Lab</t>
  </si>
  <si>
    <t>Pasha Holding</t>
  </si>
  <si>
    <t>Qeydlər</t>
  </si>
  <si>
    <t>Birbonus sahəsi</t>
  </si>
  <si>
    <t>Biznes sahələrinin inkişafı və partnyor şəbəkəsi departamenti</t>
  </si>
  <si>
    <t>Ekvayrinq texnologiyaları sahəsi</t>
  </si>
  <si>
    <t>Kart biznesi ekspert mərkəzi</t>
  </si>
  <si>
    <t>Kart məhsulları sahəsi</t>
  </si>
  <si>
    <t>Kassa və inkassasiya prosesləri departamenti</t>
  </si>
  <si>
    <t>Nağd pulların idarə edilməsi departamenti</t>
  </si>
  <si>
    <t>Ödəniş biznesinin Agile funksional sahəsi</t>
  </si>
  <si>
    <t>Ödəniş biznesinin Analitika və Aİ ekspert mərkəzi</t>
  </si>
  <si>
    <t>Ödəniş biznesinin arxitektura və İT idarəetmə prosesi</t>
  </si>
  <si>
    <t>Ödəniş biznesinin mühəndislik ekspert mərkəzi</t>
  </si>
  <si>
    <t>Ödəniş biznesinin TechOps funksional sahəsi</t>
  </si>
  <si>
    <t>Ödəniş əməliyyatları ofisi</t>
  </si>
  <si>
    <t>Ödəniş platformaları sahəsi</t>
  </si>
  <si>
    <t>Ödəniş və transferlər sahəsi</t>
  </si>
  <si>
    <t>Özünəxidmət terminalları sahəsi</t>
  </si>
  <si>
    <t>Prosessinq sahəsi</t>
  </si>
  <si>
    <t>Rəqəmsal dələduzluğa qarşı mübarizə departamenti</t>
  </si>
  <si>
    <t>Texniki dəstək departamenti</t>
  </si>
  <si>
    <t>Terminal and ATM department</t>
  </si>
  <si>
    <t>Financial management department</t>
  </si>
  <si>
    <t>Customer excellence department</t>
  </si>
  <si>
    <t>Settlements department</t>
  </si>
  <si>
    <t>Talent management department</t>
  </si>
  <si>
    <t>Accounting department</t>
  </si>
  <si>
    <t>Encashment division</t>
  </si>
  <si>
    <t>Fraud prevention division</t>
  </si>
  <si>
    <t>IT Division</t>
  </si>
  <si>
    <t>Business optimization division</t>
  </si>
  <si>
    <t>Products division</t>
  </si>
  <si>
    <t>Cross-border and sales tribe</t>
  </si>
  <si>
    <t>Internal control division</t>
  </si>
  <si>
    <t>Legal division</t>
  </si>
  <si>
    <t>Information security division</t>
  </si>
  <si>
    <t>Payment</t>
  </si>
  <si>
    <t>Terminal business support department</t>
  </si>
  <si>
    <t>Payment total</t>
  </si>
  <si>
    <t>C-level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</si>
</sst>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* #,##0.00_);_(* \(#,##0.00\);_(* &quot;-&quot;??_);_(@_)"/>
    <numFmt numFmtId="165" formatCode="0.0%;\(0.0%\);\-"/>
    <numFmt numFmtId="166" formatCode="_(* #,##0_);_(* \(#,##0\);_(* &quot;-&quot;??_);_(@_)"/>
    <numFmt numFmtId="167" formatCode="#,##0.0;\(#,##0.0\);\-"/>
    <numFmt numFmtId="168" formatCode="#,##0.0;\(#,##0.0\);&quot;-&quot;"/>
    <numFmt numFmtId="169" formatCode="0.0%;\(0.0%\);&quot;-&quot;"/>
    <numFmt numFmtId="170" formatCode="#,##0.0;\(#,##0.0\);&quot;OK&quot;"/>
    <numFmt numFmtId="171" formatCode="#,##0.0_);\(#,##0.0\)"/>
  </numFmts>
  <fonts count="36" x14ac:knownFonts="1">
    <font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theme="1"/>
      <name val="Aptos Narrow"/>
      <family val="2"/>
    </font>
    <font>
      <sz val="12"/>
      <color rgb="FF404040"/>
      <name val="Aptos Narrow"/>
      <family val="2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1F3864"/>
      <name val="Aptos Narrow"/>
      <family val="2"/>
    </font>
    <font>
      <i/>
      <sz val="10"/>
      <color rgb="FF595959"/>
      <name val="Calibri"/>
      <family val="2"/>
      <scheme val="minor"/>
    </font>
    <font>
      <b/>
      <sz val="12"/>
      <color rgb="FFFFFFFF"/>
      <name val="Aptos Narrow"/>
      <family val="2"/>
    </font>
    <font>
      <b/>
      <sz val="10"/>
      <color rgb="FFFFFFFF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4"/>
      <color rgb="FF1F3864"/>
      <name val="Calibri"/>
      <family val="2"/>
      <charset val="204"/>
      <scheme val="minor"/>
    </font>
    <font>
      <i/>
      <sz val="10"/>
      <color rgb="FF595959"/>
      <name val="Calibri"/>
      <family val="2"/>
      <charset val="204"/>
      <scheme val="minor"/>
    </font>
    <font>
      <b/>
      <sz val="10"/>
      <color rgb="FFFFFFFF"/>
      <name val="Calibri"/>
      <family val="2"/>
      <charset val="204"/>
      <scheme val="minor"/>
    </font>
    <font>
      <b/>
      <sz val="12"/>
      <color rgb="FFFFFFFF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i/>
      <sz val="10"/>
      <color rgb="FF7F7F7F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FFFF"/>
      <name val="Calibri"/>
      <family val="2"/>
      <charset val="204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i/>
      <sz val="10"/>
      <color rgb="FF595959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i/>
      <sz val="11"/>
      <color rgb="FF008000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  <scheme val="minor"/>
    </font>
    <font>
      <i/>
      <sz val="10"/>
      <color rgb="FF595959"/>
      <name val="Calibri"/>
      <family val="2"/>
      <charset val="204"/>
    </font>
    <font>
      <sz val="11"/>
      <color rgb="FF008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D6DCE4"/>
      </left>
      <right/>
      <top style="medium">
        <color indexed="64"/>
      </top>
      <bottom style="medium">
        <color indexed="64"/>
      </bottom>
      <diagonal/>
    </border>
    <border>
      <left style="thin">
        <color rgb="FFD6DCE4"/>
      </left>
      <right/>
      <top/>
      <bottom style="medium">
        <color indexed="64"/>
      </bottom>
      <diagonal/>
    </border>
    <border>
      <left style="thin">
        <color rgb="FFD6DCE4"/>
      </left>
      <right/>
      <top style="thin">
        <color rgb="FFD6DCE4"/>
      </top>
      <bottom/>
      <diagonal/>
    </border>
    <border>
      <left style="thin">
        <color rgb="FFD6DCE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rgb="FFD9D9D9"/>
      </bottom>
      <diagonal/>
    </border>
    <border>
      <left style="thin">
        <color rgb="FFD6DCE4"/>
      </left>
      <right style="thin">
        <color rgb="FFD6DCE4"/>
      </right>
      <top/>
      <bottom style="thin">
        <color rgb="FFD9D9D9"/>
      </bottom>
      <diagonal/>
    </border>
    <border>
      <left style="medium">
        <color indexed="64"/>
      </left>
      <right/>
      <top style="thin">
        <color rgb="FFD9D9D9"/>
      </top>
      <bottom style="thin">
        <color rgb="FFD9D9D9"/>
      </bottom>
      <diagonal/>
    </border>
    <border>
      <left style="thin">
        <color rgb="FFD6DCE4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medium">
        <color indexed="64"/>
      </left>
      <right/>
      <top style="thin">
        <color rgb="FFD9D9D9"/>
      </top>
      <bottom/>
      <diagonal/>
    </border>
    <border>
      <left style="thin">
        <color rgb="FFD6DCE4"/>
      </left>
      <right/>
      <top style="thin">
        <color rgb="FFD9D9D9"/>
      </top>
      <bottom/>
      <diagonal/>
    </border>
    <border>
      <left style="thin">
        <color rgb="FFD6DCE4"/>
      </left>
      <right/>
      <top/>
      <bottom style="thin">
        <color rgb="FFD9D9D9"/>
      </bottom>
      <diagonal/>
    </border>
    <border>
      <left style="thin">
        <color rgb="FF8EA9DB"/>
      </left>
      <right/>
      <top/>
      <bottom style="thin">
        <color rgb="FFD9D9D9"/>
      </bottom>
      <diagonal/>
    </border>
    <border>
      <left style="thin">
        <color rgb="FF8EA9DB"/>
      </left>
      <right/>
      <top/>
      <bottom/>
      <diagonal/>
    </border>
    <border>
      <left style="thin">
        <color rgb="FF8EA9DB"/>
      </left>
      <right/>
      <top style="medium">
        <color indexed="64"/>
      </top>
      <bottom style="medium">
        <color indexed="64"/>
      </bottom>
      <diagonal/>
    </border>
    <border>
      <left style="thin">
        <color rgb="FF8EA9DB"/>
      </left>
      <right style="thin">
        <color rgb="FFD6DCE4"/>
      </right>
      <top/>
      <bottom style="thin">
        <color rgb="FFD9D9D9"/>
      </bottom>
      <diagonal/>
    </border>
    <border>
      <left style="thin">
        <color rgb="FF8EA9DB"/>
      </left>
      <right/>
      <top style="thin">
        <color rgb="FFD9D9D9"/>
      </top>
      <bottom style="thin">
        <color rgb="FFD9D9D9"/>
      </bottom>
      <diagonal/>
    </border>
    <border>
      <left style="thin">
        <color rgb="FF8EA9DB"/>
      </left>
      <right/>
      <top style="thin">
        <color indexed="64"/>
      </top>
      <bottom style="medium">
        <color indexed="64"/>
      </bottom>
      <diagonal/>
    </border>
    <border>
      <left style="thin">
        <color rgb="FF8EA9DB"/>
      </left>
      <right/>
      <top style="thin">
        <color indexed="64"/>
      </top>
      <bottom style="thin">
        <color indexed="64"/>
      </bottom>
      <diagonal/>
    </border>
    <border>
      <left style="thin">
        <color rgb="FF8EA9DB"/>
      </left>
      <right/>
      <top/>
      <bottom style="medium">
        <color indexed="64"/>
      </bottom>
      <diagonal/>
    </border>
    <border>
      <left style="thin">
        <color rgb="FF8EA9DB"/>
      </left>
      <right/>
      <top style="thin">
        <color indexed="64"/>
      </top>
      <bottom/>
      <diagonal/>
    </border>
    <border>
      <left style="thin">
        <color rgb="FF8EA9DB"/>
      </left>
      <right/>
      <top style="thin">
        <color rgb="FFD9D9D9"/>
      </top>
      <bottom/>
      <diagonal/>
    </border>
    <border>
      <left/>
      <right/>
      <top style="thin">
        <color rgb="FF1F3864"/>
      </top>
      <bottom/>
      <diagonal/>
    </border>
    <border>
      <left style="thin">
        <color rgb="FF8EA9DB"/>
      </left>
      <right style="thin">
        <color rgb="FF8EA9DB"/>
      </right>
      <top/>
      <bottom/>
      <diagonal/>
    </border>
    <border>
      <left style="thin">
        <color rgb="FF8EA9DB"/>
      </left>
      <right style="thin">
        <color rgb="FF8EA9DB"/>
      </right>
      <top/>
      <bottom style="thin">
        <color rgb="FFD9D9D9"/>
      </bottom>
      <diagonal/>
    </border>
    <border>
      <left style="thin">
        <color rgb="FF8EA9DB"/>
      </left>
      <right style="thin">
        <color rgb="FF8EA9DB"/>
      </right>
      <top style="thin">
        <color rgb="FFD9D9D9"/>
      </top>
      <bottom style="thin">
        <color rgb="FFD9D9D9"/>
      </bottom>
      <diagonal/>
    </border>
    <border>
      <left style="thin">
        <color rgb="FF8EA9DB"/>
      </left>
      <right style="thin">
        <color rgb="FF8EA9DB"/>
      </right>
      <top style="thin">
        <color rgb="FFD9D9D9"/>
      </top>
      <bottom/>
      <diagonal/>
    </border>
    <border>
      <left style="thin">
        <color rgb="FF8EA9DB"/>
      </left>
      <right style="thin">
        <color rgb="FF8EA9DB"/>
      </right>
      <top style="thin">
        <color rgb="FF1F3864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8EA9DB"/>
      </right>
      <top style="thin">
        <color rgb="FFD9D9D9"/>
      </top>
      <bottom/>
      <diagonal/>
    </border>
    <border>
      <left/>
      <right style="thin">
        <color rgb="FF8EA9DB"/>
      </right>
      <top style="thin">
        <color rgb="FFD9D9D9"/>
      </top>
      <bottom style="thin">
        <color rgb="FFD9D9D9"/>
      </bottom>
      <diagonal/>
    </border>
    <border>
      <left/>
      <right style="thin">
        <color rgb="FF8EA9DB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 style="medium">
        <color indexed="64"/>
      </left>
      <right/>
      <top style="medium">
        <color rgb="FF1F3864"/>
      </top>
      <bottom style="thin">
        <color rgb="FFD9D9D9"/>
      </bottom>
      <diagonal/>
    </border>
    <border>
      <left style="thin">
        <color rgb="FFD6DCE4"/>
      </left>
      <right/>
      <top style="medium">
        <color rgb="FF1F3864"/>
      </top>
      <bottom style="thin">
        <color rgb="FFD9D9D9"/>
      </bottom>
      <diagonal/>
    </border>
    <border>
      <left style="thin">
        <color rgb="FF8EA9DB"/>
      </left>
      <right/>
      <top style="medium">
        <color rgb="FF1F38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38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000000"/>
      </bottom>
      <diagonal/>
    </border>
    <border>
      <left/>
      <right/>
      <top/>
      <bottom style="thin">
        <color rgb="FF1F3864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164" fontId="19" fillId="0" borderId="0" applyFont="0" applyFill="0" applyBorder="0" applyAlignment="0" applyProtection="0"/>
  </cellStyleXfs>
  <cellXfs count="19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Continuous"/>
    </xf>
    <xf numFmtId="0" fontId="3" fillId="0" borderId="0" xfId="0" applyFont="1" applyAlignment="1">
      <alignment wrapText="1"/>
    </xf>
    <xf numFmtId="166" fontId="4" fillId="5" borderId="9" xfId="0" applyNumberFormat="1" applyFont="1" applyFill="1" applyBorder="1" applyAlignment="1">
      <alignment wrapText="1"/>
    </xf>
    <xf numFmtId="166" fontId="4" fillId="0" borderId="9" xfId="0" applyNumberFormat="1" applyFont="1" applyBorder="1" applyAlignment="1">
      <alignment wrapText="1"/>
    </xf>
    <xf numFmtId="166" fontId="4" fillId="5" borderId="10" xfId="0" applyNumberFormat="1" applyFont="1" applyFill="1" applyBorder="1" applyAlignment="1">
      <alignment wrapText="1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indent="56"/>
    </xf>
    <xf numFmtId="0" fontId="9" fillId="2" borderId="5" xfId="0" applyFont="1" applyFill="1" applyBorder="1" applyAlignment="1">
      <alignment horizontal="center" vertical="center" indent="56"/>
    </xf>
    <xf numFmtId="0" fontId="9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168" fontId="11" fillId="4" borderId="13" xfId="0" applyNumberFormat="1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168" fontId="11" fillId="4" borderId="23" xfId="0" applyNumberFormat="1" applyFont="1" applyFill="1" applyBorder="1" applyAlignment="1">
      <alignment horizontal="center" vertical="center" wrapText="1"/>
    </xf>
    <xf numFmtId="168" fontId="11" fillId="4" borderId="20" xfId="0" applyNumberFormat="1" applyFont="1" applyFill="1" applyBorder="1" applyAlignment="1">
      <alignment horizontal="center" vertical="center" wrapText="1"/>
    </xf>
    <xf numFmtId="168" fontId="11" fillId="4" borderId="19" xfId="0" applyNumberFormat="1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indent="56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5" xfId="0" applyFont="1" applyFill="1" applyBorder="1" applyAlignment="1">
      <alignment horizontal="left" vertical="center"/>
    </xf>
    <xf numFmtId="168" fontId="11" fillId="4" borderId="24" xfId="0" applyNumberFormat="1" applyFont="1" applyFill="1" applyBorder="1" applyAlignment="1">
      <alignment horizontal="center" vertical="center" wrapText="1"/>
    </xf>
    <xf numFmtId="168" fontId="11" fillId="4" borderId="15" xfId="0" applyNumberFormat="1" applyFont="1" applyFill="1" applyBorder="1" applyAlignment="1">
      <alignment horizontal="center" vertical="center" wrapText="1"/>
    </xf>
    <xf numFmtId="168" fontId="11" fillId="4" borderId="29" xfId="0" applyNumberFormat="1" applyFont="1" applyFill="1" applyBorder="1" applyAlignment="1">
      <alignment horizontal="center" vertical="center" wrapText="1"/>
    </xf>
    <xf numFmtId="168" fontId="11" fillId="4" borderId="18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Continuous"/>
    </xf>
    <xf numFmtId="0" fontId="15" fillId="2" borderId="0" xfId="0" applyFont="1" applyFill="1" applyBorder="1" applyAlignment="1">
      <alignment horizontal="centerContinuous"/>
    </xf>
    <xf numFmtId="0" fontId="15" fillId="2" borderId="0" xfId="0" applyFont="1" applyFill="1" applyBorder="1" applyAlignment="1">
      <alignment horizontal="center"/>
    </xf>
    <xf numFmtId="0" fontId="15" fillId="2" borderId="31" xfId="0" applyFont="1" applyFill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16" xfId="0" applyFont="1" applyBorder="1"/>
    <xf numFmtId="168" fontId="12" fillId="0" borderId="2" xfId="0" applyNumberFormat="1" applyFont="1" applyBorder="1" applyAlignment="1">
      <alignment horizontal="center"/>
    </xf>
    <xf numFmtId="168" fontId="12" fillId="0" borderId="32" xfId="0" applyNumberFormat="1" applyFont="1" applyBorder="1" applyAlignment="1">
      <alignment horizontal="center"/>
    </xf>
    <xf numFmtId="169" fontId="12" fillId="0" borderId="2" xfId="0" applyNumberFormat="1" applyFont="1" applyBorder="1" applyAlignment="1">
      <alignment horizontal="center"/>
    </xf>
    <xf numFmtId="168" fontId="12" fillId="0" borderId="3" xfId="0" applyNumberFormat="1" applyFont="1" applyBorder="1" applyAlignment="1">
      <alignment horizontal="center"/>
    </xf>
    <xf numFmtId="168" fontId="12" fillId="0" borderId="33" xfId="0" applyNumberFormat="1" applyFont="1" applyBorder="1" applyAlignment="1">
      <alignment horizontal="center"/>
    </xf>
    <xf numFmtId="169" fontId="12" fillId="0" borderId="3" xfId="0" applyNumberFormat="1" applyFont="1" applyBorder="1" applyAlignment="1">
      <alignment horizontal="center"/>
    </xf>
    <xf numFmtId="168" fontId="12" fillId="0" borderId="16" xfId="0" applyNumberFormat="1" applyFont="1" applyBorder="1" applyAlignment="1">
      <alignment horizontal="center"/>
    </xf>
    <xf numFmtId="168" fontId="12" fillId="0" borderId="34" xfId="0" applyNumberFormat="1" applyFont="1" applyBorder="1" applyAlignment="1">
      <alignment horizontal="center"/>
    </xf>
    <xf numFmtId="169" fontId="12" fillId="0" borderId="16" xfId="0" applyNumberFormat="1" applyFont="1" applyBorder="1" applyAlignment="1">
      <alignment horizontal="center"/>
    </xf>
    <xf numFmtId="0" fontId="17" fillId="3" borderId="30" xfId="0" applyFont="1" applyFill="1" applyBorder="1"/>
    <xf numFmtId="168" fontId="17" fillId="3" borderId="30" xfId="0" applyNumberFormat="1" applyFont="1" applyFill="1" applyBorder="1" applyAlignment="1">
      <alignment horizontal="center"/>
    </xf>
    <xf numFmtId="168" fontId="17" fillId="3" borderId="35" xfId="0" applyNumberFormat="1" applyFont="1" applyFill="1" applyBorder="1" applyAlignment="1">
      <alignment horizontal="center"/>
    </xf>
    <xf numFmtId="169" fontId="17" fillId="3" borderId="30" xfId="0" applyNumberFormat="1" applyFont="1" applyFill="1" applyBorder="1" applyAlignment="1">
      <alignment horizontal="center"/>
    </xf>
    <xf numFmtId="0" fontId="18" fillId="0" borderId="0" xfId="0" applyFont="1"/>
    <xf numFmtId="170" fontId="18" fillId="0" borderId="0" xfId="0" applyNumberFormat="1" applyFont="1" applyAlignment="1">
      <alignment horizontal="center"/>
    </xf>
    <xf numFmtId="0" fontId="16" fillId="2" borderId="0" xfId="0" applyFont="1" applyFill="1" applyAlignment="1">
      <alignment horizontal="left"/>
    </xf>
    <xf numFmtId="0" fontId="15" fillId="2" borderId="0" xfId="0" applyFont="1" applyFill="1" applyAlignment="1">
      <alignment horizontal="left"/>
    </xf>
    <xf numFmtId="0" fontId="21" fillId="0" borderId="0" xfId="0" applyFont="1" applyFill="1" applyAlignment="1">
      <alignment vertical="center"/>
    </xf>
    <xf numFmtId="0" fontId="20" fillId="4" borderId="3" xfId="0" applyFont="1" applyFill="1" applyBorder="1"/>
    <xf numFmtId="167" fontId="5" fillId="4" borderId="3" xfId="0" applyNumberFormat="1" applyFont="1" applyFill="1" applyBorder="1" applyAlignment="1">
      <alignment horizontal="right"/>
    </xf>
    <xf numFmtId="167" fontId="0" fillId="4" borderId="3" xfId="0" applyNumberFormat="1" applyFill="1" applyBorder="1" applyAlignment="1">
      <alignment horizontal="right"/>
    </xf>
    <xf numFmtId="0" fontId="2" fillId="2" borderId="38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center" vertical="center"/>
    </xf>
    <xf numFmtId="0" fontId="5" fillId="4" borderId="3" xfId="0" applyFont="1" applyFill="1" applyBorder="1"/>
    <xf numFmtId="165" fontId="0" fillId="4" borderId="3" xfId="0" applyNumberFormat="1" applyFill="1" applyBorder="1" applyAlignment="1">
      <alignment horizontal="right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167" fontId="0" fillId="4" borderId="40" xfId="0" applyNumberFormat="1" applyFill="1" applyBorder="1" applyAlignment="1">
      <alignment horizontal="right"/>
    </xf>
    <xf numFmtId="0" fontId="20" fillId="4" borderId="16" xfId="0" applyFont="1" applyFill="1" applyBorder="1"/>
    <xf numFmtId="167" fontId="5" fillId="4" borderId="16" xfId="0" applyNumberFormat="1" applyFont="1" applyFill="1" applyBorder="1" applyAlignment="1">
      <alignment horizontal="right"/>
    </xf>
    <xf numFmtId="167" fontId="0" fillId="4" borderId="41" xfId="0" applyNumberFormat="1" applyFill="1" applyBorder="1" applyAlignment="1">
      <alignment horizontal="right"/>
    </xf>
    <xf numFmtId="167" fontId="0" fillId="4" borderId="16" xfId="0" applyNumberFormat="1" applyFill="1" applyBorder="1" applyAlignment="1">
      <alignment horizontal="right"/>
    </xf>
    <xf numFmtId="165" fontId="0" fillId="4" borderId="16" xfId="0" applyNumberFormat="1" applyFill="1" applyBorder="1" applyAlignment="1">
      <alignment horizontal="right"/>
    </xf>
    <xf numFmtId="0" fontId="20" fillId="6" borderId="3" xfId="0" applyFont="1" applyFill="1" applyBorder="1"/>
    <xf numFmtId="0" fontId="24" fillId="2" borderId="42" xfId="0" applyFont="1" applyFill="1" applyBorder="1" applyAlignment="1">
      <alignment horizontal="left" vertical="center"/>
    </xf>
    <xf numFmtId="0" fontId="24" fillId="2" borderId="43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26" fillId="4" borderId="0" xfId="0" applyFont="1" applyFill="1" applyAlignment="1">
      <alignment horizontal="left" vertical="center"/>
    </xf>
    <xf numFmtId="0" fontId="26" fillId="4" borderId="45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left" vertical="center"/>
    </xf>
    <xf numFmtId="0" fontId="26" fillId="4" borderId="47" xfId="0" applyFont="1" applyFill="1" applyBorder="1" applyAlignment="1">
      <alignment horizontal="left" vertical="center"/>
    </xf>
    <xf numFmtId="0" fontId="25" fillId="4" borderId="0" xfId="0" applyFont="1" applyFill="1" applyBorder="1" applyAlignment="1">
      <alignment horizontal="left" vertical="center"/>
    </xf>
    <xf numFmtId="0" fontId="25" fillId="4" borderId="48" xfId="0" applyFont="1" applyFill="1" applyBorder="1" applyAlignment="1">
      <alignment horizontal="left" vertical="center"/>
    </xf>
    <xf numFmtId="0" fontId="26" fillId="4" borderId="48" xfId="0" applyFont="1" applyFill="1" applyBorder="1" applyAlignment="1">
      <alignment horizontal="left" vertical="center"/>
    </xf>
    <xf numFmtId="0" fontId="26" fillId="4" borderId="38" xfId="0" applyFont="1" applyFill="1" applyBorder="1" applyAlignment="1">
      <alignment horizontal="left" vertical="center"/>
    </xf>
    <xf numFmtId="166" fontId="27" fillId="0" borderId="0" xfId="0" applyNumberFormat="1" applyFont="1" applyAlignment="1">
      <alignment vertical="center"/>
    </xf>
    <xf numFmtId="0" fontId="28" fillId="0" borderId="0" xfId="0" applyFont="1"/>
    <xf numFmtId="0" fontId="29" fillId="4" borderId="0" xfId="0" applyFont="1" applyFill="1" applyAlignment="1">
      <alignment horizontal="left" vertical="center"/>
    </xf>
    <xf numFmtId="0" fontId="29" fillId="4" borderId="44" xfId="0" applyFont="1" applyFill="1" applyBorder="1" applyAlignment="1">
      <alignment horizontal="left" vertical="center"/>
    </xf>
    <xf numFmtId="0" fontId="5" fillId="4" borderId="0" xfId="0" applyFont="1" applyFill="1" applyBorder="1"/>
    <xf numFmtId="0" fontId="20" fillId="4" borderId="0" xfId="0" applyFont="1" applyFill="1" applyBorder="1"/>
    <xf numFmtId="167" fontId="5" fillId="4" borderId="0" xfId="0" applyNumberFormat="1" applyFont="1" applyFill="1" applyBorder="1" applyAlignment="1">
      <alignment horizontal="right"/>
    </xf>
    <xf numFmtId="167" fontId="0" fillId="4" borderId="0" xfId="0" applyNumberFormat="1" applyFill="1" applyBorder="1" applyAlignment="1">
      <alignment horizontal="right"/>
    </xf>
    <xf numFmtId="165" fontId="0" fillId="4" borderId="0" xfId="0" applyNumberFormat="1" applyFill="1" applyBorder="1" applyAlignment="1">
      <alignment horizontal="right"/>
    </xf>
    <xf numFmtId="171" fontId="0" fillId="0" borderId="0" xfId="0" applyNumberFormat="1"/>
    <xf numFmtId="171" fontId="28" fillId="0" borderId="0" xfId="0" applyNumberFormat="1" applyFont="1"/>
    <xf numFmtId="0" fontId="5" fillId="4" borderId="3" xfId="0" applyNumberFormat="1" applyFont="1" applyFill="1" applyBorder="1" applyAlignment="1">
      <alignment horizontal="left"/>
    </xf>
    <xf numFmtId="0" fontId="5" fillId="4" borderId="16" xfId="0" applyNumberFormat="1" applyFont="1" applyFill="1" applyBorder="1" applyAlignment="1">
      <alignment horizontal="left"/>
    </xf>
    <xf numFmtId="0" fontId="30" fillId="4" borderId="3" xfId="0" applyNumberFormat="1" applyFont="1" applyFill="1" applyBorder="1" applyAlignment="1">
      <alignment horizontal="left"/>
    </xf>
    <xf numFmtId="0" fontId="31" fillId="4" borderId="48" xfId="0" applyFont="1" applyFill="1" applyBorder="1" applyAlignment="1">
      <alignment horizontal="left" vertical="center"/>
    </xf>
    <xf numFmtId="0" fontId="11" fillId="4" borderId="48" xfId="0" applyFont="1" applyFill="1" applyBorder="1" applyAlignment="1">
      <alignment horizontal="left" vertical="center"/>
    </xf>
    <xf numFmtId="0" fontId="31" fillId="4" borderId="38" xfId="0" applyFont="1" applyFill="1" applyBorder="1" applyAlignment="1">
      <alignment horizontal="left" vertical="center"/>
    </xf>
    <xf numFmtId="0" fontId="11" fillId="4" borderId="38" xfId="0" applyFont="1" applyFill="1" applyBorder="1" applyAlignment="1">
      <alignment horizontal="left" vertical="center"/>
    </xf>
    <xf numFmtId="168" fontId="11" fillId="4" borderId="52" xfId="0" applyNumberFormat="1" applyFont="1" applyFill="1" applyBorder="1" applyAlignment="1">
      <alignment horizontal="center" vertical="center" wrapText="1"/>
    </xf>
    <xf numFmtId="168" fontId="11" fillId="4" borderId="51" xfId="0" applyNumberFormat="1" applyFont="1" applyFill="1" applyBorder="1" applyAlignment="1">
      <alignment horizontal="center" vertical="center" wrapText="1"/>
    </xf>
    <xf numFmtId="0" fontId="31" fillId="4" borderId="53" xfId="0" applyFont="1" applyFill="1" applyBorder="1" applyAlignment="1">
      <alignment horizontal="left" vertical="center"/>
    </xf>
    <xf numFmtId="0" fontId="11" fillId="4" borderId="53" xfId="0" applyFont="1" applyFill="1" applyBorder="1" applyAlignment="1">
      <alignment horizontal="left" vertical="center"/>
    </xf>
    <xf numFmtId="0" fontId="31" fillId="4" borderId="54" xfId="0" applyFont="1" applyFill="1" applyBorder="1" applyAlignment="1">
      <alignment horizontal="left" vertical="center"/>
    </xf>
    <xf numFmtId="0" fontId="11" fillId="4" borderId="54" xfId="0" applyFont="1" applyFill="1" applyBorder="1" applyAlignment="1">
      <alignment horizontal="left" vertical="center"/>
    </xf>
    <xf numFmtId="0" fontId="32" fillId="7" borderId="2" xfId="0" applyFont="1" applyFill="1" applyBorder="1" applyAlignment="1">
      <alignment horizontal="left" vertical="center"/>
    </xf>
    <xf numFmtId="0" fontId="32" fillId="7" borderId="3" xfId="0" applyFont="1" applyFill="1" applyBorder="1" applyAlignment="1">
      <alignment horizontal="left" vertical="center"/>
    </xf>
    <xf numFmtId="0" fontId="32" fillId="7" borderId="16" xfId="0" applyFont="1" applyFill="1" applyBorder="1" applyAlignment="1">
      <alignment horizontal="left" vertical="center"/>
    </xf>
    <xf numFmtId="0" fontId="32" fillId="8" borderId="49" xfId="0" applyFont="1" applyFill="1" applyBorder="1" applyAlignment="1">
      <alignment horizontal="left" vertical="center"/>
    </xf>
    <xf numFmtId="0" fontId="32" fillId="8" borderId="2" xfId="0" applyFont="1" applyFill="1" applyBorder="1" applyAlignment="1">
      <alignment horizontal="left" vertical="center"/>
    </xf>
    <xf numFmtId="0" fontId="32" fillId="8" borderId="3" xfId="0" applyFont="1" applyFill="1" applyBorder="1" applyAlignment="1">
      <alignment horizontal="left" vertical="center"/>
    </xf>
    <xf numFmtId="0" fontId="32" fillId="8" borderId="16" xfId="0" applyFont="1" applyFill="1" applyBorder="1" applyAlignment="1">
      <alignment horizontal="left" vertical="center"/>
    </xf>
    <xf numFmtId="0" fontId="33" fillId="9" borderId="49" xfId="0" applyFont="1" applyFill="1" applyBorder="1" applyAlignment="1">
      <alignment horizontal="left" vertical="center"/>
    </xf>
    <xf numFmtId="0" fontId="33" fillId="9" borderId="2" xfId="0" applyFont="1" applyFill="1" applyBorder="1" applyAlignment="1">
      <alignment horizontal="left" vertical="center"/>
    </xf>
    <xf numFmtId="0" fontId="33" fillId="9" borderId="3" xfId="0" applyFont="1" applyFill="1" applyBorder="1" applyAlignment="1">
      <alignment horizontal="left" vertical="center"/>
    </xf>
    <xf numFmtId="0" fontId="33" fillId="9" borderId="16" xfId="0" applyFont="1" applyFill="1" applyBorder="1" applyAlignment="1">
      <alignment horizontal="left" vertical="center"/>
    </xf>
    <xf numFmtId="0" fontId="34" fillId="4" borderId="2" xfId="0" applyFont="1" applyFill="1" applyBorder="1" applyAlignment="1">
      <alignment horizontal="left" vertical="center"/>
    </xf>
    <xf numFmtId="0" fontId="34" fillId="4" borderId="3" xfId="0" applyFont="1" applyFill="1" applyBorder="1" applyAlignment="1">
      <alignment horizontal="left" vertical="center"/>
    </xf>
    <xf numFmtId="0" fontId="34" fillId="4" borderId="16" xfId="0" applyFont="1" applyFill="1" applyBorder="1" applyAlignment="1">
      <alignment horizontal="left" vertical="center"/>
    </xf>
    <xf numFmtId="0" fontId="34" fillId="4" borderId="49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50" xfId="0" applyFont="1" applyFill="1" applyBorder="1" applyAlignment="1">
      <alignment horizontal="left" vertical="center"/>
    </xf>
    <xf numFmtId="0" fontId="11" fillId="4" borderId="51" xfId="0" applyFont="1" applyFill="1" applyBorder="1" applyAlignment="1">
      <alignment horizontal="left" vertical="center"/>
    </xf>
    <xf numFmtId="168" fontId="11" fillId="4" borderId="15" xfId="1" applyNumberFormat="1" applyFont="1" applyFill="1" applyBorder="1" applyAlignment="1">
      <alignment horizontal="center" vertical="center" wrapText="1"/>
    </xf>
    <xf numFmtId="168" fontId="31" fillId="4" borderId="54" xfId="0" applyNumberFormat="1" applyFont="1" applyFill="1" applyBorder="1" applyAlignment="1">
      <alignment horizontal="center" vertical="center"/>
    </xf>
    <xf numFmtId="168" fontId="31" fillId="4" borderId="49" xfId="0" applyNumberFormat="1" applyFont="1" applyFill="1" applyBorder="1" applyAlignment="1">
      <alignment horizontal="center" vertical="center"/>
    </xf>
    <xf numFmtId="168" fontId="31" fillId="4" borderId="53" xfId="0" applyNumberFormat="1" applyFont="1" applyFill="1" applyBorder="1" applyAlignment="1">
      <alignment horizontal="center" vertical="center"/>
    </xf>
    <xf numFmtId="168" fontId="31" fillId="4" borderId="2" xfId="0" applyNumberFormat="1" applyFont="1" applyFill="1" applyBorder="1" applyAlignment="1">
      <alignment horizontal="center" vertical="center"/>
    </xf>
    <xf numFmtId="168" fontId="31" fillId="4" borderId="48" xfId="0" applyNumberFormat="1" applyFont="1" applyFill="1" applyBorder="1" applyAlignment="1">
      <alignment horizontal="center" vertical="center"/>
    </xf>
    <xf numFmtId="168" fontId="31" fillId="4" borderId="3" xfId="0" applyNumberFormat="1" applyFont="1" applyFill="1" applyBorder="1" applyAlignment="1">
      <alignment horizontal="center" vertical="center"/>
    </xf>
    <xf numFmtId="168" fontId="31" fillId="4" borderId="38" xfId="0" applyNumberFormat="1" applyFont="1" applyFill="1" applyBorder="1" applyAlignment="1">
      <alignment horizontal="center" vertical="center"/>
    </xf>
    <xf numFmtId="168" fontId="31" fillId="4" borderId="16" xfId="0" applyNumberFormat="1" applyFont="1" applyFill="1" applyBorder="1" applyAlignment="1">
      <alignment horizontal="center" vertical="center"/>
    </xf>
    <xf numFmtId="0" fontId="14" fillId="0" borderId="49" xfId="0" applyFont="1" applyBorder="1" applyAlignment="1">
      <alignment horizontal="left" vertical="center"/>
    </xf>
    <xf numFmtId="168" fontId="12" fillId="0" borderId="4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168" fontId="12" fillId="0" borderId="2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168" fontId="12" fillId="0" borderId="3" xfId="0" applyNumberFormat="1" applyFont="1" applyBorder="1" applyAlignment="1">
      <alignment horizontal="center" vertical="center"/>
    </xf>
    <xf numFmtId="168" fontId="12" fillId="0" borderId="16" xfId="0" applyNumberFormat="1" applyFont="1" applyBorder="1" applyAlignment="1">
      <alignment horizontal="center" vertical="center"/>
    </xf>
    <xf numFmtId="0" fontId="29" fillId="4" borderId="0" xfId="0" applyFont="1" applyFill="1"/>
    <xf numFmtId="0" fontId="6" fillId="3" borderId="55" xfId="0" applyFont="1" applyFill="1" applyBorder="1"/>
    <xf numFmtId="167" fontId="6" fillId="3" borderId="55" xfId="0" applyNumberFormat="1" applyFont="1" applyFill="1" applyBorder="1" applyAlignment="1">
      <alignment horizontal="right"/>
    </xf>
    <xf numFmtId="165" fontId="6" fillId="3" borderId="55" xfId="0" applyNumberFormat="1" applyFont="1" applyFill="1" applyBorder="1" applyAlignment="1">
      <alignment horizontal="right"/>
    </xf>
    <xf numFmtId="0" fontId="35" fillId="4" borderId="3" xfId="0" applyFont="1" applyFill="1" applyBorder="1"/>
    <xf numFmtId="0" fontId="29" fillId="4" borderId="3" xfId="0" applyFont="1" applyFill="1" applyBorder="1"/>
    <xf numFmtId="167" fontId="35" fillId="4" borderId="3" xfId="0" applyNumberFormat="1" applyFont="1" applyFill="1" applyBorder="1" applyAlignment="1">
      <alignment horizontal="right"/>
    </xf>
    <xf numFmtId="167" fontId="29" fillId="4" borderId="3" xfId="0" applyNumberFormat="1" applyFont="1" applyFill="1" applyBorder="1" applyAlignment="1">
      <alignment horizontal="right"/>
    </xf>
    <xf numFmtId="165" fontId="29" fillId="4" borderId="3" xfId="0" applyNumberFormat="1" applyFont="1" applyFill="1" applyBorder="1" applyAlignment="1">
      <alignment horizontal="right"/>
    </xf>
    <xf numFmtId="167" fontId="35" fillId="4" borderId="24" xfId="0" applyNumberFormat="1" applyFont="1" applyFill="1" applyBorder="1" applyAlignment="1">
      <alignment horizontal="right"/>
    </xf>
    <xf numFmtId="0" fontId="35" fillId="4" borderId="16" xfId="0" applyFont="1" applyFill="1" applyBorder="1"/>
    <xf numFmtId="0" fontId="29" fillId="4" borderId="16" xfId="0" applyFont="1" applyFill="1" applyBorder="1"/>
    <xf numFmtId="167" fontId="35" fillId="4" borderId="16" xfId="0" applyNumberFormat="1" applyFont="1" applyFill="1" applyBorder="1" applyAlignment="1">
      <alignment horizontal="right"/>
    </xf>
    <xf numFmtId="167" fontId="29" fillId="4" borderId="16" xfId="0" applyNumberFormat="1" applyFont="1" applyFill="1" applyBorder="1" applyAlignment="1">
      <alignment horizontal="right"/>
    </xf>
    <xf numFmtId="167" fontId="35" fillId="4" borderId="29" xfId="0" applyNumberFormat="1" applyFont="1" applyFill="1" applyBorder="1" applyAlignment="1">
      <alignment horizontal="right"/>
    </xf>
    <xf numFmtId="165" fontId="29" fillId="4" borderId="16" xfId="0" applyNumberFormat="1" applyFont="1" applyFill="1" applyBorder="1" applyAlignment="1">
      <alignment horizontal="right"/>
    </xf>
    <xf numFmtId="0" fontId="31" fillId="4" borderId="0" xfId="0" applyFont="1" applyFill="1"/>
    <xf numFmtId="0" fontId="31" fillId="4" borderId="2" xfId="0" applyFont="1" applyFill="1" applyBorder="1"/>
    <xf numFmtId="168" fontId="31" fillId="4" borderId="2" xfId="0" applyNumberFormat="1" applyFont="1" applyFill="1" applyBorder="1" applyAlignment="1">
      <alignment horizontal="center"/>
    </xf>
    <xf numFmtId="0" fontId="31" fillId="4" borderId="3" xfId="0" applyFont="1" applyFill="1" applyBorder="1"/>
    <xf numFmtId="168" fontId="31" fillId="4" borderId="3" xfId="0" applyNumberFormat="1" applyFont="1" applyFill="1" applyBorder="1" applyAlignment="1">
      <alignment horizontal="center"/>
    </xf>
    <xf numFmtId="0" fontId="31" fillId="4" borderId="16" xfId="0" applyFont="1" applyFill="1" applyBorder="1"/>
    <xf numFmtId="168" fontId="31" fillId="4" borderId="16" xfId="0" applyNumberFormat="1" applyFont="1" applyFill="1" applyBorder="1" applyAlignment="1">
      <alignment horizontal="center"/>
    </xf>
    <xf numFmtId="169" fontId="31" fillId="4" borderId="2" xfId="0" applyNumberFormat="1" applyFont="1" applyFill="1" applyBorder="1" applyAlignment="1">
      <alignment horizontal="center"/>
    </xf>
    <xf numFmtId="169" fontId="31" fillId="4" borderId="3" xfId="0" applyNumberFormat="1" applyFont="1" applyFill="1" applyBorder="1" applyAlignment="1">
      <alignment horizontal="center"/>
    </xf>
    <xf numFmtId="169" fontId="31" fillId="4" borderId="16" xfId="0" applyNumberFormat="1" applyFont="1" applyFill="1" applyBorder="1" applyAlignment="1">
      <alignment horizontal="center"/>
    </xf>
    <xf numFmtId="0" fontId="33" fillId="3" borderId="30" xfId="0" applyFont="1" applyFill="1" applyBorder="1"/>
    <xf numFmtId="168" fontId="33" fillId="3" borderId="30" xfId="0" applyNumberFormat="1" applyFont="1" applyFill="1" applyBorder="1" applyAlignment="1">
      <alignment horizontal="center"/>
    </xf>
    <xf numFmtId="169" fontId="33" fillId="3" borderId="30" xfId="0" applyNumberFormat="1" applyFont="1" applyFill="1" applyBorder="1" applyAlignment="1">
      <alignment horizontal="center"/>
    </xf>
    <xf numFmtId="0" fontId="18" fillId="4" borderId="0" xfId="0" applyFont="1" applyFill="1"/>
    <xf numFmtId="170" fontId="18" fillId="4" borderId="0" xfId="0" applyNumberFormat="1" applyFont="1" applyFill="1" applyAlignment="1">
      <alignment horizontal="center"/>
    </xf>
    <xf numFmtId="0" fontId="31" fillId="4" borderId="56" xfId="0" applyFont="1" applyFill="1" applyBorder="1"/>
    <xf numFmtId="0" fontId="17" fillId="3" borderId="0" xfId="0" applyFont="1" applyFill="1" applyBorder="1"/>
    <xf numFmtId="168" fontId="17" fillId="3" borderId="0" xfId="0" applyNumberFormat="1" applyFont="1" applyFill="1" applyBorder="1" applyAlignment="1">
      <alignment horizontal="center"/>
    </xf>
    <xf numFmtId="168" fontId="17" fillId="3" borderId="31" xfId="0" applyNumberFormat="1" applyFont="1" applyFill="1" applyBorder="1" applyAlignment="1">
      <alignment horizontal="center"/>
    </xf>
    <xf numFmtId="169" fontId="17" fillId="3" borderId="0" xfId="0" applyNumberFormat="1" applyFont="1" applyFill="1" applyBorder="1" applyAlignment="1">
      <alignment horizontal="center"/>
    </xf>
    <xf numFmtId="168" fontId="31" fillId="4" borderId="0" xfId="0" applyNumberFormat="1" applyFont="1" applyFill="1" applyBorder="1" applyAlignment="1">
      <alignment horizontal="center"/>
    </xf>
    <xf numFmtId="0" fontId="15" fillId="2" borderId="21" xfId="0" applyFont="1" applyFill="1" applyBorder="1" applyAlignment="1">
      <alignment horizontal="center"/>
    </xf>
    <xf numFmtId="168" fontId="31" fillId="4" borderId="21" xfId="0" applyNumberFormat="1" applyFont="1" applyFill="1" applyBorder="1" applyAlignment="1">
      <alignment horizontal="center"/>
    </xf>
    <xf numFmtId="0" fontId="31" fillId="4" borderId="57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2"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00703C"/>
      </font>
    </dxf>
    <dxf>
      <fill>
        <patternFill patternType="solid">
          <fgColor indexed="64"/>
          <bgColor rgb="FFF2F6FC"/>
        </patternFill>
      </fill>
    </dxf>
    <dxf>
      <fill>
        <patternFill patternType="solid">
          <fgColor indexed="64"/>
          <bgColor rgb="FFF2F6FC"/>
        </patternFill>
      </fill>
    </dxf>
    <dxf>
      <fill>
        <patternFill patternType="solid">
          <fgColor indexed="64"/>
          <bgColor rgb="FFEEF3FA"/>
        </patternFill>
      </fill>
    </dxf>
    <dxf>
      <fill>
        <patternFill patternType="solid">
          <fgColor indexed="64"/>
          <bgColor rgb="FFEEF3FA"/>
        </patternFill>
      </fill>
    </dxf>
    <dxf>
      <font>
        <b/>
        <i val="0"/>
        <color rgb="FFC00000"/>
      </font>
    </dxf>
    <dxf>
      <fill>
        <patternFill patternType="solid">
          <fgColor indexed="64"/>
          <bgColor rgb="FFEEF3FA"/>
        </patternFill>
      </fill>
    </dxf>
    <dxf>
      <font>
        <b/>
        <i val="0"/>
        <color rgb="FF1F3864"/>
      </font>
    </dxf>
    <dxf>
      <font>
        <b/>
        <i val="0"/>
        <color rgb="FF1F3864"/>
      </font>
    </dxf>
    <dxf>
      <fill>
        <patternFill patternType="solid">
          <fgColor indexed="64"/>
          <bgColor rgb="FFEEF3FA"/>
        </patternFill>
      </fill>
    </dxf>
    <dxf>
      <font>
        <color rgb="FFC00000"/>
      </font>
    </dxf>
    <dxf>
      <font>
        <color rgb="FF00803C"/>
      </font>
    </dxf>
    <dxf>
      <font>
        <color rgb="FFC00000"/>
      </font>
    </dxf>
    <dxf>
      <font>
        <color rgb="FF00803C"/>
      </font>
    </dxf>
    <dxf>
      <font>
        <color rgb="FFC00000"/>
      </font>
    </dxf>
    <dxf>
      <font>
        <color rgb="FF00803C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 patternType="solid">
          <fgColor indexed="64"/>
          <bgColor rgb="FFF2F6FC"/>
        </patternFill>
      </fill>
    </dxf>
    <dxf>
      <fill>
        <patternFill patternType="solid">
          <fgColor indexed="64"/>
          <bgColor rgb="FFF2F6FC"/>
        </patternFill>
      </fill>
    </dxf>
  </dxfs>
  <tableStyles count="1" defaultTableStyle="TableStyleMedium2" defaultPivotStyle="PivotStyleLight16">
    <tableStyle name="Invisible" pivot="0" table="0" count="0" xr9:uid="{8432A2A3-12FF-41DD-838A-226CD1122F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zadaLR\Desktop\Budget\Copy%20of%20&#350;tat%20say&#305;%20v&#601;%20i&#351;&#231;i%20siyah&#305;s&#305;-YEN&#304;.xlsx" TargetMode="External"/><Relationship Id="rId1" Type="http://schemas.openxmlformats.org/officeDocument/2006/relationships/externalLinkPath" Target="/Users/AlizadaLR/Desktop/Budget/Copy%20of%20&#350;tat%20say&#305;%20v&#601;%20i&#351;&#231;i%20siyah&#305;s&#305;-YEN&#304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zadaLR\Desktop\Budget\Pashapay&amp;Birmarket.xlsx" TargetMode="External"/><Relationship Id="rId1" Type="http://schemas.openxmlformats.org/officeDocument/2006/relationships/externalLinkPath" Target="/Users/AlizadaLR/Desktop/Budget/Pashapay&amp;Birmark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rbank İşçi Siyahı"/>
      <sheetName val="Birbank Ştat"/>
      <sheetName val="birmarket"/>
      <sheetName val="pashapay"/>
    </sheetNames>
    <sheetDataSet>
      <sheetData sheetId="0">
        <row r="1">
          <cell r="B1" t="str">
            <v>Soyadı, adı və ata adı
(Surname, name, father name)</v>
          </cell>
          <cell r="C1" t="str">
            <v>Departament
(Department)</v>
          </cell>
          <cell r="D1" t="str">
            <v xml:space="preserve"> </v>
          </cell>
          <cell r="E1" t="str">
            <v>Bölmə 
(Subsection)</v>
          </cell>
          <cell r="F1" t="str">
            <v>Vəzifə
(Position)</v>
          </cell>
          <cell r="G1" t="str">
            <v>Aktiv, Passiv, HX, SM (Active, Passive,Social vacation)</v>
          </cell>
          <cell r="H1" t="str">
            <v>Kapital Banka işə qəbul olunduğu tarix 
(Hire date)</v>
          </cell>
          <cell r="I1" t="str">
            <v>keçid etdiyi şirkət</v>
          </cell>
        </row>
        <row r="2">
          <cell r="B2" t="str">
            <v>Məmmədov Fərid Usad</v>
          </cell>
          <cell r="C2" t="str">
            <v>Müşahidə Şurası</v>
          </cell>
          <cell r="D2" t="str">
            <v>#</v>
          </cell>
          <cell r="E2" t="str">
            <v>#</v>
          </cell>
          <cell r="F2" t="str">
            <v>Müşahidə şurasının sədri (əvəzçilik qaydasında)</v>
          </cell>
          <cell r="G2" t="str">
            <v>A</v>
          </cell>
          <cell r="H2">
            <v>45405</v>
          </cell>
        </row>
        <row r="3">
          <cell r="B3" t="str">
            <v>Həsənov Oqtay Arif</v>
          </cell>
          <cell r="C3" t="str">
            <v>Müşahidə Şurası</v>
          </cell>
          <cell r="D3" t="str">
            <v>#</v>
          </cell>
          <cell r="E3" t="str">
            <v>#</v>
          </cell>
          <cell r="F3" t="str">
            <v>Müşahidə şurasının üzvü, Audit komitəsinin sədri (əvəzçilik qaydasında)</v>
          </cell>
          <cell r="G3" t="str">
            <v>A</v>
          </cell>
          <cell r="H3">
            <v>41654</v>
          </cell>
        </row>
        <row r="4">
          <cell r="B4" t="str">
            <v>Hüseynov Fərid Arif</v>
          </cell>
          <cell r="C4" t="str">
            <v>Rəhbərlik</v>
          </cell>
          <cell r="D4" t="str">
            <v>#</v>
          </cell>
          <cell r="E4" t="str">
            <v>#</v>
          </cell>
          <cell r="F4" t="str">
            <v>İdarə Heyətinin sədri, Baş icraçı direktor</v>
          </cell>
          <cell r="G4" t="str">
            <v>A</v>
          </cell>
          <cell r="H4">
            <v>42125</v>
          </cell>
        </row>
        <row r="5">
          <cell r="B5" t="str">
            <v>Mirzəyev Cavid Akif</v>
          </cell>
          <cell r="C5" t="str">
            <v>Rəhbərlik</v>
          </cell>
          <cell r="D5" t="str">
            <v>#</v>
          </cell>
          <cell r="E5" t="str">
            <v>#</v>
          </cell>
          <cell r="F5" t="str">
            <v>İdarə Heyəti sədrinin I müavini</v>
          </cell>
          <cell r="G5" t="str">
            <v>A</v>
          </cell>
          <cell r="H5">
            <v>41736</v>
          </cell>
        </row>
        <row r="6">
          <cell r="B6" t="str">
            <v>Hidayətzadə Fərid Səbuhi</v>
          </cell>
          <cell r="C6" t="str">
            <v>Rəhbərlik</v>
          </cell>
          <cell r="D6" t="str">
            <v>#</v>
          </cell>
          <cell r="E6" t="str">
            <v>#</v>
          </cell>
          <cell r="F6" t="str">
            <v>İdarə Heyəti sədrinin müavini, Baş Korporativ satış inzibatçısı</v>
          </cell>
          <cell r="G6" t="str">
            <v>A</v>
          </cell>
          <cell r="H6">
            <v>41484</v>
          </cell>
        </row>
        <row r="7">
          <cell r="B7" t="str">
            <v>Orucov Calal Cümşüd</v>
          </cell>
          <cell r="C7" t="str">
            <v>Rəhbərlik</v>
          </cell>
          <cell r="D7" t="str">
            <v>#</v>
          </cell>
          <cell r="E7" t="str">
            <v>#</v>
          </cell>
          <cell r="F7" t="str">
            <v>İdarə Heyəti sədrinin müavini</v>
          </cell>
          <cell r="G7" t="str">
            <v>A</v>
          </cell>
          <cell r="H7">
            <v>46027</v>
          </cell>
        </row>
        <row r="8">
          <cell r="B8" t="str">
            <v>Məmmədov Yaşar Zeynalabdı</v>
          </cell>
          <cell r="C8" t="str">
            <v>Rəhbərlik</v>
          </cell>
          <cell r="D8" t="str">
            <v>#</v>
          </cell>
          <cell r="E8" t="str">
            <v>#</v>
          </cell>
          <cell r="F8" t="str">
            <v>İdarə Heyəti sədrinin müavini</v>
          </cell>
          <cell r="G8" t="str">
            <v>A</v>
          </cell>
          <cell r="H8">
            <v>37893</v>
          </cell>
        </row>
        <row r="9">
          <cell r="B9" t="str">
            <v>Abdullayev Kamal Nadir</v>
          </cell>
          <cell r="C9" t="str">
            <v>Rəhbərlik</v>
          </cell>
          <cell r="D9" t="str">
            <v>#</v>
          </cell>
          <cell r="E9" t="str">
            <v>#</v>
          </cell>
          <cell r="F9" t="str">
            <v>Baş komplayens inzibatçısı</v>
          </cell>
          <cell r="G9" t="str">
            <v>A</v>
          </cell>
          <cell r="H9">
            <v>41484</v>
          </cell>
        </row>
        <row r="10">
          <cell r="B10" t="str">
            <v>Baxşiyev Ağarza Yaşar</v>
          </cell>
          <cell r="C10" t="str">
            <v>Rəhbərlik</v>
          </cell>
          <cell r="D10" t="str">
            <v>#</v>
          </cell>
          <cell r="E10" t="str">
            <v>#</v>
          </cell>
          <cell r="F10" t="str">
            <v>Baş Risk inzibatçısı</v>
          </cell>
          <cell r="G10" t="str">
            <v>A</v>
          </cell>
          <cell r="H10">
            <v>42219</v>
          </cell>
        </row>
        <row r="11">
          <cell r="B11" t="str">
            <v>Atakişiyev Rauf Surxay</v>
          </cell>
          <cell r="C11" t="str">
            <v>Rəhbərlik</v>
          </cell>
          <cell r="D11" t="str">
            <v>#</v>
          </cell>
          <cell r="E11" t="str">
            <v>#</v>
          </cell>
          <cell r="F11" t="str">
            <v>Baş Maliyyə inzibatçısı</v>
          </cell>
          <cell r="G11" t="str">
            <v>A</v>
          </cell>
          <cell r="H11">
            <v>46113</v>
          </cell>
        </row>
        <row r="12">
          <cell r="B12" t="str">
            <v>Məmmədov Emin Ağaverdi</v>
          </cell>
          <cell r="C12" t="str">
            <v>Rəhbərlik</v>
          </cell>
          <cell r="D12" t="str">
            <v>#</v>
          </cell>
          <cell r="E12" t="str">
            <v>#</v>
          </cell>
          <cell r="F12" t="str">
            <v>İdarə Heyəti sədrinin müşaviri</v>
          </cell>
          <cell r="G12" t="str">
            <v>A</v>
          </cell>
          <cell r="H12">
            <v>41611</v>
          </cell>
        </row>
        <row r="13">
          <cell r="B13" t="str">
            <v xml:space="preserve">SZCZEPANSKI LUKASZ </v>
          </cell>
          <cell r="C13" t="str">
            <v>Rəhbərlik</v>
          </cell>
          <cell r="D13" t="str">
            <v>#</v>
          </cell>
          <cell r="E13" t="str">
            <v>#</v>
          </cell>
          <cell r="F13" t="str">
            <v>İdarə Heyəti sədrinin müşaviri</v>
          </cell>
          <cell r="G13" t="str">
            <v>A</v>
          </cell>
          <cell r="H13">
            <v>46237</v>
          </cell>
        </row>
        <row r="14">
          <cell r="B14" t="str">
            <v>Qulaməliyev Rauf İlham</v>
          </cell>
          <cell r="C14" t="str">
            <v>Rəhbərlik</v>
          </cell>
          <cell r="D14" t="str">
            <v>#</v>
          </cell>
          <cell r="E14" t="str">
            <v>#</v>
          </cell>
          <cell r="F14" t="str">
            <v>İdarə Heyəti sədrinin müşaviri</v>
          </cell>
          <cell r="G14" t="str">
            <v>A</v>
          </cell>
          <cell r="H14">
            <v>46241</v>
          </cell>
          <cell r="I14" t="str">
            <v>BirMarket</v>
          </cell>
        </row>
        <row r="15">
          <cell r="B15" t="str">
            <v>Məmmədov Samir Sabir</v>
          </cell>
          <cell r="C15" t="str">
            <v>Rəhbərlik</v>
          </cell>
          <cell r="D15" t="str">
            <v>#</v>
          </cell>
          <cell r="E15" t="str">
            <v>#</v>
          </cell>
          <cell r="F15" t="str">
            <v>İdarə Heyəti sədrinin müşaviri (əvəzçilik qaydasında)</v>
          </cell>
          <cell r="G15" t="str">
            <v>A</v>
          </cell>
          <cell r="H15">
            <v>46034</v>
          </cell>
          <cell r="I15" t="str">
            <v>BirMarket</v>
          </cell>
        </row>
        <row r="16">
          <cell r="B16" t="str">
            <v>Aslanov Mehti İsfəndiyar</v>
          </cell>
          <cell r="C16" t="str">
            <v>Rəhbərlik</v>
          </cell>
          <cell r="D16" t="str">
            <v>#</v>
          </cell>
          <cell r="E16" t="str">
            <v>#</v>
          </cell>
          <cell r="F16" t="str">
            <v>Müşavir (İdarə Heyətinin sədri/baş icraçı direktorun ekosistem üzrə) (əvəzçilik üzrə)</v>
          </cell>
          <cell r="G16" t="str">
            <v>A</v>
          </cell>
          <cell r="H16">
            <v>44958</v>
          </cell>
        </row>
        <row r="17">
          <cell r="B17" t="str">
            <v>İslamov Fərid Abbas</v>
          </cell>
          <cell r="C17" t="str">
            <v>Rəhbərlik</v>
          </cell>
          <cell r="D17" t="str">
            <v>#</v>
          </cell>
          <cell r="E17" t="str">
            <v>#</v>
          </cell>
          <cell r="F17" t="str">
            <v>Ofis lideri</v>
          </cell>
          <cell r="G17" t="str">
            <v>A</v>
          </cell>
          <cell r="H17">
            <v>42877</v>
          </cell>
        </row>
        <row r="18">
          <cell r="B18" t="str">
            <v xml:space="preserve">VASILEVA EVGENIIA </v>
          </cell>
          <cell r="C18" t="str">
            <v>Rəhbərlik</v>
          </cell>
          <cell r="D18" t="str">
            <v>#</v>
          </cell>
          <cell r="E18" t="str">
            <v>#</v>
          </cell>
          <cell r="F18" t="str">
            <v>Aparat rəhbəri</v>
          </cell>
          <cell r="G18" t="str">
            <v>A</v>
          </cell>
          <cell r="H18">
            <v>46254</v>
          </cell>
          <cell r="I18" t="str">
            <v>Bir Payment</v>
          </cell>
        </row>
        <row r="19">
          <cell r="B19" t="str">
            <v>GROMOV MIKHAIL</v>
          </cell>
          <cell r="C19" t="str">
            <v>İnformasiya texnologiyaları idarəsi</v>
          </cell>
          <cell r="D19" t="str">
            <v>#</v>
          </cell>
          <cell r="E19" t="str">
            <v>#</v>
          </cell>
          <cell r="F19" t="str">
            <v>Baş direktor</v>
          </cell>
          <cell r="G19" t="str">
            <v>A</v>
          </cell>
          <cell r="H19">
            <v>45114</v>
          </cell>
        </row>
        <row r="20">
          <cell r="B20" t="str">
            <v>EVDOKIMOV MAKSIM</v>
          </cell>
          <cell r="C20" t="str">
            <v>Məhsul və marketinq idarəsi</v>
          </cell>
          <cell r="D20" t="str">
            <v>#</v>
          </cell>
          <cell r="E20" t="str">
            <v>#</v>
          </cell>
          <cell r="F20" t="str">
            <v>Baş direktor</v>
          </cell>
          <cell r="G20" t="str">
            <v>A</v>
          </cell>
          <cell r="H20">
            <v>45344</v>
          </cell>
        </row>
        <row r="21">
          <cell r="B21" t="str">
            <v>Nəbiyev Valeh Valeh</v>
          </cell>
          <cell r="C21" t="str">
            <v>Data və Aİ idarəsi</v>
          </cell>
          <cell r="D21" t="str">
            <v>#</v>
          </cell>
          <cell r="E21" t="str">
            <v>#</v>
          </cell>
          <cell r="F21" t="str">
            <v>Baş direktor</v>
          </cell>
          <cell r="G21" t="str">
            <v>A</v>
          </cell>
          <cell r="H21">
            <v>46143</v>
          </cell>
          <cell r="I21" t="str">
            <v>Paşa Holding</v>
          </cell>
        </row>
        <row r="22">
          <cell r="B22" t="str">
            <v>Məmmədov Ruslan Nəsir</v>
          </cell>
          <cell r="C22" t="str">
            <v>Strategiya idarəsi</v>
          </cell>
          <cell r="D22" t="str">
            <v>#</v>
          </cell>
          <cell r="E22" t="str">
            <v>#</v>
          </cell>
          <cell r="F22" t="str">
            <v>Baş direktor</v>
          </cell>
          <cell r="G22" t="str">
            <v>A</v>
          </cell>
          <cell r="H22">
            <v>46143</v>
          </cell>
          <cell r="I22" t="str">
            <v>Paşa Holding</v>
          </cell>
        </row>
        <row r="23">
          <cell r="B23" t="str">
            <v>İbrahimov Məhəmməd Əhməd</v>
          </cell>
          <cell r="C23" t="str">
            <v>Əməliyyatlar ofisi</v>
          </cell>
          <cell r="D23" t="str">
            <v>#</v>
          </cell>
          <cell r="E23" t="str">
            <v>#</v>
          </cell>
          <cell r="F23" t="str">
            <v>Ofis lideri</v>
          </cell>
          <cell r="G23" t="str">
            <v>A</v>
          </cell>
          <cell r="H23">
            <v>42311</v>
          </cell>
        </row>
        <row r="24">
          <cell r="B24" t="str">
            <v>Xan-Məmmədov Zakir Akif</v>
          </cell>
          <cell r="C24" t="str">
            <v>Ödəniş məhsulları ofisi</v>
          </cell>
          <cell r="D24" t="str">
            <v>#</v>
          </cell>
          <cell r="E24" t="str">
            <v>#</v>
          </cell>
          <cell r="F24" t="str">
            <v>Ofis lideri</v>
          </cell>
          <cell r="G24" t="str">
            <v>A</v>
          </cell>
          <cell r="H24">
            <v>40253</v>
          </cell>
        </row>
        <row r="25">
          <cell r="B25" t="str">
            <v>SHABANLI SEYMUR</v>
          </cell>
          <cell r="C25" t="str">
            <v>Data menecment ofisi</v>
          </cell>
          <cell r="D25" t="str">
            <v>#</v>
          </cell>
          <cell r="E25" t="str">
            <v>#</v>
          </cell>
          <cell r="F25" t="str">
            <v>Ofis lideri</v>
          </cell>
          <cell r="G25" t="str">
            <v>A</v>
          </cell>
          <cell r="H25">
            <v>44382</v>
          </cell>
        </row>
        <row r="26">
          <cell r="B26" t="str">
            <v>Səmədov Fərid Sirac</v>
          </cell>
          <cell r="C26" t="str">
            <v>Ödəniş texnologiyaları ofisi</v>
          </cell>
          <cell r="D26" t="str">
            <v>#</v>
          </cell>
          <cell r="E26" t="str">
            <v>#</v>
          </cell>
          <cell r="F26" t="str">
            <v>Ofis lideri</v>
          </cell>
          <cell r="G26" t="str">
            <v>A</v>
          </cell>
          <cell r="H26">
            <v>42222</v>
          </cell>
        </row>
        <row r="27">
          <cell r="B27" t="str">
            <v>Məmmədov Pərvin Zahid</v>
          </cell>
          <cell r="C27" t="str">
            <v>Maliyyə ofisi</v>
          </cell>
          <cell r="D27" t="str">
            <v>#</v>
          </cell>
          <cell r="E27" t="str">
            <v>#</v>
          </cell>
          <cell r="F27" t="str">
            <v>Ofis lideri</v>
          </cell>
          <cell r="G27" t="str">
            <v>A</v>
          </cell>
          <cell r="H27">
            <v>41022</v>
          </cell>
        </row>
        <row r="28">
          <cell r="B28" t="str">
            <v>Mahmudxanov Xıdır Asif</v>
          </cell>
          <cell r="C28" t="str">
            <v>Maliyyə risklərinin idarə edilməsi ofisi</v>
          </cell>
          <cell r="D28" t="str">
            <v>#</v>
          </cell>
          <cell r="E28" t="str">
            <v>#</v>
          </cell>
          <cell r="F28" t="str">
            <v>Ofis lideri</v>
          </cell>
          <cell r="G28" t="str">
            <v>A</v>
          </cell>
          <cell r="H28">
            <v>44228</v>
          </cell>
        </row>
        <row r="29">
          <cell r="B29" t="str">
            <v>IAKUBOV AIRAT</v>
          </cell>
          <cell r="C29" t="str">
            <v>İnformasiya texnologiyaları idarəsi</v>
          </cell>
          <cell r="D29" t="str">
            <v>#</v>
          </cell>
          <cell r="E29" t="str">
            <v>#</v>
          </cell>
          <cell r="F29" t="str">
            <v>Tribe tech lead</v>
          </cell>
          <cell r="G29" t="str">
            <v>A</v>
          </cell>
          <cell r="H29">
            <v>45344</v>
          </cell>
        </row>
        <row r="30">
          <cell r="B30" t="str">
            <v>Şükürov Elvin Elçin</v>
          </cell>
          <cell r="C30" t="str">
            <v>Ödəniş biznesinin mühəndislik ekspert mərkəzi</v>
          </cell>
          <cell r="D30" t="str">
            <v>#</v>
          </cell>
          <cell r="E30" t="str">
            <v>#</v>
          </cell>
          <cell r="F30" t="str">
            <v>Tribe tech lead</v>
          </cell>
          <cell r="G30" t="str">
            <v>A</v>
          </cell>
          <cell r="H30">
            <v>45278</v>
          </cell>
        </row>
        <row r="31">
          <cell r="B31" t="str">
            <v>İbrahimxanlı Murad Zeynal</v>
          </cell>
          <cell r="C31" t="str">
            <v>Ödəniş biznesinin mühəndislik ekspert mərkəzi</v>
          </cell>
          <cell r="D31" t="str">
            <v>softwate chapter</v>
          </cell>
          <cell r="E31" t="str">
            <v>#</v>
          </cell>
          <cell r="F31" t="str">
            <v>Tech lead</v>
          </cell>
          <cell r="G31" t="str">
            <v>A</v>
          </cell>
          <cell r="H31">
            <v>46146</v>
          </cell>
        </row>
        <row r="32">
          <cell r="B32" t="str">
            <v>Məmmədzadə Samir Səfər</v>
          </cell>
          <cell r="C32" t="str">
            <v>Ödəniş biznesinin mühəndislik ekspert mərkəzi</v>
          </cell>
          <cell r="D32" t="str">
            <v>softwate chapter</v>
          </cell>
          <cell r="E32" t="str">
            <v>#</v>
          </cell>
          <cell r="F32" t="str">
            <v>Tech lead  (0,5 ştat vahidi üzrə əvəzçilik qaydasında)</v>
          </cell>
          <cell r="G32" t="str">
            <v>A</v>
          </cell>
          <cell r="H32">
            <v>46213</v>
          </cell>
          <cell r="I32" t="str">
            <v>Bir Payment</v>
          </cell>
        </row>
        <row r="33">
          <cell r="B33" t="str">
            <v>Əhmədov Kənan Fəxrəddin</v>
          </cell>
          <cell r="C33" t="str">
            <v>Kart məhsulları sahəsi</v>
          </cell>
          <cell r="D33" t="str">
            <v>#</v>
          </cell>
          <cell r="E33" t="str">
            <v>#</v>
          </cell>
          <cell r="F33" t="str">
            <v>Tribe tech lead</v>
          </cell>
          <cell r="G33" t="str">
            <v>A</v>
          </cell>
          <cell r="H33">
            <v>46035</v>
          </cell>
        </row>
        <row r="34">
          <cell r="B34" t="str">
            <v>Lətifov Fariz Məmməd</v>
          </cell>
          <cell r="C34" t="str">
            <v>FinTech mühəndislik ekspert mərkəzi</v>
          </cell>
          <cell r="D34" t="str">
            <v>#</v>
          </cell>
          <cell r="E34" t="str">
            <v>#</v>
          </cell>
          <cell r="F34" t="str">
            <v>Tribe tech lead</v>
          </cell>
          <cell r="G34" t="str">
            <v>A</v>
          </cell>
          <cell r="H34">
            <v>43242</v>
          </cell>
        </row>
        <row r="35">
          <cell r="B35" t="str">
            <v>Məmmədov İlqar Camal</v>
          </cell>
          <cell r="C35" t="str">
            <v>Ödəniş biznesinin mühəndislik ekspert mərkəzi</v>
          </cell>
          <cell r="D35" t="str">
            <v>#</v>
          </cell>
          <cell r="E35" t="str">
            <v>#</v>
          </cell>
          <cell r="F35" t="str">
            <v>Ekspert mərkəzinin lideri</v>
          </cell>
          <cell r="G35" t="str">
            <v>A</v>
          </cell>
          <cell r="H35">
            <v>45691</v>
          </cell>
        </row>
        <row r="36">
          <cell r="B36" t="str">
            <v>Əlizadə Teymur Vladimiroviç</v>
          </cell>
          <cell r="C36" t="str">
            <v>Ödəniş biznesinin TechOps funksional sahəsi</v>
          </cell>
          <cell r="D36" t="str">
            <v>#</v>
          </cell>
          <cell r="E36" t="str">
            <v>#</v>
          </cell>
          <cell r="F36" t="str">
            <v>Servis dayanıqlığı üzrə mühəndis</v>
          </cell>
          <cell r="G36" t="str">
            <v>A</v>
          </cell>
          <cell r="H36">
            <v>45323</v>
          </cell>
        </row>
        <row r="37">
          <cell r="B37" t="str">
            <v>SHATUNOV MAKSIM</v>
          </cell>
          <cell r="C37" t="str">
            <v>BirApp texnologiyası sahəsi</v>
          </cell>
          <cell r="D37" t="str">
            <v>#</v>
          </cell>
          <cell r="E37" t="str">
            <v>#</v>
          </cell>
          <cell r="F37" t="str">
            <v>Tribe tech lead</v>
          </cell>
          <cell r="G37" t="str">
            <v>A</v>
          </cell>
          <cell r="H37">
            <v>45762</v>
          </cell>
        </row>
        <row r="38">
          <cell r="B38" t="str">
            <v>Rəcəbova Samirə Fuad</v>
          </cell>
          <cell r="C38" t="str">
            <v>BirApp texnologiyası sahəsi</v>
          </cell>
          <cell r="D38" t="str">
            <v>Birbank Platform</v>
          </cell>
          <cell r="E38" t="str">
            <v>#</v>
          </cell>
          <cell r="F38" t="str">
            <v>Məhsul sahibi</v>
          </cell>
          <cell r="G38" t="str">
            <v>A</v>
          </cell>
          <cell r="H38">
            <v>42797</v>
          </cell>
        </row>
        <row r="39">
          <cell r="B39" t="str">
            <v>Seyfullayev Şahmar Asəf</v>
          </cell>
          <cell r="C39" t="str">
            <v>Ödəniş biznesinin mühəndislik ekspert mərkəzi</v>
          </cell>
          <cell r="D39" t="str">
            <v>#</v>
          </cell>
          <cell r="E39" t="str">
            <v>#</v>
          </cell>
          <cell r="F39" t="str">
            <v>Tribe tech lead</v>
          </cell>
          <cell r="G39" t="str">
            <v>A</v>
          </cell>
          <cell r="H39">
            <v>42808</v>
          </cell>
        </row>
        <row r="40">
          <cell r="B40" t="str">
            <v>Mustafayev Kamran Çingiz</v>
          </cell>
          <cell r="C40" t="str">
            <v>Korporativ inkişaf və investor əlaqələri departamenti</v>
          </cell>
          <cell r="D40" t="str">
            <v>#</v>
          </cell>
          <cell r="E40" t="str">
            <v>#</v>
          </cell>
          <cell r="F40" t="str">
            <v>Menecer</v>
          </cell>
          <cell r="G40" t="str">
            <v>A</v>
          </cell>
          <cell r="H40">
            <v>46055</v>
          </cell>
        </row>
        <row r="41">
          <cell r="B41" t="str">
            <v>RIZVANOV RUSTAM</v>
          </cell>
          <cell r="C41" t="str">
            <v>Korporativ inkişaf və investor əlaqələri departamenti</v>
          </cell>
          <cell r="D41" t="str">
            <v>#</v>
          </cell>
          <cell r="E41" t="str">
            <v>#</v>
          </cell>
          <cell r="F41" t="str">
            <v>Direktor müavini</v>
          </cell>
          <cell r="G41" t="str">
            <v>A</v>
          </cell>
          <cell r="H41">
            <v>46084</v>
          </cell>
        </row>
        <row r="42">
          <cell r="B42" t="str">
            <v>Ağayeva Aysel Babakişi</v>
          </cell>
          <cell r="C42" t="str">
            <v>#</v>
          </cell>
          <cell r="D42" t="str">
            <v>Korporativ katiblik şöbəsi</v>
          </cell>
          <cell r="E42" t="str">
            <v>#</v>
          </cell>
          <cell r="F42" t="str">
            <v>Şöbə müdiri</v>
          </cell>
          <cell r="G42" t="str">
            <v>A</v>
          </cell>
          <cell r="H42">
            <v>42171</v>
          </cell>
        </row>
        <row r="43">
          <cell r="B43" t="str">
            <v>Bayramova Aynur Zirəddin</v>
          </cell>
          <cell r="C43" t="str">
            <v>#</v>
          </cell>
          <cell r="D43" t="str">
            <v>Korporativ katiblik şöbəsi</v>
          </cell>
          <cell r="E43" t="str">
            <v>İdarəetmə orqanları və komitələrlə iş bölməsi</v>
          </cell>
          <cell r="F43" t="str">
            <v>Korporativ katib</v>
          </cell>
          <cell r="G43" t="str">
            <v>A</v>
          </cell>
          <cell r="H43">
            <v>41246</v>
          </cell>
        </row>
        <row r="44">
          <cell r="B44" t="str">
            <v>Qasımlı Nəsibə Etibar</v>
          </cell>
          <cell r="C44" t="str">
            <v>#</v>
          </cell>
          <cell r="D44" t="str">
            <v>Korporativ katiblik şöbəsi</v>
          </cell>
          <cell r="E44" t="str">
            <v>İdarəetmə orqanları və komitələrlə iş bölməsi</v>
          </cell>
          <cell r="F44" t="str">
            <v>Aparıcı mütəxəssis</v>
          </cell>
          <cell r="G44" t="str">
            <v>A</v>
          </cell>
          <cell r="H44">
            <v>44425</v>
          </cell>
        </row>
        <row r="45">
          <cell r="B45" t="str">
            <v>Vəliyeva Nəsrin İsmayıl</v>
          </cell>
          <cell r="C45" t="str">
            <v>#</v>
          </cell>
          <cell r="D45" t="str">
            <v>Korporativ katiblik şöbəsi</v>
          </cell>
          <cell r="E45" t="str">
            <v>İdarəetmə orqanları və komitələrlə iş bölməsi</v>
          </cell>
          <cell r="F45" t="str">
            <v>Aparıcı mütəxəssis</v>
          </cell>
          <cell r="G45" t="str">
            <v>A</v>
          </cell>
          <cell r="H45">
            <v>45002</v>
          </cell>
        </row>
        <row r="46">
          <cell r="B46" t="str">
            <v>Əliyeva Lalə Sənan</v>
          </cell>
          <cell r="C46" t="str">
            <v>#</v>
          </cell>
          <cell r="D46" t="str">
            <v>Korporativ katiblik şöbəsi</v>
          </cell>
          <cell r="E46" t="str">
            <v>İdarəetmə orqanları və komitələrlə iş bölməsi</v>
          </cell>
          <cell r="F46" t="str">
            <v>Mütəxəssis</v>
          </cell>
          <cell r="G46" t="str">
            <v>A</v>
          </cell>
          <cell r="H46">
            <v>45513</v>
          </cell>
        </row>
        <row r="47">
          <cell r="B47" t="str">
            <v>Ağayeva Xanım Çingiz</v>
          </cell>
          <cell r="C47" t="str">
            <v>#</v>
          </cell>
          <cell r="D47" t="str">
            <v>Korporativ katiblik şöbəsi</v>
          </cell>
          <cell r="E47" t="str">
            <v>İdarəetmə orqanları və komitələrlə iş bölməsi</v>
          </cell>
          <cell r="F47" t="str">
            <v>Mütəxəssis</v>
          </cell>
          <cell r="G47" t="str">
            <v>A</v>
          </cell>
          <cell r="H47">
            <v>45624</v>
          </cell>
        </row>
        <row r="48">
          <cell r="B48" t="str">
            <v>Teymurzadə Səma Bəylər</v>
          </cell>
          <cell r="C48" t="str">
            <v>#</v>
          </cell>
          <cell r="D48" t="str">
            <v>Korporativ katiblik şöbəsi</v>
          </cell>
          <cell r="E48" t="str">
            <v>Ekosistem idarəetmə orqanları ilə iş bölməsi</v>
          </cell>
          <cell r="F48" t="str">
            <v>Mütəxəssis</v>
          </cell>
          <cell r="G48" t="str">
            <v>A</v>
          </cell>
          <cell r="H48">
            <v>45846</v>
          </cell>
        </row>
        <row r="49">
          <cell r="B49" t="str">
            <v>Abdullayeva Leyla Rüstəm</v>
          </cell>
          <cell r="C49" t="str">
            <v>#</v>
          </cell>
          <cell r="D49" t="str">
            <v>Korporativ katiblik şöbəsi</v>
          </cell>
          <cell r="E49" t="str">
            <v>Ekosistem idarəetmə orqanları ilə iş bölməsi</v>
          </cell>
          <cell r="F49" t="str">
            <v>Mütəxəssis</v>
          </cell>
          <cell r="G49" t="str">
            <v>A</v>
          </cell>
          <cell r="H49">
            <v>46113</v>
          </cell>
        </row>
        <row r="50">
          <cell r="B50" t="str">
            <v>Mehdiyeva Fərəh Şahin</v>
          </cell>
          <cell r="C50" t="str">
            <v>#</v>
          </cell>
          <cell r="D50" t="str">
            <v>Korporativ katiblik şöbəsi</v>
          </cell>
          <cell r="E50" t="str">
            <v>Katiblik bölməsi</v>
          </cell>
          <cell r="F50" t="str">
            <v>Şəxsi köməkçi</v>
          </cell>
          <cell r="G50" t="str">
            <v>A</v>
          </cell>
          <cell r="H50">
            <v>38735</v>
          </cell>
        </row>
        <row r="51">
          <cell r="B51" t="str">
            <v>Hacıyev Anar Nadir</v>
          </cell>
          <cell r="C51" t="str">
            <v>#</v>
          </cell>
          <cell r="D51" t="str">
            <v>Korporativ katiblik şöbəsi</v>
          </cell>
          <cell r="E51" t="str">
            <v>Katiblik bölməsi</v>
          </cell>
          <cell r="F51" t="str">
            <v>Şəxsi köməkçi</v>
          </cell>
          <cell r="G51" t="str">
            <v>A</v>
          </cell>
          <cell r="H51">
            <v>38596</v>
          </cell>
        </row>
        <row r="52">
          <cell r="B52" t="str">
            <v>Tağıyeva Elnarə Əli</v>
          </cell>
          <cell r="C52" t="str">
            <v>#</v>
          </cell>
          <cell r="D52" t="str">
            <v>Korporativ katiblik şöbəsi</v>
          </cell>
          <cell r="E52" t="str">
            <v>Katiblik bölməsi</v>
          </cell>
          <cell r="F52" t="str">
            <v>Şəxsi köməkçi</v>
          </cell>
          <cell r="G52" t="str">
            <v>A</v>
          </cell>
          <cell r="H52">
            <v>37935</v>
          </cell>
        </row>
        <row r="53">
          <cell r="B53" t="str">
            <v>Sadıqova Ləman Əsəd</v>
          </cell>
          <cell r="C53" t="str">
            <v>#</v>
          </cell>
          <cell r="D53" t="str">
            <v>Korporativ katiblik şöbəsi</v>
          </cell>
          <cell r="E53" t="str">
            <v>Katiblik bölməsi</v>
          </cell>
          <cell r="F53" t="str">
            <v>Şəxsi köməkçi</v>
          </cell>
          <cell r="G53" t="str">
            <v>A</v>
          </cell>
          <cell r="H53">
            <v>45022</v>
          </cell>
        </row>
        <row r="54">
          <cell r="B54" t="str">
            <v>Allahverdiyeva Femida Rafael</v>
          </cell>
          <cell r="C54" t="str">
            <v>#</v>
          </cell>
          <cell r="D54" t="str">
            <v>Korporativ katiblik şöbəsi</v>
          </cell>
          <cell r="E54" t="str">
            <v>Katiblik bölməsi</v>
          </cell>
          <cell r="F54" t="str">
            <v>Şəxsi köməkçi</v>
          </cell>
          <cell r="G54" t="str">
            <v>A</v>
          </cell>
          <cell r="H54">
            <v>45586</v>
          </cell>
        </row>
        <row r="55">
          <cell r="B55" t="str">
            <v>Hümmətli Ramizə Ramiz</v>
          </cell>
          <cell r="C55" t="str">
            <v>#</v>
          </cell>
          <cell r="D55" t="str">
            <v>Korporativ katiblik şöbəsi</v>
          </cell>
          <cell r="E55" t="str">
            <v>Katiblik bölməsi</v>
          </cell>
          <cell r="F55" t="str">
            <v>Şəxsi köməkçi</v>
          </cell>
          <cell r="G55" t="str">
            <v>A</v>
          </cell>
          <cell r="H55">
            <v>45587</v>
          </cell>
        </row>
        <row r="56">
          <cell r="B56" t="str">
            <v>Məmmədova Şəhanə Şahin</v>
          </cell>
          <cell r="C56" t="str">
            <v>#</v>
          </cell>
          <cell r="D56" t="str">
            <v>Korporativ katiblik şöbəsi</v>
          </cell>
          <cell r="E56" t="str">
            <v>Katiblik bölməsi</v>
          </cell>
          <cell r="F56" t="str">
            <v>Şəxsi köməkçi</v>
          </cell>
          <cell r="G56" t="str">
            <v>A</v>
          </cell>
          <cell r="H56">
            <v>43810</v>
          </cell>
        </row>
        <row r="57">
          <cell r="B57" t="str">
            <v>İsmayılova Şükufə Muxalif</v>
          </cell>
          <cell r="C57" t="str">
            <v>#</v>
          </cell>
          <cell r="D57" t="str">
            <v>Korporativ katiblik şöbəsi</v>
          </cell>
          <cell r="E57" t="str">
            <v>Katiblik bölməsi</v>
          </cell>
          <cell r="F57" t="str">
            <v>Şəxsi köməkçi</v>
          </cell>
          <cell r="G57" t="str">
            <v>A</v>
          </cell>
          <cell r="H57">
            <v>45154</v>
          </cell>
        </row>
        <row r="58">
          <cell r="B58" t="str">
            <v>Məmmədova Xumar Elşən</v>
          </cell>
          <cell r="C58" t="str">
            <v>#</v>
          </cell>
          <cell r="D58" t="str">
            <v>Korporativ katiblik şöbəsi</v>
          </cell>
          <cell r="E58" t="str">
            <v>Katiblik bölməsi</v>
          </cell>
          <cell r="F58" t="str">
            <v>Şəxsi köməkçi</v>
          </cell>
          <cell r="G58" t="str">
            <v>A</v>
          </cell>
          <cell r="H58">
            <v>46268</v>
          </cell>
          <cell r="I58" t="str">
            <v>Future lab</v>
          </cell>
        </row>
        <row r="59">
          <cell r="B59" t="str">
            <v>Yahyayeva Emiliya Rasim</v>
          </cell>
          <cell r="C59" t="str">
            <v>#</v>
          </cell>
          <cell r="D59" t="str">
            <v>Korporativ katiblik şöbəsi</v>
          </cell>
          <cell r="E59" t="str">
            <v>Katiblik bölməsi</v>
          </cell>
          <cell r="F59" t="str">
            <v>Şəxsi köməkçi</v>
          </cell>
          <cell r="G59" t="str">
            <v>A</v>
          </cell>
          <cell r="H59">
            <v>45873</v>
          </cell>
        </row>
        <row r="60">
          <cell r="B60" t="str">
            <v>Məmmədova Nərgiz Aydın</v>
          </cell>
          <cell r="C60" t="str">
            <v>#</v>
          </cell>
          <cell r="D60" t="str">
            <v>Korporativ katiblik şöbəsi</v>
          </cell>
          <cell r="E60" t="str">
            <v>Katiblik bölməsi</v>
          </cell>
          <cell r="F60" t="str">
            <v>Şəxsi köməkçi</v>
          </cell>
          <cell r="G60" t="str">
            <v>A</v>
          </cell>
          <cell r="H60">
            <v>45888</v>
          </cell>
        </row>
        <row r="61">
          <cell r="B61" t="str">
            <v>Vəlili İranə İlmas</v>
          </cell>
          <cell r="C61" t="str">
            <v>#</v>
          </cell>
          <cell r="D61" t="str">
            <v>Korporativ katiblik şöbəsi</v>
          </cell>
          <cell r="E61" t="str">
            <v>Katiblik bölməsi</v>
          </cell>
          <cell r="F61" t="str">
            <v>Şəxsi köməkçi</v>
          </cell>
          <cell r="G61" t="str">
            <v>A</v>
          </cell>
          <cell r="H61">
            <v>43827</v>
          </cell>
        </row>
        <row r="62">
          <cell r="B62" t="str">
            <v>Məmmədova Fidan Tahir</v>
          </cell>
          <cell r="C62" t="str">
            <v>#</v>
          </cell>
          <cell r="D62" t="str">
            <v>Korporativ katiblik şöbəsi</v>
          </cell>
          <cell r="E62" t="str">
            <v>Katiblik bölməsi</v>
          </cell>
          <cell r="F62" t="str">
            <v>Şəxsi köməkçi (əvəzçilik qaydasında)</v>
          </cell>
          <cell r="G62" t="str">
            <v>A</v>
          </cell>
          <cell r="H62">
            <v>39727</v>
          </cell>
        </row>
        <row r="63">
          <cell r="B63" t="str">
            <v>Kərimova Mehparə Məmmədsadıq</v>
          </cell>
          <cell r="C63" t="str">
            <v>#</v>
          </cell>
          <cell r="D63" t="str">
            <v>Korporativ katiblik şöbəsi</v>
          </cell>
          <cell r="E63" t="str">
            <v>Sənədlərin qeydiyyatı və dövriyyəsi bölməsi</v>
          </cell>
          <cell r="F63" t="str">
            <v>Menecer</v>
          </cell>
          <cell r="G63" t="str">
            <v>A</v>
          </cell>
          <cell r="H63">
            <v>36714</v>
          </cell>
        </row>
        <row r="64">
          <cell r="B64" t="str">
            <v>Rzayeva Ülkər Bəhram</v>
          </cell>
          <cell r="C64" t="str">
            <v>#</v>
          </cell>
          <cell r="D64" t="str">
            <v>Korporativ katiblik şöbəsi</v>
          </cell>
          <cell r="E64" t="str">
            <v>Sənədlərin qeydiyyatı və dövriyyəsi bölməsi</v>
          </cell>
          <cell r="F64" t="str">
            <v>Aparıcı mütəxəssis</v>
          </cell>
          <cell r="G64" t="str">
            <v>A</v>
          </cell>
          <cell r="H64">
            <v>44187</v>
          </cell>
        </row>
        <row r="65">
          <cell r="B65" t="str">
            <v>Məmmədova Ramilə Vaqif</v>
          </cell>
          <cell r="C65" t="str">
            <v>#</v>
          </cell>
          <cell r="D65" t="str">
            <v>Korporativ katiblik şöbəsi</v>
          </cell>
          <cell r="E65" t="str">
            <v>Sənədlərin qeydiyyatı və dövriyyəsi bölməsi</v>
          </cell>
          <cell r="F65" t="str">
            <v>Aparıcı mütəxəssis</v>
          </cell>
          <cell r="G65" t="str">
            <v>A</v>
          </cell>
          <cell r="H65">
            <v>44673</v>
          </cell>
        </row>
        <row r="66">
          <cell r="B66" t="str">
            <v>Səfərli Vüsalə Novruz</v>
          </cell>
          <cell r="C66" t="str">
            <v>#</v>
          </cell>
          <cell r="D66" t="str">
            <v>Korporativ katiblik şöbəsi</v>
          </cell>
          <cell r="E66" t="str">
            <v>Sənədlərin qeydiyyatı və dövriyyəsi bölməsi</v>
          </cell>
          <cell r="F66" t="str">
            <v>Aparıcı mütəxəssis</v>
          </cell>
          <cell r="G66" t="str">
            <v>A</v>
          </cell>
          <cell r="H66">
            <v>46134</v>
          </cell>
        </row>
        <row r="67">
          <cell r="B67" t="str">
            <v>Aslanlı Tərlan Yusif</v>
          </cell>
          <cell r="C67" t="str">
            <v>#</v>
          </cell>
          <cell r="D67" t="str">
            <v>Korporativ katiblik şöbəsi</v>
          </cell>
          <cell r="E67" t="str">
            <v>Sənədlərin qeydiyyatı və dövriyyəsi bölməsi</v>
          </cell>
          <cell r="F67" t="str">
            <v>Mütəxəssis</v>
          </cell>
          <cell r="G67" t="str">
            <v>A</v>
          </cell>
          <cell r="H67">
            <v>44431</v>
          </cell>
        </row>
        <row r="68">
          <cell r="B68" t="str">
            <v>İsmayılova Aysel Qələmdar</v>
          </cell>
          <cell r="C68" t="str">
            <v>#</v>
          </cell>
          <cell r="D68" t="str">
            <v>Korporativ katiblik şöbəsi</v>
          </cell>
          <cell r="E68" t="str">
            <v>Sənədlərin qeydiyyatı və dövriyyəsi bölməsi</v>
          </cell>
          <cell r="F68" t="str">
            <v>Mütəxəssis</v>
          </cell>
          <cell r="G68" t="str">
            <v>A</v>
          </cell>
          <cell r="H68">
            <v>45505</v>
          </cell>
        </row>
        <row r="69">
          <cell r="B69" t="str">
            <v>Şeydayeva Ceyla Zəki</v>
          </cell>
          <cell r="C69" t="str">
            <v>#</v>
          </cell>
          <cell r="D69" t="str">
            <v>Korporativ katiblik şöbəsi</v>
          </cell>
          <cell r="E69" t="str">
            <v>Sənədlərin qeydiyyatı və dövriyyəsi bölməsi</v>
          </cell>
          <cell r="F69" t="str">
            <v>Mütəxəssis</v>
          </cell>
          <cell r="G69" t="str">
            <v>A</v>
          </cell>
          <cell r="H69">
            <v>45670</v>
          </cell>
        </row>
        <row r="70">
          <cell r="B70" t="str">
            <v>Raşimov Süleyman Rafik</v>
          </cell>
          <cell r="C70" t="str">
            <v>#</v>
          </cell>
          <cell r="D70" t="str">
            <v>Korporativ katiblik şöbəsi</v>
          </cell>
          <cell r="E70" t="str">
            <v>Sənədlərin qeydiyyatı və dövriyyəsi bölməsi</v>
          </cell>
          <cell r="F70" t="str">
            <v>Mütəxəssis</v>
          </cell>
          <cell r="G70" t="str">
            <v>A</v>
          </cell>
          <cell r="H70">
            <v>45709</v>
          </cell>
        </row>
        <row r="71">
          <cell r="B71" t="str">
            <v>Əlizadə Aytac Şahbaz</v>
          </cell>
          <cell r="C71" t="str">
            <v>#</v>
          </cell>
          <cell r="D71" t="str">
            <v>Korporativ katiblik şöbəsi</v>
          </cell>
          <cell r="E71" t="str">
            <v>Sənədlərin qeydiyyatı və dövriyyəsi bölməsi</v>
          </cell>
          <cell r="F71" t="str">
            <v>Kiçik mütəxəssis</v>
          </cell>
          <cell r="G71" t="str">
            <v>A</v>
          </cell>
          <cell r="H71">
            <v>46120</v>
          </cell>
        </row>
        <row r="72">
          <cell r="B72" t="str">
            <v>Həsənzadə Aynur Abasqulu</v>
          </cell>
          <cell r="C72" t="str">
            <v>Təşkilati inkişaf və HR texnologiyaları departamenti</v>
          </cell>
          <cell r="D72" t="str">
            <v>İşəgötürən brendi və KSM funksional sahəsi</v>
          </cell>
          <cell r="E72" t="str">
            <v>#</v>
          </cell>
          <cell r="F72" t="str">
            <v>Funksional sahə lideri</v>
          </cell>
          <cell r="G72" t="str">
            <v>A</v>
          </cell>
          <cell r="H72">
            <v>45580</v>
          </cell>
        </row>
        <row r="73">
          <cell r="B73" t="str">
            <v>İmanova Nigar Rövşən</v>
          </cell>
          <cell r="C73" t="str">
            <v>Təşkilati inkişaf və HR texnologiyaları departamenti</v>
          </cell>
          <cell r="D73" t="str">
            <v>İşəgötürən brendi və KSM funksional sahəsi</v>
          </cell>
          <cell r="E73" t="str">
            <v>#</v>
          </cell>
          <cell r="F73" t="str">
            <v>Menecer</v>
          </cell>
          <cell r="G73" t="str">
            <v>A</v>
          </cell>
          <cell r="H73">
            <v>46072</v>
          </cell>
          <cell r="I73" t="str">
            <v>BirMarket</v>
          </cell>
        </row>
        <row r="74">
          <cell r="B74" t="str">
            <v>Tağiyeva Şahidə Namiq</v>
          </cell>
          <cell r="C74" t="str">
            <v>Təşkilati inkişaf və HR texnologiyaları departamenti</v>
          </cell>
          <cell r="D74" t="str">
            <v>İşəgötürən brendi və KSM funksional sahəsi</v>
          </cell>
          <cell r="E74" t="str">
            <v>İnternal communications function</v>
          </cell>
          <cell r="F74" t="str">
            <v>Menecer</v>
          </cell>
          <cell r="G74" t="str">
            <v>A</v>
          </cell>
          <cell r="H74">
            <v>46072</v>
          </cell>
          <cell r="I74" t="str">
            <v>BirMarket</v>
          </cell>
        </row>
        <row r="75">
          <cell r="B75" t="str">
            <v>Əhmədova Kəmalə Calalətdin</v>
          </cell>
          <cell r="C75" t="str">
            <v>Təşkilati inkişaf və HR texnologiyaları departamenti</v>
          </cell>
          <cell r="D75" t="str">
            <v>İşəgötürən brendi və KSM funksional sahəsi</v>
          </cell>
          <cell r="E75" t="str">
            <v>#</v>
          </cell>
          <cell r="F75" t="str">
            <v>Baş mütəxəssis</v>
          </cell>
          <cell r="G75" t="str">
            <v>A</v>
          </cell>
          <cell r="H75">
            <v>46113</v>
          </cell>
        </row>
        <row r="76">
          <cell r="B76" t="str">
            <v>Hümmətova Aytən Şamil</v>
          </cell>
          <cell r="C76" t="str">
            <v>Təşkilati inkişaf və HR texnologiyaları departamenti</v>
          </cell>
          <cell r="D76" t="str">
            <v>İşəgötürən brendi və KSM funksional sahəsi</v>
          </cell>
          <cell r="E76" t="str">
            <v>#</v>
          </cell>
          <cell r="F76" t="str">
            <v>Baş mütəxəssis</v>
          </cell>
          <cell r="G76" t="str">
            <v>A</v>
          </cell>
          <cell r="H76">
            <v>46276</v>
          </cell>
          <cell r="I76" t="str">
            <v>Future lab</v>
          </cell>
        </row>
        <row r="77">
          <cell r="B77" t="str">
            <v>Abdullazadə Fidan Bəxtiyar</v>
          </cell>
          <cell r="C77" t="str">
            <v>Təşkilati inkişaf və HR texnologiyaları departamenti</v>
          </cell>
          <cell r="D77" t="str">
            <v>İşəgötürən brendi və KSM funksional sahəsi</v>
          </cell>
          <cell r="E77" t="str">
            <v>İnternal communications function</v>
          </cell>
          <cell r="F77" t="str">
            <v>Aparıcı mütəxəssis</v>
          </cell>
          <cell r="G77" t="str">
            <v>A</v>
          </cell>
          <cell r="H77">
            <v>45124</v>
          </cell>
        </row>
        <row r="78">
          <cell r="B78" t="str">
            <v>Abbasova Jalə Ceyhun</v>
          </cell>
          <cell r="C78" t="str">
            <v>Təşkilati inkişaf və HR texnologiyaları departamenti</v>
          </cell>
          <cell r="D78" t="str">
            <v>İşəgötürən brendi və KSM funksional sahəsi</v>
          </cell>
          <cell r="E78" t="str">
            <v>İnternal communications function</v>
          </cell>
          <cell r="F78" t="str">
            <v>Aparıcı mütəxəssis</v>
          </cell>
          <cell r="G78" t="str">
            <v>A</v>
          </cell>
          <cell r="H78">
            <v>46069</v>
          </cell>
        </row>
        <row r="79">
          <cell r="B79" t="str">
            <v>Qasımzadə Nigar Asif</v>
          </cell>
          <cell r="C79" t="str">
            <v>Təşkilati inkişaf və HR texnologiyaları departamenti</v>
          </cell>
          <cell r="D79" t="str">
            <v>İşəgötürən brendi və KSM funksional sahəsi</v>
          </cell>
          <cell r="E79" t="str">
            <v>İnternal communications function</v>
          </cell>
          <cell r="F79" t="str">
            <v>Aparıcı mütəxəssis</v>
          </cell>
          <cell r="G79" t="str">
            <v>A</v>
          </cell>
          <cell r="H79">
            <v>46281</v>
          </cell>
        </row>
        <row r="80">
          <cell r="B80" t="str">
            <v>İsayeva Fəridə Seymur</v>
          </cell>
          <cell r="C80" t="str">
            <v>Təşkilati inkişaf və HR texnologiyaları departamenti</v>
          </cell>
          <cell r="D80" t="str">
            <v>İşəgötürən brendi və KSM funksional sahəsi</v>
          </cell>
          <cell r="E80" t="str">
            <v>#</v>
          </cell>
          <cell r="F80" t="str">
            <v>Mütəxəssis</v>
          </cell>
          <cell r="G80" t="str">
            <v>A</v>
          </cell>
          <cell r="H80">
            <v>45933</v>
          </cell>
        </row>
        <row r="81">
          <cell r="B81" t="str">
            <v>Poladov Yusif Canəli</v>
          </cell>
          <cell r="C81" t="str">
            <v>Təşkilati inkişaf və HR texnologiyaları departamenti</v>
          </cell>
          <cell r="D81" t="str">
            <v>İşəgötürən brendi və KSM funksional sahəsi</v>
          </cell>
          <cell r="E81" t="str">
            <v>#</v>
          </cell>
          <cell r="F81" t="str">
            <v>Baş mütəxəssis</v>
          </cell>
          <cell r="G81" t="str">
            <v>A</v>
          </cell>
          <cell r="H81">
            <v>44265</v>
          </cell>
        </row>
        <row r="82">
          <cell r="B82" t="str">
            <v>Əli Fəxrəddin Fuad</v>
          </cell>
          <cell r="C82" t="str">
            <v>Təşkilati inkişaf və HR texnologiyaları departamenti</v>
          </cell>
          <cell r="D82" t="str">
            <v>İşəgötürən brendi və KSM funksional sahəsi</v>
          </cell>
          <cell r="E82" t="str">
            <v>#</v>
          </cell>
          <cell r="F82" t="str">
            <v>Mütəxəssis</v>
          </cell>
          <cell r="G82" t="str">
            <v>A</v>
          </cell>
          <cell r="H82">
            <v>45758</v>
          </cell>
        </row>
        <row r="83">
          <cell r="B83" t="str">
            <v>Əhmədova Nərmin Həsən</v>
          </cell>
          <cell r="C83" t="str">
            <v>Təşkilati inkişaf və HR texnologiyaları departamenti</v>
          </cell>
          <cell r="D83" t="str">
            <v>İşəgötürən brendi və KSM funksional sahəsi</v>
          </cell>
          <cell r="E83" t="str">
            <v>#</v>
          </cell>
          <cell r="F83" t="str">
            <v>Mütəxəssis</v>
          </cell>
          <cell r="G83" t="str">
            <v>A</v>
          </cell>
          <cell r="H83">
            <v>45944</v>
          </cell>
        </row>
        <row r="84">
          <cell r="B84" t="str">
            <v>İsayev Maksim Maarif</v>
          </cell>
          <cell r="C84" t="str">
            <v>Təşkilati inkişaf və HR texnologiyaları departamenti</v>
          </cell>
          <cell r="D84" t="str">
            <v>İşəgötürən brendi və KSM funksional sahəsi</v>
          </cell>
          <cell r="E84" t="str">
            <v>#</v>
          </cell>
          <cell r="F84" t="str">
            <v>Aparıcı mütəxəssis</v>
          </cell>
          <cell r="G84" t="str">
            <v>A</v>
          </cell>
          <cell r="H84">
            <v>46120</v>
          </cell>
          <cell r="I84" t="str">
            <v>BirMarket</v>
          </cell>
        </row>
        <row r="85">
          <cell r="B85" t="str">
            <v>Əliyev Səttar Bayram</v>
          </cell>
          <cell r="C85" t="str">
            <v>#</v>
          </cell>
          <cell r="D85" t="str">
            <v>VİP müştərilərlə iş şöbəsi</v>
          </cell>
          <cell r="E85" t="str">
            <v>#</v>
          </cell>
          <cell r="F85" t="str">
            <v>Şöbə müdiri</v>
          </cell>
          <cell r="G85" t="str">
            <v>A</v>
          </cell>
          <cell r="H85">
            <v>44004</v>
          </cell>
        </row>
        <row r="86">
          <cell r="B86" t="str">
            <v>Əfəndiyev Fərid Məcid</v>
          </cell>
          <cell r="C86" t="str">
            <v>#</v>
          </cell>
          <cell r="D86" t="str">
            <v>VİP müştərilərlə iş şöbəsi</v>
          </cell>
          <cell r="E86" t="str">
            <v>#</v>
          </cell>
          <cell r="F86" t="str">
            <v>Menecer</v>
          </cell>
          <cell r="G86" t="str">
            <v>A</v>
          </cell>
          <cell r="H86">
            <v>42676</v>
          </cell>
        </row>
        <row r="87">
          <cell r="B87" t="str">
            <v>Tivrizov Rəcəb Məmməd</v>
          </cell>
          <cell r="C87" t="str">
            <v>#</v>
          </cell>
          <cell r="D87" t="str">
            <v>VİP müştərilərlə iş şöbəsi</v>
          </cell>
          <cell r="E87" t="str">
            <v>#</v>
          </cell>
          <cell r="F87" t="str">
            <v>Baş mütəxəssis</v>
          </cell>
          <cell r="G87" t="str">
            <v>A</v>
          </cell>
          <cell r="H87">
            <v>42731</v>
          </cell>
        </row>
        <row r="88">
          <cell r="B88" t="str">
            <v>Tağıyev Orxan Rafael</v>
          </cell>
          <cell r="C88" t="str">
            <v>#</v>
          </cell>
          <cell r="D88" t="str">
            <v>VİP müştərilərlə iş şöbəsi</v>
          </cell>
          <cell r="E88" t="str">
            <v>#</v>
          </cell>
          <cell r="F88" t="str">
            <v>Baş mütəxəssis</v>
          </cell>
          <cell r="G88" t="str">
            <v>A</v>
          </cell>
          <cell r="H88">
            <v>43847</v>
          </cell>
        </row>
        <row r="89">
          <cell r="B89" t="str">
            <v>Cəbrayılzadə Vüsal Rəfail</v>
          </cell>
          <cell r="C89" t="str">
            <v>#</v>
          </cell>
          <cell r="D89" t="str">
            <v>VİP müştərilərlə iş şöbəsi</v>
          </cell>
          <cell r="E89" t="str">
            <v>#</v>
          </cell>
          <cell r="F89" t="str">
            <v>Baş mütəxəssis</v>
          </cell>
          <cell r="G89" t="str">
            <v>A</v>
          </cell>
          <cell r="H89">
            <v>43885</v>
          </cell>
        </row>
        <row r="90">
          <cell r="B90" t="str">
            <v>Qasımov Emin Tahir</v>
          </cell>
          <cell r="C90" t="str">
            <v>#</v>
          </cell>
          <cell r="D90" t="str">
            <v>VİP müştərilərlə iş şöbəsi</v>
          </cell>
          <cell r="E90" t="str">
            <v>#</v>
          </cell>
          <cell r="F90" t="str">
            <v>Aparıcı mütəxəssis</v>
          </cell>
          <cell r="G90" t="str">
            <v>A</v>
          </cell>
          <cell r="H90">
            <v>44203</v>
          </cell>
        </row>
        <row r="91">
          <cell r="B91" t="str">
            <v>Əminzadə Nicat İlqar</v>
          </cell>
          <cell r="C91" t="str">
            <v>#</v>
          </cell>
          <cell r="D91" t="str">
            <v>VİP müştərilərlə iş şöbəsi</v>
          </cell>
          <cell r="E91" t="str">
            <v>#</v>
          </cell>
          <cell r="F91" t="str">
            <v>Aparıcı mütəxəssis</v>
          </cell>
          <cell r="G91" t="str">
            <v>A</v>
          </cell>
          <cell r="H91">
            <v>44368</v>
          </cell>
        </row>
        <row r="92">
          <cell r="B92" t="str">
            <v>Məhərrəmli Elnur Firdovsi</v>
          </cell>
          <cell r="C92" t="str">
            <v>#</v>
          </cell>
          <cell r="D92" t="str">
            <v>VİP müştərilərlə iş şöbəsi</v>
          </cell>
          <cell r="E92" t="str">
            <v>#</v>
          </cell>
          <cell r="F92" t="str">
            <v>Kiçik mütəxəssis</v>
          </cell>
          <cell r="G92" t="str">
            <v>A</v>
          </cell>
          <cell r="H92">
            <v>46248</v>
          </cell>
        </row>
        <row r="93">
          <cell r="B93" t="str">
            <v>Kazımov Rauf Sabir</v>
          </cell>
          <cell r="C93" t="str">
            <v>Daxili audit departamenti</v>
          </cell>
          <cell r="D93" t="str">
            <v>#</v>
          </cell>
          <cell r="E93" t="str">
            <v>#</v>
          </cell>
          <cell r="F93" t="str">
            <v>Direktor müavini</v>
          </cell>
          <cell r="G93" t="str">
            <v>A</v>
          </cell>
          <cell r="H93">
            <v>45663</v>
          </cell>
        </row>
        <row r="94">
          <cell r="B94" t="str">
            <v>Əhmədov Abil Mirqabil</v>
          </cell>
          <cell r="C94" t="str">
            <v>Daxili audit departamenti</v>
          </cell>
          <cell r="D94" t="str">
            <v>Əməliyyat,komplayens və davamlı audit üzrə ekspert mərkəzi</v>
          </cell>
          <cell r="E94" t="str">
            <v>#</v>
          </cell>
          <cell r="F94" t="str">
            <v>Audit meneceri</v>
          </cell>
          <cell r="G94" t="str">
            <v>A</v>
          </cell>
          <cell r="H94">
            <v>42075</v>
          </cell>
        </row>
        <row r="95">
          <cell r="B95" t="str">
            <v>Əhmədzadə Elvin İlqar</v>
          </cell>
          <cell r="C95" t="str">
            <v>Daxili audit departamenti</v>
          </cell>
          <cell r="D95" t="str">
            <v>Əməliyyat,komplayens və davamlı audit üzrə ekspert mərkəzi</v>
          </cell>
          <cell r="E95" t="str">
            <v>#</v>
          </cell>
          <cell r="F95" t="str">
            <v>Audit meneceri</v>
          </cell>
          <cell r="G95" t="str">
            <v>A</v>
          </cell>
          <cell r="H95">
            <v>41841</v>
          </cell>
        </row>
        <row r="96">
          <cell r="B96" t="str">
            <v>Novruzov Yalçın Əzizağa</v>
          </cell>
          <cell r="C96" t="str">
            <v>Daxili audit departamenti</v>
          </cell>
          <cell r="D96" t="str">
            <v>Əməliyyat,komplayens və davamlı audit üzrə ekspert mərkəzi</v>
          </cell>
          <cell r="E96" t="str">
            <v>#</v>
          </cell>
          <cell r="F96" t="str">
            <v>Audit meneceri</v>
          </cell>
          <cell r="G96" t="str">
            <v>A</v>
          </cell>
          <cell r="H96">
            <v>38783</v>
          </cell>
        </row>
        <row r="97">
          <cell r="B97" t="str">
            <v>Namazov Elxan Sarıbəy</v>
          </cell>
          <cell r="C97" t="str">
            <v>Daxili audit departamenti</v>
          </cell>
          <cell r="D97" t="str">
            <v>Əməliyyat,komplayens və davamlı audit üzrə ekspert mərkəzi</v>
          </cell>
          <cell r="E97" t="str">
            <v>#</v>
          </cell>
          <cell r="F97" t="str">
            <v>Audit meneceri</v>
          </cell>
          <cell r="G97" t="str">
            <v>A</v>
          </cell>
          <cell r="H97">
            <v>39172</v>
          </cell>
        </row>
        <row r="98">
          <cell r="B98" t="str">
            <v>Abbasov Ruslan Mətləb</v>
          </cell>
          <cell r="C98" t="str">
            <v>Daxili audit departamenti</v>
          </cell>
          <cell r="D98" t="str">
            <v>Əməliyyat,komplayens və davamlı audit üzrə ekspert mərkəzi</v>
          </cell>
          <cell r="E98" t="str">
            <v>#</v>
          </cell>
          <cell r="F98" t="str">
            <v>Baş auditor</v>
          </cell>
          <cell r="G98" t="str">
            <v>A</v>
          </cell>
          <cell r="H98">
            <v>45884</v>
          </cell>
        </row>
        <row r="99">
          <cell r="B99" t="str">
            <v>Eminzadə Məhəmməd Emin</v>
          </cell>
          <cell r="C99" t="str">
            <v>Daxili audit departamenti</v>
          </cell>
          <cell r="D99" t="str">
            <v>Əməliyyat,komplayens və davamlı audit üzrə ekspert mərkəzi</v>
          </cell>
          <cell r="E99" t="str">
            <v>#</v>
          </cell>
          <cell r="F99" t="str">
            <v>Baş auditor</v>
          </cell>
          <cell r="G99" t="str">
            <v>A</v>
          </cell>
          <cell r="H99">
            <v>46002</v>
          </cell>
        </row>
        <row r="100">
          <cell r="B100" t="str">
            <v>Həmzəliyev Əkbər Məmmədağa</v>
          </cell>
          <cell r="C100" t="str">
            <v>Daxili audit departamenti</v>
          </cell>
          <cell r="D100" t="str">
            <v>Əməliyyat,komplayens və davamlı audit üzrə ekspert mərkəzi</v>
          </cell>
          <cell r="E100" t="str">
            <v>#</v>
          </cell>
          <cell r="F100" t="str">
            <v>Baş auditor (0,5 ştat vahidi üzrə)</v>
          </cell>
          <cell r="G100" t="str">
            <v>A</v>
          </cell>
          <cell r="H100">
            <v>44774</v>
          </cell>
        </row>
        <row r="101">
          <cell r="B101" t="str">
            <v>Yaqubzadə Ülvi Hikmət</v>
          </cell>
          <cell r="C101" t="str">
            <v>Daxili audit departamenti</v>
          </cell>
          <cell r="D101" t="str">
            <v>Əməliyyat,komplayens və davamlı audit üzrə ekspert mərkəzi</v>
          </cell>
          <cell r="E101" t="str">
            <v>#</v>
          </cell>
          <cell r="F101" t="str">
            <v>Baş auditor</v>
          </cell>
          <cell r="G101" t="str">
            <v>A</v>
          </cell>
          <cell r="H101">
            <v>43150</v>
          </cell>
        </row>
        <row r="102">
          <cell r="B102" t="str">
            <v>Cəfərov Azər Aydın</v>
          </cell>
          <cell r="C102" t="str">
            <v>Daxili audit departamenti</v>
          </cell>
          <cell r="D102" t="str">
            <v>Əməliyyat,komplayens və davamlı audit üzrə ekspert mərkəzi</v>
          </cell>
          <cell r="E102" t="str">
            <v>#</v>
          </cell>
          <cell r="F102" t="str">
            <v>Aparıcı auditor</v>
          </cell>
          <cell r="G102" t="str">
            <v>A</v>
          </cell>
          <cell r="H102">
            <v>44784</v>
          </cell>
        </row>
        <row r="103">
          <cell r="B103" t="str">
            <v>Mərdanov Emil Ehtiram</v>
          </cell>
          <cell r="C103" t="str">
            <v>Daxili audit departamenti</v>
          </cell>
          <cell r="D103" t="str">
            <v>Əməliyyat,komplayens və davamlı audit üzrə ekspert mərkəzi</v>
          </cell>
          <cell r="E103" t="str">
            <v>#</v>
          </cell>
          <cell r="F103" t="str">
            <v>Aparıcı auditor</v>
          </cell>
          <cell r="G103" t="str">
            <v>A</v>
          </cell>
          <cell r="H103">
            <v>43075</v>
          </cell>
        </row>
        <row r="104">
          <cell r="B104" t="str">
            <v>Babayev Tərxan Qismət</v>
          </cell>
          <cell r="C104" t="str">
            <v>Daxili audit departamenti</v>
          </cell>
          <cell r="D104" t="str">
            <v>Əməliyyat,komplayens və davamlı audit üzrə ekspert mərkəzi</v>
          </cell>
          <cell r="E104" t="str">
            <v>#</v>
          </cell>
          <cell r="F104" t="str">
            <v>Auditor</v>
          </cell>
          <cell r="G104" t="str">
            <v>A</v>
          </cell>
          <cell r="H104">
            <v>43535</v>
          </cell>
        </row>
        <row r="105">
          <cell r="B105" t="str">
            <v>Əsgərova Gülarə Aydın</v>
          </cell>
          <cell r="C105" t="str">
            <v>Daxili audit departamenti</v>
          </cell>
          <cell r="D105" t="str">
            <v>Əməliyyat,komplayens və davamlı audit üzrə ekspert mərkəzi</v>
          </cell>
          <cell r="E105" t="str">
            <v>#</v>
          </cell>
          <cell r="F105" t="str">
            <v>Audit köməkçisi</v>
          </cell>
          <cell r="G105" t="str">
            <v>A</v>
          </cell>
          <cell r="H105">
            <v>45187</v>
          </cell>
        </row>
        <row r="106">
          <cell r="B106" t="str">
            <v>Hacıyev Vüqar Sulduz</v>
          </cell>
          <cell r="C106" t="str">
            <v>Daxili audit departamenti</v>
          </cell>
          <cell r="D106" t="str">
            <v>Mühasibatlıq,büdcə və dəstək funksiyaları üzrə ekspert mərkəzi</v>
          </cell>
          <cell r="E106" t="str">
            <v>#</v>
          </cell>
          <cell r="F106" t="str">
            <v>Audit meneceri</v>
          </cell>
          <cell r="G106" t="str">
            <v>A</v>
          </cell>
          <cell r="H106">
            <v>42346</v>
          </cell>
        </row>
        <row r="107">
          <cell r="B107" t="str">
            <v>Əliyev Elçin Əlövsət</v>
          </cell>
          <cell r="C107" t="str">
            <v>Daxili audit departamenti</v>
          </cell>
          <cell r="D107" t="str">
            <v>Mühasibatlıq,büdcə və dəstək funksiyaları üzrə ekspert mərkəzi</v>
          </cell>
          <cell r="E107" t="str">
            <v>#</v>
          </cell>
          <cell r="F107" t="str">
            <v>Ekspert mərkəzinin lideri</v>
          </cell>
          <cell r="G107" t="str">
            <v>A</v>
          </cell>
          <cell r="H107">
            <v>46027</v>
          </cell>
        </row>
        <row r="108">
          <cell r="B108" t="str">
            <v>Qüdrətli Aysel Elbrus</v>
          </cell>
          <cell r="C108" t="str">
            <v>Daxili audit departamenti</v>
          </cell>
          <cell r="D108" t="str">
            <v>Mühasibatlıq,büdcə və dəstək funksiyaları üzrə ekspert mərkəzi</v>
          </cell>
          <cell r="E108" t="str">
            <v>#</v>
          </cell>
          <cell r="F108" t="str">
            <v>Audit meneceri</v>
          </cell>
          <cell r="G108" t="str">
            <v>A</v>
          </cell>
          <cell r="H108">
            <v>42689</v>
          </cell>
        </row>
        <row r="109">
          <cell r="B109" t="str">
            <v>Musayev Elşad Dilman</v>
          </cell>
          <cell r="C109" t="str">
            <v>Daxili audit departamenti</v>
          </cell>
          <cell r="D109" t="str">
            <v>Mühasibatlıq,büdcə və dəstək funksiyaları üzrə ekspert mərkəzi</v>
          </cell>
          <cell r="E109" t="str">
            <v>#</v>
          </cell>
          <cell r="F109" t="str">
            <v>Aparıcı auditor</v>
          </cell>
          <cell r="G109" t="str">
            <v>A</v>
          </cell>
          <cell r="H109">
            <v>41883</v>
          </cell>
        </row>
        <row r="110">
          <cell r="B110" t="str">
            <v>Nəcəfova İlahə Vüqar</v>
          </cell>
          <cell r="C110" t="str">
            <v>Daxili audit departamenti</v>
          </cell>
          <cell r="D110" t="str">
            <v>Mühasibatlıq,büdcə və dəstək funksiyaları üzrə ekspert mərkəzi</v>
          </cell>
          <cell r="E110" t="str">
            <v>#</v>
          </cell>
          <cell r="F110" t="str">
            <v>Baş auditor</v>
          </cell>
          <cell r="G110" t="str">
            <v>A</v>
          </cell>
          <cell r="H110">
            <v>44935</v>
          </cell>
        </row>
        <row r="111">
          <cell r="B111" t="str">
            <v>Hacıyev Mətin Ramiz</v>
          </cell>
          <cell r="C111" t="str">
            <v>Daxili audit departamenti</v>
          </cell>
          <cell r="D111" t="str">
            <v>Mühasibatlıq,büdcə və dəstək funksiyaları üzrə ekspert mərkəzi</v>
          </cell>
          <cell r="E111" t="str">
            <v>#</v>
          </cell>
          <cell r="F111" t="str">
            <v>Aparıcı auditor</v>
          </cell>
          <cell r="G111" t="str">
            <v>A</v>
          </cell>
          <cell r="H111">
            <v>37826</v>
          </cell>
        </row>
        <row r="112">
          <cell r="B112" t="str">
            <v>Hüseynova Nərmin Şükür</v>
          </cell>
          <cell r="C112" t="str">
            <v>Daxili audit departamenti</v>
          </cell>
          <cell r="D112" t="str">
            <v>Mühasibatlıq,büdcə və dəstək funksiyaları üzrə ekspert mərkəzi</v>
          </cell>
          <cell r="E112" t="str">
            <v>#</v>
          </cell>
          <cell r="F112" t="str">
            <v>Auditor</v>
          </cell>
          <cell r="G112" t="str">
            <v>A</v>
          </cell>
          <cell r="H112">
            <v>44949</v>
          </cell>
        </row>
        <row r="113">
          <cell r="B113" t="str">
            <v>Kərimov Orxan Teymur</v>
          </cell>
          <cell r="C113" t="str">
            <v>Daxili audit departamenti</v>
          </cell>
          <cell r="D113" t="str">
            <v>Bazar, kredit riskləri və modelləşmə üzrə ekspert mərkəzi</v>
          </cell>
          <cell r="E113" t="str">
            <v>#</v>
          </cell>
          <cell r="F113" t="str">
            <v>Ekspert mərkəzinin lideri</v>
          </cell>
          <cell r="G113" t="str">
            <v>A</v>
          </cell>
          <cell r="H113">
            <v>44599</v>
          </cell>
        </row>
        <row r="114">
          <cell r="B114" t="str">
            <v>Rüstəmov Balabəy Elçin</v>
          </cell>
          <cell r="C114" t="str">
            <v>Daxili audit departamenti</v>
          </cell>
          <cell r="D114" t="str">
            <v>Bazar, kredit riskləri və modelləşmə üzrə ekspert mərkəzi</v>
          </cell>
          <cell r="E114" t="str">
            <v>#</v>
          </cell>
          <cell r="F114" t="str">
            <v>Audit meneceri</v>
          </cell>
          <cell r="G114" t="str">
            <v>A</v>
          </cell>
          <cell r="H114">
            <v>42689</v>
          </cell>
        </row>
        <row r="115">
          <cell r="B115" t="str">
            <v>Bağırzadə Cəlil İlqar</v>
          </cell>
          <cell r="C115" t="str">
            <v>Daxili audit departamenti</v>
          </cell>
          <cell r="D115" t="str">
            <v>Bazar, kredit riskləri və modelləşmə üzrə ekspert mərkəzi</v>
          </cell>
          <cell r="E115" t="str">
            <v>#</v>
          </cell>
          <cell r="F115" t="str">
            <v>Baş auditor</v>
          </cell>
          <cell r="G115" t="str">
            <v>A</v>
          </cell>
          <cell r="H115">
            <v>42394</v>
          </cell>
        </row>
        <row r="116">
          <cell r="B116" t="str">
            <v>Əhmədov Nurlan Elman</v>
          </cell>
          <cell r="C116" t="str">
            <v>Daxili audit departamenti</v>
          </cell>
          <cell r="D116" t="str">
            <v>Bazar, kredit riskləri və modelləşmə üzrə ekspert mərkəzi</v>
          </cell>
          <cell r="E116" t="str">
            <v>#</v>
          </cell>
          <cell r="F116" t="str">
            <v>Audit meneceri</v>
          </cell>
          <cell r="G116" t="str">
            <v>A</v>
          </cell>
          <cell r="H116">
            <v>45280</v>
          </cell>
        </row>
        <row r="117">
          <cell r="B117" t="str">
            <v>Talıbov Qüdsi Elşən</v>
          </cell>
          <cell r="C117" t="str">
            <v>Daxili audit departamenti</v>
          </cell>
          <cell r="D117" t="str">
            <v>Bazar, kredit riskləri və modelləşmə üzrə ekspert mərkəzi</v>
          </cell>
          <cell r="E117" t="str">
            <v>#</v>
          </cell>
          <cell r="F117" t="str">
            <v>Aparıcı auditor</v>
          </cell>
          <cell r="G117" t="str">
            <v>A</v>
          </cell>
          <cell r="H117">
            <v>44893</v>
          </cell>
        </row>
        <row r="118">
          <cell r="B118" t="str">
            <v>Həsənov Turqay Oktay</v>
          </cell>
          <cell r="C118" t="str">
            <v>Daxili audit departamenti</v>
          </cell>
          <cell r="D118" t="str">
            <v>Bazar, kredit riskləri və modelləşmə üzrə ekspert mərkəzi</v>
          </cell>
          <cell r="E118" t="str">
            <v>#</v>
          </cell>
          <cell r="F118" t="str">
            <v>Aparıcı auditor</v>
          </cell>
          <cell r="G118" t="str">
            <v>A</v>
          </cell>
          <cell r="H118">
            <v>45041</v>
          </cell>
        </row>
        <row r="119">
          <cell r="B119" t="str">
            <v>İsmayılova Ləman İbrahim</v>
          </cell>
          <cell r="C119" t="str">
            <v>Daxili audit departamenti</v>
          </cell>
          <cell r="D119" t="str">
            <v>Bazar, kredit riskləri və modelləşmə üzrə ekspert mərkəzi</v>
          </cell>
          <cell r="E119" t="str">
            <v>#</v>
          </cell>
          <cell r="F119" t="str">
            <v>Auditor</v>
          </cell>
          <cell r="G119" t="str">
            <v>A</v>
          </cell>
          <cell r="H119">
            <v>44887</v>
          </cell>
        </row>
        <row r="120">
          <cell r="B120" t="str">
            <v>Pirişov Əliyar Yaşar</v>
          </cell>
          <cell r="C120" t="str">
            <v>Daxili audit departamenti</v>
          </cell>
          <cell r="D120" t="str">
            <v>Bazar, kredit riskləri və modelləşmə üzrə ekspert mərkəzi</v>
          </cell>
          <cell r="E120" t="str">
            <v>#</v>
          </cell>
          <cell r="F120" t="str">
            <v>Aparıcı auditor</v>
          </cell>
          <cell r="G120" t="str">
            <v>A</v>
          </cell>
          <cell r="H120">
            <v>44887</v>
          </cell>
        </row>
        <row r="121">
          <cell r="B121" t="str">
            <v>Ağamirzəyev Yalçın Emin</v>
          </cell>
          <cell r="C121" t="str">
            <v>Daxili audit departamenti</v>
          </cell>
          <cell r="D121" t="str">
            <v>Bazar, kredit riskləri və modelləşmə üzrə ekspert mərkəzi</v>
          </cell>
          <cell r="E121" t="str">
            <v>#</v>
          </cell>
          <cell r="F121" t="str">
            <v>Auditor</v>
          </cell>
          <cell r="G121" t="str">
            <v>A</v>
          </cell>
          <cell r="H121">
            <v>45884</v>
          </cell>
        </row>
        <row r="122">
          <cell r="B122" t="str">
            <v>Tağıyeva Tahirə Samir</v>
          </cell>
          <cell r="C122" t="str">
            <v>Daxili audit departamenti</v>
          </cell>
          <cell r="D122" t="str">
            <v>Bazar, kredit riskləri və modelləşmə üzrə ekspert mərkəzi</v>
          </cell>
          <cell r="E122" t="str">
            <v>#</v>
          </cell>
          <cell r="F122" t="str">
            <v>Auditor</v>
          </cell>
          <cell r="G122" t="str">
            <v>SM</v>
          </cell>
          <cell r="H122">
            <v>44566</v>
          </cell>
        </row>
        <row r="123">
          <cell r="B123" t="str">
            <v>Yahyayeva Aysel Bəhrəm</v>
          </cell>
          <cell r="C123" t="str">
            <v>Daxili audit departamenti</v>
          </cell>
          <cell r="D123" t="str">
            <v>Bazar, kredit riskləri və modelləşmə üzrə ekspert mərkəzi</v>
          </cell>
          <cell r="E123" t="str">
            <v>#</v>
          </cell>
          <cell r="F123" t="str">
            <v>Auditor</v>
          </cell>
          <cell r="G123" t="str">
            <v>A</v>
          </cell>
          <cell r="H123">
            <v>45593</v>
          </cell>
        </row>
        <row r="124">
          <cell r="B124" t="str">
            <v>Ələsgərov Elnur Polad</v>
          </cell>
          <cell r="C124" t="str">
            <v>Daxili audit departamenti</v>
          </cell>
          <cell r="D124" t="str">
            <v>Bazar, kredit riskləri və modelləşmə üzrə ekspert mərkəzi</v>
          </cell>
          <cell r="E124" t="str">
            <v>#</v>
          </cell>
          <cell r="F124" t="str">
            <v>Aparıcı auditor</v>
          </cell>
          <cell r="G124" t="str">
            <v>A</v>
          </cell>
          <cell r="H124">
            <v>45642</v>
          </cell>
        </row>
        <row r="125">
          <cell r="B125" t="str">
            <v>Əfəndiyeva Məltəm Tərlan</v>
          </cell>
          <cell r="C125" t="str">
            <v>Daxili audit departamenti</v>
          </cell>
          <cell r="D125" t="str">
            <v>Bazar, kredit riskləri və modelləşmə üzrə ekspert mərkəzi</v>
          </cell>
          <cell r="E125" t="str">
            <v>#</v>
          </cell>
          <cell r="F125" t="str">
            <v>Auditor</v>
          </cell>
          <cell r="G125" t="str">
            <v>A</v>
          </cell>
          <cell r="H125">
            <v>44288</v>
          </cell>
        </row>
        <row r="126">
          <cell r="B126" t="str">
            <v>Soltanova Rəna Pərviz</v>
          </cell>
          <cell r="C126" t="str">
            <v>Daxili audit departamenti</v>
          </cell>
          <cell r="D126" t="str">
            <v>Bazar, kredit riskləri və modelləşmə üzrə ekspert mərkəzi</v>
          </cell>
          <cell r="E126" t="str">
            <v>#</v>
          </cell>
          <cell r="F126" t="str">
            <v>Auditor</v>
          </cell>
          <cell r="G126" t="str">
            <v>A</v>
          </cell>
          <cell r="H126">
            <v>45922</v>
          </cell>
        </row>
        <row r="127">
          <cell r="B127" t="str">
            <v>Süleymanlı Səxavət Nemət</v>
          </cell>
          <cell r="C127" t="str">
            <v>Daxili audit departamenti</v>
          </cell>
          <cell r="D127" t="str">
            <v>İT audit üzrə ekspert mərkəzi</v>
          </cell>
          <cell r="E127" t="str">
            <v>#</v>
          </cell>
          <cell r="F127" t="str">
            <v>Ekspert mərkəzinin lideri</v>
          </cell>
          <cell r="G127" t="str">
            <v>A</v>
          </cell>
          <cell r="H127">
            <v>43852</v>
          </cell>
        </row>
        <row r="128">
          <cell r="B128" t="str">
            <v>Bolayev Nurlan Nurəddin</v>
          </cell>
          <cell r="C128" t="str">
            <v>Daxili audit departamenti</v>
          </cell>
          <cell r="D128" t="str">
            <v>İT audit üzrə ekspert mərkəzi</v>
          </cell>
          <cell r="E128" t="str">
            <v>#</v>
          </cell>
          <cell r="F128" t="str">
            <v>İT üzrə baş auditor</v>
          </cell>
          <cell r="G128" t="str">
            <v>A</v>
          </cell>
          <cell r="H128">
            <v>44341</v>
          </cell>
        </row>
        <row r="129">
          <cell r="B129" t="str">
            <v>Nəcəfov Sənan Eldar</v>
          </cell>
          <cell r="C129" t="str">
            <v>Daxili audit departamenti</v>
          </cell>
          <cell r="D129" t="str">
            <v>İT audit üzrə ekspert mərkəzi</v>
          </cell>
          <cell r="E129" t="str">
            <v>#</v>
          </cell>
          <cell r="F129" t="str">
            <v>İT üzrə baş auditor</v>
          </cell>
          <cell r="G129" t="str">
            <v>A</v>
          </cell>
          <cell r="H129">
            <v>45101</v>
          </cell>
        </row>
        <row r="130">
          <cell r="B130" t="str">
            <v>Məmmədzadə Faiq Ramiz</v>
          </cell>
          <cell r="C130" t="str">
            <v>Daxili audit departamenti</v>
          </cell>
          <cell r="D130" t="str">
            <v>İT audit üzrə ekspert mərkəzi</v>
          </cell>
          <cell r="E130" t="str">
            <v>#</v>
          </cell>
          <cell r="F130" t="str">
            <v>İT üzrə baş auditor</v>
          </cell>
          <cell r="G130" t="str">
            <v>A</v>
          </cell>
          <cell r="H130">
            <v>46034</v>
          </cell>
        </row>
        <row r="131">
          <cell r="B131" t="str">
            <v>Əmirov Rəfail Rafiq</v>
          </cell>
          <cell r="C131" t="str">
            <v>Daxili audit departamenti</v>
          </cell>
          <cell r="D131" t="str">
            <v>İT audit üzrə ekspert mərkəzi</v>
          </cell>
          <cell r="E131" t="str">
            <v>#</v>
          </cell>
          <cell r="F131" t="str">
            <v>İT üzrə aparıcı auditor</v>
          </cell>
          <cell r="G131" t="str">
            <v>A</v>
          </cell>
          <cell r="H131">
            <v>46178</v>
          </cell>
        </row>
        <row r="132">
          <cell r="B132" t="str">
            <v>Mirələmov Bəhruz Müşviq</v>
          </cell>
          <cell r="C132" t="str">
            <v>Daxili audit departamenti</v>
          </cell>
          <cell r="D132" t="str">
            <v>İT audit üzrə ekspert mərkəzi</v>
          </cell>
          <cell r="E132" t="str">
            <v>#</v>
          </cell>
          <cell r="F132" t="str">
            <v>İT üzrə audit köməkçisi</v>
          </cell>
          <cell r="G132" t="str">
            <v>A</v>
          </cell>
          <cell r="H132">
            <v>45041</v>
          </cell>
        </row>
        <row r="133">
          <cell r="B133" t="str">
            <v>Ruşanov Nihat Arif</v>
          </cell>
          <cell r="C133" t="str">
            <v>Daxili audit departamenti</v>
          </cell>
          <cell r="D133" t="str">
            <v>İT audit üzrə ekspert mərkəzi</v>
          </cell>
          <cell r="E133" t="str">
            <v>#</v>
          </cell>
          <cell r="F133" t="str">
            <v>İT üzrə audit köməkçisi</v>
          </cell>
          <cell r="G133" t="str">
            <v>A</v>
          </cell>
          <cell r="H133">
            <v>46147</v>
          </cell>
        </row>
        <row r="134">
          <cell r="B134" t="str">
            <v>Əsgərova Şəbnəm Zaur</v>
          </cell>
          <cell r="C134" t="str">
            <v>Daxili audit departamenti</v>
          </cell>
          <cell r="D134" t="str">
            <v>İT audit üzrə ekspert mərkəzi</v>
          </cell>
          <cell r="E134" t="str">
            <v>#</v>
          </cell>
          <cell r="F134" t="str">
            <v>İT üzrə auditor</v>
          </cell>
          <cell r="G134" t="str">
            <v>A</v>
          </cell>
          <cell r="H134">
            <v>45301</v>
          </cell>
        </row>
        <row r="135">
          <cell r="B135" t="str">
            <v>Quliyeva Şəfa İlqar</v>
          </cell>
          <cell r="C135" t="str">
            <v>Daxili audit departamenti</v>
          </cell>
          <cell r="D135" t="str">
            <v>İT audit üzrə ekspert mərkəzi</v>
          </cell>
          <cell r="E135" t="str">
            <v>#</v>
          </cell>
          <cell r="F135" t="str">
            <v>İT üzrə auditor</v>
          </cell>
          <cell r="G135" t="str">
            <v>A</v>
          </cell>
          <cell r="H135">
            <v>45356</v>
          </cell>
        </row>
        <row r="136">
          <cell r="B136" t="str">
            <v>Məmmədov Rəşad Teymur</v>
          </cell>
          <cell r="C136" t="str">
            <v>Daxili audit departamenti</v>
          </cell>
          <cell r="D136" t="str">
            <v>İT audit üzrə ekspert mərkəzi</v>
          </cell>
          <cell r="E136" t="str">
            <v>#</v>
          </cell>
          <cell r="F136" t="str">
            <v>İT üzrə auditor</v>
          </cell>
          <cell r="G136" t="str">
            <v>A</v>
          </cell>
          <cell r="H136">
            <v>46175</v>
          </cell>
        </row>
        <row r="137">
          <cell r="B137" t="str">
            <v>Mehdiyev Arif Kamal</v>
          </cell>
          <cell r="C137" t="str">
            <v>Hüquq departamenti</v>
          </cell>
          <cell r="D137" t="str">
            <v>#</v>
          </cell>
          <cell r="E137" t="str">
            <v>#</v>
          </cell>
          <cell r="F137" t="str">
            <v>Direktor</v>
          </cell>
          <cell r="G137" t="str">
            <v>A</v>
          </cell>
          <cell r="H137">
            <v>45846</v>
          </cell>
        </row>
        <row r="138">
          <cell r="B138" t="str">
            <v>Məmmədli Zaur Rasim</v>
          </cell>
          <cell r="C138" t="str">
            <v>Hüquq departamenti</v>
          </cell>
          <cell r="D138" t="str">
            <v>#</v>
          </cell>
          <cell r="E138" t="str">
            <v>#</v>
          </cell>
          <cell r="F138" t="str">
            <v>Direktor müavini</v>
          </cell>
          <cell r="G138" t="str">
            <v>A</v>
          </cell>
          <cell r="H138">
            <v>43227</v>
          </cell>
        </row>
        <row r="139">
          <cell r="B139" t="str">
            <v>Nəbizadə Ümid Edil</v>
          </cell>
          <cell r="C139" t="str">
            <v>Hüquq departamenti</v>
          </cell>
          <cell r="D139" t="str">
            <v>Məhkəmələr və hüquqi təminat şöbəsi</v>
          </cell>
          <cell r="E139" t="str">
            <v>#</v>
          </cell>
          <cell r="F139" t="str">
            <v>Şöbə müdiri</v>
          </cell>
          <cell r="G139" t="str">
            <v>A</v>
          </cell>
          <cell r="H139">
            <v>43369</v>
          </cell>
        </row>
        <row r="140">
          <cell r="B140" t="str">
            <v>Həsənov Qüdrət Həsən</v>
          </cell>
          <cell r="C140" t="str">
            <v>Hüquq departamenti</v>
          </cell>
          <cell r="D140" t="str">
            <v>Məhkəmələr və hüquqi təminat şöbəsi</v>
          </cell>
          <cell r="E140" t="str">
            <v>#</v>
          </cell>
          <cell r="F140" t="str">
            <v>Menecer</v>
          </cell>
          <cell r="G140" t="str">
            <v>A</v>
          </cell>
          <cell r="H140">
            <v>45148</v>
          </cell>
        </row>
        <row r="141">
          <cell r="B141" t="str">
            <v>Tarverdiyeva Fərqamə Qəzənfər</v>
          </cell>
          <cell r="C141" t="str">
            <v>Hüquq departamenti</v>
          </cell>
          <cell r="D141" t="str">
            <v>Məhkəmələr və hüquqi təminat şöbəsi</v>
          </cell>
          <cell r="E141" t="str">
            <v>#</v>
          </cell>
          <cell r="F141" t="str">
            <v>Baş mütəxəssis</v>
          </cell>
          <cell r="G141" t="str">
            <v>A</v>
          </cell>
          <cell r="H141">
            <v>41646</v>
          </cell>
        </row>
        <row r="142">
          <cell r="B142" t="str">
            <v>Atayeva Nəzakət İsmət</v>
          </cell>
          <cell r="C142" t="str">
            <v>Hüquq departamenti</v>
          </cell>
          <cell r="D142" t="str">
            <v>Məhkəmələr və hüquqi təminat şöbəsi</v>
          </cell>
          <cell r="E142" t="str">
            <v>#</v>
          </cell>
          <cell r="F142" t="str">
            <v>Baş mütəxəssis</v>
          </cell>
          <cell r="G142" t="str">
            <v>A</v>
          </cell>
          <cell r="H142">
            <v>41324</v>
          </cell>
        </row>
        <row r="143">
          <cell r="B143" t="str">
            <v>Həsənova Afaq Dilbazin</v>
          </cell>
          <cell r="C143" t="str">
            <v>Hüquq departamenti</v>
          </cell>
          <cell r="D143" t="str">
            <v>Məhkəmələr və hüquqi təminat şöbəsi</v>
          </cell>
          <cell r="E143" t="str">
            <v>#</v>
          </cell>
          <cell r="F143" t="str">
            <v>Baş mütəxəssis</v>
          </cell>
          <cell r="G143" t="str">
            <v>A</v>
          </cell>
          <cell r="H143">
            <v>44701</v>
          </cell>
        </row>
        <row r="144">
          <cell r="B144" t="str">
            <v>Gözəlova Fatimə Firdovsi</v>
          </cell>
          <cell r="C144" t="str">
            <v>Hüquq departamenti</v>
          </cell>
          <cell r="D144" t="str">
            <v>Məhkəmələr və hüquqi təminat şöbəsi</v>
          </cell>
          <cell r="E144" t="str">
            <v>#</v>
          </cell>
          <cell r="F144" t="str">
            <v>Baş mütəxəssis</v>
          </cell>
          <cell r="G144" t="str">
            <v>A</v>
          </cell>
          <cell r="H144">
            <v>43363</v>
          </cell>
        </row>
        <row r="145">
          <cell r="B145" t="str">
            <v>Paşayeva Elnurə Eyvaz</v>
          </cell>
          <cell r="C145" t="str">
            <v>Hüquq departamenti</v>
          </cell>
          <cell r="D145" t="str">
            <v>Məhkəmələr və hüquqi təminat şöbəsi</v>
          </cell>
          <cell r="E145" t="str">
            <v>#</v>
          </cell>
          <cell r="F145" t="str">
            <v>Baş mütəxəssis</v>
          </cell>
          <cell r="G145" t="str">
            <v>A</v>
          </cell>
          <cell r="H145">
            <v>42541</v>
          </cell>
        </row>
        <row r="146">
          <cell r="B146" t="str">
            <v>Məmmədli Nailə Eldar</v>
          </cell>
          <cell r="C146" t="str">
            <v>Hüquq departamenti</v>
          </cell>
          <cell r="D146" t="str">
            <v>Məhkəmələr və hüquqi təminat şöbəsi</v>
          </cell>
          <cell r="E146" t="str">
            <v>#</v>
          </cell>
          <cell r="F146" t="str">
            <v>Aparıcı mütəxəssis</v>
          </cell>
          <cell r="G146" t="str">
            <v>A</v>
          </cell>
          <cell r="H146">
            <v>43363</v>
          </cell>
        </row>
        <row r="147">
          <cell r="B147" t="str">
            <v>Abdullayev Rafiq Nimət</v>
          </cell>
          <cell r="C147" t="str">
            <v>Hüquq departamenti</v>
          </cell>
          <cell r="D147" t="str">
            <v>Məhkəmələr və hüquqi təminat şöbəsi</v>
          </cell>
          <cell r="E147" t="str">
            <v>#</v>
          </cell>
          <cell r="F147" t="str">
            <v>Aparıcı hüquqşünas</v>
          </cell>
          <cell r="G147" t="str">
            <v>A</v>
          </cell>
          <cell r="H147">
            <v>45176</v>
          </cell>
        </row>
        <row r="148">
          <cell r="B148" t="str">
            <v>Hacıyev Cavidan Natiq</v>
          </cell>
          <cell r="C148" t="str">
            <v>Hüquq departamenti</v>
          </cell>
          <cell r="D148" t="str">
            <v>Məhkəmələr və hüquqi təminat şöbəsi</v>
          </cell>
          <cell r="E148" t="str">
            <v>#</v>
          </cell>
          <cell r="F148" t="str">
            <v>Aparıcı hüquqşünas</v>
          </cell>
          <cell r="G148" t="str">
            <v>A</v>
          </cell>
          <cell r="H148">
            <v>45099</v>
          </cell>
        </row>
        <row r="149">
          <cell r="B149" t="str">
            <v>Əhmədzadə Orxan Fərman</v>
          </cell>
          <cell r="C149" t="str">
            <v>Hüquq departamenti</v>
          </cell>
          <cell r="D149" t="str">
            <v>Məhkəmələr və hüquqi təminat şöbəsi</v>
          </cell>
          <cell r="E149" t="str">
            <v>#</v>
          </cell>
          <cell r="F149" t="str">
            <v>Hüquqşünas (əvəzçilik qaydasında)</v>
          </cell>
          <cell r="G149" t="str">
            <v>A</v>
          </cell>
          <cell r="H149">
            <v>46084</v>
          </cell>
          <cell r="I149" t="str">
            <v>BirMarket</v>
          </cell>
        </row>
        <row r="150">
          <cell r="B150" t="str">
            <v>Şirəliyeva Şəms Əsgər</v>
          </cell>
          <cell r="C150" t="str">
            <v>Hüquq departamenti</v>
          </cell>
          <cell r="D150" t="str">
            <v>Məhkəmələr və hüquqi təminat şöbəsi</v>
          </cell>
          <cell r="E150" t="str">
            <v>#</v>
          </cell>
          <cell r="F150" t="str">
            <v>Mütəxəssis(əvəzçilik qaydasında)</v>
          </cell>
          <cell r="G150" t="str">
            <v>A</v>
          </cell>
          <cell r="H150">
            <v>46084</v>
          </cell>
          <cell r="I150" t="str">
            <v>Bir Payment</v>
          </cell>
        </row>
        <row r="151">
          <cell r="B151" t="str">
            <v>Nəsirova Könül Məzahir</v>
          </cell>
          <cell r="C151" t="str">
            <v>Hüquq departamenti</v>
          </cell>
          <cell r="D151" t="str">
            <v>Məhkəmələr və hüquqi təminat şöbəsi</v>
          </cell>
          <cell r="E151" t="str">
            <v>#</v>
          </cell>
          <cell r="F151" t="str">
            <v>Mütəxəssis</v>
          </cell>
          <cell r="G151" t="str">
            <v>A</v>
          </cell>
          <cell r="H151">
            <v>46091</v>
          </cell>
          <cell r="I151" t="str">
            <v>Bir Payment</v>
          </cell>
        </row>
        <row r="152">
          <cell r="B152" t="str">
            <v>Məmişova Elnarə Cəfər</v>
          </cell>
          <cell r="C152" t="str">
            <v>Hüquq departamenti</v>
          </cell>
          <cell r="D152" t="str">
            <v>Məhkəmələr və hüquqi təminat şöbəsi</v>
          </cell>
          <cell r="E152" t="str">
            <v>#</v>
          </cell>
          <cell r="F152" t="str">
            <v>Mütəxəssis</v>
          </cell>
          <cell r="G152" t="str">
            <v>A</v>
          </cell>
          <cell r="H152">
            <v>44743</v>
          </cell>
        </row>
        <row r="153">
          <cell r="B153" t="str">
            <v>Məhərrəmova İlahə Vaqif</v>
          </cell>
          <cell r="C153" t="str">
            <v>Hüquq departamenti</v>
          </cell>
          <cell r="D153" t="str">
            <v>Məhkəmələr və hüquqi təminat şöbəsi</v>
          </cell>
          <cell r="E153" t="str">
            <v>#</v>
          </cell>
          <cell r="F153" t="str">
            <v>Aparıcı hüquqşünas</v>
          </cell>
          <cell r="G153" t="str">
            <v>A</v>
          </cell>
          <cell r="H153">
            <v>45757</v>
          </cell>
        </row>
        <row r="154">
          <cell r="B154" t="str">
            <v>Muradova Nərgiz Fəxrəddin</v>
          </cell>
          <cell r="C154" t="str">
            <v>Hüquq departamenti</v>
          </cell>
          <cell r="D154" t="str">
            <v>Ödəniş biznesinə hüquqi dəstək şöbəsi</v>
          </cell>
          <cell r="E154" t="str">
            <v>#</v>
          </cell>
          <cell r="F154" t="str">
            <v>Şöbə müdiri</v>
          </cell>
          <cell r="G154" t="str">
            <v>A</v>
          </cell>
          <cell r="H154">
            <v>46113</v>
          </cell>
          <cell r="I154" t="str">
            <v>Bir Payment</v>
          </cell>
        </row>
        <row r="155">
          <cell r="B155" t="str">
            <v>Rzayeva Gülnar Fazil</v>
          </cell>
          <cell r="C155" t="str">
            <v>Hüquq departamenti</v>
          </cell>
          <cell r="D155" t="str">
            <v>Ödəniş biznesinə hüquqi dəstək şöbəsi</v>
          </cell>
          <cell r="E155" t="str">
            <v>#</v>
          </cell>
          <cell r="F155" t="str">
            <v>Baş hüquqşünas</v>
          </cell>
          <cell r="G155" t="str">
            <v>A</v>
          </cell>
          <cell r="H155">
            <v>46113</v>
          </cell>
          <cell r="I155" t="str">
            <v>Bir Payment</v>
          </cell>
        </row>
        <row r="156">
          <cell r="B156" t="str">
            <v xml:space="preserve">Pirqasimova Esmira Alxanovna </v>
          </cell>
          <cell r="C156" t="str">
            <v>Hüquq departamenti</v>
          </cell>
          <cell r="D156" t="str">
            <v>Ödəniş biznesinə hüquqi dəstək şöbəsi</v>
          </cell>
          <cell r="E156" t="str">
            <v>#</v>
          </cell>
          <cell r="F156" t="str">
            <v>Baş hüquqşünas</v>
          </cell>
          <cell r="G156" t="str">
            <v>A</v>
          </cell>
          <cell r="H156">
            <v>46113</v>
          </cell>
          <cell r="I156" t="str">
            <v>Bir Payment</v>
          </cell>
        </row>
        <row r="157">
          <cell r="B157" t="str">
            <v>Ağasərkari Selcan Naqif</v>
          </cell>
          <cell r="C157" t="str">
            <v>Hüquq departamenti</v>
          </cell>
          <cell r="D157" t="str">
            <v>Ödəniş biznesinə hüquqi dəstək şöbəsi</v>
          </cell>
          <cell r="E157" t="str">
            <v>#</v>
          </cell>
          <cell r="F157" t="str">
            <v>Aparıcı hüquqşünas</v>
          </cell>
          <cell r="G157" t="str">
            <v>A</v>
          </cell>
          <cell r="H157">
            <v>46113</v>
          </cell>
          <cell r="I157" t="str">
            <v>Bir Payment</v>
          </cell>
        </row>
        <row r="158">
          <cell r="B158" t="str">
            <v>Ağamedov Nadir Nizamoviç</v>
          </cell>
          <cell r="C158" t="str">
            <v>Hüquq departamenti</v>
          </cell>
          <cell r="D158" t="str">
            <v>E-ticarət biznesinə hüquqi dəstək şöbəsi</v>
          </cell>
          <cell r="E158" t="str">
            <v>#</v>
          </cell>
          <cell r="F158" t="str">
            <v>Baş hüquqşünas</v>
          </cell>
          <cell r="G158" t="str">
            <v>A</v>
          </cell>
          <cell r="H158">
            <v>46113</v>
          </cell>
          <cell r="I158" t="str">
            <v>BirMarket</v>
          </cell>
        </row>
        <row r="159">
          <cell r="B159" t="str">
            <v>Qarayev Anar Çingiz</v>
          </cell>
          <cell r="C159" t="str">
            <v>Hüquq departamenti</v>
          </cell>
          <cell r="D159" t="str">
            <v>E-ticarət biznesinə hüquqi dəstək şöbəsi</v>
          </cell>
          <cell r="E159" t="str">
            <v>#</v>
          </cell>
          <cell r="F159" t="str">
            <v>Baş hüquqşünas (0,5 ştat vahidi üzrə)</v>
          </cell>
          <cell r="G159" t="str">
            <v>A</v>
          </cell>
          <cell r="H159">
            <v>46113</v>
          </cell>
          <cell r="I159" t="str">
            <v>BirMarket</v>
          </cell>
        </row>
        <row r="160">
          <cell r="B160" t="str">
            <v>Ömərli Turxan Müsəllim</v>
          </cell>
          <cell r="C160" t="str">
            <v>Hüquq departamenti</v>
          </cell>
          <cell r="D160" t="str">
            <v>E-ticarət biznesinə hüquqi dəstək şöbəsi</v>
          </cell>
          <cell r="E160" t="str">
            <v>#</v>
          </cell>
          <cell r="F160" t="str">
            <v>Aparıcı hüquqşünas</v>
          </cell>
          <cell r="G160" t="str">
            <v>A</v>
          </cell>
          <cell r="H160">
            <v>46113</v>
          </cell>
          <cell r="I160" t="str">
            <v>BirMarket</v>
          </cell>
        </row>
        <row r="161">
          <cell r="B161" t="str">
            <v>Tağiyeva Zahidə Əli</v>
          </cell>
          <cell r="C161" t="str">
            <v>Hüquq departamenti</v>
          </cell>
          <cell r="D161" t="str">
            <v>E-ticarət biznesinə hüquqi dəstək şöbəsi</v>
          </cell>
          <cell r="E161" t="str">
            <v>#</v>
          </cell>
          <cell r="F161" t="str">
            <v>Baş mütəxəssis</v>
          </cell>
          <cell r="G161" t="str">
            <v>HX</v>
          </cell>
          <cell r="H161">
            <v>46113</v>
          </cell>
          <cell r="I161" t="str">
            <v>BirMarket</v>
          </cell>
        </row>
        <row r="162">
          <cell r="B162" t="str">
            <v>Aslanova Tamara Mehman</v>
          </cell>
          <cell r="C162" t="str">
            <v>Hüquq departamenti</v>
          </cell>
          <cell r="D162" t="str">
            <v>E-ticarət biznesinə hüquqi dəstək şöbəsi</v>
          </cell>
          <cell r="E162" t="str">
            <v>#</v>
          </cell>
          <cell r="F162" t="str">
            <v>Mütəxəssis</v>
          </cell>
          <cell r="G162" t="str">
            <v>A</v>
          </cell>
          <cell r="H162">
            <v>46113</v>
          </cell>
          <cell r="I162" t="str">
            <v>BirMarket</v>
          </cell>
        </row>
        <row r="163">
          <cell r="B163" t="str">
            <v>Cabbarli Ləman İlqar</v>
          </cell>
          <cell r="C163" t="str">
            <v>Hüquq departamenti</v>
          </cell>
          <cell r="D163" t="str">
            <v>E-ticarət biznesinə hüquqi dəstək şöbəsi</v>
          </cell>
          <cell r="E163" t="str">
            <v>#</v>
          </cell>
          <cell r="F163" t="str">
            <v>Hüquqşunas</v>
          </cell>
          <cell r="G163" t="str">
            <v>A</v>
          </cell>
          <cell r="H163">
            <v>46113</v>
          </cell>
          <cell r="I163" t="str">
            <v>BirMarket</v>
          </cell>
        </row>
        <row r="164">
          <cell r="B164" t="str">
            <v>Səfərəliyeva Tahirə Mahmud</v>
          </cell>
          <cell r="C164" t="str">
            <v>Hüquq departamenti</v>
          </cell>
          <cell r="D164" t="str">
            <v>Arxiv şöbəsi</v>
          </cell>
          <cell r="E164" t="str">
            <v>#</v>
          </cell>
          <cell r="F164" t="str">
            <v>Şöbə müdiri</v>
          </cell>
          <cell r="G164" t="str">
            <v>A</v>
          </cell>
          <cell r="H164">
            <v>43587</v>
          </cell>
        </row>
        <row r="165">
          <cell r="B165" t="str">
            <v>Xəlilova Şəhanə Natiq</v>
          </cell>
          <cell r="C165" t="str">
            <v>Hüquq departamenti</v>
          </cell>
          <cell r="D165" t="str">
            <v>Arxiv şöbəsi</v>
          </cell>
          <cell r="E165" t="str">
            <v>#</v>
          </cell>
          <cell r="F165" t="str">
            <v>Menecer</v>
          </cell>
          <cell r="G165" t="str">
            <v>A</v>
          </cell>
          <cell r="H165">
            <v>44270</v>
          </cell>
        </row>
        <row r="166">
          <cell r="B166" t="str">
            <v>Ağayev Nicat İlqar</v>
          </cell>
          <cell r="C166" t="str">
            <v>Hüquq departamenti</v>
          </cell>
          <cell r="D166" t="str">
            <v>Arxiv şöbəsi</v>
          </cell>
          <cell r="E166" t="str">
            <v>#</v>
          </cell>
          <cell r="F166" t="str">
            <v>Baş mütəxəssis</v>
          </cell>
          <cell r="G166" t="str">
            <v>A</v>
          </cell>
          <cell r="H166">
            <v>44203</v>
          </cell>
        </row>
        <row r="167">
          <cell r="B167" t="str">
            <v>Misirova Nuranə Daşqın</v>
          </cell>
          <cell r="C167" t="str">
            <v>Hüquq departamenti</v>
          </cell>
          <cell r="D167" t="str">
            <v>Arxiv şöbəsi</v>
          </cell>
          <cell r="E167" t="str">
            <v>#</v>
          </cell>
          <cell r="F167" t="str">
            <v>Aparıcı mütəxəssis</v>
          </cell>
          <cell r="G167" t="str">
            <v>A</v>
          </cell>
          <cell r="H167">
            <v>44830</v>
          </cell>
        </row>
        <row r="168">
          <cell r="B168" t="str">
            <v>Zeynalova Azadə Fərrux</v>
          </cell>
          <cell r="C168" t="str">
            <v>Hüquq departamenti</v>
          </cell>
          <cell r="D168" t="str">
            <v>Arxiv şöbəsi</v>
          </cell>
          <cell r="E168" t="str">
            <v>#</v>
          </cell>
          <cell r="F168" t="str">
            <v>Aparıcı mütəxəssis (Naxçıvan zonası üzrə)</v>
          </cell>
          <cell r="G168" t="str">
            <v>A</v>
          </cell>
          <cell r="H168">
            <v>43755</v>
          </cell>
        </row>
        <row r="169">
          <cell r="B169" t="str">
            <v>Yusifov Fərid Yaşar</v>
          </cell>
          <cell r="C169" t="str">
            <v>Hüquq departamenti</v>
          </cell>
          <cell r="D169" t="str">
            <v>Arxiv şöbəsi</v>
          </cell>
          <cell r="E169" t="str">
            <v>#</v>
          </cell>
          <cell r="F169" t="str">
            <v>Aparıcı mütəxəssis</v>
          </cell>
          <cell r="G169" t="str">
            <v>A</v>
          </cell>
          <cell r="H169">
            <v>44888</v>
          </cell>
        </row>
        <row r="170">
          <cell r="B170" t="str">
            <v>Hüseynova Münəvvər Ceyhun</v>
          </cell>
          <cell r="C170" t="str">
            <v>Hüquq departamenti</v>
          </cell>
          <cell r="D170" t="str">
            <v>Arxiv şöbəsi</v>
          </cell>
          <cell r="E170" t="str">
            <v>#</v>
          </cell>
          <cell r="F170" t="str">
            <v>Aparıcı mütəxəssis</v>
          </cell>
          <cell r="G170" t="str">
            <v>A</v>
          </cell>
          <cell r="H170">
            <v>44887</v>
          </cell>
        </row>
        <row r="171">
          <cell r="B171" t="str">
            <v>Fərzəliyev Natiq Namiq</v>
          </cell>
          <cell r="C171" t="str">
            <v>Hüquq departamenti</v>
          </cell>
          <cell r="D171" t="str">
            <v>Arxiv şöbəsi</v>
          </cell>
          <cell r="E171" t="str">
            <v>#</v>
          </cell>
          <cell r="F171" t="str">
            <v>Aparıcı mütəxəssis</v>
          </cell>
          <cell r="G171" t="str">
            <v>A</v>
          </cell>
          <cell r="H171">
            <v>45152</v>
          </cell>
        </row>
        <row r="172">
          <cell r="B172" t="str">
            <v>Kərimli Sədaqət Musa</v>
          </cell>
          <cell r="C172" t="str">
            <v>Hüquq departamenti</v>
          </cell>
          <cell r="D172" t="str">
            <v>Arxiv şöbəsi</v>
          </cell>
          <cell r="E172" t="str">
            <v>#</v>
          </cell>
          <cell r="F172" t="str">
            <v>Mütəxəssis</v>
          </cell>
          <cell r="G172" t="str">
            <v>A</v>
          </cell>
          <cell r="H172">
            <v>45663</v>
          </cell>
        </row>
        <row r="173">
          <cell r="B173" t="str">
            <v>Ələsgərli Elşən Kamil</v>
          </cell>
          <cell r="C173" t="str">
            <v>Hüquq departamenti</v>
          </cell>
          <cell r="D173" t="str">
            <v>Arxiv şöbəsi</v>
          </cell>
          <cell r="E173" t="str">
            <v>#</v>
          </cell>
          <cell r="F173" t="str">
            <v>Mütəxəssis</v>
          </cell>
          <cell r="G173" t="str">
            <v>A</v>
          </cell>
          <cell r="H173">
            <v>45666</v>
          </cell>
        </row>
        <row r="174">
          <cell r="B174" t="str">
            <v>Abbasova Afər Müşür</v>
          </cell>
          <cell r="C174" t="str">
            <v>Hüquq departamenti</v>
          </cell>
          <cell r="D174" t="str">
            <v>Arxiv şöbəsi</v>
          </cell>
          <cell r="E174" t="str">
            <v>#</v>
          </cell>
          <cell r="F174" t="str">
            <v>Kiçik mütəxəssis</v>
          </cell>
          <cell r="G174" t="str">
            <v>A</v>
          </cell>
          <cell r="H174">
            <v>39519</v>
          </cell>
        </row>
        <row r="175">
          <cell r="B175" t="str">
            <v>Əlimərdanova Şəhri İsmayıl</v>
          </cell>
          <cell r="C175" t="str">
            <v>Hüquq departamenti</v>
          </cell>
          <cell r="D175" t="str">
            <v>Arxiv şöbəsi</v>
          </cell>
          <cell r="E175" t="str">
            <v>#</v>
          </cell>
          <cell r="F175" t="str">
            <v>Mütəxəssis (Naxçıvan zonası üzrə)</v>
          </cell>
          <cell r="G175" t="str">
            <v>A</v>
          </cell>
          <cell r="H175">
            <v>44761</v>
          </cell>
        </row>
        <row r="176">
          <cell r="B176" t="str">
            <v>Mürşüdzadə Ruslan Qərib</v>
          </cell>
          <cell r="C176" t="str">
            <v>Hüquq departamenti</v>
          </cell>
          <cell r="D176" t="str">
            <v>Bank məhsullarına hüquqi dəstək şöbəsi</v>
          </cell>
          <cell r="E176" t="str">
            <v>#</v>
          </cell>
          <cell r="F176" t="str">
            <v>Şöbə müdiri</v>
          </cell>
          <cell r="G176" t="str">
            <v>A</v>
          </cell>
          <cell r="H176">
            <v>43040</v>
          </cell>
        </row>
        <row r="177">
          <cell r="B177" t="str">
            <v>Surxaylı Gülxanım Faiq</v>
          </cell>
          <cell r="C177" t="str">
            <v>Hüquq departamenti</v>
          </cell>
          <cell r="D177" t="str">
            <v>Bank məhsullarına hüquqi dəstək şöbəsi</v>
          </cell>
          <cell r="E177" t="str">
            <v>#</v>
          </cell>
          <cell r="F177" t="str">
            <v>Menecer</v>
          </cell>
          <cell r="G177" t="str">
            <v>A</v>
          </cell>
          <cell r="H177">
            <v>44686</v>
          </cell>
        </row>
        <row r="178">
          <cell r="B178" t="str">
            <v>Abbaszadə Gülnar Yusif</v>
          </cell>
          <cell r="C178" t="str">
            <v>Hüquq departamenti</v>
          </cell>
          <cell r="D178" t="str">
            <v>Bank məhsullarına hüquqi dəstək şöbəsi</v>
          </cell>
          <cell r="E178" t="str">
            <v>#</v>
          </cell>
          <cell r="F178" t="str">
            <v>Baş hüquqşünas</v>
          </cell>
          <cell r="G178" t="str">
            <v>A</v>
          </cell>
          <cell r="H178">
            <v>44686</v>
          </cell>
        </row>
        <row r="179">
          <cell r="B179" t="str">
            <v>Hüseynova Günay Şahin</v>
          </cell>
          <cell r="C179" t="str">
            <v>Hüquq departamenti</v>
          </cell>
          <cell r="D179" t="str">
            <v>Bank məhsullarına hüquqi dəstək şöbəsi</v>
          </cell>
          <cell r="E179" t="str">
            <v>#</v>
          </cell>
          <cell r="F179" t="str">
            <v>Baş hüquqşünas</v>
          </cell>
          <cell r="G179" t="str">
            <v>A</v>
          </cell>
          <cell r="H179">
            <v>44942</v>
          </cell>
        </row>
        <row r="180">
          <cell r="B180" t="str">
            <v>Ələkbərov Ələsgər İlham</v>
          </cell>
          <cell r="C180" t="str">
            <v>Hüquq departamenti</v>
          </cell>
          <cell r="D180" t="str">
            <v>Bank məhsullarına hüquqi dəstək şöbəsi</v>
          </cell>
          <cell r="E180" t="str">
            <v>#</v>
          </cell>
          <cell r="F180" t="str">
            <v>Aparıcı hüquqşünas</v>
          </cell>
          <cell r="G180" t="str">
            <v>A</v>
          </cell>
          <cell r="H180">
            <v>45552</v>
          </cell>
        </row>
        <row r="181">
          <cell r="B181" t="str">
            <v>Quliyev Üzeyir İlham</v>
          </cell>
          <cell r="C181" t="str">
            <v>Hüquq departamenti</v>
          </cell>
          <cell r="D181" t="str">
            <v>Bank məhsullarına hüquqi dəstək şöbəsi</v>
          </cell>
          <cell r="E181" t="str">
            <v>#</v>
          </cell>
          <cell r="F181" t="str">
            <v>Aparıcı hüquqşünas</v>
          </cell>
          <cell r="G181" t="str">
            <v>A</v>
          </cell>
          <cell r="H181">
            <v>45568</v>
          </cell>
        </row>
        <row r="182">
          <cell r="B182" t="str">
            <v>Kərimli Jalə Rüstəm</v>
          </cell>
          <cell r="C182" t="str">
            <v>Hüquq departamenti</v>
          </cell>
          <cell r="D182" t="str">
            <v>Bank məhsullarına hüquqi dəstək şöbəsi</v>
          </cell>
          <cell r="E182" t="str">
            <v>#</v>
          </cell>
          <cell r="F182" t="str">
            <v>Aparıcı hüquqşünas</v>
          </cell>
          <cell r="G182" t="str">
            <v>A</v>
          </cell>
          <cell r="H182">
            <v>45407</v>
          </cell>
        </row>
        <row r="183">
          <cell r="B183" t="str">
            <v>Bəbirli Fidan Azər</v>
          </cell>
          <cell r="C183" t="str">
            <v>Hüquq departamenti</v>
          </cell>
          <cell r="D183" t="str">
            <v>Bank məhsullarına hüquqi dəstək şöbəsi</v>
          </cell>
          <cell r="E183" t="str">
            <v>#</v>
          </cell>
          <cell r="F183" t="str">
            <v>Aparıcı hüquqşünas</v>
          </cell>
          <cell r="G183" t="str">
            <v>A</v>
          </cell>
          <cell r="H183">
            <v>45301</v>
          </cell>
        </row>
        <row r="184">
          <cell r="B184" t="str">
            <v>Əmrah Nuranə İlqar</v>
          </cell>
          <cell r="C184" t="str">
            <v>Hüquq departamenti</v>
          </cell>
          <cell r="D184" t="str">
            <v>Bank məhsullarına hüquqi dəstək şöbəsi</v>
          </cell>
          <cell r="E184" t="str">
            <v>#</v>
          </cell>
          <cell r="F184" t="str">
            <v>Aparıcı hüquqşünas</v>
          </cell>
          <cell r="G184" t="str">
            <v>A</v>
          </cell>
          <cell r="H184">
            <v>45778</v>
          </cell>
        </row>
        <row r="185">
          <cell r="B185" t="str">
            <v>Mustafayeva Nərmin Elşad</v>
          </cell>
          <cell r="C185" t="str">
            <v>Hüquq departamenti</v>
          </cell>
          <cell r="D185" t="str">
            <v>Bank məhsullarına hüquqi dəstək şöbəsi</v>
          </cell>
          <cell r="E185" t="str">
            <v>#</v>
          </cell>
          <cell r="F185" t="str">
            <v>Hüquqşünas</v>
          </cell>
          <cell r="G185" t="str">
            <v>A</v>
          </cell>
          <cell r="H185">
            <v>46227</v>
          </cell>
        </row>
        <row r="186">
          <cell r="B186" t="str">
            <v>İsazadə Nadirə Şöyüf</v>
          </cell>
          <cell r="C186" t="str">
            <v>Hüquq departamenti</v>
          </cell>
          <cell r="D186" t="str">
            <v>Korporativ hüquq və korporativ idarəetməyə hüquqi dəstək şöbəsi</v>
          </cell>
          <cell r="E186" t="str">
            <v>#</v>
          </cell>
          <cell r="F186" t="str">
            <v>Şöbə müdiri</v>
          </cell>
          <cell r="G186" t="str">
            <v>HX</v>
          </cell>
          <cell r="H186">
            <v>44445</v>
          </cell>
        </row>
        <row r="187">
          <cell r="B187" t="str">
            <v>Nəsirulla Farid Elşən</v>
          </cell>
          <cell r="C187" t="str">
            <v>Hüquq departamenti</v>
          </cell>
          <cell r="D187" t="str">
            <v>Korporativ hüquq və korporativ idarəetməyə hüquqi dəstək şöbəsi</v>
          </cell>
          <cell r="E187" t="str">
            <v>#</v>
          </cell>
          <cell r="F187" t="str">
            <v>Menecer(əvəzçilik qaydasında)</v>
          </cell>
          <cell r="G187" t="str">
            <v>A</v>
          </cell>
          <cell r="H187">
            <v>46084</v>
          </cell>
          <cell r="I187" t="str">
            <v>Bir Payment</v>
          </cell>
        </row>
        <row r="188">
          <cell r="B188" t="str">
            <v>Mürşüdzadə Nuranə Yusif</v>
          </cell>
          <cell r="C188" t="str">
            <v>Hüquq departamenti</v>
          </cell>
          <cell r="D188" t="str">
            <v>Korporativ hüquq və korporativ idarəetməyə hüquqi dəstək şöbəsi</v>
          </cell>
          <cell r="E188" t="str">
            <v>#</v>
          </cell>
          <cell r="F188" t="str">
            <v>Menecer</v>
          </cell>
          <cell r="G188" t="str">
            <v>A</v>
          </cell>
          <cell r="H188">
            <v>43658</v>
          </cell>
        </row>
        <row r="189">
          <cell r="B189" t="str">
            <v>Məmmədova Nərmin Namiq</v>
          </cell>
          <cell r="C189" t="str">
            <v>Hüquq departamenti</v>
          </cell>
          <cell r="D189" t="str">
            <v>Korporativ hüquq və korporativ idarəetməyə hüquqi dəstək şöbəsi</v>
          </cell>
          <cell r="E189" t="str">
            <v>#</v>
          </cell>
          <cell r="F189" t="str">
            <v>Aparıcı hüquqşünas</v>
          </cell>
          <cell r="G189" t="str">
            <v>A</v>
          </cell>
          <cell r="H189">
            <v>45257</v>
          </cell>
        </row>
        <row r="190">
          <cell r="B190" t="str">
            <v>Novruzlu Lalə Nazim</v>
          </cell>
          <cell r="C190" t="str">
            <v>Hüquq departamenti</v>
          </cell>
          <cell r="D190" t="str">
            <v>Korporativ hüquq və korporativ idarəetməyə hüquqi dəstək şöbəsi</v>
          </cell>
          <cell r="E190" t="str">
            <v>#</v>
          </cell>
          <cell r="F190" t="str">
            <v>Baş hüquqşünas</v>
          </cell>
          <cell r="G190" t="str">
            <v>A</v>
          </cell>
          <cell r="H190">
            <v>42600</v>
          </cell>
        </row>
        <row r="191">
          <cell r="B191" t="str">
            <v>Hüseynli Elgün Səadət</v>
          </cell>
          <cell r="C191" t="str">
            <v>Hüquq departamenti</v>
          </cell>
          <cell r="D191" t="str">
            <v>Korporativ hüquq və korporativ idarəetməyə hüquqi dəstək şöbəsi</v>
          </cell>
          <cell r="E191" t="str">
            <v>#</v>
          </cell>
          <cell r="F191" t="str">
            <v>Aparıcı hüquqşünas</v>
          </cell>
          <cell r="G191" t="str">
            <v>A</v>
          </cell>
          <cell r="H191">
            <v>46064</v>
          </cell>
        </row>
        <row r="192">
          <cell r="B192" t="str">
            <v>Nəsirov Tural Əlixan</v>
          </cell>
          <cell r="C192" t="str">
            <v>Hüquq departamenti</v>
          </cell>
          <cell r="D192" t="str">
            <v>Korporativ hüquq və korporativ idarəetməyə hüquqi dəstək şöbəsi</v>
          </cell>
          <cell r="E192" t="str">
            <v>#</v>
          </cell>
          <cell r="F192" t="str">
            <v>Aparıcı hüquqşünas</v>
          </cell>
          <cell r="G192" t="str">
            <v>A</v>
          </cell>
          <cell r="H192">
            <v>46070</v>
          </cell>
        </row>
        <row r="193">
          <cell r="B193" t="str">
            <v>Sadıqzadə Elmira Əli</v>
          </cell>
          <cell r="C193" t="str">
            <v>Hüquq departamenti</v>
          </cell>
          <cell r="D193" t="str">
            <v>Korporativ hüquq və korporativ idarəetməyə hüquqi dəstək şöbəsi</v>
          </cell>
          <cell r="E193" t="str">
            <v>#</v>
          </cell>
          <cell r="F193" t="str">
            <v>Hüquqşünas</v>
          </cell>
          <cell r="G193" t="str">
            <v>A</v>
          </cell>
          <cell r="H193">
            <v>45932</v>
          </cell>
        </row>
        <row r="194">
          <cell r="B194" t="str">
            <v>Quluzadə Toğrul Fədai</v>
          </cell>
          <cell r="C194" t="str">
            <v>Hüquq departamenti</v>
          </cell>
          <cell r="D194" t="str">
            <v>Korporativ hüquq və korporativ idarəetməyə hüquqi dəstək şöbəsi</v>
          </cell>
          <cell r="E194" t="str">
            <v>#</v>
          </cell>
          <cell r="F194" t="str">
            <v>Hüquqşünas</v>
          </cell>
          <cell r="G194" t="str">
            <v>A</v>
          </cell>
          <cell r="H194">
            <v>45932</v>
          </cell>
        </row>
        <row r="195">
          <cell r="B195" t="str">
            <v>Hüseynov Samin Heydar</v>
          </cell>
          <cell r="C195" t="str">
            <v>Hüquq departamenti</v>
          </cell>
          <cell r="D195" t="str">
            <v>Korporativ hüquq və korporativ idarəetməyə hüquqi dəstək şöbəsi</v>
          </cell>
          <cell r="E195" t="str">
            <v>#</v>
          </cell>
          <cell r="F195" t="str">
            <v>Hüquqşünas</v>
          </cell>
          <cell r="G195" t="str">
            <v>A</v>
          </cell>
          <cell r="H195">
            <v>45553</v>
          </cell>
        </row>
        <row r="196">
          <cell r="B196" t="str">
            <v>Qayıbova Fidan Ramiz</v>
          </cell>
          <cell r="C196" t="str">
            <v>Hüquq departamenti</v>
          </cell>
          <cell r="D196" t="str">
            <v>Metodologiya şöbəsi</v>
          </cell>
          <cell r="E196" t="str">
            <v>#</v>
          </cell>
          <cell r="F196" t="str">
            <v>Şöbə müdiri</v>
          </cell>
          <cell r="G196" t="str">
            <v>A</v>
          </cell>
          <cell r="H196">
            <v>40969</v>
          </cell>
        </row>
        <row r="197">
          <cell r="B197" t="str">
            <v>Xəlilov Samir Əlisabəli</v>
          </cell>
          <cell r="C197" t="str">
            <v>Hüquq departamenti</v>
          </cell>
          <cell r="D197" t="str">
            <v>Metodologiya şöbəsi</v>
          </cell>
          <cell r="E197" t="str">
            <v>#</v>
          </cell>
          <cell r="F197" t="str">
            <v>Menecer</v>
          </cell>
          <cell r="G197" t="str">
            <v>A</v>
          </cell>
          <cell r="H197">
            <v>36697</v>
          </cell>
        </row>
        <row r="198">
          <cell r="B198" t="str">
            <v>Camalova Leyli Fərhad</v>
          </cell>
          <cell r="C198" t="str">
            <v>Hüquq departamenti</v>
          </cell>
          <cell r="D198" t="str">
            <v>Metodologiya şöbəsi</v>
          </cell>
          <cell r="E198" t="str">
            <v>#</v>
          </cell>
          <cell r="F198" t="str">
            <v>Aparıcı mütəxəssis</v>
          </cell>
          <cell r="G198" t="str">
            <v>SM</v>
          </cell>
          <cell r="H198">
            <v>45474</v>
          </cell>
        </row>
        <row r="199">
          <cell r="B199" t="str">
            <v>Hüseynov Orxan Novruz</v>
          </cell>
          <cell r="C199" t="str">
            <v>Hüquq departamenti</v>
          </cell>
          <cell r="D199" t="str">
            <v>Metodologiya şöbəsi</v>
          </cell>
          <cell r="E199" t="str">
            <v>#</v>
          </cell>
          <cell r="F199" t="str">
            <v>Mütəxəssis (müvəqqəti)</v>
          </cell>
          <cell r="G199" t="str">
            <v>A</v>
          </cell>
          <cell r="H199">
            <v>45818</v>
          </cell>
        </row>
        <row r="200">
          <cell r="B200" t="str">
            <v>İslam-zadə Aysel Adil</v>
          </cell>
          <cell r="C200" t="str">
            <v>Hüquq departamenti</v>
          </cell>
          <cell r="D200" t="str">
            <v>Metodologiya şöbəsi</v>
          </cell>
          <cell r="E200" t="str">
            <v>#</v>
          </cell>
          <cell r="F200" t="str">
            <v>Aparıcı mütəxəssis</v>
          </cell>
          <cell r="G200" t="str">
            <v>SM</v>
          </cell>
          <cell r="H200">
            <v>42709</v>
          </cell>
        </row>
        <row r="201">
          <cell r="B201" t="str">
            <v>Hüseynova Nigar Nizami</v>
          </cell>
          <cell r="C201" t="str">
            <v>Hüquq departamenti</v>
          </cell>
          <cell r="D201" t="str">
            <v>Metodologiya şöbəsi</v>
          </cell>
          <cell r="E201" t="str">
            <v>#</v>
          </cell>
          <cell r="F201" t="str">
            <v>Mütəxəssis (müvəqqəti)</v>
          </cell>
          <cell r="G201" t="str">
            <v>A</v>
          </cell>
          <cell r="H201">
            <v>45399</v>
          </cell>
        </row>
        <row r="202">
          <cell r="B202" t="str">
            <v>İslahlı Könül Fərman</v>
          </cell>
          <cell r="C202" t="str">
            <v>Hüquq departamenti</v>
          </cell>
          <cell r="D202" t="str">
            <v>Metodologiya şöbəsi</v>
          </cell>
          <cell r="E202" t="str">
            <v>#</v>
          </cell>
          <cell r="F202" t="str">
            <v>Aparıcı mütəxəssis</v>
          </cell>
          <cell r="G202" t="str">
            <v>A</v>
          </cell>
          <cell r="H202">
            <v>43815</v>
          </cell>
        </row>
        <row r="203">
          <cell r="B203" t="str">
            <v>Əhmədzadə Qızyetər Abdurahman</v>
          </cell>
          <cell r="C203" t="str">
            <v>Hüquq departamenti</v>
          </cell>
          <cell r="D203" t="str">
            <v>Metodologiya şöbəsi</v>
          </cell>
          <cell r="E203" t="str">
            <v>#</v>
          </cell>
          <cell r="F203" t="str">
            <v>Aparıcı mütəxəssis</v>
          </cell>
          <cell r="G203" t="str">
            <v>A</v>
          </cell>
          <cell r="H203">
            <v>44691</v>
          </cell>
        </row>
        <row r="204">
          <cell r="B204" t="str">
            <v>Hüseynova Ülkər Oktay</v>
          </cell>
          <cell r="C204" t="str">
            <v>Hüquq departamenti</v>
          </cell>
          <cell r="D204" t="str">
            <v>Metodologiya şöbəsi</v>
          </cell>
          <cell r="E204" t="str">
            <v>#</v>
          </cell>
          <cell r="F204" t="str">
            <v>Mütəxəssis</v>
          </cell>
          <cell r="G204" t="str">
            <v>A</v>
          </cell>
          <cell r="H204">
            <v>42150</v>
          </cell>
        </row>
        <row r="205">
          <cell r="B205" t="str">
            <v>İbrahimov Elşad Moğbil</v>
          </cell>
          <cell r="C205" t="str">
            <v>Xəzinədarlıq departamenti</v>
          </cell>
          <cell r="D205" t="str">
            <v>#</v>
          </cell>
          <cell r="E205" t="str">
            <v>#</v>
          </cell>
          <cell r="F205" t="str">
            <v>Direktor</v>
          </cell>
          <cell r="G205" t="str">
            <v>A</v>
          </cell>
          <cell r="H205">
            <v>45936</v>
          </cell>
        </row>
        <row r="206">
          <cell r="B206" t="str">
            <v>Bayramlı Anar Şahin</v>
          </cell>
          <cell r="C206" t="str">
            <v>Xəzinədarlıq departamenti</v>
          </cell>
          <cell r="D206" t="str">
            <v>#</v>
          </cell>
          <cell r="E206" t="str">
            <v>#</v>
          </cell>
          <cell r="F206" t="str">
            <v>Direktor müavini</v>
          </cell>
          <cell r="G206" t="str">
            <v>A</v>
          </cell>
          <cell r="H206">
            <v>44545</v>
          </cell>
        </row>
        <row r="207">
          <cell r="B207" t="str">
            <v>Abdullayev Zaid Arzu</v>
          </cell>
          <cell r="C207" t="str">
            <v>Xəzinədarlıq departamenti</v>
          </cell>
          <cell r="D207" t="str">
            <v>#</v>
          </cell>
          <cell r="E207" t="str">
            <v>#</v>
          </cell>
          <cell r="F207" t="str">
            <v>Menecer</v>
          </cell>
          <cell r="G207" t="str">
            <v>A</v>
          </cell>
          <cell r="H207">
            <v>46041</v>
          </cell>
        </row>
        <row r="208">
          <cell r="B208" t="str">
            <v>Fərəcli Rauf Həşim</v>
          </cell>
          <cell r="C208" t="str">
            <v>Xəzinədarlıq departamenti</v>
          </cell>
          <cell r="D208" t="str">
            <v>BirTreasury</v>
          </cell>
          <cell r="E208" t="str">
            <v>#</v>
          </cell>
          <cell r="F208" t="str">
            <v>Məhsul sahibi</v>
          </cell>
          <cell r="G208" t="str">
            <v>A</v>
          </cell>
          <cell r="H208">
            <v>43383</v>
          </cell>
        </row>
        <row r="209">
          <cell r="B209" t="str">
            <v>İmanov Şamxal Ehtibar</v>
          </cell>
          <cell r="C209" t="str">
            <v>Xəzinədarlıq departamenti</v>
          </cell>
          <cell r="D209" t="str">
            <v>Dilinq əməliyyatları şöbəsi</v>
          </cell>
          <cell r="E209" t="str">
            <v>#</v>
          </cell>
          <cell r="F209" t="str">
            <v>Şöbə müdiri</v>
          </cell>
          <cell r="G209" t="str">
            <v>A</v>
          </cell>
          <cell r="H209">
            <v>44152</v>
          </cell>
        </row>
        <row r="210">
          <cell r="B210" t="str">
            <v>Əhmədov Nəsimi Yaşar</v>
          </cell>
          <cell r="C210" t="str">
            <v>Xəzinədarlıq departamenti</v>
          </cell>
          <cell r="D210" t="str">
            <v>Dilinq əməliyyatları şöbəsi</v>
          </cell>
          <cell r="E210" t="str">
            <v>#</v>
          </cell>
          <cell r="F210" t="str">
            <v>Aparıcı mütəxəssis</v>
          </cell>
          <cell r="G210" t="str">
            <v>A</v>
          </cell>
          <cell r="H210">
            <v>45974</v>
          </cell>
        </row>
        <row r="211">
          <cell r="B211" t="str">
            <v>Orucov Ramil Ramin</v>
          </cell>
          <cell r="C211" t="str">
            <v>Xəzinədarlıq departamenti</v>
          </cell>
          <cell r="D211" t="str">
            <v>Dilinq əməliyyatları şöbəsi</v>
          </cell>
          <cell r="E211" t="str">
            <v>#</v>
          </cell>
          <cell r="F211" t="str">
            <v>Mütəxəssis</v>
          </cell>
          <cell r="G211" t="str">
            <v>A</v>
          </cell>
          <cell r="H211">
            <v>45978</v>
          </cell>
        </row>
        <row r="212">
          <cell r="B212" t="str">
            <v>Ağayeva Fərəh Ramiz</v>
          </cell>
          <cell r="C212" t="str">
            <v>Xəzinədarlıq departamenti</v>
          </cell>
          <cell r="D212" t="str">
            <v>Xəzinədarlıq əməliyyatları şöbəsi</v>
          </cell>
          <cell r="E212" t="str">
            <v>#</v>
          </cell>
          <cell r="F212" t="str">
            <v>Şöbə müdiri</v>
          </cell>
          <cell r="G212" t="str">
            <v>A</v>
          </cell>
          <cell r="H212">
            <v>42709</v>
          </cell>
        </row>
        <row r="213">
          <cell r="B213" t="str">
            <v>Hacızadə Səbinə Nazim</v>
          </cell>
          <cell r="C213" t="str">
            <v>Xəzinədarlıq departamenti</v>
          </cell>
          <cell r="D213" t="str">
            <v>Xəzinədarlıq əməliyyatları şöbəsi</v>
          </cell>
          <cell r="E213" t="str">
            <v>#</v>
          </cell>
          <cell r="F213" t="str">
            <v>Baş mütəxəssis</v>
          </cell>
          <cell r="G213" t="str">
            <v>A</v>
          </cell>
          <cell r="H213">
            <v>37146</v>
          </cell>
        </row>
        <row r="214">
          <cell r="B214" t="str">
            <v>Əliyeva Nərminə Yaşar</v>
          </cell>
          <cell r="C214" t="str">
            <v>Xəzinədarlıq departamenti</v>
          </cell>
          <cell r="D214" t="str">
            <v>Xəzinədarlıq əməliyyatları şöbəsi</v>
          </cell>
          <cell r="E214" t="str">
            <v>#</v>
          </cell>
          <cell r="F214" t="str">
            <v>Menecer</v>
          </cell>
          <cell r="G214" t="str">
            <v>A</v>
          </cell>
          <cell r="H214">
            <v>44981</v>
          </cell>
        </row>
        <row r="215">
          <cell r="B215" t="str">
            <v>Əkbərova Zəminə Müşfiq</v>
          </cell>
          <cell r="C215" t="str">
            <v>Xəzinədarlıq departamenti</v>
          </cell>
          <cell r="D215" t="str">
            <v>Xəzinədarlıq əməliyyatları şöbəsi</v>
          </cell>
          <cell r="E215" t="str">
            <v>#</v>
          </cell>
          <cell r="F215" t="str">
            <v>Aparıcı mütəxəssis</v>
          </cell>
          <cell r="G215" t="str">
            <v>A</v>
          </cell>
          <cell r="H215">
            <v>45033</v>
          </cell>
        </row>
        <row r="216">
          <cell r="B216" t="str">
            <v>Nuriyev Xəyyam Rövşən</v>
          </cell>
          <cell r="C216" t="str">
            <v>Xəzinədarlıq departamenti</v>
          </cell>
          <cell r="D216" t="str">
            <v>Xəzinədarlıq əməliyyatları şöbəsi</v>
          </cell>
          <cell r="E216" t="str">
            <v>#</v>
          </cell>
          <cell r="F216" t="str">
            <v>Aparıcı mütəxəssis</v>
          </cell>
          <cell r="G216" t="str">
            <v>A</v>
          </cell>
          <cell r="H216">
            <v>44691</v>
          </cell>
        </row>
        <row r="217">
          <cell r="B217" t="str">
            <v>Bədəlov Azər Akim</v>
          </cell>
          <cell r="C217" t="str">
            <v>Xəzinədarlıq departamenti</v>
          </cell>
          <cell r="D217" t="str">
            <v>İnvestisiya şöbəsi</v>
          </cell>
          <cell r="E217" t="str">
            <v>#</v>
          </cell>
          <cell r="F217" t="str">
            <v>Şöbə müdiri</v>
          </cell>
          <cell r="G217" t="str">
            <v>A</v>
          </cell>
          <cell r="H217">
            <v>44075</v>
          </cell>
        </row>
        <row r="218">
          <cell r="B218" t="str">
            <v>Mehdiyev Müseyyib Arif</v>
          </cell>
          <cell r="C218" t="str">
            <v>Xəzinədarlıq departamenti</v>
          </cell>
          <cell r="D218" t="str">
            <v>İnvestisiya şöbəsi</v>
          </cell>
          <cell r="E218" t="str">
            <v>#</v>
          </cell>
          <cell r="F218" t="str">
            <v>Baş mütəxəssis</v>
          </cell>
          <cell r="G218" t="str">
            <v>A</v>
          </cell>
          <cell r="H218">
            <v>44896</v>
          </cell>
        </row>
        <row r="219">
          <cell r="B219" t="str">
            <v>Ləmbəranskiy Elmar İbrahim</v>
          </cell>
          <cell r="C219" t="str">
            <v>Xəzinədarlıq departamenti</v>
          </cell>
          <cell r="D219" t="str">
            <v>İnvestisiya şöbəsi</v>
          </cell>
          <cell r="E219" t="str">
            <v>#</v>
          </cell>
          <cell r="F219" t="str">
            <v>Aparıcı mütəxəssis</v>
          </cell>
          <cell r="G219" t="str">
            <v>A</v>
          </cell>
          <cell r="H219">
            <v>44629</v>
          </cell>
        </row>
        <row r="220">
          <cell r="B220" t="str">
            <v>Quliyeva Nuranə Rəcəb</v>
          </cell>
          <cell r="C220" t="str">
            <v>Xəzinədarlıq departamenti</v>
          </cell>
          <cell r="D220" t="str">
            <v>Beynəlxalq bankçılıq şöbəsi</v>
          </cell>
          <cell r="E220" t="str">
            <v>#</v>
          </cell>
          <cell r="F220" t="str">
            <v>Şöbə müdiri</v>
          </cell>
          <cell r="G220" t="str">
            <v>A</v>
          </cell>
          <cell r="H220">
            <v>43160</v>
          </cell>
        </row>
        <row r="221">
          <cell r="B221" t="str">
            <v>Mehrabov Abdulla İlqar</v>
          </cell>
          <cell r="C221" t="str">
            <v>Xəzinədarlıq departamenti</v>
          </cell>
          <cell r="D221" t="str">
            <v>Beynəlxalq bankçılıq şöbəsi</v>
          </cell>
          <cell r="E221" t="str">
            <v>#</v>
          </cell>
          <cell r="F221" t="str">
            <v>Menecer</v>
          </cell>
          <cell r="G221" t="str">
            <v>A</v>
          </cell>
          <cell r="H221">
            <v>43501</v>
          </cell>
        </row>
        <row r="222">
          <cell r="B222" t="str">
            <v>Musayeva İlahə Elçin</v>
          </cell>
          <cell r="C222" t="str">
            <v>Xəzinədarlıq departamenti</v>
          </cell>
          <cell r="D222" t="str">
            <v>Beynəlxalq bankçılıq şöbəsi</v>
          </cell>
          <cell r="E222" t="str">
            <v>#</v>
          </cell>
          <cell r="F222" t="str">
            <v>Baş mütəxəssis</v>
          </cell>
          <cell r="G222" t="str">
            <v>A</v>
          </cell>
          <cell r="H222">
            <v>42053</v>
          </cell>
        </row>
        <row r="223">
          <cell r="B223" t="str">
            <v>Nadirova Nigar İlham</v>
          </cell>
          <cell r="C223" t="str">
            <v>Xəzinədarlıq departamenti</v>
          </cell>
          <cell r="D223" t="str">
            <v>Beynəlxalq bankçılıq şöbəsi</v>
          </cell>
          <cell r="E223" t="str">
            <v>#</v>
          </cell>
          <cell r="F223" t="str">
            <v>Aparıcı mütəxəssis</v>
          </cell>
          <cell r="G223" t="str">
            <v>A</v>
          </cell>
          <cell r="H223">
            <v>44638</v>
          </cell>
        </row>
        <row r="224">
          <cell r="B224" t="str">
            <v>Abdullayev Emil Rauf</v>
          </cell>
          <cell r="C224" t="str">
            <v>Xəzinədarlıq departamenti</v>
          </cell>
          <cell r="D224" t="str">
            <v>Beynəlxalq bankçılıq şöbəsi</v>
          </cell>
          <cell r="E224" t="str">
            <v>#</v>
          </cell>
          <cell r="F224" t="str">
            <v>Mütəxəssis</v>
          </cell>
          <cell r="G224" t="str">
            <v>A</v>
          </cell>
          <cell r="H224">
            <v>45712</v>
          </cell>
        </row>
        <row r="225">
          <cell r="B225" t="str">
            <v>Məmmədov Bəşir Mais</v>
          </cell>
          <cell r="C225" t="str">
            <v>İnzibati idarəetmə departamenti</v>
          </cell>
          <cell r="D225" t="str">
            <v>#</v>
          </cell>
          <cell r="E225" t="str">
            <v>#</v>
          </cell>
          <cell r="F225" t="str">
            <v>Direktor</v>
          </cell>
          <cell r="G225" t="str">
            <v>A</v>
          </cell>
          <cell r="H225">
            <v>41463</v>
          </cell>
        </row>
        <row r="226">
          <cell r="B226" t="str">
            <v>Kərimov Ceyhun Əhəd</v>
          </cell>
          <cell r="C226" t="str">
            <v>İnzibati idarəetmə departamenti</v>
          </cell>
          <cell r="D226" t="str">
            <v>#</v>
          </cell>
          <cell r="E226" t="str">
            <v>#</v>
          </cell>
          <cell r="F226" t="str">
            <v>Direktor müavini</v>
          </cell>
          <cell r="G226" t="str">
            <v>A</v>
          </cell>
          <cell r="H226">
            <v>41473</v>
          </cell>
        </row>
        <row r="227">
          <cell r="B227" t="str">
            <v>Məmmədov Cavid Mehman</v>
          </cell>
          <cell r="C227" t="str">
            <v>İnzibati idarəetmə departamenti</v>
          </cell>
          <cell r="D227" t="str">
            <v>#</v>
          </cell>
          <cell r="E227" t="str">
            <v>#</v>
          </cell>
          <cell r="F227" t="str">
            <v>Direktor müavini</v>
          </cell>
          <cell r="G227" t="str">
            <v>A</v>
          </cell>
          <cell r="H227">
            <v>45537</v>
          </cell>
        </row>
        <row r="228">
          <cell r="B228" t="str">
            <v>Salmanov Məlik Şakir</v>
          </cell>
          <cell r="C228" t="str">
            <v>İnzibati idarəetmə departamenti</v>
          </cell>
          <cell r="D228" t="str">
            <v>#</v>
          </cell>
          <cell r="E228" t="str">
            <v>#</v>
          </cell>
          <cell r="F228" t="str">
            <v>Direktor müavini</v>
          </cell>
          <cell r="G228" t="str">
            <v>A</v>
          </cell>
          <cell r="H228">
            <v>46273</v>
          </cell>
        </row>
        <row r="229">
          <cell r="B229" t="str">
            <v>Babayeva Günel Rizvan</v>
          </cell>
          <cell r="C229" t="str">
            <v>İnzibati idarəetmə departamenti</v>
          </cell>
          <cell r="D229" t="str">
            <v>Təmir və Xidmət Şöbəsi</v>
          </cell>
          <cell r="E229" t="str">
            <v>#</v>
          </cell>
          <cell r="F229" t="str">
            <v>Baş mütəxəssis</v>
          </cell>
          <cell r="G229" t="str">
            <v>A</v>
          </cell>
          <cell r="H229">
            <v>45048</v>
          </cell>
        </row>
        <row r="230">
          <cell r="B230" t="str">
            <v>Ştayeva Stella Nikolayevna</v>
          </cell>
          <cell r="C230" t="str">
            <v>İnzibati idarəetmə departamenti</v>
          </cell>
          <cell r="D230" t="str">
            <v>Təmir və Xidmət Şöbəsi</v>
          </cell>
          <cell r="E230" t="str">
            <v>#</v>
          </cell>
          <cell r="F230" t="str">
            <v>Aparıcı mütəxəssis</v>
          </cell>
          <cell r="G230" t="str">
            <v>A</v>
          </cell>
          <cell r="H230">
            <v>41640</v>
          </cell>
        </row>
        <row r="231">
          <cell r="B231" t="str">
            <v>Sadıqova Durna Əlixan</v>
          </cell>
          <cell r="C231" t="str">
            <v>İnzibati idarəetmə departamenti</v>
          </cell>
          <cell r="D231" t="str">
            <v>Təmir və Xidmət Şöbəsi</v>
          </cell>
          <cell r="E231" t="str">
            <v>#</v>
          </cell>
          <cell r="F231" t="str">
            <v>Xadimə</v>
          </cell>
          <cell r="G231" t="str">
            <v>A</v>
          </cell>
          <cell r="H231">
            <v>40913</v>
          </cell>
        </row>
        <row r="232">
          <cell r="B232" t="str">
            <v>Əliyeva Fatma Rəşid</v>
          </cell>
          <cell r="C232" t="str">
            <v>İnzibati idarəetmə departamenti</v>
          </cell>
          <cell r="D232" t="str">
            <v>Təmir və Xidmət Şöbəsi</v>
          </cell>
          <cell r="E232" t="str">
            <v>#</v>
          </cell>
          <cell r="F232" t="str">
            <v>Xadimə</v>
          </cell>
          <cell r="G232" t="str">
            <v>A</v>
          </cell>
          <cell r="H232">
            <v>36735</v>
          </cell>
        </row>
        <row r="233">
          <cell r="B233" t="str">
            <v>Qurbanova Gülüş Qəndəfər</v>
          </cell>
          <cell r="C233" t="str">
            <v>İnzibati idarəetmə departamenti</v>
          </cell>
          <cell r="D233" t="str">
            <v>Təmir və Xidmət Şöbəsi</v>
          </cell>
          <cell r="E233" t="str">
            <v>#</v>
          </cell>
          <cell r="F233" t="str">
            <v>Xadimə</v>
          </cell>
          <cell r="G233" t="str">
            <v>A</v>
          </cell>
          <cell r="H233">
            <v>37971</v>
          </cell>
        </row>
        <row r="234">
          <cell r="B234" t="str">
            <v>Məmmədova Aytən Firuz</v>
          </cell>
          <cell r="C234" t="str">
            <v>İnzibati idarəetmə departamenti</v>
          </cell>
          <cell r="D234" t="str">
            <v>Təmir və Xidmət Şöbəsi</v>
          </cell>
          <cell r="E234" t="str">
            <v>#</v>
          </cell>
          <cell r="F234" t="str">
            <v>Xadimə</v>
          </cell>
          <cell r="G234" t="str">
            <v>A</v>
          </cell>
          <cell r="H234">
            <v>45783</v>
          </cell>
        </row>
        <row r="235">
          <cell r="B235" t="str">
            <v>Mehdiyeva Xuraman Ramazan</v>
          </cell>
          <cell r="C235" t="str">
            <v>İnzibati idarəetmə departamenti</v>
          </cell>
          <cell r="D235" t="str">
            <v>Təmir və Xidmət Şöbəsi</v>
          </cell>
          <cell r="E235" t="str">
            <v>#</v>
          </cell>
          <cell r="F235" t="str">
            <v>Xadimə</v>
          </cell>
          <cell r="G235" t="str">
            <v>A</v>
          </cell>
          <cell r="H235">
            <v>45796</v>
          </cell>
        </row>
        <row r="236">
          <cell r="B236" t="str">
            <v>İsmixanova Ruminə Şahbaz</v>
          </cell>
          <cell r="C236" t="str">
            <v>İnzibati idarəetmə departamenti</v>
          </cell>
          <cell r="D236" t="str">
            <v>Təmir və Xidmət Şöbəsi</v>
          </cell>
          <cell r="E236" t="str">
            <v>#</v>
          </cell>
          <cell r="F236" t="str">
            <v>Xadimə</v>
          </cell>
          <cell r="G236" t="str">
            <v>A</v>
          </cell>
          <cell r="H236">
            <v>45797</v>
          </cell>
        </row>
        <row r="237">
          <cell r="B237" t="str">
            <v>Məmmədova Xanım Zeynal</v>
          </cell>
          <cell r="C237" t="str">
            <v>İnzibati idarəetmə departamenti</v>
          </cell>
          <cell r="D237" t="str">
            <v>Təmir və Xidmət Şöbəsi</v>
          </cell>
          <cell r="E237" t="str">
            <v>#</v>
          </cell>
          <cell r="F237" t="str">
            <v>Xadimə</v>
          </cell>
          <cell r="G237" t="str">
            <v>A</v>
          </cell>
          <cell r="H237">
            <v>45803</v>
          </cell>
        </row>
        <row r="238">
          <cell r="B238" t="str">
            <v>Əliquluyeva Zərnişan Oruc</v>
          </cell>
          <cell r="C238" t="str">
            <v>İnzibati idarəetmə departamenti</v>
          </cell>
          <cell r="D238" t="str">
            <v>Təmir və Xidmət Şöbəsi</v>
          </cell>
          <cell r="E238" t="str">
            <v>#</v>
          </cell>
          <cell r="F238" t="str">
            <v>Xadimə</v>
          </cell>
          <cell r="G238" t="str">
            <v>A</v>
          </cell>
          <cell r="H238">
            <v>37935</v>
          </cell>
        </row>
        <row r="239">
          <cell r="B239" t="str">
            <v>Həsənova Validə İmran</v>
          </cell>
          <cell r="C239" t="str">
            <v>İnzibati idarəetmə departamenti</v>
          </cell>
          <cell r="D239" t="str">
            <v>Təmir və Xidmət Şöbəsi</v>
          </cell>
          <cell r="E239" t="str">
            <v>#</v>
          </cell>
          <cell r="F239" t="str">
            <v>Xadimə</v>
          </cell>
          <cell r="G239" t="str">
            <v>A</v>
          </cell>
          <cell r="H239">
            <v>41640</v>
          </cell>
        </row>
        <row r="240">
          <cell r="B240" t="str">
            <v>Qurbanova Hilal Abbas</v>
          </cell>
          <cell r="C240" t="str">
            <v>İnzibati idarəetmə departamenti</v>
          </cell>
          <cell r="D240" t="str">
            <v>Təmir və Xidmət Şöbəsi</v>
          </cell>
          <cell r="E240" t="str">
            <v>#</v>
          </cell>
          <cell r="F240" t="str">
            <v>Xadimə</v>
          </cell>
          <cell r="G240" t="str">
            <v>A</v>
          </cell>
          <cell r="H240">
            <v>41640</v>
          </cell>
        </row>
        <row r="241">
          <cell r="B241" t="str">
            <v>Əliyarova Səadət Zahid</v>
          </cell>
          <cell r="C241" t="str">
            <v>İnzibati idarəetmə departamenti</v>
          </cell>
          <cell r="D241" t="str">
            <v>Təmir və Xidmət Şöbəsi</v>
          </cell>
          <cell r="E241" t="str">
            <v>#</v>
          </cell>
          <cell r="F241" t="str">
            <v>Xadimə</v>
          </cell>
          <cell r="G241" t="str">
            <v>A</v>
          </cell>
          <cell r="H241">
            <v>45905</v>
          </cell>
        </row>
        <row r="242">
          <cell r="B242" t="str">
            <v>Bəbirova Xuraman Eldar</v>
          </cell>
          <cell r="C242" t="str">
            <v>İnzibati idarəetmə departamenti</v>
          </cell>
          <cell r="D242" t="str">
            <v>Təmir və Xidmət Şöbəsi</v>
          </cell>
          <cell r="E242" t="str">
            <v>#</v>
          </cell>
          <cell r="F242" t="str">
            <v>Xadimə</v>
          </cell>
          <cell r="G242" t="str">
            <v>A</v>
          </cell>
          <cell r="H242">
            <v>41640</v>
          </cell>
        </row>
        <row r="243">
          <cell r="B243" t="str">
            <v>Quliyeva Mədinə Baba</v>
          </cell>
          <cell r="C243" t="str">
            <v>İnzibati idarəetmə departamenti</v>
          </cell>
          <cell r="D243" t="str">
            <v>Təmir və Xidmət Şöbəsi</v>
          </cell>
          <cell r="E243" t="str">
            <v>#</v>
          </cell>
          <cell r="F243" t="str">
            <v>Xadimə</v>
          </cell>
          <cell r="G243" t="str">
            <v>A</v>
          </cell>
          <cell r="H243">
            <v>42075</v>
          </cell>
        </row>
        <row r="244">
          <cell r="B244" t="str">
            <v>Bənnayeva Sevinc Əli Ağa</v>
          </cell>
          <cell r="C244" t="str">
            <v>İnzibati idarəetmə departamenti</v>
          </cell>
          <cell r="D244" t="str">
            <v>Təmir və Xidmət Şöbəsi</v>
          </cell>
          <cell r="E244" t="str">
            <v>#</v>
          </cell>
          <cell r="F244" t="str">
            <v>Xadimə</v>
          </cell>
          <cell r="G244" t="str">
            <v>A</v>
          </cell>
          <cell r="H244">
            <v>42320</v>
          </cell>
        </row>
        <row r="245">
          <cell r="B245" t="str">
            <v>Hüseynova Fatma Müzəffər</v>
          </cell>
          <cell r="C245" t="str">
            <v>İnzibati idarəetmə departamenti</v>
          </cell>
          <cell r="D245" t="str">
            <v>Təmir və Xidmət Şöbəsi</v>
          </cell>
          <cell r="E245" t="str">
            <v>#</v>
          </cell>
          <cell r="F245" t="str">
            <v>Xadimə</v>
          </cell>
          <cell r="G245" t="str">
            <v>A</v>
          </cell>
          <cell r="H245">
            <v>42471</v>
          </cell>
        </row>
        <row r="246">
          <cell r="B246" t="str">
            <v>Bayramova Simuzər Mövlud</v>
          </cell>
          <cell r="C246" t="str">
            <v>İnzibati idarəetmə departamenti</v>
          </cell>
          <cell r="D246" t="str">
            <v>Təmir və Xidmət Şöbəsi</v>
          </cell>
          <cell r="E246" t="str">
            <v>#</v>
          </cell>
          <cell r="F246" t="str">
            <v>Xadimə</v>
          </cell>
          <cell r="G246" t="str">
            <v>A</v>
          </cell>
          <cell r="H246">
            <v>41334</v>
          </cell>
        </row>
        <row r="247">
          <cell r="B247" t="str">
            <v>Baxışeva Aygün Hüseynağa</v>
          </cell>
          <cell r="C247" t="str">
            <v>İnzibati idarəetmə departamenti</v>
          </cell>
          <cell r="D247" t="str">
            <v>Təmir və Xidmət Şöbəsi</v>
          </cell>
          <cell r="E247" t="str">
            <v>#</v>
          </cell>
          <cell r="F247" t="str">
            <v>Xadimə</v>
          </cell>
          <cell r="G247" t="str">
            <v>A</v>
          </cell>
          <cell r="H247">
            <v>43070</v>
          </cell>
        </row>
        <row r="248">
          <cell r="B248" t="str">
            <v>Novruzova Məhfuzə Naməd</v>
          </cell>
          <cell r="C248" t="str">
            <v>İnzibati idarəetmə departamenti</v>
          </cell>
          <cell r="D248" t="str">
            <v>Təmir və Xidmət Şöbəsi</v>
          </cell>
          <cell r="E248" t="str">
            <v>#</v>
          </cell>
          <cell r="F248" t="str">
            <v>Xadimə</v>
          </cell>
          <cell r="G248" t="str">
            <v>A</v>
          </cell>
          <cell r="H248">
            <v>43242</v>
          </cell>
        </row>
        <row r="249">
          <cell r="B249" t="str">
            <v>Ağayeva Samirə Şamil</v>
          </cell>
          <cell r="C249" t="str">
            <v>İnzibati idarəetmə departamenti</v>
          </cell>
          <cell r="D249" t="str">
            <v>Təmir və Xidmət Şöbəsi</v>
          </cell>
          <cell r="E249" t="str">
            <v>#</v>
          </cell>
          <cell r="F249" t="str">
            <v>Xadimə</v>
          </cell>
          <cell r="G249" t="str">
            <v>A</v>
          </cell>
          <cell r="H249">
            <v>43265</v>
          </cell>
        </row>
        <row r="250">
          <cell r="B250" t="str">
            <v>Aydınova Gülşanə Qismət</v>
          </cell>
          <cell r="C250" t="str">
            <v>İnzibati idarəetmə departamenti</v>
          </cell>
          <cell r="D250" t="str">
            <v>Təmir və Xidmət Şöbəsi</v>
          </cell>
          <cell r="E250" t="str">
            <v>#</v>
          </cell>
          <cell r="F250" t="str">
            <v>Xadimə</v>
          </cell>
          <cell r="G250" t="str">
            <v>A</v>
          </cell>
          <cell r="H250">
            <v>43326</v>
          </cell>
        </row>
        <row r="251">
          <cell r="B251" t="str">
            <v>Baxşiyeva Nailə Şahvələd</v>
          </cell>
          <cell r="C251" t="str">
            <v>İnzibati idarəetmə departamenti</v>
          </cell>
          <cell r="D251" t="str">
            <v>Təmir və Xidmət Şöbəsi</v>
          </cell>
          <cell r="E251" t="str">
            <v>#</v>
          </cell>
          <cell r="F251" t="str">
            <v>Xadimə</v>
          </cell>
          <cell r="G251" t="str">
            <v>A</v>
          </cell>
          <cell r="H251">
            <v>43573</v>
          </cell>
        </row>
        <row r="252">
          <cell r="B252" t="str">
            <v>Mikayılova Sevda Şamil</v>
          </cell>
          <cell r="C252" t="str">
            <v>İnzibati idarəetmə departamenti</v>
          </cell>
          <cell r="D252" t="str">
            <v>Təmir və Xidmət Şöbəsi</v>
          </cell>
          <cell r="E252" t="str">
            <v>#</v>
          </cell>
          <cell r="F252" t="str">
            <v>Xadimə</v>
          </cell>
          <cell r="G252" t="str">
            <v>A</v>
          </cell>
          <cell r="H252">
            <v>43866</v>
          </cell>
        </row>
        <row r="253">
          <cell r="B253" t="str">
            <v>Nəcəfova Firuzə Əlihüseyn</v>
          </cell>
          <cell r="C253" t="str">
            <v>İnzibati idarəetmə departamenti</v>
          </cell>
          <cell r="D253" t="str">
            <v>Təmir və Xidmət Şöbəsi</v>
          </cell>
          <cell r="E253" t="str">
            <v>#</v>
          </cell>
          <cell r="F253" t="str">
            <v>Xadimə</v>
          </cell>
          <cell r="G253" t="str">
            <v>A</v>
          </cell>
          <cell r="H253">
            <v>43900</v>
          </cell>
        </row>
        <row r="254">
          <cell r="B254" t="str">
            <v>Hacıyeva Məlahət Məmmədəli</v>
          </cell>
          <cell r="C254" t="str">
            <v>İnzibati idarəetmə departamenti</v>
          </cell>
          <cell r="D254" t="str">
            <v>Təmir və Xidmət Şöbəsi</v>
          </cell>
          <cell r="E254" t="str">
            <v>#</v>
          </cell>
          <cell r="F254" t="str">
            <v>Xadimə</v>
          </cell>
          <cell r="G254" t="str">
            <v>A</v>
          </cell>
          <cell r="H254">
            <v>44005</v>
          </cell>
        </row>
        <row r="255">
          <cell r="B255" t="str">
            <v>Səfərova Maksudə Məmmədvəli</v>
          </cell>
          <cell r="C255" t="str">
            <v>İnzibati idarəetmə departamenti</v>
          </cell>
          <cell r="D255" t="str">
            <v>Təmir və Xidmət Şöbəsi</v>
          </cell>
          <cell r="E255" t="str">
            <v>#</v>
          </cell>
          <cell r="F255" t="str">
            <v>Xadimə</v>
          </cell>
          <cell r="G255" t="str">
            <v>A</v>
          </cell>
          <cell r="H255">
            <v>44743</v>
          </cell>
        </row>
        <row r="256">
          <cell r="B256" t="str">
            <v>Süleymanova Yazgül İkram</v>
          </cell>
          <cell r="C256" t="str">
            <v>İnzibati idarəetmə departamenti</v>
          </cell>
          <cell r="D256" t="str">
            <v>Təmir və Xidmət Şöbəsi</v>
          </cell>
          <cell r="E256" t="str">
            <v>#</v>
          </cell>
          <cell r="F256" t="str">
            <v>Xadimə</v>
          </cell>
          <cell r="G256" t="str">
            <v>A</v>
          </cell>
          <cell r="H256">
            <v>45203</v>
          </cell>
        </row>
        <row r="257">
          <cell r="B257" t="str">
            <v>Məmmədova Sevinc Barat</v>
          </cell>
          <cell r="C257" t="str">
            <v>İnzibati idarəetmə departamenti</v>
          </cell>
          <cell r="D257" t="str">
            <v>Təmir və Xidmət Şöbəsi</v>
          </cell>
          <cell r="E257" t="str">
            <v>#</v>
          </cell>
          <cell r="F257" t="str">
            <v>Xadimə</v>
          </cell>
          <cell r="G257" t="str">
            <v>A</v>
          </cell>
          <cell r="H257">
            <v>45233</v>
          </cell>
        </row>
        <row r="258">
          <cell r="B258" t="str">
            <v>Dibirova Rəqsanə Elxan</v>
          </cell>
          <cell r="C258" t="str">
            <v>İnzibati idarəetmə departamenti</v>
          </cell>
          <cell r="D258" t="str">
            <v>Təmir və Xidmət Şöbəsi</v>
          </cell>
          <cell r="E258" t="str">
            <v>#</v>
          </cell>
          <cell r="F258" t="str">
            <v>Xadimə</v>
          </cell>
          <cell r="G258" t="str">
            <v>A</v>
          </cell>
          <cell r="H258">
            <v>45286</v>
          </cell>
        </row>
        <row r="259">
          <cell r="B259" t="str">
            <v>Bəbişova Arzu Balasəməd</v>
          </cell>
          <cell r="C259" t="str">
            <v>İnzibati idarəetmə departamenti</v>
          </cell>
          <cell r="D259" t="str">
            <v>Təmir və Xidmət Şöbəsi</v>
          </cell>
          <cell r="E259" t="str">
            <v>#</v>
          </cell>
          <cell r="F259" t="str">
            <v>Xadimə</v>
          </cell>
          <cell r="G259" t="str">
            <v>A</v>
          </cell>
          <cell r="H259">
            <v>45352</v>
          </cell>
        </row>
        <row r="260">
          <cell r="B260" t="str">
            <v>Mehtiyeva Nuranə Yusif</v>
          </cell>
          <cell r="C260" t="str">
            <v>İnzibati idarəetmə departamenti</v>
          </cell>
          <cell r="D260" t="str">
            <v>Təmir və Xidmət Şöbəsi</v>
          </cell>
          <cell r="E260" t="str">
            <v>#</v>
          </cell>
          <cell r="F260" t="str">
            <v>Xadimə</v>
          </cell>
          <cell r="G260" t="str">
            <v>A</v>
          </cell>
          <cell r="H260">
            <v>45714</v>
          </cell>
        </row>
        <row r="261">
          <cell r="B261" t="str">
            <v>Namazova Sevda Bəhlul</v>
          </cell>
          <cell r="C261" t="str">
            <v>İnzibati idarəetmə departamenti</v>
          </cell>
          <cell r="D261" t="str">
            <v>Təmir və Xidmət Şöbəsi</v>
          </cell>
          <cell r="E261" t="str">
            <v>#</v>
          </cell>
          <cell r="F261" t="str">
            <v>Xadimə</v>
          </cell>
          <cell r="G261" t="str">
            <v>A</v>
          </cell>
          <cell r="H261">
            <v>45714</v>
          </cell>
        </row>
        <row r="262">
          <cell r="B262" t="str">
            <v>Əsədova Təranə Təhməz</v>
          </cell>
          <cell r="C262" t="str">
            <v>İnzibati idarəetmə departamenti</v>
          </cell>
          <cell r="D262" t="str">
            <v>Təmir və Xidmət Şöbəsi</v>
          </cell>
          <cell r="E262" t="str">
            <v>#</v>
          </cell>
          <cell r="F262" t="str">
            <v>Xadimə</v>
          </cell>
          <cell r="G262" t="str">
            <v>A</v>
          </cell>
          <cell r="H262">
            <v>45714</v>
          </cell>
        </row>
        <row r="263">
          <cell r="B263" t="str">
            <v>Kərimova Cəvahir Sabir</v>
          </cell>
          <cell r="C263" t="str">
            <v>İnzibati idarəetmə departamenti</v>
          </cell>
          <cell r="D263" t="str">
            <v>Təmir və Xidmət şöbəsi</v>
          </cell>
          <cell r="E263" t="str">
            <v>#</v>
          </cell>
          <cell r="F263" t="str">
            <v>Xadimə</v>
          </cell>
          <cell r="G263" t="str">
            <v>A</v>
          </cell>
          <cell r="H263">
            <v>43452</v>
          </cell>
        </row>
        <row r="264">
          <cell r="B264" t="str">
            <v>Fərəcova Qətibə Arif</v>
          </cell>
          <cell r="C264" t="str">
            <v>İnzibati idarəetmə departamenti</v>
          </cell>
          <cell r="D264" t="str">
            <v>Təmir və Xidmət Şöbəsi</v>
          </cell>
          <cell r="E264" t="str">
            <v>#</v>
          </cell>
          <cell r="F264" t="str">
            <v>Xadimə</v>
          </cell>
          <cell r="G264" t="str">
            <v>A</v>
          </cell>
          <cell r="H264">
            <v>45726</v>
          </cell>
        </row>
        <row r="265">
          <cell r="B265" t="str">
            <v>Abdullayeva Fərqanə Zeynalabdi</v>
          </cell>
          <cell r="C265" t="str">
            <v>İnzibati idarəetmə departamenti</v>
          </cell>
          <cell r="D265" t="str">
            <v>Təmir və Xidmət Şöbəsi</v>
          </cell>
          <cell r="E265" t="str">
            <v>#</v>
          </cell>
          <cell r="F265" t="str">
            <v>Xadimə</v>
          </cell>
          <cell r="G265" t="str">
            <v>A</v>
          </cell>
          <cell r="H265">
            <v>45748</v>
          </cell>
        </row>
        <row r="266">
          <cell r="B266" t="str">
            <v>Həsənova Ruhiyyə Hüseyn</v>
          </cell>
          <cell r="C266" t="str">
            <v>İnzibati idarəetmə departamenti</v>
          </cell>
          <cell r="D266" t="str">
            <v>Təmir və Xidmət Şöbəsi</v>
          </cell>
          <cell r="E266" t="str">
            <v>#</v>
          </cell>
          <cell r="F266" t="str">
            <v>Xadimə</v>
          </cell>
          <cell r="G266" t="str">
            <v>A</v>
          </cell>
          <cell r="H266">
            <v>45763</v>
          </cell>
        </row>
        <row r="267">
          <cell r="B267" t="str">
            <v>Kazımova Şölə Allahverdi</v>
          </cell>
          <cell r="C267" t="str">
            <v>İnzibati idarəetmə departamenti</v>
          </cell>
          <cell r="D267" t="str">
            <v>Təmir və Xidmət Şöbəsi</v>
          </cell>
          <cell r="E267" t="str">
            <v>#</v>
          </cell>
          <cell r="F267" t="str">
            <v>Xadimə</v>
          </cell>
          <cell r="G267" t="str">
            <v>A</v>
          </cell>
          <cell r="H267">
            <v>45895</v>
          </cell>
        </row>
        <row r="268">
          <cell r="B268" t="str">
            <v>Rəcəbova Elmira Ələskərovna</v>
          </cell>
          <cell r="C268" t="str">
            <v>İnzibati idarəetmə departamenti</v>
          </cell>
          <cell r="D268" t="str">
            <v>Təmir və Xidmət Şöbəsi</v>
          </cell>
          <cell r="E268" t="str">
            <v>#</v>
          </cell>
          <cell r="F268" t="str">
            <v>Xadimə</v>
          </cell>
          <cell r="G268" t="str">
            <v>A</v>
          </cell>
          <cell r="H268">
            <v>45932</v>
          </cell>
        </row>
        <row r="269">
          <cell r="B269" t="str">
            <v>Əliheydərova Mehriban Tofiq</v>
          </cell>
          <cell r="C269" t="str">
            <v>İnzibati idarəetmə departamenti</v>
          </cell>
          <cell r="D269" t="str">
            <v>Təmir və Xidmət Şöbəsi</v>
          </cell>
          <cell r="E269" t="str">
            <v>#</v>
          </cell>
          <cell r="F269" t="str">
            <v>Xadimə</v>
          </cell>
          <cell r="G269" t="str">
            <v>A</v>
          </cell>
          <cell r="H269">
            <v>46195</v>
          </cell>
          <cell r="I269" t="str">
            <v>Bir Payment</v>
          </cell>
        </row>
        <row r="270">
          <cell r="B270" t="str">
            <v>Hətəmova Nahidə Məhəmmədəli</v>
          </cell>
          <cell r="C270" t="str">
            <v>İnzibati idarəetmə departamenti</v>
          </cell>
          <cell r="D270" t="str">
            <v>Təmir və Xidmət Şöbəsi</v>
          </cell>
          <cell r="E270" t="str">
            <v>#</v>
          </cell>
          <cell r="F270" t="str">
            <v>Xadimə</v>
          </cell>
          <cell r="G270" t="str">
            <v>A</v>
          </cell>
          <cell r="H270">
            <v>46195</v>
          </cell>
          <cell r="I270" t="str">
            <v>Bir Payment</v>
          </cell>
        </row>
        <row r="271">
          <cell r="B271" t="str">
            <v>Ağayeva Zahirə Balayar</v>
          </cell>
          <cell r="C271" t="str">
            <v>İnzibati idarəetmə departamenti</v>
          </cell>
          <cell r="D271" t="str">
            <v>Təmir və Xidmət Şöbəsi</v>
          </cell>
          <cell r="E271" t="str">
            <v>#</v>
          </cell>
          <cell r="F271" t="str">
            <v>Xadimə</v>
          </cell>
          <cell r="G271" t="str">
            <v>A</v>
          </cell>
          <cell r="H271">
            <v>46195</v>
          </cell>
          <cell r="I271" t="str">
            <v>Bir Payment</v>
          </cell>
        </row>
        <row r="272">
          <cell r="B272" t="str">
            <v>Əsədova Aynur Rasim</v>
          </cell>
          <cell r="C272" t="str">
            <v>İnzibati idarəetmə departamenti</v>
          </cell>
          <cell r="D272" t="str">
            <v>Təmir və Xidmət Şöbəsi</v>
          </cell>
          <cell r="E272" t="str">
            <v>#</v>
          </cell>
          <cell r="F272" t="str">
            <v>Xadimə</v>
          </cell>
          <cell r="G272" t="str">
            <v>A</v>
          </cell>
          <cell r="H272">
            <v>46195</v>
          </cell>
          <cell r="I272" t="str">
            <v>Bir Payment</v>
          </cell>
        </row>
        <row r="273">
          <cell r="B273" t="str">
            <v>Rəhimova Günel Azad</v>
          </cell>
          <cell r="C273" t="str">
            <v>İnzibati idarəetmə departamenti</v>
          </cell>
          <cell r="D273" t="str">
            <v>Təmir və Xidmət Şöbəsi</v>
          </cell>
          <cell r="E273" t="str">
            <v>#</v>
          </cell>
          <cell r="F273" t="str">
            <v>Xadimə</v>
          </cell>
          <cell r="G273" t="str">
            <v>A</v>
          </cell>
          <cell r="H273">
            <v>46195</v>
          </cell>
          <cell r="I273" t="str">
            <v>Bir Payment</v>
          </cell>
        </row>
        <row r="274">
          <cell r="B274" t="str">
            <v>İsmayılova Ceyhunə Tofik</v>
          </cell>
          <cell r="C274" t="str">
            <v>İnzibati idarəetmə departamenti</v>
          </cell>
          <cell r="D274" t="str">
            <v>Təmir və Xidmət Şöbəsi</v>
          </cell>
          <cell r="E274" t="str">
            <v>#</v>
          </cell>
          <cell r="F274" t="str">
            <v>Xadimə</v>
          </cell>
          <cell r="G274" t="str">
            <v>A</v>
          </cell>
          <cell r="H274">
            <v>46195</v>
          </cell>
          <cell r="I274" t="str">
            <v>Bir Payment</v>
          </cell>
        </row>
        <row r="275">
          <cell r="B275" t="str">
            <v>Gərayeva Səadət Mirsəyyaf</v>
          </cell>
          <cell r="C275" t="str">
            <v>İnzibati idarəetmə departamenti</v>
          </cell>
          <cell r="D275" t="str">
            <v>Təmir və Xidmət Şöbəsi</v>
          </cell>
          <cell r="E275" t="str">
            <v>#</v>
          </cell>
          <cell r="F275" t="str">
            <v>Xadimə</v>
          </cell>
          <cell r="G275" t="str">
            <v>A</v>
          </cell>
          <cell r="H275">
            <v>46195</v>
          </cell>
          <cell r="I275" t="str">
            <v>Bir Payment</v>
          </cell>
        </row>
        <row r="276">
          <cell r="B276" t="str">
            <v>Ağayeva Səbinə Sabir</v>
          </cell>
          <cell r="C276" t="str">
            <v>İnzibati idarəetmə departamenti</v>
          </cell>
          <cell r="D276" t="str">
            <v>Təmir və Xidmət Şöbəsi</v>
          </cell>
          <cell r="E276" t="str">
            <v>#</v>
          </cell>
          <cell r="F276" t="str">
            <v>Xadimə</v>
          </cell>
          <cell r="G276" t="str">
            <v>A</v>
          </cell>
          <cell r="H276">
            <v>46195</v>
          </cell>
          <cell r="I276" t="str">
            <v>Bir Payment</v>
          </cell>
        </row>
        <row r="277">
          <cell r="B277" t="str">
            <v>Hacıyeva Zülfiyyə Qurban</v>
          </cell>
          <cell r="C277" t="str">
            <v>İnzibati idarəetmə departamenti</v>
          </cell>
          <cell r="D277" t="str">
            <v>Təmir və Xidmət Şöbəsi</v>
          </cell>
          <cell r="E277" t="str">
            <v>#</v>
          </cell>
          <cell r="F277" t="str">
            <v>Xadimə (0,5 ştat vahidi ilə Naxçıvan üzrə)</v>
          </cell>
          <cell r="G277" t="str">
            <v>A</v>
          </cell>
          <cell r="H277">
            <v>44761</v>
          </cell>
        </row>
        <row r="278">
          <cell r="B278" t="str">
            <v>Mövlamova Nailə Ramiz</v>
          </cell>
          <cell r="C278" t="str">
            <v>İnzibati idarəetmə departamenti</v>
          </cell>
          <cell r="D278" t="str">
            <v>Təmir və Xidmət Şöbəsi</v>
          </cell>
          <cell r="E278" t="str">
            <v>#</v>
          </cell>
          <cell r="F278" t="str">
            <v>Xidmətçi</v>
          </cell>
          <cell r="G278" t="str">
            <v>A</v>
          </cell>
          <cell r="H278">
            <v>43040</v>
          </cell>
        </row>
        <row r="279">
          <cell r="B279" t="str">
            <v>İsayeva Gülnarə Vahid</v>
          </cell>
          <cell r="C279" t="str">
            <v>İnzibati idarəetmə departamenti</v>
          </cell>
          <cell r="D279" t="str">
            <v>Təmir və Xidmət Şöbəsi</v>
          </cell>
          <cell r="E279" t="str">
            <v>#</v>
          </cell>
          <cell r="F279" t="str">
            <v>Xidmətçi</v>
          </cell>
          <cell r="G279" t="str">
            <v>A</v>
          </cell>
          <cell r="H279">
            <v>43459</v>
          </cell>
        </row>
        <row r="280">
          <cell r="B280" t="str">
            <v>Məmmədova Aynurə Yasir</v>
          </cell>
          <cell r="C280" t="str">
            <v>İnzibati idarəetmə departamenti</v>
          </cell>
          <cell r="D280" t="str">
            <v>Təmir və Xidmət Şöbəsi</v>
          </cell>
          <cell r="E280" t="str">
            <v>#</v>
          </cell>
          <cell r="F280" t="str">
            <v>Xidmətçi</v>
          </cell>
          <cell r="G280" t="str">
            <v>A</v>
          </cell>
          <cell r="H280">
            <v>41913</v>
          </cell>
        </row>
        <row r="281">
          <cell r="B281" t="str">
            <v>Ağayeva İradə Bəşir</v>
          </cell>
          <cell r="C281" t="str">
            <v>İnzibati idarəetmə departamenti</v>
          </cell>
          <cell r="D281" t="str">
            <v>Təmir və Xidmət Şöbəsi</v>
          </cell>
          <cell r="E281" t="str">
            <v>#</v>
          </cell>
          <cell r="F281" t="str">
            <v>Xidmətçi</v>
          </cell>
          <cell r="G281" t="str">
            <v>A</v>
          </cell>
          <cell r="H281">
            <v>43294</v>
          </cell>
        </row>
        <row r="282">
          <cell r="B282" t="str">
            <v>Əhmədova İlhamə İspəndiyar</v>
          </cell>
          <cell r="C282" t="str">
            <v>İnzibati idarəetmə departamenti</v>
          </cell>
          <cell r="D282" t="str">
            <v>Təmir və Xidmət Şöbəsi</v>
          </cell>
          <cell r="E282" t="str">
            <v>#</v>
          </cell>
          <cell r="F282" t="str">
            <v>Xidmətçi</v>
          </cell>
          <cell r="G282" t="str">
            <v>A</v>
          </cell>
          <cell r="H282">
            <v>41745</v>
          </cell>
        </row>
        <row r="283">
          <cell r="B283" t="str">
            <v>Səfərova Rəfiqə Vaqif</v>
          </cell>
          <cell r="C283" t="str">
            <v>İnzibati idarəetmə departamenti</v>
          </cell>
          <cell r="D283" t="str">
            <v>Təmir və Xidmət Şöbəsi</v>
          </cell>
          <cell r="E283" t="str">
            <v>#</v>
          </cell>
          <cell r="F283" t="str">
            <v>Xidmətçi</v>
          </cell>
          <cell r="G283" t="str">
            <v>A</v>
          </cell>
          <cell r="H283">
            <v>46262</v>
          </cell>
          <cell r="I283" t="str">
            <v>Bir Payment</v>
          </cell>
        </row>
        <row r="284">
          <cell r="B284" t="str">
            <v>Qurbanova Xəyalə İlqar</v>
          </cell>
          <cell r="C284" t="str">
            <v>İnzibati idarəetmə departamenti</v>
          </cell>
          <cell r="D284" t="str">
            <v>Təmir və Xidmət Şöbəsi</v>
          </cell>
          <cell r="E284" t="str">
            <v>#</v>
          </cell>
          <cell r="F284" t="str">
            <v>Xidmətçi</v>
          </cell>
          <cell r="G284" t="str">
            <v>A</v>
          </cell>
          <cell r="H284">
            <v>41954</v>
          </cell>
        </row>
        <row r="285">
          <cell r="B285" t="str">
            <v>Məmmədalıyeva Yasəmən Möhübbət</v>
          </cell>
          <cell r="C285" t="str">
            <v>İnzibati idarəetmə departamenti</v>
          </cell>
          <cell r="D285" t="str">
            <v>Təmir və Xidmət Şöbəsi</v>
          </cell>
          <cell r="E285" t="str">
            <v>#</v>
          </cell>
          <cell r="F285" t="str">
            <v>Xidmətçi</v>
          </cell>
          <cell r="G285" t="str">
            <v>A</v>
          </cell>
          <cell r="H285">
            <v>43242</v>
          </cell>
        </row>
        <row r="286">
          <cell r="B286" t="str">
            <v>Süleymanova Samirə Süleyman</v>
          </cell>
          <cell r="C286" t="str">
            <v>İnzibati idarəetmə departamenti</v>
          </cell>
          <cell r="D286" t="str">
            <v>Təmir və Xidmət Şöbəsi</v>
          </cell>
          <cell r="E286" t="str">
            <v>#</v>
          </cell>
          <cell r="F286" t="str">
            <v>Xidmətçi</v>
          </cell>
          <cell r="G286" t="str">
            <v>A</v>
          </cell>
          <cell r="H286">
            <v>44120</v>
          </cell>
        </row>
        <row r="287">
          <cell r="B287" t="str">
            <v>Bayramova Təranə Ağasəf</v>
          </cell>
          <cell r="C287" t="str">
            <v>İnzibati idarəetmə departamenti</v>
          </cell>
          <cell r="D287" t="str">
            <v>Təmir və Xidmət Şöbəsi</v>
          </cell>
          <cell r="E287" t="str">
            <v>#</v>
          </cell>
          <cell r="F287" t="str">
            <v>Xidmətçi</v>
          </cell>
          <cell r="G287" t="str">
            <v>A</v>
          </cell>
          <cell r="H287">
            <v>44482</v>
          </cell>
        </row>
        <row r="288">
          <cell r="B288" t="str">
            <v>Ağayeva Gülşən Mirhabil</v>
          </cell>
          <cell r="C288" t="str">
            <v>İnzibati idarəetmə departamenti</v>
          </cell>
          <cell r="D288" t="str">
            <v>Təmir və Xidmət Şöbəsi</v>
          </cell>
          <cell r="E288" t="str">
            <v>#</v>
          </cell>
          <cell r="F288" t="str">
            <v>Xidmətçi</v>
          </cell>
          <cell r="G288" t="str">
            <v>A</v>
          </cell>
          <cell r="H288">
            <v>44774</v>
          </cell>
        </row>
        <row r="289">
          <cell r="B289" t="str">
            <v>Abasova Elnurə Əzizağa</v>
          </cell>
          <cell r="C289" t="str">
            <v>İnzibati idarəetmə departamenti</v>
          </cell>
          <cell r="D289" t="str">
            <v>Təmir və Xidmət Şöbəsi</v>
          </cell>
          <cell r="E289" t="str">
            <v>#</v>
          </cell>
          <cell r="F289" t="str">
            <v>Xidmətçi</v>
          </cell>
          <cell r="G289" t="str">
            <v>A</v>
          </cell>
          <cell r="H289">
            <v>45036</v>
          </cell>
        </row>
        <row r="290">
          <cell r="B290" t="str">
            <v>Saadova İntizar Şabiddin</v>
          </cell>
          <cell r="C290" t="str">
            <v>İnzibati idarəetmə departamenti</v>
          </cell>
          <cell r="D290" t="str">
            <v>Təmir və Xidmət Şöbəsi</v>
          </cell>
          <cell r="E290" t="str">
            <v>#</v>
          </cell>
          <cell r="F290" t="str">
            <v>Xidmətçi</v>
          </cell>
          <cell r="G290" t="str">
            <v>A</v>
          </cell>
          <cell r="H290">
            <v>45232</v>
          </cell>
        </row>
        <row r="291">
          <cell r="B291" t="str">
            <v>Sultanova Samirə Balaqadaş</v>
          </cell>
          <cell r="C291" t="str">
            <v>İnzibati idarəetmə departamenti</v>
          </cell>
          <cell r="D291" t="str">
            <v>Təmir və Xidmət Şöbəsi</v>
          </cell>
          <cell r="E291" t="str">
            <v>#</v>
          </cell>
          <cell r="F291" t="str">
            <v>Xidmətçi</v>
          </cell>
          <cell r="G291" t="str">
            <v>A</v>
          </cell>
          <cell r="H291">
            <v>45301</v>
          </cell>
        </row>
        <row r="292">
          <cell r="B292" t="str">
            <v>Məmmədli Samir Vaqif</v>
          </cell>
          <cell r="C292" t="str">
            <v>İnzibati idarəetmə departamenti</v>
          </cell>
          <cell r="D292" t="str">
            <v>Nəqliyyat şöbəsi</v>
          </cell>
          <cell r="E292" t="str">
            <v>#</v>
          </cell>
          <cell r="F292" t="str">
            <v>Şöbə müdiri</v>
          </cell>
          <cell r="G292" t="str">
            <v>A</v>
          </cell>
          <cell r="H292">
            <v>41477</v>
          </cell>
        </row>
        <row r="293">
          <cell r="B293" t="str">
            <v>Əliyev Azad Nəriman</v>
          </cell>
          <cell r="C293" t="str">
            <v>İnzibati idarəetmə departamenti</v>
          </cell>
          <cell r="D293" t="str">
            <v>Nəqliyyat şöbəsi</v>
          </cell>
          <cell r="E293" t="str">
            <v>#</v>
          </cell>
          <cell r="F293" t="str">
            <v>Baş mütəxəssis</v>
          </cell>
          <cell r="G293" t="str">
            <v>A</v>
          </cell>
          <cell r="H293">
            <v>41962</v>
          </cell>
        </row>
        <row r="294">
          <cell r="B294" t="str">
            <v>Muradov Asif Arif</v>
          </cell>
          <cell r="C294" t="str">
            <v>İnzibati idarəetmə departamenti</v>
          </cell>
          <cell r="D294" t="str">
            <v>Nəqliyyat şöbəsi</v>
          </cell>
          <cell r="E294" t="str">
            <v>#</v>
          </cell>
          <cell r="F294" t="str">
            <v>Sürücü</v>
          </cell>
          <cell r="G294" t="str">
            <v>A</v>
          </cell>
          <cell r="H294">
            <v>42402</v>
          </cell>
        </row>
        <row r="295">
          <cell r="B295" t="str">
            <v>Frolov Denis Aleksandroviç</v>
          </cell>
          <cell r="C295" t="str">
            <v>İnzibati idarəetmə departamenti</v>
          </cell>
          <cell r="D295" t="str">
            <v>Nəqliyyat şöbəsi</v>
          </cell>
          <cell r="E295" t="str">
            <v>#</v>
          </cell>
          <cell r="F295" t="str">
            <v>Sürücü</v>
          </cell>
          <cell r="G295" t="str">
            <v>A</v>
          </cell>
          <cell r="H295">
            <v>42402</v>
          </cell>
        </row>
        <row r="296">
          <cell r="B296" t="str">
            <v>Səfərov Azad Rasim</v>
          </cell>
          <cell r="C296" t="str">
            <v>İnzibati idarəetmə departamenti</v>
          </cell>
          <cell r="D296" t="str">
            <v>Nəqliyyat şöbəsi</v>
          </cell>
          <cell r="E296" t="str">
            <v>#</v>
          </cell>
          <cell r="F296" t="str">
            <v>Sürücü</v>
          </cell>
          <cell r="G296" t="str">
            <v>A</v>
          </cell>
          <cell r="H296">
            <v>46063</v>
          </cell>
        </row>
        <row r="297">
          <cell r="B297" t="str">
            <v>Zeynalov Bəxtiyar Fuad</v>
          </cell>
          <cell r="C297" t="str">
            <v>İnzibati idarəetmə departamenti</v>
          </cell>
          <cell r="D297" t="str">
            <v>Nəqliyyat şöbəsi</v>
          </cell>
          <cell r="E297" t="str">
            <v>#</v>
          </cell>
          <cell r="F297" t="str">
            <v>Sürücü</v>
          </cell>
          <cell r="G297" t="str">
            <v>A</v>
          </cell>
          <cell r="H297">
            <v>46260</v>
          </cell>
        </row>
        <row r="298">
          <cell r="B298" t="str">
            <v>Əhmədov İlqar Əli</v>
          </cell>
          <cell r="C298" t="str">
            <v>İnzibati idarəetmə departamenti</v>
          </cell>
          <cell r="D298" t="str">
            <v>Nəqliyyat şöbəsi</v>
          </cell>
          <cell r="E298" t="str">
            <v>#</v>
          </cell>
          <cell r="F298" t="str">
            <v>Sürücü</v>
          </cell>
          <cell r="G298" t="str">
            <v>A</v>
          </cell>
          <cell r="H298">
            <v>46113</v>
          </cell>
        </row>
        <row r="299">
          <cell r="B299" t="str">
            <v>Nəzərov Fizuli Raqib</v>
          </cell>
          <cell r="C299" t="str">
            <v>İnzibati idarəetmə departamenti</v>
          </cell>
          <cell r="D299" t="str">
            <v>Nəqliyyat şöbəsi</v>
          </cell>
          <cell r="E299" t="str">
            <v>#</v>
          </cell>
          <cell r="F299" t="str">
            <v>Sürücü</v>
          </cell>
          <cell r="G299" t="str">
            <v>A</v>
          </cell>
          <cell r="H299">
            <v>46114</v>
          </cell>
        </row>
        <row r="300">
          <cell r="B300" t="str">
            <v>Qasımzadə Tural Rafiq</v>
          </cell>
          <cell r="C300" t="str">
            <v>İnzibati idarəetmə departamenti</v>
          </cell>
          <cell r="D300" t="str">
            <v>Nəqliyyat şöbəsi</v>
          </cell>
          <cell r="E300" t="str">
            <v>#</v>
          </cell>
          <cell r="F300" t="str">
            <v>Sürücü</v>
          </cell>
          <cell r="G300" t="str">
            <v>A</v>
          </cell>
          <cell r="H300">
            <v>46114</v>
          </cell>
        </row>
        <row r="301">
          <cell r="B301" t="str">
            <v>Cəlalov Namiq Maarif</v>
          </cell>
          <cell r="C301" t="str">
            <v>İnzibati idarəetmə departamenti</v>
          </cell>
          <cell r="D301" t="str">
            <v>Nəqliyyat şöbəsi</v>
          </cell>
          <cell r="E301" t="str">
            <v>#</v>
          </cell>
          <cell r="F301" t="str">
            <v>Sürücü</v>
          </cell>
          <cell r="G301" t="str">
            <v>A</v>
          </cell>
          <cell r="H301">
            <v>46143</v>
          </cell>
        </row>
        <row r="302">
          <cell r="B302" t="str">
            <v>Cahangirov Yalçın İdris</v>
          </cell>
          <cell r="C302" t="str">
            <v>İnzibati idarəetmə departamenti</v>
          </cell>
          <cell r="D302" t="str">
            <v>Nəqliyyat şöbəsi</v>
          </cell>
          <cell r="E302" t="str">
            <v>#</v>
          </cell>
          <cell r="F302" t="str">
            <v>Sürücü</v>
          </cell>
          <cell r="G302" t="str">
            <v>A</v>
          </cell>
          <cell r="H302">
            <v>43959</v>
          </cell>
        </row>
        <row r="303">
          <cell r="B303" t="str">
            <v>Kazımov Kamal Arif</v>
          </cell>
          <cell r="C303" t="str">
            <v>İnzibati idarəetmə departamenti</v>
          </cell>
          <cell r="D303" t="str">
            <v>Nəqliyyat şöbəsi</v>
          </cell>
          <cell r="E303" t="str">
            <v>#</v>
          </cell>
          <cell r="F303" t="str">
            <v>Sürücü</v>
          </cell>
          <cell r="G303" t="str">
            <v>A</v>
          </cell>
          <cell r="H303">
            <v>40058</v>
          </cell>
        </row>
        <row r="304">
          <cell r="B304" t="str">
            <v>Məmmədov Nazim Əlif</v>
          </cell>
          <cell r="C304" t="str">
            <v>İnzibati idarəetmə departamenti</v>
          </cell>
          <cell r="D304" t="str">
            <v>Nəqliyyat şöbəsi</v>
          </cell>
          <cell r="E304" t="str">
            <v>#</v>
          </cell>
          <cell r="F304" t="str">
            <v>Sürücü</v>
          </cell>
          <cell r="G304" t="str">
            <v>A</v>
          </cell>
          <cell r="H304">
            <v>41640</v>
          </cell>
        </row>
        <row r="305">
          <cell r="B305" t="str">
            <v>Əfəndiyev Müşfiq Rauf</v>
          </cell>
          <cell r="C305" t="str">
            <v>İnzibati idarəetmə departamenti</v>
          </cell>
          <cell r="D305" t="str">
            <v>Nəqliyyat şöbəsi</v>
          </cell>
          <cell r="E305" t="str">
            <v>#</v>
          </cell>
          <cell r="F305" t="str">
            <v>Sürücü</v>
          </cell>
          <cell r="G305" t="str">
            <v>A</v>
          </cell>
          <cell r="H305">
            <v>41746</v>
          </cell>
        </row>
        <row r="306">
          <cell r="B306" t="str">
            <v>İmanov Ruslan Sevdiyar</v>
          </cell>
          <cell r="C306" t="str">
            <v>İnzibati idarəetmə departamenti</v>
          </cell>
          <cell r="D306" t="str">
            <v>Nəqliyyat şöbəsi</v>
          </cell>
          <cell r="E306" t="str">
            <v>#</v>
          </cell>
          <cell r="F306" t="str">
            <v>Sürücü</v>
          </cell>
          <cell r="G306" t="str">
            <v>A</v>
          </cell>
          <cell r="H306">
            <v>42415</v>
          </cell>
        </row>
        <row r="307">
          <cell r="B307" t="str">
            <v>Alışov Tahir Mamed</v>
          </cell>
          <cell r="C307" t="str">
            <v>İnzibati idarəetmə departamenti</v>
          </cell>
          <cell r="D307" t="str">
            <v>Nəqliyyat şöbəsi</v>
          </cell>
          <cell r="E307" t="str">
            <v>#</v>
          </cell>
          <cell r="F307" t="str">
            <v>Sürücü</v>
          </cell>
          <cell r="G307" t="str">
            <v>A</v>
          </cell>
          <cell r="H307">
            <v>45912</v>
          </cell>
        </row>
        <row r="308">
          <cell r="B308" t="str">
            <v>Babayev Cabir Müqabil</v>
          </cell>
          <cell r="C308" t="str">
            <v>İnzibati idarəetmə departamenti</v>
          </cell>
          <cell r="D308" t="str">
            <v>Nəqliyyat şöbəsi</v>
          </cell>
          <cell r="E308" t="str">
            <v>#</v>
          </cell>
          <cell r="F308" t="str">
            <v>Sürücü</v>
          </cell>
          <cell r="G308" t="str">
            <v>A</v>
          </cell>
          <cell r="H308">
            <v>38568</v>
          </cell>
        </row>
        <row r="309">
          <cell r="B309" t="str">
            <v>Alai Elçin Məmməd</v>
          </cell>
          <cell r="C309" t="str">
            <v>İnzibati idarəetmə departamenti</v>
          </cell>
          <cell r="D309" t="str">
            <v>Nəqliyyat şöbəsi</v>
          </cell>
          <cell r="E309" t="str">
            <v>#</v>
          </cell>
          <cell r="F309" t="str">
            <v>Sürücü</v>
          </cell>
          <cell r="G309" t="str">
            <v>A</v>
          </cell>
          <cell r="H309">
            <v>42439</v>
          </cell>
        </row>
        <row r="310">
          <cell r="B310" t="str">
            <v>Allahverdiyev Faiq Osman</v>
          </cell>
          <cell r="C310" t="str">
            <v>İnzibati idarəetmə departamenti</v>
          </cell>
          <cell r="D310" t="str">
            <v>Nəqliyyat şöbəsi</v>
          </cell>
          <cell r="E310" t="str">
            <v>#</v>
          </cell>
          <cell r="F310" t="str">
            <v>Sürücü</v>
          </cell>
          <cell r="G310" t="str">
            <v>A</v>
          </cell>
          <cell r="H310">
            <v>42783</v>
          </cell>
        </row>
        <row r="311">
          <cell r="B311" t="str">
            <v>Kərimov Fazil Yusif</v>
          </cell>
          <cell r="C311" t="str">
            <v>İnzibati idarəetmə departamenti</v>
          </cell>
          <cell r="D311" t="str">
            <v>Nəqliyyat şöbəsi</v>
          </cell>
          <cell r="E311" t="str">
            <v>#</v>
          </cell>
          <cell r="F311" t="str">
            <v>Sürücü</v>
          </cell>
          <cell r="G311" t="str">
            <v>A</v>
          </cell>
          <cell r="H311">
            <v>43455</v>
          </cell>
        </row>
        <row r="312">
          <cell r="B312" t="str">
            <v>Məsiyev Habil İsgəndər</v>
          </cell>
          <cell r="C312" t="str">
            <v>İnzibati idarəetmə departamenti</v>
          </cell>
          <cell r="D312" t="str">
            <v>Nəqliyyat şöbəsi</v>
          </cell>
          <cell r="E312" t="str">
            <v>#</v>
          </cell>
          <cell r="F312" t="str">
            <v>Sürücü</v>
          </cell>
          <cell r="G312" t="str">
            <v>A</v>
          </cell>
          <cell r="H312">
            <v>43760</v>
          </cell>
        </row>
        <row r="313">
          <cell r="B313" t="str">
            <v>Əjdərov Ramiz Ənvər</v>
          </cell>
          <cell r="C313" t="str">
            <v>İnzibati idarəetmə departamenti</v>
          </cell>
          <cell r="D313" t="str">
            <v>Nəqliyyat şöbəsi</v>
          </cell>
          <cell r="E313" t="str">
            <v>#</v>
          </cell>
          <cell r="F313" t="str">
            <v>Sürücü</v>
          </cell>
          <cell r="G313" t="str">
            <v>A</v>
          </cell>
          <cell r="H313">
            <v>44431</v>
          </cell>
        </row>
        <row r="314">
          <cell r="B314" t="str">
            <v>Qayıbov Azər Faiq</v>
          </cell>
          <cell r="C314" t="str">
            <v>İnzibati idarəetmə departamenti</v>
          </cell>
          <cell r="D314" t="str">
            <v>Nəqliyyat şöbəsi</v>
          </cell>
          <cell r="E314" t="str">
            <v>#</v>
          </cell>
          <cell r="F314" t="str">
            <v>Sürücü</v>
          </cell>
          <cell r="G314" t="str">
            <v>A</v>
          </cell>
          <cell r="H314">
            <v>44670</v>
          </cell>
        </row>
        <row r="315">
          <cell r="B315" t="str">
            <v>Həsənov Firuz Fərrux</v>
          </cell>
          <cell r="C315" t="str">
            <v>İnzibati idarəetmə departamenti</v>
          </cell>
          <cell r="D315" t="str">
            <v>Nəqliyyat şöbəsi</v>
          </cell>
          <cell r="E315" t="str">
            <v>#</v>
          </cell>
          <cell r="F315" t="str">
            <v>Sürücü</v>
          </cell>
          <cell r="G315" t="str">
            <v>A</v>
          </cell>
          <cell r="H315">
            <v>44980</v>
          </cell>
        </row>
        <row r="316">
          <cell r="B316" t="str">
            <v>Fətullayev Xalid Cəfər</v>
          </cell>
          <cell r="C316" t="str">
            <v>İnzibati idarəetmə departamenti</v>
          </cell>
          <cell r="D316" t="str">
            <v>Nəqliyyat şöbəsi</v>
          </cell>
          <cell r="E316" t="str">
            <v>#</v>
          </cell>
          <cell r="F316" t="str">
            <v>Sürücü</v>
          </cell>
          <cell r="G316" t="str">
            <v>A</v>
          </cell>
          <cell r="H316">
            <v>44986</v>
          </cell>
        </row>
        <row r="317">
          <cell r="B317" t="str">
            <v>Zahidov Ramin Divanxan</v>
          </cell>
          <cell r="C317" t="str">
            <v>İnzibati idarəetmə departamenti</v>
          </cell>
          <cell r="D317" t="str">
            <v>Nəqliyyat şöbəsi</v>
          </cell>
          <cell r="E317" t="str">
            <v>#</v>
          </cell>
          <cell r="F317" t="str">
            <v>Sürücü</v>
          </cell>
          <cell r="G317" t="str">
            <v>A</v>
          </cell>
          <cell r="H317">
            <v>45019</v>
          </cell>
        </row>
        <row r="318">
          <cell r="B318" t="str">
            <v>Babayev Rafiq Baba</v>
          </cell>
          <cell r="C318" t="str">
            <v>İnzibati idarəetmə departamenti</v>
          </cell>
          <cell r="D318" t="str">
            <v>Nəqliyyat şöbəsi</v>
          </cell>
          <cell r="E318" t="str">
            <v>#</v>
          </cell>
          <cell r="F318" t="str">
            <v>Sürücü</v>
          </cell>
          <cell r="G318" t="str">
            <v>A</v>
          </cell>
          <cell r="H318">
            <v>45183</v>
          </cell>
        </row>
        <row r="319">
          <cell r="B319" t="str">
            <v>Əzizov Namiq Arif</v>
          </cell>
          <cell r="C319" t="str">
            <v>İnzibati idarəetmə departamenti</v>
          </cell>
          <cell r="D319" t="str">
            <v>Nəqliyyat şöbəsi</v>
          </cell>
          <cell r="E319" t="str">
            <v>#</v>
          </cell>
          <cell r="F319" t="str">
            <v>Sürücü</v>
          </cell>
          <cell r="G319" t="str">
            <v>A</v>
          </cell>
          <cell r="H319">
            <v>45184</v>
          </cell>
        </row>
        <row r="320">
          <cell r="B320" t="str">
            <v>Quliyev İlqar Soltan</v>
          </cell>
          <cell r="C320" t="str">
            <v>İnzibati idarəetmə departamenti</v>
          </cell>
          <cell r="D320" t="str">
            <v>Nəqliyyat şöbəsi</v>
          </cell>
          <cell r="E320" t="str">
            <v>#</v>
          </cell>
          <cell r="F320" t="str">
            <v>Sürücü</v>
          </cell>
          <cell r="G320" t="str">
            <v>A</v>
          </cell>
          <cell r="H320">
            <v>45272</v>
          </cell>
        </row>
        <row r="321">
          <cell r="B321" t="str">
            <v>Əliyev Cavad Natiq</v>
          </cell>
          <cell r="C321" t="str">
            <v>İnzibati idarəetmə departamenti</v>
          </cell>
          <cell r="D321" t="str">
            <v>Nəqliyyat şöbəsi</v>
          </cell>
          <cell r="E321" t="str">
            <v>#</v>
          </cell>
          <cell r="F321" t="str">
            <v>Sürücü</v>
          </cell>
          <cell r="G321" t="str">
            <v>A</v>
          </cell>
          <cell r="H321">
            <v>45275</v>
          </cell>
        </row>
        <row r="322">
          <cell r="B322" t="str">
            <v>Budaqov Elxan Spartak</v>
          </cell>
          <cell r="C322" t="str">
            <v>İnzibati idarəetmə departamenti</v>
          </cell>
          <cell r="D322" t="str">
            <v>Nəqliyyat şöbəsi</v>
          </cell>
          <cell r="E322" t="str">
            <v>#</v>
          </cell>
          <cell r="F322" t="str">
            <v>Sürücü</v>
          </cell>
          <cell r="G322" t="str">
            <v>A</v>
          </cell>
          <cell r="H322">
            <v>45358</v>
          </cell>
        </row>
        <row r="323">
          <cell r="B323" t="str">
            <v>Ayvazov Zaur Elmar</v>
          </cell>
          <cell r="C323" t="str">
            <v>İnzibati idarəetmə departamenti</v>
          </cell>
          <cell r="D323" t="str">
            <v>Nəqliyyat şöbəsi</v>
          </cell>
          <cell r="E323" t="str">
            <v>#</v>
          </cell>
          <cell r="F323" t="str">
            <v>Sürücü</v>
          </cell>
          <cell r="G323" t="str">
            <v>A</v>
          </cell>
          <cell r="H323">
            <v>45554</v>
          </cell>
        </row>
        <row r="324">
          <cell r="B324" t="str">
            <v>Əhmədov Anar Məmiş</v>
          </cell>
          <cell r="C324" t="str">
            <v>İnzibati idarəetmə departamenti</v>
          </cell>
          <cell r="D324" t="str">
            <v>Nəqliyyat şöbəsi</v>
          </cell>
          <cell r="E324" t="str">
            <v>#</v>
          </cell>
          <cell r="F324" t="str">
            <v>Sürücü</v>
          </cell>
          <cell r="G324" t="str">
            <v>A</v>
          </cell>
          <cell r="H324">
            <v>45819</v>
          </cell>
        </row>
        <row r="325">
          <cell r="B325" t="str">
            <v>Vahabov İlqar Məməti</v>
          </cell>
          <cell r="C325" t="str">
            <v>İnzibati idarəetmə departamenti</v>
          </cell>
          <cell r="D325" t="str">
            <v>Nəqliyyat şöbəsi</v>
          </cell>
          <cell r="E325" t="str">
            <v>#</v>
          </cell>
          <cell r="F325" t="str">
            <v>Sürücü</v>
          </cell>
          <cell r="G325" t="str">
            <v>A</v>
          </cell>
          <cell r="H325">
            <v>45820</v>
          </cell>
        </row>
        <row r="326">
          <cell r="B326" t="str">
            <v>Əliyev Kəvakib Qarçıqay</v>
          </cell>
          <cell r="C326" t="str">
            <v>İnzibati idarəetmə departamenti</v>
          </cell>
          <cell r="D326" t="str">
            <v>Nəqliyyat şöbəsi</v>
          </cell>
          <cell r="E326" t="str">
            <v>#</v>
          </cell>
          <cell r="F326" t="str">
            <v>Sürücü</v>
          </cell>
          <cell r="G326" t="str">
            <v>A</v>
          </cell>
          <cell r="H326">
            <v>46027</v>
          </cell>
        </row>
        <row r="327">
          <cell r="B327" t="str">
            <v>Novruzov Hakim Arif</v>
          </cell>
          <cell r="C327" t="str">
            <v>İnzibati idarəetmə departamenti</v>
          </cell>
          <cell r="D327" t="str">
            <v>Nəqliyyat şöbəsi</v>
          </cell>
          <cell r="E327" t="str">
            <v>#</v>
          </cell>
          <cell r="F327" t="str">
            <v>Sürücü (Naxçıvan üzrə)</v>
          </cell>
          <cell r="G327" t="str">
            <v>A</v>
          </cell>
          <cell r="H327">
            <v>44601</v>
          </cell>
        </row>
        <row r="328">
          <cell r="B328" t="str">
            <v>Rzayev Rza Əli</v>
          </cell>
          <cell r="C328" t="str">
            <v>İnzibati idarəetmə departamenti</v>
          </cell>
          <cell r="D328" t="str">
            <v>Satınalma və Təchizat Şöbəsi</v>
          </cell>
          <cell r="E328" t="str">
            <v>#</v>
          </cell>
          <cell r="F328" t="str">
            <v>Şöbə müdiri</v>
          </cell>
          <cell r="G328" t="str">
            <v>A</v>
          </cell>
          <cell r="H328">
            <v>43192</v>
          </cell>
        </row>
        <row r="329">
          <cell r="B329" t="str">
            <v>Axundova Aygün Şahin</v>
          </cell>
          <cell r="C329" t="str">
            <v>İnzibati idarəetmə departamenti</v>
          </cell>
          <cell r="D329" t="str">
            <v>Satınalma və Təchizat Şöbəsi</v>
          </cell>
          <cell r="E329" t="str">
            <v>#</v>
          </cell>
          <cell r="F329" t="str">
            <v>Menecer</v>
          </cell>
          <cell r="G329" t="str">
            <v>A</v>
          </cell>
          <cell r="H329">
            <v>41765</v>
          </cell>
        </row>
        <row r="330">
          <cell r="B330" t="str">
            <v>Mirsiyabova Kubra Namiq</v>
          </cell>
          <cell r="C330" t="str">
            <v>İnzibati idarəetmə departamenti</v>
          </cell>
          <cell r="D330" t="str">
            <v>Satınalma və Təchizat Şöbəsi</v>
          </cell>
          <cell r="E330" t="str">
            <v>#</v>
          </cell>
          <cell r="F330" t="str">
            <v>Baş mütəxəssis</v>
          </cell>
          <cell r="G330" t="str">
            <v>A</v>
          </cell>
          <cell r="H330">
            <v>43482</v>
          </cell>
        </row>
        <row r="331">
          <cell r="B331" t="str">
            <v>Ayvazov Əli Tofiq</v>
          </cell>
          <cell r="C331" t="str">
            <v>İnzibati idarəetmə departamenti</v>
          </cell>
          <cell r="D331" t="str">
            <v>Satınalma və Təchizat Şöbəsi</v>
          </cell>
          <cell r="E331" t="str">
            <v>#</v>
          </cell>
          <cell r="F331" t="str">
            <v>Menecer</v>
          </cell>
          <cell r="G331" t="str">
            <v>A</v>
          </cell>
          <cell r="H331">
            <v>46072</v>
          </cell>
          <cell r="I331" t="str">
            <v>Bir Payment</v>
          </cell>
        </row>
        <row r="332">
          <cell r="B332" t="str">
            <v>Əliyeva Aynur Natiq</v>
          </cell>
          <cell r="C332" t="str">
            <v>İnzibati idarəetmə departamenti</v>
          </cell>
          <cell r="D332" t="str">
            <v>Satınalma və Təchizat Şöbəsi</v>
          </cell>
          <cell r="E332" t="str">
            <v>#</v>
          </cell>
          <cell r="F332" t="str">
            <v>Baş mütəxəssis</v>
          </cell>
          <cell r="G332" t="str">
            <v>A</v>
          </cell>
          <cell r="H332">
            <v>43752</v>
          </cell>
        </row>
        <row r="333">
          <cell r="B333" t="str">
            <v>Qacarova Əfsanə Hümbət</v>
          </cell>
          <cell r="C333" t="str">
            <v>İnzibati idarəetmə departamenti</v>
          </cell>
          <cell r="D333" t="str">
            <v>Satınalma və Təchizat Şöbəsi</v>
          </cell>
          <cell r="E333" t="str">
            <v>#</v>
          </cell>
          <cell r="F333" t="str">
            <v>Aparıcı mütəxəssis</v>
          </cell>
          <cell r="G333" t="str">
            <v>A</v>
          </cell>
          <cell r="H333">
            <v>43930</v>
          </cell>
        </row>
        <row r="334">
          <cell r="B334" t="str">
            <v>Mustafayev Ruslan Yavər</v>
          </cell>
          <cell r="C334" t="str">
            <v>İnzibati idarəetmə departamenti</v>
          </cell>
          <cell r="D334" t="str">
            <v>Satınalma və Təchizat Şöbəsi</v>
          </cell>
          <cell r="E334" t="str">
            <v>#</v>
          </cell>
          <cell r="F334" t="str">
            <v>Kiçik mütəxəssis (müvəqqəti)</v>
          </cell>
          <cell r="G334" t="str">
            <v>A</v>
          </cell>
          <cell r="H334">
            <v>45792</v>
          </cell>
        </row>
        <row r="335">
          <cell r="B335" t="str">
            <v>İdayətova Səbinə İlham</v>
          </cell>
          <cell r="C335" t="str">
            <v>İnzibati idarəetmə departamenti</v>
          </cell>
          <cell r="D335" t="str">
            <v>İnzibati Əməliyyatlar Şöbəsi</v>
          </cell>
          <cell r="E335" t="str">
            <v>#</v>
          </cell>
          <cell r="F335" t="str">
            <v>Aparıcı mütəxəssis</v>
          </cell>
          <cell r="G335" t="str">
            <v>A</v>
          </cell>
          <cell r="H335">
            <v>44763</v>
          </cell>
        </row>
        <row r="336">
          <cell r="B336" t="str">
            <v>Hudulova Lamiyə Kamalddin</v>
          </cell>
          <cell r="C336" t="str">
            <v>İnzibati idarəetmə departamenti</v>
          </cell>
          <cell r="D336" t="str">
            <v>Satınalma və Təchizat Şöbəsi</v>
          </cell>
          <cell r="E336" t="str">
            <v>#</v>
          </cell>
          <cell r="F336" t="str">
            <v>Aparıcı mütəxəssis</v>
          </cell>
          <cell r="G336" t="str">
            <v>A</v>
          </cell>
          <cell r="H336">
            <v>45873</v>
          </cell>
        </row>
        <row r="337">
          <cell r="B337" t="str">
            <v>Hacıyeva Gülnarə Maarif</v>
          </cell>
          <cell r="C337" t="str">
            <v>İnzibati idarəetmə departamenti</v>
          </cell>
          <cell r="D337" t="str">
            <v>Satınalma və Təchizat Şöbəsi</v>
          </cell>
          <cell r="E337" t="str">
            <v>#</v>
          </cell>
          <cell r="F337" t="str">
            <v>Aparıcı mütəxəssis</v>
          </cell>
          <cell r="G337" t="str">
            <v>A</v>
          </cell>
          <cell r="H337">
            <v>45880</v>
          </cell>
        </row>
        <row r="338">
          <cell r="B338" t="str">
            <v>Zeynalova Firəngiz Anar</v>
          </cell>
          <cell r="C338" t="str">
            <v>İnzibati idarəetmə departamenti</v>
          </cell>
          <cell r="D338" t="str">
            <v>Satınalma və Təchizat Şöbəsi</v>
          </cell>
          <cell r="E338" t="str">
            <v>#</v>
          </cell>
          <cell r="F338" t="str">
            <v>Aparıcı mütəxəssis</v>
          </cell>
          <cell r="G338" t="str">
            <v>HX</v>
          </cell>
          <cell r="H338">
            <v>45147</v>
          </cell>
        </row>
        <row r="339">
          <cell r="B339" t="str">
            <v>Bədirxanova Səbinə İsmiyat</v>
          </cell>
          <cell r="C339" t="str">
            <v>İnzibati idarəetmə departamenti</v>
          </cell>
          <cell r="D339" t="str">
            <v>Satınalma və Təchizat Şöbəsi</v>
          </cell>
          <cell r="E339" t="str">
            <v>#</v>
          </cell>
          <cell r="F339" t="str">
            <v>Aparıcı mütəxəssis</v>
          </cell>
          <cell r="G339" t="str">
            <v>A</v>
          </cell>
          <cell r="H339">
            <v>42858</v>
          </cell>
        </row>
        <row r="340">
          <cell r="B340" t="str">
            <v>Quliyev Tural Alay</v>
          </cell>
          <cell r="C340" t="str">
            <v>İnzibati idarəetmə departamenti</v>
          </cell>
          <cell r="D340" t="str">
            <v>Satınalma və Təchizat Şöbəsi</v>
          </cell>
          <cell r="E340" t="str">
            <v>#</v>
          </cell>
          <cell r="F340" t="str">
            <v>Aparıcı mütəxəssis</v>
          </cell>
          <cell r="G340" t="str">
            <v>A</v>
          </cell>
          <cell r="H340">
            <v>45993</v>
          </cell>
        </row>
        <row r="341">
          <cell r="B341" t="str">
            <v>Ağcabəyova Qiyafət Zaur</v>
          </cell>
          <cell r="C341" t="str">
            <v>İnzibati idarəetmə departamenti</v>
          </cell>
          <cell r="D341" t="str">
            <v>Satınalma və Təchizat Şöbəsi</v>
          </cell>
          <cell r="E341" t="str">
            <v>#</v>
          </cell>
          <cell r="F341" t="str">
            <v>Aparıcı mütəxəssis</v>
          </cell>
          <cell r="G341" t="str">
            <v>A</v>
          </cell>
          <cell r="H341">
            <v>46072</v>
          </cell>
          <cell r="I341" t="str">
            <v>Bir Payment</v>
          </cell>
        </row>
        <row r="342">
          <cell r="B342" t="str">
            <v>Təvəkkülova Nəzakət Nizami</v>
          </cell>
          <cell r="C342" t="str">
            <v>İnzibati idarəetmə departamenti</v>
          </cell>
          <cell r="D342" t="str">
            <v>Satınalma və Təchizat Şöbəsi</v>
          </cell>
          <cell r="E342" t="str">
            <v>#</v>
          </cell>
          <cell r="F342" t="str">
            <v>Aparıcı mütəxəssis</v>
          </cell>
          <cell r="G342" t="str">
            <v>A</v>
          </cell>
          <cell r="H342">
            <v>46092</v>
          </cell>
          <cell r="I342" t="str">
            <v>BirMarket</v>
          </cell>
        </row>
        <row r="343">
          <cell r="B343" t="str">
            <v>Nağızadə Xəyalə Vilayət</v>
          </cell>
          <cell r="C343" t="str">
            <v>İnzibati idarəetmə departamenti</v>
          </cell>
          <cell r="D343" t="str">
            <v>Satınalma və Təchizat Şöbəsi</v>
          </cell>
          <cell r="E343" t="str">
            <v>#</v>
          </cell>
          <cell r="F343" t="str">
            <v>Aparıcı Mütəxəssis</v>
          </cell>
          <cell r="G343" t="str">
            <v>A</v>
          </cell>
          <cell r="H343">
            <v>45187</v>
          </cell>
        </row>
        <row r="344">
          <cell r="B344" t="str">
            <v>Rəşidov Murad Mir Yaşar</v>
          </cell>
          <cell r="C344" t="str">
            <v>İnzibati idarəetmə departamenti</v>
          </cell>
          <cell r="D344" t="str">
            <v>Satınalma və Təchizat Şöbəsi</v>
          </cell>
          <cell r="E344" t="str">
            <v>#</v>
          </cell>
          <cell r="F344" t="str">
            <v>Aparıcı Mütəxəssis</v>
          </cell>
          <cell r="G344" t="str">
            <v>A</v>
          </cell>
          <cell r="H344">
            <v>45665</v>
          </cell>
        </row>
        <row r="345">
          <cell r="B345" t="str">
            <v>Qaharmanova Zeynəb Əlişir</v>
          </cell>
          <cell r="C345" t="str">
            <v>İnzibati idarəetmə departamenti</v>
          </cell>
          <cell r="D345" t="str">
            <v>Satınalma və Təchizat Şöbəsi</v>
          </cell>
          <cell r="E345" t="str">
            <v>#</v>
          </cell>
          <cell r="F345" t="str">
            <v>Aparıcı Mütəxəssis</v>
          </cell>
          <cell r="G345" t="str">
            <v>HX</v>
          </cell>
          <cell r="H345">
            <v>45545</v>
          </cell>
        </row>
        <row r="346">
          <cell r="B346" t="str">
            <v>Xammədli Aydan Kamran</v>
          </cell>
          <cell r="C346" t="str">
            <v>İnzibati idarəetmə departamenti</v>
          </cell>
          <cell r="D346" t="str">
            <v>Satınalma və Təchizat Şöbəsi</v>
          </cell>
          <cell r="E346" t="str">
            <v>#</v>
          </cell>
          <cell r="F346" t="str">
            <v>Kiçik mütəxəssis (müvəqqəti)</v>
          </cell>
          <cell r="G346" t="str">
            <v>A</v>
          </cell>
          <cell r="H346">
            <v>46227</v>
          </cell>
        </row>
        <row r="347">
          <cell r="B347" t="str">
            <v>Abbasov Şamxal Asif</v>
          </cell>
          <cell r="C347" t="str">
            <v>İnzibati idarəetmə departamenti</v>
          </cell>
          <cell r="D347" t="str">
            <v>Satınalma və Təchizat Şöbəsi</v>
          </cell>
          <cell r="E347" t="str">
            <v>#</v>
          </cell>
          <cell r="F347" t="str">
            <v>Mütəxəssis</v>
          </cell>
          <cell r="G347" t="str">
            <v>A</v>
          </cell>
          <cell r="H347">
            <v>45975</v>
          </cell>
        </row>
        <row r="348">
          <cell r="B348" t="str">
            <v>Əlvani Aydan Əlirza</v>
          </cell>
          <cell r="C348" t="str">
            <v>İnzibati idarəetmə departamenti</v>
          </cell>
          <cell r="D348" t="str">
            <v>Satınalma və Təchizat Şöbəsi</v>
          </cell>
          <cell r="E348" t="str">
            <v>#</v>
          </cell>
          <cell r="F348" t="str">
            <v>Mütəxəssis</v>
          </cell>
          <cell r="G348" t="str">
            <v>A</v>
          </cell>
          <cell r="H348">
            <v>46217</v>
          </cell>
        </row>
        <row r="349">
          <cell r="B349" t="str">
            <v>Əhmədova Zərinə Mirmayis</v>
          </cell>
          <cell r="C349" t="str">
            <v>İnzibati idarəetmə departamenti</v>
          </cell>
          <cell r="D349" t="str">
            <v>Satınalma və Təchizat Şöbəsi</v>
          </cell>
          <cell r="E349" t="str">
            <v>#</v>
          </cell>
          <cell r="F349" t="str">
            <v>Mütəxəssis</v>
          </cell>
          <cell r="G349" t="str">
            <v>A</v>
          </cell>
          <cell r="H349">
            <v>46223</v>
          </cell>
        </row>
        <row r="350">
          <cell r="B350" t="str">
            <v>Sadıxzadə Şəmsi Elçin</v>
          </cell>
          <cell r="C350" t="str">
            <v>İnzibati idarəetmə departamenti</v>
          </cell>
          <cell r="D350" t="str">
            <v>Satınalma və Təchizat Şöbəsi</v>
          </cell>
          <cell r="E350" t="str">
            <v>#</v>
          </cell>
          <cell r="F350" t="str">
            <v>Mütəxəssis</v>
          </cell>
          <cell r="G350" t="str">
            <v>A</v>
          </cell>
          <cell r="H350">
            <v>46254</v>
          </cell>
        </row>
        <row r="351">
          <cell r="B351" t="str">
            <v>Rzayeva Fəridə Tofiq</v>
          </cell>
          <cell r="C351" t="str">
            <v>İnzibati idarəetmə departamenti</v>
          </cell>
          <cell r="D351" t="str">
            <v>Satınalma və Təchizat Şöbəsi</v>
          </cell>
          <cell r="E351" t="str">
            <v>#</v>
          </cell>
          <cell r="F351" t="str">
            <v>Kiçik mütəxəssis</v>
          </cell>
          <cell r="G351" t="str">
            <v>A</v>
          </cell>
          <cell r="H351">
            <v>46091</v>
          </cell>
          <cell r="I351" t="str">
            <v>Bir Payment</v>
          </cell>
        </row>
        <row r="352">
          <cell r="B352" t="str">
            <v>Hümbətova Vəfa Faiq</v>
          </cell>
          <cell r="C352" t="str">
            <v>İnzibati idarəetmə departamenti</v>
          </cell>
          <cell r="D352" t="str">
            <v>İnzibati Əməliyyatlar Şöbəsi</v>
          </cell>
          <cell r="E352" t="str">
            <v>#</v>
          </cell>
          <cell r="F352" t="str">
            <v>Şöbə müdiri</v>
          </cell>
          <cell r="G352" t="str">
            <v>A</v>
          </cell>
          <cell r="H352">
            <v>41596</v>
          </cell>
        </row>
        <row r="353">
          <cell r="B353" t="str">
            <v>Cəfərov İlkin Firidun</v>
          </cell>
          <cell r="C353" t="str">
            <v>İnzibati idarəetmə departamenti</v>
          </cell>
          <cell r="D353" t="str">
            <v>İnzibati Əməliyyatlar Şöbəsi</v>
          </cell>
          <cell r="E353" t="str">
            <v>#</v>
          </cell>
          <cell r="F353" t="str">
            <v>Menecer</v>
          </cell>
          <cell r="G353" t="str">
            <v>A</v>
          </cell>
          <cell r="H353">
            <v>42593</v>
          </cell>
        </row>
        <row r="354">
          <cell r="B354" t="str">
            <v>Məmmədli Cavid Şakir</v>
          </cell>
          <cell r="C354" t="str">
            <v>İnzibati idarəetmə departamenti</v>
          </cell>
          <cell r="D354" t="str">
            <v>Satınalma və Təchizat Şöbəsi</v>
          </cell>
          <cell r="E354" t="str">
            <v>#</v>
          </cell>
          <cell r="F354" t="str">
            <v>Menecer</v>
          </cell>
          <cell r="G354" t="str">
            <v>A</v>
          </cell>
          <cell r="H354">
            <v>43066</v>
          </cell>
        </row>
        <row r="355">
          <cell r="B355" t="str">
            <v>Hacıyev Bəxtiyar Rauf</v>
          </cell>
          <cell r="C355" t="str">
            <v>İnzibati idarəetmə departamenti</v>
          </cell>
          <cell r="D355" t="str">
            <v>Satınalma və Təchizat Şöbəsi</v>
          </cell>
          <cell r="E355" t="str">
            <v>#</v>
          </cell>
          <cell r="F355" t="str">
            <v>Baş mütəxəssis</v>
          </cell>
          <cell r="G355" t="str">
            <v>A</v>
          </cell>
          <cell r="H355">
            <v>43668</v>
          </cell>
        </row>
        <row r="356">
          <cell r="B356" t="str">
            <v>Qaraçobanova Aybəniz İlham</v>
          </cell>
          <cell r="C356" t="str">
            <v>İnzibati idarəetmə departamenti</v>
          </cell>
          <cell r="D356" t="str">
            <v>Satınalma və Təchizat Şöbəsi</v>
          </cell>
          <cell r="E356" t="str">
            <v>#</v>
          </cell>
          <cell r="F356" t="str">
            <v>Baş mütəxəssis</v>
          </cell>
          <cell r="G356" t="str">
            <v>A</v>
          </cell>
          <cell r="H356">
            <v>44932</v>
          </cell>
        </row>
        <row r="357">
          <cell r="B357" t="str">
            <v>Mustafayev Ramil Rauf</v>
          </cell>
          <cell r="C357" t="str">
            <v>İnzibati idarəetmə departamenti</v>
          </cell>
          <cell r="D357" t="str">
            <v>İnzibati Əməliyyatlar Şöbəsi</v>
          </cell>
          <cell r="E357" t="str">
            <v>#</v>
          </cell>
          <cell r="F357" t="str">
            <v>Baş mütəxəssis</v>
          </cell>
          <cell r="G357" t="str">
            <v>A</v>
          </cell>
          <cell r="H357">
            <v>44214</v>
          </cell>
        </row>
        <row r="358">
          <cell r="B358" t="str">
            <v>Hüseynov Sərxan Mehman</v>
          </cell>
          <cell r="C358" t="str">
            <v>İnzibati idarəetmə departamenti</v>
          </cell>
          <cell r="D358" t="str">
            <v>İnzibati Əməliyyatlar Şöbəsi</v>
          </cell>
          <cell r="E358" t="str">
            <v>#</v>
          </cell>
          <cell r="F358" t="str">
            <v>Aparıcı mütəxəssis</v>
          </cell>
          <cell r="G358" t="str">
            <v>A</v>
          </cell>
          <cell r="H358">
            <v>43192</v>
          </cell>
        </row>
        <row r="359">
          <cell r="B359" t="str">
            <v>Cahangirov Əzizxan Bəxtiyar</v>
          </cell>
          <cell r="C359" t="str">
            <v>İnzibati idarəetmə departamenti</v>
          </cell>
          <cell r="D359" t="str">
            <v>İnzibati Əməliyyatlar Şöbəsi</v>
          </cell>
          <cell r="E359" t="str">
            <v>#</v>
          </cell>
          <cell r="F359" t="str">
            <v>Aparıcı mütəxəssis</v>
          </cell>
          <cell r="G359" t="str">
            <v>A</v>
          </cell>
          <cell r="H359">
            <v>43018</v>
          </cell>
        </row>
        <row r="360">
          <cell r="B360" t="str">
            <v>Nəsibova Cəmilə Tahir</v>
          </cell>
          <cell r="C360" t="str">
            <v>İnzibati idarəetmə departamenti</v>
          </cell>
          <cell r="D360" t="str">
            <v>İnzibati Əməliyyatlar Şöbəsi</v>
          </cell>
          <cell r="E360" t="str">
            <v>#</v>
          </cell>
          <cell r="F360" t="str">
            <v>Aparıcı mütəxəssis</v>
          </cell>
          <cell r="G360" t="str">
            <v>A</v>
          </cell>
          <cell r="H360">
            <v>41487</v>
          </cell>
        </row>
        <row r="361">
          <cell r="B361" t="str">
            <v>İslamzadə Gülşən Mehman</v>
          </cell>
          <cell r="C361" t="str">
            <v>İnzibati idarəetmə departamenti</v>
          </cell>
          <cell r="D361" t="str">
            <v>Satınalma və Təchizat Şöbəsi</v>
          </cell>
          <cell r="E361" t="str">
            <v>#</v>
          </cell>
          <cell r="F361" t="str">
            <v>Aparıcı mütəxəssis</v>
          </cell>
          <cell r="G361" t="str">
            <v>SM</v>
          </cell>
          <cell r="H361">
            <v>44784</v>
          </cell>
        </row>
        <row r="362">
          <cell r="B362" t="str">
            <v>Nəsirov Məhəmməd Yadigar</v>
          </cell>
          <cell r="C362" t="str">
            <v>İnzibati idarəetmə departamenti</v>
          </cell>
          <cell r="D362" t="str">
            <v>Satınalma və Təchizat Şöbəsi</v>
          </cell>
          <cell r="E362" t="str">
            <v>#</v>
          </cell>
          <cell r="F362" t="str">
            <v>Aparıcı mütəxəssis</v>
          </cell>
          <cell r="G362" t="str">
            <v>A</v>
          </cell>
          <cell r="H362">
            <v>43990</v>
          </cell>
        </row>
        <row r="363">
          <cell r="B363" t="str">
            <v>Əlizadə Anar Natiq</v>
          </cell>
          <cell r="C363" t="str">
            <v>İnzibati idarəetmə departamenti</v>
          </cell>
          <cell r="D363" t="str">
            <v>İnzibati Əməliyyatlar Şöbəsi</v>
          </cell>
          <cell r="E363" t="str">
            <v>#</v>
          </cell>
          <cell r="F363" t="str">
            <v>Aparıcı mütəxəssis</v>
          </cell>
          <cell r="G363" t="str">
            <v>A</v>
          </cell>
          <cell r="H363">
            <v>44672</v>
          </cell>
        </row>
        <row r="364">
          <cell r="B364" t="str">
            <v>İsmayılzadə Validə Muxtar</v>
          </cell>
          <cell r="C364" t="str">
            <v>İnzibati idarəetmə departamenti</v>
          </cell>
          <cell r="D364" t="str">
            <v>İnzibati Əməliyyatlar Şöbəsi</v>
          </cell>
          <cell r="E364" t="str">
            <v>#</v>
          </cell>
          <cell r="F364" t="str">
            <v>Baş Mütəxəssis</v>
          </cell>
          <cell r="G364" t="str">
            <v>A</v>
          </cell>
          <cell r="H364">
            <v>45126</v>
          </cell>
        </row>
        <row r="365">
          <cell r="B365" t="str">
            <v>Əliyev Elvin Oqtay</v>
          </cell>
          <cell r="C365" t="str">
            <v>İnzibati idarəetmə departamenti</v>
          </cell>
          <cell r="D365" t="str">
            <v>İnzibati Əməliyyatlar Şöbəsi</v>
          </cell>
          <cell r="E365" t="str">
            <v>#</v>
          </cell>
          <cell r="F365" t="str">
            <v>Aparıcı mütəxəssis</v>
          </cell>
          <cell r="G365" t="str">
            <v>A</v>
          </cell>
          <cell r="H365">
            <v>45299</v>
          </cell>
        </row>
        <row r="366">
          <cell r="B366" t="str">
            <v>Şahveranov Yusif Yurin</v>
          </cell>
          <cell r="C366" t="str">
            <v>İnzibati idarəetmə departamenti</v>
          </cell>
          <cell r="D366" t="str">
            <v>İnzibati Əməliyyatlar Şöbəsi</v>
          </cell>
          <cell r="E366" t="str">
            <v>#</v>
          </cell>
          <cell r="F366" t="str">
            <v>Mütəxəssis</v>
          </cell>
          <cell r="G366" t="str">
            <v>A</v>
          </cell>
          <cell r="H366">
            <v>42193</v>
          </cell>
        </row>
        <row r="367">
          <cell r="B367" t="str">
            <v>Eminov Mübariz Ağaməlik</v>
          </cell>
          <cell r="C367" t="str">
            <v>İnzibati idarəetmə departamenti</v>
          </cell>
          <cell r="D367" t="str">
            <v>İnzibati Əməliyyatlar Şöbəsi</v>
          </cell>
          <cell r="E367" t="str">
            <v>#</v>
          </cell>
          <cell r="F367" t="str">
            <v>Mütəxəssis</v>
          </cell>
          <cell r="G367" t="str">
            <v>A</v>
          </cell>
          <cell r="H367">
            <v>42075</v>
          </cell>
        </row>
        <row r="368">
          <cell r="B368" t="str">
            <v>Ağayeva Fidan Rasim</v>
          </cell>
          <cell r="C368" t="str">
            <v>İnzibati idarəetmə departamenti</v>
          </cell>
          <cell r="D368" t="str">
            <v>İnzibati Əməliyyatlar Şöbəsi</v>
          </cell>
          <cell r="E368" t="str">
            <v>#</v>
          </cell>
          <cell r="F368" t="str">
            <v>Aparıcı Mütəxəssis</v>
          </cell>
          <cell r="G368" t="str">
            <v>A</v>
          </cell>
          <cell r="H368">
            <v>43168</v>
          </cell>
        </row>
        <row r="369">
          <cell r="B369" t="str">
            <v>Məmmədov Elmir Mübariz</v>
          </cell>
          <cell r="C369" t="str">
            <v>İnzibati idarəetmə departamenti</v>
          </cell>
          <cell r="D369" t="str">
            <v>İnzibati Əməliyyatlar Şöbəsi</v>
          </cell>
          <cell r="E369" t="str">
            <v>#</v>
          </cell>
          <cell r="F369" t="str">
            <v>Mütəxəssis</v>
          </cell>
          <cell r="G369" t="str">
            <v>A</v>
          </cell>
          <cell r="H369">
            <v>44547</v>
          </cell>
        </row>
        <row r="370">
          <cell r="B370" t="str">
            <v>Həbilova Elza Faiq</v>
          </cell>
          <cell r="C370" t="str">
            <v>İnzibati idarəetmə departamenti</v>
          </cell>
          <cell r="D370" t="str">
            <v>Satınalma və Təchizat Şöbəsi</v>
          </cell>
          <cell r="E370" t="str">
            <v>#</v>
          </cell>
          <cell r="F370" t="str">
            <v>Mütəxəssis</v>
          </cell>
          <cell r="G370" t="str">
            <v>A</v>
          </cell>
          <cell r="H370">
            <v>45282</v>
          </cell>
        </row>
        <row r="371">
          <cell r="B371" t="str">
            <v>Minetullayeva Zamina Minetulla</v>
          </cell>
          <cell r="C371" t="str">
            <v>İnzibati idarəetmə departamenti</v>
          </cell>
          <cell r="D371" t="str">
            <v>İnzibati Əməliyyatlar Şöbəsi</v>
          </cell>
          <cell r="E371" t="str">
            <v>#</v>
          </cell>
          <cell r="F371" t="str">
            <v>Mütəxəssis</v>
          </cell>
          <cell r="G371" t="str">
            <v>A</v>
          </cell>
          <cell r="H371">
            <v>45811</v>
          </cell>
        </row>
        <row r="372">
          <cell r="B372" t="str">
            <v>İbrahimov Rasim Qəzənfər</v>
          </cell>
          <cell r="C372" t="str">
            <v>İnzibati idarəetmə departamenti</v>
          </cell>
          <cell r="D372" t="str">
            <v>Təmir və Xidmət Şöbəsi</v>
          </cell>
          <cell r="E372" t="str">
            <v>#</v>
          </cell>
          <cell r="F372" t="str">
            <v>Şöbə müdiri</v>
          </cell>
          <cell r="G372" t="str">
            <v>A</v>
          </cell>
          <cell r="H372">
            <v>44501</v>
          </cell>
        </row>
        <row r="373">
          <cell r="B373" t="str">
            <v>Hikmət Elnur Hikmət</v>
          </cell>
          <cell r="C373" t="str">
            <v>İnzibati idarəetmə departamenti</v>
          </cell>
          <cell r="D373" t="str">
            <v>Təmir və Xidmət Şöbəsi</v>
          </cell>
          <cell r="E373" t="str">
            <v>#</v>
          </cell>
          <cell r="F373" t="str">
            <v>Menecer</v>
          </cell>
          <cell r="G373" t="str">
            <v>A</v>
          </cell>
          <cell r="H373">
            <v>41913</v>
          </cell>
        </row>
        <row r="374">
          <cell r="B374" t="str">
            <v>Qüdrətov Adil İntiqam</v>
          </cell>
          <cell r="C374" t="str">
            <v>İnzibati idarəetmə departamenti</v>
          </cell>
          <cell r="D374" t="str">
            <v>Təmir və Xidmət Şöbəsi</v>
          </cell>
          <cell r="E374" t="str">
            <v>#</v>
          </cell>
          <cell r="F374" t="str">
            <v>Baş mütəxəssis</v>
          </cell>
          <cell r="G374" t="str">
            <v>A</v>
          </cell>
          <cell r="H374">
            <v>42226</v>
          </cell>
        </row>
        <row r="375">
          <cell r="B375" t="str">
            <v>Adıgözəlov Ədalət Ədalət</v>
          </cell>
          <cell r="C375" t="str">
            <v>İnzibati idarəetmə departamenti</v>
          </cell>
          <cell r="D375" t="str">
            <v>Təmir və Xidmət Şöbəsi</v>
          </cell>
          <cell r="E375" t="str">
            <v>#</v>
          </cell>
          <cell r="F375" t="str">
            <v>Baş mütəxəssis</v>
          </cell>
          <cell r="G375" t="str">
            <v>A</v>
          </cell>
          <cell r="H375">
            <v>41625</v>
          </cell>
        </row>
        <row r="376">
          <cell r="B376" t="str">
            <v>Bayramov Aydın Ramil</v>
          </cell>
          <cell r="C376" t="str">
            <v>İnzibati idarəetmə departamenti</v>
          </cell>
          <cell r="D376" t="str">
            <v>Təmir və Xidmət Şöbəsi</v>
          </cell>
          <cell r="E376" t="str">
            <v>#</v>
          </cell>
          <cell r="F376" t="str">
            <v>Baş mütəxəssis</v>
          </cell>
          <cell r="G376" t="str">
            <v>A</v>
          </cell>
          <cell r="H376">
            <v>41487</v>
          </cell>
        </row>
        <row r="377">
          <cell r="B377" t="str">
            <v>Əsgərov Əliheydər Namdar</v>
          </cell>
          <cell r="C377" t="str">
            <v>İnzibati idarəetmə departamenti</v>
          </cell>
          <cell r="D377" t="str">
            <v>Təmir və Xidmət Şöbəsi</v>
          </cell>
          <cell r="E377" t="str">
            <v>#</v>
          </cell>
          <cell r="F377" t="str">
            <v>Mütəxəssis</v>
          </cell>
          <cell r="G377" t="str">
            <v>A</v>
          </cell>
          <cell r="H377">
            <v>45176</v>
          </cell>
        </row>
        <row r="378">
          <cell r="B378" t="str">
            <v>İbrahimov Emil Arif</v>
          </cell>
          <cell r="C378" t="str">
            <v>İnzibati idarəetmə departamenti</v>
          </cell>
          <cell r="D378" t="str">
            <v>Təmir və Xidmət Şöbəsi</v>
          </cell>
          <cell r="E378" t="str">
            <v>#</v>
          </cell>
          <cell r="F378" t="str">
            <v>Usta</v>
          </cell>
          <cell r="G378" t="str">
            <v>A</v>
          </cell>
          <cell r="H378">
            <v>41779</v>
          </cell>
        </row>
        <row r="379">
          <cell r="B379" t="str">
            <v>Hacıyev Samir Ramiz</v>
          </cell>
          <cell r="C379" t="str">
            <v>İnzibati idarəetmə departamenti</v>
          </cell>
          <cell r="D379" t="str">
            <v>İnzibati Əməliyyatlar Şöbəsi</v>
          </cell>
          <cell r="E379" t="str">
            <v>#</v>
          </cell>
          <cell r="F379" t="str">
            <v>Texniki işçi</v>
          </cell>
          <cell r="G379" t="str">
            <v>A</v>
          </cell>
          <cell r="H379">
            <v>43389</v>
          </cell>
        </row>
        <row r="380">
          <cell r="B380" t="str">
            <v>Qurbanəliyev Rahim Məhərrəm</v>
          </cell>
          <cell r="C380" t="str">
            <v>İnzibati idarəetmə departamenti</v>
          </cell>
          <cell r="D380" t="str">
            <v>İnzibati Əməliyyatlar Şöbəsi</v>
          </cell>
          <cell r="E380" t="str">
            <v>#</v>
          </cell>
          <cell r="F380" t="str">
            <v>Texniki işçi</v>
          </cell>
          <cell r="G380" t="str">
            <v>A</v>
          </cell>
          <cell r="H380">
            <v>45384</v>
          </cell>
        </row>
        <row r="381">
          <cell r="B381" t="str">
            <v>Məlikzadə Bəhruz Arzuman</v>
          </cell>
          <cell r="C381" t="str">
            <v>İnzibati idarəetmə departamenti</v>
          </cell>
          <cell r="D381" t="str">
            <v>İnzibati Əməliyyatlar Şöbəsi</v>
          </cell>
          <cell r="E381" t="str">
            <v>#</v>
          </cell>
          <cell r="F381" t="str">
            <v>Texniki işçi</v>
          </cell>
          <cell r="G381" t="str">
            <v>A</v>
          </cell>
          <cell r="H381">
            <v>45979</v>
          </cell>
        </row>
        <row r="382">
          <cell r="B382" t="str">
            <v>Fərzəliyev Alıxan İsmayil</v>
          </cell>
          <cell r="C382" t="str">
            <v>İnzibati idarəetmə departamenti</v>
          </cell>
          <cell r="D382" t="str">
            <v>İnzibati Əməliyyatlar Şöbəsi</v>
          </cell>
          <cell r="E382" t="str">
            <v>#</v>
          </cell>
          <cell r="F382" t="str">
            <v>Texniki işçi</v>
          </cell>
          <cell r="G382" t="str">
            <v>A</v>
          </cell>
          <cell r="H382">
            <v>46224</v>
          </cell>
        </row>
        <row r="383">
          <cell r="B383" t="str">
            <v>Musayeva Aygün Sahiddin</v>
          </cell>
          <cell r="C383" t="str">
            <v>Təşkilati inkişaf və HR texnologiyaları departamenti</v>
          </cell>
          <cell r="D383" t="str">
            <v>#</v>
          </cell>
          <cell r="E383" t="str">
            <v>#</v>
          </cell>
          <cell r="F383" t="str">
            <v>Direktor</v>
          </cell>
          <cell r="G383" t="str">
            <v>A</v>
          </cell>
          <cell r="H383">
            <v>42331</v>
          </cell>
        </row>
        <row r="384">
          <cell r="B384" t="str">
            <v xml:space="preserve">GONCHAROV BORIS </v>
          </cell>
          <cell r="C384" t="str">
            <v>Təşkilati inkişaf və HR texnologiyaları departamenti</v>
          </cell>
          <cell r="D384" t="str">
            <v>#</v>
          </cell>
          <cell r="E384" t="str">
            <v>#</v>
          </cell>
          <cell r="F384" t="str">
            <v xml:space="preserve"> Ekspert məhsul sahibi</v>
          </cell>
          <cell r="G384" t="str">
            <v>A</v>
          </cell>
          <cell r="H384">
            <v>46211</v>
          </cell>
        </row>
        <row r="385">
          <cell r="B385" t="str">
            <v>Məmmədova Səbinə Akif</v>
          </cell>
          <cell r="C385" t="str">
            <v>Təşkilati inkişaf və HR texnologiyaları departamenti</v>
          </cell>
          <cell r="D385" t="str">
            <v>İşəgötürən brendi və KSM funksional sahəsi</v>
          </cell>
          <cell r="E385" t="str">
            <v>#</v>
          </cell>
          <cell r="F385" t="str">
            <v>Layihə rəhbəri</v>
          </cell>
          <cell r="G385" t="str">
            <v>A</v>
          </cell>
          <cell r="H385">
            <v>41852</v>
          </cell>
        </row>
        <row r="386">
          <cell r="B386" t="str">
            <v xml:space="preserve">	Rüstəmova Vəfa Elbrus</v>
          </cell>
          <cell r="C386" t="str">
            <v>Təşkilati inkişaf və HR texnologiyaları departamenti</v>
          </cell>
          <cell r="D386" t="str">
            <v>İşəgötürən brendi və KSM funksional sahəsi</v>
          </cell>
          <cell r="E386" t="str">
            <v>İnternal communications function</v>
          </cell>
          <cell r="F386" t="str">
            <v>Funksional lider</v>
          </cell>
          <cell r="G386" t="str">
            <v>A</v>
          </cell>
          <cell r="H386">
            <v>46127</v>
          </cell>
        </row>
        <row r="387">
          <cell r="B387" t="str">
            <v>Məmmədrəsulzadə Günay Şərakət</v>
          </cell>
          <cell r="C387" t="str">
            <v>Təşkilati inkişaf və HR texnologiyaları departamenti</v>
          </cell>
          <cell r="D387" t="str">
            <v>HRBP və istedad cəlbi funksional sahəsi</v>
          </cell>
          <cell r="E387" t="str">
            <v>#</v>
          </cell>
          <cell r="F387" t="str">
            <v>Funksional lider</v>
          </cell>
          <cell r="G387" t="str">
            <v>A</v>
          </cell>
          <cell r="H387">
            <v>44321</v>
          </cell>
        </row>
        <row r="388">
          <cell r="B388" t="str">
            <v>Cəbrayılov Fehruz Nizami</v>
          </cell>
          <cell r="C388" t="str">
            <v>Təşkilati inkişaf və HR texnologiyaları departamenti</v>
          </cell>
          <cell r="D388" t="str">
            <v>HRBP və istedad cəlbi funksional sahəsi</v>
          </cell>
          <cell r="E388" t="str">
            <v>#</v>
          </cell>
          <cell r="F388" t="str">
            <v>Community lead</v>
          </cell>
          <cell r="G388" t="str">
            <v>A</v>
          </cell>
          <cell r="H388">
            <v>46121</v>
          </cell>
        </row>
        <row r="389">
          <cell r="B389" t="str">
            <v>Sultanova Fəridə Arzuman</v>
          </cell>
          <cell r="C389" t="str">
            <v>Təşkilati inkişaf və HR texnologiyaları departamenti</v>
          </cell>
          <cell r="D389" t="str">
            <v>HRBP və istedad cəlbi funksional sahəsi</v>
          </cell>
          <cell r="E389" t="str">
            <v>#</v>
          </cell>
          <cell r="F389" t="str">
            <v>İnsan resursları üzrə biznes partnyor</v>
          </cell>
          <cell r="G389" t="str">
            <v>A</v>
          </cell>
          <cell r="H389">
            <v>45097</v>
          </cell>
        </row>
        <row r="390">
          <cell r="B390" t="str">
            <v>Səfərli Aytən Məzahir</v>
          </cell>
          <cell r="C390" t="str">
            <v>Təşkilati inkişaf və HR texnologiyaları departamenti</v>
          </cell>
          <cell r="D390" t="str">
            <v>HRBP və istedad cəlbi funksional sahəsi</v>
          </cell>
          <cell r="E390" t="str">
            <v>#</v>
          </cell>
          <cell r="F390" t="str">
            <v>İnsan resursları üzrə biznes partnyor</v>
          </cell>
          <cell r="G390" t="str">
            <v>A</v>
          </cell>
          <cell r="H390">
            <v>45749</v>
          </cell>
        </row>
        <row r="391">
          <cell r="B391" t="str">
            <v>Mustafazadə Nigar Ceyhun</v>
          </cell>
          <cell r="C391" t="str">
            <v>Təşkilati inkişaf və HR texnologiyaları departamenti</v>
          </cell>
          <cell r="D391" t="str">
            <v>HRBP və istedad cəlbi funksional sahəsi</v>
          </cell>
          <cell r="E391" t="str">
            <v>#</v>
          </cell>
          <cell r="F391" t="str">
            <v>İnsan resursları üzrə biznes partnyor</v>
          </cell>
          <cell r="G391" t="str">
            <v>A</v>
          </cell>
          <cell r="H391">
            <v>43732</v>
          </cell>
        </row>
        <row r="392">
          <cell r="B392" t="str">
            <v>Hacıyeva Səmra Elşad</v>
          </cell>
          <cell r="C392" t="str">
            <v>Təşkilati inkişaf və HR texnologiyaları departamenti</v>
          </cell>
          <cell r="D392" t="str">
            <v>HRBP və istedad cəlbi funksional sahəsi</v>
          </cell>
          <cell r="E392" t="str">
            <v>#</v>
          </cell>
          <cell r="F392" t="str">
            <v>İnsan resursları üzrə biznes partnyor</v>
          </cell>
          <cell r="G392" t="str">
            <v>A</v>
          </cell>
          <cell r="H392">
            <v>45061</v>
          </cell>
        </row>
        <row r="393">
          <cell r="B393" t="str">
            <v>Babayeva Mədinə Natiq</v>
          </cell>
          <cell r="C393" t="str">
            <v>Təşkilati inkişaf və HR texnologiyaları departamenti</v>
          </cell>
          <cell r="D393" t="str">
            <v>HRBP və istedad cəlbi funksional sahəsi</v>
          </cell>
          <cell r="E393" t="str">
            <v>#</v>
          </cell>
          <cell r="F393" t="str">
            <v>İnsan resursları üzrə biznes partnyor</v>
          </cell>
          <cell r="G393" t="str">
            <v>A</v>
          </cell>
          <cell r="H393">
            <v>46072</v>
          </cell>
          <cell r="I393" t="str">
            <v>Bir Payment</v>
          </cell>
        </row>
        <row r="394">
          <cell r="B394" t="str">
            <v>Zəkəryəzadə Aylin Mehman</v>
          </cell>
          <cell r="C394" t="str">
            <v>Təşkilati inkişaf və HR texnologiyaları departamenti</v>
          </cell>
          <cell r="D394" t="str">
            <v>HRBP və istedad cəlbi funksional sahəsi</v>
          </cell>
          <cell r="E394" t="str">
            <v>#</v>
          </cell>
          <cell r="F394" t="str">
            <v>İnsan resursları üzrə biznes partnyor</v>
          </cell>
          <cell r="G394" t="str">
            <v>A</v>
          </cell>
          <cell r="H394">
            <v>44190</v>
          </cell>
        </row>
        <row r="395">
          <cell r="B395" t="str">
            <v>Əkbərova Pərvin Elçin</v>
          </cell>
          <cell r="C395" t="str">
            <v>Təşkilati inkişaf və HR texnologiyaları departamenti</v>
          </cell>
          <cell r="D395" t="str">
            <v>HRBP və istedad cəlbi funksional sahəsi</v>
          </cell>
          <cell r="E395" t="str">
            <v>#</v>
          </cell>
          <cell r="F395" t="str">
            <v>Mütəxəssis</v>
          </cell>
          <cell r="G395" t="str">
            <v>A</v>
          </cell>
          <cell r="H395">
            <v>43136</v>
          </cell>
        </row>
        <row r="396">
          <cell r="B396" t="str">
            <v>Əliyeva Fidan Elmar</v>
          </cell>
          <cell r="C396" t="str">
            <v>Təşkilati inkişaf və HR texnologiyaları departamenti</v>
          </cell>
          <cell r="D396" t="str">
            <v>HRBP və istedad cəlbi funksional sahəsi</v>
          </cell>
          <cell r="E396" t="str">
            <v>#</v>
          </cell>
          <cell r="F396" t="str">
            <v>Mütəxəssis</v>
          </cell>
          <cell r="G396" t="str">
            <v>A</v>
          </cell>
          <cell r="H396">
            <v>46279</v>
          </cell>
        </row>
        <row r="397">
          <cell r="B397" t="str">
            <v>Şəfiyeva Nəzrin Fikrət</v>
          </cell>
          <cell r="C397" t="str">
            <v>Təşkilati inkişaf və HR texnologiyaları departamenti</v>
          </cell>
          <cell r="D397" t="str">
            <v>HRBP və istedad cəlbi funksional sahəsi</v>
          </cell>
          <cell r="E397" t="str">
            <v>#</v>
          </cell>
          <cell r="F397" t="str">
            <v>Kiçik mütəxəssis</v>
          </cell>
          <cell r="G397" t="str">
            <v>A</v>
          </cell>
          <cell r="H397">
            <v>46191</v>
          </cell>
        </row>
        <row r="398">
          <cell r="B398" t="str">
            <v>Novruzova Mədinə Natiq</v>
          </cell>
          <cell r="C398" t="str">
            <v>Təşkilati inkişaf və HR texnologiyaları departamenti</v>
          </cell>
          <cell r="D398" t="str">
            <v>HR TechOps, performans və data funksional sahəsi</v>
          </cell>
          <cell r="E398" t="str">
            <v>#</v>
          </cell>
          <cell r="F398" t="str">
            <v>Baş mütəxəssis</v>
          </cell>
          <cell r="G398" t="str">
            <v>A</v>
          </cell>
          <cell r="H398">
            <v>46072</v>
          </cell>
          <cell r="I398" t="str">
            <v>Bir Payment</v>
          </cell>
        </row>
        <row r="399">
          <cell r="B399" t="str">
            <v>Hüseynova Alsu Müşfiq</v>
          </cell>
          <cell r="C399" t="str">
            <v>Təşkilati inkişaf və HR texnologiyaları departamenti</v>
          </cell>
          <cell r="D399" t="str">
            <v>HRBP və istedad cəlbi funksional sahəsi</v>
          </cell>
          <cell r="E399" t="str">
            <v>#</v>
          </cell>
          <cell r="F399" t="str">
            <v>Aparıcı mütəxəssis</v>
          </cell>
          <cell r="G399" t="str">
            <v>A</v>
          </cell>
          <cell r="H399">
            <v>46072</v>
          </cell>
          <cell r="I399" t="str">
            <v>Bir Payment</v>
          </cell>
        </row>
        <row r="400">
          <cell r="B400" t="str">
            <v>Mehdiyeva Sevil Taleh</v>
          </cell>
          <cell r="C400" t="str">
            <v>Təşkilati inkişaf və HR texnologiyaları departamenti</v>
          </cell>
          <cell r="D400" t="str">
            <v>HRBP və istedad cəlbi funksional sahəsi</v>
          </cell>
          <cell r="E400" t="str">
            <v>#</v>
          </cell>
          <cell r="F400" t="str">
            <v>Aparıcı mütəxəssis</v>
          </cell>
          <cell r="G400" t="str">
            <v>A</v>
          </cell>
          <cell r="H400">
            <v>46071</v>
          </cell>
          <cell r="I400" t="str">
            <v>BirMarket</v>
          </cell>
        </row>
        <row r="401">
          <cell r="B401" t="str">
            <v>Qəribova Lalə Təbriz</v>
          </cell>
          <cell r="C401" t="str">
            <v>Təşkilati inkişaf və HR texnologiyaları departamenti</v>
          </cell>
          <cell r="D401" t="str">
            <v>HRBP və istedad cəlbi funksional sahəsi</v>
          </cell>
          <cell r="E401" t="str">
            <v>#</v>
          </cell>
          <cell r="F401" t="str">
            <v>Aparıcı mütəxəssis</v>
          </cell>
          <cell r="G401" t="str">
            <v>A</v>
          </cell>
          <cell r="H401">
            <v>46071</v>
          </cell>
          <cell r="I401" t="str">
            <v>BirMarket</v>
          </cell>
        </row>
        <row r="402">
          <cell r="B402" t="str">
            <v>Axundova Rimma Seymur</v>
          </cell>
          <cell r="C402" t="str">
            <v>Təşkilati inkişaf və HR texnologiyaları departamenti</v>
          </cell>
          <cell r="D402" t="str">
            <v>HRBP və istedad cəlbi funksional sahəsi</v>
          </cell>
          <cell r="E402" t="str">
            <v>#</v>
          </cell>
          <cell r="F402" t="str">
            <v>Aparıcı mütəxəssis</v>
          </cell>
          <cell r="G402" t="str">
            <v>A</v>
          </cell>
          <cell r="H402">
            <v>46064</v>
          </cell>
          <cell r="I402" t="str">
            <v>Paşa Holding</v>
          </cell>
        </row>
        <row r="403">
          <cell r="B403" t="str">
            <v>Tahirov Nizami Bəylər</v>
          </cell>
          <cell r="C403" t="str">
            <v>Təşkilati inkişaf və HR texnologiyaları departamenti</v>
          </cell>
          <cell r="D403" t="str">
            <v>HR TechOps, performans və data funksional sahəsi</v>
          </cell>
          <cell r="E403" t="str">
            <v>Ecosystem HR operations &amp; Service delivery</v>
          </cell>
          <cell r="F403" t="str">
            <v>Funksional lider</v>
          </cell>
          <cell r="G403" t="str">
            <v>A</v>
          </cell>
          <cell r="H403">
            <v>45964</v>
          </cell>
        </row>
        <row r="404">
          <cell r="B404" t="str">
            <v>Cəfərova Aida İdrət</v>
          </cell>
          <cell r="C404" t="str">
            <v>Təşkilati inkişaf və HR texnologiyaları departamenti</v>
          </cell>
          <cell r="D404" t="str">
            <v>HR TechOps, performans və data funksional sahəsi</v>
          </cell>
          <cell r="E404" t="str">
            <v>Ecosystem HR operations &amp; Service delivery</v>
          </cell>
          <cell r="F404" t="str">
            <v>Menecer</v>
          </cell>
          <cell r="G404" t="str">
            <v>A</v>
          </cell>
          <cell r="H404">
            <v>39003</v>
          </cell>
        </row>
        <row r="405">
          <cell r="B405" t="str">
            <v>Hacıyeva Aytən Sərkər</v>
          </cell>
          <cell r="C405" t="str">
            <v>Təşkilati inkişaf və HR texnologiyaları departamenti</v>
          </cell>
          <cell r="D405" t="str">
            <v>HR TechOps, performans və data funksional sahəsi</v>
          </cell>
          <cell r="E405" t="str">
            <v>Ecosystem HR operations &amp; Service delivery</v>
          </cell>
          <cell r="F405" t="str">
            <v>Menecer</v>
          </cell>
          <cell r="G405" t="str">
            <v>A</v>
          </cell>
          <cell r="H405">
            <v>46204</v>
          </cell>
          <cell r="I405" t="str">
            <v>BirMarket</v>
          </cell>
        </row>
        <row r="406">
          <cell r="B406" t="str">
            <v>Cavadova Aytən Rəhim</v>
          </cell>
          <cell r="C406" t="str">
            <v>Təşkilati inkişaf və HR texnologiyaları departamenti</v>
          </cell>
          <cell r="D406" t="str">
            <v>HR TechOps, performans və data funksional sahəsi</v>
          </cell>
          <cell r="E406" t="str">
            <v>Ecosystem HR operations &amp; Service delivery</v>
          </cell>
          <cell r="F406" t="str">
            <v>Baş mütəxəssis</v>
          </cell>
          <cell r="G406" t="str">
            <v>A</v>
          </cell>
          <cell r="H406">
            <v>36684</v>
          </cell>
        </row>
        <row r="407">
          <cell r="B407" t="str">
            <v>Cəlilova Elmira Şirin</v>
          </cell>
          <cell r="C407" t="str">
            <v>Təşkilati inkişaf və HR texnologiyaları departamenti</v>
          </cell>
          <cell r="D407" t="str">
            <v>HR TechOps, performans və data funksional sahəsi</v>
          </cell>
          <cell r="E407" t="str">
            <v>Ecosystem HR operations &amp; Service delivery</v>
          </cell>
          <cell r="F407" t="str">
            <v>Baş mütəxəssis</v>
          </cell>
          <cell r="G407" t="str">
            <v>A</v>
          </cell>
          <cell r="H407">
            <v>36735</v>
          </cell>
        </row>
        <row r="408">
          <cell r="B408" t="str">
            <v>Aliyeva Kamilə Əhəd</v>
          </cell>
          <cell r="C408" t="str">
            <v>Təşkilati inkişaf və HR texnologiyaları departamenti</v>
          </cell>
          <cell r="D408" t="str">
            <v>HR TechOps, performans və data funksional sahəsi</v>
          </cell>
          <cell r="E408" t="str">
            <v>Ecosystem HR operations &amp; Service delivery</v>
          </cell>
          <cell r="F408" t="str">
            <v>Baş mütəxəssis</v>
          </cell>
          <cell r="G408" t="str">
            <v>A</v>
          </cell>
          <cell r="H408">
            <v>46195</v>
          </cell>
          <cell r="I408" t="str">
            <v>Bir Payment</v>
          </cell>
        </row>
        <row r="409">
          <cell r="B409" t="str">
            <v>Şahbazova İlahə İsa</v>
          </cell>
          <cell r="C409" t="str">
            <v>Təşkilati inkişaf və HR texnologiyaları departamenti</v>
          </cell>
          <cell r="D409" t="str">
            <v>HR TechOps, performans və data funksional sahəsi</v>
          </cell>
          <cell r="E409" t="str">
            <v>Ecosystem HR operations &amp; Service delivery</v>
          </cell>
          <cell r="F409" t="str">
            <v>Baş mütəxəssis</v>
          </cell>
          <cell r="G409" t="str">
            <v>A</v>
          </cell>
          <cell r="H409">
            <v>46195</v>
          </cell>
          <cell r="I409" t="str">
            <v>Bir Payment</v>
          </cell>
        </row>
        <row r="410">
          <cell r="B410" t="str">
            <v>Babazadə Şahin Rəhman</v>
          </cell>
          <cell r="C410" t="str">
            <v>Təşkilati inkişaf və HR texnologiyaları departamenti</v>
          </cell>
          <cell r="D410" t="str">
            <v>HR TechOps, performans və data funksional sahəsi</v>
          </cell>
          <cell r="E410" t="str">
            <v>Ecosystem HR operations &amp; Service delivery</v>
          </cell>
          <cell r="F410" t="str">
            <v>Baş mütəxəssis</v>
          </cell>
          <cell r="G410" t="str">
            <v>A</v>
          </cell>
          <cell r="H410">
            <v>46204</v>
          </cell>
        </row>
        <row r="411">
          <cell r="B411" t="str">
            <v>Həsənova Xuraman Əkbər</v>
          </cell>
          <cell r="C411" t="str">
            <v>Təşkilati inkişaf və HR texnologiyaları departamenti</v>
          </cell>
          <cell r="D411" t="str">
            <v>HR TechOps, performans və data funksional sahəsi</v>
          </cell>
          <cell r="E411" t="str">
            <v>Ecosystem HR operations &amp; Service delivery</v>
          </cell>
          <cell r="F411" t="str">
            <v>Baş mütəxəssis</v>
          </cell>
          <cell r="G411" t="str">
            <v>A</v>
          </cell>
          <cell r="H411">
            <v>44365</v>
          </cell>
        </row>
        <row r="412">
          <cell r="B412" t="str">
            <v>Dəvrişova Aygül Akif</v>
          </cell>
          <cell r="C412" t="str">
            <v>Təşkilati inkişaf və HR texnologiyaları departamenti</v>
          </cell>
          <cell r="D412" t="str">
            <v>HR TechOps, performans və data funksional sahəsi</v>
          </cell>
          <cell r="E412" t="str">
            <v>Ecosystem HR operations &amp; Service delivery</v>
          </cell>
          <cell r="F412" t="str">
            <v>Baş mütəxəssis</v>
          </cell>
          <cell r="G412" t="str">
            <v>A</v>
          </cell>
          <cell r="H412">
            <v>46251</v>
          </cell>
        </row>
        <row r="413">
          <cell r="B413" t="str">
            <v>Həmzəyev Rüstəm Bayram</v>
          </cell>
          <cell r="C413" t="str">
            <v>Təşkilati inkişaf və HR texnologiyaları departamenti</v>
          </cell>
          <cell r="D413" t="str">
            <v>HR TechOps, performans və data funksional sahəsi</v>
          </cell>
          <cell r="E413" t="str">
            <v>Ecosystem HR operations &amp; Service delivery</v>
          </cell>
          <cell r="F413" t="str">
            <v>Baş mütəxəssis</v>
          </cell>
          <cell r="G413" t="str">
            <v>A</v>
          </cell>
          <cell r="H413">
            <v>46204</v>
          </cell>
          <cell r="I413" t="str">
            <v>BirMarket</v>
          </cell>
        </row>
        <row r="414">
          <cell r="B414" t="str">
            <v>Məlikov Ülvi Nəcəf</v>
          </cell>
          <cell r="C414" t="str">
            <v>Təşkilati inkişaf və HR texnologiyaları departamenti</v>
          </cell>
          <cell r="D414" t="str">
            <v>HR TechOps, performans və data funksional sahəsi</v>
          </cell>
          <cell r="E414" t="str">
            <v>Ecosystem HR operations &amp; Service delivery</v>
          </cell>
          <cell r="F414" t="str">
            <v>Aparıcı mütəxəssis</v>
          </cell>
          <cell r="G414" t="str">
            <v>A</v>
          </cell>
          <cell r="H414">
            <v>43906</v>
          </cell>
        </row>
        <row r="415">
          <cell r="B415" t="str">
            <v>Musaxanova Svetlana Allahverən</v>
          </cell>
          <cell r="C415" t="str">
            <v>Təşkilati inkişaf və HR texnologiyaları departamenti</v>
          </cell>
          <cell r="D415" t="str">
            <v>HR TechOps, performans və data funksional sahəsi</v>
          </cell>
          <cell r="E415" t="str">
            <v>Ecosystem HR operations &amp; Service delivery</v>
          </cell>
          <cell r="F415" t="str">
            <v>Aparıcı mütəxəssis</v>
          </cell>
          <cell r="G415" t="str">
            <v>A</v>
          </cell>
          <cell r="H415">
            <v>43080</v>
          </cell>
        </row>
        <row r="416">
          <cell r="B416" t="str">
            <v>Tehranlı Ağaəli Cahid</v>
          </cell>
          <cell r="C416" t="str">
            <v>Təşkilati inkişaf və HR texnologiyaları departamenti</v>
          </cell>
          <cell r="D416" t="str">
            <v>HR TechOps, performans və data funksional sahəsi</v>
          </cell>
          <cell r="E416" t="str">
            <v>Ecosystem HR operations &amp; Service delivery</v>
          </cell>
          <cell r="F416" t="str">
            <v>Aparıcı mütəxəssis</v>
          </cell>
          <cell r="G416" t="str">
            <v>A</v>
          </cell>
          <cell r="H416">
            <v>44740</v>
          </cell>
        </row>
        <row r="417">
          <cell r="B417" t="str">
            <v>Cavadlı Orxan Rauf</v>
          </cell>
          <cell r="C417" t="str">
            <v>Təşkilati inkişaf və HR texnologiyaları departamenti</v>
          </cell>
          <cell r="D417" t="str">
            <v>HR TechOps, performans və data funksional sahəsi</v>
          </cell>
          <cell r="E417" t="str">
            <v>Ecosystem talent performance</v>
          </cell>
          <cell r="F417" t="str">
            <v>Aparıcı mütəxəssis</v>
          </cell>
          <cell r="G417" t="str">
            <v>A</v>
          </cell>
          <cell r="H417">
            <v>45170</v>
          </cell>
        </row>
        <row r="418">
          <cell r="B418" t="str">
            <v>Cəlilov Hüseyn İlyas</v>
          </cell>
          <cell r="C418" t="str">
            <v>Təşkilati inkişaf və HR texnologiyaları departamenti</v>
          </cell>
          <cell r="D418" t="str">
            <v>HR TechOps, performans və data funksional sahəsi</v>
          </cell>
          <cell r="E418" t="str">
            <v>Ecosystem HR operations &amp; Service delivery</v>
          </cell>
          <cell r="F418" t="str">
            <v>Aparıcı mütəxəssis</v>
          </cell>
          <cell r="G418" t="str">
            <v>A</v>
          </cell>
          <cell r="H418">
            <v>44483</v>
          </cell>
        </row>
        <row r="419">
          <cell r="B419" t="str">
            <v>Abasova Fəridə Ələddin</v>
          </cell>
          <cell r="C419" t="str">
            <v>Təşkilati inkişaf və HR texnologiyaları departamenti</v>
          </cell>
          <cell r="D419" t="str">
            <v>HR TechOps, performans və data funksional sahəsi</v>
          </cell>
          <cell r="E419" t="str">
            <v>Ecosystem HR operations &amp; Service delivery</v>
          </cell>
          <cell r="F419" t="str">
            <v>Aparıcı mütəxəssis</v>
          </cell>
          <cell r="G419" t="str">
            <v>SM</v>
          </cell>
          <cell r="H419">
            <v>44858</v>
          </cell>
        </row>
        <row r="420">
          <cell r="B420" t="str">
            <v>Cəbrayılova Ülkər Vidadi</v>
          </cell>
          <cell r="C420" t="str">
            <v>Təşkilati inkişaf və HR texnologiyaları departamenti</v>
          </cell>
          <cell r="D420" t="str">
            <v>HR TechOps, performans və data funksional sahəsi</v>
          </cell>
          <cell r="E420" t="str">
            <v>Ecosystem HR operations &amp; Service delivery</v>
          </cell>
          <cell r="F420" t="str">
            <v>Kiçik mütəxəssis (müvəqqəti)</v>
          </cell>
          <cell r="G420" t="str">
            <v>A</v>
          </cell>
          <cell r="H420">
            <v>46048</v>
          </cell>
        </row>
        <row r="421">
          <cell r="B421" t="str">
            <v>Kamılova Milana Babək</v>
          </cell>
          <cell r="C421" t="str">
            <v>Təşkilati inkişaf və HR texnologiyaları departamenti</v>
          </cell>
          <cell r="D421" t="str">
            <v>HR TechOps, performans və data funksional sahəsi</v>
          </cell>
          <cell r="E421" t="str">
            <v>Ecosystem HR operations &amp; Service delivery</v>
          </cell>
          <cell r="F421" t="str">
            <v>Mütəxəssis</v>
          </cell>
          <cell r="G421" t="str">
            <v>SM</v>
          </cell>
          <cell r="H421">
            <v>45190</v>
          </cell>
        </row>
        <row r="422">
          <cell r="B422" t="str">
            <v>Namazova Zümrüd Bahadur</v>
          </cell>
          <cell r="C422" t="str">
            <v>Təşkilati inkişaf və HR texnologiyaları departamenti</v>
          </cell>
          <cell r="D422" t="str">
            <v>HR TechOps, performans və data funksional sahəsi</v>
          </cell>
          <cell r="E422" t="str">
            <v>Ecosystem HR operations &amp; Service delivery</v>
          </cell>
          <cell r="F422" t="str">
            <v>Mütəxəssis (müvəqqəti)</v>
          </cell>
          <cell r="G422" t="str">
            <v>A</v>
          </cell>
          <cell r="H422">
            <v>45937</v>
          </cell>
        </row>
        <row r="423">
          <cell r="B423" t="str">
            <v>Alzamanova Nərmin Sübhan</v>
          </cell>
          <cell r="C423" t="str">
            <v>Təşkilati inkişaf və HR texnologiyaları departamenti</v>
          </cell>
          <cell r="D423" t="str">
            <v>HR TechOps, performans və data funksional sahəsi</v>
          </cell>
          <cell r="E423" t="str">
            <v>Ecosystem HR operations &amp; Service delivery</v>
          </cell>
          <cell r="F423" t="str">
            <v>Mütəxəssis</v>
          </cell>
          <cell r="G423" t="str">
            <v>SM</v>
          </cell>
          <cell r="H423">
            <v>44455</v>
          </cell>
        </row>
        <row r="424">
          <cell r="B424" t="str">
            <v>Mehdiquliyeva Zümrüd Qadir</v>
          </cell>
          <cell r="C424" t="str">
            <v>Təşkilati inkişaf və HR texnologiyaları departamenti</v>
          </cell>
          <cell r="D424" t="str">
            <v>HR TechOps, performans və data funksional sahəsi</v>
          </cell>
          <cell r="E424" t="str">
            <v>Ecosystem HR operations &amp; Service delivery</v>
          </cell>
          <cell r="F424" t="str">
            <v>Kiçik mütəxəssis (müvəqqəti)</v>
          </cell>
          <cell r="G424" t="str">
            <v>A</v>
          </cell>
          <cell r="H424">
            <v>46139</v>
          </cell>
        </row>
        <row r="425">
          <cell r="B425" t="str">
            <v>Yusifova Aysel Azər</v>
          </cell>
          <cell r="C425" t="str">
            <v>Təşkilati inkişaf və HR texnologiyaları departamenti</v>
          </cell>
          <cell r="D425" t="str">
            <v>HR TechOps, performans və data funksional sahəsi</v>
          </cell>
          <cell r="E425" t="str">
            <v>Ecosystem HR operations &amp; Service delivery</v>
          </cell>
          <cell r="F425" t="str">
            <v>Mütəxəssis</v>
          </cell>
          <cell r="G425" t="str">
            <v>A</v>
          </cell>
          <cell r="H425">
            <v>45363</v>
          </cell>
        </row>
        <row r="426">
          <cell r="B426" t="str">
            <v>Nağıyeva Dərya İsmixan</v>
          </cell>
          <cell r="C426" t="str">
            <v>Təşkilati inkişaf və HR texnologiyaları departamenti</v>
          </cell>
          <cell r="D426" t="str">
            <v>HR TechOps, performans və data funksional sahəsi</v>
          </cell>
          <cell r="E426" t="str">
            <v>Ecosystem HR operations &amp; Service delivery</v>
          </cell>
          <cell r="F426" t="str">
            <v>Mütəxəssis</v>
          </cell>
          <cell r="G426" t="str">
            <v>A</v>
          </cell>
          <cell r="H426">
            <v>46204</v>
          </cell>
          <cell r="I426" t="str">
            <v>BirMarket</v>
          </cell>
        </row>
        <row r="427">
          <cell r="B427" t="str">
            <v>Sunqarova Bikə Hacirabadan</v>
          </cell>
          <cell r="C427" t="str">
            <v>Təşkilati inkişaf və HR texnologiyaları departamenti</v>
          </cell>
          <cell r="D427" t="str">
            <v>HR TechOps, performans və data funksional sahəsi</v>
          </cell>
          <cell r="E427" t="str">
            <v>Ecosystem HR operations &amp; Service delivery</v>
          </cell>
          <cell r="F427" t="str">
            <v>Mütəxəssis</v>
          </cell>
          <cell r="G427" t="str">
            <v>A</v>
          </cell>
          <cell r="H427">
            <v>46204</v>
          </cell>
          <cell r="I427" t="str">
            <v>BirMarket</v>
          </cell>
        </row>
        <row r="428">
          <cell r="B428" t="str">
            <v>Nəfəsova Gülnar Siyasət</v>
          </cell>
          <cell r="C428" t="str">
            <v>Təşkilati inkişaf və HR texnologiyaları departamenti</v>
          </cell>
          <cell r="D428" t="str">
            <v>HR TechOps, performans və data funksional sahəsi</v>
          </cell>
          <cell r="E428" t="str">
            <v>Ecosystem HR operations &amp; Service delivery</v>
          </cell>
          <cell r="F428" t="str">
            <v>Mütəxəssis</v>
          </cell>
          <cell r="G428" t="str">
            <v>A</v>
          </cell>
          <cell r="H428">
            <v>46213</v>
          </cell>
          <cell r="I428" t="str">
            <v>BirMarket</v>
          </cell>
        </row>
        <row r="429">
          <cell r="B429" t="str">
            <v>Məmmədova Fəridə Fariz</v>
          </cell>
          <cell r="C429" t="str">
            <v>Təşkilati inkişaf və HR texnologiyaları departamenti</v>
          </cell>
          <cell r="D429" t="str">
            <v>HR TechOps, performans və data funksional sahəsi</v>
          </cell>
          <cell r="E429" t="str">
            <v>Ecosystem HR operations &amp; Service delivery</v>
          </cell>
          <cell r="F429" t="str">
            <v>Mütəxəssis</v>
          </cell>
          <cell r="G429" t="str">
            <v>A</v>
          </cell>
          <cell r="H429">
            <v>46195</v>
          </cell>
          <cell r="I429" t="str">
            <v>Bir Payment</v>
          </cell>
        </row>
        <row r="430">
          <cell r="B430" t="str">
            <v>Hüseynova Mədinə Rövşən</v>
          </cell>
          <cell r="C430" t="str">
            <v>Təşkilati inkişaf və HR texnologiyaları departamenti</v>
          </cell>
          <cell r="D430" t="str">
            <v>HR TechOps, performans və data funksional sahəsi</v>
          </cell>
          <cell r="E430" t="str">
            <v>Ecosystem HR operations &amp; Service delivery</v>
          </cell>
          <cell r="F430" t="str">
            <v>Mütəxəssis</v>
          </cell>
          <cell r="G430" t="str">
            <v>A</v>
          </cell>
          <cell r="H430">
            <v>46195</v>
          </cell>
          <cell r="I430" t="str">
            <v>Bir Payment</v>
          </cell>
        </row>
        <row r="431">
          <cell r="B431" t="str">
            <v>Hüseynova Tamilla Kamal</v>
          </cell>
          <cell r="C431" t="str">
            <v>Təşkilati inkişaf və HR texnologiyaları departamenti</v>
          </cell>
          <cell r="D431" t="str">
            <v>HR TechOps, performans və data funksional sahəsi</v>
          </cell>
          <cell r="E431" t="str">
            <v>#</v>
          </cell>
          <cell r="F431" t="str">
            <v>Funksional sahə lideri</v>
          </cell>
          <cell r="G431" t="str">
            <v>A</v>
          </cell>
          <cell r="H431">
            <v>42355</v>
          </cell>
        </row>
        <row r="432">
          <cell r="B432" t="str">
            <v>Ələkbərova Ləman Fətullah</v>
          </cell>
          <cell r="C432" t="str">
            <v>Təşkilati inkişaf və HR texnologiyaları departamenti</v>
          </cell>
          <cell r="D432" t="str">
            <v>HR TechOps, performans və data funksional sahəsi</v>
          </cell>
          <cell r="E432" t="str">
            <v>Ecosystem talent performance</v>
          </cell>
          <cell r="F432" t="str">
            <v>Aparıcı mütəxəssis</v>
          </cell>
          <cell r="G432" t="str">
            <v>A</v>
          </cell>
          <cell r="H432">
            <v>46155</v>
          </cell>
        </row>
        <row r="433">
          <cell r="B433" t="str">
            <v>Qurbanlı Elmi Fikrət</v>
          </cell>
          <cell r="C433" t="str">
            <v>İstedadların idarə edilməsi departamenti</v>
          </cell>
          <cell r="D433" t="str">
            <v>Performansın idarə edilməsi və işçi bağlılığı şöbəsi</v>
          </cell>
          <cell r="E433" t="str">
            <v>#</v>
          </cell>
          <cell r="F433" t="str">
            <v>Şöbə müdiri</v>
          </cell>
          <cell r="G433" t="str">
            <v>A</v>
          </cell>
          <cell r="H433">
            <v>45068</v>
          </cell>
        </row>
        <row r="434">
          <cell r="B434" t="str">
            <v>Əliyeva Ləman Faiq</v>
          </cell>
          <cell r="C434" t="str">
            <v>İstedadların idarə edilməsi departamenti</v>
          </cell>
          <cell r="D434" t="str">
            <v>Performansın idarə edilməsi və işçi bağlılığı şöbəsi</v>
          </cell>
          <cell r="E434" t="str">
            <v>#</v>
          </cell>
          <cell r="F434" t="str">
            <v>Baş mütəxəssis</v>
          </cell>
          <cell r="G434" t="str">
            <v>A</v>
          </cell>
          <cell r="H434">
            <v>43795</v>
          </cell>
        </row>
        <row r="435">
          <cell r="B435" t="str">
            <v>Qəhrəmanova Aydan Zaur</v>
          </cell>
          <cell r="C435" t="str">
            <v>İstedadların idarə edilməsi departamenti</v>
          </cell>
          <cell r="D435" t="str">
            <v>Performansın idarə edilməsi və işçi bağlılığı şöbəsi</v>
          </cell>
          <cell r="E435" t="str">
            <v>#</v>
          </cell>
          <cell r="F435" t="str">
            <v>Baş mütəxəssis</v>
          </cell>
          <cell r="G435" t="str">
            <v>A</v>
          </cell>
          <cell r="H435">
            <v>45664</v>
          </cell>
        </row>
        <row r="436">
          <cell r="B436" t="str">
            <v>Xəlilli Gülməmməd Ziyadxan</v>
          </cell>
          <cell r="C436" t="str">
            <v>İstedadların idarə edilməsi departamenti</v>
          </cell>
          <cell r="D436" t="str">
            <v>Performansın idarə edilməsi və işçi bağlılığı şöbəsi</v>
          </cell>
          <cell r="E436" t="str">
            <v>#</v>
          </cell>
          <cell r="F436" t="str">
            <v>Aparıcı mütəxəssis</v>
          </cell>
          <cell r="G436" t="str">
            <v>A</v>
          </cell>
          <cell r="H436">
            <v>45883</v>
          </cell>
        </row>
        <row r="437">
          <cell r="B437" t="str">
            <v>Arifzadə Firuzə İman</v>
          </cell>
          <cell r="C437" t="str">
            <v>İstedadların idarə edilməsi departamenti</v>
          </cell>
          <cell r="D437" t="str">
            <v>Performansın idarə edilməsi və işçi bağlılığı şöbəsi</v>
          </cell>
          <cell r="E437" t="str">
            <v>#</v>
          </cell>
          <cell r="F437" t="str">
            <v>Aparıcı mütəxəssis</v>
          </cell>
          <cell r="G437" t="str">
            <v>A</v>
          </cell>
          <cell r="H437">
            <v>45058</v>
          </cell>
        </row>
        <row r="438">
          <cell r="B438" t="str">
            <v>Məmmədli Çinarə Mətləb</v>
          </cell>
          <cell r="C438" t="str">
            <v>İstedadların idarə edilməsi departamenti</v>
          </cell>
          <cell r="D438" t="str">
            <v>Performansın idarə edilməsi və işçi bağlılığı şöbəsi</v>
          </cell>
          <cell r="E438" t="str">
            <v>#</v>
          </cell>
          <cell r="F438" t="str">
            <v>Baş mütəxəssis</v>
          </cell>
          <cell r="G438" t="str">
            <v>A</v>
          </cell>
          <cell r="H438">
            <v>45162</v>
          </cell>
        </row>
        <row r="439">
          <cell r="B439" t="str">
            <v>Həmidli Sona Səbahəddin</v>
          </cell>
          <cell r="C439" t="str">
            <v>İstedadların idarə edilməsi departamenti</v>
          </cell>
          <cell r="D439" t="str">
            <v>Performansın idarə edilməsi və işçi bağlılığı şöbəsi</v>
          </cell>
          <cell r="E439" t="str">
            <v>#</v>
          </cell>
          <cell r="F439" t="str">
            <v>Aparıcı mütəxəssis</v>
          </cell>
          <cell r="G439" t="str">
            <v>A</v>
          </cell>
          <cell r="H439">
            <v>44840</v>
          </cell>
        </row>
        <row r="440">
          <cell r="B440" t="str">
            <v>Vahabov Rövşən Məzahir</v>
          </cell>
          <cell r="C440" t="str">
            <v>Təşkilati inkişaf və HR texnologiyaları departamenti</v>
          </cell>
          <cell r="D440" t="str">
            <v>HR TechOps, performans və data funksional sahəsi</v>
          </cell>
          <cell r="E440" t="str">
            <v>Ecosystem HR data</v>
          </cell>
          <cell r="F440" t="str">
            <v>Menecer</v>
          </cell>
          <cell r="G440" t="str">
            <v>A</v>
          </cell>
          <cell r="H440">
            <v>44099</v>
          </cell>
        </row>
        <row r="441">
          <cell r="B441" t="str">
            <v>Ələkbərli Şəfiqə Elbrus</v>
          </cell>
          <cell r="C441" t="str">
            <v>Təşkilati inkişaf və HR texnologiyaları departamenti</v>
          </cell>
          <cell r="D441" t="str">
            <v>HR TechOps, performans və data funksional sahəsi</v>
          </cell>
          <cell r="E441" t="str">
            <v>Ecosystem HR data</v>
          </cell>
          <cell r="F441" t="str">
            <v>Mütəxəssis</v>
          </cell>
          <cell r="G441" t="str">
            <v>A</v>
          </cell>
          <cell r="H441">
            <v>45840</v>
          </cell>
        </row>
        <row r="442">
          <cell r="B442" t="str">
            <v>Əzimova Nərgiz Ağamirzə</v>
          </cell>
          <cell r="C442" t="str">
            <v>İstedadların idarə edilməsi departamenti</v>
          </cell>
          <cell r="D442" t="str">
            <v>İstedadların cəlbi və biznes partnyorluq şöbəsi</v>
          </cell>
          <cell r="E442" t="str">
            <v>#</v>
          </cell>
          <cell r="F442" t="str">
            <v>Şöbə müdiri</v>
          </cell>
          <cell r="G442" t="str">
            <v>A</v>
          </cell>
          <cell r="H442">
            <v>43525</v>
          </cell>
        </row>
        <row r="443">
          <cell r="B443" t="str">
            <v>Hüseynova Qönçə Mehman</v>
          </cell>
          <cell r="C443" t="str">
            <v>İstedadların idarə edilməsi departamenti</v>
          </cell>
          <cell r="D443" t="str">
            <v>İstedadların cəlbi və biznes partnyorluq şöbəsi</v>
          </cell>
          <cell r="E443" t="str">
            <v>#</v>
          </cell>
          <cell r="F443" t="str">
            <v>Menecer</v>
          </cell>
          <cell r="G443" t="str">
            <v>A</v>
          </cell>
          <cell r="H443">
            <v>45243</v>
          </cell>
        </row>
        <row r="444">
          <cell r="B444" t="str">
            <v>Əsədov Əsəd Elşən</v>
          </cell>
          <cell r="C444" t="str">
            <v>İstedadların idarə edilməsi departamenti</v>
          </cell>
          <cell r="D444" t="str">
            <v>İstedadların cəlbi və biznes partnyorluq şöbəsi</v>
          </cell>
          <cell r="E444" t="str">
            <v>#</v>
          </cell>
          <cell r="F444" t="str">
            <v>Menecer</v>
          </cell>
          <cell r="G444" t="str">
            <v>A</v>
          </cell>
          <cell r="H444">
            <v>45189</v>
          </cell>
        </row>
        <row r="445">
          <cell r="B445" t="str">
            <v>Əliyeva Səfurə Nadir</v>
          </cell>
          <cell r="C445" t="str">
            <v>İstedadların idarə edilməsi departamenti</v>
          </cell>
          <cell r="D445" t="str">
            <v>İstedadların cəlbi və biznes partnyorluq şöbəsi</v>
          </cell>
          <cell r="E445" t="str">
            <v>#</v>
          </cell>
          <cell r="F445" t="str">
            <v>Baş mütəxəssis</v>
          </cell>
          <cell r="G445" t="str">
            <v>A</v>
          </cell>
          <cell r="H445">
            <v>44480</v>
          </cell>
        </row>
        <row r="446">
          <cell r="B446" t="str">
            <v>Quliyeva Leyli Rauf</v>
          </cell>
          <cell r="C446" t="str">
            <v>İstedadların idarə edilməsi departamenti</v>
          </cell>
          <cell r="D446" t="str">
            <v>İstedadların cəlbi və biznes partnyorluq şöbəsi</v>
          </cell>
          <cell r="E446" t="str">
            <v>#</v>
          </cell>
          <cell r="F446" t="str">
            <v>Aparıcı mütəxəssis</v>
          </cell>
          <cell r="G446" t="str">
            <v>A</v>
          </cell>
          <cell r="H446">
            <v>44666</v>
          </cell>
        </row>
        <row r="447">
          <cell r="B447" t="str">
            <v>Sadıqova Ayşən Razi</v>
          </cell>
          <cell r="C447" t="str">
            <v>İstedadların idarə edilməsi departamenti</v>
          </cell>
          <cell r="D447" t="str">
            <v>İstedadların cəlbi və biznes partnyorluq şöbəsi</v>
          </cell>
          <cell r="E447" t="str">
            <v>#</v>
          </cell>
          <cell r="F447" t="str">
            <v>Baş mütəxəssis</v>
          </cell>
          <cell r="G447" t="str">
            <v>A</v>
          </cell>
          <cell r="H447">
            <v>45810</v>
          </cell>
        </row>
        <row r="448">
          <cell r="B448" t="str">
            <v>Şalbuzova Aynur İlqar</v>
          </cell>
          <cell r="C448" t="str">
            <v>İstedadların idarə edilməsi departamenti</v>
          </cell>
          <cell r="D448" t="str">
            <v>İstedadların cəlbi və biznes partnyorluq şöbəsi</v>
          </cell>
          <cell r="E448" t="str">
            <v>#</v>
          </cell>
          <cell r="F448" t="str">
            <v>Aparıcı mütəxəssis</v>
          </cell>
          <cell r="G448" t="str">
            <v>A</v>
          </cell>
          <cell r="H448">
            <v>45952</v>
          </cell>
        </row>
        <row r="449">
          <cell r="B449" t="str">
            <v>Məmmədova Ruhəngiz Rauf</v>
          </cell>
          <cell r="C449" t="str">
            <v>İstedadların idarə edilməsi departamenti</v>
          </cell>
          <cell r="D449" t="str">
            <v>İstedadların cəlbi və biznes partnyorluq şöbəsi</v>
          </cell>
          <cell r="E449" t="str">
            <v>#</v>
          </cell>
          <cell r="F449" t="str">
            <v>Aparıcı mütəxəssis</v>
          </cell>
          <cell r="G449" t="str">
            <v>SM</v>
          </cell>
          <cell r="H449">
            <v>44728</v>
          </cell>
        </row>
        <row r="450">
          <cell r="B450" t="str">
            <v>Məsimzadə Sitarə Ələkbər</v>
          </cell>
          <cell r="C450" t="str">
            <v>İstedadların idarə edilməsi departamenti</v>
          </cell>
          <cell r="D450" t="str">
            <v>İstedadların cəlbi və biznes partnyorluq şöbəsi</v>
          </cell>
          <cell r="E450" t="str">
            <v>#</v>
          </cell>
          <cell r="F450" t="str">
            <v>Mütəxəssis(müvəqqəti)</v>
          </cell>
          <cell r="G450" t="str">
            <v>SM</v>
          </cell>
          <cell r="H450">
            <v>45663</v>
          </cell>
        </row>
        <row r="451">
          <cell r="B451" t="str">
            <v>Məmmədli Səltənət Xaqani</v>
          </cell>
          <cell r="C451" t="str">
            <v>İstedadların idarə edilməsi departamenti</v>
          </cell>
          <cell r="D451" t="str">
            <v>İstedadların cəlbi və biznes partnyorluq şöbəsi</v>
          </cell>
          <cell r="E451" t="str">
            <v>#</v>
          </cell>
          <cell r="F451" t="str">
            <v>Mütəxəssis(müvəqqəti)</v>
          </cell>
          <cell r="G451" t="str">
            <v>A</v>
          </cell>
          <cell r="H451">
            <v>45853</v>
          </cell>
        </row>
        <row r="452">
          <cell r="B452" t="str">
            <v>Məmmədxanlı Aytac Mehman</v>
          </cell>
          <cell r="C452" t="str">
            <v>İstedadların idarə edilməsi departamenti</v>
          </cell>
          <cell r="D452" t="str">
            <v>İstedadların cəlbi və biznes partnyorluq şöbəsi</v>
          </cell>
          <cell r="E452" t="str">
            <v>#</v>
          </cell>
          <cell r="F452" t="str">
            <v>Aparıcı mütəxəssis</v>
          </cell>
          <cell r="G452" t="str">
            <v>A</v>
          </cell>
          <cell r="H452">
            <v>45812</v>
          </cell>
        </row>
        <row r="453">
          <cell r="B453" t="str">
            <v>Rasimli Günay Rasim</v>
          </cell>
          <cell r="C453" t="str">
            <v>Təşkilati inkişaf və HR texnologiyaları departamenti</v>
          </cell>
          <cell r="D453" t="str">
            <v>İşəgötürən brendi və KSM funksional sahəsi</v>
          </cell>
          <cell r="E453" t="str">
            <v>#</v>
          </cell>
          <cell r="F453" t="str">
            <v>Menecer</v>
          </cell>
          <cell r="G453" t="str">
            <v>A</v>
          </cell>
          <cell r="H453">
            <v>43193</v>
          </cell>
        </row>
        <row r="454">
          <cell r="B454" t="str">
            <v>Rüstəmli Səbinə Arif</v>
          </cell>
          <cell r="C454" t="str">
            <v>Təşkilati inkişaf və HR texnologiyaları departamenti</v>
          </cell>
          <cell r="D454" t="str">
            <v>İşəgötürən brendi və KSM funksional sahəsi</v>
          </cell>
          <cell r="E454" t="str">
            <v>#</v>
          </cell>
          <cell r="F454" t="str">
            <v>Baş mütəxəssis</v>
          </cell>
          <cell r="G454" t="str">
            <v>A</v>
          </cell>
          <cell r="H454">
            <v>45986</v>
          </cell>
        </row>
        <row r="455">
          <cell r="B455" t="str">
            <v>İbrahimli Aynur Ömər</v>
          </cell>
          <cell r="C455" t="str">
            <v>İstedadların idarə edilməsi departamenti</v>
          </cell>
          <cell r="D455" t="str">
            <v>Performansın idarə edilməsi və işçi bağlılığı şöbəsi</v>
          </cell>
          <cell r="E455" t="str">
            <v>#</v>
          </cell>
          <cell r="F455" t="str">
            <v>Menecer</v>
          </cell>
          <cell r="G455" t="str">
            <v>A</v>
          </cell>
          <cell r="H455">
            <v>45021</v>
          </cell>
        </row>
        <row r="456">
          <cell r="B456" t="str">
            <v>Rəfibəyli Höküməxanım Şahin</v>
          </cell>
          <cell r="C456" t="str">
            <v>İstedadların idarə edilməsi departamenti</v>
          </cell>
          <cell r="D456" t="str">
            <v>Performansın idarə edilməsi və işçi bağlılığı şöbəsi</v>
          </cell>
          <cell r="E456" t="str">
            <v>#</v>
          </cell>
          <cell r="F456" t="str">
            <v>Mütəxəssis</v>
          </cell>
          <cell r="G456" t="str">
            <v>A</v>
          </cell>
          <cell r="H456">
            <v>44173</v>
          </cell>
        </row>
        <row r="457">
          <cell r="B457" t="str">
            <v>İbrahimova Fəxriyyə İlqar</v>
          </cell>
          <cell r="C457" t="str">
            <v>İstedadların idarə edilməsi departamenti</v>
          </cell>
          <cell r="D457" t="str">
            <v>İstedadların cəlbi və biznes partnyorluq şöbəsi</v>
          </cell>
          <cell r="E457" t="str">
            <v>#</v>
          </cell>
          <cell r="F457" t="str">
            <v>Baş mütəxəssis</v>
          </cell>
          <cell r="G457" t="str">
            <v>A</v>
          </cell>
          <cell r="H457">
            <v>43304</v>
          </cell>
        </row>
        <row r="458">
          <cell r="B458" t="str">
            <v>İsrayılova Səbinə Ceyhun</v>
          </cell>
          <cell r="C458" t="str">
            <v>Təşkilati inkişaf və HR texnologiyaları departamenti</v>
          </cell>
          <cell r="D458" t="str">
            <v>HR TechOps, performans və data funksional sahəsi</v>
          </cell>
          <cell r="E458" t="str">
            <v>Ecosystem talent performance</v>
          </cell>
          <cell r="F458" t="str">
            <v>Aparıcı mütəxəssis</v>
          </cell>
          <cell r="G458" t="str">
            <v>A</v>
          </cell>
          <cell r="H458">
            <v>44578</v>
          </cell>
        </row>
        <row r="459">
          <cell r="B459" t="str">
            <v>Mədətova Töhfə Qurban</v>
          </cell>
          <cell r="C459" t="str">
            <v>İstedadların idarə edilməsi departamenti</v>
          </cell>
          <cell r="D459" t="str">
            <v>İstedadların cəlbi və biznes partnyorluq şöbəsi</v>
          </cell>
          <cell r="E459" t="str">
            <v>#</v>
          </cell>
          <cell r="F459" t="str">
            <v>Aparıcı mütəxəssis</v>
          </cell>
          <cell r="G459" t="str">
            <v>A</v>
          </cell>
          <cell r="H459">
            <v>43479</v>
          </cell>
        </row>
        <row r="460">
          <cell r="B460" t="str">
            <v>Cavidan İnanlu Elnaz Moctəba</v>
          </cell>
          <cell r="C460" t="str">
            <v>İstedadların idarə edilməsi departamenti</v>
          </cell>
          <cell r="D460" t="str">
            <v>İstedadların cəlbi və biznes partnyorluq şöbəsi</v>
          </cell>
          <cell r="E460" t="str">
            <v>#</v>
          </cell>
          <cell r="F460" t="str">
            <v>Mütəxəssis</v>
          </cell>
          <cell r="G460" t="str">
            <v>A</v>
          </cell>
          <cell r="H460">
            <v>46155</v>
          </cell>
        </row>
        <row r="461">
          <cell r="B461" t="str">
            <v>Gasımova Tukazban</v>
          </cell>
          <cell r="C461" t="str">
            <v>Təşkilati inkişaf və HR texnologiyaları departamenti</v>
          </cell>
          <cell r="D461" t="str">
            <v>Təşkilati inkişaf və işçi bağlılığı funksional sahəsi</v>
          </cell>
          <cell r="E461" t="str">
            <v>#</v>
          </cell>
          <cell r="F461" t="str">
            <v>Funksional sahə lideri</v>
          </cell>
          <cell r="G461" t="str">
            <v>A</v>
          </cell>
          <cell r="H461">
            <v>43362</v>
          </cell>
        </row>
        <row r="462">
          <cell r="B462" t="str">
            <v>Heydərova Günay Şirzad</v>
          </cell>
          <cell r="C462" t="str">
            <v>Təşkilati inkişaf və HR texnologiyaları departamenti</v>
          </cell>
          <cell r="D462" t="str">
            <v>Təşkilati inkişaf və işçi bağlılığı funksional sahəsi</v>
          </cell>
          <cell r="E462" t="str">
            <v>Learning &amp; Development</v>
          </cell>
          <cell r="F462" t="str">
            <v>Menecer</v>
          </cell>
          <cell r="G462" t="str">
            <v>A</v>
          </cell>
          <cell r="H462">
            <v>42772</v>
          </cell>
        </row>
        <row r="463">
          <cell r="B463" t="str">
            <v>Mansurova Nərmin Şahin</v>
          </cell>
          <cell r="C463" t="str">
            <v>Təşkilati inkişaf və HR texnologiyaları departamenti</v>
          </cell>
          <cell r="D463" t="str">
            <v>Təşkilati inkişaf və işçi bağlılığı funksional sahəsi</v>
          </cell>
          <cell r="E463" t="str">
            <v>Learning &amp; Development</v>
          </cell>
          <cell r="F463" t="str">
            <v>Menecer</v>
          </cell>
          <cell r="G463" t="str">
            <v>A</v>
          </cell>
          <cell r="H463">
            <v>46071</v>
          </cell>
          <cell r="I463" t="str">
            <v>BirMarket</v>
          </cell>
        </row>
        <row r="464">
          <cell r="B464" t="str">
            <v>Paşayeva Şəfiqə Azər</v>
          </cell>
          <cell r="C464" t="str">
            <v>Təşkilati inkişaf və HR texnologiyaları departamenti</v>
          </cell>
          <cell r="D464" t="str">
            <v>Təşkilati inkişaf və işçi bağlılığı funksional sahəsi</v>
          </cell>
          <cell r="E464" t="str">
            <v>Employee Engagement</v>
          </cell>
          <cell r="F464" t="str">
            <v>Menecer</v>
          </cell>
          <cell r="G464" t="str">
            <v>A</v>
          </cell>
          <cell r="H464">
            <v>45323</v>
          </cell>
        </row>
        <row r="465">
          <cell r="B465" t="str">
            <v>Zeynalova Həmidə Gülağa</v>
          </cell>
          <cell r="C465" t="str">
            <v>Təşkilati inkişaf və HR texnologiyaları departamenti</v>
          </cell>
          <cell r="D465" t="str">
            <v>Təşkilati inkişaf və işçi bağlılığı funksional sahəsi</v>
          </cell>
          <cell r="E465" t="str">
            <v>Learning &amp; Development</v>
          </cell>
          <cell r="F465" t="str">
            <v>Aparıcı mütəxəssis</v>
          </cell>
          <cell r="G465" t="str">
            <v>HX</v>
          </cell>
          <cell r="H465">
            <v>46072</v>
          </cell>
          <cell r="I465" t="str">
            <v>Bir Payment</v>
          </cell>
        </row>
        <row r="466">
          <cell r="B466" t="str">
            <v>Axundzadə Nərmin Nazim</v>
          </cell>
          <cell r="C466" t="str">
            <v>Təşkilati inkişaf və HR texnologiyaları departamenti</v>
          </cell>
          <cell r="D466" t="str">
            <v>Təşkilati inkişaf və işçi bağlılığı funksional sahəsi</v>
          </cell>
          <cell r="E466" t="str">
            <v>Learning &amp; Development</v>
          </cell>
          <cell r="F466" t="str">
            <v>Mütəxəssis</v>
          </cell>
          <cell r="G466" t="str">
            <v>A</v>
          </cell>
          <cell r="H466">
            <v>46071</v>
          </cell>
          <cell r="I466" t="str">
            <v>BirMarket</v>
          </cell>
        </row>
        <row r="467">
          <cell r="B467" t="str">
            <v>Quliyeva Nigar Rafiq</v>
          </cell>
          <cell r="C467" t="str">
            <v>Təşkilati inkişaf və HR texnologiyaları departamenti</v>
          </cell>
          <cell r="D467" t="str">
            <v>Təşkilati inkişaf və işçi bağlılığı funksional sahəsi</v>
          </cell>
          <cell r="E467" t="str">
            <v>Learning &amp; Development</v>
          </cell>
          <cell r="F467" t="str">
            <v>Aparıcı mütəxəssis</v>
          </cell>
          <cell r="G467" t="str">
            <v>A</v>
          </cell>
          <cell r="H467">
            <v>45887</v>
          </cell>
        </row>
        <row r="468">
          <cell r="B468" t="str">
            <v>Hümbətov Məhəmməd Əsəd</v>
          </cell>
          <cell r="C468" t="str">
            <v>Təşkilati inkişaf və HR texnologiyaları departamenti</v>
          </cell>
          <cell r="D468" t="str">
            <v>Təşkilati inkişaf və işçi bağlılığı funksional sahəsi</v>
          </cell>
          <cell r="E468" t="str">
            <v>Learning &amp; Development</v>
          </cell>
          <cell r="F468" t="str">
            <v>Aparıcı mütəxəssis</v>
          </cell>
          <cell r="G468" t="str">
            <v>A</v>
          </cell>
          <cell r="H468">
            <v>44652</v>
          </cell>
        </row>
        <row r="469">
          <cell r="B469" t="str">
            <v>Hüseynova İradə Tofiq</v>
          </cell>
          <cell r="C469" t="str">
            <v>Təşkilati inkişaf və HR texnologiyaları departamenti</v>
          </cell>
          <cell r="D469" t="str">
            <v>Təşkilati inkişaf və işçi bağlılığı funksional sahəsi</v>
          </cell>
          <cell r="E469" t="str">
            <v>Learning &amp; Development</v>
          </cell>
          <cell r="F469" t="str">
            <v>Menecer</v>
          </cell>
          <cell r="G469" t="str">
            <v>A</v>
          </cell>
          <cell r="H469">
            <v>42278</v>
          </cell>
        </row>
        <row r="470">
          <cell r="B470" t="str">
            <v>Mustafayev Sabir Mustafa</v>
          </cell>
          <cell r="C470" t="str">
            <v>Təşkilati inkişaf və HR texnologiyaları departamenti</v>
          </cell>
          <cell r="D470" t="str">
            <v>Təşkilati inkişaf və işçi bağlılığı funksional sahəsi</v>
          </cell>
          <cell r="E470" t="str">
            <v>Learning &amp; Development</v>
          </cell>
          <cell r="F470" t="str">
            <v>Menecer</v>
          </cell>
          <cell r="G470" t="str">
            <v>A</v>
          </cell>
          <cell r="H470">
            <v>36724</v>
          </cell>
        </row>
        <row r="471">
          <cell r="B471" t="str">
            <v>Salahova Aysel Müzəffər</v>
          </cell>
          <cell r="C471" t="str">
            <v>Təşkilati inkişaf və HR texnologiyaları departamenti</v>
          </cell>
          <cell r="D471" t="str">
            <v>Təşkilati inkişaf və işçi bağlılığı funksional sahəsi</v>
          </cell>
          <cell r="E471" t="str">
            <v>Learning &amp; Development</v>
          </cell>
          <cell r="F471" t="str">
            <v>Baş mütəxəssis</v>
          </cell>
          <cell r="G471" t="str">
            <v>A</v>
          </cell>
          <cell r="H471">
            <v>44629</v>
          </cell>
        </row>
        <row r="472">
          <cell r="B472" t="str">
            <v>İsayeva Aydan İlham</v>
          </cell>
          <cell r="C472" t="str">
            <v>Təşkilati inkişaf və HR texnologiyaları departamenti</v>
          </cell>
          <cell r="D472" t="str">
            <v>Təşkilati inkişaf və işçi bağlılığı funksional sahəsi</v>
          </cell>
          <cell r="E472" t="str">
            <v>Learning &amp; Development</v>
          </cell>
          <cell r="F472" t="str">
            <v>Mütəxəssis</v>
          </cell>
          <cell r="G472" t="str">
            <v>A</v>
          </cell>
          <cell r="H472">
            <v>45842</v>
          </cell>
        </row>
        <row r="473">
          <cell r="B473" t="str">
            <v>Xasiyev Nəsimi Mais</v>
          </cell>
          <cell r="C473" t="str">
            <v>Kiçik və orta sahibkarlarla iş departamenti</v>
          </cell>
          <cell r="D473" t="str">
            <v>#</v>
          </cell>
          <cell r="E473" t="str">
            <v>#</v>
          </cell>
          <cell r="F473" t="str">
            <v>Direktor</v>
          </cell>
          <cell r="G473" t="str">
            <v>A</v>
          </cell>
          <cell r="H473">
            <v>42786</v>
          </cell>
        </row>
        <row r="474">
          <cell r="B474" t="str">
            <v>Mustafayev Elçin Əkrəm</v>
          </cell>
          <cell r="C474" t="str">
            <v>Kiçik və orta sahibkarlarla iş departamenti</v>
          </cell>
          <cell r="D474" t="str">
            <v>#</v>
          </cell>
          <cell r="E474" t="str">
            <v>#</v>
          </cell>
          <cell r="F474" t="str">
            <v>Direktor müavini</v>
          </cell>
          <cell r="G474" t="str">
            <v>A</v>
          </cell>
          <cell r="H474">
            <v>43844</v>
          </cell>
        </row>
        <row r="475">
          <cell r="B475" t="str">
            <v>Mürsəlov Orxan Fikrət</v>
          </cell>
          <cell r="C475" t="str">
            <v>Kiçik və orta sahibkarlarla iş departamenti</v>
          </cell>
          <cell r="D475" t="str">
            <v>Alternativ satış kanalları şöbəsi</v>
          </cell>
          <cell r="E475" t="str">
            <v>#</v>
          </cell>
          <cell r="F475" t="str">
            <v>Şöbə müdiri</v>
          </cell>
          <cell r="G475" t="str">
            <v>A</v>
          </cell>
          <cell r="H475">
            <v>42860</v>
          </cell>
        </row>
        <row r="476">
          <cell r="B476" t="str">
            <v>Məmmədquliyev Fərhad Süleyman</v>
          </cell>
          <cell r="C476" t="str">
            <v>Kiçik və orta sahibkarlarla iş departamenti</v>
          </cell>
          <cell r="D476" t="str">
            <v>Lizinq və fondlarla iş şöbəsi</v>
          </cell>
          <cell r="E476" t="str">
            <v>#</v>
          </cell>
          <cell r="F476" t="str">
            <v>şöbə müdiri</v>
          </cell>
          <cell r="G476" t="str">
            <v>A</v>
          </cell>
          <cell r="H476">
            <v>43329</v>
          </cell>
        </row>
        <row r="477">
          <cell r="B477" t="str">
            <v>Axundzadə Vüsal Şakir</v>
          </cell>
          <cell r="C477" t="str">
            <v>Kiçik və orta sahibkarlarla iş departamenti</v>
          </cell>
          <cell r="D477" t="str">
            <v>Alternativ satış kanalları şöbəsi</v>
          </cell>
          <cell r="E477" t="str">
            <v>#</v>
          </cell>
          <cell r="F477" t="str">
            <v>Menecer</v>
          </cell>
          <cell r="G477" t="str">
            <v>A</v>
          </cell>
          <cell r="H477">
            <v>43301</v>
          </cell>
        </row>
        <row r="478">
          <cell r="B478" t="str">
            <v>Nəcəfov Şahəddin Mənsur</v>
          </cell>
          <cell r="C478" t="str">
            <v>Kiçik və orta sahibkarlarla iş departamenti</v>
          </cell>
          <cell r="D478" t="str">
            <v>Alternativ satış kanalları şöbəsi</v>
          </cell>
          <cell r="E478" t="str">
            <v>#</v>
          </cell>
          <cell r="F478" t="str">
            <v>Menecer</v>
          </cell>
          <cell r="G478" t="str">
            <v>A</v>
          </cell>
          <cell r="H478">
            <v>43762</v>
          </cell>
        </row>
        <row r="479">
          <cell r="B479" t="str">
            <v>Əliyev Kainat Ağalar</v>
          </cell>
          <cell r="C479" t="str">
            <v>Kiçik və orta sahibkarlarla iş departamenti</v>
          </cell>
          <cell r="D479" t="str">
            <v>Alternativ satış kanalları şöbəsi</v>
          </cell>
          <cell r="E479" t="str">
            <v>#</v>
          </cell>
          <cell r="F479" t="str">
            <v>Baş mütəxəssis</v>
          </cell>
          <cell r="G479" t="str">
            <v>A</v>
          </cell>
          <cell r="H479">
            <v>44879</v>
          </cell>
        </row>
        <row r="480">
          <cell r="B480" t="str">
            <v>Hüseynov Orxan Fikrət</v>
          </cell>
          <cell r="C480" t="str">
            <v>Kiçik və orta sahibkarlarla iş departamenti</v>
          </cell>
          <cell r="D480" t="str">
            <v>Alternativ satış kanalları şöbəsi</v>
          </cell>
          <cell r="E480" t="str">
            <v>#</v>
          </cell>
          <cell r="F480" t="str">
            <v>Baş mütəxəssis (Gəncə zonası üzrə)</v>
          </cell>
          <cell r="G480" t="str">
            <v>A</v>
          </cell>
          <cell r="H480">
            <v>44543</v>
          </cell>
        </row>
        <row r="481">
          <cell r="B481" t="str">
            <v>Quliyev Ayaz Araz</v>
          </cell>
          <cell r="C481" t="str">
            <v>Kiçik və orta sahibkarlarla iş departamenti</v>
          </cell>
          <cell r="D481" t="str">
            <v>Alternativ satış kanalları şöbəsi</v>
          </cell>
          <cell r="E481" t="str">
            <v>#</v>
          </cell>
          <cell r="F481" t="str">
            <v>Baş mütəxəssis (Mingəçevir zonası üzrə)</v>
          </cell>
          <cell r="G481" t="str">
            <v>A</v>
          </cell>
          <cell r="H481">
            <v>44579</v>
          </cell>
        </row>
        <row r="482">
          <cell r="B482" t="str">
            <v>Əhmədov Fəxri Babək</v>
          </cell>
          <cell r="C482" t="str">
            <v>Kiçik və orta sahibkarlarla iş departamenti</v>
          </cell>
          <cell r="D482" t="str">
            <v>Alternativ satış kanalları şöbəsi</v>
          </cell>
          <cell r="E482" t="str">
            <v>#</v>
          </cell>
          <cell r="F482" t="str">
            <v>Baş mütəxəssis (Şirvan zonası üzrə)</v>
          </cell>
          <cell r="G482" t="str">
            <v>A</v>
          </cell>
          <cell r="H482">
            <v>44267</v>
          </cell>
        </row>
        <row r="483">
          <cell r="B483" t="str">
            <v>Rəfibəyli Türkel Oqtay</v>
          </cell>
          <cell r="C483" t="str">
            <v>Kiçik və orta sahibkarlarla iş departamenti</v>
          </cell>
          <cell r="D483" t="str">
            <v>Alternativ satış kanalları şöbəsi</v>
          </cell>
          <cell r="E483" t="str">
            <v>#</v>
          </cell>
          <cell r="F483" t="str">
            <v>Aparıcı mütəxəssis</v>
          </cell>
          <cell r="G483" t="str">
            <v>A</v>
          </cell>
          <cell r="H483">
            <v>43857</v>
          </cell>
        </row>
        <row r="484">
          <cell r="B484" t="str">
            <v>İbrəhimli Murad Hakim</v>
          </cell>
          <cell r="C484" t="str">
            <v>Kiçik və orta sahibkarlarla iş departamenti</v>
          </cell>
          <cell r="D484" t="str">
            <v>Alternativ satış kanalları şöbəsi</v>
          </cell>
          <cell r="E484" t="str">
            <v>#</v>
          </cell>
          <cell r="F484" t="str">
            <v>Aparıcı mütəxəssis</v>
          </cell>
          <cell r="G484" t="str">
            <v>A</v>
          </cell>
          <cell r="H484">
            <v>45162</v>
          </cell>
        </row>
        <row r="485">
          <cell r="B485" t="str">
            <v>Həsənov Oruc İlqar</v>
          </cell>
          <cell r="C485" t="str">
            <v>Kiçik və orta sahibkarlarla iş departamenti</v>
          </cell>
          <cell r="D485" t="str">
            <v>Alternativ satış kanalları şöbəsi</v>
          </cell>
          <cell r="E485" t="str">
            <v>#</v>
          </cell>
          <cell r="F485" t="str">
            <v>Aparıcı mütəxəssis (Zaqatala zonası üzrə)</v>
          </cell>
          <cell r="G485" t="str">
            <v>A</v>
          </cell>
          <cell r="H485">
            <v>43090</v>
          </cell>
        </row>
        <row r="486">
          <cell r="B486" t="str">
            <v>Əhmədli Əsgər Cavanşir</v>
          </cell>
          <cell r="C486" t="str">
            <v>Kiçik və orta sahibkarlarla iş departamenti</v>
          </cell>
          <cell r="D486" t="str">
            <v>Lizinq və fondlarla iş şöbəsi</v>
          </cell>
          <cell r="E486" t="str">
            <v>#</v>
          </cell>
          <cell r="F486" t="str">
            <v>Aparıcı mütəxəssis</v>
          </cell>
          <cell r="G486" t="str">
            <v>A</v>
          </cell>
          <cell r="H486">
            <v>44879</v>
          </cell>
        </row>
        <row r="487">
          <cell r="B487" t="str">
            <v>Quliyeva Fəridə Rauf</v>
          </cell>
          <cell r="C487" t="str">
            <v>Kiçik və orta sahibkarlarla iş departamenti</v>
          </cell>
          <cell r="D487" t="str">
            <v>Lizinq və fondlarla iş şöbəsi</v>
          </cell>
          <cell r="E487" t="str">
            <v>#</v>
          </cell>
          <cell r="F487" t="str">
            <v>Mütəxəssis</v>
          </cell>
          <cell r="G487" t="str">
            <v>A</v>
          </cell>
          <cell r="H487">
            <v>45226</v>
          </cell>
        </row>
        <row r="488">
          <cell r="B488" t="str">
            <v>Səmədova Əminə Elxan</v>
          </cell>
          <cell r="C488" t="str">
            <v>Kiçik və orta sahibkarlarla iş departamenti</v>
          </cell>
          <cell r="D488" t="str">
            <v>Lizinq və fondlarla iş şöbəsi</v>
          </cell>
          <cell r="E488" t="str">
            <v>#</v>
          </cell>
          <cell r="F488" t="str">
            <v>Mütəxəssis</v>
          </cell>
          <cell r="G488" t="str">
            <v>A</v>
          </cell>
          <cell r="H488">
            <v>46260</v>
          </cell>
        </row>
        <row r="489">
          <cell r="B489" t="str">
            <v>Hüseynov Emin Rəhim</v>
          </cell>
          <cell r="C489" t="str">
            <v>Kiçik və orta sahibkarlarla iş departamenti</v>
          </cell>
          <cell r="D489" t="str">
            <v>Alternativ satış kanalları şöbəsi</v>
          </cell>
          <cell r="E489" t="str">
            <v>#</v>
          </cell>
          <cell r="F489" t="str">
            <v>Mütəxəssis</v>
          </cell>
          <cell r="G489" t="str">
            <v>A</v>
          </cell>
          <cell r="H489">
            <v>44859</v>
          </cell>
        </row>
        <row r="490">
          <cell r="B490" t="str">
            <v>Hüseynzadə Kamil Əvdil</v>
          </cell>
          <cell r="C490" t="str">
            <v>Kiçik və orta sahibkarlarla iş departamenti</v>
          </cell>
          <cell r="D490" t="str">
            <v>Alternativ satış kanalları şöbəsi</v>
          </cell>
          <cell r="E490" t="str">
            <v>#</v>
          </cell>
          <cell r="F490" t="str">
            <v>Mütəxəssis</v>
          </cell>
          <cell r="G490" t="str">
            <v>A</v>
          </cell>
          <cell r="H490">
            <v>45064</v>
          </cell>
        </row>
        <row r="491">
          <cell r="B491" t="str">
            <v>Nəbizadə Məhəmməd Hüseyn</v>
          </cell>
          <cell r="C491" t="str">
            <v>Kiçik və orta sahibkarlarla iş departamenti</v>
          </cell>
          <cell r="D491" t="str">
            <v>Lizinq və fondlarla iş şöbəsi</v>
          </cell>
          <cell r="E491" t="str">
            <v>#</v>
          </cell>
          <cell r="F491" t="str">
            <v>Mütəxəssis</v>
          </cell>
          <cell r="G491" t="str">
            <v>A</v>
          </cell>
          <cell r="H491">
            <v>45530</v>
          </cell>
        </row>
        <row r="492">
          <cell r="B492" t="str">
            <v>Yaqubov Süleyman Elman</v>
          </cell>
          <cell r="C492" t="str">
            <v>Kiçik və orta sahibkarlarla iş departamenti</v>
          </cell>
          <cell r="D492" t="str">
            <v>Lizinq və fondlarla iş şöbəsi</v>
          </cell>
          <cell r="E492" t="str">
            <v>#</v>
          </cell>
          <cell r="F492" t="str">
            <v>Mütəxəssis</v>
          </cell>
          <cell r="G492" t="str">
            <v>A</v>
          </cell>
          <cell r="H492">
            <v>45439</v>
          </cell>
        </row>
        <row r="493">
          <cell r="B493" t="str">
            <v>Qəhrəmanlı Ülvi Akif</v>
          </cell>
          <cell r="C493" t="str">
            <v>Kiçik və orta sahibkarlarla iş departamenti</v>
          </cell>
          <cell r="D493" t="str">
            <v>Lizinq və fondlarla iş şöbəsi</v>
          </cell>
          <cell r="E493" t="str">
            <v>#</v>
          </cell>
          <cell r="F493" t="str">
            <v>Mütəxəssis</v>
          </cell>
          <cell r="G493" t="str">
            <v>A</v>
          </cell>
          <cell r="H493">
            <v>46115</v>
          </cell>
        </row>
        <row r="494">
          <cell r="B494" t="str">
            <v>Xasıyev Natiq Xalis</v>
          </cell>
          <cell r="C494" t="str">
            <v>Kiçik və orta sahibkarlarla iş departamenti</v>
          </cell>
          <cell r="D494" t="str">
            <v>Alternativ satış kanalları şöbəsi</v>
          </cell>
          <cell r="E494" t="str">
            <v>#</v>
          </cell>
          <cell r="F494" t="str">
            <v>aparıcı mütəxəssis (Şəki zonası üzrə)</v>
          </cell>
          <cell r="G494" t="str">
            <v>A</v>
          </cell>
          <cell r="H494">
            <v>42614</v>
          </cell>
        </row>
        <row r="495">
          <cell r="B495" t="str">
            <v>İsmayılov Tural Qadir</v>
          </cell>
          <cell r="C495" t="str">
            <v>Kiçik və orta sahibkarlarla iş departamenti</v>
          </cell>
          <cell r="D495" t="str">
            <v>Alternativ satış kanalları şöbəsi</v>
          </cell>
          <cell r="E495" t="str">
            <v>#</v>
          </cell>
          <cell r="F495" t="str">
            <v>Aparıcı mütəxəssis (Bərdə zonası üzrə)</v>
          </cell>
          <cell r="G495" t="str">
            <v>A</v>
          </cell>
          <cell r="H495">
            <v>43104</v>
          </cell>
        </row>
        <row r="496">
          <cell r="B496" t="str">
            <v>Atakişiyev Qurban Rafis</v>
          </cell>
          <cell r="C496" t="str">
            <v>Kiçik və orta sahibkarlarla iş departamenti</v>
          </cell>
          <cell r="D496" t="str">
            <v>Alternativ satış kanalları şöbəsi</v>
          </cell>
          <cell r="E496" t="str">
            <v>#</v>
          </cell>
          <cell r="F496" t="str">
            <v>Mütəxəssis</v>
          </cell>
          <cell r="G496" t="str">
            <v>A</v>
          </cell>
          <cell r="H496">
            <v>45792</v>
          </cell>
        </row>
        <row r="497">
          <cell r="B497" t="str">
            <v>Beydullayeva Sədəfxanım Elşən</v>
          </cell>
          <cell r="C497" t="str">
            <v>Kiçik və orta sahibkarlarla iş departamenti</v>
          </cell>
          <cell r="D497" t="str">
            <v>Alternativ satış kanalları şöbəsi</v>
          </cell>
          <cell r="E497" t="str">
            <v>#</v>
          </cell>
          <cell r="F497" t="str">
            <v>Mütəxəssis</v>
          </cell>
          <cell r="G497" t="str">
            <v>A</v>
          </cell>
          <cell r="H497">
            <v>45257</v>
          </cell>
        </row>
        <row r="498">
          <cell r="B498" t="str">
            <v>Xankişiyeva Süsən Nazim</v>
          </cell>
          <cell r="C498" t="str">
            <v>Kiçik və orta sahibkarlarla iş departamenti</v>
          </cell>
          <cell r="D498" t="str">
            <v>Alternativ satış kanalları şöbəsi</v>
          </cell>
          <cell r="E498" t="str">
            <v>#</v>
          </cell>
          <cell r="F498" t="str">
            <v>Mütəxəssis</v>
          </cell>
          <cell r="G498" t="str">
            <v>A</v>
          </cell>
          <cell r="H498">
            <v>45267</v>
          </cell>
        </row>
        <row r="499">
          <cell r="B499" t="str">
            <v>Əzimov Nihad Fuad</v>
          </cell>
          <cell r="C499" t="str">
            <v>Kiçik və orta sahibkarlarla iş departamenti</v>
          </cell>
          <cell r="D499" t="str">
            <v>Alternativ satış kanalları şöbəsi</v>
          </cell>
          <cell r="E499" t="str">
            <v>#</v>
          </cell>
          <cell r="F499" t="str">
            <v>Mütəxəssis</v>
          </cell>
          <cell r="G499" t="str">
            <v>A</v>
          </cell>
          <cell r="H499">
            <v>45267</v>
          </cell>
        </row>
        <row r="500">
          <cell r="B500" t="str">
            <v>Nürəddinli Elçin Natiq</v>
          </cell>
          <cell r="C500" t="str">
            <v>Kiçik və orta sahibkarlarla iş departamenti</v>
          </cell>
          <cell r="D500" t="str">
            <v>Alternativ satış kanalları şöbəsi</v>
          </cell>
          <cell r="E500" t="str">
            <v>#</v>
          </cell>
          <cell r="F500" t="str">
            <v>Mütəxəssis</v>
          </cell>
          <cell r="G500" t="str">
            <v>A</v>
          </cell>
          <cell r="H500">
            <v>45792</v>
          </cell>
        </row>
        <row r="501">
          <cell r="B501" t="str">
            <v>Osmanlı Kamran Mehralı</v>
          </cell>
          <cell r="C501" t="str">
            <v>Kiçik və orta sahibkarlarla iş departamenti</v>
          </cell>
          <cell r="D501" t="str">
            <v>Alternativ satış kanalları şöbəsi</v>
          </cell>
          <cell r="E501" t="str">
            <v>#</v>
          </cell>
          <cell r="F501" t="str">
            <v>Kiçik mütəxəssis</v>
          </cell>
          <cell r="G501" t="str">
            <v>A</v>
          </cell>
          <cell r="H501">
            <v>46255</v>
          </cell>
        </row>
        <row r="502">
          <cell r="B502" t="str">
            <v>Əzimov Nicat Samir</v>
          </cell>
          <cell r="C502" t="str">
            <v>Kiçik və orta sahibkarlarla iş departamenti</v>
          </cell>
          <cell r="D502" t="str">
            <v>Alternativ satış kanalları şöbəsi</v>
          </cell>
          <cell r="E502" t="str">
            <v>#</v>
          </cell>
          <cell r="F502" t="str">
            <v>Kiçik mütəxəssis</v>
          </cell>
          <cell r="G502" t="str">
            <v>A</v>
          </cell>
          <cell r="H502">
            <v>46259</v>
          </cell>
        </row>
        <row r="503">
          <cell r="B503" t="str">
            <v>Tahirova Aytən Bayandur</v>
          </cell>
          <cell r="C503" t="str">
            <v>Kiçik və orta sahibkarlarla iş departamenti</v>
          </cell>
          <cell r="D503" t="str">
            <v>Lizinq və fondlarla iş şöbəsi</v>
          </cell>
          <cell r="E503" t="str">
            <v>#</v>
          </cell>
          <cell r="F503" t="str">
            <v>Mütəxəssis</v>
          </cell>
          <cell r="G503" t="str">
            <v>A</v>
          </cell>
          <cell r="H503">
            <v>45831</v>
          </cell>
        </row>
        <row r="504">
          <cell r="B504" t="str">
            <v>Baratov Səbuhi Kənan</v>
          </cell>
          <cell r="C504" t="str">
            <v>Kiçik və orta sahibkarlarla iş departamenti</v>
          </cell>
          <cell r="D504" t="str">
            <v>Lizinq və fondlarla iş şöbəsi</v>
          </cell>
          <cell r="E504" t="str">
            <v>#</v>
          </cell>
          <cell r="F504" t="str">
            <v>Mütəxəssis</v>
          </cell>
          <cell r="G504" t="str">
            <v>A</v>
          </cell>
          <cell r="H504">
            <v>45842</v>
          </cell>
        </row>
        <row r="505">
          <cell r="B505" t="str">
            <v>Məmmədli Nadir Zəlimxan</v>
          </cell>
          <cell r="C505" t="str">
            <v>Kiçik və orta sahibkarlarla iş departamenti</v>
          </cell>
          <cell r="D505" t="str">
            <v>KOS satışlar şöbəsi</v>
          </cell>
          <cell r="E505" t="str">
            <v>#</v>
          </cell>
          <cell r="F505" t="str">
            <v>Şöbə müdiri</v>
          </cell>
          <cell r="G505" t="str">
            <v>A</v>
          </cell>
          <cell r="H505">
            <v>43171</v>
          </cell>
        </row>
        <row r="506">
          <cell r="B506" t="str">
            <v>Aslanov Mirfazil Mirəziz</v>
          </cell>
          <cell r="C506" t="str">
            <v>Kiçik və orta sahibkarlarla iş departamenti</v>
          </cell>
          <cell r="D506" t="str">
            <v>KOS satışlar şöbəsi</v>
          </cell>
          <cell r="E506" t="str">
            <v>#</v>
          </cell>
          <cell r="F506" t="str">
            <v>Menecer</v>
          </cell>
          <cell r="G506" t="str">
            <v>A</v>
          </cell>
          <cell r="H506">
            <v>42865</v>
          </cell>
        </row>
        <row r="507">
          <cell r="B507" t="str">
            <v>Orucov Emin Sabir</v>
          </cell>
          <cell r="C507" t="str">
            <v>Kiçik və orta sahibkarlarla iş departamenti</v>
          </cell>
          <cell r="D507" t="str">
            <v>KOS satışlar şöbəsi</v>
          </cell>
          <cell r="E507" t="str">
            <v>#</v>
          </cell>
          <cell r="F507" t="str">
            <v>Menecer</v>
          </cell>
          <cell r="G507" t="str">
            <v>A</v>
          </cell>
          <cell r="H507">
            <v>44533</v>
          </cell>
        </row>
        <row r="508">
          <cell r="B508" t="str">
            <v>Zeynallı Rəşad Namiq</v>
          </cell>
          <cell r="C508" t="str">
            <v>Kiçik və orta sahibkarlarla iş departamenti</v>
          </cell>
          <cell r="D508" t="str">
            <v>KOS satışlar şöbəsi</v>
          </cell>
          <cell r="E508" t="str">
            <v>#</v>
          </cell>
          <cell r="F508" t="str">
            <v>Menecer</v>
          </cell>
          <cell r="G508" t="str">
            <v>A</v>
          </cell>
          <cell r="H508">
            <v>43245</v>
          </cell>
        </row>
        <row r="509">
          <cell r="B509" t="str">
            <v>Məmmədov Orxan Mehman</v>
          </cell>
          <cell r="C509" t="str">
            <v>Kiçik və orta sahibkarlarla iş departamenti</v>
          </cell>
          <cell r="D509" t="str">
            <v>KOS satışlar şöbəsi</v>
          </cell>
          <cell r="E509" t="str">
            <v>#</v>
          </cell>
          <cell r="F509" t="str">
            <v>Menecer</v>
          </cell>
          <cell r="G509" t="str">
            <v>A</v>
          </cell>
          <cell r="H509">
            <v>43893</v>
          </cell>
        </row>
        <row r="510">
          <cell r="B510" t="str">
            <v>Rəhimli Cavid Gülağa</v>
          </cell>
          <cell r="C510" t="str">
            <v>Kiçik və orta sahibkarlarla iş departamenti</v>
          </cell>
          <cell r="D510" t="str">
            <v>KOS satışlar şöbəsi</v>
          </cell>
          <cell r="E510" t="str">
            <v>#</v>
          </cell>
          <cell r="F510" t="str">
            <v>Menecer</v>
          </cell>
          <cell r="G510" t="str">
            <v>A</v>
          </cell>
          <cell r="H510">
            <v>43696</v>
          </cell>
        </row>
        <row r="511">
          <cell r="B511" t="str">
            <v>Fətəliyev Elmir Fətəli</v>
          </cell>
          <cell r="C511" t="str">
            <v>Kiçik və orta sahibkarlarla iş departamenti</v>
          </cell>
          <cell r="D511" t="str">
            <v>KOS satışlar şöbəsi</v>
          </cell>
          <cell r="E511" t="str">
            <v>#</v>
          </cell>
          <cell r="F511" t="str">
            <v>Menecer</v>
          </cell>
          <cell r="G511" t="str">
            <v>A</v>
          </cell>
          <cell r="H511">
            <v>42657</v>
          </cell>
        </row>
        <row r="512">
          <cell r="B512" t="str">
            <v>Ağayev Zöhrab Gülbala</v>
          </cell>
          <cell r="C512" t="str">
            <v>Kiçik və orta sahibkarlarla iş departamenti</v>
          </cell>
          <cell r="D512" t="str">
            <v>KOS satışlar şöbəsi</v>
          </cell>
          <cell r="E512" t="str">
            <v>#</v>
          </cell>
          <cell r="F512" t="str">
            <v>Menecer</v>
          </cell>
          <cell r="G512" t="str">
            <v>A</v>
          </cell>
          <cell r="H512">
            <v>43929</v>
          </cell>
        </row>
        <row r="513">
          <cell r="B513" t="str">
            <v>Qarayev İlkin Mətləb</v>
          </cell>
          <cell r="C513" t="str">
            <v>Kiçik və orta sahibkarlarla iş departamenti</v>
          </cell>
          <cell r="D513" t="str">
            <v>KOS satışlar şöbəsi</v>
          </cell>
          <cell r="E513" t="str">
            <v>#</v>
          </cell>
          <cell r="F513" t="str">
            <v>Menecer</v>
          </cell>
          <cell r="G513" t="str">
            <v>A</v>
          </cell>
          <cell r="H513">
            <v>43710</v>
          </cell>
        </row>
        <row r="514">
          <cell r="B514" t="str">
            <v>Dəmirov Həbib Böyükkişi</v>
          </cell>
          <cell r="C514" t="str">
            <v>Kiçik və orta sahibkarlarla iş departamenti</v>
          </cell>
          <cell r="D514" t="str">
            <v>KOS satışlar şöbəsi</v>
          </cell>
          <cell r="E514" t="str">
            <v>#</v>
          </cell>
          <cell r="F514" t="str">
            <v>Menecer</v>
          </cell>
          <cell r="G514" t="str">
            <v>A</v>
          </cell>
          <cell r="H514">
            <v>43525</v>
          </cell>
        </row>
        <row r="515">
          <cell r="B515" t="str">
            <v>Qocazadə Rəhim Xosrov</v>
          </cell>
          <cell r="C515" t="str">
            <v>Kiçik və orta sahibkarlarla iş departamenti</v>
          </cell>
          <cell r="D515" t="str">
            <v>KOS satışlar şöbəsi</v>
          </cell>
          <cell r="E515" t="str">
            <v>#</v>
          </cell>
          <cell r="F515" t="str">
            <v>Baş mütəxəssis</v>
          </cell>
          <cell r="G515" t="str">
            <v>A</v>
          </cell>
          <cell r="H515">
            <v>43752</v>
          </cell>
        </row>
        <row r="516">
          <cell r="B516" t="str">
            <v>Talıblı Lətif Rəfail</v>
          </cell>
          <cell r="C516" t="str">
            <v>Kiçik və orta sahibkarlarla iş departamenti</v>
          </cell>
          <cell r="D516" t="str">
            <v>KOS satışlar şöbəsi</v>
          </cell>
          <cell r="E516" t="str">
            <v>#</v>
          </cell>
          <cell r="F516" t="str">
            <v>Baş mütəxəssis</v>
          </cell>
          <cell r="G516" t="str">
            <v>A</v>
          </cell>
          <cell r="H516">
            <v>43501</v>
          </cell>
        </row>
        <row r="517">
          <cell r="B517" t="str">
            <v>Səfərəliyev Samir Kamil</v>
          </cell>
          <cell r="C517" t="str">
            <v>Kiçik və orta sahibkarlarla iş departamenti</v>
          </cell>
          <cell r="D517" t="str">
            <v>KOS satışlar şöbəsi</v>
          </cell>
          <cell r="E517" t="str">
            <v>#</v>
          </cell>
          <cell r="F517" t="str">
            <v>Baş mütəxəssis</v>
          </cell>
          <cell r="G517" t="str">
            <v>A</v>
          </cell>
          <cell r="H517">
            <v>45030</v>
          </cell>
        </row>
        <row r="518">
          <cell r="B518" t="str">
            <v>Əsgərov Vüsal Çingiz</v>
          </cell>
          <cell r="C518" t="str">
            <v>Kiçik və orta sahibkarlarla iş departamenti</v>
          </cell>
          <cell r="D518" t="str">
            <v>KOS satışlar şöbəsi</v>
          </cell>
          <cell r="E518" t="str">
            <v>#</v>
          </cell>
          <cell r="F518" t="str">
            <v>Baş mütəxəssis</v>
          </cell>
          <cell r="G518" t="str">
            <v>A</v>
          </cell>
          <cell r="H518">
            <v>45085</v>
          </cell>
        </row>
        <row r="519">
          <cell r="B519" t="str">
            <v>Rəsulov Toğrul Mikayıl</v>
          </cell>
          <cell r="C519" t="str">
            <v>Kiçik və orta sahibkarlarla iş departamenti</v>
          </cell>
          <cell r="D519" t="str">
            <v>KOS satışlar şöbəsi</v>
          </cell>
          <cell r="E519" t="str">
            <v>#</v>
          </cell>
          <cell r="F519" t="str">
            <v>Baş mütəxəssis</v>
          </cell>
          <cell r="G519" t="str">
            <v>A</v>
          </cell>
          <cell r="H519">
            <v>43427</v>
          </cell>
        </row>
        <row r="520">
          <cell r="B520" t="str">
            <v>Məmmədov Rauf Aydın</v>
          </cell>
          <cell r="C520" t="str">
            <v>Kiçik və orta sahibkarlarla iş departamenti</v>
          </cell>
          <cell r="D520" t="str">
            <v>KOS satışlar şöbəsi</v>
          </cell>
          <cell r="E520" t="str">
            <v>#</v>
          </cell>
          <cell r="F520" t="str">
            <v>Baş mütəxəssis</v>
          </cell>
          <cell r="G520" t="str">
            <v>A</v>
          </cell>
          <cell r="H520">
            <v>43405</v>
          </cell>
        </row>
        <row r="521">
          <cell r="B521" t="str">
            <v>Seydəlizadə Nurlan Elxan</v>
          </cell>
          <cell r="C521" t="str">
            <v>Kiçik və orta sahibkarlarla iş departamenti</v>
          </cell>
          <cell r="D521" t="str">
            <v>KOS satışlar şöbəsi</v>
          </cell>
          <cell r="E521" t="str">
            <v>#</v>
          </cell>
          <cell r="F521" t="str">
            <v>menecer</v>
          </cell>
          <cell r="G521" t="str">
            <v>A</v>
          </cell>
          <cell r="H521">
            <v>43727</v>
          </cell>
        </row>
        <row r="522">
          <cell r="B522" t="str">
            <v>Seyidov Məhəmməd Said</v>
          </cell>
          <cell r="C522" t="str">
            <v>Kiçik və orta sahibkarlarla iş departamenti</v>
          </cell>
          <cell r="D522" t="str">
            <v>KOS satışlar şöbəsi</v>
          </cell>
          <cell r="E522" t="str">
            <v>#</v>
          </cell>
          <cell r="F522" t="str">
            <v>Baş mütəxəssis</v>
          </cell>
          <cell r="G522" t="str">
            <v>A</v>
          </cell>
          <cell r="H522">
            <v>43620</v>
          </cell>
        </row>
        <row r="523">
          <cell r="B523" t="str">
            <v>Quliyev Seymur Tofiq</v>
          </cell>
          <cell r="C523" t="str">
            <v>Kiçik və orta sahibkarlarla iş departamenti</v>
          </cell>
          <cell r="D523" t="str">
            <v>KOS satışlar şöbəsi</v>
          </cell>
          <cell r="E523" t="str">
            <v>#</v>
          </cell>
          <cell r="F523" t="str">
            <v>baş mütəxəssis</v>
          </cell>
          <cell r="G523" t="str">
            <v>A</v>
          </cell>
          <cell r="H523">
            <v>43847</v>
          </cell>
        </row>
        <row r="524">
          <cell r="B524" t="str">
            <v>Babayev Firuddin Fikrət</v>
          </cell>
          <cell r="C524" t="str">
            <v>Kiçik və orta sahibkarlarla iş departamenti</v>
          </cell>
          <cell r="D524" t="str">
            <v>KOS satışlar şöbəsi</v>
          </cell>
          <cell r="E524" t="str">
            <v>#</v>
          </cell>
          <cell r="F524" t="str">
            <v>baş mütəxəssis</v>
          </cell>
          <cell r="G524" t="str">
            <v>A</v>
          </cell>
          <cell r="H524">
            <v>44351</v>
          </cell>
        </row>
        <row r="525">
          <cell r="B525" t="str">
            <v>Bəşirli Yusif Vüqar</v>
          </cell>
          <cell r="C525" t="str">
            <v>Kiçik və orta sahibkarlarla iş departamenti</v>
          </cell>
          <cell r="D525" t="str">
            <v>KOS satışlar şöbəsi</v>
          </cell>
          <cell r="E525" t="str">
            <v>#</v>
          </cell>
          <cell r="F525" t="str">
            <v>baş mütəxəssis</v>
          </cell>
          <cell r="G525" t="str">
            <v>A</v>
          </cell>
          <cell r="H525">
            <v>43710</v>
          </cell>
        </row>
        <row r="526">
          <cell r="B526" t="str">
            <v>Kosayev Həmid Cahandar</v>
          </cell>
          <cell r="C526" t="str">
            <v>Kiçik və orta sahibkarlarla iş departamenti</v>
          </cell>
          <cell r="D526" t="str">
            <v>KOS satışlar şöbəsi</v>
          </cell>
          <cell r="E526" t="str">
            <v>#</v>
          </cell>
          <cell r="F526" t="str">
            <v>baş mütəxəssis</v>
          </cell>
          <cell r="G526" t="str">
            <v>A</v>
          </cell>
          <cell r="H526">
            <v>43728</v>
          </cell>
        </row>
        <row r="527">
          <cell r="B527" t="str">
            <v>Məmmədov Cabir Sabir</v>
          </cell>
          <cell r="C527" t="str">
            <v>Kiçik və orta sahibkarlarla iş departamenti</v>
          </cell>
          <cell r="D527" t="str">
            <v>KOS satışlar şöbəsi</v>
          </cell>
          <cell r="E527" t="str">
            <v>#</v>
          </cell>
          <cell r="F527" t="str">
            <v>baş mütəxəssis</v>
          </cell>
          <cell r="G527" t="str">
            <v>A</v>
          </cell>
          <cell r="H527">
            <v>43696</v>
          </cell>
        </row>
        <row r="528">
          <cell r="B528" t="str">
            <v>Hümbətov Bilal Vidadi</v>
          </cell>
          <cell r="C528" t="str">
            <v>Kiçik və orta sahibkarlarla iş departamenti</v>
          </cell>
          <cell r="D528" t="str">
            <v>KOS satışlar şöbəsi</v>
          </cell>
          <cell r="E528" t="str">
            <v>#</v>
          </cell>
          <cell r="F528" t="str">
            <v>baş mütəxəssis</v>
          </cell>
          <cell r="G528" t="str">
            <v>A</v>
          </cell>
          <cell r="H528">
            <v>43699</v>
          </cell>
        </row>
        <row r="529">
          <cell r="B529" t="str">
            <v>Abdullayev Müşfiq Şahin</v>
          </cell>
          <cell r="C529" t="str">
            <v>Kiçik və orta sahibkarlarla iş departamenti</v>
          </cell>
          <cell r="D529" t="str">
            <v>KOS satışlar şöbəsi</v>
          </cell>
          <cell r="E529" t="str">
            <v>#</v>
          </cell>
          <cell r="F529" t="str">
            <v>Baş mütəxəssis</v>
          </cell>
          <cell r="G529" t="str">
            <v>A</v>
          </cell>
          <cell r="H529">
            <v>44673</v>
          </cell>
        </row>
        <row r="530">
          <cell r="B530" t="str">
            <v>Əliyev Sadiq Adil</v>
          </cell>
          <cell r="C530" t="str">
            <v>Kiçik və orta sahibkarlarla iş departamenti</v>
          </cell>
          <cell r="D530" t="str">
            <v>KOS satışlar şöbəsi</v>
          </cell>
          <cell r="E530" t="str">
            <v>#</v>
          </cell>
          <cell r="F530" t="str">
            <v>Aparıcı mütəxəssis</v>
          </cell>
          <cell r="G530" t="str">
            <v>A</v>
          </cell>
          <cell r="H530">
            <v>44250</v>
          </cell>
        </row>
        <row r="531">
          <cell r="B531" t="str">
            <v>Məcidzadə Məcid Siyavuş</v>
          </cell>
          <cell r="C531" t="str">
            <v>Kiçik və orta sahibkarlarla iş departamenti</v>
          </cell>
          <cell r="D531" t="str">
            <v>KOS satışlar şöbəsi</v>
          </cell>
          <cell r="E531" t="str">
            <v>#</v>
          </cell>
          <cell r="F531" t="str">
            <v>Baş mütəxəssis</v>
          </cell>
          <cell r="G531" t="str">
            <v>A</v>
          </cell>
          <cell r="H531">
            <v>44672</v>
          </cell>
        </row>
        <row r="532">
          <cell r="B532" t="str">
            <v>Həsənov Baxşeyiş İmamqulu</v>
          </cell>
          <cell r="C532" t="str">
            <v>Kiçik və orta sahibkarlarla iş departamenti</v>
          </cell>
          <cell r="D532" t="str">
            <v>KOS satışlar şöbəsi</v>
          </cell>
          <cell r="E532" t="str">
            <v>#</v>
          </cell>
          <cell r="F532" t="str">
            <v>Baş mütəxəssis</v>
          </cell>
          <cell r="G532" t="str">
            <v>A</v>
          </cell>
          <cell r="H532">
            <v>42289</v>
          </cell>
        </row>
        <row r="533">
          <cell r="B533" t="str">
            <v>Layıcova Xədicə Eyvaz</v>
          </cell>
          <cell r="C533" t="str">
            <v>Kiçik və orta sahibkarlarla iş departamenti</v>
          </cell>
          <cell r="D533" t="str">
            <v>KOS satışlar şöbəsi</v>
          </cell>
          <cell r="E533" t="str">
            <v>#</v>
          </cell>
          <cell r="F533" t="str">
            <v>Aparıcı mütəxəssis</v>
          </cell>
          <cell r="G533" t="str">
            <v>A</v>
          </cell>
          <cell r="H533">
            <v>41967</v>
          </cell>
        </row>
        <row r="534">
          <cell r="B534" t="str">
            <v>Zeynallı Allahşükür Ərrəhman</v>
          </cell>
          <cell r="C534" t="str">
            <v>Kiçik və orta sahibkarlarla iş departamenti</v>
          </cell>
          <cell r="D534" t="str">
            <v>KOS satışlar şöbəsi</v>
          </cell>
          <cell r="E534" t="str">
            <v>#</v>
          </cell>
          <cell r="F534" t="str">
            <v>Aparıcı mütəxəssis</v>
          </cell>
          <cell r="G534" t="str">
            <v>A</v>
          </cell>
          <cell r="H534">
            <v>43893</v>
          </cell>
        </row>
        <row r="535">
          <cell r="B535" t="str">
            <v>Musayev İbrahim Natiq</v>
          </cell>
          <cell r="C535" t="str">
            <v>Kiçik və orta sahibkarlarla iş departamenti</v>
          </cell>
          <cell r="D535" t="str">
            <v>KOS satışlar şöbəsi</v>
          </cell>
          <cell r="E535" t="str">
            <v>#</v>
          </cell>
          <cell r="F535" t="str">
            <v>Aparıcı mütəxəssis</v>
          </cell>
          <cell r="G535" t="str">
            <v>A</v>
          </cell>
          <cell r="H535">
            <v>42760</v>
          </cell>
        </row>
        <row r="536">
          <cell r="B536" t="str">
            <v>Qurbanzadə Fidan Əhəd</v>
          </cell>
          <cell r="C536" t="str">
            <v>Kiçik və orta sahibkarlarla iş departamenti</v>
          </cell>
          <cell r="D536" t="str">
            <v>KOS satışlar şöbəsi</v>
          </cell>
          <cell r="E536" t="str">
            <v>#</v>
          </cell>
          <cell r="F536" t="str">
            <v>Aparıcı mütəxəssis</v>
          </cell>
          <cell r="G536" t="str">
            <v>A</v>
          </cell>
          <cell r="H536">
            <v>43903</v>
          </cell>
        </row>
        <row r="537">
          <cell r="B537" t="str">
            <v>Abdulkərimov Tamerlan Ramiz</v>
          </cell>
          <cell r="C537" t="str">
            <v>Kiçik və orta sahibkarlarla iş departamenti</v>
          </cell>
          <cell r="D537" t="str">
            <v>KOS satışlar şöbəsi</v>
          </cell>
          <cell r="E537" t="str">
            <v>#</v>
          </cell>
          <cell r="F537" t="str">
            <v>Aparıcı mütəxəssis</v>
          </cell>
          <cell r="G537" t="str">
            <v>A</v>
          </cell>
          <cell r="H537">
            <v>46155</v>
          </cell>
        </row>
        <row r="538">
          <cell r="B538" t="str">
            <v>Nəhmətov Cavid Qabil</v>
          </cell>
          <cell r="C538" t="str">
            <v>Kiçik və orta sahibkarlarla iş departamenti</v>
          </cell>
          <cell r="D538" t="str">
            <v>KOS satışlar şöbəsi</v>
          </cell>
          <cell r="E538" t="str">
            <v>#</v>
          </cell>
          <cell r="F538" t="str">
            <v>Aparıcı mütəxəssis</v>
          </cell>
          <cell r="G538" t="str">
            <v>A</v>
          </cell>
          <cell r="H538">
            <v>43864</v>
          </cell>
        </row>
        <row r="539">
          <cell r="B539" t="str">
            <v>Həsənov Ziya Sabir</v>
          </cell>
          <cell r="C539" t="str">
            <v>Kiçik və orta sahibkarlarla iş departamenti</v>
          </cell>
          <cell r="D539" t="str">
            <v>KOS satışlar şöbəsi</v>
          </cell>
          <cell r="E539" t="str">
            <v>#</v>
          </cell>
          <cell r="F539" t="str">
            <v>Aparıcı mütəxəssis</v>
          </cell>
          <cell r="G539" t="str">
            <v>A</v>
          </cell>
          <cell r="H539">
            <v>45519</v>
          </cell>
        </row>
        <row r="540">
          <cell r="B540" t="str">
            <v>Yusifli Elgün Telman</v>
          </cell>
          <cell r="C540" t="str">
            <v>Kiçik və orta sahibkarlarla iş departamenti</v>
          </cell>
          <cell r="D540" t="str">
            <v>KOS satışlar şöbəsi</v>
          </cell>
          <cell r="E540" t="str">
            <v>#</v>
          </cell>
          <cell r="F540" t="str">
            <v>Aparıcı mütəxəssis</v>
          </cell>
          <cell r="G540" t="str">
            <v>A</v>
          </cell>
          <cell r="H540">
            <v>43728</v>
          </cell>
        </row>
        <row r="541">
          <cell r="B541" t="str">
            <v>Məmmədli Lətafət Yadigar</v>
          </cell>
          <cell r="C541" t="str">
            <v>Kiçik və orta sahibkarlarla iş departamenti</v>
          </cell>
          <cell r="D541" t="str">
            <v>KOS satışlar şöbəsi</v>
          </cell>
          <cell r="E541" t="str">
            <v>#</v>
          </cell>
          <cell r="F541" t="str">
            <v>Mütəxəssis</v>
          </cell>
          <cell r="G541" t="str">
            <v>A</v>
          </cell>
          <cell r="H541">
            <v>44539</v>
          </cell>
        </row>
        <row r="542">
          <cell r="B542" t="str">
            <v>Səfərov Vurğun Əliş</v>
          </cell>
          <cell r="C542" t="str">
            <v>Kiçik və orta sahibkarlarla iş departamenti</v>
          </cell>
          <cell r="D542" t="str">
            <v>KOS satışlar şöbəsi</v>
          </cell>
          <cell r="E542" t="str">
            <v>#</v>
          </cell>
          <cell r="F542" t="str">
            <v>Mütəxəssis</v>
          </cell>
          <cell r="G542" t="str">
            <v>A</v>
          </cell>
          <cell r="H542">
            <v>44365</v>
          </cell>
        </row>
        <row r="543">
          <cell r="B543" t="str">
            <v>İbrahimov Habil Fəxrəddin</v>
          </cell>
          <cell r="C543" t="str">
            <v>Kiçik və orta sahibkarlarla iş departamenti</v>
          </cell>
          <cell r="D543" t="str">
            <v>KOS satışlar şöbəsi</v>
          </cell>
          <cell r="E543" t="str">
            <v>#</v>
          </cell>
          <cell r="F543" t="str">
            <v>aparıcı mütəxəssis</v>
          </cell>
          <cell r="G543" t="str">
            <v>A</v>
          </cell>
          <cell r="H543">
            <v>44455</v>
          </cell>
        </row>
        <row r="544">
          <cell r="B544" t="str">
            <v>Məmmədli İlkin Əfqan</v>
          </cell>
          <cell r="C544" t="str">
            <v>Kiçik və orta sahibkarlarla iş departamenti</v>
          </cell>
          <cell r="D544" t="str">
            <v>Lizinq və fondlarla iş şöbəsi</v>
          </cell>
          <cell r="E544" t="str">
            <v>#</v>
          </cell>
          <cell r="F544" t="str">
            <v>Mütəxəssis</v>
          </cell>
          <cell r="G544" t="str">
            <v>A</v>
          </cell>
          <cell r="H544">
            <v>44519</v>
          </cell>
        </row>
        <row r="545">
          <cell r="B545" t="str">
            <v>Cəfərova Həmayə Rasim</v>
          </cell>
          <cell r="C545" t="str">
            <v>Kiçik və orta sahibkarlarla iş departamenti</v>
          </cell>
          <cell r="D545" t="str">
            <v>Lizinq və fondlarla iş şöbəsi</v>
          </cell>
          <cell r="E545" t="str">
            <v>#</v>
          </cell>
          <cell r="F545" t="str">
            <v>Mütəxəssis</v>
          </cell>
          <cell r="G545" t="str">
            <v>A</v>
          </cell>
          <cell r="H545">
            <v>44910</v>
          </cell>
        </row>
        <row r="546">
          <cell r="B546" t="str">
            <v>İsmayılov Elvin Bəşir</v>
          </cell>
          <cell r="C546" t="str">
            <v>Kiçik və orta sahibkarlarla iş departamenti</v>
          </cell>
          <cell r="D546" t="str">
            <v>KOS satışlar şöbəsi</v>
          </cell>
          <cell r="E546" t="str">
            <v>#</v>
          </cell>
          <cell r="F546" t="str">
            <v>aparıcı mütəxəssis</v>
          </cell>
          <cell r="G546" t="str">
            <v>A</v>
          </cell>
          <cell r="H546">
            <v>44825</v>
          </cell>
        </row>
        <row r="547">
          <cell r="B547" t="str">
            <v>Əliyev Elşən Kamandar</v>
          </cell>
          <cell r="C547" t="str">
            <v>Kiçik və orta sahibkarlarla iş departamenti</v>
          </cell>
          <cell r="D547" t="str">
            <v>KOS satışlar şöbəsi</v>
          </cell>
          <cell r="E547" t="str">
            <v>#</v>
          </cell>
          <cell r="F547" t="str">
            <v>aparıcı mütəxəssis</v>
          </cell>
          <cell r="G547" t="str">
            <v>A</v>
          </cell>
          <cell r="H547">
            <v>44844</v>
          </cell>
        </row>
        <row r="548">
          <cell r="B548" t="str">
            <v>Xankişiyev Ülvi Habil</v>
          </cell>
          <cell r="C548" t="str">
            <v>Kiçik və orta sahibkarlarla iş departamenti</v>
          </cell>
          <cell r="D548" t="str">
            <v>KOS satışlar şöbəsi</v>
          </cell>
          <cell r="E548" t="str">
            <v>#</v>
          </cell>
          <cell r="F548" t="str">
            <v>Mütəxəssis</v>
          </cell>
          <cell r="G548" t="str">
            <v>A</v>
          </cell>
          <cell r="H548">
            <v>44610</v>
          </cell>
        </row>
        <row r="549">
          <cell r="B549" t="str">
            <v>Məmmədbağırova Jalə Zaur</v>
          </cell>
          <cell r="C549" t="str">
            <v>Kiçik və orta sahibkarlarla iş departamenti</v>
          </cell>
          <cell r="D549" t="str">
            <v>Lizinq və fondlarla iş şöbəsi</v>
          </cell>
          <cell r="E549" t="str">
            <v>#</v>
          </cell>
          <cell r="F549" t="str">
            <v>Mütəxəssis</v>
          </cell>
          <cell r="G549" t="str">
            <v>A</v>
          </cell>
          <cell r="H549">
            <v>44370</v>
          </cell>
        </row>
        <row r="550">
          <cell r="B550" t="str">
            <v>Şirzadov Firuz Əfqan</v>
          </cell>
          <cell r="C550" t="str">
            <v>Kiçik və orta sahibkarlarla iş departamenti</v>
          </cell>
          <cell r="D550" t="str">
            <v>KOS satışlar şöbəsi</v>
          </cell>
          <cell r="E550" t="str">
            <v>#</v>
          </cell>
          <cell r="F550" t="str">
            <v>Mütəxəssis</v>
          </cell>
          <cell r="G550" t="str">
            <v>A</v>
          </cell>
          <cell r="H550">
            <v>45065</v>
          </cell>
        </row>
        <row r="551">
          <cell r="B551" t="str">
            <v>Muradlı Mətin Vahid</v>
          </cell>
          <cell r="C551" t="str">
            <v>Kiçik və orta sahibkarlarla iş departamenti</v>
          </cell>
          <cell r="D551" t="str">
            <v>KOS satışlar şöbəsi</v>
          </cell>
          <cell r="E551" t="str">
            <v>#</v>
          </cell>
          <cell r="F551" t="str">
            <v>Mütəxəssis</v>
          </cell>
          <cell r="G551" t="str">
            <v>A</v>
          </cell>
          <cell r="H551">
            <v>44699</v>
          </cell>
        </row>
        <row r="552">
          <cell r="B552" t="str">
            <v>Quliyev Böyükağa Rəhman</v>
          </cell>
          <cell r="C552" t="str">
            <v>Kiçik və orta sahibkarlarla iş departamenti</v>
          </cell>
          <cell r="D552" t="str">
            <v>KOS satışlar şöbəsi</v>
          </cell>
          <cell r="E552" t="str">
            <v>#</v>
          </cell>
          <cell r="F552" t="str">
            <v>aparıcı mütəxəssis</v>
          </cell>
          <cell r="G552" t="str">
            <v>A</v>
          </cell>
          <cell r="H552">
            <v>44699</v>
          </cell>
        </row>
        <row r="553">
          <cell r="B553" t="str">
            <v>Xosuzadə Cəlil Mikayıl</v>
          </cell>
          <cell r="C553" t="str">
            <v>Kiçik və orta sahibkarlarla iş departamenti</v>
          </cell>
          <cell r="D553" t="str">
            <v>KOS satışlar şöbəsi</v>
          </cell>
          <cell r="E553" t="str">
            <v>#</v>
          </cell>
          <cell r="F553" t="str">
            <v>Mütəxəssis</v>
          </cell>
          <cell r="G553" t="str">
            <v>A</v>
          </cell>
          <cell r="H553">
            <v>44699</v>
          </cell>
        </row>
        <row r="554">
          <cell r="B554" t="str">
            <v>Babayev İbrahim Hikmət</v>
          </cell>
          <cell r="C554" t="str">
            <v>Kiçik və orta sahibkarlarla iş departamenti</v>
          </cell>
          <cell r="D554" t="str">
            <v>KOS satışlar şöbəsi</v>
          </cell>
          <cell r="E554" t="str">
            <v>#</v>
          </cell>
          <cell r="F554" t="str">
            <v>Mütəxəssis</v>
          </cell>
          <cell r="G554" t="str">
            <v>A</v>
          </cell>
          <cell r="H554">
            <v>45498</v>
          </cell>
        </row>
        <row r="555">
          <cell r="B555" t="str">
            <v>Abasquliyev Toğrul Zaməddin</v>
          </cell>
          <cell r="C555" t="str">
            <v>Kiçik və orta sahibkarlarla iş departamenti</v>
          </cell>
          <cell r="D555" t="str">
            <v>KOS satışlar şöbəsi</v>
          </cell>
          <cell r="E555" t="str">
            <v>#</v>
          </cell>
          <cell r="F555" t="str">
            <v>Mütəxəssis</v>
          </cell>
          <cell r="G555" t="str">
            <v>A</v>
          </cell>
          <cell r="H555">
            <v>45001</v>
          </cell>
        </row>
        <row r="556">
          <cell r="B556" t="str">
            <v>Xudiyeva Aygül Fətulla</v>
          </cell>
          <cell r="C556" t="str">
            <v>Kiçik və orta sahibkarlarla iş departamenti</v>
          </cell>
          <cell r="D556" t="str">
            <v>Lizinq və fondlarla iş şöbəsi</v>
          </cell>
          <cell r="E556" t="str">
            <v>#</v>
          </cell>
          <cell r="F556" t="str">
            <v>Mütəxəssis</v>
          </cell>
          <cell r="G556" t="str">
            <v>A</v>
          </cell>
          <cell r="H556">
            <v>45264</v>
          </cell>
        </row>
        <row r="557">
          <cell r="B557" t="str">
            <v>Səmədov Kamran Hidayət</v>
          </cell>
          <cell r="C557" t="str">
            <v>Kiçik və orta sahibkarlarla iş departamenti</v>
          </cell>
          <cell r="D557" t="str">
            <v>KOS satışlar şöbəsi</v>
          </cell>
          <cell r="E557" t="str">
            <v>#</v>
          </cell>
          <cell r="F557" t="str">
            <v>Mütəxəssis</v>
          </cell>
          <cell r="G557" t="str">
            <v>A</v>
          </cell>
          <cell r="H557">
            <v>45268</v>
          </cell>
        </row>
        <row r="558">
          <cell r="B558" t="str">
            <v>Həsənzadə Lalə Mobil</v>
          </cell>
          <cell r="C558" t="str">
            <v>Kiçik və orta sahibkarlarla iş departamenti</v>
          </cell>
          <cell r="D558" t="str">
            <v>Lizinq və fondlarla iş şöbəsi</v>
          </cell>
          <cell r="E558" t="str">
            <v>#</v>
          </cell>
          <cell r="F558" t="str">
            <v>Mütəxəssis</v>
          </cell>
          <cell r="G558" t="str">
            <v>A</v>
          </cell>
          <cell r="H558">
            <v>45278</v>
          </cell>
        </row>
        <row r="559">
          <cell r="B559" t="str">
            <v>Səfiyev Əli Samir</v>
          </cell>
          <cell r="C559" t="str">
            <v>Kiçik və orta sahibkarlarla iş departamenti</v>
          </cell>
          <cell r="D559" t="str">
            <v>KOS satışlar şöbəsi</v>
          </cell>
          <cell r="E559" t="str">
            <v>#</v>
          </cell>
          <cell r="F559" t="str">
            <v>Mütəxəssis</v>
          </cell>
          <cell r="G559" t="str">
            <v>A</v>
          </cell>
          <cell r="H559">
            <v>45331</v>
          </cell>
        </row>
        <row r="560">
          <cell r="B560" t="str">
            <v>Hüseynov Tofiq Rüfət</v>
          </cell>
          <cell r="C560" t="str">
            <v>Kiçik və orta sahibkarlarla iş departamenti</v>
          </cell>
          <cell r="D560" t="str">
            <v>Lizinq və fondlarla iş şöbəsi</v>
          </cell>
          <cell r="E560" t="str">
            <v>#</v>
          </cell>
          <cell r="F560" t="str">
            <v>Mütəxəssis</v>
          </cell>
          <cell r="G560" t="str">
            <v>A</v>
          </cell>
          <cell r="H560">
            <v>45793</v>
          </cell>
        </row>
        <row r="561">
          <cell r="B561" t="str">
            <v>Musayeva Almaz Cavad</v>
          </cell>
          <cell r="C561" t="str">
            <v>Komplayens departamenti</v>
          </cell>
          <cell r="D561" t="str">
            <v>#</v>
          </cell>
          <cell r="E561" t="str">
            <v>#</v>
          </cell>
          <cell r="F561" t="str">
            <v>Direktor</v>
          </cell>
          <cell r="G561" t="str">
            <v>A</v>
          </cell>
          <cell r="H561">
            <v>43033</v>
          </cell>
        </row>
        <row r="562">
          <cell r="B562" t="str">
            <v>Kərimov Rauf Arif</v>
          </cell>
          <cell r="C562" t="str">
            <v>Komplayens departamenti</v>
          </cell>
          <cell r="D562" t="str">
            <v>#</v>
          </cell>
          <cell r="E562" t="str">
            <v>#</v>
          </cell>
          <cell r="F562" t="str">
            <v>Direktor müavini</v>
          </cell>
          <cell r="G562" t="str">
            <v>A</v>
          </cell>
          <cell r="H562">
            <v>42510</v>
          </cell>
        </row>
        <row r="563">
          <cell r="B563" t="str">
            <v>Cəfərov Şəhriyar Şahmar</v>
          </cell>
          <cell r="C563" t="str">
            <v>Komplayens departamenti</v>
          </cell>
          <cell r="D563" t="str">
            <v>#</v>
          </cell>
          <cell r="E563" t="str">
            <v>#</v>
          </cell>
          <cell r="F563" t="str">
            <v>Menecer</v>
          </cell>
          <cell r="G563" t="str">
            <v>A</v>
          </cell>
          <cell r="H563">
            <v>40423</v>
          </cell>
        </row>
        <row r="564">
          <cell r="B564" t="str">
            <v>Əhmədova Nailə Rəşid</v>
          </cell>
          <cell r="C564" t="str">
            <v>Komplayens departamenti</v>
          </cell>
          <cell r="D564" t="str">
            <v>ÇPY və TMM şöbəsi</v>
          </cell>
          <cell r="E564" t="str">
            <v>#</v>
          </cell>
          <cell r="F564" t="str">
            <v>Şöbə müdiri</v>
          </cell>
          <cell r="G564" t="str">
            <v>A</v>
          </cell>
          <cell r="H564">
            <v>43878</v>
          </cell>
        </row>
        <row r="565">
          <cell r="B565" t="str">
            <v>Qulizadə Sahilə İlyas</v>
          </cell>
          <cell r="C565" t="str">
            <v>Komplayens departamenti</v>
          </cell>
          <cell r="D565" t="str">
            <v>ÇPY və TMM şöbəsi</v>
          </cell>
          <cell r="E565" t="str">
            <v>#</v>
          </cell>
          <cell r="F565" t="str">
            <v>Menecer</v>
          </cell>
          <cell r="G565" t="str">
            <v>A</v>
          </cell>
          <cell r="H565">
            <v>43271</v>
          </cell>
        </row>
        <row r="566">
          <cell r="B566" t="str">
            <v>Yusifov Emin Natiq</v>
          </cell>
          <cell r="C566" t="str">
            <v>Komplayens departamenti</v>
          </cell>
          <cell r="D566" t="str">
            <v>ÇPY və TMM şöbəsi</v>
          </cell>
          <cell r="E566" t="str">
            <v>#</v>
          </cell>
          <cell r="F566" t="str">
            <v>Şöbə müdiri</v>
          </cell>
          <cell r="G566" t="str">
            <v>A</v>
          </cell>
          <cell r="H566">
            <v>45286</v>
          </cell>
        </row>
        <row r="567">
          <cell r="B567" t="str">
            <v>Süleymanlı Kənan Rasim</v>
          </cell>
          <cell r="C567" t="str">
            <v>Komplayens departamenti</v>
          </cell>
          <cell r="D567" t="str">
            <v>ÇPY və TMM şöbəsi</v>
          </cell>
          <cell r="E567" t="str">
            <v>#</v>
          </cell>
          <cell r="F567" t="str">
            <v>Menecer</v>
          </cell>
          <cell r="G567" t="str">
            <v>A</v>
          </cell>
          <cell r="H567">
            <v>43322</v>
          </cell>
        </row>
        <row r="568">
          <cell r="B568" t="str">
            <v>Məmmədova Gülnar Mustafa</v>
          </cell>
          <cell r="C568" t="str">
            <v>Komplayens departamenti</v>
          </cell>
          <cell r="D568" t="str">
            <v>ÇPY və TMM şöbəsi</v>
          </cell>
          <cell r="E568" t="str">
            <v>#</v>
          </cell>
          <cell r="F568" t="str">
            <v>Baş mütəxəssis</v>
          </cell>
          <cell r="G568" t="str">
            <v>A</v>
          </cell>
          <cell r="H568">
            <v>42541</v>
          </cell>
        </row>
        <row r="569">
          <cell r="B569" t="str">
            <v>Zülfüqarov Cavid Zahid</v>
          </cell>
          <cell r="C569" t="str">
            <v>Komplayens departamenti</v>
          </cell>
          <cell r="D569" t="str">
            <v>ÇPY və TMM şöbəsi</v>
          </cell>
          <cell r="E569" t="str">
            <v>#</v>
          </cell>
          <cell r="F569" t="str">
            <v>Baş mütəxəssis</v>
          </cell>
          <cell r="G569" t="str">
            <v>A</v>
          </cell>
          <cell r="H569">
            <v>43593</v>
          </cell>
        </row>
        <row r="570">
          <cell r="B570" t="str">
            <v>Niyazova Leyla Vaqif</v>
          </cell>
          <cell r="C570" t="str">
            <v>Komplayens departamenti</v>
          </cell>
          <cell r="D570" t="str">
            <v>ÇPY və TMM şöbəsi</v>
          </cell>
          <cell r="E570" t="str">
            <v>#</v>
          </cell>
          <cell r="F570" t="str">
            <v>Baş mütəxəssis</v>
          </cell>
          <cell r="G570" t="str">
            <v>A</v>
          </cell>
          <cell r="H570">
            <v>42510</v>
          </cell>
        </row>
        <row r="571">
          <cell r="B571" t="str">
            <v>Qəhrəmanova Sevinc Pənah</v>
          </cell>
          <cell r="C571" t="str">
            <v>Komplayens departamenti</v>
          </cell>
          <cell r="D571" t="str">
            <v>ÇPY və TMM şöbəsi</v>
          </cell>
          <cell r="E571" t="str">
            <v>#</v>
          </cell>
          <cell r="F571" t="str">
            <v>Aparıcı mütəxəssis</v>
          </cell>
          <cell r="G571" t="str">
            <v>SM</v>
          </cell>
          <cell r="H571">
            <v>42676</v>
          </cell>
        </row>
        <row r="572">
          <cell r="B572" t="str">
            <v>Həsənli Nailə Hikmət</v>
          </cell>
          <cell r="C572" t="str">
            <v>Komplayens departamenti</v>
          </cell>
          <cell r="D572" t="str">
            <v>ÇPY və TMM şöbəsi</v>
          </cell>
          <cell r="E572" t="str">
            <v>#</v>
          </cell>
          <cell r="F572" t="str">
            <v>Aparıcı mütəxəssis(müvəqqəti)</v>
          </cell>
          <cell r="G572" t="str">
            <v>A</v>
          </cell>
          <cell r="H572">
            <v>44582</v>
          </cell>
        </row>
        <row r="573">
          <cell r="B573" t="str">
            <v>Qafulova Zərifə Məhərrəm</v>
          </cell>
          <cell r="C573" t="str">
            <v>Komplayens departamenti</v>
          </cell>
          <cell r="D573" t="str">
            <v>ÇPY və TMM şöbəsi</v>
          </cell>
          <cell r="E573" t="str">
            <v>#</v>
          </cell>
          <cell r="F573" t="str">
            <v>Aparıcı mütəxəssis</v>
          </cell>
          <cell r="G573" t="str">
            <v>A</v>
          </cell>
          <cell r="H573">
            <v>45100</v>
          </cell>
        </row>
        <row r="574">
          <cell r="B574" t="str">
            <v>Nifdullayev Cəmil Adil</v>
          </cell>
          <cell r="C574" t="str">
            <v>Komplayens departamenti</v>
          </cell>
          <cell r="D574" t="str">
            <v>ÇPY və TMM şöbəsi</v>
          </cell>
          <cell r="E574" t="str">
            <v>#</v>
          </cell>
          <cell r="F574" t="str">
            <v>Aparıcı mütəxəssis</v>
          </cell>
          <cell r="G574" t="str">
            <v>A</v>
          </cell>
          <cell r="H574">
            <v>46267</v>
          </cell>
        </row>
        <row r="575">
          <cell r="B575" t="str">
            <v>Vəliyeva Günel Murad</v>
          </cell>
          <cell r="C575" t="str">
            <v>Komplayens departamenti</v>
          </cell>
          <cell r="D575" t="str">
            <v>ÇPY və TMM şöbəsi</v>
          </cell>
          <cell r="E575" t="str">
            <v>#</v>
          </cell>
          <cell r="F575" t="str">
            <v>Aparıcı mütəxəssis</v>
          </cell>
          <cell r="G575" t="str">
            <v>A</v>
          </cell>
          <cell r="H575">
            <v>44586</v>
          </cell>
        </row>
        <row r="576">
          <cell r="B576" t="str">
            <v>Rəsulov Kənan Rəcəb</v>
          </cell>
          <cell r="C576" t="str">
            <v>Komplayens departamenti</v>
          </cell>
          <cell r="D576" t="str">
            <v>ÇPY və TMM şöbəsi</v>
          </cell>
          <cell r="E576" t="str">
            <v>#</v>
          </cell>
          <cell r="F576" t="str">
            <v>Aparıcı mütəxəssis</v>
          </cell>
          <cell r="G576" t="str">
            <v>A</v>
          </cell>
          <cell r="H576">
            <v>45184</v>
          </cell>
        </row>
        <row r="577">
          <cell r="B577" t="str">
            <v>Şabanova Sevinc Famil</v>
          </cell>
          <cell r="C577" t="str">
            <v>Komplayens departamenti</v>
          </cell>
          <cell r="D577" t="str">
            <v>ÇPY və TMM şöbəsi</v>
          </cell>
          <cell r="E577" t="str">
            <v>#</v>
          </cell>
          <cell r="F577" t="str">
            <v>Aparıcı mütəxəssis</v>
          </cell>
          <cell r="G577" t="str">
            <v>A</v>
          </cell>
          <cell r="H577">
            <v>44887</v>
          </cell>
        </row>
        <row r="578">
          <cell r="B578" t="str">
            <v>Şirinov Nihad Oktay</v>
          </cell>
          <cell r="C578" t="str">
            <v>Komplayens departamenti</v>
          </cell>
          <cell r="D578" t="str">
            <v>ÇPY və TMM şöbəsi</v>
          </cell>
          <cell r="E578" t="str">
            <v>#</v>
          </cell>
          <cell r="F578" t="str">
            <v>Mütəxəssis</v>
          </cell>
          <cell r="G578" t="str">
            <v>A</v>
          </cell>
          <cell r="H578">
            <v>45855</v>
          </cell>
        </row>
        <row r="579">
          <cell r="B579" t="str">
            <v>Talıbova Pəri Zahir</v>
          </cell>
          <cell r="C579" t="str">
            <v>Komplayens departamenti</v>
          </cell>
          <cell r="D579" t="str">
            <v>ÇPY və TMM şöbəsi</v>
          </cell>
          <cell r="E579" t="str">
            <v>#</v>
          </cell>
          <cell r="F579" t="str">
            <v>Mütəxəssis</v>
          </cell>
          <cell r="G579" t="str">
            <v>A</v>
          </cell>
          <cell r="H579">
            <v>43257</v>
          </cell>
        </row>
        <row r="580">
          <cell r="B580" t="str">
            <v>Güləliyev Sadiq Xanoğlan</v>
          </cell>
          <cell r="C580" t="str">
            <v>Komplayens departamenti</v>
          </cell>
          <cell r="D580" t="str">
            <v>Komplayens risklərinin idarə edilməsi və monitorinq şöbəsi</v>
          </cell>
          <cell r="E580" t="str">
            <v>#</v>
          </cell>
          <cell r="F580" t="str">
            <v>Şöbə müdiri</v>
          </cell>
          <cell r="G580" t="str">
            <v>A</v>
          </cell>
          <cell r="H580">
            <v>41913</v>
          </cell>
        </row>
        <row r="581">
          <cell r="B581" t="str">
            <v>Piriyev Elmar Akifoviç</v>
          </cell>
          <cell r="C581" t="str">
            <v>Komplayens departamenti</v>
          </cell>
          <cell r="D581" t="str">
            <v>Komplayens risklərinin idarə edilməsi və monitorinq şöbəsi</v>
          </cell>
          <cell r="E581" t="str">
            <v>#</v>
          </cell>
          <cell r="F581" t="str">
            <v>Menecer</v>
          </cell>
          <cell r="G581" t="str">
            <v>A</v>
          </cell>
          <cell r="H581">
            <v>44622</v>
          </cell>
        </row>
        <row r="582">
          <cell r="B582" t="str">
            <v>Poladzadə Məmməd Saleh</v>
          </cell>
          <cell r="C582" t="str">
            <v>Komplayens departamenti</v>
          </cell>
          <cell r="D582" t="str">
            <v>Komplayens risklərinin idarə edilməsi və monitorinq şöbəsi</v>
          </cell>
          <cell r="E582" t="str">
            <v>#</v>
          </cell>
          <cell r="F582" t="str">
            <v>Menecer</v>
          </cell>
          <cell r="G582" t="str">
            <v>A</v>
          </cell>
          <cell r="H582">
            <v>42991</v>
          </cell>
        </row>
        <row r="583">
          <cell r="B583" t="str">
            <v>Yusifli Ülvi Eyyub</v>
          </cell>
          <cell r="C583" t="str">
            <v>Komplayens departamenti</v>
          </cell>
          <cell r="D583" t="str">
            <v>Komplayens risklərinin idarə edilməsi və monitorinq şöbəsi</v>
          </cell>
          <cell r="E583" t="str">
            <v>#</v>
          </cell>
          <cell r="F583" t="str">
            <v>Baş mütəxəssis</v>
          </cell>
          <cell r="G583" t="str">
            <v>A</v>
          </cell>
          <cell r="H583">
            <v>43718</v>
          </cell>
        </row>
        <row r="584">
          <cell r="B584" t="str">
            <v>Əzimova Sevinc Şahin</v>
          </cell>
          <cell r="C584" t="str">
            <v>Komplayens departamenti</v>
          </cell>
          <cell r="D584" t="str">
            <v>Komplayens risklərinin idarə edilməsi və monitorinq şöbəsi</v>
          </cell>
          <cell r="E584" t="str">
            <v>#</v>
          </cell>
          <cell r="F584" t="str">
            <v>Baş mütəxəssis</v>
          </cell>
          <cell r="G584" t="str">
            <v>A</v>
          </cell>
          <cell r="H584">
            <v>44265</v>
          </cell>
        </row>
        <row r="585">
          <cell r="B585" t="str">
            <v>Sadıqov Fərid Elnur</v>
          </cell>
          <cell r="C585" t="str">
            <v>Komplayens departamenti</v>
          </cell>
          <cell r="D585" t="str">
            <v>Komplayens risklərinin idarə edilməsi və monitorinq şöbəsi</v>
          </cell>
          <cell r="E585" t="str">
            <v>#</v>
          </cell>
          <cell r="F585" t="str">
            <v>Aparıcı mütəxəssis</v>
          </cell>
          <cell r="G585" t="str">
            <v>A</v>
          </cell>
          <cell r="H585">
            <v>44613</v>
          </cell>
        </row>
        <row r="586">
          <cell r="B586" t="str">
            <v>Mehdiyeva Nazpəri Mehman</v>
          </cell>
          <cell r="C586" t="str">
            <v>Komplayens departamenti</v>
          </cell>
          <cell r="D586" t="str">
            <v>Komplayens risklərinin idarə edilməsi və monitorinq şöbəsi</v>
          </cell>
          <cell r="E586" t="str">
            <v>#</v>
          </cell>
          <cell r="F586" t="str">
            <v>Baş mütəxəssis</v>
          </cell>
          <cell r="G586" t="str">
            <v>A</v>
          </cell>
          <cell r="H586">
            <v>44607</v>
          </cell>
        </row>
        <row r="587">
          <cell r="B587" t="str">
            <v>Əzizli Fəhmin Vaqif</v>
          </cell>
          <cell r="C587" t="str">
            <v>Komplayens departamenti</v>
          </cell>
          <cell r="D587" t="str">
            <v>Komplayens risklərinin idarə edilməsi və monitorinq şöbəsi</v>
          </cell>
          <cell r="E587" t="str">
            <v>#</v>
          </cell>
          <cell r="F587" t="str">
            <v>Aparıcı mütəxəssis</v>
          </cell>
          <cell r="G587" t="str">
            <v>A</v>
          </cell>
          <cell r="H587">
            <v>44687</v>
          </cell>
        </row>
        <row r="588">
          <cell r="B588" t="str">
            <v>Qasımova Aynur Rauf</v>
          </cell>
          <cell r="C588" t="str">
            <v>Komplayens departamenti</v>
          </cell>
          <cell r="D588" t="str">
            <v>Komplayens risklərinin idarə edilməsi və monitorinq şöbəsi</v>
          </cell>
          <cell r="E588" t="str">
            <v>#</v>
          </cell>
          <cell r="F588" t="str">
            <v>Mütəxəssis</v>
          </cell>
          <cell r="G588" t="str">
            <v>A</v>
          </cell>
          <cell r="H588">
            <v>44987</v>
          </cell>
        </row>
        <row r="589">
          <cell r="B589" t="str">
            <v>Abbaslı Alyona Oleqovna</v>
          </cell>
          <cell r="C589" t="str">
            <v>Komplayens departamenti</v>
          </cell>
          <cell r="D589" t="str">
            <v>Komplayens risklərinin idarə edilməsi və monitorinq şöbəsi</v>
          </cell>
          <cell r="E589" t="str">
            <v>#</v>
          </cell>
          <cell r="F589" t="str">
            <v>Mütəxəssis</v>
          </cell>
          <cell r="G589" t="str">
            <v>SM</v>
          </cell>
          <cell r="H589">
            <v>43983</v>
          </cell>
        </row>
        <row r="590">
          <cell r="B590" t="str">
            <v>Muradəliyeva Sülhiyyə Nadir</v>
          </cell>
          <cell r="C590" t="str">
            <v>Komplayens departamenti</v>
          </cell>
          <cell r="D590" t="str">
            <v>Komplayens risklərinin idarə edilməsi və monitorinq şöbəsi</v>
          </cell>
          <cell r="E590" t="str">
            <v>#</v>
          </cell>
          <cell r="F590" t="str">
            <v>Baş mütəxəssis (müvəqqəti)</v>
          </cell>
          <cell r="G590" t="str">
            <v>A</v>
          </cell>
          <cell r="H590">
            <v>45331</v>
          </cell>
        </row>
        <row r="591">
          <cell r="B591" t="str">
            <v>Əsgərova Leyla Ramil</v>
          </cell>
          <cell r="C591" t="str">
            <v>Komplayens departamenti</v>
          </cell>
          <cell r="D591" t="str">
            <v>Komplayens risklərinin idarə edilməsi və monitorinq şöbəsi</v>
          </cell>
          <cell r="E591" t="str">
            <v>#</v>
          </cell>
          <cell r="F591" t="str">
            <v>Mütəxəssis</v>
          </cell>
          <cell r="G591" t="str">
            <v>A</v>
          </cell>
          <cell r="H591">
            <v>45612</v>
          </cell>
        </row>
        <row r="592">
          <cell r="B592" t="str">
            <v>Bəyməmmədov Sahil Yunis</v>
          </cell>
          <cell r="C592" t="str">
            <v>Komplayens departamenti</v>
          </cell>
          <cell r="D592" t="str">
            <v>Komplayens hesabatlığı şöbəsi</v>
          </cell>
          <cell r="E592" t="str">
            <v>#</v>
          </cell>
          <cell r="F592" t="str">
            <v>Şöbə müdiri</v>
          </cell>
          <cell r="G592" t="str">
            <v>A</v>
          </cell>
          <cell r="H592">
            <v>43675</v>
          </cell>
        </row>
        <row r="593">
          <cell r="B593" t="str">
            <v>Hüseynzadə Gülnar Məzahir</v>
          </cell>
          <cell r="C593" t="str">
            <v>Komplayens departamenti</v>
          </cell>
          <cell r="D593" t="str">
            <v>Komplayens hesabatlığı şöbəsi</v>
          </cell>
          <cell r="E593" t="str">
            <v>#</v>
          </cell>
          <cell r="F593" t="str">
            <v>Baş mütəxəssis</v>
          </cell>
          <cell r="G593" t="str">
            <v>A</v>
          </cell>
          <cell r="H593">
            <v>43760</v>
          </cell>
        </row>
        <row r="594">
          <cell r="B594" t="str">
            <v>Ədilzadə Türkay Rövşən</v>
          </cell>
          <cell r="C594" t="str">
            <v>Komplayens departamenti</v>
          </cell>
          <cell r="D594" t="str">
            <v>Komplayens hesabatlığı şöbəsi</v>
          </cell>
          <cell r="E594" t="str">
            <v>#</v>
          </cell>
          <cell r="F594" t="str">
            <v>Aparıcı mütəxəssis</v>
          </cell>
          <cell r="G594" t="str">
            <v>A</v>
          </cell>
          <cell r="H594">
            <v>45518</v>
          </cell>
        </row>
        <row r="595">
          <cell r="B595" t="str">
            <v>Məlikməmmədova Ofelya Telman</v>
          </cell>
          <cell r="C595" t="str">
            <v>Komplayens departamenti</v>
          </cell>
          <cell r="D595" t="str">
            <v>Komplayens hesabatlığı şöbəsi</v>
          </cell>
          <cell r="E595" t="str">
            <v>#</v>
          </cell>
          <cell r="F595" t="str">
            <v>Mütəxəssis</v>
          </cell>
          <cell r="G595" t="str">
            <v>A</v>
          </cell>
          <cell r="H595">
            <v>46035</v>
          </cell>
        </row>
        <row r="596">
          <cell r="B596" t="str">
            <v>Ağayeva Aytac Ağasəməd</v>
          </cell>
          <cell r="C596" t="str">
            <v>Komplayens departamenti</v>
          </cell>
          <cell r="D596" t="str">
            <v>Komplayens hesabatlığı şöbəsi</v>
          </cell>
          <cell r="E596" t="str">
            <v>#</v>
          </cell>
          <cell r="F596" t="str">
            <v>Mütəxəssis</v>
          </cell>
          <cell r="G596" t="str">
            <v>A</v>
          </cell>
          <cell r="H596">
            <v>46143</v>
          </cell>
        </row>
        <row r="597">
          <cell r="B597" t="str">
            <v>İsmayılov İsrafil Bilal</v>
          </cell>
          <cell r="C597" t="str">
            <v>Komplayens departamenti</v>
          </cell>
          <cell r="D597" t="str">
            <v>Komplayens hesabatlığı şöbəsi</v>
          </cell>
          <cell r="E597" t="str">
            <v>#</v>
          </cell>
          <cell r="F597" t="str">
            <v>Aparıcı mütəxəssis</v>
          </cell>
          <cell r="G597" t="str">
            <v>A</v>
          </cell>
          <cell r="H597">
            <v>45558</v>
          </cell>
        </row>
        <row r="598">
          <cell r="B598" t="str">
            <v>Hüseynova Nuranə Elçin</v>
          </cell>
          <cell r="C598" t="str">
            <v>Komplayens departamenti</v>
          </cell>
          <cell r="D598" t="str">
            <v>Komplayens sahəsi üzrə fəaliyyətin idarə edilməsi şöbəsi</v>
          </cell>
          <cell r="E598" t="str">
            <v>#</v>
          </cell>
          <cell r="F598" t="str">
            <v>Şöbə müdiri</v>
          </cell>
          <cell r="G598" t="str">
            <v>A</v>
          </cell>
          <cell r="H598">
            <v>45134</v>
          </cell>
        </row>
        <row r="599">
          <cell r="B599" t="str">
            <v>Şabanov Vüqar Ayaz</v>
          </cell>
          <cell r="C599" t="str">
            <v>Komplayens departamenti</v>
          </cell>
          <cell r="D599" t="str">
            <v>Data və Aİ sahəsində uyğunluğa nəzarət şöbəsi</v>
          </cell>
          <cell r="E599" t="str">
            <v>#</v>
          </cell>
          <cell r="F599" t="str">
            <v>Menecer</v>
          </cell>
          <cell r="G599" t="str">
            <v>A</v>
          </cell>
          <cell r="H599">
            <v>45036</v>
          </cell>
        </row>
        <row r="600">
          <cell r="B600" t="str">
            <v>Cəbiyeva Türkay Əjdər</v>
          </cell>
          <cell r="C600" t="str">
            <v>Komplayens departamenti</v>
          </cell>
          <cell r="D600" t="str">
            <v>Komplayens sahəsi üzrə fəaliyyətin idarə edilməsi şöbəsi</v>
          </cell>
          <cell r="E600" t="str">
            <v>#</v>
          </cell>
          <cell r="F600" t="str">
            <v>Menecer</v>
          </cell>
          <cell r="G600" t="str">
            <v>A</v>
          </cell>
          <cell r="H600">
            <v>40080</v>
          </cell>
        </row>
        <row r="601">
          <cell r="B601" t="str">
            <v>Orucova Gülnar Arzuman</v>
          </cell>
          <cell r="C601" t="str">
            <v>Komplayens departamenti</v>
          </cell>
          <cell r="D601" t="str">
            <v>Komplayens sahəsi üzrə fəaliyyətin idarə edilməsi şöbəsi</v>
          </cell>
          <cell r="E601" t="str">
            <v>#</v>
          </cell>
          <cell r="F601" t="str">
            <v>Menecer</v>
          </cell>
          <cell r="G601" t="str">
            <v>A</v>
          </cell>
          <cell r="H601">
            <v>45330</v>
          </cell>
        </row>
        <row r="602">
          <cell r="B602" t="str">
            <v>Mirzaliyev Mirzalı Taryel</v>
          </cell>
          <cell r="C602" t="str">
            <v>Komplayens departamenti</v>
          </cell>
          <cell r="D602" t="str">
            <v>Komplayens sahəsi üzrə fəaliyyətin idarə edilməsi şöbəsi</v>
          </cell>
          <cell r="E602" t="str">
            <v>#</v>
          </cell>
          <cell r="F602" t="str">
            <v>Baş mütəxəssis</v>
          </cell>
          <cell r="G602" t="str">
            <v>A</v>
          </cell>
          <cell r="H602">
            <v>43684</v>
          </cell>
        </row>
        <row r="603">
          <cell r="B603" t="str">
            <v>Quliyev Abbas Sabir</v>
          </cell>
          <cell r="C603" t="str">
            <v>Komplayens departamenti</v>
          </cell>
          <cell r="D603" t="str">
            <v>Ekosistem üzrə məhsul və proseslərdə komplayens dəstəyi şöbəsi</v>
          </cell>
          <cell r="E603" t="str">
            <v>#</v>
          </cell>
          <cell r="F603" t="str">
            <v>Aparıcı mütəxəssis</v>
          </cell>
          <cell r="G603" t="str">
            <v>A</v>
          </cell>
          <cell r="H603">
            <v>46119</v>
          </cell>
          <cell r="I603" t="str">
            <v>BirMarket</v>
          </cell>
        </row>
        <row r="604">
          <cell r="B604" t="str">
            <v>Hüseynzadə Fuad Ceyhun</v>
          </cell>
          <cell r="C604" t="str">
            <v>Komplayens departamenti</v>
          </cell>
          <cell r="D604" t="str">
            <v>Ekosistem üzrə məhsul və proseslərdə komplayens dəstəyi şöbəsi</v>
          </cell>
          <cell r="E604" t="str">
            <v>#</v>
          </cell>
          <cell r="F604" t="str">
            <v>Baş mütəxəssis</v>
          </cell>
          <cell r="G604" t="str">
            <v>A</v>
          </cell>
          <cell r="H604">
            <v>46204</v>
          </cell>
          <cell r="I604" t="str">
            <v>Bir Payment</v>
          </cell>
        </row>
        <row r="605">
          <cell r="B605" t="str">
            <v xml:space="preserve">PASHAEV ANAR </v>
          </cell>
          <cell r="C605" t="str">
            <v>Komplayens departamenti</v>
          </cell>
          <cell r="D605" t="str">
            <v>Ekosistem üzrə məhsul və proseslərdə komplayens dəstəyi şöbəsi</v>
          </cell>
          <cell r="E605" t="str">
            <v>#</v>
          </cell>
          <cell r="F605" t="str">
            <v>Baş mütəxəssis</v>
          </cell>
          <cell r="G605" t="str">
            <v>A</v>
          </cell>
          <cell r="H605">
            <v>46212</v>
          </cell>
          <cell r="I605" t="str">
            <v>Bir Payment</v>
          </cell>
        </row>
        <row r="606">
          <cell r="B606" t="str">
            <v>Məmmədov Eldar Elbrus</v>
          </cell>
          <cell r="C606" t="str">
            <v>Komplayens departamenti</v>
          </cell>
          <cell r="D606" t="str">
            <v>Ekosistem üzrə məhsul və proseslərdə komplayens dəstəyi şöbəsi</v>
          </cell>
          <cell r="E606" t="str">
            <v>#</v>
          </cell>
          <cell r="F606" t="str">
            <v>Baş mütəxəssis</v>
          </cell>
          <cell r="G606" t="str">
            <v>A</v>
          </cell>
          <cell r="H606">
            <v>46204</v>
          </cell>
          <cell r="I606" t="str">
            <v>Bir Payment</v>
          </cell>
        </row>
        <row r="607">
          <cell r="B607" t="str">
            <v>Mikayılova Səbinə Şahbaz</v>
          </cell>
          <cell r="C607" t="str">
            <v>Komplayens departamenti</v>
          </cell>
          <cell r="D607" t="str">
            <v>Komplayens sahəsi üzrə fəaliyyətin idarə edilməsi şöbəsi</v>
          </cell>
          <cell r="E607" t="str">
            <v>#</v>
          </cell>
          <cell r="F607" t="str">
            <v>Aparıcı mütəxəssis</v>
          </cell>
          <cell r="G607" t="str">
            <v>A</v>
          </cell>
          <cell r="H607">
            <v>45212</v>
          </cell>
        </row>
        <row r="608">
          <cell r="B608" t="str">
            <v xml:space="preserve">	Həmidov İsrafil Şirxan</v>
          </cell>
          <cell r="C608" t="str">
            <v>Komplayens departamenti</v>
          </cell>
          <cell r="D608" t="str">
            <v>Data və Aİ sahəsində uyğunluğa nəzarət şöbəsi</v>
          </cell>
          <cell r="E608" t="str">
            <v>#</v>
          </cell>
          <cell r="F608" t="str">
            <v>Mütəxəssis</v>
          </cell>
          <cell r="G608" t="str">
            <v>A</v>
          </cell>
          <cell r="H608">
            <v>46073</v>
          </cell>
        </row>
        <row r="609">
          <cell r="B609" t="str">
            <v>Rüstəmzadə Xanım Fuad</v>
          </cell>
          <cell r="C609" t="str">
            <v>Komplayens departamenti</v>
          </cell>
          <cell r="D609" t="str">
            <v>Komplayens sahəsi üzrə fəaliyyətin idarə edilməsi şöbəsi</v>
          </cell>
          <cell r="E609" t="str">
            <v>#</v>
          </cell>
          <cell r="F609" t="str">
            <v>Mütəxəssis</v>
          </cell>
          <cell r="G609" t="str">
            <v>A</v>
          </cell>
          <cell r="H609">
            <v>46008</v>
          </cell>
        </row>
        <row r="610">
          <cell r="B610" t="str">
            <v>Zeynalova Günay Zəlumxan</v>
          </cell>
          <cell r="C610" t="str">
            <v>Komplayens departamenti</v>
          </cell>
          <cell r="D610" t="str">
            <v>Requlyativ uyğunluq şöbəsi</v>
          </cell>
          <cell r="E610" t="str">
            <v>#</v>
          </cell>
          <cell r="F610" t="str">
            <v>Menecer</v>
          </cell>
          <cell r="G610" t="str">
            <v>A</v>
          </cell>
          <cell r="H610">
            <v>45789</v>
          </cell>
        </row>
        <row r="611">
          <cell r="B611" t="str">
            <v>Babayev Nemət Rafət</v>
          </cell>
          <cell r="C611" t="str">
            <v>Komplayens departamenti</v>
          </cell>
          <cell r="D611" t="str">
            <v>Requlyativ uyğunluq şöbəsi</v>
          </cell>
          <cell r="E611" t="str">
            <v>#</v>
          </cell>
          <cell r="F611" t="str">
            <v>Menecer</v>
          </cell>
          <cell r="G611" t="str">
            <v>A</v>
          </cell>
          <cell r="H611">
            <v>45789</v>
          </cell>
        </row>
        <row r="612">
          <cell r="B612" t="str">
            <v>Hüseynli Əli Nizami</v>
          </cell>
          <cell r="C612" t="str">
            <v>Komplayens departamenti</v>
          </cell>
          <cell r="D612" t="str">
            <v>Requlyativ uyğunluq şöbəsi</v>
          </cell>
          <cell r="E612" t="str">
            <v>#</v>
          </cell>
          <cell r="F612" t="str">
            <v>Mütəxəssis</v>
          </cell>
          <cell r="G612" t="str">
            <v>A</v>
          </cell>
          <cell r="H612">
            <v>45940</v>
          </cell>
        </row>
        <row r="613">
          <cell r="B613" t="str">
            <v>Quliyev İlkin Nizami</v>
          </cell>
          <cell r="C613" t="str">
            <v>Komplayens departamenti</v>
          </cell>
          <cell r="D613" t="str">
            <v>Requlyativ uyğunluq şöbəsi</v>
          </cell>
          <cell r="E613" t="str">
            <v>#</v>
          </cell>
          <cell r="F613" t="str">
            <v>Hüquqşunas</v>
          </cell>
          <cell r="G613" t="str">
            <v>A</v>
          </cell>
          <cell r="H613">
            <v>45762</v>
          </cell>
        </row>
        <row r="614">
          <cell r="B614" t="str">
            <v>Səttarova Ruqiyə Vəli</v>
          </cell>
          <cell r="C614" t="str">
            <v>Komplayens departamenti</v>
          </cell>
          <cell r="D614" t="str">
            <v>Requlyativ uyğunluq şöbəsi</v>
          </cell>
          <cell r="E614" t="str">
            <v>#</v>
          </cell>
          <cell r="F614" t="str">
            <v>Mütəxəssis</v>
          </cell>
          <cell r="G614" t="str">
            <v>A</v>
          </cell>
          <cell r="H614">
            <v>45945</v>
          </cell>
        </row>
        <row r="615">
          <cell r="B615" t="str">
            <v>Abdulrəhmanov Qara Fuad</v>
          </cell>
          <cell r="C615" t="str">
            <v>Korporativ satışlar departamenti</v>
          </cell>
          <cell r="D615" t="str">
            <v>#</v>
          </cell>
          <cell r="E615" t="str">
            <v>#</v>
          </cell>
          <cell r="F615" t="str">
            <v>Direktor</v>
          </cell>
          <cell r="G615" t="str">
            <v>A</v>
          </cell>
          <cell r="H615">
            <v>43720</v>
          </cell>
        </row>
        <row r="616">
          <cell r="B616" t="str">
            <v>Əliyev Nicat Mahir</v>
          </cell>
          <cell r="C616" t="str">
            <v>Korporativ satışlar departamenti</v>
          </cell>
          <cell r="D616" t="str">
            <v>Qeyri-kredit məhsullarının satışı şöbəsi</v>
          </cell>
          <cell r="E616" t="str">
            <v>#</v>
          </cell>
          <cell r="F616" t="str">
            <v>Şöbə müdiri</v>
          </cell>
          <cell r="G616" t="str">
            <v>A</v>
          </cell>
          <cell r="H616">
            <v>42439</v>
          </cell>
        </row>
        <row r="617">
          <cell r="B617" t="str">
            <v>Sadıxov Fərid Rauf</v>
          </cell>
          <cell r="C617" t="str">
            <v>Korporativ satışlar departamenti</v>
          </cell>
          <cell r="D617" t="str">
            <v>Qeyri-kredit məhsullarının satışı şöbəsi</v>
          </cell>
          <cell r="E617" t="str">
            <v>#</v>
          </cell>
          <cell r="F617" t="str">
            <v>Menecer</v>
          </cell>
          <cell r="G617" t="str">
            <v>A</v>
          </cell>
          <cell r="H617">
            <v>43714</v>
          </cell>
        </row>
        <row r="618">
          <cell r="B618" t="str">
            <v>Kərimzadə Ziyad Sənan</v>
          </cell>
          <cell r="C618" t="str">
            <v>Korporativ satışlar departamenti</v>
          </cell>
          <cell r="D618" t="str">
            <v>Qeyri-kredit məhsullarının satışı şöbəsi</v>
          </cell>
          <cell r="E618" t="str">
            <v>#</v>
          </cell>
          <cell r="F618" t="str">
            <v>Menecer</v>
          </cell>
          <cell r="G618" t="str">
            <v>A</v>
          </cell>
          <cell r="H618">
            <v>45275</v>
          </cell>
        </row>
        <row r="619">
          <cell r="B619" t="str">
            <v>Mirzadə İman Rza</v>
          </cell>
          <cell r="C619" t="str">
            <v>Korporativ satışlar departamenti</v>
          </cell>
          <cell r="D619" t="str">
            <v>Qeyri-kredit məhsullarının satışı şöbəsi</v>
          </cell>
          <cell r="E619" t="str">
            <v>#</v>
          </cell>
          <cell r="F619" t="str">
            <v>Menecer</v>
          </cell>
          <cell r="G619" t="str">
            <v>A</v>
          </cell>
          <cell r="H619">
            <v>43668</v>
          </cell>
        </row>
        <row r="620">
          <cell r="B620" t="str">
            <v>İsayeva Nərmin Camaləddin</v>
          </cell>
          <cell r="C620" t="str">
            <v>Korporativ satışlar departamenti</v>
          </cell>
          <cell r="D620" t="str">
            <v>Qeyri-kredit məhsullarının satışı şöbəsi</v>
          </cell>
          <cell r="E620" t="str">
            <v>#</v>
          </cell>
          <cell r="F620" t="str">
            <v>Menecer</v>
          </cell>
          <cell r="G620" t="str">
            <v>A</v>
          </cell>
          <cell r="H620">
            <v>44204</v>
          </cell>
        </row>
        <row r="621">
          <cell r="B621" t="str">
            <v>Sevdimalıyev Murad Şəmsəddin</v>
          </cell>
          <cell r="C621" t="str">
            <v>Korporativ satışlar departamenti</v>
          </cell>
          <cell r="D621" t="str">
            <v>Qeyri-kredit məhsullarının satışı şöbəsi</v>
          </cell>
          <cell r="E621" t="str">
            <v>#</v>
          </cell>
          <cell r="F621" t="str">
            <v>Menecer (Naxçıvan zonası üzrə)</v>
          </cell>
          <cell r="G621" t="str">
            <v>A</v>
          </cell>
          <cell r="H621">
            <v>45314</v>
          </cell>
        </row>
        <row r="622">
          <cell r="B622" t="str">
            <v>Məmmədov Ülvi Azər</v>
          </cell>
          <cell r="C622" t="str">
            <v>Korporativ satışlar departamenti</v>
          </cell>
          <cell r="D622" t="str">
            <v>Qeyri-kredit məhsullarının satışı şöbəsi</v>
          </cell>
          <cell r="E622" t="str">
            <v>#</v>
          </cell>
          <cell r="F622" t="str">
            <v>Baş mütəxəssis</v>
          </cell>
          <cell r="G622" t="str">
            <v>A</v>
          </cell>
          <cell r="H622">
            <v>44400</v>
          </cell>
        </row>
        <row r="623">
          <cell r="B623" t="str">
            <v>Hüseynova Aidə İlqar</v>
          </cell>
          <cell r="C623" t="str">
            <v>Korporativ satışlar departamenti</v>
          </cell>
          <cell r="D623" t="str">
            <v>Qeyri-kredit məhsullarının satışı şöbəsi</v>
          </cell>
          <cell r="E623" t="str">
            <v>#</v>
          </cell>
          <cell r="F623" t="str">
            <v>Aparıcı mütəxəssis</v>
          </cell>
          <cell r="G623" t="str">
            <v>A</v>
          </cell>
          <cell r="H623">
            <v>44243</v>
          </cell>
        </row>
        <row r="624">
          <cell r="B624" t="str">
            <v>Əhmədov Sənan İlham</v>
          </cell>
          <cell r="C624" t="str">
            <v>Korporativ satışlar departamenti</v>
          </cell>
          <cell r="D624" t="str">
            <v>Qeyri-kredit məhsullarının satışı şöbəsi</v>
          </cell>
          <cell r="E624" t="str">
            <v>#</v>
          </cell>
          <cell r="F624" t="str">
            <v>Mütəxəssis</v>
          </cell>
          <cell r="G624" t="str">
            <v>A</v>
          </cell>
          <cell r="H624">
            <v>46041</v>
          </cell>
        </row>
        <row r="625">
          <cell r="B625" t="str">
            <v>Mahmudov Məhəmməd Əhməd</v>
          </cell>
          <cell r="C625" t="str">
            <v>Korporativ satışlar departamenti</v>
          </cell>
          <cell r="D625" t="str">
            <v>Qeyri-kredit məhsullarının satışı şöbəsi</v>
          </cell>
          <cell r="E625" t="str">
            <v>#</v>
          </cell>
          <cell r="F625" t="str">
            <v>Kiçik mütəxəssis</v>
          </cell>
          <cell r="G625" t="str">
            <v>A</v>
          </cell>
          <cell r="H625">
            <v>46251</v>
          </cell>
        </row>
        <row r="626">
          <cell r="B626" t="str">
            <v>Hüseynov Vasif Yaşar</v>
          </cell>
          <cell r="C626" t="str">
            <v>Korporativ satışlar departamenti</v>
          </cell>
          <cell r="D626" t="str">
            <v>#</v>
          </cell>
          <cell r="E626" t="str">
            <v>#</v>
          </cell>
          <cell r="F626" t="str">
            <v>Direktor müavini</v>
          </cell>
          <cell r="G626" t="str">
            <v>A</v>
          </cell>
          <cell r="H626">
            <v>42478</v>
          </cell>
        </row>
        <row r="627">
          <cell r="B627" t="str">
            <v>Fətalıbəyli Şəhriyar Şaiq</v>
          </cell>
          <cell r="C627" t="str">
            <v>Korporativ satışlar departamenti</v>
          </cell>
          <cell r="D627" t="str">
            <v>Müştərilərlə iş şöbəsi</v>
          </cell>
          <cell r="E627" t="str">
            <v>#</v>
          </cell>
          <cell r="F627" t="str">
            <v>Menecer</v>
          </cell>
          <cell r="G627" t="str">
            <v>A</v>
          </cell>
          <cell r="H627">
            <v>42461</v>
          </cell>
        </row>
        <row r="628">
          <cell r="B628" t="str">
            <v>Nadirov Nurlan Elçin</v>
          </cell>
          <cell r="C628" t="str">
            <v>Korporativ satışlar departamenti</v>
          </cell>
          <cell r="D628" t="str">
            <v>Müştərilərlə iş şöbəsi</v>
          </cell>
          <cell r="E628" t="str">
            <v>#</v>
          </cell>
          <cell r="F628" t="str">
            <v>Şöbə müdiri</v>
          </cell>
          <cell r="G628" t="str">
            <v>A</v>
          </cell>
          <cell r="H628">
            <v>42381</v>
          </cell>
        </row>
        <row r="629">
          <cell r="B629" t="str">
            <v>Bağırzadə Xanbala Şaxbala</v>
          </cell>
          <cell r="C629" t="str">
            <v>Korporativ satışlar departamenti</v>
          </cell>
          <cell r="D629" t="str">
            <v>Müştərilərlə iş şöbəsi</v>
          </cell>
          <cell r="E629" t="str">
            <v>#</v>
          </cell>
          <cell r="F629" t="str">
            <v>Menecer</v>
          </cell>
          <cell r="G629" t="str">
            <v>A</v>
          </cell>
          <cell r="H629">
            <v>42573</v>
          </cell>
        </row>
        <row r="630">
          <cell r="B630" t="str">
            <v>Məmmədov Seymur Sabir</v>
          </cell>
          <cell r="C630" t="str">
            <v>Korporativ satışlar departamenti</v>
          </cell>
          <cell r="D630" t="str">
            <v>Müştərilərlə iş şöbəsi</v>
          </cell>
          <cell r="E630" t="str">
            <v>#</v>
          </cell>
          <cell r="F630" t="str">
            <v>Menecer</v>
          </cell>
          <cell r="G630" t="str">
            <v>A</v>
          </cell>
          <cell r="H630">
            <v>42657</v>
          </cell>
        </row>
        <row r="631">
          <cell r="B631" t="str">
            <v>Teymurlu Tural Davud</v>
          </cell>
          <cell r="C631" t="str">
            <v>Korporativ satışlar departamenti</v>
          </cell>
          <cell r="D631" t="str">
            <v>Müştərilərlə iş şöbəsi</v>
          </cell>
          <cell r="E631" t="str">
            <v>#</v>
          </cell>
          <cell r="F631" t="str">
            <v>Menecer</v>
          </cell>
          <cell r="G631" t="str">
            <v>A</v>
          </cell>
          <cell r="H631">
            <v>42506</v>
          </cell>
        </row>
        <row r="632">
          <cell r="B632" t="str">
            <v>İslamov Nazim Fazil</v>
          </cell>
          <cell r="C632" t="str">
            <v>Korporativ satışlar departamenti</v>
          </cell>
          <cell r="D632" t="str">
            <v>Müştərilərlə iş şöbəsi</v>
          </cell>
          <cell r="E632" t="str">
            <v>#</v>
          </cell>
          <cell r="F632" t="str">
            <v>Baş mütəxəssis</v>
          </cell>
          <cell r="G632" t="str">
            <v>A</v>
          </cell>
          <cell r="H632">
            <v>44735</v>
          </cell>
        </row>
        <row r="633">
          <cell r="B633" t="str">
            <v>Xalidli Kənan Tahir</v>
          </cell>
          <cell r="C633" t="str">
            <v>Korporativ satışlar departamenti</v>
          </cell>
          <cell r="D633" t="str">
            <v>Müştərilərlə iş şöbəsi</v>
          </cell>
          <cell r="E633" t="str">
            <v>#</v>
          </cell>
          <cell r="F633" t="str">
            <v>Baş mütəxəssis</v>
          </cell>
          <cell r="G633" t="str">
            <v>A</v>
          </cell>
          <cell r="H633">
            <v>44586</v>
          </cell>
        </row>
        <row r="634">
          <cell r="B634" t="str">
            <v>Məlik-Yeganlı Cavad Abbas</v>
          </cell>
          <cell r="C634" t="str">
            <v>Korporativ satışlar departamenti</v>
          </cell>
          <cell r="D634" t="str">
            <v>Müştərilərlə iş şöbəsi</v>
          </cell>
          <cell r="E634" t="str">
            <v>#</v>
          </cell>
          <cell r="F634" t="str">
            <v>Baş mütəxəssis</v>
          </cell>
          <cell r="G634" t="str">
            <v>A</v>
          </cell>
          <cell r="H634">
            <v>45001</v>
          </cell>
        </row>
        <row r="635">
          <cell r="B635" t="str">
            <v>Mirismayıllı Mirhəşim Mirbəşir</v>
          </cell>
          <cell r="C635" t="str">
            <v>Korporativ satışlar departamenti</v>
          </cell>
          <cell r="D635" t="str">
            <v>Müştərilərlə iş şöbəsi</v>
          </cell>
          <cell r="E635" t="str">
            <v>#</v>
          </cell>
          <cell r="F635" t="str">
            <v>Aparıcı mütəxəssis</v>
          </cell>
          <cell r="G635" t="str">
            <v>A</v>
          </cell>
          <cell r="H635">
            <v>45139</v>
          </cell>
        </row>
        <row r="636">
          <cell r="B636" t="str">
            <v>Məmmədov Əmirxan Tahir</v>
          </cell>
          <cell r="C636" t="str">
            <v>Korporativ satışlar departamenti</v>
          </cell>
          <cell r="D636" t="str">
            <v>Müştərilərlə iş şöbəsi</v>
          </cell>
          <cell r="E636" t="str">
            <v>#</v>
          </cell>
          <cell r="F636" t="str">
            <v>Aparıcı mütəxəssis</v>
          </cell>
          <cell r="G636" t="str">
            <v>A</v>
          </cell>
          <cell r="H636">
            <v>44952</v>
          </cell>
        </row>
        <row r="637">
          <cell r="B637" t="str">
            <v>Bəndalıyev Ülvi Qürbət</v>
          </cell>
          <cell r="C637" t="str">
            <v>Korporativ satışlar departamenti</v>
          </cell>
          <cell r="D637" t="str">
            <v>Müştərilərlə iş şöbəsi</v>
          </cell>
          <cell r="E637" t="str">
            <v>#</v>
          </cell>
          <cell r="F637" t="str">
            <v>Mütəxəssis</v>
          </cell>
          <cell r="G637" t="str">
            <v>A</v>
          </cell>
          <cell r="H637">
            <v>45344</v>
          </cell>
        </row>
        <row r="638">
          <cell r="B638" t="str">
            <v>Şumalova Nilgün Natiq</v>
          </cell>
          <cell r="C638" t="str">
            <v>Korporativ satışlar departamenti</v>
          </cell>
          <cell r="D638" t="str">
            <v>Müştərilərlə iş şöbəsi</v>
          </cell>
          <cell r="E638" t="str">
            <v>#</v>
          </cell>
          <cell r="F638" t="str">
            <v>Kiçik mütəxəssis</v>
          </cell>
          <cell r="G638" t="str">
            <v>A</v>
          </cell>
          <cell r="H638">
            <v>46204</v>
          </cell>
        </row>
        <row r="639">
          <cell r="B639" t="str">
            <v>Bədəlov Ənvər Yusub</v>
          </cell>
          <cell r="C639" t="str">
            <v>Korporativ satışlar departamenti</v>
          </cell>
          <cell r="D639" t="str">
            <v>Müştərilərlə iş şöbəsi</v>
          </cell>
          <cell r="E639" t="str">
            <v>#</v>
          </cell>
          <cell r="F639" t="str">
            <v>Kiçik mütəxəssis</v>
          </cell>
          <cell r="G639" t="str">
            <v>A</v>
          </cell>
          <cell r="H639">
            <v>46274</v>
          </cell>
        </row>
        <row r="640">
          <cell r="B640" t="str">
            <v>Həsənli Elsevər Ceyhun</v>
          </cell>
          <cell r="C640" t="str">
            <v>Korporativ satışlar departamenti</v>
          </cell>
          <cell r="D640" t="str">
            <v>Müştərilərlə iş şöbəsi</v>
          </cell>
          <cell r="E640" t="str">
            <v>#</v>
          </cell>
          <cell r="F640" t="str">
            <v>Kiçik mütəxəssis</v>
          </cell>
          <cell r="G640" t="str">
            <v>A</v>
          </cell>
          <cell r="H640">
            <v>46275</v>
          </cell>
        </row>
        <row r="641">
          <cell r="B641" t="str">
            <v>Musayev Zaur Adil</v>
          </cell>
          <cell r="C641" t="str">
            <v>Maliyyə hesabatlığı və mühasibatlıq departamenti</v>
          </cell>
          <cell r="D641" t="str">
            <v>#</v>
          </cell>
          <cell r="E641" t="str">
            <v>#</v>
          </cell>
          <cell r="F641" t="str">
            <v>Direktor</v>
          </cell>
          <cell r="G641" t="str">
            <v>A</v>
          </cell>
          <cell r="H641">
            <v>41124</v>
          </cell>
        </row>
        <row r="642">
          <cell r="B642" t="str">
            <v>Məmmədyarov Şakir Nazim</v>
          </cell>
          <cell r="C642" t="str">
            <v>Beynəlxalq hesabatlıq və MİS departamenti</v>
          </cell>
          <cell r="D642" t="str">
            <v>#</v>
          </cell>
          <cell r="E642" t="str">
            <v>#</v>
          </cell>
          <cell r="F642" t="str">
            <v>Direktor müavini</v>
          </cell>
          <cell r="G642" t="str">
            <v>A</v>
          </cell>
          <cell r="H642">
            <v>44319</v>
          </cell>
        </row>
        <row r="643">
          <cell r="B643" t="str">
            <v>Eyvazov Ülvi Sahib</v>
          </cell>
          <cell r="C643" t="str">
            <v>Beynəlxalq hesabatlıq və MİS departamenti</v>
          </cell>
          <cell r="D643" t="str">
            <v>#</v>
          </cell>
          <cell r="E643" t="str">
            <v>#</v>
          </cell>
          <cell r="F643" t="str">
            <v>Menecer</v>
          </cell>
          <cell r="G643" t="str">
            <v>A</v>
          </cell>
          <cell r="H643">
            <v>46202</v>
          </cell>
        </row>
        <row r="644">
          <cell r="B644" t="str">
            <v>Yadigarov Fariz Məhəmməd</v>
          </cell>
          <cell r="C644" t="str">
            <v>Maliyyə hesabatlığı və mühasibatlıq departamenti</v>
          </cell>
          <cell r="D644" t="str">
            <v>#</v>
          </cell>
          <cell r="E644" t="str">
            <v>#</v>
          </cell>
          <cell r="F644" t="str">
            <v>Menecer</v>
          </cell>
          <cell r="G644" t="str">
            <v>A</v>
          </cell>
          <cell r="H644">
            <v>45867</v>
          </cell>
        </row>
        <row r="645">
          <cell r="B645" t="str">
            <v>Axundov Hüseyn Bəxtiyar</v>
          </cell>
          <cell r="C645" t="str">
            <v>Maliyyə hesabatlığı və mühasibatlıq departamenti</v>
          </cell>
          <cell r="D645" t="str">
            <v>#</v>
          </cell>
          <cell r="E645" t="str">
            <v>#</v>
          </cell>
          <cell r="F645" t="str">
            <v>Menecer</v>
          </cell>
          <cell r="G645" t="str">
            <v>A</v>
          </cell>
          <cell r="H645">
            <v>45257</v>
          </cell>
        </row>
        <row r="646">
          <cell r="B646" t="str">
            <v>Məhərrəmov Adil İnşalla</v>
          </cell>
          <cell r="C646" t="str">
            <v>Maliyyə hesabatlığı və mühasibatlıq departamenti</v>
          </cell>
          <cell r="D646" t="str">
            <v>#</v>
          </cell>
          <cell r="E646" t="str">
            <v>#</v>
          </cell>
          <cell r="F646" t="str">
            <v>Baş mühasib</v>
          </cell>
          <cell r="G646" t="str">
            <v>A</v>
          </cell>
          <cell r="H646">
            <v>38460</v>
          </cell>
        </row>
        <row r="647">
          <cell r="B647" t="str">
            <v>Muradov Fərhad Rizvan</v>
          </cell>
          <cell r="C647" t="str">
            <v>Maliyyə hesabatlığı və mühasibatlıq departamenti</v>
          </cell>
          <cell r="D647" t="str">
            <v>Daxili mühasibatlıq şöbəsi</v>
          </cell>
          <cell r="E647" t="str">
            <v>#</v>
          </cell>
          <cell r="F647" t="str">
            <v>Şöbə müdiri</v>
          </cell>
          <cell r="G647" t="str">
            <v>A</v>
          </cell>
          <cell r="H647">
            <v>46204</v>
          </cell>
        </row>
        <row r="648">
          <cell r="B648" t="str">
            <v>Hüseynova Səidə Adil</v>
          </cell>
          <cell r="C648" t="str">
            <v>Maliyyə hesabatlığı və mühasibatlıq departamenti</v>
          </cell>
          <cell r="D648" t="str">
            <v>Daxili mühasibatlıq şöbəsi</v>
          </cell>
          <cell r="E648" t="str">
            <v>#</v>
          </cell>
          <cell r="F648" t="str">
            <v>Menecer</v>
          </cell>
          <cell r="G648" t="str">
            <v>A</v>
          </cell>
          <cell r="H648">
            <v>41337</v>
          </cell>
        </row>
        <row r="649">
          <cell r="B649" t="str">
            <v>Məmmədova Humay Arif</v>
          </cell>
          <cell r="C649" t="str">
            <v>Maliyyə hesabatlığı və mühasibatlıq departamenti</v>
          </cell>
          <cell r="D649" t="str">
            <v>Daxili mühasibatlıq şöbəsi</v>
          </cell>
          <cell r="E649" t="str">
            <v>#</v>
          </cell>
          <cell r="F649" t="str">
            <v>Menecer</v>
          </cell>
          <cell r="G649" t="str">
            <v>A</v>
          </cell>
          <cell r="H649">
            <v>46266</v>
          </cell>
          <cell r="I649" t="str">
            <v>Bir Payment</v>
          </cell>
        </row>
        <row r="650">
          <cell r="B650" t="str">
            <v>Əkbərova Xəyalə Taftıq</v>
          </cell>
          <cell r="C650" t="str">
            <v>Maliyyə hesabatlığı və mühasibatlıq departamenti</v>
          </cell>
          <cell r="D650" t="str">
            <v>Daxili mühasibatlıq şöbəsi</v>
          </cell>
          <cell r="E650" t="str">
            <v>#</v>
          </cell>
          <cell r="F650" t="str">
            <v>Baş mütəxəssis</v>
          </cell>
          <cell r="G650" t="str">
            <v>A</v>
          </cell>
          <cell r="H650">
            <v>41694</v>
          </cell>
        </row>
        <row r="651">
          <cell r="B651" t="str">
            <v>Muradova Lətifə Şükür</v>
          </cell>
          <cell r="C651" t="str">
            <v>Maliyyə hesabatlığı və mühasibatlıq departamenti</v>
          </cell>
          <cell r="D651" t="str">
            <v>Daxili mühasibatlıq şöbəsi</v>
          </cell>
          <cell r="E651" t="str">
            <v>#</v>
          </cell>
          <cell r="F651" t="str">
            <v>Baş mütəxəssis</v>
          </cell>
          <cell r="G651" t="str">
            <v>A</v>
          </cell>
          <cell r="H651">
            <v>36686</v>
          </cell>
        </row>
        <row r="652">
          <cell r="B652" t="str">
            <v>Tahirli Nəzrin Elşad</v>
          </cell>
          <cell r="C652" t="str">
            <v>Maliyyə hesabatlığı və mühasibatlıq departamenti</v>
          </cell>
          <cell r="D652" t="str">
            <v>Daxili mühasibatlıq şöbəsi</v>
          </cell>
          <cell r="E652" t="str">
            <v>#</v>
          </cell>
          <cell r="F652" t="str">
            <v>Baş mütəxəssis</v>
          </cell>
          <cell r="G652" t="str">
            <v>A</v>
          </cell>
          <cell r="H652">
            <v>46195</v>
          </cell>
          <cell r="I652" t="str">
            <v>Bir Payment</v>
          </cell>
        </row>
        <row r="653">
          <cell r="B653" t="str">
            <v>Əliyev Rəşad Fərman</v>
          </cell>
          <cell r="C653" t="str">
            <v>Maliyyə hesabatlığı və mühasibatlıq departamenti</v>
          </cell>
          <cell r="D653" t="str">
            <v>Daxili mühasibatlıq şöbəsi</v>
          </cell>
          <cell r="E653" t="str">
            <v>#</v>
          </cell>
          <cell r="F653" t="str">
            <v>Aparıcı mütəxəssis (0,5 ştat vahidi üzrə)</v>
          </cell>
          <cell r="G653" t="str">
            <v>A</v>
          </cell>
          <cell r="H653">
            <v>46266</v>
          </cell>
          <cell r="I653" t="str">
            <v>Bir Payment</v>
          </cell>
        </row>
        <row r="654">
          <cell r="B654" t="str">
            <v>Ağazadə Elşad Elçin</v>
          </cell>
          <cell r="C654" t="str">
            <v>Biznesə dəstək departamenti</v>
          </cell>
          <cell r="D654" t="str">
            <v>Əməliyyatların icrası və dəstək şöbəsi</v>
          </cell>
          <cell r="E654" t="str">
            <v>#</v>
          </cell>
          <cell r="F654" t="str">
            <v>Baş mütəxəssis</v>
          </cell>
          <cell r="G654" t="str">
            <v>A</v>
          </cell>
          <cell r="H654">
            <v>45566</v>
          </cell>
        </row>
        <row r="655">
          <cell r="B655" t="str">
            <v>Əbilova Səbinə Şahvələt</v>
          </cell>
          <cell r="C655" t="str">
            <v>Biznesə dəstək departamenti</v>
          </cell>
          <cell r="D655" t="str">
            <v>Əməliyyatların icrası və dəstək şöbəsi</v>
          </cell>
          <cell r="E655" t="str">
            <v>#</v>
          </cell>
          <cell r="F655" t="str">
            <v>Baş mütəxəssis</v>
          </cell>
          <cell r="G655" t="str">
            <v>A</v>
          </cell>
          <cell r="H655">
            <v>36679</v>
          </cell>
        </row>
        <row r="656">
          <cell r="B656" t="str">
            <v>Mirzəyev Vüsal İlqar</v>
          </cell>
          <cell r="C656" t="str">
            <v>Biznesə dəstək departamenti</v>
          </cell>
          <cell r="D656" t="str">
            <v>Əməliyyatların icrası və dəstək şöbəsi</v>
          </cell>
          <cell r="E656" t="str">
            <v>#</v>
          </cell>
          <cell r="F656" t="str">
            <v>Baş mütəxəssis</v>
          </cell>
          <cell r="G656" t="str">
            <v>A</v>
          </cell>
          <cell r="H656">
            <v>40191</v>
          </cell>
        </row>
        <row r="657">
          <cell r="B657" t="str">
            <v>Əmirli Günel Valeh</v>
          </cell>
          <cell r="C657" t="str">
            <v>Maliyyə hesabatlığı və mühasibatlıq departamenti</v>
          </cell>
          <cell r="D657" t="str">
            <v>Daxili mühasibatlıq şöbəsi</v>
          </cell>
          <cell r="E657" t="str">
            <v>#</v>
          </cell>
          <cell r="F657" t="str">
            <v>Baş mütəxəssis</v>
          </cell>
          <cell r="G657" t="str">
            <v>A</v>
          </cell>
          <cell r="H657">
            <v>41913</v>
          </cell>
        </row>
        <row r="658">
          <cell r="B658" t="str">
            <v>Şəfiyev Hüseyn Fədai</v>
          </cell>
          <cell r="C658" t="str">
            <v>Maliyyə hesabatlığı və mühasibatlıq departamenti</v>
          </cell>
          <cell r="D658" t="str">
            <v>Daxili mühasibatlıq şöbəsi</v>
          </cell>
          <cell r="E658" t="str">
            <v>#</v>
          </cell>
          <cell r="F658" t="str">
            <v>Aparıcı mütəxəssis</v>
          </cell>
          <cell r="G658" t="str">
            <v>A</v>
          </cell>
          <cell r="H658">
            <v>45778</v>
          </cell>
        </row>
        <row r="659">
          <cell r="B659" t="str">
            <v>Mirzəyeva Gülnar Elçin</v>
          </cell>
          <cell r="C659" t="str">
            <v>Maliyyə hesabatlığı və mühasibatlıq departamenti</v>
          </cell>
          <cell r="D659" t="str">
            <v>Daxili mühasibatlıq şöbəsi</v>
          </cell>
          <cell r="E659" t="str">
            <v>#</v>
          </cell>
          <cell r="F659" t="str">
            <v>Aparıcı mütəxəssis</v>
          </cell>
          <cell r="G659" t="str">
            <v>A</v>
          </cell>
          <cell r="H659">
            <v>45937</v>
          </cell>
        </row>
        <row r="660">
          <cell r="B660" t="str">
            <v>Həsənov İlkin Arzu</v>
          </cell>
          <cell r="C660" t="str">
            <v>Maliyyə hesabatlığı və mühasibatlıq departamenti</v>
          </cell>
          <cell r="D660" t="str">
            <v>Daxili mühasibatlıq şöbəsi</v>
          </cell>
          <cell r="E660" t="str">
            <v>#</v>
          </cell>
          <cell r="F660" t="str">
            <v>Mütəxəssis</v>
          </cell>
          <cell r="G660" t="str">
            <v>A</v>
          </cell>
          <cell r="H660">
            <v>46092</v>
          </cell>
        </row>
        <row r="661">
          <cell r="B661" t="str">
            <v>Əlizadə Nəzrin Cavid</v>
          </cell>
          <cell r="C661" t="str">
            <v>Maliyyə hesabatlığı və mühasibatlıq departamenti</v>
          </cell>
          <cell r="D661" t="str">
            <v>Daxili mühasibatlıq şöbəsi</v>
          </cell>
          <cell r="E661" t="str">
            <v>#</v>
          </cell>
          <cell r="F661" t="str">
            <v>Mütəxəssis</v>
          </cell>
          <cell r="G661" t="str">
            <v>A</v>
          </cell>
          <cell r="H661">
            <v>46206</v>
          </cell>
          <cell r="I661" t="str">
            <v>Birmarket</v>
          </cell>
        </row>
        <row r="662">
          <cell r="B662" t="str">
            <v>Məmmədova Elnarə İsmixan</v>
          </cell>
          <cell r="C662" t="str">
            <v>Maliyyə hesabatlığı və mühasibatlıq departamenti</v>
          </cell>
          <cell r="D662" t="str">
            <v>Requlyativ hesabatlıq şöbəsi</v>
          </cell>
          <cell r="E662" t="str">
            <v>#</v>
          </cell>
          <cell r="F662" t="str">
            <v>Şöbə müdiri</v>
          </cell>
          <cell r="G662" t="str">
            <v>A</v>
          </cell>
          <cell r="H662">
            <v>40924</v>
          </cell>
        </row>
        <row r="663">
          <cell r="B663" t="str">
            <v>Əliyev Samir Yaşa</v>
          </cell>
          <cell r="C663" t="str">
            <v>Maliyyə hesabatlığı və mühasibatlıq departamenti</v>
          </cell>
          <cell r="D663" t="str">
            <v>Requlyativ hesabatlıq şöbəsi</v>
          </cell>
          <cell r="E663" t="str">
            <v>#</v>
          </cell>
          <cell r="F663" t="str">
            <v>Menecer</v>
          </cell>
          <cell r="G663" t="str">
            <v>A</v>
          </cell>
          <cell r="H663">
            <v>42821</v>
          </cell>
        </row>
        <row r="664">
          <cell r="B664" t="str">
            <v>Əsədullayeva Səbinə Oktay</v>
          </cell>
          <cell r="C664" t="str">
            <v>Maliyyə hesabatlığı və mühasibatlıq departamenti</v>
          </cell>
          <cell r="D664" t="str">
            <v>Requlyativ hesabatlıq şöbəsi</v>
          </cell>
          <cell r="E664" t="str">
            <v>#</v>
          </cell>
          <cell r="F664" t="str">
            <v>Baş mütəxəssis</v>
          </cell>
          <cell r="G664" t="str">
            <v>A</v>
          </cell>
          <cell r="H664">
            <v>38414</v>
          </cell>
        </row>
        <row r="665">
          <cell r="B665" t="str">
            <v>Kərimova Gülzar Qadir</v>
          </cell>
          <cell r="C665" t="str">
            <v>Maliyyə hesabatlığı və mühasibatlıq departamenti</v>
          </cell>
          <cell r="D665" t="str">
            <v>Requlyativ hesabatlıq şöbəsi</v>
          </cell>
          <cell r="E665" t="str">
            <v>#</v>
          </cell>
          <cell r="F665" t="str">
            <v>Baş mütəxəssis</v>
          </cell>
          <cell r="G665" t="str">
            <v>A</v>
          </cell>
          <cell r="H665">
            <v>44897</v>
          </cell>
        </row>
        <row r="666">
          <cell r="B666" t="str">
            <v>Əliyev Bəxtiyar Elşad</v>
          </cell>
          <cell r="C666" t="str">
            <v>Maliyyə hesabatlığı və mühasibatlıq departamenti</v>
          </cell>
          <cell r="D666" t="str">
            <v>Requlyativ hesabatlıq şöbəsi</v>
          </cell>
          <cell r="E666" t="str">
            <v>#</v>
          </cell>
          <cell r="F666" t="str">
            <v>Baş mütəxəssis</v>
          </cell>
          <cell r="G666" t="str">
            <v>A</v>
          </cell>
          <cell r="H666">
            <v>44886</v>
          </cell>
        </row>
        <row r="667">
          <cell r="B667" t="str">
            <v>Verdiyeva Nilufar Yaşar</v>
          </cell>
          <cell r="C667" t="str">
            <v>Maliyyə hesabatlığı və mühasibatlıq departamenti</v>
          </cell>
          <cell r="D667" t="str">
            <v>Requlyativ hesabatlıq şöbəsi</v>
          </cell>
          <cell r="E667" t="str">
            <v>#</v>
          </cell>
          <cell r="F667" t="str">
            <v>Aparıcı mütəxəssis</v>
          </cell>
          <cell r="G667" t="str">
            <v>A</v>
          </cell>
          <cell r="H667">
            <v>44963</v>
          </cell>
        </row>
        <row r="668">
          <cell r="B668" t="str">
            <v>İbadova Fatimə Tofiq</v>
          </cell>
          <cell r="C668" t="str">
            <v>Maliyyə hesabatlığı və mühasibatlıq departamenti</v>
          </cell>
          <cell r="D668" t="str">
            <v>Requlyativ hesabatlıq şöbəsi</v>
          </cell>
          <cell r="E668" t="str">
            <v>#</v>
          </cell>
          <cell r="F668" t="str">
            <v>Aparıcı mütəxəssis</v>
          </cell>
          <cell r="G668" t="str">
            <v>A</v>
          </cell>
          <cell r="H668">
            <v>45490</v>
          </cell>
        </row>
        <row r="669">
          <cell r="B669" t="str">
            <v>Əliyev Azər Azad</v>
          </cell>
          <cell r="C669" t="str">
            <v>Beynəlxalq hesabatlıq və MİS departamenti</v>
          </cell>
          <cell r="D669" t="str">
            <v>MİS hesabatlıq</v>
          </cell>
          <cell r="E669" t="str">
            <v>#</v>
          </cell>
          <cell r="F669" t="str">
            <v>Şöbə müdiri</v>
          </cell>
          <cell r="G669" t="str">
            <v>A</v>
          </cell>
          <cell r="H669">
            <v>45013</v>
          </cell>
        </row>
        <row r="670">
          <cell r="B670" t="str">
            <v>Rəfiyeva Rəna İmrəddinovna</v>
          </cell>
          <cell r="C670" t="str">
            <v>Beynəlxalq hesabatlıq və MİS departamenti</v>
          </cell>
          <cell r="D670" t="str">
            <v>İFRS hesabatlıq</v>
          </cell>
          <cell r="E670" t="str">
            <v>#</v>
          </cell>
          <cell r="F670" t="str">
            <v>Menecer</v>
          </cell>
          <cell r="G670" t="str">
            <v>SM</v>
          </cell>
          <cell r="H670">
            <v>43536</v>
          </cell>
        </row>
        <row r="671">
          <cell r="B671" t="str">
            <v>Mustafazadə Novruz Anatoliy</v>
          </cell>
          <cell r="C671" t="str">
            <v>Beynəlxalq hesabatlıq və MİS departamenti</v>
          </cell>
          <cell r="D671" t="str">
            <v>MİS hesabatlıq</v>
          </cell>
          <cell r="E671" t="str">
            <v>#</v>
          </cell>
          <cell r="F671" t="str">
            <v>Menecer</v>
          </cell>
          <cell r="G671" t="str">
            <v>A</v>
          </cell>
          <cell r="H671">
            <v>44475</v>
          </cell>
        </row>
        <row r="672">
          <cell r="B672" t="str">
            <v>Abdullayev Rauf Həsənağa</v>
          </cell>
          <cell r="C672" t="str">
            <v>Beynəlxalq hesabatlıq və MİS departamenti</v>
          </cell>
          <cell r="D672" t="str">
            <v>İFRS hesabatlıq</v>
          </cell>
          <cell r="E672" t="str">
            <v>#</v>
          </cell>
          <cell r="F672" t="str">
            <v>Menecer</v>
          </cell>
          <cell r="G672" t="str">
            <v>A</v>
          </cell>
          <cell r="H672">
            <v>42485</v>
          </cell>
        </row>
        <row r="673">
          <cell r="B673" t="str">
            <v>Məmmədov Şahin Hümmət</v>
          </cell>
          <cell r="C673" t="str">
            <v>Beynəlxalq hesabatlıq və MİS departamenti</v>
          </cell>
          <cell r="D673" t="str">
            <v>Modelləşdirmə,Qiymətləndirmə və Konsolidasiya olunmuş Hesabatliq</v>
          </cell>
          <cell r="E673" t="str">
            <v>#</v>
          </cell>
          <cell r="F673" t="str">
            <v>Baş mütəxəssis</v>
          </cell>
          <cell r="G673" t="str">
            <v>A</v>
          </cell>
          <cell r="H673">
            <v>44586</v>
          </cell>
        </row>
        <row r="674">
          <cell r="B674" t="str">
            <v>İskəndərova Səma Müsədin</v>
          </cell>
          <cell r="C674" t="str">
            <v>Beynəlxalq hesabatlıq və MİS departamenti</v>
          </cell>
          <cell r="D674" t="str">
            <v>İFRS hesabatlıq</v>
          </cell>
          <cell r="E674" t="str">
            <v>#</v>
          </cell>
          <cell r="F674" t="str">
            <v>Baş mütəxəssis</v>
          </cell>
          <cell r="G674" t="str">
            <v>SM</v>
          </cell>
          <cell r="H674">
            <v>42360</v>
          </cell>
        </row>
        <row r="675">
          <cell r="B675" t="str">
            <v>Axundova Mayya Fuad</v>
          </cell>
          <cell r="C675" t="str">
            <v>Beynəlxalq hesabatlıq və MİS departamenti</v>
          </cell>
          <cell r="D675" t="str">
            <v>Modelləşdirmə,Qiymətləndirmə və Konsolidasiya olunmuş Hesabatliq</v>
          </cell>
          <cell r="E675" t="str">
            <v>#</v>
          </cell>
          <cell r="F675" t="str">
            <v>Aparıcı mütəxəssis</v>
          </cell>
          <cell r="G675" t="str">
            <v>SM</v>
          </cell>
          <cell r="H675">
            <v>43035</v>
          </cell>
        </row>
        <row r="676">
          <cell r="B676" t="str">
            <v>Qurbanov Tural Salam</v>
          </cell>
          <cell r="C676" t="str">
            <v>Beynəlxalq hesabatlıq və MİS departamenti</v>
          </cell>
          <cell r="D676" t="str">
            <v>Modelləşdirmə,Qiymətləndirmə və Konsolidasiya olunmuş Hesabatliq</v>
          </cell>
          <cell r="E676" t="str">
            <v>#</v>
          </cell>
          <cell r="F676" t="str">
            <v>Aparıcı mütəxəssis (müvəqqəti)</v>
          </cell>
          <cell r="G676" t="str">
            <v>A</v>
          </cell>
          <cell r="H676">
            <v>46006</v>
          </cell>
        </row>
        <row r="677">
          <cell r="B677" t="str">
            <v>Zeynalov Nurlan Əzizağa</v>
          </cell>
          <cell r="C677" t="str">
            <v>Beynəlxalq hesabatlıq və MİS departamenti</v>
          </cell>
          <cell r="D677" t="str">
            <v>Modelləşdirmə,Qiymətləndirmə və Konsolidasiya olunmuş Hesabatliq</v>
          </cell>
          <cell r="E677" t="str">
            <v>#</v>
          </cell>
          <cell r="F677" t="str">
            <v>Baş mütəxəssis</v>
          </cell>
          <cell r="G677" t="str">
            <v>A</v>
          </cell>
          <cell r="H677">
            <v>45574</v>
          </cell>
        </row>
        <row r="678">
          <cell r="B678" t="str">
            <v>Əlizadə Ləman Rəşad</v>
          </cell>
          <cell r="C678" t="str">
            <v>Beynəlxalq hesabatlıq və MİS departamenti</v>
          </cell>
          <cell r="D678" t="str">
            <v>Modelləşdirmə,Qiymətləndirmə və Konsolidasiya olunmuş Hesabatliq</v>
          </cell>
          <cell r="E678" t="str">
            <v>#</v>
          </cell>
          <cell r="F678" t="str">
            <v>Baş mütəxəssis</v>
          </cell>
          <cell r="G678" t="str">
            <v>A</v>
          </cell>
          <cell r="H678">
            <v>46237</v>
          </cell>
        </row>
        <row r="679">
          <cell r="B679" t="str">
            <v>Hüseynova Fidan Ziyəddin</v>
          </cell>
          <cell r="C679" t="str">
            <v>Beynəlxalq hesabatlıq və MİS departamenti</v>
          </cell>
          <cell r="D679" t="str">
            <v>MİS hesabatlıq</v>
          </cell>
          <cell r="E679" t="str">
            <v>#</v>
          </cell>
          <cell r="F679" t="str">
            <v>Aparıcı mütəxəssis</v>
          </cell>
          <cell r="G679" t="str">
            <v>A</v>
          </cell>
          <cell r="H679">
            <v>45553</v>
          </cell>
        </row>
        <row r="680">
          <cell r="B680" t="str">
            <v>Süleymanzadə Rəşad Süleyman</v>
          </cell>
          <cell r="C680" t="str">
            <v>Beynəlxalq hesabatlıq və MİS departamenti</v>
          </cell>
          <cell r="D680" t="str">
            <v>MİS hesabatlıq</v>
          </cell>
          <cell r="E680" t="str">
            <v>#</v>
          </cell>
          <cell r="F680" t="str">
            <v>Aparıcı mütəxəssis</v>
          </cell>
          <cell r="G680" t="str">
            <v>A</v>
          </cell>
          <cell r="H680">
            <v>45610</v>
          </cell>
        </row>
        <row r="681">
          <cell r="B681" t="str">
            <v>Rəsulov Valeh Rövşən</v>
          </cell>
          <cell r="C681" t="str">
            <v>Maliyyə hesabatlığı və mühasibatlıq departamenti</v>
          </cell>
          <cell r="D681" t="str">
            <v>Maddi motivasiyanın hesablanması şöbəsi</v>
          </cell>
          <cell r="E681" t="str">
            <v>#</v>
          </cell>
          <cell r="F681" t="str">
            <v>Şöbə müdiri</v>
          </cell>
          <cell r="G681" t="str">
            <v>A</v>
          </cell>
          <cell r="H681">
            <v>43362</v>
          </cell>
        </row>
        <row r="682">
          <cell r="B682" t="str">
            <v>Hacıyev Arif Rövşən</v>
          </cell>
          <cell r="C682" t="str">
            <v>Maliyyə hesabatlığı və mühasibatlıq departamenti</v>
          </cell>
          <cell r="D682" t="str">
            <v>Maddi motivasiyanın hesablanması şöbəsi</v>
          </cell>
          <cell r="E682" t="str">
            <v>#</v>
          </cell>
          <cell r="F682" t="str">
            <v>Baş mütəxəssis</v>
          </cell>
          <cell r="G682" t="str">
            <v>A</v>
          </cell>
          <cell r="H682">
            <v>43846</v>
          </cell>
        </row>
        <row r="683">
          <cell r="B683" t="str">
            <v>Sadıqov Nurlan Taleh</v>
          </cell>
          <cell r="C683" t="str">
            <v>Maliyyə hesabatlığı və mühasibatlıq departamenti</v>
          </cell>
          <cell r="D683" t="str">
            <v>Maddi motivasiyanın hesablanması şöbəsi</v>
          </cell>
          <cell r="E683" t="str">
            <v>#</v>
          </cell>
          <cell r="F683" t="str">
            <v>Aparıcı mütəxəssis</v>
          </cell>
          <cell r="G683" t="str">
            <v>A</v>
          </cell>
          <cell r="H683">
            <v>44823</v>
          </cell>
        </row>
        <row r="684">
          <cell r="B684" t="str">
            <v>Xəlilov Hüseyn Ələkbər</v>
          </cell>
          <cell r="C684" t="str">
            <v>Maliyyə hesabatlığı və mühasibatlıq departamenti</v>
          </cell>
          <cell r="D684" t="str">
            <v>Maddi motivasiyanın hesablanması şöbəsi</v>
          </cell>
          <cell r="E684" t="str">
            <v>#</v>
          </cell>
          <cell r="F684" t="str">
            <v>Aparıcı mütəxəssis</v>
          </cell>
          <cell r="G684" t="str">
            <v>A</v>
          </cell>
          <cell r="H684">
            <v>44998</v>
          </cell>
        </row>
        <row r="685">
          <cell r="B685" t="str">
            <v>İbrahimli Aydan Əfqan</v>
          </cell>
          <cell r="C685" t="str">
            <v>Maliyyə hesabatlığı və mühasibatlıq departamenti</v>
          </cell>
          <cell r="D685" t="str">
            <v>Maddi motivasiyanın hesablanması şöbəsi</v>
          </cell>
          <cell r="E685" t="str">
            <v>#</v>
          </cell>
          <cell r="F685" t="str">
            <v>Aparıcı mütəxəssis</v>
          </cell>
          <cell r="G685" t="str">
            <v>HX</v>
          </cell>
          <cell r="H685">
            <v>45453</v>
          </cell>
        </row>
        <row r="686">
          <cell r="B686" t="str">
            <v>İbrahimli Şəms İbrahim</v>
          </cell>
          <cell r="C686" t="str">
            <v>Maliyyə hesabatlığı və mühasibatlıq departamenti</v>
          </cell>
          <cell r="D686" t="str">
            <v>Maddi motivasiyanın hesablanması şöbəsi</v>
          </cell>
          <cell r="E686" t="str">
            <v>#</v>
          </cell>
          <cell r="F686" t="str">
            <v>Aparıcı mütəxəssis</v>
          </cell>
          <cell r="G686" t="str">
            <v>A</v>
          </cell>
          <cell r="H686">
            <v>44501</v>
          </cell>
        </row>
        <row r="687">
          <cell r="B687" t="str">
            <v>Akifli Anar Akif</v>
          </cell>
          <cell r="C687" t="str">
            <v>Maliyyə hesabatlığı və mühasibatlıq departamenti</v>
          </cell>
          <cell r="D687" t="str">
            <v>Maliyyə nəzarəti və uçotu şöbəsi</v>
          </cell>
          <cell r="E687" t="str">
            <v>#</v>
          </cell>
          <cell r="F687" t="str">
            <v>Şöbə müdiri</v>
          </cell>
          <cell r="G687" t="str">
            <v>A</v>
          </cell>
          <cell r="H687">
            <v>43819</v>
          </cell>
        </row>
        <row r="688">
          <cell r="B688" t="str">
            <v>Vəliyeva Aynur Saleh</v>
          </cell>
          <cell r="C688" t="str">
            <v>Maliyyə hesabatlığı və mühasibatlıq departamenti</v>
          </cell>
          <cell r="D688" t="str">
            <v>Maliyyə nəzarəti və uçotu şöbəsi</v>
          </cell>
          <cell r="E688" t="str">
            <v>#</v>
          </cell>
          <cell r="F688" t="str">
            <v>Menecer</v>
          </cell>
          <cell r="G688" t="str">
            <v>A</v>
          </cell>
          <cell r="H688">
            <v>40066</v>
          </cell>
        </row>
        <row r="689">
          <cell r="B689" t="str">
            <v>Kərim Elmir Qorxmaz</v>
          </cell>
          <cell r="C689" t="str">
            <v>Maliyyə hesabatlığı və mühasibatlıq departamenti</v>
          </cell>
          <cell r="D689" t="str">
            <v>Maliyyə nəzarəti və uçotu şöbəsi</v>
          </cell>
          <cell r="E689" t="str">
            <v>#</v>
          </cell>
          <cell r="F689" t="str">
            <v>Baş mütəxəssis</v>
          </cell>
          <cell r="G689" t="str">
            <v>A</v>
          </cell>
          <cell r="H689">
            <v>46248</v>
          </cell>
        </row>
        <row r="690">
          <cell r="B690" t="str">
            <v>Hacıyeva Nərgiz Hüseyn</v>
          </cell>
          <cell r="C690" t="str">
            <v>#</v>
          </cell>
          <cell r="D690" t="str">
            <v>Kart klirinqi və hesablaşmalar şöbəsi</v>
          </cell>
          <cell r="E690" t="str">
            <v>#</v>
          </cell>
          <cell r="F690" t="str">
            <v>Menecer</v>
          </cell>
          <cell r="G690" t="str">
            <v>A</v>
          </cell>
          <cell r="H690">
            <v>42529</v>
          </cell>
        </row>
        <row r="691">
          <cell r="B691" t="str">
            <v>Məmmədova Cəmilə Vaqif</v>
          </cell>
          <cell r="C691" t="str">
            <v>#</v>
          </cell>
          <cell r="D691" t="str">
            <v>Kart klirinqi və hesablaşmalar şöbəsi</v>
          </cell>
          <cell r="E691" t="str">
            <v>#</v>
          </cell>
          <cell r="F691" t="str">
            <v>Baş mütəxəssis</v>
          </cell>
          <cell r="G691" t="str">
            <v>A</v>
          </cell>
          <cell r="H691">
            <v>36710</v>
          </cell>
        </row>
        <row r="692">
          <cell r="B692" t="str">
            <v>Qocayeva Vəfa Afis</v>
          </cell>
          <cell r="C692" t="str">
            <v>Biznesə dəstək departamenti</v>
          </cell>
          <cell r="D692" t="str">
            <v>Əməliyyatların icrası və dəstək şöbəsi</v>
          </cell>
          <cell r="E692" t="str">
            <v>#</v>
          </cell>
          <cell r="F692" t="str">
            <v>Baş mütəxəssis</v>
          </cell>
          <cell r="G692" t="str">
            <v>A</v>
          </cell>
          <cell r="H692">
            <v>36689</v>
          </cell>
        </row>
        <row r="693">
          <cell r="B693" t="str">
            <v>Abasova Nigar Tofiq</v>
          </cell>
          <cell r="C693" t="str">
            <v>#</v>
          </cell>
          <cell r="D693" t="str">
            <v>Kart klirinqi və hesablaşmalar şöbəsi</v>
          </cell>
          <cell r="E693" t="str">
            <v>#</v>
          </cell>
          <cell r="F693" t="str">
            <v>Baş mütəxəssis</v>
          </cell>
          <cell r="G693" t="str">
            <v>A</v>
          </cell>
          <cell r="H693">
            <v>37844</v>
          </cell>
        </row>
        <row r="694">
          <cell r="B694" t="str">
            <v>Rüstəmova Fəridə Nemət</v>
          </cell>
          <cell r="C694" t="str">
            <v>#</v>
          </cell>
          <cell r="D694" t="str">
            <v>Kart klirinqi və hesablaşmalar şöbəsi</v>
          </cell>
          <cell r="E694" t="str">
            <v>#</v>
          </cell>
          <cell r="F694" t="str">
            <v>Aparıcı mütəxəssis</v>
          </cell>
          <cell r="G694" t="str">
            <v>A</v>
          </cell>
          <cell r="H694">
            <v>39366</v>
          </cell>
        </row>
        <row r="695">
          <cell r="B695" t="str">
            <v>Nəbizadə Şahmar Mehman</v>
          </cell>
          <cell r="C695" t="str">
            <v>Maliyyə menecmenti departamenti</v>
          </cell>
          <cell r="D695" t="str">
            <v>Strategiya,büdcə və analitika şöbəsi</v>
          </cell>
          <cell r="E695" t="str">
            <v>#</v>
          </cell>
          <cell r="F695" t="str">
            <v>Baş mütəxəssis</v>
          </cell>
          <cell r="G695" t="str">
            <v>A</v>
          </cell>
          <cell r="H695">
            <v>44870</v>
          </cell>
        </row>
        <row r="696">
          <cell r="B696" t="str">
            <v>Kərimov Rəhim Emil</v>
          </cell>
          <cell r="C696" t="str">
            <v>Biznesə dəstək departamenti</v>
          </cell>
          <cell r="D696" t="str">
            <v>Əməliyyatların icrası və dəstək şöbəsi</v>
          </cell>
          <cell r="E696" t="str">
            <v>#</v>
          </cell>
          <cell r="F696" t="str">
            <v>Mütəxəssis</v>
          </cell>
          <cell r="G696" t="str">
            <v>A</v>
          </cell>
          <cell r="H696">
            <v>44603</v>
          </cell>
        </row>
        <row r="697">
          <cell r="B697" t="str">
            <v>İsmayılzadə Elxan Tariyel</v>
          </cell>
          <cell r="C697" t="str">
            <v>Maliyyə hesabatlığı və mühasibatlıq departamenti</v>
          </cell>
          <cell r="D697" t="str">
            <v>Maliyyə nəzarəti və uçotu şöbəsi</v>
          </cell>
          <cell r="E697" t="str">
            <v>#</v>
          </cell>
          <cell r="F697" t="str">
            <v>Aparıcı mütəxəssis</v>
          </cell>
          <cell r="G697" t="str">
            <v>A</v>
          </cell>
          <cell r="H697">
            <v>45579</v>
          </cell>
        </row>
        <row r="698">
          <cell r="B698" t="str">
            <v>Məmmədov Kamil Rauf</v>
          </cell>
          <cell r="C698" t="str">
            <v>Maliyyə hesabatlığı və mühasibatlıq departamenti</v>
          </cell>
          <cell r="D698" t="str">
            <v>Maliyyə nəzarəti və uçotu şöbəsi</v>
          </cell>
          <cell r="E698" t="str">
            <v>#</v>
          </cell>
          <cell r="F698" t="str">
            <v>Mütəxəssis</v>
          </cell>
          <cell r="G698" t="str">
            <v>A</v>
          </cell>
          <cell r="H698">
            <v>46083</v>
          </cell>
        </row>
        <row r="699">
          <cell r="B699" t="str">
            <v>Qurbanova Gülbacı Eldar</v>
          </cell>
          <cell r="C699" t="str">
            <v>Maliyyə hesabatlığı və mühasibatlıq departamenti</v>
          </cell>
          <cell r="D699" t="str">
            <v>Maliyyə nəzarəti və uçotu şöbəsi</v>
          </cell>
          <cell r="E699" t="str">
            <v>#</v>
          </cell>
          <cell r="F699" t="str">
            <v>Aparıcı mütəxəssis</v>
          </cell>
          <cell r="G699" t="str">
            <v>A</v>
          </cell>
          <cell r="H699">
            <v>45621</v>
          </cell>
        </row>
        <row r="700">
          <cell r="B700" t="str">
            <v>Həsənova Aysel Arzu</v>
          </cell>
          <cell r="C700" t="str">
            <v>Maliyyə hesabatlığı və mühasibatlıq departamenti</v>
          </cell>
          <cell r="D700" t="str">
            <v>Maliyyə nəzarəti və uçotu şöbəsi</v>
          </cell>
          <cell r="E700" t="str">
            <v>#</v>
          </cell>
          <cell r="F700" t="str">
            <v>Mütəxəssis</v>
          </cell>
          <cell r="G700" t="str">
            <v>A</v>
          </cell>
          <cell r="H700">
            <v>45874</v>
          </cell>
        </row>
        <row r="701">
          <cell r="B701" t="str">
            <v>Şirinov Vüqar Fuad</v>
          </cell>
          <cell r="C701" t="str">
            <v>Strategiya və layihələrin idarə edilməsi departamenti</v>
          </cell>
          <cell r="D701" t="str">
            <v>#</v>
          </cell>
          <cell r="E701" t="str">
            <v>#</v>
          </cell>
          <cell r="F701" t="str">
            <v>Direktor</v>
          </cell>
          <cell r="G701" t="str">
            <v>A</v>
          </cell>
          <cell r="H701">
            <v>41548</v>
          </cell>
        </row>
        <row r="702">
          <cell r="B702" t="str">
            <v>Bulud Ayxan Polad</v>
          </cell>
          <cell r="C702" t="str">
            <v>Maliyyə menecmenti departamenti</v>
          </cell>
          <cell r="D702" t="str">
            <v>Aktiv və passivlərin idarə edilməsi şöbəsi</v>
          </cell>
          <cell r="E702" t="str">
            <v>#</v>
          </cell>
          <cell r="F702" t="str">
            <v>Şöbə müdiri</v>
          </cell>
          <cell r="G702" t="str">
            <v>A</v>
          </cell>
          <cell r="H702">
            <v>46028</v>
          </cell>
        </row>
        <row r="703">
          <cell r="B703" t="str">
            <v>Mecidli Nail Möhsün</v>
          </cell>
          <cell r="C703" t="str">
            <v>Maliyyə menecmenti departamenti</v>
          </cell>
          <cell r="D703" t="str">
            <v>Aktiv və passivlərin idarə edilməsi şöbəsi</v>
          </cell>
          <cell r="E703" t="str">
            <v>#</v>
          </cell>
          <cell r="F703" t="str">
            <v>Aparıcı mütəxəssis</v>
          </cell>
          <cell r="G703" t="str">
            <v>A</v>
          </cell>
          <cell r="H703">
            <v>45163</v>
          </cell>
        </row>
        <row r="704">
          <cell r="B704" t="str">
            <v>Əşrəfova Günel Arif</v>
          </cell>
          <cell r="C704" t="str">
            <v>Maliyyə menecmenti departamenti</v>
          </cell>
          <cell r="D704" t="str">
            <v>Aktiv və passivlərin idarə edilməsi şöbəsi</v>
          </cell>
          <cell r="E704" t="str">
            <v>#</v>
          </cell>
          <cell r="F704" t="str">
            <v>Baş mütəxəssis</v>
          </cell>
          <cell r="G704" t="str">
            <v>A</v>
          </cell>
          <cell r="H704">
            <v>45068</v>
          </cell>
        </row>
        <row r="705">
          <cell r="B705" t="str">
            <v>Rzazadə Kamran Vasif</v>
          </cell>
          <cell r="C705" t="str">
            <v>Maliyyə menecmenti departamenti</v>
          </cell>
          <cell r="D705" t="str">
            <v>Aktiv və passivlərin idarə edilməsi şöbəsi</v>
          </cell>
          <cell r="E705" t="str">
            <v>#</v>
          </cell>
          <cell r="F705" t="str">
            <v>Mütəxəssis</v>
          </cell>
          <cell r="G705" t="str">
            <v>A</v>
          </cell>
          <cell r="H705">
            <v>46280</v>
          </cell>
        </row>
        <row r="706">
          <cell r="B706" t="str">
            <v>Rəcəbov Rəcəb Məmməd</v>
          </cell>
          <cell r="C706" t="str">
            <v>Maliyyə menecmenti departamenti</v>
          </cell>
          <cell r="D706" t="str">
            <v>#</v>
          </cell>
          <cell r="E706" t="str">
            <v>#</v>
          </cell>
          <cell r="F706" t="str">
            <v>Direktor müavini</v>
          </cell>
          <cell r="G706" t="str">
            <v>A</v>
          </cell>
          <cell r="H706">
            <v>41579</v>
          </cell>
        </row>
        <row r="707">
          <cell r="B707" t="str">
            <v>Əmirova Könül Əzizağa</v>
          </cell>
          <cell r="C707" t="str">
            <v>Maliyyə menecmenti departamenti</v>
          </cell>
          <cell r="D707" t="str">
            <v>Strategiya,büdcə və analitika şöbəsi</v>
          </cell>
          <cell r="E707" t="str">
            <v>#</v>
          </cell>
          <cell r="F707" t="str">
            <v>Menecer</v>
          </cell>
          <cell r="G707" t="str">
            <v>A</v>
          </cell>
          <cell r="H707">
            <v>38002</v>
          </cell>
        </row>
        <row r="708">
          <cell r="B708" t="str">
            <v>Cavadov Kamran Nazim</v>
          </cell>
          <cell r="C708" t="str">
            <v>Maliyyə menecmenti departamenti</v>
          </cell>
          <cell r="D708" t="str">
            <v>Strategiya,büdcə və analitika şöbəsi</v>
          </cell>
          <cell r="E708" t="str">
            <v>#</v>
          </cell>
          <cell r="F708" t="str">
            <v>Menecer</v>
          </cell>
          <cell r="G708" t="str">
            <v>A</v>
          </cell>
          <cell r="H708">
            <v>44260</v>
          </cell>
        </row>
        <row r="709">
          <cell r="B709" t="str">
            <v>İsmayılova Mələk Məmməd</v>
          </cell>
          <cell r="C709" t="str">
            <v>Maliyyə menecmenti departamenti</v>
          </cell>
          <cell r="D709" t="str">
            <v>Strategiya,büdcə və analitika şöbəsi</v>
          </cell>
          <cell r="E709" t="str">
            <v>#</v>
          </cell>
          <cell r="F709" t="str">
            <v>Menecer</v>
          </cell>
          <cell r="G709" t="str">
            <v>A</v>
          </cell>
          <cell r="H709">
            <v>43482</v>
          </cell>
        </row>
        <row r="710">
          <cell r="B710" t="str">
            <v>Əmiraslanova Nigar Azad</v>
          </cell>
          <cell r="C710" t="str">
            <v>Maliyyə menecmenti departamenti</v>
          </cell>
          <cell r="D710" t="str">
            <v>Strategiya,büdcə və analitika şöbəsi</v>
          </cell>
          <cell r="E710" t="str">
            <v>#</v>
          </cell>
          <cell r="F710" t="str">
            <v>Baş mütəxəssis</v>
          </cell>
          <cell r="G710" t="str">
            <v>A</v>
          </cell>
          <cell r="H710">
            <v>43892</v>
          </cell>
        </row>
        <row r="711">
          <cell r="B711" t="str">
            <v>Hacızadə Lamiyə Zahir</v>
          </cell>
          <cell r="C711" t="str">
            <v>Maliyyə menecmenti departamenti</v>
          </cell>
          <cell r="D711" t="str">
            <v>Strategiya,büdcə və analitika şöbəsi</v>
          </cell>
          <cell r="E711" t="str">
            <v>#</v>
          </cell>
          <cell r="F711" t="str">
            <v>Baş mütəxəssis</v>
          </cell>
          <cell r="G711" t="str">
            <v>A</v>
          </cell>
          <cell r="H711">
            <v>44462</v>
          </cell>
        </row>
        <row r="712">
          <cell r="B712" t="str">
            <v>Göyçayeva Xanım Şahin</v>
          </cell>
          <cell r="C712" t="str">
            <v>Strategiya və layihələrin idarə edilməsi departamenti</v>
          </cell>
          <cell r="D712" t="str">
            <v>Strategiya şöbəsi</v>
          </cell>
          <cell r="E712" t="str">
            <v>#</v>
          </cell>
          <cell r="F712" t="str">
            <v>Menecer</v>
          </cell>
          <cell r="G712" t="str">
            <v>A</v>
          </cell>
          <cell r="H712">
            <v>44767</v>
          </cell>
        </row>
        <row r="713">
          <cell r="B713" t="str">
            <v>Əliyev Vüqar Elçin</v>
          </cell>
          <cell r="C713" t="str">
            <v>Maliyyə menecmenti departamenti</v>
          </cell>
          <cell r="D713" t="str">
            <v>Strategiya,büdcə və analitika şöbəsi</v>
          </cell>
          <cell r="E713" t="str">
            <v>#</v>
          </cell>
          <cell r="F713" t="str">
            <v>Baş mütəxəssis</v>
          </cell>
          <cell r="G713" t="str">
            <v>A</v>
          </cell>
          <cell r="H713">
            <v>44762</v>
          </cell>
        </row>
        <row r="714">
          <cell r="B714" t="str">
            <v>Namazov Samir Nazim</v>
          </cell>
          <cell r="C714" t="str">
            <v>Maliyyə menecmenti departamenti</v>
          </cell>
          <cell r="D714" t="str">
            <v>Strategiya,büdcə və analitika şöbəsi</v>
          </cell>
          <cell r="E714" t="str">
            <v>#</v>
          </cell>
          <cell r="F714" t="str">
            <v>Baş mütəxəssis</v>
          </cell>
          <cell r="G714" t="str">
            <v>A</v>
          </cell>
          <cell r="H714">
            <v>45884</v>
          </cell>
        </row>
        <row r="715">
          <cell r="B715" t="str">
            <v>Kərimova Ləman Rəhman</v>
          </cell>
          <cell r="C715" t="str">
            <v>Maliyyə menecmenti departamenti</v>
          </cell>
          <cell r="D715" t="str">
            <v>Strategiya,büdcə və analitika şöbəsi</v>
          </cell>
          <cell r="E715" t="str">
            <v>#</v>
          </cell>
          <cell r="F715" t="str">
            <v>Aparıcı mütəxəssis</v>
          </cell>
          <cell r="G715" t="str">
            <v>A</v>
          </cell>
          <cell r="H715">
            <v>45128</v>
          </cell>
        </row>
        <row r="716">
          <cell r="B716" t="str">
            <v>Süleymanova Kəmalə Şikar</v>
          </cell>
          <cell r="C716" t="str">
            <v>Maliyyə menecmenti departamenti</v>
          </cell>
          <cell r="D716" t="str">
            <v>Strategiya,büdcə və analitika şöbəsi</v>
          </cell>
          <cell r="E716" t="str">
            <v>#</v>
          </cell>
          <cell r="F716" t="str">
            <v>Aparıcı mütəxəssis</v>
          </cell>
          <cell r="G716" t="str">
            <v>A</v>
          </cell>
          <cell r="H716">
            <v>44384</v>
          </cell>
        </row>
        <row r="717">
          <cell r="B717" t="str">
            <v>Eyvazov Elturan Sarvan</v>
          </cell>
          <cell r="C717" t="str">
            <v>Maliyyə menecmenti departamenti</v>
          </cell>
          <cell r="D717" t="str">
            <v>Strategiya,büdcə və analitika şöbəsi</v>
          </cell>
          <cell r="E717" t="str">
            <v>#</v>
          </cell>
          <cell r="F717" t="str">
            <v>Mütəxəssis</v>
          </cell>
          <cell r="G717" t="str">
            <v>A</v>
          </cell>
          <cell r="H717">
            <v>45842</v>
          </cell>
        </row>
        <row r="718">
          <cell r="B718" t="str">
            <v>Səfərov Ayaz Vidadi</v>
          </cell>
          <cell r="C718" t="str">
            <v>Maliyyə menecmenti departamenti</v>
          </cell>
          <cell r="D718" t="str">
            <v>Fəaliyyət göstəricilərinin təyini və hesabatlılığı şöbəsi</v>
          </cell>
          <cell r="E718" t="str">
            <v>#</v>
          </cell>
          <cell r="F718" t="str">
            <v>Şöbə müdiri</v>
          </cell>
          <cell r="G718" t="str">
            <v>A</v>
          </cell>
          <cell r="H718">
            <v>43672</v>
          </cell>
        </row>
        <row r="719">
          <cell r="B719" t="str">
            <v>Qiyasov Akif Sədi</v>
          </cell>
          <cell r="C719" t="str">
            <v>Maliyyə menecmenti departamenti</v>
          </cell>
          <cell r="D719" t="str">
            <v>Fəaliyyət göstəricilərinin təyini və hesabatlılığı şöbəsi</v>
          </cell>
          <cell r="E719" t="str">
            <v>#</v>
          </cell>
          <cell r="F719" t="str">
            <v>Baş mütəxəssis</v>
          </cell>
          <cell r="G719" t="str">
            <v>A</v>
          </cell>
          <cell r="H719">
            <v>45870</v>
          </cell>
        </row>
        <row r="720">
          <cell r="B720" t="str">
            <v>Ağamalıyeva Gülay Əlisahab</v>
          </cell>
          <cell r="C720" t="str">
            <v>Maliyyə menecmenti departamenti</v>
          </cell>
          <cell r="D720" t="str">
            <v>Fəaliyyət göstəricilərinin təyini və hesabatlılığı şöbəsi</v>
          </cell>
          <cell r="E720" t="str">
            <v>#</v>
          </cell>
          <cell r="F720" t="str">
            <v>Baş mütəxəssis</v>
          </cell>
          <cell r="G720" t="str">
            <v>A</v>
          </cell>
          <cell r="H720">
            <v>42534</v>
          </cell>
        </row>
        <row r="721">
          <cell r="B721" t="str">
            <v>Abdullayeva Fidan İlqar</v>
          </cell>
          <cell r="C721" t="str">
            <v>Maliyyə menecmenti departamenti</v>
          </cell>
          <cell r="D721" t="str">
            <v>Fəaliyyət göstəricilərinin təyini və hesabatlılığı şöbəsi</v>
          </cell>
          <cell r="E721" t="str">
            <v>#</v>
          </cell>
          <cell r="F721" t="str">
            <v>Aparıcı mütəxəssis</v>
          </cell>
          <cell r="G721" t="str">
            <v>A</v>
          </cell>
          <cell r="H721">
            <v>45139</v>
          </cell>
        </row>
        <row r="722">
          <cell r="B722" t="str">
            <v>İbrəhimli İrşad Nazim</v>
          </cell>
          <cell r="C722" t="str">
            <v>Maliyyə menecmenti departamenti</v>
          </cell>
          <cell r="D722" t="str">
            <v>Fəaliyyət göstəricilərinin təyini və hesabatlılığı şöbəsi</v>
          </cell>
          <cell r="E722" t="str">
            <v>#</v>
          </cell>
          <cell r="F722" t="str">
            <v>Aparıcı mütəxəssis</v>
          </cell>
          <cell r="G722" t="str">
            <v>A</v>
          </cell>
          <cell r="H722">
            <v>45490</v>
          </cell>
        </row>
        <row r="723">
          <cell r="B723" t="str">
            <v>Kərimli Fərid Vasif</v>
          </cell>
          <cell r="C723" t="str">
            <v>Maliyyə menecmenti departamenti</v>
          </cell>
          <cell r="D723" t="str">
            <v>Fəaliyyət göstəricilərinin təyini və hesabatlılığı şöbəsi</v>
          </cell>
          <cell r="E723" t="str">
            <v>#</v>
          </cell>
          <cell r="F723" t="str">
            <v>Aparıcı mütəxəssis</v>
          </cell>
          <cell r="G723" t="str">
            <v>A</v>
          </cell>
          <cell r="H723">
            <v>45663</v>
          </cell>
        </row>
        <row r="724">
          <cell r="B724" t="str">
            <v>Qənbərli Əli Ceyhun</v>
          </cell>
          <cell r="C724" t="str">
            <v>Maliyyə menecmenti departamenti</v>
          </cell>
          <cell r="D724" t="str">
            <v>Fəaliyyət göstəricilərinin təyini və hesabatlılığı şöbəsi</v>
          </cell>
          <cell r="E724" t="str">
            <v>#</v>
          </cell>
          <cell r="F724" t="str">
            <v>Mütəxəssis</v>
          </cell>
          <cell r="G724" t="str">
            <v>A</v>
          </cell>
          <cell r="H724">
            <v>45870</v>
          </cell>
        </row>
        <row r="725">
          <cell r="B725" t="str">
            <v>Abuzərli Fərid Zaid</v>
          </cell>
          <cell r="C725" t="str">
            <v>Strategiya və layihələrin idarə edilməsi departamenti</v>
          </cell>
          <cell r="D725" t="str">
            <v>Strategiya şöbəsi</v>
          </cell>
          <cell r="E725" t="str">
            <v>#</v>
          </cell>
          <cell r="F725" t="str">
            <v>Şöbə müdiri</v>
          </cell>
          <cell r="G725" t="str">
            <v>A</v>
          </cell>
          <cell r="H725">
            <v>44322</v>
          </cell>
        </row>
        <row r="726">
          <cell r="B726" t="str">
            <v>Şahbazova Nigar Vüqar</v>
          </cell>
          <cell r="C726" t="str">
            <v>Strategiya və layihələrin idarə edilməsi departamenti</v>
          </cell>
          <cell r="D726" t="str">
            <v>Strategiya şöbəsi</v>
          </cell>
          <cell r="E726" t="str">
            <v>#</v>
          </cell>
          <cell r="F726" t="str">
            <v>Aparıcı mütəxəssis</v>
          </cell>
          <cell r="G726" t="str">
            <v>A</v>
          </cell>
          <cell r="H726">
            <v>45513</v>
          </cell>
        </row>
        <row r="727">
          <cell r="B727" t="str">
            <v>Məmmədli Şəhriyar Böyükağa</v>
          </cell>
          <cell r="C727" t="str">
            <v>Ekosistemin inkişafı və analitikası departamenti</v>
          </cell>
          <cell r="D727" t="str">
            <v>#</v>
          </cell>
          <cell r="E727" t="str">
            <v>#</v>
          </cell>
          <cell r="F727" t="str">
            <v>Direktor</v>
          </cell>
          <cell r="G727" t="str">
            <v>A</v>
          </cell>
          <cell r="H727">
            <v>46143</v>
          </cell>
          <cell r="I727" t="str">
            <v>Paşa Holding</v>
          </cell>
        </row>
        <row r="728">
          <cell r="B728" t="str">
            <v>Abbasov Tural Asif</v>
          </cell>
          <cell r="C728" t="str">
            <v>Ekosistemin inkişafı və analitikası departamenti</v>
          </cell>
          <cell r="D728" t="str">
            <v>Ekosistemin inkişafı şöbəsi</v>
          </cell>
          <cell r="E728" t="str">
            <v>#</v>
          </cell>
          <cell r="F728" t="str">
            <v>Məhsul üzrə menecer</v>
          </cell>
          <cell r="G728" t="str">
            <v>A</v>
          </cell>
          <cell r="H728">
            <v>46143</v>
          </cell>
          <cell r="I728" t="str">
            <v>Paşa Holding</v>
          </cell>
        </row>
        <row r="729">
          <cell r="B729" t="str">
            <v>Kərimli Leyla Novruz</v>
          </cell>
          <cell r="C729" t="str">
            <v>Ekosistemin inkişafı və analitikası departamenti</v>
          </cell>
          <cell r="D729" t="str">
            <v>Ekosistemin inkişafı şöbəsi</v>
          </cell>
          <cell r="E729" t="str">
            <v>#</v>
          </cell>
          <cell r="F729" t="str">
            <v>Məhsul üzrə menecer</v>
          </cell>
          <cell r="G729" t="str">
            <v>A</v>
          </cell>
          <cell r="H729">
            <v>46143</v>
          </cell>
          <cell r="I729" t="str">
            <v>Paşa Holding</v>
          </cell>
        </row>
        <row r="730">
          <cell r="B730" t="str">
            <v>Eminova İzzət İnqilab</v>
          </cell>
          <cell r="C730" t="str">
            <v>Ekosistemin inkişafı və analitikası departamenti</v>
          </cell>
          <cell r="D730" t="str">
            <v>Ekosistemin inkişafı şöbəsi</v>
          </cell>
          <cell r="E730" t="str">
            <v>#</v>
          </cell>
          <cell r="F730" t="str">
            <v>Kiçik biznes analitik</v>
          </cell>
          <cell r="G730" t="str">
            <v>A</v>
          </cell>
          <cell r="H730">
            <v>46143</v>
          </cell>
          <cell r="I730" t="str">
            <v>Paşa Holding</v>
          </cell>
        </row>
        <row r="731">
          <cell r="B731" t="str">
            <v>Həsənov Novruz Hacı</v>
          </cell>
          <cell r="C731" t="str">
            <v>Ekosistemin inkişafı və analitikası departamenti</v>
          </cell>
          <cell r="D731" t="str">
            <v>Ekosistemin analitikası şöbəsi</v>
          </cell>
          <cell r="E731" t="str">
            <v>#</v>
          </cell>
          <cell r="F731" t="str">
            <v>Menecer</v>
          </cell>
          <cell r="G731" t="str">
            <v>A</v>
          </cell>
          <cell r="H731">
            <v>46143</v>
          </cell>
          <cell r="I731" t="str">
            <v>Paşa Holding</v>
          </cell>
        </row>
        <row r="732">
          <cell r="B732" t="str">
            <v>Hüseynova Nərminə Elman</v>
          </cell>
          <cell r="C732" t="str">
            <v>Ekosistemin inkişafı və analitikası departamenti</v>
          </cell>
          <cell r="D732" t="str">
            <v>Ekosistemin analitikası şöbəsi</v>
          </cell>
          <cell r="E732" t="str">
            <v>#</v>
          </cell>
          <cell r="F732" t="str">
            <v>Baş data analitik</v>
          </cell>
          <cell r="G732" t="str">
            <v>A</v>
          </cell>
          <cell r="H732">
            <v>46143</v>
          </cell>
          <cell r="I732" t="str">
            <v>Bir Payment</v>
          </cell>
        </row>
        <row r="733">
          <cell r="B733" t="str">
            <v>Nəcəfov Əmrah Əvsər</v>
          </cell>
          <cell r="C733" t="str">
            <v>Ekosistemin inkişafı və analitikası departamenti</v>
          </cell>
          <cell r="D733" t="str">
            <v>Ekosistemin analitikası şöbəsi</v>
          </cell>
          <cell r="E733" t="str">
            <v>#</v>
          </cell>
          <cell r="F733" t="str">
            <v>Baş data analitik</v>
          </cell>
          <cell r="G733" t="str">
            <v>A</v>
          </cell>
          <cell r="H733">
            <v>46274</v>
          </cell>
        </row>
        <row r="734">
          <cell r="B734" t="str">
            <v>Novruzova Fərəh Vüqar</v>
          </cell>
          <cell r="C734" t="str">
            <v>Ekosistemin inkişafı və analitikası departamenti</v>
          </cell>
          <cell r="D734" t="str">
            <v>Ekosistemin analitikası şöbəsi</v>
          </cell>
          <cell r="E734" t="str">
            <v>#</v>
          </cell>
          <cell r="F734" t="str">
            <v>Kiçik data analitik</v>
          </cell>
          <cell r="G734" t="str">
            <v>A</v>
          </cell>
          <cell r="H734">
            <v>46143</v>
          </cell>
          <cell r="I734" t="str">
            <v>Paşa Holding</v>
          </cell>
        </row>
        <row r="735">
          <cell r="B735" t="str">
            <v>Şıxəliyev Kamil Mərdan</v>
          </cell>
          <cell r="C735" t="str">
            <v>Strategiya və layihələrin idarə edilməsi departamenti</v>
          </cell>
          <cell r="D735" t="str">
            <v>Fəaliyyət göstəricilərinin idarəedilməsi şöbəsi</v>
          </cell>
          <cell r="E735" t="str">
            <v>#</v>
          </cell>
          <cell r="F735" t="str">
            <v>Menecer</v>
          </cell>
          <cell r="G735" t="str">
            <v>A</v>
          </cell>
          <cell r="H735">
            <v>46143</v>
          </cell>
          <cell r="I735" t="str">
            <v>Paşa Holding</v>
          </cell>
        </row>
        <row r="736">
          <cell r="B736" t="str">
            <v>Abbasova Fidan Abbas</v>
          </cell>
          <cell r="C736" t="str">
            <v>Strategiya və layihələrin idarə edilməsi departamenti</v>
          </cell>
          <cell r="D736" t="str">
            <v>Strategiya şöbəsi</v>
          </cell>
          <cell r="E736" t="str">
            <v>#</v>
          </cell>
          <cell r="F736" t="str">
            <v>Mütəxəssis</v>
          </cell>
          <cell r="G736" t="str">
            <v>HX</v>
          </cell>
          <cell r="H736">
            <v>46143</v>
          </cell>
          <cell r="I736" t="str">
            <v>Paşa Holding</v>
          </cell>
        </row>
        <row r="737">
          <cell r="B737" t="str">
            <v>Rzayeva Mədinə Sarvan</v>
          </cell>
          <cell r="C737" t="str">
            <v>Strategiya və layihələrin idarə edilməsi departamenti</v>
          </cell>
          <cell r="D737" t="str">
            <v>Fəaliyyət göstəricilərinin idarəedilməsi şöbəsi</v>
          </cell>
          <cell r="E737" t="str">
            <v>#</v>
          </cell>
          <cell r="F737" t="str">
            <v>Menecer</v>
          </cell>
          <cell r="G737" t="str">
            <v>A</v>
          </cell>
          <cell r="H737">
            <v>46149</v>
          </cell>
          <cell r="I737" t="str">
            <v>Paşa Holding</v>
          </cell>
        </row>
        <row r="738">
          <cell r="B738" t="str">
            <v>Quliyeva Mətanət Elçin</v>
          </cell>
          <cell r="C738" t="str">
            <v>Strategiya və layihələrin idarə edilməsi departamenti</v>
          </cell>
          <cell r="D738" t="str">
            <v>Fəaliyyət göstəricilərinin idarəedilməsi şöbəsi</v>
          </cell>
          <cell r="E738" t="str">
            <v>#</v>
          </cell>
          <cell r="F738" t="str">
            <v>Biznes analitik</v>
          </cell>
          <cell r="G738" t="str">
            <v>A</v>
          </cell>
          <cell r="H738">
            <v>46143</v>
          </cell>
          <cell r="I738" t="str">
            <v>Paşa Holding</v>
          </cell>
        </row>
        <row r="739">
          <cell r="B739" t="str">
            <v>Fərəcova Şərqiyyə Araz</v>
          </cell>
          <cell r="C739" t="str">
            <v>Strategiya və layihələrin idarə edilməsi departamenti</v>
          </cell>
          <cell r="D739" t="str">
            <v>Layihələrin idarəedilməsi şöbəsi</v>
          </cell>
          <cell r="E739" t="str">
            <v>#</v>
          </cell>
          <cell r="F739" t="str">
            <v>Baş mütəxəssis</v>
          </cell>
          <cell r="G739" t="str">
            <v>HX</v>
          </cell>
          <cell r="H739">
            <v>42180</v>
          </cell>
        </row>
        <row r="740">
          <cell r="B740" t="str">
            <v>Məmmədsadiqov İbrahim Vasif</v>
          </cell>
          <cell r="C740" t="str">
            <v>Maliyyə menecmenti departamenti</v>
          </cell>
          <cell r="D740" t="str">
            <v>Strategiya,büdcə və analitika şöbəsi</v>
          </cell>
          <cell r="E740" t="str">
            <v>#</v>
          </cell>
          <cell r="F740" t="str">
            <v>Baş mütəxəssis</v>
          </cell>
          <cell r="G740" t="str">
            <v>A</v>
          </cell>
          <cell r="H740">
            <v>45901</v>
          </cell>
        </row>
        <row r="741">
          <cell r="B741" t="str">
            <v>Həsənov Nail Hikmət</v>
          </cell>
          <cell r="C741" t="str">
            <v>Strategiya və layihələrin idarə edilməsi departamenti</v>
          </cell>
          <cell r="D741" t="str">
            <v>Strategiya şöbəsi</v>
          </cell>
          <cell r="E741" t="str">
            <v>#</v>
          </cell>
          <cell r="F741" t="str">
            <v>Baş mütəxəssis</v>
          </cell>
          <cell r="G741" t="str">
            <v>A</v>
          </cell>
          <cell r="H741">
            <v>44945</v>
          </cell>
        </row>
        <row r="742">
          <cell r="B742" t="str">
            <v>Həsənquliyeva Nübar Novruz</v>
          </cell>
          <cell r="C742" t="str">
            <v>Maliyyə menecmenti departamenti</v>
          </cell>
          <cell r="D742" t="str">
            <v>Strategiya,büdcə və analitika şöbəsi</v>
          </cell>
          <cell r="E742" t="str">
            <v>#</v>
          </cell>
          <cell r="F742" t="str">
            <v>Kiçik mütəxəssis (0.5 ştat vahidi üzrə)</v>
          </cell>
          <cell r="G742" t="str">
            <v>A</v>
          </cell>
          <cell r="H742">
            <v>46008</v>
          </cell>
        </row>
        <row r="743">
          <cell r="B743" t="str">
            <v>Rəsulov Bəxtiyar Eynulla</v>
          </cell>
          <cell r="C743" t="str">
            <v>Mikro biznes departamenti</v>
          </cell>
          <cell r="D743" t="str">
            <v>#</v>
          </cell>
          <cell r="E743" t="str">
            <v>#</v>
          </cell>
          <cell r="F743" t="str">
            <v>Direktor</v>
          </cell>
          <cell r="G743" t="str">
            <v>A</v>
          </cell>
          <cell r="H743">
            <v>42807</v>
          </cell>
        </row>
        <row r="744">
          <cell r="B744" t="str">
            <v>Həsənov Zaur Akif</v>
          </cell>
          <cell r="C744" t="str">
            <v>Satış kanalları departamenti</v>
          </cell>
          <cell r="D744" t="str">
            <v>Alternativ satışlar şöbəsi</v>
          </cell>
          <cell r="E744" t="str">
            <v>#</v>
          </cell>
          <cell r="F744" t="str">
            <v>Şöbə müdiri</v>
          </cell>
          <cell r="G744" t="str">
            <v>A</v>
          </cell>
          <cell r="H744">
            <v>44378</v>
          </cell>
        </row>
        <row r="745">
          <cell r="B745" t="str">
            <v>Seyidov Miribrahim Mirməhəmməd</v>
          </cell>
          <cell r="C745" t="str">
            <v>Satış kanalları departamenti</v>
          </cell>
          <cell r="D745" t="str">
            <v>Alternativ satışlar şöbəsi</v>
          </cell>
          <cell r="E745" t="str">
            <v>#</v>
          </cell>
          <cell r="F745" t="str">
            <v>Menecer</v>
          </cell>
          <cell r="G745" t="str">
            <v>A</v>
          </cell>
          <cell r="H745">
            <v>43090</v>
          </cell>
        </row>
        <row r="746">
          <cell r="B746" t="str">
            <v>Qəribova Nərgiz Pərviz</v>
          </cell>
          <cell r="C746" t="str">
            <v>Satış kanalları departamenti</v>
          </cell>
          <cell r="D746" t="str">
            <v>Alternativ satışlar şöbəsi</v>
          </cell>
          <cell r="E746" t="str">
            <v>#</v>
          </cell>
          <cell r="F746" t="str">
            <v>Baş mütəxəssis</v>
          </cell>
          <cell r="G746" t="str">
            <v>A</v>
          </cell>
          <cell r="H746">
            <v>44869</v>
          </cell>
        </row>
        <row r="747">
          <cell r="B747" t="str">
            <v>Nurəliyeva Günay Yadigar</v>
          </cell>
          <cell r="C747" t="str">
            <v>Satış kanalları departamenti</v>
          </cell>
          <cell r="D747" t="str">
            <v>Alternativ satışlar şöbəsi</v>
          </cell>
          <cell r="E747" t="str">
            <v>#</v>
          </cell>
          <cell r="F747" t="str">
            <v>Aparıcı mütəxəssis</v>
          </cell>
          <cell r="G747" t="str">
            <v>A</v>
          </cell>
          <cell r="H747">
            <v>45191</v>
          </cell>
        </row>
        <row r="748">
          <cell r="B748" t="str">
            <v>Muradova Günay Süleyman</v>
          </cell>
          <cell r="C748" t="str">
            <v>Satış kanalları departamenti</v>
          </cell>
          <cell r="D748" t="str">
            <v>Alternativ satışlar şöbəsi</v>
          </cell>
          <cell r="E748" t="str">
            <v>#</v>
          </cell>
          <cell r="F748" t="str">
            <v>Aparıcı mütəxəssis</v>
          </cell>
          <cell r="G748" t="str">
            <v>ƏM</v>
          </cell>
          <cell r="H748">
            <v>45019</v>
          </cell>
        </row>
        <row r="749">
          <cell r="B749" t="str">
            <v>Tağızadə Fidan Habil</v>
          </cell>
          <cell r="C749" t="str">
            <v>Satış kanalları departamenti</v>
          </cell>
          <cell r="D749" t="str">
            <v>Alternativ satışlar şöbəsi</v>
          </cell>
          <cell r="E749" t="str">
            <v>#</v>
          </cell>
          <cell r="F749" t="str">
            <v>Kiçik mütəxəssis (müvəqqəti)</v>
          </cell>
          <cell r="G749" t="str">
            <v>A</v>
          </cell>
          <cell r="H749">
            <v>46164</v>
          </cell>
        </row>
        <row r="750">
          <cell r="B750" t="str">
            <v>Seyidov İqbal Vüqar</v>
          </cell>
          <cell r="C750" t="str">
            <v>Satış kanalları departamenti</v>
          </cell>
          <cell r="D750" t="str">
            <v>Alternativ satışlar şöbəsi</v>
          </cell>
          <cell r="E750" t="str">
            <v>#</v>
          </cell>
          <cell r="F750" t="str">
            <v>Aparıcı mütəxəssis</v>
          </cell>
          <cell r="G750" t="str">
            <v>A</v>
          </cell>
          <cell r="H750">
            <v>44623</v>
          </cell>
        </row>
        <row r="751">
          <cell r="B751" t="str">
            <v>Əsədullayeva Elmira Nazim</v>
          </cell>
          <cell r="C751" t="str">
            <v>Satış kanalları departamenti</v>
          </cell>
          <cell r="D751" t="str">
            <v>Alternativ satışlar şöbəsi</v>
          </cell>
          <cell r="E751" t="str">
            <v>#</v>
          </cell>
          <cell r="F751" t="str">
            <v>Aparıcı mütəxəssis</v>
          </cell>
          <cell r="G751" t="str">
            <v>A</v>
          </cell>
          <cell r="H751">
            <v>44978</v>
          </cell>
        </row>
        <row r="752">
          <cell r="B752" t="str">
            <v>Abdullayeva Gülnisə İlham</v>
          </cell>
          <cell r="C752" t="str">
            <v>Satış kanalları departamenti</v>
          </cell>
          <cell r="D752" t="str">
            <v>Alternativ satışlar şöbəsi</v>
          </cell>
          <cell r="E752" t="str">
            <v>#</v>
          </cell>
          <cell r="F752" t="str">
            <v>Aparıcı mütəxəssis</v>
          </cell>
          <cell r="G752" t="str">
            <v>A</v>
          </cell>
          <cell r="H752">
            <v>44992</v>
          </cell>
        </row>
        <row r="753">
          <cell r="B753" t="str">
            <v>Mehdiyev Sənan Süleyman</v>
          </cell>
          <cell r="C753" t="str">
            <v>Satış kanalları departamenti</v>
          </cell>
          <cell r="D753" t="str">
            <v>Alternativ satışlar şöbəsi</v>
          </cell>
          <cell r="E753" t="str">
            <v>#</v>
          </cell>
          <cell r="F753" t="str">
            <v>Aparıcı mütəxəssis</v>
          </cell>
          <cell r="G753" t="str">
            <v>A</v>
          </cell>
          <cell r="H753">
            <v>44992</v>
          </cell>
        </row>
        <row r="754">
          <cell r="B754" t="str">
            <v>Quliyeva Humay Kamal</v>
          </cell>
          <cell r="C754" t="str">
            <v>Satış kanalları departamenti</v>
          </cell>
          <cell r="D754" t="str">
            <v>Alternativ satışlar şöbəsi</v>
          </cell>
          <cell r="E754" t="str">
            <v>#</v>
          </cell>
          <cell r="F754" t="str">
            <v>Aparıcı mütəxəssis</v>
          </cell>
          <cell r="G754" t="str">
            <v>A</v>
          </cell>
          <cell r="H754">
            <v>45047</v>
          </cell>
        </row>
        <row r="755">
          <cell r="B755" t="str">
            <v>Qənbərli Aliyə Söhrab</v>
          </cell>
          <cell r="C755" t="str">
            <v>Mikro biznes departamenti</v>
          </cell>
          <cell r="D755" t="str">
            <v>Mikro satışlar şöbəsi</v>
          </cell>
          <cell r="E755" t="str">
            <v>#</v>
          </cell>
          <cell r="F755" t="str">
            <v>Aparıcı mütəxəssis</v>
          </cell>
          <cell r="G755" t="str">
            <v>A</v>
          </cell>
          <cell r="H755">
            <v>45070</v>
          </cell>
        </row>
        <row r="756">
          <cell r="B756" t="str">
            <v>Əliyeva Nərmin Nazim</v>
          </cell>
          <cell r="C756" t="str">
            <v>Mikro biznes departamenti</v>
          </cell>
          <cell r="D756" t="str">
            <v>Mikro satışlar şöbəsi</v>
          </cell>
          <cell r="E756" t="str">
            <v>#</v>
          </cell>
          <cell r="F756" t="str">
            <v>Aparıcı mütəxəssis</v>
          </cell>
          <cell r="G756" t="str">
            <v>A</v>
          </cell>
          <cell r="H756">
            <v>45070</v>
          </cell>
        </row>
        <row r="757">
          <cell r="B757" t="str">
            <v>Əzizova Səbinə Qoşqarovna</v>
          </cell>
          <cell r="C757" t="str">
            <v>Satış kanalları departamenti</v>
          </cell>
          <cell r="D757" t="str">
            <v>Alternativ satışlar şöbəsi</v>
          </cell>
          <cell r="E757" t="str">
            <v>#</v>
          </cell>
          <cell r="F757" t="str">
            <v>Aparıcı mütəxəssis</v>
          </cell>
          <cell r="G757" t="str">
            <v>A</v>
          </cell>
          <cell r="H757">
            <v>45071</v>
          </cell>
        </row>
        <row r="758">
          <cell r="B758" t="str">
            <v>İskəndərov Nicat Namik</v>
          </cell>
          <cell r="C758" t="str">
            <v>Satış kanalları departamenti</v>
          </cell>
          <cell r="D758" t="str">
            <v>Alternativ satışlar şöbəsi</v>
          </cell>
          <cell r="E758" t="str">
            <v>#</v>
          </cell>
          <cell r="F758" t="str">
            <v>Aparıcı mütəxəssis</v>
          </cell>
          <cell r="G758" t="str">
            <v>A</v>
          </cell>
          <cell r="H758">
            <v>45071</v>
          </cell>
        </row>
        <row r="759">
          <cell r="B759" t="str">
            <v>Qasımova Səkinə Məcnun</v>
          </cell>
          <cell r="C759" t="str">
            <v>Satış kanalları departamenti</v>
          </cell>
          <cell r="D759" t="str">
            <v>Alternativ satışlar şöbəsi</v>
          </cell>
          <cell r="E759" t="str">
            <v>#</v>
          </cell>
          <cell r="F759" t="str">
            <v>Mütəxəssis</v>
          </cell>
          <cell r="G759" t="str">
            <v>A</v>
          </cell>
          <cell r="H759">
            <v>45070</v>
          </cell>
        </row>
        <row r="760">
          <cell r="B760" t="str">
            <v>Hüseynova Ləman Həsi</v>
          </cell>
          <cell r="C760" t="str">
            <v>Satış kanalları departamenti</v>
          </cell>
          <cell r="D760" t="str">
            <v>Alternativ satışlar şöbəsi</v>
          </cell>
          <cell r="E760" t="str">
            <v>#</v>
          </cell>
          <cell r="F760" t="str">
            <v>Mütəxəssis</v>
          </cell>
          <cell r="G760" t="str">
            <v>A</v>
          </cell>
          <cell r="H760">
            <v>45265</v>
          </cell>
        </row>
        <row r="761">
          <cell r="B761" t="str">
            <v>Əhmədova Nuray Rahim</v>
          </cell>
          <cell r="C761" t="str">
            <v>Satış kanalları departamenti</v>
          </cell>
          <cell r="D761" t="str">
            <v>Alternativ satışlar şöbəsi</v>
          </cell>
          <cell r="E761" t="str">
            <v>#</v>
          </cell>
          <cell r="F761" t="str">
            <v>Mütəxəssis</v>
          </cell>
          <cell r="G761" t="str">
            <v>A</v>
          </cell>
          <cell r="H761">
            <v>45265</v>
          </cell>
        </row>
        <row r="762">
          <cell r="B762" t="str">
            <v>Hafizova Məryəm Ənvər</v>
          </cell>
          <cell r="C762" t="str">
            <v>Satış kanalları departamenti</v>
          </cell>
          <cell r="D762" t="str">
            <v>Alternativ satışlar şöbəsi</v>
          </cell>
          <cell r="E762" t="str">
            <v>#</v>
          </cell>
          <cell r="F762" t="str">
            <v>Mütəxəssis</v>
          </cell>
          <cell r="G762" t="str">
            <v>A</v>
          </cell>
          <cell r="H762">
            <v>45271</v>
          </cell>
        </row>
        <row r="763">
          <cell r="B763" t="str">
            <v>Rəhimova Aynur Qalası</v>
          </cell>
          <cell r="C763" t="str">
            <v>Mikro biznes departamenti</v>
          </cell>
          <cell r="D763" t="str">
            <v>Mikro satışlar şöbəsi</v>
          </cell>
          <cell r="E763" t="str">
            <v>#</v>
          </cell>
          <cell r="F763" t="str">
            <v>Mütəxəssis</v>
          </cell>
          <cell r="G763" t="str">
            <v>A</v>
          </cell>
          <cell r="H763">
            <v>45271</v>
          </cell>
        </row>
        <row r="764">
          <cell r="B764" t="str">
            <v>Həsənov Rəvan Teymur</v>
          </cell>
          <cell r="C764" t="str">
            <v>Satış kanalları departamenti</v>
          </cell>
          <cell r="D764" t="str">
            <v>Alternativ satışlar şöbəsi</v>
          </cell>
          <cell r="E764" t="str">
            <v>#</v>
          </cell>
          <cell r="F764" t="str">
            <v>Mütəxəssis</v>
          </cell>
          <cell r="G764" t="str">
            <v>A</v>
          </cell>
          <cell r="H764">
            <v>45366</v>
          </cell>
        </row>
        <row r="765">
          <cell r="B765" t="str">
            <v>Qədirli Asif Həşim</v>
          </cell>
          <cell r="C765" t="str">
            <v>Satış kanalları departamenti</v>
          </cell>
          <cell r="D765" t="str">
            <v>Alternativ satışlar şöbəsi</v>
          </cell>
          <cell r="E765" t="str">
            <v>#</v>
          </cell>
          <cell r="F765" t="str">
            <v>Mütəxəssis</v>
          </cell>
          <cell r="G765" t="str">
            <v>A</v>
          </cell>
          <cell r="H765">
            <v>45370</v>
          </cell>
        </row>
        <row r="766">
          <cell r="B766" t="str">
            <v>Zeynalov Pənah Zülfi</v>
          </cell>
          <cell r="C766" t="str">
            <v>Satış kanalları departamenti</v>
          </cell>
          <cell r="D766" t="str">
            <v>Alternativ satışlar şöbəsi</v>
          </cell>
          <cell r="E766" t="str">
            <v>#</v>
          </cell>
          <cell r="F766" t="str">
            <v>Mütəxəssis</v>
          </cell>
          <cell r="G766" t="str">
            <v>A</v>
          </cell>
          <cell r="H766">
            <v>45370</v>
          </cell>
        </row>
        <row r="767">
          <cell r="B767" t="str">
            <v>Rüstəmova Reyhan Qalib</v>
          </cell>
          <cell r="C767" t="str">
            <v>Satış kanalları departamenti</v>
          </cell>
          <cell r="D767" t="str">
            <v>Alternativ satışlar şöbəsi</v>
          </cell>
          <cell r="E767" t="str">
            <v>#</v>
          </cell>
          <cell r="F767" t="str">
            <v>Mütəxəssis</v>
          </cell>
          <cell r="G767" t="str">
            <v>A</v>
          </cell>
          <cell r="H767">
            <v>45265</v>
          </cell>
        </row>
        <row r="768">
          <cell r="B768" t="str">
            <v>Sultanov Cahangir Aydın</v>
          </cell>
          <cell r="C768" t="str">
            <v>Satış kanalları departamenti</v>
          </cell>
          <cell r="D768" t="str">
            <v>Alternativ satışlar şöbəsi</v>
          </cell>
          <cell r="E768" t="str">
            <v>#</v>
          </cell>
          <cell r="F768" t="str">
            <v>Mütəxəssis</v>
          </cell>
          <cell r="G768" t="str">
            <v>A</v>
          </cell>
          <cell r="H768">
            <v>45406</v>
          </cell>
        </row>
        <row r="769">
          <cell r="B769" t="str">
            <v>Oruclu Selcan Nazim</v>
          </cell>
          <cell r="C769" t="str">
            <v>Satış kanalları departamenti</v>
          </cell>
          <cell r="D769" t="str">
            <v>Alternativ satışlar şöbəsi</v>
          </cell>
          <cell r="E769" t="str">
            <v>#</v>
          </cell>
          <cell r="F769" t="str">
            <v>Mütəxəssis</v>
          </cell>
          <cell r="G769" t="str">
            <v>A</v>
          </cell>
          <cell r="H769">
            <v>45539</v>
          </cell>
        </row>
        <row r="770">
          <cell r="B770" t="str">
            <v>Məmmədova Aynurə Mahir</v>
          </cell>
          <cell r="C770" t="str">
            <v>Satış kanalları departamenti</v>
          </cell>
          <cell r="D770" t="str">
            <v>Alternativ satışlar şöbəsi</v>
          </cell>
          <cell r="E770" t="str">
            <v>#</v>
          </cell>
          <cell r="F770" t="str">
            <v>Kiçik mütəxəssis</v>
          </cell>
          <cell r="G770" t="str">
            <v>SM</v>
          </cell>
          <cell r="H770">
            <v>45271</v>
          </cell>
        </row>
        <row r="771">
          <cell r="B771" t="str">
            <v>Ağayeva Nübar Rüfət</v>
          </cell>
          <cell r="C771" t="str">
            <v>Satış kanalları departamenti</v>
          </cell>
          <cell r="D771" t="str">
            <v>Alternativ satışlar şöbəsi</v>
          </cell>
          <cell r="E771" t="str">
            <v>#</v>
          </cell>
          <cell r="F771" t="str">
            <v>Kiçik mütəxəssis (müvəqqəti)</v>
          </cell>
          <cell r="G771" t="str">
            <v>A</v>
          </cell>
          <cell r="H771">
            <v>46063</v>
          </cell>
        </row>
        <row r="772">
          <cell r="B772" t="str">
            <v>Balaşzadə Nərmin Ramil</v>
          </cell>
          <cell r="C772" t="str">
            <v>Satış kanalları departamenti</v>
          </cell>
          <cell r="D772" t="str">
            <v>Alternativ satışlar şöbəsi</v>
          </cell>
          <cell r="E772" t="str">
            <v>#</v>
          </cell>
          <cell r="F772" t="str">
            <v>Mütəxəssis</v>
          </cell>
          <cell r="G772" t="str">
            <v>A</v>
          </cell>
          <cell r="H772">
            <v>45721</v>
          </cell>
        </row>
        <row r="773">
          <cell r="B773" t="str">
            <v>Yaqubov Ruslan Ehtiramoviç</v>
          </cell>
          <cell r="C773" t="str">
            <v>Mikro biznes departamenti</v>
          </cell>
          <cell r="D773" t="str">
            <v>Mikro satışlar şöbəsi</v>
          </cell>
          <cell r="E773" t="str">
            <v>#</v>
          </cell>
          <cell r="F773" t="str">
            <v>Mütəxəssis</v>
          </cell>
          <cell r="G773" t="str">
            <v>A</v>
          </cell>
          <cell r="H773">
            <v>45475</v>
          </cell>
        </row>
        <row r="774">
          <cell r="B774" t="str">
            <v>Məmmədova Fidan İlyas</v>
          </cell>
          <cell r="C774" t="str">
            <v>Satış kanalları departamenti</v>
          </cell>
          <cell r="D774" t="str">
            <v>Alternativ satışlar şöbəsi</v>
          </cell>
          <cell r="E774" t="str">
            <v>#</v>
          </cell>
          <cell r="F774" t="str">
            <v>Mütəxəssis</v>
          </cell>
          <cell r="G774" t="str">
            <v>A</v>
          </cell>
          <cell r="H774">
            <v>45475</v>
          </cell>
        </row>
        <row r="775">
          <cell r="B775" t="str">
            <v>Dostaliyeva Asiman Zöhrab</v>
          </cell>
          <cell r="C775" t="str">
            <v>Satış kanalları departamenti</v>
          </cell>
          <cell r="D775" t="str">
            <v>Alternativ satışlar şöbəsi</v>
          </cell>
          <cell r="E775" t="str">
            <v>#</v>
          </cell>
          <cell r="F775" t="str">
            <v>Kiçik mütəxəssis</v>
          </cell>
          <cell r="G775" t="str">
            <v>SM</v>
          </cell>
          <cell r="H775">
            <v>45478</v>
          </cell>
        </row>
        <row r="776">
          <cell r="B776" t="str">
            <v>Zeynəlzadə Nərmin Ceyhun</v>
          </cell>
          <cell r="C776" t="str">
            <v>Satış kanalları departamenti</v>
          </cell>
          <cell r="D776" t="str">
            <v>Alternativ satışlar şöbəsi</v>
          </cell>
          <cell r="E776" t="str">
            <v>#</v>
          </cell>
          <cell r="F776" t="str">
            <v>Kiçik mütəxəssis (müvəqqəti)</v>
          </cell>
          <cell r="G776" t="str">
            <v>A</v>
          </cell>
          <cell r="H776">
            <v>46091</v>
          </cell>
        </row>
        <row r="777">
          <cell r="B777" t="str">
            <v>Mehdiyeva Nərmin Namiq</v>
          </cell>
          <cell r="C777" t="str">
            <v>Mikro biznes departamenti</v>
          </cell>
          <cell r="D777" t="str">
            <v>Mikro satışlar şöbəsi</v>
          </cell>
          <cell r="E777" t="str">
            <v>#</v>
          </cell>
          <cell r="F777" t="str">
            <v>Kiçik mütəxəssis</v>
          </cell>
          <cell r="G777" t="str">
            <v>A</v>
          </cell>
          <cell r="H777">
            <v>45910</v>
          </cell>
        </row>
        <row r="778">
          <cell r="B778" t="str">
            <v>Həsənova Əsmər Süleyman</v>
          </cell>
          <cell r="C778" t="str">
            <v>Satış kanalları departamenti</v>
          </cell>
          <cell r="D778" t="str">
            <v>Alternativ satışlar şöbəsi</v>
          </cell>
          <cell r="E778" t="str">
            <v>#</v>
          </cell>
          <cell r="F778" t="str">
            <v>Mütəxəssis</v>
          </cell>
          <cell r="G778" t="str">
            <v>A</v>
          </cell>
          <cell r="H778">
            <v>45497</v>
          </cell>
        </row>
        <row r="779">
          <cell r="B779" t="str">
            <v>Həsənova Şahyamən Vüqar</v>
          </cell>
          <cell r="C779" t="str">
            <v>Satış kanalları departamenti</v>
          </cell>
          <cell r="D779" t="str">
            <v>Alternativ satışlar şöbəsi</v>
          </cell>
          <cell r="E779" t="str">
            <v>#</v>
          </cell>
          <cell r="F779" t="str">
            <v>Mütəxəssis</v>
          </cell>
          <cell r="G779" t="str">
            <v>A</v>
          </cell>
          <cell r="H779">
            <v>45538</v>
          </cell>
        </row>
        <row r="780">
          <cell r="B780" t="str">
            <v>Şirinova Ləman Ağasət</v>
          </cell>
          <cell r="C780" t="str">
            <v>Satış kanalları departamenti</v>
          </cell>
          <cell r="D780" t="str">
            <v>Alternativ satışlar şöbəsi</v>
          </cell>
          <cell r="E780" t="str">
            <v>#</v>
          </cell>
          <cell r="F780" t="str">
            <v>Mütəxəssis</v>
          </cell>
          <cell r="G780" t="str">
            <v>A</v>
          </cell>
          <cell r="H780">
            <v>45538</v>
          </cell>
        </row>
        <row r="781">
          <cell r="B781" t="str">
            <v>Kazımova Lalə Rəşad</v>
          </cell>
          <cell r="C781" t="str">
            <v>Satış kanalları departamenti</v>
          </cell>
          <cell r="D781" t="str">
            <v>Alternativ satışlar şöbəsi</v>
          </cell>
          <cell r="E781" t="str">
            <v>#</v>
          </cell>
          <cell r="F781" t="str">
            <v>Mütəxəssis</v>
          </cell>
          <cell r="G781" t="str">
            <v>A</v>
          </cell>
          <cell r="H781">
            <v>45538</v>
          </cell>
        </row>
        <row r="782">
          <cell r="B782" t="str">
            <v>Əkbərova Verdiyeva Ləman Əlsalam</v>
          </cell>
          <cell r="C782" t="str">
            <v>Mikro biznes departamenti</v>
          </cell>
          <cell r="D782" t="str">
            <v>Mikro satışlar şöbəsi</v>
          </cell>
          <cell r="E782" t="str">
            <v>#</v>
          </cell>
          <cell r="F782" t="str">
            <v>Kiçik mütəxəssis</v>
          </cell>
          <cell r="G782" t="str">
            <v>A</v>
          </cell>
          <cell r="H782">
            <v>43116</v>
          </cell>
        </row>
        <row r="783">
          <cell r="B783" t="str">
            <v>Mikayılzadə Nigar Elçin</v>
          </cell>
          <cell r="C783" t="str">
            <v>Satış kanalları departamenti</v>
          </cell>
          <cell r="D783" t="str">
            <v>Alternativ satışlar şöbəsi</v>
          </cell>
          <cell r="E783" t="str">
            <v>#</v>
          </cell>
          <cell r="F783" t="str">
            <v>Kiçik mütəxəssis</v>
          </cell>
          <cell r="G783" t="str">
            <v>A</v>
          </cell>
          <cell r="H783">
            <v>46063</v>
          </cell>
        </row>
        <row r="784">
          <cell r="B784" t="str">
            <v>Mirzəzadə Röya Firidun</v>
          </cell>
          <cell r="C784" t="str">
            <v>Satış kanalları departamenti</v>
          </cell>
          <cell r="D784" t="str">
            <v>Alternativ satışlar şöbəsi</v>
          </cell>
          <cell r="E784" t="str">
            <v>#</v>
          </cell>
          <cell r="F784" t="str">
            <v>Kiçik mütəxəssis</v>
          </cell>
          <cell r="G784" t="str">
            <v>A</v>
          </cell>
          <cell r="H784">
            <v>46163</v>
          </cell>
        </row>
        <row r="785">
          <cell r="B785" t="str">
            <v>Əhmədova Aytac Calalovna</v>
          </cell>
          <cell r="C785" t="str">
            <v>Satış kanalları departamenti</v>
          </cell>
          <cell r="D785" t="str">
            <v>Alternativ satışlar şöbəsi</v>
          </cell>
          <cell r="E785" t="str">
            <v>#</v>
          </cell>
          <cell r="F785" t="str">
            <v>Mütəxəssis</v>
          </cell>
          <cell r="G785" t="str">
            <v>A</v>
          </cell>
          <cell r="H785">
            <v>45538</v>
          </cell>
        </row>
        <row r="786">
          <cell r="B786" t="str">
            <v>İbrahimov Əliyullah Dağlar</v>
          </cell>
          <cell r="C786" t="str">
            <v>Satış kanalları departamenti</v>
          </cell>
          <cell r="D786" t="str">
            <v>Alternativ satışlar şöbəsi</v>
          </cell>
          <cell r="E786" t="str">
            <v>#</v>
          </cell>
          <cell r="F786" t="str">
            <v>Kiçik mütəxəssis</v>
          </cell>
          <cell r="G786" t="str">
            <v>A</v>
          </cell>
          <cell r="H786">
            <v>46063</v>
          </cell>
        </row>
        <row r="787">
          <cell r="B787" t="str">
            <v>Hüseynova Arzu Anar</v>
          </cell>
          <cell r="C787" t="str">
            <v>Satış kanalları departamenti</v>
          </cell>
          <cell r="D787" t="str">
            <v>Alternativ satışlar şöbəsi</v>
          </cell>
          <cell r="E787" t="str">
            <v>#</v>
          </cell>
          <cell r="F787" t="str">
            <v>Mütəxəssis</v>
          </cell>
          <cell r="G787" t="str">
            <v>A</v>
          </cell>
          <cell r="H787">
            <v>45538</v>
          </cell>
        </row>
        <row r="788">
          <cell r="B788" t="str">
            <v>Məcidova Səbinə Arif</v>
          </cell>
          <cell r="C788" t="str">
            <v>Mikro biznes departamenti</v>
          </cell>
          <cell r="D788" t="str">
            <v>Mikro satışlar şöbəsi</v>
          </cell>
          <cell r="E788" t="str">
            <v>#</v>
          </cell>
          <cell r="F788" t="str">
            <v>Mütəxəssis</v>
          </cell>
          <cell r="G788" t="str">
            <v>A</v>
          </cell>
          <cell r="H788">
            <v>45568</v>
          </cell>
        </row>
        <row r="789">
          <cell r="B789" t="str">
            <v>Əliyev Şamil Raqif</v>
          </cell>
          <cell r="C789" t="str">
            <v>Satış kanalları departamenti</v>
          </cell>
          <cell r="D789" t="str">
            <v>Alternativ satışlar şöbəsi</v>
          </cell>
          <cell r="E789" t="str">
            <v>#</v>
          </cell>
          <cell r="F789" t="str">
            <v>Mütəxəssis</v>
          </cell>
          <cell r="G789" t="str">
            <v>A</v>
          </cell>
          <cell r="H789">
            <v>45756</v>
          </cell>
        </row>
        <row r="790">
          <cell r="B790" t="str">
            <v>Muradova Yeganə Murad</v>
          </cell>
          <cell r="C790" t="str">
            <v>Satış kanalları departamenti</v>
          </cell>
          <cell r="D790" t="str">
            <v>Alternativ satışlar şöbəsi</v>
          </cell>
          <cell r="E790" t="str">
            <v>#</v>
          </cell>
          <cell r="F790" t="str">
            <v>Mütəxəssis</v>
          </cell>
          <cell r="G790" t="str">
            <v>A</v>
          </cell>
          <cell r="H790">
            <v>45778</v>
          </cell>
        </row>
        <row r="791">
          <cell r="B791" t="str">
            <v>Quliyeva Aynur Şaiq</v>
          </cell>
          <cell r="C791" t="str">
            <v>Mikro biznes departamenti</v>
          </cell>
          <cell r="D791" t="str">
            <v>Mikro satışlar şöbəsi</v>
          </cell>
          <cell r="E791" t="str">
            <v>#</v>
          </cell>
          <cell r="F791" t="str">
            <v>Mütəxəssis</v>
          </cell>
          <cell r="G791" t="str">
            <v>A</v>
          </cell>
          <cell r="H791">
            <v>45860</v>
          </cell>
        </row>
        <row r="792">
          <cell r="B792" t="str">
            <v>Məmmədova Pərvanə Qabil</v>
          </cell>
          <cell r="C792" t="str">
            <v>Satış kanalları departamenti</v>
          </cell>
          <cell r="D792" t="str">
            <v>Alternativ satışlar şöbəsi</v>
          </cell>
          <cell r="E792" t="str">
            <v>#</v>
          </cell>
          <cell r="F792" t="str">
            <v>Mütəxəssis</v>
          </cell>
          <cell r="G792" t="str">
            <v>A</v>
          </cell>
          <cell r="H792">
            <v>45861</v>
          </cell>
        </row>
        <row r="793">
          <cell r="B793" t="str">
            <v>Məmmədova Nərmin Abbas</v>
          </cell>
          <cell r="C793" t="str">
            <v>Mikro biznes departamenti</v>
          </cell>
          <cell r="D793" t="str">
            <v>Mikro satışlar şöbəsi</v>
          </cell>
          <cell r="E793" t="str">
            <v>#</v>
          </cell>
          <cell r="F793" t="str">
            <v>Kiçik mütəxəssis</v>
          </cell>
          <cell r="G793" t="str">
            <v>A</v>
          </cell>
          <cell r="H793">
            <v>45919</v>
          </cell>
        </row>
        <row r="794">
          <cell r="B794" t="str">
            <v>Hüseynov İlkin Rəfail</v>
          </cell>
          <cell r="C794" t="str">
            <v>Mikro biznes departamenti</v>
          </cell>
          <cell r="D794" t="str">
            <v>Mikro satışlar şöbəsi</v>
          </cell>
          <cell r="E794" t="str">
            <v>#</v>
          </cell>
          <cell r="F794" t="str">
            <v>Şöbə müdiri</v>
          </cell>
          <cell r="G794" t="str">
            <v>A</v>
          </cell>
          <cell r="H794">
            <v>43668</v>
          </cell>
        </row>
        <row r="795">
          <cell r="B795" t="str">
            <v>Dadiyev Elçin İlham</v>
          </cell>
          <cell r="C795" t="str">
            <v>Mikro biznes departamenti</v>
          </cell>
          <cell r="D795" t="str">
            <v>Mikro satışlar şöbəsi</v>
          </cell>
          <cell r="E795" t="str">
            <v>#</v>
          </cell>
          <cell r="F795" t="str">
            <v>Menecer</v>
          </cell>
          <cell r="G795" t="str">
            <v>A</v>
          </cell>
          <cell r="H795">
            <v>44324</v>
          </cell>
        </row>
        <row r="796">
          <cell r="B796" t="str">
            <v>Kərimov Nicat İlqar</v>
          </cell>
          <cell r="C796" t="str">
            <v>Mikro biznes departamenti</v>
          </cell>
          <cell r="D796" t="str">
            <v>Mikro satışlar şöbəsi</v>
          </cell>
          <cell r="E796" t="str">
            <v>#</v>
          </cell>
          <cell r="F796" t="str">
            <v>Menecer</v>
          </cell>
          <cell r="G796" t="str">
            <v>A</v>
          </cell>
          <cell r="H796">
            <v>44389</v>
          </cell>
        </row>
        <row r="797">
          <cell r="B797" t="str">
            <v>Zeynalov Tamirlan Eldar</v>
          </cell>
          <cell r="C797" t="str">
            <v>Mikro biznes departamenti</v>
          </cell>
          <cell r="D797" t="str">
            <v>Mikro satışlar şöbəsi</v>
          </cell>
          <cell r="E797" t="str">
            <v>#</v>
          </cell>
          <cell r="F797" t="str">
            <v>Baş mütəxəssis</v>
          </cell>
          <cell r="G797" t="str">
            <v>A</v>
          </cell>
          <cell r="H797">
            <v>44324</v>
          </cell>
        </row>
        <row r="798">
          <cell r="B798" t="str">
            <v>Abışov Fərid Fikrət</v>
          </cell>
          <cell r="C798" t="str">
            <v>Mikro biznes departamenti</v>
          </cell>
          <cell r="D798" t="str">
            <v>Mikro satışlar şöbəsi</v>
          </cell>
          <cell r="E798" t="str">
            <v>#</v>
          </cell>
          <cell r="F798" t="str">
            <v>Mütəxəssis</v>
          </cell>
          <cell r="G798" t="str">
            <v>A</v>
          </cell>
          <cell r="H798">
            <v>44767</v>
          </cell>
        </row>
        <row r="799">
          <cell r="B799" t="str">
            <v>Əlizadə Xanım Nafiq</v>
          </cell>
          <cell r="C799" t="str">
            <v>Mikro biznes departamenti</v>
          </cell>
          <cell r="D799" t="str">
            <v>Mikro satışlar şöbəsi</v>
          </cell>
          <cell r="E799" t="str">
            <v>#</v>
          </cell>
          <cell r="F799" t="str">
            <v>Kiçik mütəxəssis</v>
          </cell>
          <cell r="G799" t="str">
            <v>A</v>
          </cell>
          <cell r="H799">
            <v>46140</v>
          </cell>
        </row>
        <row r="800">
          <cell r="B800" t="str">
            <v>Rzayev Bəhruz Qənimət</v>
          </cell>
          <cell r="C800" t="str">
            <v>Təhlükəsizlik departamenti</v>
          </cell>
          <cell r="D800" t="str">
            <v>#</v>
          </cell>
          <cell r="E800" t="str">
            <v>#</v>
          </cell>
          <cell r="F800" t="str">
            <v>Direktor</v>
          </cell>
          <cell r="G800" t="str">
            <v>A</v>
          </cell>
          <cell r="H800">
            <v>39049</v>
          </cell>
        </row>
        <row r="801">
          <cell r="B801" t="str">
            <v>Qasımov Emil Musa</v>
          </cell>
          <cell r="C801" t="str">
            <v>Təhlükəsizlik departamenti</v>
          </cell>
          <cell r="D801" t="str">
            <v>#</v>
          </cell>
          <cell r="E801" t="str">
            <v>#</v>
          </cell>
          <cell r="F801" t="str">
            <v>Direktor müavini</v>
          </cell>
          <cell r="G801" t="str">
            <v>A</v>
          </cell>
          <cell r="H801">
            <v>41890</v>
          </cell>
        </row>
        <row r="802">
          <cell r="B802" t="str">
            <v>Talıbov Rövşən Məmməd</v>
          </cell>
          <cell r="C802" t="str">
            <v>Təhlükəsizlik departamenti</v>
          </cell>
          <cell r="D802" t="str">
            <v>Mühafizə və rejim şöbəsi</v>
          </cell>
          <cell r="E802" t="str">
            <v>#</v>
          </cell>
          <cell r="F802" t="str">
            <v>Menecer</v>
          </cell>
          <cell r="G802" t="str">
            <v>A</v>
          </cell>
          <cell r="H802">
            <v>45663</v>
          </cell>
        </row>
        <row r="803">
          <cell r="B803" t="str">
            <v>Cabbarov Vüsal Güldəmir</v>
          </cell>
          <cell r="C803" t="str">
            <v>Təhlükəsizlik departamenti</v>
          </cell>
          <cell r="D803" t="str">
            <v>Mühafizə və rejim şöbəsi</v>
          </cell>
          <cell r="E803" t="str">
            <v>#</v>
          </cell>
          <cell r="F803" t="str">
            <v>Baş mütəxəssis</v>
          </cell>
          <cell r="G803" t="str">
            <v>A</v>
          </cell>
          <cell r="H803">
            <v>41015</v>
          </cell>
        </row>
        <row r="804">
          <cell r="B804" t="str">
            <v>Vəliyev Vüqar Vaqif</v>
          </cell>
          <cell r="C804" t="str">
            <v>Təhlükəsizlik departamenti</v>
          </cell>
          <cell r="D804" t="str">
            <v>Mühafizə və rejim şöbəsi</v>
          </cell>
          <cell r="E804" t="str">
            <v>#</v>
          </cell>
          <cell r="F804" t="str">
            <v>Menecer</v>
          </cell>
          <cell r="G804" t="str">
            <v>A</v>
          </cell>
          <cell r="H804">
            <v>38405</v>
          </cell>
        </row>
        <row r="805">
          <cell r="B805" t="str">
            <v>Abdullayev Ariz Fariz</v>
          </cell>
          <cell r="C805" t="str">
            <v>Təhlükəsizlik departamenti</v>
          </cell>
          <cell r="D805" t="str">
            <v>Mühafizə və rejim şöbəsi</v>
          </cell>
          <cell r="E805" t="str">
            <v>#</v>
          </cell>
          <cell r="F805" t="str">
            <v>Baş mütəxəssis</v>
          </cell>
          <cell r="G805" t="str">
            <v>A</v>
          </cell>
          <cell r="H805">
            <v>43857</v>
          </cell>
        </row>
        <row r="806">
          <cell r="B806" t="str">
            <v>İsmayılov Üzeyir İlqar</v>
          </cell>
          <cell r="C806" t="str">
            <v>Təhlükəsizlik departamenti</v>
          </cell>
          <cell r="D806" t="str">
            <v>Mühafizə və rejim şöbəsi</v>
          </cell>
          <cell r="E806" t="str">
            <v>#</v>
          </cell>
          <cell r="F806" t="str">
            <v>Aparıcı mütəxəssis</v>
          </cell>
          <cell r="G806" t="str">
            <v>A</v>
          </cell>
          <cell r="H806">
            <v>43742</v>
          </cell>
        </row>
        <row r="807">
          <cell r="B807" t="str">
            <v>İsmayılov Elmar Nazim</v>
          </cell>
          <cell r="C807" t="str">
            <v>Təhlükəsizlik departamenti</v>
          </cell>
          <cell r="D807" t="str">
            <v>Mühafizə və rejim şöbəsi</v>
          </cell>
          <cell r="E807" t="str">
            <v>#</v>
          </cell>
          <cell r="F807" t="str">
            <v>Aparıcı mütəxəssis</v>
          </cell>
          <cell r="G807" t="str">
            <v>A</v>
          </cell>
          <cell r="H807">
            <v>44888</v>
          </cell>
        </row>
        <row r="808">
          <cell r="B808" t="str">
            <v>Bayramov Rəhman Hüseyn</v>
          </cell>
          <cell r="C808" t="str">
            <v>Təhlükəsizlik departamenti</v>
          </cell>
          <cell r="D808" t="str">
            <v>Mühafizə və rejim şöbəsi</v>
          </cell>
          <cell r="E808" t="str">
            <v>#</v>
          </cell>
          <cell r="F808" t="str">
            <v>Mütəxəssis</v>
          </cell>
          <cell r="G808" t="str">
            <v>A</v>
          </cell>
          <cell r="H808">
            <v>44624</v>
          </cell>
        </row>
        <row r="809">
          <cell r="B809" t="str">
            <v>Süleymanlı Orxan Qəhrəman</v>
          </cell>
          <cell r="C809" t="str">
            <v>Təhlükəsizlik departamenti</v>
          </cell>
          <cell r="D809" t="str">
            <v>Mühafizə və rejim şöbəsi</v>
          </cell>
          <cell r="E809" t="str">
            <v>#</v>
          </cell>
          <cell r="F809" t="str">
            <v>Mütəxəssis</v>
          </cell>
          <cell r="G809" t="str">
            <v>A</v>
          </cell>
          <cell r="H809">
            <v>46191</v>
          </cell>
        </row>
        <row r="810">
          <cell r="B810" t="str">
            <v>Kazımov Fərid Xeyrəddin</v>
          </cell>
          <cell r="C810" t="str">
            <v>Təhlükəsizlik departamenti</v>
          </cell>
          <cell r="D810" t="str">
            <v>Mühafizə və rejim şöbəsi</v>
          </cell>
          <cell r="E810" t="str">
            <v>#</v>
          </cell>
          <cell r="F810" t="str">
            <v>Aparıcı mütəxəssis</v>
          </cell>
          <cell r="G810" t="str">
            <v>A</v>
          </cell>
          <cell r="H810">
            <v>45226</v>
          </cell>
        </row>
        <row r="811">
          <cell r="B811" t="str">
            <v>Osmanov Ceyhun Mehman</v>
          </cell>
          <cell r="C811" t="str">
            <v>Təhlükəsizlik departamenti</v>
          </cell>
          <cell r="D811" t="str">
            <v>Mühafizə və rejim şöbəsi</v>
          </cell>
          <cell r="E811" t="str">
            <v>#</v>
          </cell>
          <cell r="F811" t="str">
            <v>Aparıcı mütəxəssis</v>
          </cell>
          <cell r="G811" t="str">
            <v>A</v>
          </cell>
          <cell r="H811">
            <v>45663</v>
          </cell>
        </row>
        <row r="812">
          <cell r="B812" t="str">
            <v>Səfiyev Fərid Əli</v>
          </cell>
          <cell r="C812" t="str">
            <v>Təhlükəsizlik departamenti</v>
          </cell>
          <cell r="D812" t="str">
            <v>SƏTƏM şöbəsi</v>
          </cell>
          <cell r="E812" t="str">
            <v>#</v>
          </cell>
          <cell r="F812" t="str">
            <v>Şöbə müdiri</v>
          </cell>
          <cell r="G812" t="str">
            <v>A</v>
          </cell>
          <cell r="H812">
            <v>42464</v>
          </cell>
        </row>
        <row r="813">
          <cell r="B813" t="str">
            <v>Muradov Kamran Tofiq</v>
          </cell>
          <cell r="C813" t="str">
            <v>Təhlükəsizlik departamenti</v>
          </cell>
          <cell r="D813" t="str">
            <v>SƏTƏM şöbəsi</v>
          </cell>
          <cell r="E813" t="str">
            <v>#</v>
          </cell>
          <cell r="F813" t="str">
            <v>Menecer</v>
          </cell>
          <cell r="G813" t="str">
            <v>A</v>
          </cell>
          <cell r="H813">
            <v>43515</v>
          </cell>
        </row>
        <row r="814">
          <cell r="B814" t="str">
            <v>Qasımzadə Anar Fəxrəddin</v>
          </cell>
          <cell r="C814" t="str">
            <v>Təhlükəsizlik departamenti</v>
          </cell>
          <cell r="D814" t="str">
            <v>SƏTƏM şöbəsi</v>
          </cell>
          <cell r="E814" t="str">
            <v>#</v>
          </cell>
          <cell r="F814" t="str">
            <v>Mütəxəssis</v>
          </cell>
          <cell r="G814" t="str">
            <v>A</v>
          </cell>
          <cell r="H814">
            <v>46176</v>
          </cell>
          <cell r="I814" t="str">
            <v>BirMarket</v>
          </cell>
        </row>
        <row r="815">
          <cell r="B815" t="str">
            <v>Bəndəliyev Ramal Nağdəli</v>
          </cell>
          <cell r="C815" t="str">
            <v>Təhlükəsizlik departamenti</v>
          </cell>
          <cell r="D815" t="str">
            <v>SƏTƏM şöbəsi</v>
          </cell>
          <cell r="E815" t="str">
            <v>#</v>
          </cell>
          <cell r="F815" t="str">
            <v>Mütəxəssis</v>
          </cell>
          <cell r="G815" t="str">
            <v>A</v>
          </cell>
          <cell r="H815">
            <v>46176</v>
          </cell>
          <cell r="I815" t="str">
            <v>BirMarket</v>
          </cell>
        </row>
        <row r="816">
          <cell r="B816" t="str">
            <v>Süleymanov Nəsib Tərbiz</v>
          </cell>
          <cell r="C816" t="str">
            <v>Təhlükəsizlik departamenti</v>
          </cell>
          <cell r="D816" t="str">
            <v>Fraud halları və rəqəmsal əməliyyatların araşdırılması şöbəsi</v>
          </cell>
          <cell r="E816" t="str">
            <v>#</v>
          </cell>
          <cell r="F816" t="str">
            <v>Şöbə müdiri</v>
          </cell>
          <cell r="G816" t="str">
            <v>A</v>
          </cell>
          <cell r="H816">
            <v>38775</v>
          </cell>
        </row>
        <row r="817">
          <cell r="B817" t="str">
            <v>İbrahimli Kamran Elşən</v>
          </cell>
          <cell r="C817" t="str">
            <v>Təhlükəsizlik departamenti</v>
          </cell>
          <cell r="D817" t="str">
            <v>Fraud halları və rəqəmsal əməliyyatların araşdırılması şöbəsi</v>
          </cell>
          <cell r="E817" t="str">
            <v>#</v>
          </cell>
          <cell r="F817" t="str">
            <v>Baş mütəxəssis</v>
          </cell>
          <cell r="G817" t="str">
            <v>A</v>
          </cell>
          <cell r="H817">
            <v>43535</v>
          </cell>
        </row>
        <row r="818">
          <cell r="B818" t="str">
            <v>Cəlilova Günel Nadir</v>
          </cell>
          <cell r="C818" t="str">
            <v>Təhlükəsizlik departamenti</v>
          </cell>
          <cell r="D818" t="str">
            <v>Fraud halları və rəqəmsal əməliyyatların araşdırılması şöbəsi</v>
          </cell>
          <cell r="E818" t="str">
            <v>#</v>
          </cell>
          <cell r="F818" t="str">
            <v>Aparıcı mütəxəssis</v>
          </cell>
          <cell r="G818" t="str">
            <v>A</v>
          </cell>
          <cell r="H818">
            <v>44494</v>
          </cell>
        </row>
        <row r="819">
          <cell r="B819" t="str">
            <v>Ələkbərov Əzizağa Faiq</v>
          </cell>
          <cell r="C819" t="str">
            <v>Təhlükəsizlik departamenti</v>
          </cell>
          <cell r="D819" t="str">
            <v>Fraud halları və rəqəmsal əməliyyatların araşdırılması şöbəsi</v>
          </cell>
          <cell r="E819" t="str">
            <v>#</v>
          </cell>
          <cell r="F819" t="str">
            <v>Aparıcı mütəxəssis</v>
          </cell>
          <cell r="G819" t="str">
            <v>A</v>
          </cell>
          <cell r="H819">
            <v>43222</v>
          </cell>
        </row>
        <row r="820">
          <cell r="B820" t="str">
            <v>İbrahimov Ruslan Vaqif</v>
          </cell>
          <cell r="C820" t="str">
            <v>Təhlükəsizlik departamenti</v>
          </cell>
          <cell r="D820" t="str">
            <v>Fraud halları və rəqəmsal əməliyyatların araşdırılması şöbəsi</v>
          </cell>
          <cell r="E820" t="str">
            <v>#</v>
          </cell>
          <cell r="F820" t="str">
            <v>Aparıcı mütəxəssis</v>
          </cell>
          <cell r="G820" t="str">
            <v>A</v>
          </cell>
          <cell r="H820">
            <v>46239</v>
          </cell>
        </row>
        <row r="821">
          <cell r="B821" t="str">
            <v>Talıblı Mirqasım Aqil</v>
          </cell>
          <cell r="C821" t="str">
            <v>Təhlükəsizlik departamenti</v>
          </cell>
          <cell r="D821" t="str">
            <v>Fraud halları və rəqəmsal əməliyyatların araşdırılması şöbəsi</v>
          </cell>
          <cell r="E821" t="str">
            <v>#</v>
          </cell>
          <cell r="F821" t="str">
            <v>Baş mütəxəssis</v>
          </cell>
          <cell r="G821" t="str">
            <v>A</v>
          </cell>
          <cell r="H821">
            <v>44614</v>
          </cell>
        </row>
        <row r="822">
          <cell r="B822" t="str">
            <v>Mustafayev Ceyhun Elşən</v>
          </cell>
          <cell r="C822" t="str">
            <v>Təhlükəsizlik departamenti</v>
          </cell>
          <cell r="D822" t="str">
            <v>Fraud halları və rəqəmsal əməliyyatların araşdırılması şöbəsi</v>
          </cell>
          <cell r="E822" t="str">
            <v>#</v>
          </cell>
          <cell r="F822" t="str">
            <v>Baş mütəxəssis (Naxçıvan zonası üzrə)</v>
          </cell>
          <cell r="G822" t="str">
            <v>A</v>
          </cell>
          <cell r="H822">
            <v>44258</v>
          </cell>
        </row>
        <row r="823">
          <cell r="B823" t="str">
            <v>Məmmədova Nigar Əli</v>
          </cell>
          <cell r="C823" t="str">
            <v>Təhlükəsizlik departamenti</v>
          </cell>
          <cell r="D823" t="str">
            <v>Fraud halları və rəqəmsal əməliyyatların araşdırılması şöbəsi</v>
          </cell>
          <cell r="E823" t="str">
            <v>#</v>
          </cell>
          <cell r="F823" t="str">
            <v>Aparıcı mütəxəssis</v>
          </cell>
          <cell r="G823" t="str">
            <v>A</v>
          </cell>
          <cell r="H823">
            <v>43781</v>
          </cell>
        </row>
        <row r="824">
          <cell r="B824" t="str">
            <v>Nəsibli Məhəmməd Namiq</v>
          </cell>
          <cell r="C824" t="str">
            <v>Təhlükəsizlik departamenti</v>
          </cell>
          <cell r="D824" t="str">
            <v>Fraud halları və rəqəmsal əməliyyatların araşdırılması şöbəsi</v>
          </cell>
          <cell r="E824" t="str">
            <v>#</v>
          </cell>
          <cell r="F824" t="str">
            <v>Mütəxəssis</v>
          </cell>
          <cell r="G824" t="str">
            <v>A</v>
          </cell>
          <cell r="H824">
            <v>45476</v>
          </cell>
        </row>
        <row r="825">
          <cell r="B825" t="str">
            <v>Hüseynov Polad Rafiq</v>
          </cell>
          <cell r="C825" t="str">
            <v>Təhlükəsizlik departamenti</v>
          </cell>
          <cell r="D825" t="str">
            <v>Fraud halları və rəqəmsal əməliyyatların araşdırılması şöbəsi</v>
          </cell>
          <cell r="E825" t="str">
            <v>Maraq münaqişəsi və korrupsiya halları ilə iş bölməsi</v>
          </cell>
          <cell r="F825" t="str">
            <v>Bölmə rəhbəri</v>
          </cell>
          <cell r="G825" t="str">
            <v>A</v>
          </cell>
          <cell r="H825">
            <v>43283</v>
          </cell>
        </row>
        <row r="826">
          <cell r="B826" t="str">
            <v>Qurbanov Yaqub Fazil</v>
          </cell>
          <cell r="C826" t="str">
            <v>Təhlükəsizlik departamenti</v>
          </cell>
          <cell r="D826" t="str">
            <v>Fraud halları və rəqəmsal əməliyyatların araşdırılması şöbəsi</v>
          </cell>
          <cell r="E826" t="str">
            <v>Maraq münaqişəsi və korrupsiya halları ilə iş bölməsi</v>
          </cell>
          <cell r="F826" t="str">
            <v>Menecer</v>
          </cell>
          <cell r="G826" t="str">
            <v>A</v>
          </cell>
          <cell r="H826">
            <v>46126</v>
          </cell>
        </row>
        <row r="827">
          <cell r="B827" t="str">
            <v>Həmidzadə Rəhimə Rəhman</v>
          </cell>
          <cell r="C827" t="str">
            <v>Təhlükəsizlik departamenti</v>
          </cell>
          <cell r="D827" t="str">
            <v>Fraud halları və rəqəmsal əməliyyatların araşdırılması şöbəsi</v>
          </cell>
          <cell r="E827" t="str">
            <v>Maraq münaqişəsi və korrupsiya halları ilə iş bölməsi</v>
          </cell>
          <cell r="F827" t="str">
            <v>Baş mütəxəssis</v>
          </cell>
          <cell r="G827" t="str">
            <v>A</v>
          </cell>
          <cell r="H827">
            <v>43318</v>
          </cell>
        </row>
        <row r="828">
          <cell r="B828" t="str">
            <v>Qasımova Xədicə Akif</v>
          </cell>
          <cell r="C828" t="str">
            <v>Təhlükəsizlik departamenti</v>
          </cell>
          <cell r="D828" t="str">
            <v>Fraud halları və rəqəmsal əməliyyatların araşdırılması şöbəsi</v>
          </cell>
          <cell r="E828" t="str">
            <v>Maraq münaqişəsi və korrupsiya halları ilə iş bölməsi</v>
          </cell>
          <cell r="F828" t="str">
            <v>Aparıcı mütəxəssis</v>
          </cell>
          <cell r="G828" t="str">
            <v>A</v>
          </cell>
          <cell r="H828">
            <v>44811</v>
          </cell>
        </row>
        <row r="829">
          <cell r="B829" t="str">
            <v>Sariyev Nizami Hakim</v>
          </cell>
          <cell r="C829" t="str">
            <v>Təhlükəsizlik departamenti</v>
          </cell>
          <cell r="D829" t="str">
            <v>Fraud halları və rəqəmsal əməliyyatların araşdırılması şöbəsi</v>
          </cell>
          <cell r="E829" t="str">
            <v>Maraq münaqişəsi və korrupsiya halları ilə iş bölməsi</v>
          </cell>
          <cell r="F829" t="str">
            <v>Mütəxəssis</v>
          </cell>
          <cell r="G829" t="str">
            <v>A</v>
          </cell>
          <cell r="H829">
            <v>46122</v>
          </cell>
          <cell r="I829" t="str">
            <v>BirMarket</v>
          </cell>
        </row>
        <row r="830">
          <cell r="B830" t="str">
            <v>Quluzadə Riyad İlham</v>
          </cell>
          <cell r="C830" t="str">
            <v>Təhlükəsizlik departamenti</v>
          </cell>
          <cell r="D830" t="str">
            <v>Fraud halları və rəqəmsal əməliyyatların araşdırılması şöbəsi</v>
          </cell>
          <cell r="E830" t="str">
            <v>Maraq münaqişəsi və korrupsiya halları ilə iş bölməsi</v>
          </cell>
          <cell r="F830" t="str">
            <v>Mütəxəssis</v>
          </cell>
          <cell r="G830" t="str">
            <v>A</v>
          </cell>
          <cell r="H830">
            <v>46122</v>
          </cell>
          <cell r="I830" t="str">
            <v>BirMarket</v>
          </cell>
        </row>
        <row r="831">
          <cell r="B831" t="str">
            <v>Balabəyli Abdulla Aqşin</v>
          </cell>
          <cell r="C831" t="str">
            <v>Təhlükəsizlik departamenti</v>
          </cell>
          <cell r="D831" t="str">
            <v>Fraud halları və rəqəmsal əməliyyatların araşdırılması şöbəsi</v>
          </cell>
          <cell r="E831" t="str">
            <v>Maraq münaqişəsi və korrupsiya halları ilə iş bölməsi</v>
          </cell>
          <cell r="F831" t="str">
            <v>Aparıcı mütəxəssis</v>
          </cell>
          <cell r="G831" t="str">
            <v>A</v>
          </cell>
          <cell r="H831">
            <v>46070</v>
          </cell>
        </row>
        <row r="832">
          <cell r="B832" t="str">
            <v>İsgəndərli Rüstəm Zöhrab</v>
          </cell>
          <cell r="C832" t="str">
            <v>Təhlükəsizlik departamenti</v>
          </cell>
          <cell r="D832" t="str">
            <v>Fraud hallarının idarə edilməsi şöbəsi</v>
          </cell>
          <cell r="E832" t="str">
            <v>#</v>
          </cell>
          <cell r="F832" t="str">
            <v>Şöbə müdiri</v>
          </cell>
          <cell r="G832" t="str">
            <v>A</v>
          </cell>
          <cell r="H832">
            <v>42430</v>
          </cell>
        </row>
        <row r="833">
          <cell r="B833" t="str">
            <v>Nağıyev Aydın Kazım</v>
          </cell>
          <cell r="C833" t="str">
            <v>Təhlükəsizlik departamenti</v>
          </cell>
          <cell r="D833" t="str">
            <v>Fraud hallarının idarə edilməsi şöbəsi</v>
          </cell>
          <cell r="E833" t="str">
            <v>#</v>
          </cell>
          <cell r="F833" t="str">
            <v>Baş mütəxəssis</v>
          </cell>
          <cell r="G833" t="str">
            <v>A</v>
          </cell>
          <cell r="H833">
            <v>45974</v>
          </cell>
        </row>
        <row r="834">
          <cell r="B834" t="str">
            <v>Bayramova Ayşən Xaliq</v>
          </cell>
          <cell r="C834" t="str">
            <v>Təhlükəsizlik departamenti</v>
          </cell>
          <cell r="D834" t="str">
            <v>Fraud hallarının idarə edilməsi şöbəsi</v>
          </cell>
          <cell r="E834" t="str">
            <v>#</v>
          </cell>
          <cell r="F834" t="str">
            <v>Aparıcı mütəxəssis</v>
          </cell>
          <cell r="G834" t="str">
            <v>A</v>
          </cell>
          <cell r="H834">
            <v>46028</v>
          </cell>
        </row>
        <row r="835">
          <cell r="B835" t="str">
            <v>Cəfərli Gülnar Kamil</v>
          </cell>
          <cell r="C835" t="str">
            <v>Təhlükəsizlik departamenti</v>
          </cell>
          <cell r="D835" t="str">
            <v>Fraud hallarının idarə edilməsi şöbəsi</v>
          </cell>
          <cell r="E835" t="str">
            <v>#</v>
          </cell>
          <cell r="F835" t="str">
            <v>Aparıcı mütəxəssis</v>
          </cell>
          <cell r="G835" t="str">
            <v>A</v>
          </cell>
          <cell r="H835">
            <v>44522</v>
          </cell>
        </row>
        <row r="836">
          <cell r="B836" t="str">
            <v>Səfərov Rəsul Vahid</v>
          </cell>
          <cell r="C836" t="str">
            <v>Təhlükəsizlik departamenti</v>
          </cell>
          <cell r="D836" t="str">
            <v>Fraud hallarının idarə edilməsi şöbəsi</v>
          </cell>
          <cell r="E836" t="str">
            <v>#</v>
          </cell>
          <cell r="F836" t="str">
            <v>Aparıcı mütəxəssis</v>
          </cell>
          <cell r="G836" t="str">
            <v>A</v>
          </cell>
          <cell r="H836">
            <v>45275</v>
          </cell>
        </row>
        <row r="837">
          <cell r="B837" t="str">
            <v>Məmmədov Rüfət Asif</v>
          </cell>
          <cell r="C837" t="str">
            <v>Təhlükəsizlik departamenti</v>
          </cell>
          <cell r="D837" t="str">
            <v>Hüquq mühafizə orqanları ilə iş şöbəsi</v>
          </cell>
          <cell r="E837" t="str">
            <v>#</v>
          </cell>
          <cell r="F837" t="str">
            <v>Şöbə müdiri</v>
          </cell>
          <cell r="G837" t="str">
            <v>A</v>
          </cell>
          <cell r="H837">
            <v>38378</v>
          </cell>
        </row>
        <row r="838">
          <cell r="B838" t="str">
            <v>Məmmədov Azər İsrafil</v>
          </cell>
          <cell r="C838" t="str">
            <v>Təhlükəsizlik departamenti</v>
          </cell>
          <cell r="D838" t="str">
            <v>Hüquq mühafizə orqanları ilə iş şöbəsi</v>
          </cell>
          <cell r="E838" t="str">
            <v>#</v>
          </cell>
          <cell r="F838" t="str">
            <v>Baş mütəxəssis</v>
          </cell>
          <cell r="G838" t="str">
            <v>A</v>
          </cell>
          <cell r="H838">
            <v>42998</v>
          </cell>
        </row>
        <row r="839">
          <cell r="B839" t="str">
            <v>Rüstəmov Emil Səməd</v>
          </cell>
          <cell r="C839" t="str">
            <v>Təhlükəsizlik departamenti</v>
          </cell>
          <cell r="D839" t="str">
            <v>Hüquq mühafizə orqanları ilə iş şöbəsi</v>
          </cell>
          <cell r="E839" t="str">
            <v>#</v>
          </cell>
          <cell r="F839" t="str">
            <v>Menecer</v>
          </cell>
          <cell r="G839" t="str">
            <v>A</v>
          </cell>
          <cell r="H839">
            <v>45853</v>
          </cell>
        </row>
        <row r="840">
          <cell r="B840" t="str">
            <v>Əhmədov Samir Mirzəqalib</v>
          </cell>
          <cell r="C840" t="str">
            <v>Təhlükəsizlik departamenti</v>
          </cell>
          <cell r="D840" t="str">
            <v>Təhlükəsizlik sistemləri şöbəsi</v>
          </cell>
          <cell r="E840" t="str">
            <v>Operativ monitorinq bölməsi</v>
          </cell>
          <cell r="F840" t="str">
            <v>Baş mütəxəssis</v>
          </cell>
          <cell r="G840" t="str">
            <v>A</v>
          </cell>
          <cell r="H840">
            <v>41421</v>
          </cell>
        </row>
        <row r="841">
          <cell r="B841" t="str">
            <v>Əfəndiyev İlham Nadir</v>
          </cell>
          <cell r="C841" t="str">
            <v>Təhlükəsizlik departamenti</v>
          </cell>
          <cell r="D841" t="str">
            <v>Video müşahidə və təhlükəsizlik analitikası şöbəsi</v>
          </cell>
          <cell r="E841" t="str">
            <v>#</v>
          </cell>
          <cell r="F841" t="str">
            <v>Baş mütəxəssis</v>
          </cell>
          <cell r="G841" t="str">
            <v>A</v>
          </cell>
          <cell r="H841">
            <v>41043</v>
          </cell>
        </row>
        <row r="842">
          <cell r="B842" t="str">
            <v>Əzimov Cavid Etibar</v>
          </cell>
          <cell r="C842" t="str">
            <v>Təhlükəsizlik departamenti</v>
          </cell>
          <cell r="D842" t="str">
            <v>Video müşahidə və təhlükəsizlik analitikası şöbəsi</v>
          </cell>
          <cell r="E842" t="str">
            <v>#</v>
          </cell>
          <cell r="F842" t="str">
            <v>Baş mütəxəssis</v>
          </cell>
          <cell r="G842" t="str">
            <v>A</v>
          </cell>
          <cell r="H842">
            <v>40129</v>
          </cell>
        </row>
        <row r="843">
          <cell r="B843" t="str">
            <v>Hacılı Azər Nəsib</v>
          </cell>
          <cell r="C843" t="str">
            <v>Təhlükəsizlik departamenti</v>
          </cell>
          <cell r="D843" t="str">
            <v>Hüquq mühafizə orqanları ilə iş şöbəsi</v>
          </cell>
          <cell r="E843" t="str">
            <v>#</v>
          </cell>
          <cell r="F843" t="str">
            <v>Aparıcı mütəxəssis</v>
          </cell>
          <cell r="G843" t="str">
            <v>A</v>
          </cell>
          <cell r="H843">
            <v>36713</v>
          </cell>
        </row>
        <row r="844">
          <cell r="B844" t="str">
            <v>Behbudov Elşən Vahid</v>
          </cell>
          <cell r="C844" t="str">
            <v>Təhlükəsizlik departamenti</v>
          </cell>
          <cell r="D844" t="str">
            <v>Hüquq mühafizə orqanları ilə iş şöbəsi</v>
          </cell>
          <cell r="E844" t="str">
            <v>#</v>
          </cell>
          <cell r="F844" t="str">
            <v>Baş mütəxəssis</v>
          </cell>
          <cell r="G844" t="str">
            <v>A</v>
          </cell>
          <cell r="H844">
            <v>42607</v>
          </cell>
        </row>
        <row r="845">
          <cell r="B845" t="str">
            <v>İsmayılzadə Nuranə Ramiz</v>
          </cell>
          <cell r="C845" t="str">
            <v>Təhlükəsizlik departamenti</v>
          </cell>
          <cell r="D845" t="str">
            <v>Video müşahidə və təhlükəsizlik analitikası şöbəsi</v>
          </cell>
          <cell r="E845" t="str">
            <v>#</v>
          </cell>
          <cell r="F845" t="str">
            <v>Aparıcı mütəxəssis</v>
          </cell>
          <cell r="G845" t="str">
            <v>A</v>
          </cell>
          <cell r="H845">
            <v>42716</v>
          </cell>
        </row>
        <row r="846">
          <cell r="B846" t="str">
            <v>Baxşiyeva Əminə Çingiz</v>
          </cell>
          <cell r="C846" t="str">
            <v>Təhlükəsizlik departamenti</v>
          </cell>
          <cell r="D846" t="str">
            <v>Video müşahidə və təhlükəsizlik analitikası şöbəsi</v>
          </cell>
          <cell r="E846" t="str">
            <v>#</v>
          </cell>
          <cell r="F846" t="str">
            <v>Aparıcı mütəxəssis</v>
          </cell>
          <cell r="G846" t="str">
            <v>A</v>
          </cell>
          <cell r="H846">
            <v>44236</v>
          </cell>
        </row>
        <row r="847">
          <cell r="B847" t="str">
            <v>Sofiyev Elçin Dursun</v>
          </cell>
          <cell r="C847" t="str">
            <v>Təhlükəsizlik departamenti</v>
          </cell>
          <cell r="D847" t="str">
            <v>#</v>
          </cell>
          <cell r="E847" t="str">
            <v>#</v>
          </cell>
          <cell r="F847" t="str">
            <v>Direktor müavini</v>
          </cell>
          <cell r="G847" t="str">
            <v>A</v>
          </cell>
          <cell r="H847">
            <v>40210</v>
          </cell>
        </row>
        <row r="848">
          <cell r="B848" t="str">
            <v>Əliyev Kamran Nurməhəmməd</v>
          </cell>
          <cell r="C848" t="str">
            <v>Təhlükəsizlik departamenti</v>
          </cell>
          <cell r="D848" t="str">
            <v>Terminal şəbəkəsinin təhlükəsizliyi şöbəsi</v>
          </cell>
          <cell r="E848" t="str">
            <v>#</v>
          </cell>
          <cell r="F848" t="str">
            <v>Menecer</v>
          </cell>
          <cell r="G848" t="str">
            <v>A</v>
          </cell>
          <cell r="H848">
            <v>44385</v>
          </cell>
        </row>
        <row r="849">
          <cell r="B849" t="str">
            <v>Hacıyev Orxan Elxan</v>
          </cell>
          <cell r="C849" t="str">
            <v>Təhlükəsizlik departamenti</v>
          </cell>
          <cell r="D849" t="str">
            <v>Terminal şəbəkəsinin təhlükəsizliyi şöbəsi</v>
          </cell>
          <cell r="E849" t="str">
            <v>#</v>
          </cell>
          <cell r="F849" t="str">
            <v>Menecer</v>
          </cell>
          <cell r="G849" t="str">
            <v>A</v>
          </cell>
          <cell r="H849">
            <v>42695</v>
          </cell>
        </row>
        <row r="850">
          <cell r="B850" t="str">
            <v>Babayev Zaur Hüseynağa</v>
          </cell>
          <cell r="C850" t="str">
            <v>Təhlükəsizlik departamenti</v>
          </cell>
          <cell r="D850" t="str">
            <v>Terminal şəbəkəsinin təhlükəsizliyi şöbəsi</v>
          </cell>
          <cell r="E850" t="str">
            <v>#</v>
          </cell>
          <cell r="F850" t="str">
            <v>Baş mütəxəssis</v>
          </cell>
          <cell r="G850" t="str">
            <v>A</v>
          </cell>
          <cell r="H850">
            <v>42069</v>
          </cell>
        </row>
        <row r="851">
          <cell r="B851" t="str">
            <v>Qədirov Tural Rəcəb</v>
          </cell>
          <cell r="C851" t="str">
            <v>Təhlükəsizlik departamenti</v>
          </cell>
          <cell r="D851" t="str">
            <v>Terminal şəbəkəsinin təhlükəsizliyi şöbəsi</v>
          </cell>
          <cell r="E851" t="str">
            <v>#</v>
          </cell>
          <cell r="F851" t="str">
            <v>Baş mütəxəssis</v>
          </cell>
          <cell r="G851" t="str">
            <v>A</v>
          </cell>
          <cell r="H851">
            <v>46237</v>
          </cell>
          <cell r="I851" t="str">
            <v>Bir Payment</v>
          </cell>
        </row>
        <row r="852">
          <cell r="B852" t="str">
            <v>Hüseyn-zadə Natiq Ramiz</v>
          </cell>
          <cell r="C852" t="str">
            <v>Təhlükəsizlik departamenti</v>
          </cell>
          <cell r="D852" t="str">
            <v>Terminal şəbəkəsinin təhlükəsizliyi şöbəsi</v>
          </cell>
          <cell r="E852" t="str">
            <v>#</v>
          </cell>
          <cell r="F852" t="str">
            <v>Aparıcı mütəxəssis</v>
          </cell>
          <cell r="G852" t="str">
            <v>A</v>
          </cell>
          <cell r="H852">
            <v>43692</v>
          </cell>
        </row>
        <row r="853">
          <cell r="B853" t="str">
            <v>İsrafilov Murad İsrafil</v>
          </cell>
          <cell r="C853" t="str">
            <v>Təhlükəsizlik departamenti</v>
          </cell>
          <cell r="D853" t="str">
            <v>Terminal şəbəkəsinin təhlükəsizliyi şöbəsi</v>
          </cell>
          <cell r="E853" t="str">
            <v>#</v>
          </cell>
          <cell r="F853" t="str">
            <v>Aparıcı mütəxəssis</v>
          </cell>
          <cell r="G853" t="str">
            <v>A</v>
          </cell>
          <cell r="H853">
            <v>44726</v>
          </cell>
        </row>
        <row r="854">
          <cell r="B854" t="str">
            <v>Məmmədov Orxan Mahir</v>
          </cell>
          <cell r="C854" t="str">
            <v>Təhlükəsizlik departamenti</v>
          </cell>
          <cell r="D854" t="str">
            <v>Terminal şəbəkəsinin təhlükəsizliyi şöbəsi</v>
          </cell>
          <cell r="E854" t="str">
            <v>#</v>
          </cell>
          <cell r="F854" t="str">
            <v>Aparıcı mütəxəssis</v>
          </cell>
          <cell r="G854" t="str">
            <v>A</v>
          </cell>
          <cell r="H854">
            <v>43019</v>
          </cell>
        </row>
        <row r="855">
          <cell r="B855" t="str">
            <v>Şixməmmədov Anar Afər</v>
          </cell>
          <cell r="C855" t="str">
            <v>Təhlükəsizlik departamenti</v>
          </cell>
          <cell r="D855" t="str">
            <v>Terminal şəbəkəsinin təhlükəsizliyi şöbəsi</v>
          </cell>
          <cell r="E855" t="str">
            <v>#</v>
          </cell>
          <cell r="F855" t="str">
            <v>Aparıcı mütəxəssis</v>
          </cell>
          <cell r="G855" t="str">
            <v>A</v>
          </cell>
          <cell r="H855">
            <v>43630</v>
          </cell>
        </row>
        <row r="856">
          <cell r="B856" t="str">
            <v>Duniyev Şahin Yusif</v>
          </cell>
          <cell r="C856" t="str">
            <v>Təhlükəsizlik departamenti</v>
          </cell>
          <cell r="D856" t="str">
            <v>Terminal şəbəkəsinin təhlükəsizliyi şöbəsi</v>
          </cell>
          <cell r="E856" t="str">
            <v>#</v>
          </cell>
          <cell r="F856" t="str">
            <v>Aparıcı mütəxəssis</v>
          </cell>
          <cell r="G856" t="str">
            <v>A</v>
          </cell>
          <cell r="H856">
            <v>45210</v>
          </cell>
        </row>
        <row r="857">
          <cell r="B857" t="str">
            <v>Mehdiyev Rövşən Vaqif</v>
          </cell>
          <cell r="C857" t="str">
            <v>Təhlükəsizlik departamenti</v>
          </cell>
          <cell r="D857" t="str">
            <v>Təhlükəsizlik sistemləri şöbəsi</v>
          </cell>
          <cell r="E857" t="str">
            <v>#</v>
          </cell>
          <cell r="F857" t="str">
            <v>Menecer</v>
          </cell>
          <cell r="G857" t="str">
            <v>A</v>
          </cell>
          <cell r="H857">
            <v>41673</v>
          </cell>
        </row>
        <row r="858">
          <cell r="B858" t="str">
            <v>Məmmədov Fərid Nazim</v>
          </cell>
          <cell r="C858" t="str">
            <v>Təhlükəsizlik departamenti</v>
          </cell>
          <cell r="D858" t="str">
            <v>Təhlükəsizlik sistemləri şöbəsi</v>
          </cell>
          <cell r="E858" t="str">
            <v>#</v>
          </cell>
          <cell r="F858" t="str">
            <v>Mütəxəssis</v>
          </cell>
          <cell r="G858" t="str">
            <v>A</v>
          </cell>
          <cell r="H858">
            <v>46237</v>
          </cell>
          <cell r="I858" t="str">
            <v>Bir Payment</v>
          </cell>
        </row>
        <row r="859">
          <cell r="B859" t="str">
            <v>Məmmədov Elçin Vladimir</v>
          </cell>
          <cell r="C859" t="str">
            <v>Təhlükəsizlik departamenti</v>
          </cell>
          <cell r="D859" t="str">
            <v>Mühafizə və rejim şöbəsi</v>
          </cell>
          <cell r="E859" t="str">
            <v>#</v>
          </cell>
          <cell r="F859" t="str">
            <v>Menecer</v>
          </cell>
          <cell r="G859" t="str">
            <v>A</v>
          </cell>
          <cell r="H859">
            <v>39819</v>
          </cell>
        </row>
        <row r="860">
          <cell r="B860" t="str">
            <v>Quliyev Orxan Xanlar</v>
          </cell>
          <cell r="C860" t="str">
            <v>Təhlükəsizlik departamenti</v>
          </cell>
          <cell r="D860" t="str">
            <v>Təhlükəsizlik sistemləri şöbəsi</v>
          </cell>
          <cell r="E860" t="str">
            <v>#</v>
          </cell>
          <cell r="F860" t="str">
            <v>Baş mütəxəssis</v>
          </cell>
          <cell r="G860" t="str">
            <v>A</v>
          </cell>
          <cell r="H860">
            <v>46125</v>
          </cell>
          <cell r="I860" t="str">
            <v>Bir Payment</v>
          </cell>
        </row>
        <row r="861">
          <cell r="B861" t="str">
            <v>Bağırov Yunis Yusub</v>
          </cell>
          <cell r="C861" t="str">
            <v>Təhlükəsizlik departamenti</v>
          </cell>
          <cell r="D861" t="str">
            <v>Təhlükəsizlik sistemləri şöbəsi</v>
          </cell>
          <cell r="E861" t="str">
            <v>Operativ monitorinq bölməsi</v>
          </cell>
          <cell r="F861" t="str">
            <v>Bölmə rəhbəri</v>
          </cell>
          <cell r="G861" t="str">
            <v>A</v>
          </cell>
          <cell r="H861">
            <v>42962</v>
          </cell>
        </row>
        <row r="862">
          <cell r="B862" t="str">
            <v>Ağayev Ruslan Nizami</v>
          </cell>
          <cell r="C862" t="str">
            <v>Təhlükəsizlik departamenti</v>
          </cell>
          <cell r="D862" t="str">
            <v>Təhlükəsizlik sistemləri şöbəsi</v>
          </cell>
          <cell r="E862" t="str">
            <v>#</v>
          </cell>
          <cell r="F862" t="str">
            <v>Menecer</v>
          </cell>
          <cell r="G862" t="str">
            <v>A</v>
          </cell>
          <cell r="H862">
            <v>45341</v>
          </cell>
        </row>
        <row r="863">
          <cell r="B863" t="str">
            <v>Xudiyev İlqar Mehman</v>
          </cell>
          <cell r="C863" t="str">
            <v>Təhlükəsizlik departamenti</v>
          </cell>
          <cell r="D863" t="str">
            <v>Təhlükəsizlik sistemləri şöbəsi</v>
          </cell>
          <cell r="E863" t="str">
            <v>#</v>
          </cell>
          <cell r="F863" t="str">
            <v>Baş mütəxəssis</v>
          </cell>
          <cell r="G863" t="str">
            <v>A</v>
          </cell>
          <cell r="H863">
            <v>45215</v>
          </cell>
        </row>
        <row r="864">
          <cell r="B864" t="str">
            <v>Məmiyev Rəhman Rafael</v>
          </cell>
          <cell r="C864" t="str">
            <v>Təhlükəsizlik departamenti</v>
          </cell>
          <cell r="D864" t="str">
            <v>Təhlükəsizlik sistemləri şöbəsi</v>
          </cell>
          <cell r="E864" t="str">
            <v>Operativ monitorinq bölməsi</v>
          </cell>
          <cell r="F864" t="str">
            <v>Aparıcı mütəxəssis</v>
          </cell>
          <cell r="G864" t="str">
            <v>A</v>
          </cell>
          <cell r="H864">
            <v>41108</v>
          </cell>
        </row>
        <row r="865">
          <cell r="B865" t="str">
            <v>Əzizli İbrahim Şahin</v>
          </cell>
          <cell r="C865" t="str">
            <v>Təhlükəsizlik departamenti</v>
          </cell>
          <cell r="D865" t="str">
            <v>Təhlükəsizlik sistemləri şöbəsi</v>
          </cell>
          <cell r="E865" t="str">
            <v>Operativ monitorinq bölməsi</v>
          </cell>
          <cell r="F865" t="str">
            <v>Aparıcı mütəxəssis</v>
          </cell>
          <cell r="G865" t="str">
            <v>A</v>
          </cell>
          <cell r="H865">
            <v>42144</v>
          </cell>
        </row>
        <row r="866">
          <cell r="B866" t="str">
            <v>Quliyev Elxan Elşən</v>
          </cell>
          <cell r="C866" t="str">
            <v>Təhlükəsizlik departamenti</v>
          </cell>
          <cell r="D866" t="str">
            <v>Təhlükəsizlik sistemləri şöbəsi</v>
          </cell>
          <cell r="E866" t="str">
            <v>Operativ monitorinq bölməsi</v>
          </cell>
          <cell r="F866" t="str">
            <v>Aparıcı mütəxəssis</v>
          </cell>
          <cell r="G866" t="str">
            <v>A</v>
          </cell>
          <cell r="H866">
            <v>45153</v>
          </cell>
        </row>
        <row r="867">
          <cell r="B867" t="str">
            <v>İbrahimov Samir Emil</v>
          </cell>
          <cell r="C867" t="str">
            <v>Təhlükəsizlik departamenti</v>
          </cell>
          <cell r="D867" t="str">
            <v>Təhlükəsizlik sistemləri şöbəsi</v>
          </cell>
          <cell r="E867" t="str">
            <v>Operativ monitorinq bölməsi</v>
          </cell>
          <cell r="F867" t="str">
            <v>Aparıcı mütəxəssis</v>
          </cell>
          <cell r="G867" t="str">
            <v>A</v>
          </cell>
          <cell r="H867">
            <v>44246</v>
          </cell>
        </row>
        <row r="868">
          <cell r="B868" t="str">
            <v>Quluzadə Bayram Elmar</v>
          </cell>
          <cell r="C868" t="str">
            <v>Təhlükəsizlik departamenti</v>
          </cell>
          <cell r="D868" t="str">
            <v>Təhlükəsizlik sistemləri şöbəsi</v>
          </cell>
          <cell r="E868" t="str">
            <v>#</v>
          </cell>
          <cell r="F868" t="str">
            <v>Mütəxəssis</v>
          </cell>
          <cell r="G868" t="str">
            <v>A</v>
          </cell>
          <cell r="H868">
            <v>45502</v>
          </cell>
        </row>
        <row r="869">
          <cell r="B869" t="str">
            <v>Muradlı Rəfayıl Nurməmməd</v>
          </cell>
          <cell r="C869" t="str">
            <v>Təhlükəsizlik departamenti</v>
          </cell>
          <cell r="D869" t="str">
            <v>Video müşahidə və təhlükəsizlik analitikası şöbəsi</v>
          </cell>
          <cell r="E869" t="str">
            <v>#</v>
          </cell>
          <cell r="F869" t="str">
            <v>Şöbə müdiri</v>
          </cell>
          <cell r="G869" t="str">
            <v>A</v>
          </cell>
          <cell r="H869">
            <v>41989</v>
          </cell>
        </row>
        <row r="870">
          <cell r="B870" t="str">
            <v>Dibirov Tahir Adilxan</v>
          </cell>
          <cell r="C870" t="str">
            <v>Təhlükəsizlik departamenti</v>
          </cell>
          <cell r="D870" t="str">
            <v>Video müşahidə və təhlükəsizlik analitikası şöbəsi</v>
          </cell>
          <cell r="E870" t="str">
            <v>#</v>
          </cell>
          <cell r="F870" t="str">
            <v>Baş mütəxəssis</v>
          </cell>
          <cell r="G870" t="str">
            <v>A</v>
          </cell>
          <cell r="H870">
            <v>44209</v>
          </cell>
        </row>
        <row r="871">
          <cell r="B871" t="str">
            <v>Məmmədov Pərvin Firdovsi</v>
          </cell>
          <cell r="C871" t="str">
            <v>Təhlükəsizlik departamenti</v>
          </cell>
          <cell r="D871" t="str">
            <v>Video müşahidə və təhlükəsizlik analitikası şöbəsi</v>
          </cell>
          <cell r="E871" t="str">
            <v>#</v>
          </cell>
          <cell r="F871" t="str">
            <v>Aparıcı mütəxəssis</v>
          </cell>
          <cell r="G871" t="str">
            <v>A</v>
          </cell>
          <cell r="H871">
            <v>44789</v>
          </cell>
        </row>
        <row r="872">
          <cell r="B872" t="str">
            <v>Quliyev Kamil Nizami</v>
          </cell>
          <cell r="C872" t="str">
            <v>Təhlükəsizlik departamenti</v>
          </cell>
          <cell r="D872" t="str">
            <v>Video müşahidə və təhlükəsizlik analitikası şöbəsi</v>
          </cell>
          <cell r="E872" t="str">
            <v>#</v>
          </cell>
          <cell r="F872" t="str">
            <v>Aparıcı mütəxəssis</v>
          </cell>
          <cell r="G872" t="str">
            <v>A</v>
          </cell>
          <cell r="H872">
            <v>45287</v>
          </cell>
        </row>
        <row r="873">
          <cell r="B873" t="str">
            <v>Mirzəzadə Nahid Mirzə</v>
          </cell>
          <cell r="C873" t="str">
            <v>Təhlükəsizlik departamenti</v>
          </cell>
          <cell r="D873" t="str">
            <v>Video müşahidə və təhlükəsizlik analitikası şöbəsi</v>
          </cell>
          <cell r="E873" t="str">
            <v>#</v>
          </cell>
          <cell r="F873" t="str">
            <v>Mütəxəssis</v>
          </cell>
          <cell r="G873" t="str">
            <v>A</v>
          </cell>
          <cell r="H873">
            <v>45212</v>
          </cell>
        </row>
        <row r="874">
          <cell r="B874" t="str">
            <v>Nuri Şahnaz Səməd</v>
          </cell>
          <cell r="C874" t="str">
            <v>Agile və məhsul ekspert mərkəzi</v>
          </cell>
          <cell r="D874" t="str">
            <v>#</v>
          </cell>
          <cell r="E874" t="str">
            <v>#</v>
          </cell>
          <cell r="F874" t="str">
            <v>Funksional sahə lideri</v>
          </cell>
          <cell r="G874" t="str">
            <v>A</v>
          </cell>
          <cell r="H874">
            <v>41835</v>
          </cell>
        </row>
        <row r="875">
          <cell r="B875" t="str">
            <v>Səidova Samirə Balasultan</v>
          </cell>
          <cell r="C875" t="str">
            <v>Agile və məhsul ekspert mərkəzi</v>
          </cell>
          <cell r="D875" t="str">
            <v>#</v>
          </cell>
          <cell r="E875" t="str">
            <v>#</v>
          </cell>
          <cell r="F875" t="str">
            <v>Funksional lider</v>
          </cell>
          <cell r="G875" t="str">
            <v>A</v>
          </cell>
          <cell r="H875">
            <v>42478</v>
          </cell>
        </row>
        <row r="876">
          <cell r="B876" t="str">
            <v>Qurbanova Fatma Xasməmməd</v>
          </cell>
          <cell r="C876" t="str">
            <v>Agile və məhsul ekspert mərkəzi</v>
          </cell>
          <cell r="D876" t="str">
            <v>#</v>
          </cell>
          <cell r="E876" t="str">
            <v>#</v>
          </cell>
          <cell r="F876" t="str">
            <v>Proseslər üzrə ekspert</v>
          </cell>
          <cell r="G876" t="str">
            <v>A</v>
          </cell>
          <cell r="H876">
            <v>45404</v>
          </cell>
        </row>
        <row r="877">
          <cell r="B877" t="str">
            <v>BARANOVSKAYA SVETLANA</v>
          </cell>
          <cell r="C877" t="str">
            <v>Agile və məhsul ekspert mərkəzi</v>
          </cell>
          <cell r="D877" t="str">
            <v>Payment chapter</v>
          </cell>
          <cell r="E877" t="str">
            <v>#</v>
          </cell>
          <cell r="F877" t="str">
            <v>Agile kouç</v>
          </cell>
          <cell r="G877" t="str">
            <v>A</v>
          </cell>
          <cell r="H877">
            <v>46232</v>
          </cell>
          <cell r="I877" t="str">
            <v>Bir Payment</v>
          </cell>
        </row>
        <row r="878">
          <cell r="B878" t="str">
            <v>Əlizadə Turqut Elşən</v>
          </cell>
          <cell r="C878" t="str">
            <v>Agile və məhsul ekspert mərkəzi</v>
          </cell>
          <cell r="D878" t="str">
            <v>#</v>
          </cell>
          <cell r="E878" t="str">
            <v>#</v>
          </cell>
          <cell r="F878" t="str">
            <v>Scrum master</v>
          </cell>
          <cell r="G878" t="str">
            <v>A</v>
          </cell>
          <cell r="H878">
            <v>46091</v>
          </cell>
        </row>
        <row r="879">
          <cell r="B879" t="str">
            <v>Adilzadə Aysu Elnur</v>
          </cell>
          <cell r="C879" t="str">
            <v>Agile və məhsul ekspert mərkəzi</v>
          </cell>
          <cell r="D879" t="str">
            <v>#</v>
          </cell>
          <cell r="E879" t="str">
            <v>#</v>
          </cell>
          <cell r="F879" t="str">
            <v>Scrum master</v>
          </cell>
          <cell r="G879" t="str">
            <v>A</v>
          </cell>
          <cell r="H879">
            <v>46252</v>
          </cell>
          <cell r="I879" t="str">
            <v>Bir Payment</v>
          </cell>
        </row>
        <row r="880">
          <cell r="B880" t="str">
            <v xml:space="preserve">FOMINA MARIIA </v>
          </cell>
          <cell r="C880" t="str">
            <v>Agile və məhsul ekspert mərkəzi</v>
          </cell>
          <cell r="D880" t="str">
            <v>#</v>
          </cell>
          <cell r="E880" t="str">
            <v>#</v>
          </cell>
          <cell r="F880" t="str">
            <v>Agile kouç</v>
          </cell>
          <cell r="G880" t="str">
            <v>A</v>
          </cell>
          <cell r="H880">
            <v>46254</v>
          </cell>
          <cell r="I880" t="str">
            <v>Bir Payment</v>
          </cell>
        </row>
        <row r="881">
          <cell r="B881" t="str">
            <v>Əhmədov Azər Qabil</v>
          </cell>
          <cell r="C881" t="str">
            <v>Agile və məhsul ekspert mərkəzi</v>
          </cell>
          <cell r="D881" t="str">
            <v>#</v>
          </cell>
          <cell r="E881" t="str">
            <v>#</v>
          </cell>
          <cell r="F881" t="str">
            <v>Scrum master</v>
          </cell>
          <cell r="G881" t="str">
            <v>A</v>
          </cell>
          <cell r="H881">
            <v>46148</v>
          </cell>
        </row>
        <row r="882">
          <cell r="B882" t="str">
            <v>Musayeva Səmanə Kəmaləddin</v>
          </cell>
          <cell r="C882" t="str">
            <v>Agile və məhsul ekspert mərkəzi</v>
          </cell>
          <cell r="D882" t="str">
            <v>#</v>
          </cell>
          <cell r="E882" t="str">
            <v>#</v>
          </cell>
          <cell r="F882" t="str">
            <v>Proseslər üzrə ekspert</v>
          </cell>
          <cell r="G882" t="str">
            <v>A</v>
          </cell>
          <cell r="H882">
            <v>45505</v>
          </cell>
        </row>
        <row r="883">
          <cell r="B883" t="str">
            <v>Əlizadə Elnarə Eldar</v>
          </cell>
          <cell r="C883" t="str">
            <v>Strategiya və layihələrin idarə edilməsi departamenti</v>
          </cell>
          <cell r="D883" t="str">
            <v>Layihələrin idarəedilməsi şöbəsi</v>
          </cell>
          <cell r="E883" t="str">
            <v>#</v>
          </cell>
          <cell r="F883" t="str">
            <v>Ekosistem məhsullarının idarə edilməsi üzrə ekspert</v>
          </cell>
          <cell r="G883" t="str">
            <v>A</v>
          </cell>
          <cell r="H883">
            <v>45566</v>
          </cell>
        </row>
        <row r="884">
          <cell r="B884" t="str">
            <v>IUSUBOVA GULNARA</v>
          </cell>
          <cell r="C884" t="str">
            <v>Strategiya və layihələrin idarə edilməsi departamenti</v>
          </cell>
          <cell r="D884" t="str">
            <v>Layihələrin idarəedilməsi şöbəsi</v>
          </cell>
          <cell r="E884" t="str">
            <v>#</v>
          </cell>
          <cell r="F884" t="str">
            <v>Ekosistem məhsullarının idarə edilməsi üzrə ekspert</v>
          </cell>
          <cell r="G884" t="str">
            <v>A</v>
          </cell>
          <cell r="H884">
            <v>45764</v>
          </cell>
        </row>
        <row r="885">
          <cell r="B885" t="str">
            <v>Hüseynli Nərminə Çingiz</v>
          </cell>
          <cell r="C885" t="str">
            <v>Agile və məhsul ekspert mərkəzi</v>
          </cell>
          <cell r="D885" t="str">
            <v>#</v>
          </cell>
          <cell r="E885" t="str">
            <v>#</v>
          </cell>
          <cell r="F885" t="str">
            <v>Agile kouç</v>
          </cell>
          <cell r="G885" t="str">
            <v>SM</v>
          </cell>
          <cell r="H885">
            <v>44463</v>
          </cell>
        </row>
        <row r="886">
          <cell r="B886" t="str">
            <v>Əkbərova Vəsilə Vidadi</v>
          </cell>
          <cell r="C886" t="str">
            <v>Agile və məhsul ekspert mərkəzi</v>
          </cell>
          <cell r="D886" t="str">
            <v>#</v>
          </cell>
          <cell r="E886" t="str">
            <v>#</v>
          </cell>
          <cell r="F886" t="str">
            <v>Scrum master(müvəqqəti)</v>
          </cell>
          <cell r="G886" t="str">
            <v>A</v>
          </cell>
          <cell r="H886">
            <v>45495</v>
          </cell>
        </row>
        <row r="887">
          <cell r="B887" t="str">
            <v>Məmmədova Türkanə Şakir</v>
          </cell>
          <cell r="C887" t="str">
            <v>Agile və məhsul ekspert mərkəzi</v>
          </cell>
          <cell r="D887" t="str">
            <v>#</v>
          </cell>
          <cell r="E887" t="str">
            <v>#</v>
          </cell>
          <cell r="F887" t="str">
            <v>Agile kouç</v>
          </cell>
          <cell r="G887" t="str">
            <v>SM</v>
          </cell>
          <cell r="H887">
            <v>44463</v>
          </cell>
        </row>
        <row r="888">
          <cell r="B888" t="str">
            <v>Şirinov Azər Qafar</v>
          </cell>
          <cell r="C888" t="str">
            <v>Agile və məhsul ekspert mərkəzi</v>
          </cell>
          <cell r="D888" t="str">
            <v>#</v>
          </cell>
          <cell r="E888" t="str">
            <v>#</v>
          </cell>
          <cell r="F888" t="str">
            <v>Agile kouç</v>
          </cell>
          <cell r="G888" t="str">
            <v>A</v>
          </cell>
          <cell r="H888">
            <v>45728</v>
          </cell>
        </row>
        <row r="889">
          <cell r="B889" t="str">
            <v>Həsənov Ramin Cabir</v>
          </cell>
          <cell r="C889" t="str">
            <v>Agile və məhsul ekspert mərkəzi</v>
          </cell>
          <cell r="D889" t="str">
            <v>#</v>
          </cell>
          <cell r="E889" t="str">
            <v>#</v>
          </cell>
          <cell r="F889" t="str">
            <v>Agile kouç</v>
          </cell>
          <cell r="G889" t="str">
            <v>A</v>
          </cell>
          <cell r="H889">
            <v>45597</v>
          </cell>
        </row>
        <row r="890">
          <cell r="B890" t="str">
            <v>Fərəcova Sevinc Taleh</v>
          </cell>
          <cell r="C890" t="str">
            <v>Agile və məhsul ekspert mərkəzi</v>
          </cell>
          <cell r="D890" t="str">
            <v>#</v>
          </cell>
          <cell r="E890" t="str">
            <v>#</v>
          </cell>
          <cell r="F890" t="str">
            <v>Agile kouç</v>
          </cell>
          <cell r="G890" t="str">
            <v>A</v>
          </cell>
          <cell r="H890">
            <v>46063</v>
          </cell>
        </row>
        <row r="891">
          <cell r="B891" t="str">
            <v>Surxayzadə Leyla Nizami</v>
          </cell>
          <cell r="C891" t="str">
            <v>Agile və məhsul ekspert mərkəzi</v>
          </cell>
          <cell r="D891" t="str">
            <v>#</v>
          </cell>
          <cell r="E891" t="str">
            <v>#</v>
          </cell>
          <cell r="F891" t="str">
            <v>Agile kouç</v>
          </cell>
          <cell r="G891" t="str">
            <v>A</v>
          </cell>
          <cell r="H891">
            <v>45982</v>
          </cell>
        </row>
        <row r="892">
          <cell r="B892" t="str">
            <v>İsmayılova Səbinə Ramis</v>
          </cell>
          <cell r="C892" t="str">
            <v>Agile və məhsul ekspert mərkəzi</v>
          </cell>
          <cell r="D892" t="str">
            <v>#</v>
          </cell>
          <cell r="E892" t="str">
            <v>#</v>
          </cell>
          <cell r="F892" t="str">
            <v>Agile kouç</v>
          </cell>
          <cell r="G892" t="str">
            <v>SM</v>
          </cell>
          <cell r="H892">
            <v>45330</v>
          </cell>
        </row>
        <row r="893">
          <cell r="B893" t="str">
            <v>Ağayeva Mənsurə Şahmalı</v>
          </cell>
          <cell r="C893" t="str">
            <v>Agile və məhsul ekspert mərkəzi</v>
          </cell>
          <cell r="D893" t="str">
            <v>#</v>
          </cell>
          <cell r="E893" t="str">
            <v>#</v>
          </cell>
          <cell r="F893" t="str">
            <v>Scrum master</v>
          </cell>
          <cell r="G893" t="str">
            <v>A</v>
          </cell>
          <cell r="H893">
            <v>46113</v>
          </cell>
        </row>
        <row r="894">
          <cell r="B894" t="str">
            <v>İslamova Zərifə Elçin</v>
          </cell>
          <cell r="C894" t="str">
            <v>Agile və məhsul ekspert mərkəzi</v>
          </cell>
          <cell r="D894" t="str">
            <v>#</v>
          </cell>
          <cell r="E894" t="str">
            <v>#</v>
          </cell>
          <cell r="F894" t="str">
            <v>Scrum master</v>
          </cell>
          <cell r="G894" t="str">
            <v>A</v>
          </cell>
          <cell r="H894">
            <v>45121</v>
          </cell>
        </row>
        <row r="895">
          <cell r="B895" t="str">
            <v>Səmədzadə Günel Səyavuş</v>
          </cell>
          <cell r="C895" t="str">
            <v>Agile və məhsul ekspert mərkəzi</v>
          </cell>
          <cell r="D895" t="str">
            <v>#</v>
          </cell>
          <cell r="E895" t="str">
            <v>#</v>
          </cell>
          <cell r="F895" t="str">
            <v>Scrum master</v>
          </cell>
          <cell r="G895" t="str">
            <v>A</v>
          </cell>
          <cell r="H895">
            <v>46084</v>
          </cell>
        </row>
        <row r="896">
          <cell r="B896" t="str">
            <v>İsgəndərova Aysel Xəyyam</v>
          </cell>
          <cell r="C896" t="str">
            <v>Agile və məhsul ekspert mərkəzi</v>
          </cell>
          <cell r="D896" t="str">
            <v>#</v>
          </cell>
          <cell r="E896" t="str">
            <v>#</v>
          </cell>
          <cell r="F896" t="str">
            <v>Scrum master</v>
          </cell>
          <cell r="G896" t="str">
            <v>A</v>
          </cell>
          <cell r="H896">
            <v>45720</v>
          </cell>
        </row>
        <row r="897">
          <cell r="B897" t="str">
            <v>Qasımzadə Aydın Məmmədhəsən</v>
          </cell>
          <cell r="C897" t="str">
            <v>Agile və məhsul ekspert mərkəzi</v>
          </cell>
          <cell r="D897" t="str">
            <v>#</v>
          </cell>
          <cell r="E897" t="str">
            <v>#</v>
          </cell>
          <cell r="F897" t="str">
            <v>Agile kouç</v>
          </cell>
          <cell r="G897" t="str">
            <v>A</v>
          </cell>
          <cell r="H897">
            <v>42949</v>
          </cell>
        </row>
        <row r="898">
          <cell r="B898" t="str">
            <v>Salmanova Ruqiyyə Azad</v>
          </cell>
          <cell r="C898" t="str">
            <v>Agile və məhsul ekspert mərkəzi</v>
          </cell>
          <cell r="D898" t="str">
            <v>#</v>
          </cell>
          <cell r="E898" t="str">
            <v>#</v>
          </cell>
          <cell r="F898" t="str">
            <v>Scrum master</v>
          </cell>
          <cell r="G898" t="str">
            <v>ƏM</v>
          </cell>
          <cell r="H898">
            <v>45684</v>
          </cell>
        </row>
        <row r="899">
          <cell r="B899" t="str">
            <v>Məlikov Rüstəm Ədalət</v>
          </cell>
          <cell r="C899" t="str">
            <v>Birbank biznes sahəsi</v>
          </cell>
          <cell r="D899" t="str">
            <v>#</v>
          </cell>
          <cell r="E899" t="str">
            <v>#</v>
          </cell>
          <cell r="F899" t="str">
            <v>Sahə lideri</v>
          </cell>
          <cell r="G899" t="str">
            <v>A</v>
          </cell>
          <cell r="H899">
            <v>44153</v>
          </cell>
        </row>
        <row r="900">
          <cell r="B900" t="str">
            <v>Rəhimov Beyrək Söhbət</v>
          </cell>
          <cell r="C900" t="str">
            <v>Mikro biznes departamenti</v>
          </cell>
          <cell r="D900" t="str">
            <v>#</v>
          </cell>
          <cell r="E900" t="str">
            <v>#</v>
          </cell>
          <cell r="F900" t="str">
            <v>Məhsul sahibi</v>
          </cell>
          <cell r="G900" t="str">
            <v>A</v>
          </cell>
          <cell r="H900">
            <v>44243</v>
          </cell>
        </row>
        <row r="901">
          <cell r="B901" t="str">
            <v>Alcanov Cavidan Elşən</v>
          </cell>
          <cell r="C901" t="str">
            <v>Birbank biznes sahəsi</v>
          </cell>
          <cell r="D901" t="str">
            <v>Registration and cabinet</v>
          </cell>
          <cell r="E901" t="str">
            <v>#</v>
          </cell>
          <cell r="F901" t="str">
            <v>Məhsul sahibi</v>
          </cell>
          <cell r="G901" t="str">
            <v>A</v>
          </cell>
          <cell r="H901">
            <v>42600</v>
          </cell>
        </row>
        <row r="902">
          <cell r="B902" t="str">
            <v>İsmayılova Nərgiz Ağakərim</v>
          </cell>
          <cell r="C902" t="str">
            <v>Birbank biznes sahəsi</v>
          </cell>
          <cell r="D902" t="str">
            <v>Account Opening, Payments and Cash Operations</v>
          </cell>
          <cell r="E902" t="str">
            <v>#</v>
          </cell>
          <cell r="F902" t="str">
            <v>Məhsul sahibi</v>
          </cell>
          <cell r="G902" t="str">
            <v>A</v>
          </cell>
          <cell r="H902">
            <v>40569</v>
          </cell>
        </row>
        <row r="903">
          <cell r="B903" t="str">
            <v>Şixəliyeva Vüsalə Vüqar</v>
          </cell>
          <cell r="C903" t="str">
            <v>Birbank biznes sahəsi</v>
          </cell>
          <cell r="D903" t="str">
            <v>Transfers and Tariff</v>
          </cell>
          <cell r="E903" t="str">
            <v>#</v>
          </cell>
          <cell r="F903" t="str">
            <v>Məhsul sahibi</v>
          </cell>
          <cell r="G903" t="str">
            <v>A</v>
          </cell>
          <cell r="H903">
            <v>46224</v>
          </cell>
        </row>
        <row r="904">
          <cell r="B904" t="str">
            <v>Teymurova Təranə Namik</v>
          </cell>
          <cell r="C904" t="str">
            <v>Birbank biznes sahəsi</v>
          </cell>
          <cell r="D904" t="str">
            <v>CVM &amp; Engagement</v>
          </cell>
          <cell r="E904" t="str">
            <v>#</v>
          </cell>
          <cell r="F904" t="str">
            <v>Məhsul sahibi</v>
          </cell>
          <cell r="G904" t="str">
            <v>A</v>
          </cell>
          <cell r="H904">
            <v>43094</v>
          </cell>
        </row>
        <row r="905">
          <cell r="B905" t="str">
            <v>Eryılmaz Nəzifə Azər</v>
          </cell>
          <cell r="C905" t="str">
            <v>Biznesə dəstək departamenti</v>
          </cell>
          <cell r="D905" t="str">
            <v>#</v>
          </cell>
          <cell r="E905" t="str">
            <v>#</v>
          </cell>
          <cell r="F905" t="str">
            <v>Direktor müavini</v>
          </cell>
          <cell r="G905" t="str">
            <v>A</v>
          </cell>
          <cell r="H905">
            <v>42426</v>
          </cell>
        </row>
        <row r="906">
          <cell r="B906" t="str">
            <v>Cəfərova Səbinə Əmrah</v>
          </cell>
          <cell r="C906" t="str">
            <v>Biznesə dəstək departamenti</v>
          </cell>
          <cell r="D906" t="str">
            <v>Əməliyyatların icrası və dəstək şöbəsi</v>
          </cell>
          <cell r="E906" t="str">
            <v>#</v>
          </cell>
          <cell r="F906" t="str">
            <v>Şöbə müdiri</v>
          </cell>
          <cell r="G906" t="str">
            <v>A</v>
          </cell>
          <cell r="H906">
            <v>42684</v>
          </cell>
        </row>
        <row r="907">
          <cell r="B907" t="str">
            <v>Mirzəyev Muradxan Səməd</v>
          </cell>
          <cell r="C907" t="str">
            <v>Biznesə dəstək departamenti</v>
          </cell>
          <cell r="D907" t="str">
            <v>Əməliyyatların icrası və dəstək şöbəsi</v>
          </cell>
          <cell r="E907" t="str">
            <v>#</v>
          </cell>
          <cell r="F907" t="str">
            <v>Menecer</v>
          </cell>
          <cell r="G907" t="str">
            <v>A</v>
          </cell>
          <cell r="H907">
            <v>40787</v>
          </cell>
        </row>
        <row r="908">
          <cell r="B908" t="str">
            <v>Quliyeva Məlahət Əli Muxtar</v>
          </cell>
          <cell r="C908" t="str">
            <v>Biznesə dəstək departamenti</v>
          </cell>
          <cell r="D908" t="str">
            <v>Əməliyyatların icrası və dəstək şöbəsi</v>
          </cell>
          <cell r="E908" t="str">
            <v>#</v>
          </cell>
          <cell r="F908" t="str">
            <v>Baş mütəxəssis</v>
          </cell>
          <cell r="G908" t="str">
            <v>A</v>
          </cell>
          <cell r="H908">
            <v>37642</v>
          </cell>
        </row>
        <row r="909">
          <cell r="B909" t="str">
            <v>Səlimova Aytən Şəmsəddin</v>
          </cell>
          <cell r="C909" t="str">
            <v>Biznesə dəstək departamenti</v>
          </cell>
          <cell r="D909" t="str">
            <v>Əməliyyatların icrası və dəstək şöbəsi</v>
          </cell>
          <cell r="E909" t="str">
            <v>#</v>
          </cell>
          <cell r="F909" t="str">
            <v>Baş mütəxəssis</v>
          </cell>
          <cell r="G909" t="str">
            <v>A</v>
          </cell>
          <cell r="H909">
            <v>40168</v>
          </cell>
        </row>
        <row r="910">
          <cell r="B910" t="str">
            <v>Səlimova Günel Şikar</v>
          </cell>
          <cell r="C910" t="str">
            <v>Biznesə dəstək departamenti</v>
          </cell>
          <cell r="D910" t="str">
            <v>Əməliyyatların icrası şöbəsi</v>
          </cell>
          <cell r="E910" t="str">
            <v>#</v>
          </cell>
          <cell r="F910" t="str">
            <v>Baş mütəxəssis</v>
          </cell>
          <cell r="G910" t="str">
            <v>A</v>
          </cell>
          <cell r="H910">
            <v>42527</v>
          </cell>
        </row>
        <row r="911">
          <cell r="B911" t="str">
            <v>Səfixanov Elşən Mustafa</v>
          </cell>
          <cell r="C911" t="str">
            <v>Biznesə dəstək departamenti</v>
          </cell>
          <cell r="D911" t="str">
            <v>Əməliyyatların icrası və dəstək şöbəsi</v>
          </cell>
          <cell r="E911" t="str">
            <v>#</v>
          </cell>
          <cell r="F911" t="str">
            <v>Baş mütəxəssis</v>
          </cell>
          <cell r="G911" t="str">
            <v>A</v>
          </cell>
          <cell r="H911">
            <v>41176</v>
          </cell>
        </row>
        <row r="912">
          <cell r="B912" t="str">
            <v>Məmmədova Ülkər Valeh</v>
          </cell>
          <cell r="C912" t="str">
            <v>Biznesə dəstək departamenti</v>
          </cell>
          <cell r="D912" t="str">
            <v>Əməliyyatların icrası və dəstək şöbəsi</v>
          </cell>
          <cell r="E912" t="str">
            <v>#</v>
          </cell>
          <cell r="F912" t="str">
            <v>Baş mütəxəssis</v>
          </cell>
          <cell r="G912" t="str">
            <v>SM</v>
          </cell>
          <cell r="H912">
            <v>42493</v>
          </cell>
        </row>
        <row r="913">
          <cell r="B913" t="str">
            <v>Quliyeva Lalə Nizaməddin</v>
          </cell>
          <cell r="C913" t="str">
            <v>Biznesə dəstək departamenti</v>
          </cell>
          <cell r="D913" t="str">
            <v>Əməliyyatların icrası və dəstək şöbəsi</v>
          </cell>
          <cell r="E913" t="str">
            <v>#</v>
          </cell>
          <cell r="F913" t="str">
            <v>Aparıcı mütəxəssis</v>
          </cell>
          <cell r="G913" t="str">
            <v>A</v>
          </cell>
          <cell r="H913">
            <v>38790</v>
          </cell>
        </row>
        <row r="914">
          <cell r="B914" t="str">
            <v>Gərəkməzli Leyla Kamran</v>
          </cell>
          <cell r="C914" t="str">
            <v>Biznesə dəstək departamenti</v>
          </cell>
          <cell r="D914" t="str">
            <v>Əməliyyatların icrası və dəstək şöbəsi</v>
          </cell>
          <cell r="E914" t="str">
            <v>#</v>
          </cell>
          <cell r="F914" t="str">
            <v>Aparıcı mütəxəssis</v>
          </cell>
          <cell r="G914" t="str">
            <v>A</v>
          </cell>
          <cell r="H914">
            <v>41610</v>
          </cell>
        </row>
        <row r="915">
          <cell r="B915" t="str">
            <v>Zeynalova Sayalı Nazim</v>
          </cell>
          <cell r="C915" t="str">
            <v>Biznesə dəstək departamenti</v>
          </cell>
          <cell r="D915" t="str">
            <v>Əməliyyatların icrası və dəstək şöbəsi</v>
          </cell>
          <cell r="E915" t="str">
            <v>#</v>
          </cell>
          <cell r="F915" t="str">
            <v>Aparıcı mütəxəssis</v>
          </cell>
          <cell r="G915" t="str">
            <v>A</v>
          </cell>
          <cell r="H915">
            <v>43775</v>
          </cell>
        </row>
        <row r="916">
          <cell r="B916" t="str">
            <v>Stryukova Olqa Vasilyevna</v>
          </cell>
          <cell r="C916" t="str">
            <v>Biznesə dəstək departamenti</v>
          </cell>
          <cell r="D916" t="str">
            <v>Əməliyyatların icrası və dəstək şöbəsi</v>
          </cell>
          <cell r="E916" t="str">
            <v>#</v>
          </cell>
          <cell r="F916" t="str">
            <v>Aparıcı mütəxəssis</v>
          </cell>
          <cell r="G916" t="str">
            <v>A</v>
          </cell>
          <cell r="H916">
            <v>38328</v>
          </cell>
        </row>
        <row r="917">
          <cell r="B917" t="str">
            <v>Aslanova Pəri Kərim</v>
          </cell>
          <cell r="C917" t="str">
            <v>Biznesə dəstək departamenti</v>
          </cell>
          <cell r="D917" t="str">
            <v>Əməliyyatların icrası və dəstək şöbəsi</v>
          </cell>
          <cell r="E917" t="str">
            <v>#</v>
          </cell>
          <cell r="F917" t="str">
            <v>Aparıcı mütəxəssis</v>
          </cell>
          <cell r="G917" t="str">
            <v>A</v>
          </cell>
          <cell r="H917">
            <v>36693</v>
          </cell>
        </row>
        <row r="918">
          <cell r="B918" t="str">
            <v>Quliyeva Lamiyə Mətanət</v>
          </cell>
          <cell r="C918" t="str">
            <v>Biznesə dəstək departamenti</v>
          </cell>
          <cell r="D918" t="str">
            <v>Əməliyyatların icrası və dəstək şöbəsi</v>
          </cell>
          <cell r="E918" t="str">
            <v>#</v>
          </cell>
          <cell r="F918" t="str">
            <v>Aparıcı mütəxəssis</v>
          </cell>
          <cell r="G918" t="str">
            <v>SM</v>
          </cell>
          <cell r="H918">
            <v>39654</v>
          </cell>
        </row>
        <row r="919">
          <cell r="B919" t="str">
            <v>Məmmədova Gültəkin Əli</v>
          </cell>
          <cell r="C919" t="str">
            <v>Biznesə dəstək departamenti</v>
          </cell>
          <cell r="D919" t="str">
            <v>Əməliyyatların icrası və dəstək şöbəsi</v>
          </cell>
          <cell r="E919" t="str">
            <v>#</v>
          </cell>
          <cell r="F919" t="str">
            <v>Aparıcı mütəxəssis</v>
          </cell>
          <cell r="G919" t="str">
            <v>A</v>
          </cell>
          <cell r="H919">
            <v>37015</v>
          </cell>
        </row>
        <row r="920">
          <cell r="B920" t="str">
            <v>Mustafayeva Nazilə Ağarza</v>
          </cell>
          <cell r="C920" t="str">
            <v>Biznesə dəstək departamenti</v>
          </cell>
          <cell r="D920" t="str">
            <v>Əməliyyatların icrası və dəstək şöbəsi</v>
          </cell>
          <cell r="E920" t="str">
            <v>#</v>
          </cell>
          <cell r="F920" t="str">
            <v>Aparıcı mütəxəssis</v>
          </cell>
          <cell r="G920" t="str">
            <v>A</v>
          </cell>
          <cell r="H920">
            <v>36686</v>
          </cell>
        </row>
        <row r="921">
          <cell r="B921" t="str">
            <v>Şevçenko Alina Vladimirovna</v>
          </cell>
          <cell r="C921" t="str">
            <v>Biznesə dəstək departamenti</v>
          </cell>
          <cell r="D921" t="str">
            <v>Əməliyyatların icrası və dəstək şöbəsi</v>
          </cell>
          <cell r="E921" t="str">
            <v>#</v>
          </cell>
          <cell r="F921" t="str">
            <v>Baş mütəxəssis</v>
          </cell>
          <cell r="G921" t="str">
            <v>A</v>
          </cell>
          <cell r="H921">
            <v>42510</v>
          </cell>
        </row>
        <row r="922">
          <cell r="B922" t="str">
            <v>İbrahimova Laləzər İlham</v>
          </cell>
          <cell r="C922" t="str">
            <v>Biznesə dəstək departamenti</v>
          </cell>
          <cell r="D922" t="str">
            <v>Əməliyyatların icrası və dəstək şöbəsi</v>
          </cell>
          <cell r="E922" t="str">
            <v>#</v>
          </cell>
          <cell r="F922" t="str">
            <v>Mütəxəssis</v>
          </cell>
          <cell r="G922" t="str">
            <v>A</v>
          </cell>
          <cell r="H922">
            <v>36990</v>
          </cell>
        </row>
        <row r="923">
          <cell r="B923" t="str">
            <v>Quluyev Əbülfəz Canpolad</v>
          </cell>
          <cell r="C923" t="str">
            <v>Biznesə dəstək departamenti</v>
          </cell>
          <cell r="D923" t="str">
            <v>Əməliyyatların icrası və dəstək şöbəsi</v>
          </cell>
          <cell r="E923" t="str">
            <v>#</v>
          </cell>
          <cell r="F923" t="str">
            <v>Aparıcı mütəxəssis</v>
          </cell>
          <cell r="G923" t="str">
            <v>A</v>
          </cell>
          <cell r="H923">
            <v>44410</v>
          </cell>
        </row>
        <row r="924">
          <cell r="B924" t="str">
            <v>Şıxıyeva Təranə Həbib</v>
          </cell>
          <cell r="C924" t="str">
            <v>Biznesə dəstək departamenti</v>
          </cell>
          <cell r="D924" t="str">
            <v>Əməliyyatların icrası və dəstək şöbəsi</v>
          </cell>
          <cell r="E924" t="str">
            <v>#</v>
          </cell>
          <cell r="F924" t="str">
            <v>Mütəxəssis</v>
          </cell>
          <cell r="G924" t="str">
            <v>A</v>
          </cell>
          <cell r="H924">
            <v>36691</v>
          </cell>
        </row>
        <row r="925">
          <cell r="B925" t="str">
            <v>Həşimova Aynur Asif</v>
          </cell>
          <cell r="C925" t="str">
            <v>Biznesə dəstək departamenti</v>
          </cell>
          <cell r="D925" t="str">
            <v>Əməliyyatların icrası və dəstək şöbəsi</v>
          </cell>
          <cell r="E925" t="str">
            <v>#</v>
          </cell>
          <cell r="F925" t="str">
            <v>Aparıcı mütəxəssis</v>
          </cell>
          <cell r="G925" t="str">
            <v>A</v>
          </cell>
          <cell r="H925">
            <v>45303</v>
          </cell>
        </row>
        <row r="926">
          <cell r="B926" t="str">
            <v>Əhmədzadə Aytac Fikrət</v>
          </cell>
          <cell r="C926" t="str">
            <v>Biznesə dəstək departamenti</v>
          </cell>
          <cell r="D926" t="str">
            <v>Əməliyyatların icrası və dəstək şöbəsi</v>
          </cell>
          <cell r="E926" t="str">
            <v>#</v>
          </cell>
          <cell r="F926" t="str">
            <v>Kiçik mütəxəssis (əvəzçilik qaydasında)</v>
          </cell>
          <cell r="G926" t="str">
            <v>SM</v>
          </cell>
          <cell r="H926">
            <v>44049</v>
          </cell>
        </row>
        <row r="927">
          <cell r="B927" t="str">
            <v>İravanlı Kamran Babək</v>
          </cell>
          <cell r="C927" t="str">
            <v>Nağd pulların idarə edilməsi departamenti</v>
          </cell>
          <cell r="D927" t="str">
            <v>ATM və ekvayrinq biznesinə dəstək şöbəsi</v>
          </cell>
          <cell r="E927" t="str">
            <v>#</v>
          </cell>
          <cell r="F927" t="str">
            <v>Şöbə müdiri</v>
          </cell>
          <cell r="G927" t="str">
            <v>A</v>
          </cell>
          <cell r="H927">
            <v>39483</v>
          </cell>
        </row>
        <row r="928">
          <cell r="B928" t="str">
            <v>Məmmədov Kamran Zahid</v>
          </cell>
          <cell r="C928" t="str">
            <v>#</v>
          </cell>
          <cell r="D928" t="str">
            <v>Kart klirinqi və hesablaşmalar şöbəsi</v>
          </cell>
          <cell r="E928" t="str">
            <v>#</v>
          </cell>
          <cell r="F928" t="str">
            <v>Menecer</v>
          </cell>
          <cell r="G928" t="str">
            <v>A</v>
          </cell>
          <cell r="H928">
            <v>39336</v>
          </cell>
        </row>
        <row r="929">
          <cell r="B929" t="str">
            <v>Ağamalıyev Rövşən Hacıbəy</v>
          </cell>
          <cell r="C929" t="str">
            <v>#</v>
          </cell>
          <cell r="D929" t="str">
            <v>Kart klirinqi və hesablaşmalar şöbəsi</v>
          </cell>
          <cell r="E929" t="str">
            <v>#</v>
          </cell>
          <cell r="F929" t="str">
            <v>Baş mütəxəssis</v>
          </cell>
          <cell r="G929" t="str">
            <v>A</v>
          </cell>
          <cell r="H929">
            <v>39213</v>
          </cell>
        </row>
        <row r="930">
          <cell r="B930" t="str">
            <v>Həsənov Afər Ramiz</v>
          </cell>
          <cell r="C930" t="str">
            <v>#</v>
          </cell>
          <cell r="D930" t="str">
            <v>Kart klirinqi və hesablaşmalar şöbəsi</v>
          </cell>
          <cell r="E930" t="str">
            <v>#</v>
          </cell>
          <cell r="F930" t="str">
            <v>Baş mütəxəssis</v>
          </cell>
          <cell r="G930" t="str">
            <v>A</v>
          </cell>
          <cell r="H930">
            <v>42478</v>
          </cell>
        </row>
        <row r="931">
          <cell r="B931" t="str">
            <v>Kazımov Roman Fazil</v>
          </cell>
          <cell r="C931" t="str">
            <v>#</v>
          </cell>
          <cell r="D931" t="str">
            <v>Kart klirinqi və hesablaşmalar şöbəsi</v>
          </cell>
          <cell r="E931" t="str">
            <v>#</v>
          </cell>
          <cell r="F931" t="str">
            <v>Mütəxəssis</v>
          </cell>
          <cell r="G931" t="str">
            <v>A</v>
          </cell>
          <cell r="H931">
            <v>46248</v>
          </cell>
        </row>
        <row r="932">
          <cell r="B932" t="str">
            <v>Əsgərov Oruc Hafiz</v>
          </cell>
          <cell r="C932" t="str">
            <v>Nağd pulların idarə edilməsi departamenti</v>
          </cell>
          <cell r="D932" t="str">
            <v>ATM və ekvayrinq biznesinə dəstək şöbəsi</v>
          </cell>
          <cell r="E932" t="str">
            <v>#</v>
          </cell>
          <cell r="F932" t="str">
            <v>Baş mütəxəssis</v>
          </cell>
          <cell r="G932" t="str">
            <v>A</v>
          </cell>
          <cell r="H932">
            <v>39755</v>
          </cell>
        </row>
        <row r="933">
          <cell r="B933" t="str">
            <v>Niftəliyev Tural Hikmət</v>
          </cell>
          <cell r="C933" t="str">
            <v>Nağd pulların idarə edilməsi departamenti</v>
          </cell>
          <cell r="D933" t="str">
            <v>ATM və ekvayrinq biznesinə dəstək şöbəsi</v>
          </cell>
          <cell r="E933" t="str">
            <v>#</v>
          </cell>
          <cell r="F933" t="str">
            <v>Aparıcı mütəxəssis</v>
          </cell>
          <cell r="G933" t="str">
            <v>A</v>
          </cell>
          <cell r="H933">
            <v>45362</v>
          </cell>
        </row>
        <row r="934">
          <cell r="B934" t="str">
            <v>Cəfərzadə Emin Cəfər</v>
          </cell>
          <cell r="C934" t="str">
            <v>Nağd pulların idarə edilməsi departamenti</v>
          </cell>
          <cell r="D934" t="str">
            <v>ATM və ekvayrinq biznesinə dəstək şöbəsi</v>
          </cell>
          <cell r="E934" t="str">
            <v>#</v>
          </cell>
          <cell r="F934" t="str">
            <v>Aparıcı mütəxəssis</v>
          </cell>
          <cell r="G934" t="str">
            <v>A</v>
          </cell>
          <cell r="H934">
            <v>43438</v>
          </cell>
        </row>
        <row r="935">
          <cell r="B935" t="str">
            <v>Mahmudov Arif Nizami</v>
          </cell>
          <cell r="C935" t="str">
            <v>Nağd pulların idarə edilməsi departamenti</v>
          </cell>
          <cell r="D935" t="str">
            <v>ATM və ekvayrinq biznesinə dəstək şöbəsi</v>
          </cell>
          <cell r="E935" t="str">
            <v>#</v>
          </cell>
          <cell r="F935" t="str">
            <v>Baş mütəxəssis</v>
          </cell>
          <cell r="G935" t="str">
            <v>A</v>
          </cell>
          <cell r="H935">
            <v>44503</v>
          </cell>
        </row>
        <row r="936">
          <cell r="B936" t="str">
            <v>Quluzadə Fərid Vüqar</v>
          </cell>
          <cell r="C936" t="str">
            <v>Nağd pulların idarə edilməsi departamenti</v>
          </cell>
          <cell r="D936" t="str">
            <v>ATM və ekvayrinq biznesinə dəstək şöbəsi</v>
          </cell>
          <cell r="E936" t="str">
            <v>#</v>
          </cell>
          <cell r="F936" t="str">
            <v>Aparıcı mütəxəssis</v>
          </cell>
          <cell r="G936" t="str">
            <v>A</v>
          </cell>
          <cell r="H936">
            <v>44580</v>
          </cell>
        </row>
        <row r="937">
          <cell r="B937" t="str">
            <v>Nağıyev Mirelnur Mirnağı</v>
          </cell>
          <cell r="C937" t="str">
            <v>Nağd pulların idarə edilməsi departamenti</v>
          </cell>
          <cell r="D937" t="str">
            <v>ATM və ekvayrinq biznesinə dəstək şöbəsi</v>
          </cell>
          <cell r="E937" t="str">
            <v>#</v>
          </cell>
          <cell r="F937" t="str">
            <v>Aparıcı mütəxəssis</v>
          </cell>
          <cell r="G937" t="str">
            <v>A</v>
          </cell>
          <cell r="H937">
            <v>43727</v>
          </cell>
        </row>
        <row r="938">
          <cell r="B938" t="str">
            <v>Allahverdiyeva Türkan Rauf</v>
          </cell>
          <cell r="C938" t="str">
            <v>Nağd pulların idarə edilməsi departamenti</v>
          </cell>
          <cell r="D938" t="str">
            <v>ATM və ekvayrinq biznesinə dəstək şöbəsi</v>
          </cell>
          <cell r="E938" t="str">
            <v>#</v>
          </cell>
          <cell r="F938" t="str">
            <v>Aparıcı mütəxəssis</v>
          </cell>
          <cell r="G938" t="str">
            <v>A</v>
          </cell>
          <cell r="H938">
            <v>41946</v>
          </cell>
        </row>
        <row r="939">
          <cell r="B939" t="str">
            <v>Süleymanlı Aytən Qalib</v>
          </cell>
          <cell r="C939" t="str">
            <v>Biznes sahələrinin inkişafı və partnyor şəbəkəsi departamenti</v>
          </cell>
          <cell r="D939" t="str">
            <v>Satışın təşkili və dəstək şöbəsi</v>
          </cell>
          <cell r="E939" t="str">
            <v>Sənədləşmə bölməsi</v>
          </cell>
          <cell r="F939" t="str">
            <v>Aparıcı mütəxəssis</v>
          </cell>
          <cell r="G939" t="str">
            <v>A</v>
          </cell>
          <cell r="H939">
            <v>44519</v>
          </cell>
        </row>
        <row r="940">
          <cell r="B940" t="str">
            <v>Məmmədli Aysel Tərlan</v>
          </cell>
          <cell r="C940" t="str">
            <v>Nağd pulların idarə edilməsi departamenti</v>
          </cell>
          <cell r="D940" t="str">
            <v>ATM və ekvayrinq biznesinə dəstək şöbəsi</v>
          </cell>
          <cell r="E940" t="str">
            <v>#</v>
          </cell>
          <cell r="F940" t="str">
            <v>Aparıcı mütəxəssis</v>
          </cell>
          <cell r="G940" t="str">
            <v>A</v>
          </cell>
          <cell r="H940">
            <v>44743</v>
          </cell>
        </row>
        <row r="941">
          <cell r="B941" t="str">
            <v>Qasımlı Məsim Mehman</v>
          </cell>
          <cell r="C941" t="str">
            <v>#</v>
          </cell>
          <cell r="D941" t="str">
            <v>Kart klirinqi və hesablaşmalar şöbəsi</v>
          </cell>
          <cell r="E941" t="str">
            <v>#</v>
          </cell>
          <cell r="F941" t="str">
            <v>Mütəxəssis</v>
          </cell>
          <cell r="G941" t="str">
            <v>A</v>
          </cell>
          <cell r="H941">
            <v>44532</v>
          </cell>
        </row>
        <row r="942">
          <cell r="B942" t="str">
            <v>Hüseynov Elxan Əzizağa</v>
          </cell>
          <cell r="C942" t="str">
            <v>Biznes sahələrinin inkişafı və partnyor şəbəkəsi departamenti</v>
          </cell>
          <cell r="D942" t="str">
            <v>Satışın təşkili və dəstək şöbəsi</v>
          </cell>
          <cell r="E942" t="str">
            <v>Ekosistem məhsullarının satışı bölməsi</v>
          </cell>
          <cell r="F942" t="str">
            <v>Mütəxəssis</v>
          </cell>
          <cell r="G942" t="str">
            <v>A</v>
          </cell>
          <cell r="H942">
            <v>44783</v>
          </cell>
        </row>
        <row r="943">
          <cell r="B943" t="str">
            <v>Novruzlu Əli Elçin</v>
          </cell>
          <cell r="C943" t="str">
            <v>Nağd pulların idarə edilməsi departamenti</v>
          </cell>
          <cell r="D943" t="str">
            <v>ATM və ekvayrinq biznesinə dəstək şöbəsi</v>
          </cell>
          <cell r="E943" t="str">
            <v>#</v>
          </cell>
          <cell r="F943" t="str">
            <v>Mütəxəssis</v>
          </cell>
          <cell r="G943" t="str">
            <v>A</v>
          </cell>
          <cell r="H943">
            <v>44519</v>
          </cell>
        </row>
        <row r="944">
          <cell r="B944" t="str">
            <v>Şiriyev Vüqar İlqar</v>
          </cell>
          <cell r="C944" t="str">
            <v>Texniki dəstək departamenti</v>
          </cell>
          <cell r="D944" t="str">
            <v>POS terminallara dəstək şöbəsi</v>
          </cell>
          <cell r="E944" t="str">
            <v>#</v>
          </cell>
          <cell r="F944" t="str">
            <v>Mütəxəssis</v>
          </cell>
          <cell r="G944" t="str">
            <v>A</v>
          </cell>
          <cell r="H944">
            <v>45434</v>
          </cell>
        </row>
        <row r="945">
          <cell r="B945" t="str">
            <v>Əliyev Elamin Vahid</v>
          </cell>
          <cell r="C945" t="str">
            <v>Nağd pulların idarə edilməsi departamenti</v>
          </cell>
          <cell r="D945" t="str">
            <v>ATM və ekvayrinq biznesinə dəstək şöbəsi</v>
          </cell>
          <cell r="E945" t="str">
            <v>#</v>
          </cell>
          <cell r="F945" t="str">
            <v>Mütəxəssis</v>
          </cell>
          <cell r="G945" t="str">
            <v>A</v>
          </cell>
          <cell r="H945">
            <v>45678</v>
          </cell>
        </row>
        <row r="946">
          <cell r="B946" t="str">
            <v>Qasımov İlkin Vahid</v>
          </cell>
          <cell r="C946" t="str">
            <v>Texniki dəstək departamenti</v>
          </cell>
          <cell r="D946" t="str">
            <v>POS terminallara dəstək şöbəsi</v>
          </cell>
          <cell r="E946" t="str">
            <v>#</v>
          </cell>
          <cell r="F946" t="str">
            <v>Mütəxəssis</v>
          </cell>
          <cell r="G946" t="str">
            <v>A</v>
          </cell>
          <cell r="H946">
            <v>45839</v>
          </cell>
        </row>
        <row r="947">
          <cell r="B947" t="str">
            <v>Həsənov Əyyub Sabir</v>
          </cell>
          <cell r="C947" t="str">
            <v>Texniki dəstək departamenti</v>
          </cell>
          <cell r="D947" t="str">
            <v>POS terminallara dəstək şöbəsi</v>
          </cell>
          <cell r="E947" t="str">
            <v>#</v>
          </cell>
          <cell r="F947" t="str">
            <v>Kiçik mütəxəssis</v>
          </cell>
          <cell r="G947" t="str">
            <v>A</v>
          </cell>
          <cell r="H947">
            <v>46133</v>
          </cell>
        </row>
        <row r="948">
          <cell r="B948" t="str">
            <v>Abbasova Suada Ramiz</v>
          </cell>
          <cell r="C948" t="str">
            <v>Biznesə dəstək departamenti</v>
          </cell>
          <cell r="D948" t="str">
            <v>#</v>
          </cell>
          <cell r="E948" t="str">
            <v>#</v>
          </cell>
          <cell r="F948" t="str">
            <v>Direktor müavini</v>
          </cell>
          <cell r="G948" t="str">
            <v>A</v>
          </cell>
          <cell r="H948">
            <v>45750</v>
          </cell>
        </row>
        <row r="949">
          <cell r="B949" t="str">
            <v>Hüseynalızadə Seltac Qurban</v>
          </cell>
          <cell r="C949" t="str">
            <v>Biznesə dəstək departamenti</v>
          </cell>
          <cell r="D949" t="str">
            <v>Xüsusi müştərilərlə iş şöbəsi</v>
          </cell>
          <cell r="E949" t="str">
            <v>#</v>
          </cell>
          <cell r="F949" t="str">
            <v>Şöbə müdiri</v>
          </cell>
          <cell r="G949" t="str">
            <v>A</v>
          </cell>
          <cell r="H949">
            <v>42711</v>
          </cell>
        </row>
        <row r="950">
          <cell r="B950" t="str">
            <v>Baxşəliyev Elnur Mütəllim</v>
          </cell>
          <cell r="C950" t="str">
            <v>Biznesə dəstək departamenti</v>
          </cell>
          <cell r="D950" t="str">
            <v>Xüsusi müştərilərlə iş şöbəsi</v>
          </cell>
          <cell r="E950" t="str">
            <v>#</v>
          </cell>
          <cell r="F950" t="str">
            <v>Menecer</v>
          </cell>
          <cell r="G950" t="str">
            <v>A</v>
          </cell>
          <cell r="H950">
            <v>40387</v>
          </cell>
        </row>
        <row r="951">
          <cell r="B951" t="str">
            <v>Kərimli Erkin İlqar</v>
          </cell>
          <cell r="C951" t="str">
            <v>Biznesə dəstək departamenti</v>
          </cell>
          <cell r="D951" t="str">
            <v>Xüsusi müştərilərlə iş şöbəsi</v>
          </cell>
          <cell r="E951" t="str">
            <v>#</v>
          </cell>
          <cell r="F951" t="str">
            <v>Menecer</v>
          </cell>
          <cell r="G951" t="str">
            <v>A</v>
          </cell>
          <cell r="H951">
            <v>42562</v>
          </cell>
        </row>
        <row r="952">
          <cell r="B952" t="str">
            <v>Əskərov Tural Nazim</v>
          </cell>
          <cell r="C952" t="str">
            <v>Biznesə dəstək departamenti</v>
          </cell>
          <cell r="D952" t="str">
            <v>Xüsusi müştərilərlə iş şöbəsi</v>
          </cell>
          <cell r="E952" t="str">
            <v>#</v>
          </cell>
          <cell r="F952" t="str">
            <v>Baş mütəxəssis</v>
          </cell>
          <cell r="G952" t="str">
            <v>A</v>
          </cell>
          <cell r="H952">
            <v>42723</v>
          </cell>
        </row>
        <row r="953">
          <cell r="B953" t="str">
            <v>Davudova Günel Telman</v>
          </cell>
          <cell r="C953" t="str">
            <v>Biznesə dəstək departamenti</v>
          </cell>
          <cell r="D953" t="str">
            <v>Xüsusi müştərilərlə iş şöbəsi</v>
          </cell>
          <cell r="E953" t="str">
            <v>#</v>
          </cell>
          <cell r="F953" t="str">
            <v>Baş mütəxəssis</v>
          </cell>
          <cell r="G953" t="str">
            <v>A</v>
          </cell>
          <cell r="H953">
            <v>42607</v>
          </cell>
        </row>
        <row r="954">
          <cell r="B954" t="str">
            <v>Gözəlova Səidə Adil</v>
          </cell>
          <cell r="C954" t="str">
            <v>#</v>
          </cell>
          <cell r="D954" t="str">
            <v>Kart klirinqi və hesablaşmalar şöbəsi</v>
          </cell>
          <cell r="E954" t="str">
            <v>#</v>
          </cell>
          <cell r="F954" t="str">
            <v>Baş mütəxəssis</v>
          </cell>
          <cell r="G954" t="str">
            <v>A</v>
          </cell>
          <cell r="H954">
            <v>45887</v>
          </cell>
        </row>
        <row r="955">
          <cell r="B955" t="str">
            <v>Daşdəmirli Aygün İlqar</v>
          </cell>
          <cell r="C955" t="str">
            <v>Biznesə dəstək departamenti</v>
          </cell>
          <cell r="D955" t="str">
            <v>Xüsusi müştərilərlə iş şöbəsi</v>
          </cell>
          <cell r="E955" t="str">
            <v>#</v>
          </cell>
          <cell r="F955" t="str">
            <v>Baş mütəxəssis</v>
          </cell>
          <cell r="G955" t="str">
            <v>A</v>
          </cell>
          <cell r="H955">
            <v>42474</v>
          </cell>
        </row>
        <row r="956">
          <cell r="B956" t="str">
            <v>Məmmədzadə Samina Tofiq</v>
          </cell>
          <cell r="C956" t="str">
            <v>Biznesə dəstək departamenti</v>
          </cell>
          <cell r="D956" t="str">
            <v>Xüsusi müştərilərlə iş şöbəsi</v>
          </cell>
          <cell r="E956" t="str">
            <v>#</v>
          </cell>
          <cell r="F956" t="str">
            <v>Baş mütəxəssis</v>
          </cell>
          <cell r="G956" t="str">
            <v>A</v>
          </cell>
          <cell r="H956">
            <v>44006</v>
          </cell>
        </row>
        <row r="957">
          <cell r="B957" t="str">
            <v>Şəfiyeva Nərmin Etiqad</v>
          </cell>
          <cell r="C957" t="str">
            <v>Biznesə dəstək departamenti</v>
          </cell>
          <cell r="D957" t="str">
            <v>Xüsusi müştərilərlə iş şöbəsi</v>
          </cell>
          <cell r="E957" t="str">
            <v>#</v>
          </cell>
          <cell r="F957" t="str">
            <v>Baş mütəxəssis</v>
          </cell>
          <cell r="G957" t="str">
            <v>A</v>
          </cell>
          <cell r="H957">
            <v>42829</v>
          </cell>
        </row>
        <row r="958">
          <cell r="B958" t="str">
            <v>Cabbarova Günay İlyas</v>
          </cell>
          <cell r="C958" t="str">
            <v>Biznesə dəstək departamenti</v>
          </cell>
          <cell r="D958" t="str">
            <v>Xüsusi müştərilərlə iş şöbəsi</v>
          </cell>
          <cell r="E958" t="str">
            <v>#</v>
          </cell>
          <cell r="F958" t="str">
            <v>Baş mütəxəssis</v>
          </cell>
          <cell r="G958" t="str">
            <v>A</v>
          </cell>
          <cell r="H958">
            <v>43852</v>
          </cell>
        </row>
        <row r="959">
          <cell r="B959" t="str">
            <v>Mütəllimova Leyla Eldar</v>
          </cell>
          <cell r="C959" t="str">
            <v>Biznesə dəstək departamenti</v>
          </cell>
          <cell r="D959" t="str">
            <v>Xüsusi müştərilərlə iş şöbəsi</v>
          </cell>
          <cell r="E959" t="str">
            <v>#</v>
          </cell>
          <cell r="F959" t="str">
            <v>Baş mütəxəssis</v>
          </cell>
          <cell r="G959" t="str">
            <v>A</v>
          </cell>
          <cell r="H959">
            <v>43866</v>
          </cell>
        </row>
        <row r="960">
          <cell r="B960" t="str">
            <v>Mamedova Malaykhanym</v>
          </cell>
          <cell r="C960" t="str">
            <v>Biznesə dəstək departamenti</v>
          </cell>
          <cell r="D960" t="str">
            <v>Xüsusi müştərilərlə iş şöbəsi</v>
          </cell>
          <cell r="E960" t="str">
            <v>#</v>
          </cell>
          <cell r="F960" t="str">
            <v>Baş mütəxəssis</v>
          </cell>
          <cell r="G960" t="str">
            <v>A</v>
          </cell>
          <cell r="H960">
            <v>43985</v>
          </cell>
        </row>
        <row r="961">
          <cell r="B961" t="str">
            <v>Mustafayeva Leyla Əfqan</v>
          </cell>
          <cell r="C961" t="str">
            <v>Biznesə dəstək departamenti</v>
          </cell>
          <cell r="D961" t="str">
            <v>Xüsusi müştərilərlə iş şöbəsi</v>
          </cell>
          <cell r="E961" t="str">
            <v>#</v>
          </cell>
          <cell r="F961" t="str">
            <v>Aparıcı mütəxəssis</v>
          </cell>
          <cell r="G961" t="str">
            <v>A</v>
          </cell>
          <cell r="H961">
            <v>42545</v>
          </cell>
        </row>
        <row r="962">
          <cell r="B962" t="str">
            <v>Nəbiyeva Nəzrin Razim</v>
          </cell>
          <cell r="C962" t="str">
            <v>#</v>
          </cell>
          <cell r="D962" t="str">
            <v>Kart klirinqi və hesablaşmalar şöbəsi</v>
          </cell>
          <cell r="E962" t="str">
            <v>#</v>
          </cell>
          <cell r="F962" t="str">
            <v>Baş mütəxəssis</v>
          </cell>
          <cell r="G962" t="str">
            <v>A</v>
          </cell>
          <cell r="H962">
            <v>44593</v>
          </cell>
        </row>
        <row r="963">
          <cell r="B963" t="str">
            <v>Axundova Nigar Sabir</v>
          </cell>
          <cell r="C963" t="str">
            <v>Biznesə dəstək departamenti</v>
          </cell>
          <cell r="D963" t="str">
            <v>Xüsusi müştərilərlə iş şöbəsi</v>
          </cell>
          <cell r="E963" t="str">
            <v>#</v>
          </cell>
          <cell r="F963" t="str">
            <v>Aparıcı mütəxəssis</v>
          </cell>
          <cell r="G963" t="str">
            <v>A</v>
          </cell>
          <cell r="H963">
            <v>36931</v>
          </cell>
        </row>
        <row r="964">
          <cell r="B964" t="str">
            <v>Əzimova Nərmin İlqar</v>
          </cell>
          <cell r="C964" t="str">
            <v>Biznesə dəstək departamenti</v>
          </cell>
          <cell r="D964" t="str">
            <v>Xüsusi müştərilərlə iş şöbəsi</v>
          </cell>
          <cell r="E964" t="str">
            <v>#</v>
          </cell>
          <cell r="F964" t="str">
            <v>Aparıcı mütəxəssis</v>
          </cell>
          <cell r="G964" t="str">
            <v>SM</v>
          </cell>
          <cell r="H964">
            <v>42832</v>
          </cell>
        </row>
        <row r="965">
          <cell r="B965" t="str">
            <v>Zeynalova Nuray Əli</v>
          </cell>
          <cell r="C965" t="str">
            <v>Biznesə dəstək departamenti</v>
          </cell>
          <cell r="D965" t="str">
            <v>Xüsusi müştərilərlə iş şöbəsi</v>
          </cell>
          <cell r="E965" t="str">
            <v>#</v>
          </cell>
          <cell r="F965" t="str">
            <v>Aparıcı mütəxəssis</v>
          </cell>
          <cell r="G965" t="str">
            <v>A</v>
          </cell>
          <cell r="H965">
            <v>43497</v>
          </cell>
        </row>
        <row r="966">
          <cell r="B966" t="str">
            <v>Nurməmmədov İlqar İmran</v>
          </cell>
          <cell r="C966" t="str">
            <v>Biznesə dəstək departamenti</v>
          </cell>
          <cell r="D966" t="str">
            <v>Xüsusi müştərilərlə iş şöbəsi</v>
          </cell>
          <cell r="E966" t="str">
            <v>#</v>
          </cell>
          <cell r="F966" t="str">
            <v>Aparıcı mütəxəssis</v>
          </cell>
          <cell r="G966" t="str">
            <v>A</v>
          </cell>
          <cell r="H966">
            <v>39807</v>
          </cell>
        </row>
        <row r="967">
          <cell r="B967" t="str">
            <v>Ələkbərova Gülnarə Məmmədxan</v>
          </cell>
          <cell r="C967" t="str">
            <v>Biznesə dəstək departamenti</v>
          </cell>
          <cell r="D967" t="str">
            <v>Xüsusi müştərilərlə iş şöbəsi</v>
          </cell>
          <cell r="E967" t="str">
            <v>#</v>
          </cell>
          <cell r="F967" t="str">
            <v>Mütəxəssis</v>
          </cell>
          <cell r="G967" t="str">
            <v>A</v>
          </cell>
          <cell r="H967">
            <v>36696</v>
          </cell>
        </row>
        <row r="968">
          <cell r="B968" t="str">
            <v>Vəliyeva Aydan Məzahir</v>
          </cell>
          <cell r="C968" t="str">
            <v>Biznesə dəstək departamenti</v>
          </cell>
          <cell r="D968" t="str">
            <v>Xüsusi müştərilərlə iş şöbəsi</v>
          </cell>
          <cell r="E968" t="str">
            <v>#</v>
          </cell>
          <cell r="F968" t="str">
            <v>Aparıcı mütəxəssis</v>
          </cell>
          <cell r="G968" t="str">
            <v>A</v>
          </cell>
          <cell r="H968">
            <v>45231</v>
          </cell>
        </row>
        <row r="969">
          <cell r="B969" t="str">
            <v>Ağayeva Fidan Əfqan</v>
          </cell>
          <cell r="C969" t="str">
            <v>Biznesə dəstək departamenti</v>
          </cell>
          <cell r="D969" t="str">
            <v>Xüsusi müştərilərlə iş şöbəsi</v>
          </cell>
          <cell r="E969" t="str">
            <v>#</v>
          </cell>
          <cell r="F969" t="str">
            <v>Mütəxəssis</v>
          </cell>
          <cell r="G969" t="str">
            <v>A</v>
          </cell>
          <cell r="H969">
            <v>45516</v>
          </cell>
        </row>
        <row r="970">
          <cell r="B970" t="str">
            <v>İsgəndərli Cavid Camaləddin</v>
          </cell>
          <cell r="C970" t="str">
            <v>Biznesə dəstək departamenti</v>
          </cell>
          <cell r="D970" t="str">
            <v>Xüsusi müştərilərlə iş şöbəsi</v>
          </cell>
          <cell r="E970" t="str">
            <v>#</v>
          </cell>
          <cell r="F970" t="str">
            <v>Aparıcı mütəxəssis</v>
          </cell>
          <cell r="G970" t="str">
            <v>A</v>
          </cell>
          <cell r="H970">
            <v>44974</v>
          </cell>
        </row>
        <row r="971">
          <cell r="B971" t="str">
            <v>Hüseynova Elmira Elyas</v>
          </cell>
          <cell r="C971" t="str">
            <v>Biznesə dəstək departamenti</v>
          </cell>
          <cell r="D971" t="str">
            <v>Xüsusi müştərilərlə iş şöbəsi</v>
          </cell>
          <cell r="E971" t="str">
            <v>#</v>
          </cell>
          <cell r="F971" t="str">
            <v>Aparıcı mütəxəssis</v>
          </cell>
          <cell r="G971" t="str">
            <v>A</v>
          </cell>
          <cell r="H971">
            <v>44638</v>
          </cell>
        </row>
        <row r="972">
          <cell r="B972" t="str">
            <v>Rəisli Almaz Tofiq</v>
          </cell>
          <cell r="C972" t="str">
            <v>Nağd pulların idarə edilməsi departamenti</v>
          </cell>
          <cell r="D972" t="str">
            <v>Nağd əməliyyatlara dəstək şöbəsi</v>
          </cell>
          <cell r="E972" t="str">
            <v>#</v>
          </cell>
          <cell r="F972" t="str">
            <v>Şöbə müdiri</v>
          </cell>
          <cell r="G972" t="str">
            <v>A</v>
          </cell>
          <cell r="H972">
            <v>42543</v>
          </cell>
        </row>
        <row r="973">
          <cell r="B973" t="str">
            <v>Mirzəyeva Vəfa Arif</v>
          </cell>
          <cell r="C973" t="str">
            <v>Nağd pulların idarə edilməsi departamenti</v>
          </cell>
          <cell r="D973" t="str">
            <v>Nağd əməliyyatlara dəstək şöbəsi</v>
          </cell>
          <cell r="E973" t="str">
            <v>#</v>
          </cell>
          <cell r="F973" t="str">
            <v>Baş mütəxəssis</v>
          </cell>
          <cell r="G973" t="str">
            <v>A</v>
          </cell>
          <cell r="H973">
            <v>46174</v>
          </cell>
          <cell r="I973" t="str">
            <v>Bir Payment</v>
          </cell>
        </row>
        <row r="974">
          <cell r="B974" t="str">
            <v>Bayramova Sevinc Cabir</v>
          </cell>
          <cell r="C974" t="str">
            <v>Biznesə dəstək departamenti</v>
          </cell>
          <cell r="D974" t="str">
            <v>Əməliyyatların icrası və dəstək şöbəsi</v>
          </cell>
          <cell r="E974" t="str">
            <v>#</v>
          </cell>
          <cell r="F974" t="str">
            <v>Menecer</v>
          </cell>
          <cell r="G974" t="str">
            <v>A</v>
          </cell>
          <cell r="H974">
            <v>42543</v>
          </cell>
        </row>
        <row r="975">
          <cell r="B975" t="str">
            <v>İmanzadə Hüseyn Əli</v>
          </cell>
          <cell r="C975" t="str">
            <v>Biznesə dəstək departamenti</v>
          </cell>
          <cell r="D975" t="str">
            <v>Əməliyyatların icrası və dəstək şöbəsi</v>
          </cell>
          <cell r="E975" t="str">
            <v>#</v>
          </cell>
          <cell r="F975" t="str">
            <v>Baş mütəxəssis</v>
          </cell>
          <cell r="G975" t="str">
            <v>A</v>
          </cell>
          <cell r="H975">
            <v>42713</v>
          </cell>
        </row>
        <row r="976">
          <cell r="B976" t="str">
            <v>Cəfərova Leyla Aydın</v>
          </cell>
          <cell r="C976" t="str">
            <v>#</v>
          </cell>
          <cell r="D976" t="str">
            <v>Kart klirinqi və hesablaşmalar şöbəsi</v>
          </cell>
          <cell r="E976" t="str">
            <v>#</v>
          </cell>
          <cell r="F976" t="str">
            <v>Aparıcı mütəxəssis</v>
          </cell>
          <cell r="G976" t="str">
            <v>A</v>
          </cell>
          <cell r="H976">
            <v>39882</v>
          </cell>
        </row>
        <row r="977">
          <cell r="B977" t="str">
            <v>Əmrahova Aynur Əliağa</v>
          </cell>
          <cell r="C977" t="str">
            <v>Biznesə dəstək departamenti</v>
          </cell>
          <cell r="D977" t="str">
            <v>Əməliyyatların icrası və dəstək şöbəsi</v>
          </cell>
          <cell r="E977" t="str">
            <v>#</v>
          </cell>
          <cell r="F977" t="str">
            <v>Aparıcı mütəxəssis</v>
          </cell>
          <cell r="G977" t="str">
            <v>SM</v>
          </cell>
          <cell r="H977">
            <v>42586</v>
          </cell>
        </row>
        <row r="978">
          <cell r="B978" t="str">
            <v>Bahadurov Baxış Mərdan</v>
          </cell>
          <cell r="C978" t="str">
            <v>Biznesə dəstək departamenti</v>
          </cell>
          <cell r="D978" t="str">
            <v>Əməliyyatların icrası və dəstək şöbəsi</v>
          </cell>
          <cell r="E978" t="str">
            <v>#</v>
          </cell>
          <cell r="F978" t="str">
            <v>Baş mütəxəssis</v>
          </cell>
          <cell r="G978" t="str">
            <v>A</v>
          </cell>
          <cell r="H978">
            <v>44462</v>
          </cell>
        </row>
        <row r="979">
          <cell r="B979" t="str">
            <v>Əkbərli Nigar Nüsrət</v>
          </cell>
          <cell r="C979" t="str">
            <v>Biznesə dəstək departamenti</v>
          </cell>
          <cell r="D979" t="str">
            <v>Əməliyyatların icrası və dəstək şöbəsi</v>
          </cell>
          <cell r="E979" t="str">
            <v>#</v>
          </cell>
          <cell r="F979" t="str">
            <v>Mütəxəssis</v>
          </cell>
          <cell r="G979" t="str">
            <v>A</v>
          </cell>
          <cell r="H979">
            <v>42412</v>
          </cell>
        </row>
        <row r="980">
          <cell r="B980" t="str">
            <v>Həsənov Firdovsi İlqar</v>
          </cell>
          <cell r="C980" t="str">
            <v>Nağd pulların idarə edilməsi departamenti</v>
          </cell>
          <cell r="D980" t="str">
            <v>Nağd əməliyyatlara dəstək şöbəsi</v>
          </cell>
          <cell r="E980" t="str">
            <v>#</v>
          </cell>
          <cell r="F980" t="str">
            <v>Aparıcı mütəxəssis</v>
          </cell>
          <cell r="G980" t="str">
            <v>A</v>
          </cell>
          <cell r="H980">
            <v>45287</v>
          </cell>
        </row>
        <row r="981">
          <cell r="B981" t="str">
            <v>İmanova Aytən Aqil</v>
          </cell>
          <cell r="C981" t="str">
            <v>Nağd pulların idarə edilməsi departamenti</v>
          </cell>
          <cell r="D981" t="str">
            <v>Nağd əməliyyatlara dəstək şöbəsi</v>
          </cell>
          <cell r="E981" t="str">
            <v>#</v>
          </cell>
          <cell r="F981" t="str">
            <v>Mütəxəssis</v>
          </cell>
          <cell r="G981" t="str">
            <v>A</v>
          </cell>
          <cell r="H981">
            <v>45327</v>
          </cell>
        </row>
        <row r="982">
          <cell r="B982" t="str">
            <v>Əsgərov Kamran Zakir</v>
          </cell>
          <cell r="C982" t="str">
            <v>Nağd pulların idarə edilməsi departamenti</v>
          </cell>
          <cell r="D982" t="str">
            <v>Nağd əməliyyatlara dəstək şöbəsi</v>
          </cell>
          <cell r="E982" t="str">
            <v>#</v>
          </cell>
          <cell r="F982" t="str">
            <v>Mütəxəssis</v>
          </cell>
          <cell r="G982" t="str">
            <v>A</v>
          </cell>
          <cell r="H982">
            <v>42524</v>
          </cell>
        </row>
        <row r="983">
          <cell r="B983" t="str">
            <v>Mütəllibova Nailə Habil</v>
          </cell>
          <cell r="C983" t="str">
            <v>Biznesə dəstək departamenti</v>
          </cell>
          <cell r="D983" t="str">
            <v>Əməliyyatların icrası və dəstək şöbəsi</v>
          </cell>
          <cell r="E983" t="str">
            <v>#</v>
          </cell>
          <cell r="F983" t="str">
            <v>Mütəxəssis</v>
          </cell>
          <cell r="G983" t="str">
            <v>A</v>
          </cell>
          <cell r="H983">
            <v>45327</v>
          </cell>
        </row>
        <row r="984">
          <cell r="B984" t="str">
            <v>Məmmədova Səbinə Əlövsəd</v>
          </cell>
          <cell r="C984" t="str">
            <v>Xidmət keyfiyyətinin idarə edilməsi departamenti</v>
          </cell>
          <cell r="D984" t="str">
            <v>Müştəri müraciətlərinin araşdırılması şöbəsi</v>
          </cell>
          <cell r="E984" t="str">
            <v>#</v>
          </cell>
          <cell r="F984" t="str">
            <v>Aparıcı mütəxəssis</v>
          </cell>
          <cell r="G984" t="str">
            <v>A</v>
          </cell>
          <cell r="H984">
            <v>42471</v>
          </cell>
        </row>
        <row r="985">
          <cell r="B985" t="str">
            <v>Bayramova Cahan Malik</v>
          </cell>
          <cell r="C985" t="str">
            <v>FinTech mühəndislik ekspert mərkəzi</v>
          </cell>
          <cell r="D985" t="str">
            <v>İT BA chapter</v>
          </cell>
          <cell r="E985" t="str">
            <v>#</v>
          </cell>
          <cell r="F985" t="str">
            <v>İT biznes analitik</v>
          </cell>
          <cell r="G985" t="str">
            <v>A</v>
          </cell>
          <cell r="H985">
            <v>45992</v>
          </cell>
        </row>
        <row r="986">
          <cell r="B986" t="str">
            <v>İsmayılova Roza Rafiq</v>
          </cell>
          <cell r="C986" t="str">
            <v>FinTech mühəndislik ekspert mərkəzi</v>
          </cell>
          <cell r="D986" t="str">
            <v>İT BA chapter</v>
          </cell>
          <cell r="E986" t="str">
            <v>#</v>
          </cell>
          <cell r="F986" t="str">
            <v>İT biznes analitik</v>
          </cell>
          <cell r="G986" t="str">
            <v>A</v>
          </cell>
          <cell r="H986">
            <v>46204</v>
          </cell>
        </row>
        <row r="987">
          <cell r="B987" t="str">
            <v>Həsənova Dilbər Ələkbər</v>
          </cell>
          <cell r="C987" t="str">
            <v>FinTech mühəndislik ekspert mərkəzi</v>
          </cell>
          <cell r="D987" t="str">
            <v>İT BA chapter</v>
          </cell>
          <cell r="E987" t="str">
            <v>#</v>
          </cell>
          <cell r="F987" t="str">
            <v>İT biznes analitik</v>
          </cell>
          <cell r="G987" t="str">
            <v>A</v>
          </cell>
          <cell r="H987">
            <v>43945</v>
          </cell>
        </row>
        <row r="988">
          <cell r="B988" t="str">
            <v>Yunuslu Sahilə Şükür</v>
          </cell>
          <cell r="C988" t="str">
            <v>FinTech mühəndislik ekspert mərkəzi</v>
          </cell>
          <cell r="D988" t="str">
            <v>İT BA chapter</v>
          </cell>
          <cell r="E988" t="str">
            <v>#</v>
          </cell>
          <cell r="F988" t="str">
            <v>İT biznes analitik</v>
          </cell>
          <cell r="G988" t="str">
            <v>A</v>
          </cell>
          <cell r="H988">
            <v>46209</v>
          </cell>
        </row>
        <row r="989">
          <cell r="B989" t="str">
            <v>Məmişov Murad Hidayət</v>
          </cell>
          <cell r="C989" t="str">
            <v>FinTech mühəndislik ekspert mərkəzi</v>
          </cell>
          <cell r="D989" t="str">
            <v>İT BA chapter</v>
          </cell>
          <cell r="E989" t="str">
            <v>#</v>
          </cell>
          <cell r="F989" t="str">
            <v>İT biznes analitik</v>
          </cell>
          <cell r="G989" t="str">
            <v>A</v>
          </cell>
          <cell r="H989">
            <v>46197</v>
          </cell>
        </row>
        <row r="990">
          <cell r="B990" t="str">
            <v>Bağırzadə Ziyafət İsa</v>
          </cell>
          <cell r="C990" t="str">
            <v>Biznesə dəstək departamenti</v>
          </cell>
          <cell r="D990" t="str">
            <v>Biznes müştərilərlə iş şöbəsi</v>
          </cell>
          <cell r="E990" t="str">
            <v>#</v>
          </cell>
          <cell r="F990" t="str">
            <v>Şöbə müdiri</v>
          </cell>
          <cell r="G990" t="str">
            <v>A</v>
          </cell>
          <cell r="H990">
            <v>42510</v>
          </cell>
        </row>
        <row r="991">
          <cell r="B991" t="str">
            <v>Bayramova Səltənət Azər</v>
          </cell>
          <cell r="C991" t="str">
            <v>Biznesə dəstək departamenti</v>
          </cell>
          <cell r="D991" t="str">
            <v>Biznes müştərilərlə iş şöbəsi</v>
          </cell>
          <cell r="E991" t="str">
            <v>#</v>
          </cell>
          <cell r="F991" t="str">
            <v>Menecer</v>
          </cell>
          <cell r="G991" t="str">
            <v>A</v>
          </cell>
          <cell r="H991">
            <v>42744</v>
          </cell>
        </row>
        <row r="992">
          <cell r="B992" t="str">
            <v>Hacıyev Mirazər Mirsahib</v>
          </cell>
          <cell r="C992" t="str">
            <v>Ödəniş biznesinin mühəndislik ekspert mərkəzi</v>
          </cell>
          <cell r="D992" t="str">
            <v>İT BA chapter</v>
          </cell>
          <cell r="E992" t="str">
            <v>#</v>
          </cell>
          <cell r="F992" t="str">
            <v>İT biznes analitik</v>
          </cell>
          <cell r="G992" t="str">
            <v>A</v>
          </cell>
          <cell r="H992">
            <v>43839</v>
          </cell>
        </row>
        <row r="993">
          <cell r="B993" t="str">
            <v>Xıdırov Nihat Mübariz</v>
          </cell>
          <cell r="C993" t="str">
            <v>Ödəniş biznesinin mühəndislik ekspert mərkəzi</v>
          </cell>
          <cell r="D993" t="str">
            <v>İT BA chapter</v>
          </cell>
          <cell r="E993" t="str">
            <v>#</v>
          </cell>
          <cell r="F993" t="str">
            <v>İT biznes analitik</v>
          </cell>
          <cell r="G993" t="str">
            <v>A</v>
          </cell>
          <cell r="H993">
            <v>46218</v>
          </cell>
        </row>
        <row r="994">
          <cell r="B994" t="str">
            <v>Rüstəmova Çinarə Tofiq</v>
          </cell>
          <cell r="C994" t="str">
            <v>Biznesə dəstək departamenti</v>
          </cell>
          <cell r="D994" t="str">
            <v>Biznes müştərilərlə iş şöbəsi</v>
          </cell>
          <cell r="E994" t="str">
            <v>#</v>
          </cell>
          <cell r="F994" t="str">
            <v>Baş mütəxəssis</v>
          </cell>
          <cell r="G994" t="str">
            <v>A</v>
          </cell>
          <cell r="H994">
            <v>42741</v>
          </cell>
        </row>
        <row r="995">
          <cell r="B995" t="str">
            <v>Teymurova Səbinə Nizami</v>
          </cell>
          <cell r="C995" t="str">
            <v>Biznesə dəstək departamenti</v>
          </cell>
          <cell r="D995" t="str">
            <v>Biznes müştərilərlə iş şöbəsi</v>
          </cell>
          <cell r="E995" t="str">
            <v>#</v>
          </cell>
          <cell r="F995" t="str">
            <v>Aparıcı mütəxəssis</v>
          </cell>
          <cell r="G995" t="str">
            <v>A</v>
          </cell>
          <cell r="H995">
            <v>43391</v>
          </cell>
        </row>
        <row r="996">
          <cell r="B996" t="str">
            <v>Calalov Fərid İlqar</v>
          </cell>
          <cell r="C996" t="str">
            <v>Biznesə dəstək departamenti</v>
          </cell>
          <cell r="D996" t="str">
            <v>Biznes müştərilərlə iş şöbəsi</v>
          </cell>
          <cell r="E996" t="str">
            <v>#</v>
          </cell>
          <cell r="F996" t="str">
            <v>Aparıcı mütəxəssis</v>
          </cell>
          <cell r="G996" t="str">
            <v>A</v>
          </cell>
          <cell r="H996">
            <v>43124</v>
          </cell>
        </row>
        <row r="997">
          <cell r="B997" t="str">
            <v>Məmmədli Nuray İsmayıl</v>
          </cell>
          <cell r="C997" t="str">
            <v>Biznesə dəstək departamenti</v>
          </cell>
          <cell r="D997" t="str">
            <v>Biznes müştərilərlə iş şöbəsi</v>
          </cell>
          <cell r="E997" t="str">
            <v>#</v>
          </cell>
          <cell r="F997" t="str">
            <v>Aparıcı mütəxəssis</v>
          </cell>
          <cell r="G997" t="str">
            <v>A</v>
          </cell>
          <cell r="H997">
            <v>44477</v>
          </cell>
        </row>
        <row r="998">
          <cell r="B998" t="str">
            <v>Hüseynova Günaydın Hüseyn</v>
          </cell>
          <cell r="C998" t="str">
            <v>Biznesə dəstək departamenti</v>
          </cell>
          <cell r="D998" t="str">
            <v>Biznes müştərilərlə iş şöbəsi</v>
          </cell>
          <cell r="E998" t="str">
            <v>#</v>
          </cell>
          <cell r="F998" t="str">
            <v>Mütəxəssis</v>
          </cell>
          <cell r="G998" t="str">
            <v>SM</v>
          </cell>
          <cell r="H998">
            <v>44474</v>
          </cell>
        </row>
        <row r="999">
          <cell r="B999" t="str">
            <v>Rəhimli Mirmusa Nuru</v>
          </cell>
          <cell r="C999" t="str">
            <v>Biznesə dəstək departamenti</v>
          </cell>
          <cell r="D999" t="str">
            <v>Biznes müştərilərlə iş şöbəsi</v>
          </cell>
          <cell r="E999" t="str">
            <v>#</v>
          </cell>
          <cell r="F999" t="str">
            <v>Mütəxəssis</v>
          </cell>
          <cell r="G999" t="str">
            <v>A</v>
          </cell>
          <cell r="H999">
            <v>45414</v>
          </cell>
        </row>
        <row r="1000">
          <cell r="B1000" t="str">
            <v>Süleymanzadə Ofelya Babək</v>
          </cell>
          <cell r="C1000" t="str">
            <v>Biznesə dəstək departamenti</v>
          </cell>
          <cell r="D1000" t="str">
            <v>Biznes müştərilərlə iş şöbəsi</v>
          </cell>
          <cell r="E1000" t="str">
            <v>#</v>
          </cell>
          <cell r="F1000" t="str">
            <v>Mütəxəssis</v>
          </cell>
          <cell r="G1000" t="str">
            <v>SM</v>
          </cell>
          <cell r="H1000">
            <v>45012</v>
          </cell>
        </row>
        <row r="1001">
          <cell r="B1001" t="str">
            <v>Kazımova Gülnar Tahir</v>
          </cell>
          <cell r="C1001" t="str">
            <v>Biznesə dəstək departamenti</v>
          </cell>
          <cell r="D1001" t="str">
            <v>Biznes müştərilərlə iş şöbəsi</v>
          </cell>
          <cell r="E1001" t="str">
            <v>#</v>
          </cell>
          <cell r="F1001" t="str">
            <v>Mütəxəssis</v>
          </cell>
          <cell r="G1001" t="str">
            <v>A</v>
          </cell>
          <cell r="H1001">
            <v>45257</v>
          </cell>
        </row>
        <row r="1002">
          <cell r="B1002" t="str">
            <v>Məmmədov Vaqif Rişad</v>
          </cell>
          <cell r="C1002" t="str">
            <v>Biznesə dəstək departamenti</v>
          </cell>
          <cell r="D1002" t="str">
            <v>Biznes müştərilərlə iş şöbəsi</v>
          </cell>
          <cell r="E1002" t="str">
            <v>#</v>
          </cell>
          <cell r="F1002" t="str">
            <v>Mütəxəssis</v>
          </cell>
          <cell r="G1002" t="str">
            <v>A</v>
          </cell>
          <cell r="H1002">
            <v>45101</v>
          </cell>
        </row>
        <row r="1003">
          <cell r="B1003" t="str">
            <v>Məmmədrəsulova Nəzrin Rəşad</v>
          </cell>
          <cell r="C1003" t="str">
            <v>Biznesə dəstək departamenti</v>
          </cell>
          <cell r="D1003" t="str">
            <v>Biznes müştərilərlə iş şöbəsi</v>
          </cell>
          <cell r="E1003" t="str">
            <v>#</v>
          </cell>
          <cell r="F1003" t="str">
            <v>Mütəxəssis</v>
          </cell>
          <cell r="G1003" t="str">
            <v>A</v>
          </cell>
          <cell r="H1003">
            <v>45516</v>
          </cell>
        </row>
        <row r="1004">
          <cell r="B1004" t="str">
            <v>İsmayılov Rəşad İlqar</v>
          </cell>
          <cell r="C1004" t="str">
            <v>Xidmət keyfiyyətinin idarə edilməsi departamenti</v>
          </cell>
          <cell r="D1004" t="str">
            <v>Biznesə texniki dəstək şöbəsi</v>
          </cell>
          <cell r="E1004" t="str">
            <v>#</v>
          </cell>
          <cell r="F1004" t="str">
            <v>Şöbə müdiri</v>
          </cell>
          <cell r="G1004" t="str">
            <v>A</v>
          </cell>
          <cell r="H1004">
            <v>42405</v>
          </cell>
        </row>
        <row r="1005">
          <cell r="B1005" t="str">
            <v>İmaməliyeva Asimə Hidayət</v>
          </cell>
          <cell r="C1005" t="str">
            <v>Xidmət keyfiyyətinin idarə edilməsi departamenti</v>
          </cell>
          <cell r="D1005" t="str">
            <v>Biznesə texniki dəstək şöbəsi</v>
          </cell>
          <cell r="E1005" t="str">
            <v>#</v>
          </cell>
          <cell r="F1005" t="str">
            <v>Menecer</v>
          </cell>
          <cell r="G1005" t="str">
            <v>SM</v>
          </cell>
          <cell r="H1005">
            <v>43374</v>
          </cell>
        </row>
        <row r="1006">
          <cell r="B1006" t="str">
            <v>Qarayev Tural Eyub</v>
          </cell>
          <cell r="C1006" t="str">
            <v>Xidmət keyfiyyətinin idarə edilməsi departamenti</v>
          </cell>
          <cell r="D1006" t="str">
            <v>Biznesə texniki dəstək şöbəsi</v>
          </cell>
          <cell r="E1006" t="str">
            <v>#</v>
          </cell>
          <cell r="F1006" t="str">
            <v>Baş mütəxəssis</v>
          </cell>
          <cell r="G1006" t="str">
            <v>A</v>
          </cell>
          <cell r="H1006">
            <v>42745</v>
          </cell>
        </row>
        <row r="1007">
          <cell r="B1007" t="str">
            <v>Biryuçkova Cəmilə Elşən</v>
          </cell>
          <cell r="C1007" t="str">
            <v>Xidmət keyfiyyətinin idarə edilməsi departamenti</v>
          </cell>
          <cell r="D1007" t="str">
            <v>Biznesə texniki dəstək şöbəsi</v>
          </cell>
          <cell r="E1007" t="str">
            <v>#</v>
          </cell>
          <cell r="F1007" t="str">
            <v>Aparıcı mütəxəssis</v>
          </cell>
          <cell r="G1007" t="str">
            <v>SM</v>
          </cell>
          <cell r="H1007">
            <v>42186</v>
          </cell>
        </row>
        <row r="1008">
          <cell r="B1008" t="str">
            <v>Alıyeva Gülnar Xəlil</v>
          </cell>
          <cell r="C1008" t="str">
            <v>Xidmət keyfiyyətinin idarə edilməsi departamenti</v>
          </cell>
          <cell r="D1008" t="str">
            <v>Biznesə texniki dəstək şöbəsi</v>
          </cell>
          <cell r="E1008" t="str">
            <v>#</v>
          </cell>
          <cell r="F1008" t="str">
            <v>Baş mütəxəssis</v>
          </cell>
          <cell r="G1008" t="str">
            <v>A</v>
          </cell>
          <cell r="H1008">
            <v>40023</v>
          </cell>
        </row>
        <row r="1009">
          <cell r="B1009" t="str">
            <v>Məmmədli Səma Əli</v>
          </cell>
          <cell r="C1009" t="str">
            <v>Biznesə dəstək departamenti</v>
          </cell>
          <cell r="D1009" t="str">
            <v>Əməliyyatların icrası və dəstək şöbəsi</v>
          </cell>
          <cell r="E1009" t="str">
            <v>#</v>
          </cell>
          <cell r="F1009" t="str">
            <v>Baş mütəxəssis</v>
          </cell>
          <cell r="G1009" t="str">
            <v>A</v>
          </cell>
          <cell r="H1009">
            <v>43623</v>
          </cell>
        </row>
        <row r="1010">
          <cell r="B1010" t="str">
            <v>Qiyaslı Ülkər Osman</v>
          </cell>
          <cell r="C1010" t="str">
            <v>Xidmət keyfiyyətinin idarə edilməsi departamenti</v>
          </cell>
          <cell r="D1010" t="str">
            <v>Biznesə texniki dəstək şöbəsi</v>
          </cell>
          <cell r="E1010" t="str">
            <v>#</v>
          </cell>
          <cell r="F1010" t="str">
            <v>Aparıcı mütəxəssis</v>
          </cell>
          <cell r="G1010" t="str">
            <v>A</v>
          </cell>
          <cell r="H1010">
            <v>42678</v>
          </cell>
        </row>
        <row r="1011">
          <cell r="B1011" t="str">
            <v>Abdullazadə Leyla Adil</v>
          </cell>
          <cell r="C1011" t="str">
            <v>Xidmət keyfiyyətinin idarə edilməsi departamenti</v>
          </cell>
          <cell r="D1011" t="str">
            <v>Biznesə texniki dəstək şöbəsi</v>
          </cell>
          <cell r="E1011" t="str">
            <v>#</v>
          </cell>
          <cell r="F1011" t="str">
            <v>Aparıcı mütəxəssis</v>
          </cell>
          <cell r="G1011" t="str">
            <v>A</v>
          </cell>
          <cell r="H1011">
            <v>42811</v>
          </cell>
        </row>
        <row r="1012">
          <cell r="B1012" t="str">
            <v>Cabbarzadə İlkin Vüsal</v>
          </cell>
          <cell r="C1012" t="str">
            <v>Xidmət keyfiyyətinin idarə edilməsi departamenti</v>
          </cell>
          <cell r="D1012" t="str">
            <v>Biznesə texniki dəstək şöbəsi</v>
          </cell>
          <cell r="E1012" t="str">
            <v>#</v>
          </cell>
          <cell r="F1012" t="str">
            <v>Baş mütəxəssis</v>
          </cell>
          <cell r="G1012" t="str">
            <v>A</v>
          </cell>
          <cell r="H1012">
            <v>43508</v>
          </cell>
        </row>
        <row r="1013">
          <cell r="B1013" t="str">
            <v>Osmanlı Şəfayət Rəfayıl</v>
          </cell>
          <cell r="C1013" t="str">
            <v>Xidmət keyfiyyətinin idarə edilməsi departamenti</v>
          </cell>
          <cell r="D1013" t="str">
            <v>Biznesə texniki dəstək şöbəsi</v>
          </cell>
          <cell r="E1013" t="str">
            <v>#</v>
          </cell>
          <cell r="F1013" t="str">
            <v>Aparıcı mütəxəssis</v>
          </cell>
          <cell r="G1013" t="str">
            <v>A</v>
          </cell>
          <cell r="H1013">
            <v>44378</v>
          </cell>
        </row>
        <row r="1014">
          <cell r="B1014" t="str">
            <v>Hüseynzadə Fidan Şahin</v>
          </cell>
          <cell r="C1014" t="str">
            <v>Biznesə dəstək departamenti</v>
          </cell>
          <cell r="D1014" t="str">
            <v>Əməliyyatların icrası və dəstək şöbəsi</v>
          </cell>
          <cell r="E1014" t="str">
            <v>#</v>
          </cell>
          <cell r="F1014" t="str">
            <v>Aparıcı mütəxəssis</v>
          </cell>
          <cell r="G1014" t="str">
            <v>A</v>
          </cell>
          <cell r="H1014">
            <v>43607</v>
          </cell>
        </row>
        <row r="1015">
          <cell r="B1015" t="str">
            <v>Əlizadə Zəminə Cavanşir</v>
          </cell>
          <cell r="C1015" t="str">
            <v>Xidmət keyfiyyətinin idarə edilməsi departamenti</v>
          </cell>
          <cell r="D1015" t="str">
            <v>Biznesə texniki dəstək şöbəsi</v>
          </cell>
          <cell r="E1015" t="str">
            <v>#</v>
          </cell>
          <cell r="F1015" t="str">
            <v>Mütəxəssis</v>
          </cell>
          <cell r="G1015" t="str">
            <v>A</v>
          </cell>
          <cell r="H1015">
            <v>45177</v>
          </cell>
        </row>
        <row r="1016">
          <cell r="B1016" t="str">
            <v>Əlizadə Bəhrəm Elman</v>
          </cell>
          <cell r="C1016" t="str">
            <v>Xidmət keyfiyyətinin idarə edilməsi departamenti</v>
          </cell>
          <cell r="D1016" t="str">
            <v>Biznesə texniki dəstək şöbəsi</v>
          </cell>
          <cell r="E1016" t="str">
            <v>#</v>
          </cell>
          <cell r="F1016" t="str">
            <v>Aparıcı mütəxəssis</v>
          </cell>
          <cell r="G1016" t="str">
            <v>A</v>
          </cell>
          <cell r="H1016">
            <v>44600</v>
          </cell>
        </row>
        <row r="1017">
          <cell r="B1017" t="str">
            <v>Həsənov Erlan Mahir</v>
          </cell>
          <cell r="C1017" t="str">
            <v>Xidmət keyfiyyətinin idarə edilməsi departamenti</v>
          </cell>
          <cell r="D1017" t="str">
            <v>Biznesə texniki dəstək şöbəsi</v>
          </cell>
          <cell r="E1017" t="str">
            <v>#</v>
          </cell>
          <cell r="F1017" t="str">
            <v>Aparıcı mütəxəssis</v>
          </cell>
          <cell r="G1017" t="str">
            <v>A</v>
          </cell>
          <cell r="H1017">
            <v>44609</v>
          </cell>
        </row>
        <row r="1018">
          <cell r="B1018" t="str">
            <v>Nəbili Azadə Şəfi</v>
          </cell>
          <cell r="C1018" t="str">
            <v>Xidmət keyfiyyətinin idarə edilməsi departamenti</v>
          </cell>
          <cell r="D1018" t="str">
            <v>Biznesə texniki dəstək şöbəsi</v>
          </cell>
          <cell r="E1018" t="str">
            <v>#</v>
          </cell>
          <cell r="F1018" t="str">
            <v>Aparıcı mütəxəssis</v>
          </cell>
          <cell r="G1018" t="str">
            <v>A</v>
          </cell>
          <cell r="H1018">
            <v>44705</v>
          </cell>
        </row>
        <row r="1019">
          <cell r="B1019" t="str">
            <v>Rəsulova Nigar Cəbrayıl</v>
          </cell>
          <cell r="C1019" t="str">
            <v>Biznesə dəstək departamenti</v>
          </cell>
          <cell r="D1019" t="str">
            <v>Əməliyyatların icrası və dəstək şöbəsi</v>
          </cell>
          <cell r="E1019" t="str">
            <v>#</v>
          </cell>
          <cell r="F1019" t="str">
            <v>Mütəxəssis</v>
          </cell>
          <cell r="G1019" t="str">
            <v>A</v>
          </cell>
          <cell r="H1019">
            <v>45121</v>
          </cell>
        </row>
        <row r="1020">
          <cell r="B1020" t="str">
            <v>Əsgərova Sənəm Azər</v>
          </cell>
          <cell r="C1020" t="str">
            <v>Nağd pulların idarə edilməsi departamenti</v>
          </cell>
          <cell r="D1020" t="str">
            <v>Nağd əməliyyatlara dəstək şöbəsi</v>
          </cell>
          <cell r="E1020" t="str">
            <v>#</v>
          </cell>
          <cell r="F1020" t="str">
            <v>Aparıcı mütəxəssis</v>
          </cell>
          <cell r="G1020" t="str">
            <v>A</v>
          </cell>
          <cell r="H1020">
            <v>43902</v>
          </cell>
        </row>
        <row r="1021">
          <cell r="B1021" t="str">
            <v>Əlizadə Tavad Elyar</v>
          </cell>
          <cell r="C1021" t="str">
            <v>Xidmət keyfiyyətinin idarə edilməsi departamenti</v>
          </cell>
          <cell r="D1021" t="str">
            <v>Biznesə texniki dəstək şöbəsi</v>
          </cell>
          <cell r="E1021" t="str">
            <v>#</v>
          </cell>
          <cell r="F1021" t="str">
            <v>Aparıcı mütəxəssis</v>
          </cell>
          <cell r="G1021" t="str">
            <v>A</v>
          </cell>
          <cell r="H1021">
            <v>45439</v>
          </cell>
        </row>
        <row r="1022">
          <cell r="B1022" t="str">
            <v>Vəlizadə Gülnar Baloğlan</v>
          </cell>
          <cell r="C1022" t="str">
            <v>Biznesə dəstək departamenti</v>
          </cell>
          <cell r="D1022" t="str">
            <v>Əməliyyatların icrası və dəstək şöbəsi</v>
          </cell>
          <cell r="E1022" t="str">
            <v>#</v>
          </cell>
          <cell r="F1022" t="str">
            <v>Menecer</v>
          </cell>
          <cell r="G1022" t="str">
            <v>A</v>
          </cell>
          <cell r="H1022">
            <v>42832</v>
          </cell>
        </row>
        <row r="1023">
          <cell r="B1023" t="str">
            <v>Əkbərova Səadət Bahadur</v>
          </cell>
          <cell r="C1023" t="str">
            <v>Biznesə dəstək departamenti</v>
          </cell>
          <cell r="D1023" t="str">
            <v>Əməliyyatların icrası və dəstək şöbəsi</v>
          </cell>
          <cell r="E1023" t="str">
            <v>#</v>
          </cell>
          <cell r="F1023" t="str">
            <v>Menecer</v>
          </cell>
          <cell r="G1023" t="str">
            <v>A</v>
          </cell>
          <cell r="H1023">
            <v>36713</v>
          </cell>
        </row>
        <row r="1024">
          <cell r="B1024" t="str">
            <v>Əliyeva Xədicə Allahverən</v>
          </cell>
          <cell r="C1024" t="str">
            <v>Biznesə dəstək departamenti</v>
          </cell>
          <cell r="D1024" t="str">
            <v>Əməliyyatların icrası və dəstək şöbəsi</v>
          </cell>
          <cell r="E1024" t="str">
            <v>#</v>
          </cell>
          <cell r="F1024" t="str">
            <v>Menecer</v>
          </cell>
          <cell r="G1024" t="str">
            <v>A</v>
          </cell>
          <cell r="H1024">
            <v>36687</v>
          </cell>
        </row>
        <row r="1025">
          <cell r="B1025" t="str">
            <v>Məmmədova Nigar Mövsüm</v>
          </cell>
          <cell r="C1025" t="str">
            <v>Biznesə dəstək departamenti</v>
          </cell>
          <cell r="D1025" t="str">
            <v>Əməliyyatların icrası və dəstək şöbəsi</v>
          </cell>
          <cell r="E1025" t="str">
            <v>#</v>
          </cell>
          <cell r="F1025" t="str">
            <v>Menecer</v>
          </cell>
          <cell r="G1025" t="str">
            <v>A</v>
          </cell>
          <cell r="H1025">
            <v>43328</v>
          </cell>
        </row>
        <row r="1026">
          <cell r="B1026" t="str">
            <v>Məmmədova Aytən Elman</v>
          </cell>
          <cell r="C1026" t="str">
            <v>Biznesə dəstək departamenti</v>
          </cell>
          <cell r="D1026" t="str">
            <v>Biznes müştərilərlə iş şöbəsi</v>
          </cell>
          <cell r="E1026" t="str">
            <v>#</v>
          </cell>
          <cell r="F1026" t="str">
            <v>Menecer</v>
          </cell>
          <cell r="G1026" t="str">
            <v>A</v>
          </cell>
          <cell r="H1026">
            <v>43028</v>
          </cell>
        </row>
        <row r="1027">
          <cell r="B1027" t="str">
            <v>Mehrəliyeva Gülsüm Məmmədrəhim</v>
          </cell>
          <cell r="C1027" t="str">
            <v>Biznesə dəstək departamenti</v>
          </cell>
          <cell r="D1027" t="str">
            <v>Əməliyyatların icrası və dəstək şöbəsi</v>
          </cell>
          <cell r="E1027" t="str">
            <v>#</v>
          </cell>
          <cell r="F1027" t="str">
            <v>Menecer</v>
          </cell>
          <cell r="G1027" t="str">
            <v>A</v>
          </cell>
          <cell r="H1027">
            <v>40046</v>
          </cell>
        </row>
        <row r="1028">
          <cell r="B1028" t="str">
            <v>Yusifova Ayan Hafiz</v>
          </cell>
          <cell r="C1028" t="str">
            <v>Biznesə dəstək departamenti</v>
          </cell>
          <cell r="D1028" t="str">
            <v>Xüsusi müştərilərlə iş şöbəsi</v>
          </cell>
          <cell r="E1028" t="str">
            <v>#</v>
          </cell>
          <cell r="F1028" t="str">
            <v>Menecer</v>
          </cell>
          <cell r="G1028" t="str">
            <v>A</v>
          </cell>
          <cell r="H1028">
            <v>43815</v>
          </cell>
        </row>
        <row r="1029">
          <cell r="B1029" t="str">
            <v>Əhmədli Əli Natiq</v>
          </cell>
          <cell r="C1029" t="str">
            <v>Biznesə dəstək departamenti</v>
          </cell>
          <cell r="D1029" t="str">
            <v>Əməliyyatların icrası və dəstək şöbəsi</v>
          </cell>
          <cell r="E1029" t="str">
            <v>#</v>
          </cell>
          <cell r="F1029" t="str">
            <v>Baş mütəxəssis</v>
          </cell>
          <cell r="G1029" t="str">
            <v>A</v>
          </cell>
          <cell r="H1029">
            <v>39559</v>
          </cell>
        </row>
        <row r="1030">
          <cell r="B1030" t="str">
            <v>Turabova Günel Əlibəy</v>
          </cell>
          <cell r="C1030" t="str">
            <v>Biznesə dəstək departamenti</v>
          </cell>
          <cell r="D1030" t="str">
            <v>Əməliyyatların icrası və dəstək şöbəsi</v>
          </cell>
          <cell r="E1030" t="str">
            <v>#</v>
          </cell>
          <cell r="F1030" t="str">
            <v>Baş mütəxəssis</v>
          </cell>
          <cell r="G1030" t="str">
            <v>A</v>
          </cell>
          <cell r="H1030">
            <v>44414</v>
          </cell>
        </row>
        <row r="1031">
          <cell r="B1031" t="str">
            <v>Rəhimova Günel Gümrah</v>
          </cell>
          <cell r="C1031" t="str">
            <v>Biznesə dəstək departamenti</v>
          </cell>
          <cell r="D1031" t="str">
            <v>Biznes müştərilərlə iş şöbəsi</v>
          </cell>
          <cell r="E1031" t="str">
            <v>#</v>
          </cell>
          <cell r="F1031" t="str">
            <v>Aparıcı mütəxəssis</v>
          </cell>
          <cell r="G1031" t="str">
            <v>A</v>
          </cell>
          <cell r="H1031">
            <v>36697</v>
          </cell>
        </row>
        <row r="1032">
          <cell r="B1032" t="str">
            <v>Nəsirova Lalə Lətif</v>
          </cell>
          <cell r="C1032" t="str">
            <v>Biznesə dəstək departamenti</v>
          </cell>
          <cell r="D1032" t="str">
            <v>Əməliyyatların icrası və dəstək şöbəsi</v>
          </cell>
          <cell r="E1032" t="str">
            <v>#</v>
          </cell>
          <cell r="F1032" t="str">
            <v>Aparıcı mütəxəssis</v>
          </cell>
          <cell r="G1032" t="str">
            <v>A</v>
          </cell>
          <cell r="H1032">
            <v>36931</v>
          </cell>
        </row>
        <row r="1033">
          <cell r="B1033" t="str">
            <v>Axundova Zeynəb Cəfər</v>
          </cell>
          <cell r="C1033" t="str">
            <v>Biznesə dəstək departamenti</v>
          </cell>
          <cell r="D1033" t="str">
            <v>Əməliyyatların icrası və dəstək şöbəsi</v>
          </cell>
          <cell r="E1033" t="str">
            <v>#</v>
          </cell>
          <cell r="F1033" t="str">
            <v>Aparıcı mütəxəssis</v>
          </cell>
          <cell r="G1033" t="str">
            <v>A</v>
          </cell>
          <cell r="H1033">
            <v>36679</v>
          </cell>
        </row>
        <row r="1034">
          <cell r="B1034" t="str">
            <v>Məhərrəmova-Məmmədbəyli Pərvin Tahir</v>
          </cell>
          <cell r="C1034" t="str">
            <v>Biznesə dəstək departamenti</v>
          </cell>
          <cell r="D1034" t="str">
            <v>Xüsusi müştərilərlə iş şöbəsi</v>
          </cell>
          <cell r="E1034" t="str">
            <v>#</v>
          </cell>
          <cell r="F1034" t="str">
            <v>Aparıcı mütəxəssis</v>
          </cell>
          <cell r="G1034" t="str">
            <v>A</v>
          </cell>
          <cell r="H1034">
            <v>43234</v>
          </cell>
        </row>
        <row r="1035">
          <cell r="B1035" t="str">
            <v>Rəhmanova Sənəm Bəxtiyar</v>
          </cell>
          <cell r="C1035" t="str">
            <v>Biznesə dəstək departamenti</v>
          </cell>
          <cell r="D1035" t="str">
            <v>Əməliyyatların icrası və dəstək şöbəsi</v>
          </cell>
          <cell r="E1035" t="str">
            <v>#</v>
          </cell>
          <cell r="F1035" t="str">
            <v>Aparıcı mütəxəssis</v>
          </cell>
          <cell r="G1035" t="str">
            <v>A</v>
          </cell>
          <cell r="H1035">
            <v>43808</v>
          </cell>
        </row>
        <row r="1036">
          <cell r="B1036" t="str">
            <v>Kərimova Zəhra Nizami</v>
          </cell>
          <cell r="C1036" t="str">
            <v>Biznesə dəstək departamenti</v>
          </cell>
          <cell r="D1036" t="str">
            <v>Xüsusi müştərilərlə iş şöbəsi</v>
          </cell>
          <cell r="E1036" t="str">
            <v>#</v>
          </cell>
          <cell r="F1036" t="str">
            <v>Baş mütəxəssis</v>
          </cell>
          <cell r="G1036" t="str">
            <v>A</v>
          </cell>
          <cell r="H1036">
            <v>42009</v>
          </cell>
        </row>
        <row r="1037">
          <cell r="B1037" t="str">
            <v>Zeynalova Nigar Eldar</v>
          </cell>
          <cell r="C1037" t="str">
            <v>Biznesə dəstək departamenti</v>
          </cell>
          <cell r="D1037" t="str">
            <v>Biznes müştərilərlə iş şöbəsi</v>
          </cell>
          <cell r="E1037" t="str">
            <v>#</v>
          </cell>
          <cell r="F1037" t="str">
            <v>Baş mütəxəssis</v>
          </cell>
          <cell r="G1037" t="str">
            <v>A</v>
          </cell>
          <cell r="H1037">
            <v>44537</v>
          </cell>
        </row>
        <row r="1038">
          <cell r="B1038" t="str">
            <v>Əliyeva Nəzrin Fikrət</v>
          </cell>
          <cell r="C1038" t="str">
            <v>Biznesə dəstək departamenti</v>
          </cell>
          <cell r="D1038" t="str">
            <v>Xüsusi müştərilərlə iş şöbəsi</v>
          </cell>
          <cell r="E1038" t="str">
            <v>#</v>
          </cell>
          <cell r="F1038" t="str">
            <v>Aparıcı mütəxəssis</v>
          </cell>
          <cell r="G1038" t="str">
            <v>A</v>
          </cell>
          <cell r="H1038">
            <v>44425</v>
          </cell>
        </row>
        <row r="1039">
          <cell r="B1039" t="str">
            <v>Manafova Simuzər Asif</v>
          </cell>
          <cell r="C1039" t="str">
            <v>Biznesə dəstək departamenti</v>
          </cell>
          <cell r="D1039" t="str">
            <v>Əməliyyatların icrası və dəstək şöbəsi</v>
          </cell>
          <cell r="E1039" t="str">
            <v>#</v>
          </cell>
          <cell r="F1039" t="str">
            <v>Mütəxəssis</v>
          </cell>
          <cell r="G1039" t="str">
            <v>SM</v>
          </cell>
          <cell r="H1039">
            <v>43542</v>
          </cell>
        </row>
        <row r="1040">
          <cell r="B1040" t="str">
            <v>Tarverdiyeva Nigar Əli</v>
          </cell>
          <cell r="C1040" t="str">
            <v>Biznesə dəstək departamenti</v>
          </cell>
          <cell r="D1040" t="str">
            <v>Xüsusi müştərilərlə iş şöbəsi</v>
          </cell>
          <cell r="E1040" t="str">
            <v>#</v>
          </cell>
          <cell r="F1040" t="str">
            <v>Mütəxəssis</v>
          </cell>
          <cell r="G1040" t="str">
            <v>A</v>
          </cell>
          <cell r="H1040">
            <v>45510</v>
          </cell>
        </row>
        <row r="1041">
          <cell r="B1041" t="str">
            <v>Nəbizadə Şamxal Şəmsi</v>
          </cell>
          <cell r="C1041" t="str">
            <v>Biznesə dəstək departamenti</v>
          </cell>
          <cell r="D1041" t="str">
            <v>Biznes müştərilərlə iş şöbəsi</v>
          </cell>
          <cell r="E1041" t="str">
            <v>#</v>
          </cell>
          <cell r="F1041" t="str">
            <v>Kiçik mütəxəssis</v>
          </cell>
          <cell r="G1041" t="str">
            <v>A</v>
          </cell>
          <cell r="H1041">
            <v>46066</v>
          </cell>
        </row>
        <row r="1042">
          <cell r="B1042" t="str">
            <v>Qurbanlı Rəhman Mirzə Ağa</v>
          </cell>
          <cell r="C1042" t="str">
            <v>Biznesə dəstək departamenti</v>
          </cell>
          <cell r="D1042" t="str">
            <v>Biznes müştərilərlə iş şöbəsi</v>
          </cell>
          <cell r="E1042" t="str">
            <v>#</v>
          </cell>
          <cell r="F1042" t="str">
            <v>Aparıcı mütəxəssis</v>
          </cell>
          <cell r="G1042" t="str">
            <v>A</v>
          </cell>
          <cell r="H1042">
            <v>44551</v>
          </cell>
        </row>
        <row r="1043">
          <cell r="B1043" t="str">
            <v>Hüseynova Nurlana Həsənovna</v>
          </cell>
          <cell r="C1043" t="str">
            <v>Biznesə dəstək departamenti</v>
          </cell>
          <cell r="D1043" t="str">
            <v>Xüsusi müştərilərlə iş şöbəsi</v>
          </cell>
          <cell r="E1043" t="str">
            <v>#</v>
          </cell>
          <cell r="F1043" t="str">
            <v>Aparıcı mütəxəssis</v>
          </cell>
          <cell r="G1043" t="str">
            <v>A</v>
          </cell>
          <cell r="H1043">
            <v>44539</v>
          </cell>
        </row>
        <row r="1044">
          <cell r="B1044" t="str">
            <v>Əhmədova Aytac Rahib</v>
          </cell>
          <cell r="C1044" t="str">
            <v>Biznesə dəstək departamenti</v>
          </cell>
          <cell r="D1044" t="str">
            <v>Biznes müştərilərlə iş şöbəsi</v>
          </cell>
          <cell r="E1044" t="str">
            <v>#</v>
          </cell>
          <cell r="F1044" t="str">
            <v>Mütəxəssis</v>
          </cell>
          <cell r="G1044" t="str">
            <v>A</v>
          </cell>
          <cell r="H1044">
            <v>44503</v>
          </cell>
        </row>
        <row r="1045">
          <cell r="B1045" t="str">
            <v>Süleymanov Süleyman Mehman</v>
          </cell>
          <cell r="C1045" t="str">
            <v>Biznesə dəstək departamenti</v>
          </cell>
          <cell r="D1045" t="str">
            <v>Əməliyyatların icrası və dəstək şöbəsi</v>
          </cell>
          <cell r="E1045" t="str">
            <v>#</v>
          </cell>
          <cell r="F1045" t="str">
            <v>Aparıcı mütəxəssis</v>
          </cell>
          <cell r="G1045" t="str">
            <v>A</v>
          </cell>
          <cell r="H1045">
            <v>44155</v>
          </cell>
        </row>
        <row r="1046">
          <cell r="B1046" t="str">
            <v>Abasova Rəna Nadir</v>
          </cell>
          <cell r="C1046" t="str">
            <v>Biznesə dəstək departamenti</v>
          </cell>
          <cell r="D1046" t="str">
            <v>Əməliyyatların icrası və dəstək şöbəsi</v>
          </cell>
          <cell r="E1046" t="str">
            <v>#</v>
          </cell>
          <cell r="F1046" t="str">
            <v>Mütəxəssis</v>
          </cell>
          <cell r="G1046" t="str">
            <v>A</v>
          </cell>
          <cell r="H1046">
            <v>37152</v>
          </cell>
        </row>
        <row r="1047">
          <cell r="B1047" t="str">
            <v>Dünyamaliyeva Mələk Məhərrəm</v>
          </cell>
          <cell r="C1047" t="str">
            <v>Biznesə dəstək departamenti</v>
          </cell>
          <cell r="D1047" t="str">
            <v>Biznes müştərilərlə iş şöbəsi</v>
          </cell>
          <cell r="E1047" t="str">
            <v>#</v>
          </cell>
          <cell r="F1047" t="str">
            <v>Mütəxəssis</v>
          </cell>
          <cell r="G1047" t="str">
            <v>A</v>
          </cell>
          <cell r="H1047">
            <v>45439</v>
          </cell>
        </row>
        <row r="1048">
          <cell r="B1048" t="str">
            <v>Tapdıqzadə Ayla Heybət</v>
          </cell>
          <cell r="C1048" t="str">
            <v>Biznesə dəstək departamenti</v>
          </cell>
          <cell r="D1048" t="str">
            <v>Biznes müştərilərlə iş şöbəsi</v>
          </cell>
          <cell r="E1048" t="str">
            <v>#</v>
          </cell>
          <cell r="F1048" t="str">
            <v>Kiçik mütəxəssis</v>
          </cell>
          <cell r="G1048" t="str">
            <v>A</v>
          </cell>
          <cell r="H1048">
            <v>46083</v>
          </cell>
        </row>
        <row r="1049">
          <cell r="B1049" t="str">
            <v>Rəşidov Zakir Fizuli</v>
          </cell>
          <cell r="C1049" t="str">
            <v>Xidmət keyfiyyətinin idarə edilməsi departamenti</v>
          </cell>
          <cell r="D1049" t="str">
            <v>#</v>
          </cell>
          <cell r="E1049" t="str">
            <v>#</v>
          </cell>
          <cell r="F1049" t="str">
            <v>Direktor</v>
          </cell>
          <cell r="G1049" t="str">
            <v>A</v>
          </cell>
          <cell r="H1049">
            <v>42807</v>
          </cell>
        </row>
        <row r="1050">
          <cell r="B1050" t="str">
            <v>YETIK TAYLAN</v>
          </cell>
          <cell r="C1050" t="str">
            <v>Xidmət keyfiyyətinin idarə edilməsi departamenti</v>
          </cell>
          <cell r="D1050" t="str">
            <v>#</v>
          </cell>
          <cell r="E1050" t="str">
            <v>#</v>
          </cell>
          <cell r="F1050" t="str">
            <v>Direktor müavini</v>
          </cell>
          <cell r="G1050" t="str">
            <v>A</v>
          </cell>
          <cell r="H1050">
            <v>45610</v>
          </cell>
        </row>
        <row r="1051">
          <cell r="B1051" t="str">
            <v>Əsgərova Səyyarə Etibar</v>
          </cell>
          <cell r="C1051" t="str">
            <v>Xidmət keyfiyyətinin idarə edilməsi departamenti</v>
          </cell>
          <cell r="D1051" t="str">
            <v>#</v>
          </cell>
          <cell r="E1051" t="str">
            <v>#</v>
          </cell>
          <cell r="F1051" t="str">
            <v>Direktor müavini</v>
          </cell>
          <cell r="G1051" t="str">
            <v>A</v>
          </cell>
          <cell r="H1051">
            <v>40134</v>
          </cell>
        </row>
        <row r="1052">
          <cell r="B1052" t="str">
            <v>Çələbi Allahverdi Rasim</v>
          </cell>
          <cell r="C1052" t="str">
            <v>Xidmət keyfiyyətinin idarə edilməsi departamenti</v>
          </cell>
          <cell r="D1052" t="str">
            <v>Xidmət keyfiyyətinə nəzarət şöbəsi</v>
          </cell>
          <cell r="E1052" t="str">
            <v>#</v>
          </cell>
          <cell r="F1052" t="str">
            <v>Şöbə müdiri</v>
          </cell>
          <cell r="G1052" t="str">
            <v>A</v>
          </cell>
          <cell r="H1052">
            <v>42354</v>
          </cell>
        </row>
        <row r="1053">
          <cell r="B1053" t="str">
            <v>Zeynalov Vüsal Rafiq</v>
          </cell>
          <cell r="C1053" t="str">
            <v>Xidmət keyfiyyətinin idarə edilməsi departamenti</v>
          </cell>
          <cell r="D1053" t="str">
            <v>Xidmət keyfiyyətinə nəzarət şöbəsi</v>
          </cell>
          <cell r="E1053" t="str">
            <v>#</v>
          </cell>
          <cell r="F1053" t="str">
            <v>Menecer</v>
          </cell>
          <cell r="G1053" t="str">
            <v>A</v>
          </cell>
          <cell r="H1053">
            <v>42501</v>
          </cell>
        </row>
        <row r="1054">
          <cell r="B1054" t="str">
            <v>Yusifova Afət Kamal</v>
          </cell>
          <cell r="C1054" t="str">
            <v>Xidmət keyfiyyətinin idarə edilməsi departamenti</v>
          </cell>
          <cell r="D1054" t="str">
            <v>Xidmət keyfiyyətinə nəzarət şöbəsi</v>
          </cell>
          <cell r="E1054" t="str">
            <v>#</v>
          </cell>
          <cell r="F1054" t="str">
            <v>Menecer</v>
          </cell>
          <cell r="G1054" t="str">
            <v>A</v>
          </cell>
          <cell r="H1054">
            <v>43249</v>
          </cell>
        </row>
        <row r="1055">
          <cell r="B1055" t="str">
            <v>Cəbrayıllı Sahib Niyətxan</v>
          </cell>
          <cell r="C1055" t="str">
            <v>Xidmət keyfiyyətinin idarə edilməsi departamenti</v>
          </cell>
          <cell r="D1055" t="str">
            <v>Xidmət keyfiyyətinə nəzarət şöbəsi</v>
          </cell>
          <cell r="E1055" t="str">
            <v>#</v>
          </cell>
          <cell r="F1055" t="str">
            <v>Menecer</v>
          </cell>
          <cell r="G1055" t="str">
            <v>A</v>
          </cell>
          <cell r="H1055">
            <v>42342</v>
          </cell>
        </row>
        <row r="1056">
          <cell r="B1056" t="str">
            <v>Bayramov Talıb Ağaəli</v>
          </cell>
          <cell r="C1056" t="str">
            <v>Xidmət keyfiyyətinin idarə edilməsi departamenti</v>
          </cell>
          <cell r="D1056" t="str">
            <v>Xidmət keyfiyyətinə nəzarət şöbəsi</v>
          </cell>
          <cell r="E1056" t="str">
            <v>#</v>
          </cell>
          <cell r="F1056" t="str">
            <v>Menecer</v>
          </cell>
          <cell r="G1056" t="str">
            <v>A</v>
          </cell>
          <cell r="H1056">
            <v>38593</v>
          </cell>
        </row>
        <row r="1057">
          <cell r="B1057" t="str">
            <v>Beydullayev Abdulla Ömürşah</v>
          </cell>
          <cell r="C1057" t="str">
            <v>Xidmət keyfiyyətinin idarə edilməsi departamenti</v>
          </cell>
          <cell r="D1057" t="str">
            <v>Xidmət keyfiyyətinə nəzarət şöbəsi</v>
          </cell>
          <cell r="E1057" t="str">
            <v>#</v>
          </cell>
          <cell r="F1057" t="str">
            <v>Menecer</v>
          </cell>
          <cell r="G1057" t="str">
            <v>A</v>
          </cell>
          <cell r="H1057">
            <v>42528</v>
          </cell>
        </row>
        <row r="1058">
          <cell r="B1058" t="str">
            <v>Əzimov Nadir Adil</v>
          </cell>
          <cell r="C1058" t="str">
            <v>Xidmət keyfiyyətinin idarə edilməsi departamenti</v>
          </cell>
          <cell r="D1058" t="str">
            <v>Xidmət keyfiyyətinə nəzarət şöbəsi</v>
          </cell>
          <cell r="E1058" t="str">
            <v>#</v>
          </cell>
          <cell r="F1058" t="str">
            <v>Menecer</v>
          </cell>
          <cell r="G1058" t="str">
            <v>A</v>
          </cell>
          <cell r="H1058">
            <v>43020</v>
          </cell>
        </row>
        <row r="1059">
          <cell r="B1059" t="str">
            <v>Allahverənzadə Fərəmərz Məhərrəm</v>
          </cell>
          <cell r="C1059" t="str">
            <v>Xidmət keyfiyyətinin idarə edilməsi departamenti</v>
          </cell>
          <cell r="D1059" t="str">
            <v>Xidmət keyfiyyətinə nəzarət şöbəsi</v>
          </cell>
          <cell r="E1059" t="str">
            <v>#</v>
          </cell>
          <cell r="F1059" t="str">
            <v>Menecer</v>
          </cell>
          <cell r="G1059" t="str">
            <v>A</v>
          </cell>
          <cell r="H1059">
            <v>44774</v>
          </cell>
        </row>
        <row r="1060">
          <cell r="B1060" t="str">
            <v>Mustafayev Tural Nemət</v>
          </cell>
          <cell r="C1060" t="str">
            <v>Xidmət keyfiyyətinin idarə edilməsi departamenti</v>
          </cell>
          <cell r="D1060" t="str">
            <v>Xidmət keyfiyyətinə nəzarət şöbəsi</v>
          </cell>
          <cell r="E1060" t="str">
            <v>#</v>
          </cell>
          <cell r="F1060" t="str">
            <v>Baş mütəxəssis</v>
          </cell>
          <cell r="G1060" t="str">
            <v>A</v>
          </cell>
          <cell r="H1060">
            <v>42900</v>
          </cell>
        </row>
        <row r="1061">
          <cell r="B1061" t="str">
            <v>Məmmədzadə İlkin Fariz</v>
          </cell>
          <cell r="C1061" t="str">
            <v>Xidmət keyfiyyətinin idarə edilməsi departamenti</v>
          </cell>
          <cell r="D1061" t="str">
            <v>Xidmət keyfiyyətinə nəzarət şöbəsi</v>
          </cell>
          <cell r="E1061" t="str">
            <v>#</v>
          </cell>
          <cell r="F1061" t="str">
            <v>Baş mütəxəssis</v>
          </cell>
          <cell r="G1061" t="str">
            <v>A</v>
          </cell>
          <cell r="H1061">
            <v>43325</v>
          </cell>
        </row>
        <row r="1062">
          <cell r="B1062" t="str">
            <v>Cəfərzadə Cəfər Tofiq</v>
          </cell>
          <cell r="C1062" t="str">
            <v>Xidmət keyfiyyətinin idarə edilməsi departamenti</v>
          </cell>
          <cell r="D1062" t="str">
            <v>Xidmət keyfiyyətinə nəzarət şöbəsi</v>
          </cell>
          <cell r="E1062" t="str">
            <v>#</v>
          </cell>
          <cell r="F1062" t="str">
            <v>Baş mütəxəssis</v>
          </cell>
          <cell r="G1062" t="str">
            <v>A</v>
          </cell>
          <cell r="H1062">
            <v>42933</v>
          </cell>
        </row>
        <row r="1063">
          <cell r="B1063" t="str">
            <v>Hüseynov Sabir Vaqif</v>
          </cell>
          <cell r="C1063" t="str">
            <v>Xidmət keyfiyyətinin idarə edilməsi departamenti</v>
          </cell>
          <cell r="D1063" t="str">
            <v>Xidmət keyfiyyətinə nəzarət şöbəsi</v>
          </cell>
          <cell r="E1063" t="str">
            <v>#</v>
          </cell>
          <cell r="F1063" t="str">
            <v>Baş mütəxəssis</v>
          </cell>
          <cell r="G1063" t="str">
            <v>A</v>
          </cell>
          <cell r="H1063">
            <v>43080</v>
          </cell>
        </row>
        <row r="1064">
          <cell r="B1064" t="str">
            <v>Lətifov Həmid Fazil</v>
          </cell>
          <cell r="C1064" t="str">
            <v>Xidmət keyfiyyətinin idarə edilməsi departamenti</v>
          </cell>
          <cell r="D1064" t="str">
            <v>Xidmət keyfiyyətinə nəzarət şöbəsi</v>
          </cell>
          <cell r="E1064" t="str">
            <v>#</v>
          </cell>
          <cell r="F1064" t="str">
            <v>Baş mütəxəssis</v>
          </cell>
          <cell r="G1064" t="str">
            <v>A</v>
          </cell>
          <cell r="H1064">
            <v>43075</v>
          </cell>
        </row>
        <row r="1065">
          <cell r="B1065" t="str">
            <v>Əliyeva Təhminə Rafiq</v>
          </cell>
          <cell r="C1065" t="str">
            <v>Xidmət keyfiyyətinin idarə edilməsi departamenti</v>
          </cell>
          <cell r="D1065" t="str">
            <v>Xidmət keyfiyyətinə nəzarət şöbəsi</v>
          </cell>
          <cell r="E1065" t="str">
            <v>#</v>
          </cell>
          <cell r="F1065" t="str">
            <v>Baş mütəxəssis</v>
          </cell>
          <cell r="G1065" t="str">
            <v>A</v>
          </cell>
          <cell r="H1065">
            <v>44096</v>
          </cell>
        </row>
        <row r="1066">
          <cell r="B1066" t="str">
            <v>Şahverdiyeva Gövhər Azər</v>
          </cell>
          <cell r="C1066" t="str">
            <v>Xidmət keyfiyyətinin idarə edilməsi departamenti</v>
          </cell>
          <cell r="D1066" t="str">
            <v>Xidmət keyfiyyətinə nəzarət şöbəsi</v>
          </cell>
          <cell r="E1066" t="str">
            <v>#</v>
          </cell>
          <cell r="F1066" t="str">
            <v>Baş mütəxəssis</v>
          </cell>
          <cell r="G1066" t="str">
            <v>SM</v>
          </cell>
          <cell r="H1066">
            <v>42894</v>
          </cell>
        </row>
        <row r="1067">
          <cell r="B1067" t="str">
            <v>Gülməmmədov Murad Mikayıl</v>
          </cell>
          <cell r="C1067" t="str">
            <v>Xidmət keyfiyyətinin idarə edilməsi departamenti</v>
          </cell>
          <cell r="D1067" t="str">
            <v>Xidmət keyfiyyətinə nəzarət şöbəsi</v>
          </cell>
          <cell r="E1067" t="str">
            <v>#</v>
          </cell>
          <cell r="F1067" t="str">
            <v>Baş mütəxəssis</v>
          </cell>
          <cell r="G1067" t="str">
            <v>A</v>
          </cell>
          <cell r="H1067">
            <v>43740</v>
          </cell>
        </row>
        <row r="1068">
          <cell r="B1068" t="str">
            <v>Allahverdiyev Vahid Elnur</v>
          </cell>
          <cell r="C1068" t="str">
            <v>Xidmət keyfiyyətinin idarə edilməsi departamenti</v>
          </cell>
          <cell r="D1068" t="str">
            <v>Xidmət keyfiyyətinə nəzarət şöbəsi</v>
          </cell>
          <cell r="E1068" t="str">
            <v>#</v>
          </cell>
          <cell r="F1068" t="str">
            <v>Baş mütəxəssis</v>
          </cell>
          <cell r="G1068" t="str">
            <v>A</v>
          </cell>
          <cell r="H1068">
            <v>44123</v>
          </cell>
        </row>
        <row r="1069">
          <cell r="B1069" t="str">
            <v>Əlizadə Ayaz Azər</v>
          </cell>
          <cell r="C1069" t="str">
            <v>Xidmət keyfiyyətinin idarə edilməsi departamenti</v>
          </cell>
          <cell r="D1069" t="str">
            <v>Xidmət keyfiyyətinə nəzarət şöbəsi</v>
          </cell>
          <cell r="E1069" t="str">
            <v>#</v>
          </cell>
          <cell r="F1069" t="str">
            <v>Baş mütəxəssis</v>
          </cell>
          <cell r="G1069" t="str">
            <v>A</v>
          </cell>
          <cell r="H1069">
            <v>42811</v>
          </cell>
        </row>
        <row r="1070">
          <cell r="B1070" t="str">
            <v>Əliyev Tural Bəhruz</v>
          </cell>
          <cell r="C1070" t="str">
            <v>Xidmət keyfiyyətinin idarə edilməsi departamenti</v>
          </cell>
          <cell r="D1070" t="str">
            <v>Xidmət keyfiyyətinə nəzarət şöbəsi</v>
          </cell>
          <cell r="E1070" t="str">
            <v>#</v>
          </cell>
          <cell r="F1070" t="str">
            <v>Baş mütəxəssis</v>
          </cell>
          <cell r="G1070" t="str">
            <v>A</v>
          </cell>
          <cell r="H1070">
            <v>43710</v>
          </cell>
        </row>
        <row r="1071">
          <cell r="B1071" t="str">
            <v>Ağazadə Kamran Elşən</v>
          </cell>
          <cell r="C1071" t="str">
            <v>Xidmət keyfiyyətinin idarə edilməsi departamenti</v>
          </cell>
          <cell r="D1071" t="str">
            <v>Xidmət keyfiyyətinə nəzarət şöbəsi</v>
          </cell>
          <cell r="E1071" t="str">
            <v>#</v>
          </cell>
          <cell r="F1071" t="str">
            <v>Aparıcı mütəxəssis</v>
          </cell>
          <cell r="G1071" t="str">
            <v>A</v>
          </cell>
          <cell r="H1071">
            <v>44777</v>
          </cell>
        </row>
        <row r="1072">
          <cell r="B1072" t="str">
            <v>Zeynalov Süleyman Sahib</v>
          </cell>
          <cell r="C1072" t="str">
            <v>Xidmət keyfiyyətinin idarə edilməsi departamenti</v>
          </cell>
          <cell r="D1072" t="str">
            <v>Xidmət keyfiyyətinə nəzarət şöbəsi</v>
          </cell>
          <cell r="E1072" t="str">
            <v>#</v>
          </cell>
          <cell r="F1072" t="str">
            <v>Aparıcı mütəxəssis</v>
          </cell>
          <cell r="G1072" t="str">
            <v>A</v>
          </cell>
          <cell r="H1072">
            <v>43367</v>
          </cell>
        </row>
        <row r="1073">
          <cell r="B1073" t="str">
            <v>Hüseynov Elvin Namik</v>
          </cell>
          <cell r="C1073" t="str">
            <v>Xidmət keyfiyyətinin idarə edilməsi departamenti</v>
          </cell>
          <cell r="D1073" t="str">
            <v>Xidmət keyfiyyətinə nəzarət şöbəsi</v>
          </cell>
          <cell r="E1073" t="str">
            <v>#</v>
          </cell>
          <cell r="F1073" t="str">
            <v>Aparıcı mütəxəssis</v>
          </cell>
          <cell r="G1073" t="str">
            <v>A</v>
          </cell>
          <cell r="H1073">
            <v>45337</v>
          </cell>
        </row>
        <row r="1074">
          <cell r="B1074" t="str">
            <v>Hüseynzadə Xamis İlham</v>
          </cell>
          <cell r="C1074" t="str">
            <v>Xidmət keyfiyyətinin idarə edilməsi departamenti</v>
          </cell>
          <cell r="D1074" t="str">
            <v>Xidmət keyfiyyətinə nəzarət şöbəsi</v>
          </cell>
          <cell r="E1074" t="str">
            <v>#</v>
          </cell>
          <cell r="F1074" t="str">
            <v>Aparıcı mütəxəssis</v>
          </cell>
          <cell r="G1074" t="str">
            <v>A</v>
          </cell>
          <cell r="H1074">
            <v>44048</v>
          </cell>
        </row>
        <row r="1075">
          <cell r="B1075" t="str">
            <v>Qaraisayev Orxan Firudin</v>
          </cell>
          <cell r="C1075" t="str">
            <v>Xidmət keyfiyyətinin idarə edilməsi departamenti</v>
          </cell>
          <cell r="D1075" t="str">
            <v>Xidmət keyfiyyətinə nəzarət şöbəsi</v>
          </cell>
          <cell r="E1075" t="str">
            <v>#</v>
          </cell>
          <cell r="F1075" t="str">
            <v>Aparıcı mütəxəssis</v>
          </cell>
          <cell r="G1075" t="str">
            <v>A</v>
          </cell>
          <cell r="H1075">
            <v>46007</v>
          </cell>
        </row>
        <row r="1076">
          <cell r="B1076" t="str">
            <v>İmanova Samaya Vüqar</v>
          </cell>
          <cell r="C1076" t="str">
            <v>Xidmət keyfiyyətinin idarə edilməsi departamenti</v>
          </cell>
          <cell r="D1076" t="str">
            <v>Xidmət strukturları ilə iş şöbəsi</v>
          </cell>
          <cell r="E1076" t="str">
            <v>#</v>
          </cell>
          <cell r="F1076" t="str">
            <v>Şöbə müdiri</v>
          </cell>
          <cell r="G1076" t="str">
            <v>A</v>
          </cell>
          <cell r="H1076">
            <v>42331</v>
          </cell>
        </row>
        <row r="1077">
          <cell r="B1077" t="str">
            <v>Ağayev İlham Rəsul</v>
          </cell>
          <cell r="C1077" t="str">
            <v>Xidmət keyfiyyətinin idarə edilməsi departamenti</v>
          </cell>
          <cell r="D1077" t="str">
            <v>Xidmət strukturları ilə iş şöbəsi</v>
          </cell>
          <cell r="E1077" t="str">
            <v>#</v>
          </cell>
          <cell r="F1077" t="str">
            <v>Menecer</v>
          </cell>
          <cell r="G1077" t="str">
            <v>A</v>
          </cell>
          <cell r="H1077">
            <v>43257</v>
          </cell>
        </row>
        <row r="1078">
          <cell r="B1078" t="str">
            <v>Saramanova Muslimat Nərmanovna</v>
          </cell>
          <cell r="C1078" t="str">
            <v>Xidmət keyfiyyətinin idarə edilməsi departamenti</v>
          </cell>
          <cell r="D1078" t="str">
            <v>Xidmət strukturları ilə iş şöbəsi</v>
          </cell>
          <cell r="E1078" t="str">
            <v>#</v>
          </cell>
          <cell r="F1078" t="str">
            <v>Baş mütəxəssis</v>
          </cell>
          <cell r="G1078" t="str">
            <v>A</v>
          </cell>
          <cell r="H1078">
            <v>43864</v>
          </cell>
        </row>
        <row r="1079">
          <cell r="B1079" t="str">
            <v>Əsgərova Günay Hüseyn</v>
          </cell>
          <cell r="C1079" t="str">
            <v>Xidmət keyfiyyətinin idarə edilməsi departamenti</v>
          </cell>
          <cell r="D1079" t="str">
            <v>Xidmət strukturları ilə iş şöbəsi</v>
          </cell>
          <cell r="E1079" t="str">
            <v>#</v>
          </cell>
          <cell r="F1079" t="str">
            <v>Baş mütəxəssis</v>
          </cell>
          <cell r="G1079" t="str">
            <v>A</v>
          </cell>
          <cell r="H1079">
            <v>43304</v>
          </cell>
        </row>
        <row r="1080">
          <cell r="B1080" t="str">
            <v>Qəribova Günay Fərhad</v>
          </cell>
          <cell r="C1080" t="str">
            <v>Xidmət keyfiyyətinin idarə edilməsi departamenti</v>
          </cell>
          <cell r="D1080" t="str">
            <v>Xidmət strukturları ilə iş şöbəsi</v>
          </cell>
          <cell r="E1080" t="str">
            <v>#</v>
          </cell>
          <cell r="F1080" t="str">
            <v>Baş mütəxəssis</v>
          </cell>
          <cell r="G1080" t="str">
            <v>A</v>
          </cell>
          <cell r="H1080">
            <v>43430</v>
          </cell>
        </row>
        <row r="1081">
          <cell r="B1081" t="str">
            <v>Məmmədov İlkin Səməd</v>
          </cell>
          <cell r="C1081" t="str">
            <v>Xidmət keyfiyyətinin idarə edilməsi departamenti</v>
          </cell>
          <cell r="D1081" t="str">
            <v>Xidmət strukturları ilə iş şöbəsi</v>
          </cell>
          <cell r="E1081" t="str">
            <v>#</v>
          </cell>
          <cell r="F1081" t="str">
            <v>Aparıcı mütəxəssis</v>
          </cell>
          <cell r="G1081" t="str">
            <v>A</v>
          </cell>
          <cell r="H1081">
            <v>43885</v>
          </cell>
        </row>
        <row r="1082">
          <cell r="B1082" t="str">
            <v>Nurəliyeva Nərgiz Ələddin</v>
          </cell>
          <cell r="C1082" t="str">
            <v>Xidmət keyfiyyətinin idarə edilməsi departamenti</v>
          </cell>
          <cell r="D1082" t="str">
            <v>Xidmət strukturları ilə iş şöbəsi</v>
          </cell>
          <cell r="E1082" t="str">
            <v>#</v>
          </cell>
          <cell r="F1082" t="str">
            <v>Aparıcı mütəxəssis</v>
          </cell>
          <cell r="G1082" t="str">
            <v>A</v>
          </cell>
          <cell r="H1082">
            <v>44621</v>
          </cell>
        </row>
        <row r="1083">
          <cell r="B1083" t="str">
            <v>Aslanov Rüstəm Ramazan</v>
          </cell>
          <cell r="C1083" t="str">
            <v>Xidmət keyfiyyətinin idarə edilməsi departamenti</v>
          </cell>
          <cell r="D1083" t="str">
            <v>Xidmət strukturları ilə iş şöbəsi</v>
          </cell>
          <cell r="E1083" t="str">
            <v>#</v>
          </cell>
          <cell r="F1083" t="str">
            <v>Aparıcı mütəxəssis</v>
          </cell>
          <cell r="G1083" t="str">
            <v>A</v>
          </cell>
          <cell r="H1083">
            <v>43931</v>
          </cell>
        </row>
        <row r="1084">
          <cell r="B1084" t="str">
            <v>Abbaslı Könül Nizami</v>
          </cell>
          <cell r="C1084" t="str">
            <v>Xidmət keyfiyyətinin idarə edilməsi departamenti</v>
          </cell>
          <cell r="D1084" t="str">
            <v>Xidmət strukturları ilə iş şöbəsi</v>
          </cell>
          <cell r="E1084" t="str">
            <v>#</v>
          </cell>
          <cell r="F1084" t="str">
            <v>Aparıcı mütəxəssis</v>
          </cell>
          <cell r="G1084" t="str">
            <v>A</v>
          </cell>
          <cell r="H1084">
            <v>43811</v>
          </cell>
        </row>
        <row r="1085">
          <cell r="B1085" t="str">
            <v>Rüstəmova Yaqubə İlqar</v>
          </cell>
          <cell r="C1085" t="str">
            <v>Xidmət keyfiyyətinin idarə edilməsi departamenti</v>
          </cell>
          <cell r="D1085" t="str">
            <v>Xidmət strukturları ilə iş şöbəsi</v>
          </cell>
          <cell r="E1085" t="str">
            <v>#</v>
          </cell>
          <cell r="F1085" t="str">
            <v>Aparıcı mütəxəssis</v>
          </cell>
          <cell r="G1085" t="str">
            <v>A</v>
          </cell>
          <cell r="H1085">
            <v>42745</v>
          </cell>
        </row>
        <row r="1086">
          <cell r="B1086" t="str">
            <v>Hacıyeva Nərmin Tehran</v>
          </cell>
          <cell r="C1086" t="str">
            <v>Xidmət keyfiyyətinin idarə edilməsi departamenti</v>
          </cell>
          <cell r="D1086" t="str">
            <v>Xidmət strukturları ilə iş şöbəsi</v>
          </cell>
          <cell r="E1086" t="str">
            <v>#</v>
          </cell>
          <cell r="F1086" t="str">
            <v>Aparıcı mütəxəssis</v>
          </cell>
          <cell r="G1086" t="str">
            <v>A</v>
          </cell>
          <cell r="H1086">
            <v>44840</v>
          </cell>
        </row>
        <row r="1087">
          <cell r="B1087" t="str">
            <v>Məmmədova Nərmin Mürvətağa</v>
          </cell>
          <cell r="C1087" t="str">
            <v>Xidmət keyfiyyətinin idarə edilməsi departamenti</v>
          </cell>
          <cell r="D1087" t="str">
            <v>Xidmət strukturları ilə iş şöbəsi</v>
          </cell>
          <cell r="E1087" t="str">
            <v>#</v>
          </cell>
          <cell r="F1087" t="str">
            <v>Baş mütəxəssis</v>
          </cell>
          <cell r="G1087" t="str">
            <v>A</v>
          </cell>
          <cell r="H1087">
            <v>43710</v>
          </cell>
        </row>
        <row r="1088">
          <cell r="B1088" t="str">
            <v>Həsənov Abasağa Paşa</v>
          </cell>
          <cell r="C1088" t="str">
            <v>Xidmət keyfiyyətinin idarə edilməsi departamenti</v>
          </cell>
          <cell r="D1088" t="str">
            <v>Xidmət strukturları ilə iş şöbəsi</v>
          </cell>
          <cell r="E1088" t="str">
            <v>#</v>
          </cell>
          <cell r="F1088" t="str">
            <v>Aparıcı mütəxəssis</v>
          </cell>
          <cell r="G1088" t="str">
            <v>A</v>
          </cell>
          <cell r="H1088">
            <v>44950</v>
          </cell>
        </row>
        <row r="1089">
          <cell r="B1089" t="str">
            <v>Musazadə Sevinc İlqar</v>
          </cell>
          <cell r="C1089" t="str">
            <v>Xidmət keyfiyyətinin idarə edilməsi departamenti</v>
          </cell>
          <cell r="D1089" t="str">
            <v>Xidmət strukturları ilə iş şöbəsi</v>
          </cell>
          <cell r="E1089" t="str">
            <v>#</v>
          </cell>
          <cell r="F1089" t="str">
            <v>Aparıcı mütəxəssis</v>
          </cell>
          <cell r="G1089" t="str">
            <v>A</v>
          </cell>
          <cell r="H1089">
            <v>44357</v>
          </cell>
        </row>
        <row r="1090">
          <cell r="B1090" t="str">
            <v>Muradova Solmaz Farik</v>
          </cell>
          <cell r="C1090" t="str">
            <v>Xidmət keyfiyyətinin idarə edilməsi departamenti</v>
          </cell>
          <cell r="D1090" t="str">
            <v>Xidmət strukturları ilə iş şöbəsi</v>
          </cell>
          <cell r="E1090" t="str">
            <v>#</v>
          </cell>
          <cell r="F1090" t="str">
            <v>Mütəxəssis</v>
          </cell>
          <cell r="G1090" t="str">
            <v>A</v>
          </cell>
          <cell r="H1090">
            <v>43455</v>
          </cell>
        </row>
        <row r="1091">
          <cell r="B1091" t="str">
            <v>Hacımirzəyev İlham Hamlet</v>
          </cell>
          <cell r="C1091" t="str">
            <v>Xidmət keyfiyyətinin idarə edilməsi departamenti</v>
          </cell>
          <cell r="D1091" t="str">
            <v>Xidmət strukturları ilə iş şöbəsi</v>
          </cell>
          <cell r="E1091" t="str">
            <v>#</v>
          </cell>
          <cell r="F1091" t="str">
            <v>Aparıcı mütəxəssis</v>
          </cell>
          <cell r="G1091" t="str">
            <v>A</v>
          </cell>
          <cell r="H1091">
            <v>44631</v>
          </cell>
        </row>
        <row r="1092">
          <cell r="B1092" t="str">
            <v>Abbasova Məleykə Mehman</v>
          </cell>
          <cell r="C1092" t="str">
            <v>Xidmət keyfiyyətinin idarə edilməsi departamenti</v>
          </cell>
          <cell r="D1092" t="str">
            <v>Xidmət strukturları ilə iş şöbəsi</v>
          </cell>
          <cell r="E1092" t="str">
            <v>#</v>
          </cell>
          <cell r="F1092" t="str">
            <v>Mütəxəssis</v>
          </cell>
          <cell r="G1092" t="str">
            <v>A</v>
          </cell>
          <cell r="H1092">
            <v>45096</v>
          </cell>
        </row>
        <row r="1093">
          <cell r="B1093" t="str">
            <v>Mahmudzadə Dürnisə Rövşən</v>
          </cell>
          <cell r="C1093" t="str">
            <v>Xidmət keyfiyyətinin idarə edilməsi departamenti</v>
          </cell>
          <cell r="D1093" t="str">
            <v>Xidmət strukturları ilə iş şöbəsi</v>
          </cell>
          <cell r="E1093" t="str">
            <v>#</v>
          </cell>
          <cell r="F1093" t="str">
            <v>Mütəxəssis</v>
          </cell>
          <cell r="G1093" t="str">
            <v>A</v>
          </cell>
          <cell r="H1093">
            <v>44460</v>
          </cell>
        </row>
        <row r="1094">
          <cell r="B1094" t="str">
            <v>Nağıyev Məhəmməd Osman</v>
          </cell>
          <cell r="C1094" t="str">
            <v>Xidmət keyfiyyətinin idarə edilməsi departamenti</v>
          </cell>
          <cell r="D1094" t="str">
            <v>Müştəri məmnuniyyəti şöbəsi</v>
          </cell>
          <cell r="E1094" t="str">
            <v>#</v>
          </cell>
          <cell r="F1094" t="str">
            <v>Şöbə müdiri</v>
          </cell>
          <cell r="G1094" t="str">
            <v>A</v>
          </cell>
          <cell r="H1094">
            <v>44034</v>
          </cell>
        </row>
        <row r="1095">
          <cell r="B1095" t="str">
            <v>Sultanov Ülfət Fikrət</v>
          </cell>
          <cell r="C1095" t="str">
            <v>Xidmət keyfiyyətinin idarə edilməsi departamenti</v>
          </cell>
          <cell r="D1095" t="str">
            <v>Müştəri məmnuniyyəti şöbəsi</v>
          </cell>
          <cell r="E1095" t="str">
            <v>#</v>
          </cell>
          <cell r="F1095" t="str">
            <v>Menecer</v>
          </cell>
          <cell r="G1095" t="str">
            <v>A</v>
          </cell>
          <cell r="H1095">
            <v>45201</v>
          </cell>
        </row>
        <row r="1096">
          <cell r="B1096" t="str">
            <v>İbrahimli Aydan Əbülfət</v>
          </cell>
          <cell r="C1096" t="str">
            <v>Xidmət keyfiyyətinin idarə edilməsi departamenti</v>
          </cell>
          <cell r="D1096" t="str">
            <v>Müştəri məmnuniyyəti şöbəsi</v>
          </cell>
          <cell r="E1096" t="str">
            <v>#</v>
          </cell>
          <cell r="F1096" t="str">
            <v>Baş mütəxəssis</v>
          </cell>
          <cell r="G1096" t="str">
            <v>SM</v>
          </cell>
          <cell r="H1096">
            <v>42101</v>
          </cell>
        </row>
        <row r="1097">
          <cell r="B1097" t="str">
            <v>Adıgözəlov Rüfət İntiqam</v>
          </cell>
          <cell r="C1097" t="str">
            <v>Xidmət keyfiyyətinin idarə edilməsi departamenti</v>
          </cell>
          <cell r="D1097" t="str">
            <v>Müştəri məmnuniyyəti şöbəsi</v>
          </cell>
          <cell r="E1097" t="str">
            <v>#</v>
          </cell>
          <cell r="F1097" t="str">
            <v>Mütəxəssis (müvəqqəti)</v>
          </cell>
          <cell r="G1097" t="str">
            <v>A</v>
          </cell>
          <cell r="H1097">
            <v>44791</v>
          </cell>
        </row>
        <row r="1098">
          <cell r="B1098" t="str">
            <v>İlyasov Məhəmməd Ramiz</v>
          </cell>
          <cell r="C1098" t="str">
            <v>Xidmət keyfiyyətinin idarə edilməsi departamenti</v>
          </cell>
          <cell r="D1098" t="str">
            <v>Müştəri məmnuniyyəti şöbəsi</v>
          </cell>
          <cell r="E1098" t="str">
            <v>#</v>
          </cell>
          <cell r="F1098" t="str">
            <v>Qrup rəhbəri</v>
          </cell>
          <cell r="G1098" t="str">
            <v>A</v>
          </cell>
          <cell r="H1098">
            <v>43551</v>
          </cell>
        </row>
        <row r="1099">
          <cell r="B1099" t="str">
            <v>Qarayeva Aynur Alı</v>
          </cell>
          <cell r="C1099" t="str">
            <v>Xidmət keyfiyyətinin idarə edilməsi departamenti</v>
          </cell>
          <cell r="D1099" t="str">
            <v>Müştəri məmnuniyyəti şöbəsi</v>
          </cell>
          <cell r="E1099" t="str">
            <v>#</v>
          </cell>
          <cell r="F1099" t="str">
            <v>Baş mütəxəssis</v>
          </cell>
          <cell r="G1099" t="str">
            <v>SM</v>
          </cell>
          <cell r="H1099">
            <v>43844</v>
          </cell>
        </row>
        <row r="1100">
          <cell r="B1100" t="str">
            <v>Şirinova Böyükxanım Nazim</v>
          </cell>
          <cell r="C1100" t="str">
            <v>Xidmət keyfiyyətinin idarə edilməsi departamenti</v>
          </cell>
          <cell r="D1100" t="str">
            <v>Müştəri məmnuniyyəti şöbəsi</v>
          </cell>
          <cell r="E1100" t="str">
            <v>#</v>
          </cell>
          <cell r="F1100" t="str">
            <v>Aparıcı mütəxəssis</v>
          </cell>
          <cell r="G1100" t="str">
            <v>A</v>
          </cell>
          <cell r="H1100">
            <v>41148</v>
          </cell>
        </row>
        <row r="1101">
          <cell r="B1101" t="str">
            <v>Muxtarova Rəfiqə Faiq</v>
          </cell>
          <cell r="C1101" t="str">
            <v>Xidmət keyfiyyətinin idarə edilməsi departamenti</v>
          </cell>
          <cell r="D1101" t="str">
            <v>Müştəri məmnuniyyəti şöbəsi</v>
          </cell>
          <cell r="E1101" t="str">
            <v>#</v>
          </cell>
          <cell r="F1101" t="str">
            <v>Aparıcı mütəxəssis</v>
          </cell>
          <cell r="G1101" t="str">
            <v>A</v>
          </cell>
          <cell r="H1101">
            <v>43090</v>
          </cell>
        </row>
        <row r="1102">
          <cell r="B1102" t="str">
            <v>Hidayətzadə Aysel Adil</v>
          </cell>
          <cell r="C1102" t="str">
            <v>Xidmət keyfiyyətinin idarə edilməsi departamenti</v>
          </cell>
          <cell r="D1102" t="str">
            <v>Müştəri məmnuniyyəti şöbəsi</v>
          </cell>
          <cell r="E1102" t="str">
            <v>#</v>
          </cell>
          <cell r="F1102" t="str">
            <v>Aparıcı mütəxəssis</v>
          </cell>
          <cell r="G1102" t="str">
            <v>A</v>
          </cell>
          <cell r="H1102">
            <v>42653</v>
          </cell>
        </row>
        <row r="1103">
          <cell r="B1103" t="str">
            <v>Əkbərova Nazəndə Namiq</v>
          </cell>
          <cell r="C1103" t="str">
            <v>Xidmət keyfiyyətinin idarə edilməsi departamenti</v>
          </cell>
          <cell r="D1103" t="str">
            <v>Müştəri məmnuniyyəti şöbəsi</v>
          </cell>
          <cell r="E1103" t="str">
            <v>#</v>
          </cell>
          <cell r="F1103" t="str">
            <v>Aparıcı mütəxəssis</v>
          </cell>
          <cell r="G1103" t="str">
            <v>SM</v>
          </cell>
          <cell r="H1103">
            <v>43538</v>
          </cell>
        </row>
        <row r="1104">
          <cell r="B1104" t="str">
            <v>Şahməmmədov Haldun Etibar</v>
          </cell>
          <cell r="C1104" t="str">
            <v>Xidmət keyfiyyətinin idarə edilməsi departamenti</v>
          </cell>
          <cell r="D1104" t="str">
            <v>Müştəri məmnuniyyəti şöbəsi</v>
          </cell>
          <cell r="E1104" t="str">
            <v>#</v>
          </cell>
          <cell r="F1104" t="str">
            <v>Mütəxəssis (müvəqqəti)</v>
          </cell>
          <cell r="G1104" t="str">
            <v>A</v>
          </cell>
          <cell r="H1104">
            <v>45547</v>
          </cell>
        </row>
        <row r="1105">
          <cell r="B1105" t="str">
            <v>İsmayılov Araz Murad</v>
          </cell>
          <cell r="C1105" t="str">
            <v>Xidmət keyfiyyətinin idarə edilməsi departamenti</v>
          </cell>
          <cell r="D1105" t="str">
            <v>Müştəri məmnuniyyəti şöbəsi</v>
          </cell>
          <cell r="E1105" t="str">
            <v>#</v>
          </cell>
          <cell r="F1105" t="str">
            <v>Aparıcı mütəxəssis</v>
          </cell>
          <cell r="G1105" t="str">
            <v>A</v>
          </cell>
          <cell r="H1105">
            <v>43864</v>
          </cell>
        </row>
        <row r="1106">
          <cell r="B1106" t="str">
            <v>Dəmirova Ləman İlham</v>
          </cell>
          <cell r="C1106" t="str">
            <v>Xidmət keyfiyyətinin idarə edilməsi departamenti</v>
          </cell>
          <cell r="D1106" t="str">
            <v>Müştəri məmnuniyyəti şöbəsi</v>
          </cell>
          <cell r="E1106" t="str">
            <v>#</v>
          </cell>
          <cell r="F1106" t="str">
            <v>Aparıcı mütəxəssis</v>
          </cell>
          <cell r="G1106" t="str">
            <v>SM</v>
          </cell>
          <cell r="H1106">
            <v>43747</v>
          </cell>
        </row>
        <row r="1107">
          <cell r="B1107" t="str">
            <v>Yəhyayev Ramin Kitabulla</v>
          </cell>
          <cell r="C1107" t="str">
            <v>Xidmət keyfiyyətinin idarə edilməsi departamenti</v>
          </cell>
          <cell r="D1107" t="str">
            <v>Müştəri məmnuniyyəti şöbəsi</v>
          </cell>
          <cell r="E1107" t="str">
            <v>#</v>
          </cell>
          <cell r="F1107" t="str">
            <v>Baş mütəxəssis</v>
          </cell>
          <cell r="G1107" t="str">
            <v>A</v>
          </cell>
          <cell r="H1107">
            <v>43885</v>
          </cell>
        </row>
        <row r="1108">
          <cell r="B1108" t="str">
            <v>Şahmirzəyeva Nərmin Aydın</v>
          </cell>
          <cell r="C1108" t="str">
            <v>Xidmət keyfiyyətinin idarə edilməsi departamenti</v>
          </cell>
          <cell r="D1108" t="str">
            <v>Müştəri məmnuniyyəti şöbəsi</v>
          </cell>
          <cell r="E1108" t="str">
            <v>#</v>
          </cell>
          <cell r="F1108" t="str">
            <v>Aparıcı mütəxəssis</v>
          </cell>
          <cell r="G1108" t="str">
            <v>SM</v>
          </cell>
          <cell r="H1108">
            <v>43672</v>
          </cell>
        </row>
        <row r="1109">
          <cell r="B1109" t="str">
            <v>Aslanov Murad Hikmət</v>
          </cell>
          <cell r="C1109" t="str">
            <v>Xidmət keyfiyyətinin idarə edilməsi departamenti</v>
          </cell>
          <cell r="D1109" t="str">
            <v>Müştəri məmnuniyyəti şöbəsi</v>
          </cell>
          <cell r="E1109" t="str">
            <v>#</v>
          </cell>
          <cell r="F1109" t="str">
            <v>Mütəxəssis (müvəqqəti)</v>
          </cell>
          <cell r="G1109" t="str">
            <v>A</v>
          </cell>
          <cell r="H1109">
            <v>45568</v>
          </cell>
        </row>
        <row r="1110">
          <cell r="B1110" t="str">
            <v>İsmayılzadə Nəzrin İsmayıl</v>
          </cell>
          <cell r="C1110" t="str">
            <v>Xidmət keyfiyyətinin idarə edilməsi departamenti</v>
          </cell>
          <cell r="D1110" t="str">
            <v>Müştəri məmnuniyyəti şöbəsi</v>
          </cell>
          <cell r="E1110" t="str">
            <v>#</v>
          </cell>
          <cell r="F1110" t="str">
            <v>Aparıcı mütəxəssis</v>
          </cell>
          <cell r="G1110" t="str">
            <v>A</v>
          </cell>
          <cell r="H1110">
            <v>43790</v>
          </cell>
        </row>
        <row r="1111">
          <cell r="B1111" t="str">
            <v>Qəribova Roza Asəf</v>
          </cell>
          <cell r="C1111" t="str">
            <v>Xidmət keyfiyyətinin idarə edilməsi departamenti</v>
          </cell>
          <cell r="D1111" t="str">
            <v>Müştəri məmnuniyyəti şöbəsi</v>
          </cell>
          <cell r="E1111" t="str">
            <v>#</v>
          </cell>
          <cell r="F1111" t="str">
            <v>Aparıcı mütəxəssis</v>
          </cell>
          <cell r="G1111" t="str">
            <v>A</v>
          </cell>
          <cell r="H1111">
            <v>44596</v>
          </cell>
        </row>
        <row r="1112">
          <cell r="B1112" t="str">
            <v>Muradova Nərmin Asif</v>
          </cell>
          <cell r="C1112" t="str">
            <v>Xidmət keyfiyyətinin idarə edilməsi departamenti</v>
          </cell>
          <cell r="D1112" t="str">
            <v>Müştəri məmnuniyyəti şöbəsi</v>
          </cell>
          <cell r="E1112" t="str">
            <v>#</v>
          </cell>
          <cell r="F1112" t="str">
            <v>Aparıcı mütəxəssis</v>
          </cell>
          <cell r="G1112" t="str">
            <v>HX</v>
          </cell>
          <cell r="H1112">
            <v>43199</v>
          </cell>
        </row>
        <row r="1113">
          <cell r="B1113" t="str">
            <v>Məmmədov Məmməd Ceyhun</v>
          </cell>
          <cell r="C1113" t="str">
            <v>Xidmət keyfiyyətinin idarə edilməsi departamenti</v>
          </cell>
          <cell r="D1113" t="str">
            <v>Müştəri məmnuniyyəti şöbəsi</v>
          </cell>
          <cell r="E1113" t="str">
            <v>#</v>
          </cell>
          <cell r="F1113" t="str">
            <v>Mütəxəssis (müvəqqəti)</v>
          </cell>
          <cell r="G1113" t="str">
            <v>A</v>
          </cell>
          <cell r="H1113">
            <v>46241</v>
          </cell>
        </row>
        <row r="1114">
          <cell r="B1114" t="str">
            <v>Əsədzadə Nərgiz Elçin</v>
          </cell>
          <cell r="C1114" t="str">
            <v>Xidmət keyfiyyətinin idarə edilməsi departamenti</v>
          </cell>
          <cell r="D1114" t="str">
            <v>Müştəri məmnuniyyəti şöbəsi</v>
          </cell>
          <cell r="E1114" t="str">
            <v>#</v>
          </cell>
          <cell r="F1114" t="str">
            <v>Aparıcı mütəxəssis</v>
          </cell>
          <cell r="G1114" t="str">
            <v>A</v>
          </cell>
          <cell r="H1114">
            <v>44160</v>
          </cell>
        </row>
        <row r="1115">
          <cell r="B1115" t="str">
            <v>Pənahov Emin Səbuhi</v>
          </cell>
          <cell r="C1115" t="str">
            <v>Xidmət keyfiyyətinin idarə edilməsi departamenti</v>
          </cell>
          <cell r="D1115" t="str">
            <v>Müştəri məmnuniyyəti şöbəsi</v>
          </cell>
          <cell r="E1115" t="str">
            <v>#</v>
          </cell>
          <cell r="F1115" t="str">
            <v>Aparıcı mütəxəssis</v>
          </cell>
          <cell r="G1115" t="str">
            <v>A</v>
          </cell>
          <cell r="H1115">
            <v>43851</v>
          </cell>
        </row>
        <row r="1116">
          <cell r="B1116" t="str">
            <v>Abdullayeva Nəzrin Rahim</v>
          </cell>
          <cell r="C1116" t="str">
            <v>Xidmət keyfiyyətinin idarə edilməsi departamenti</v>
          </cell>
          <cell r="D1116" t="str">
            <v>Müştəri məmnuniyyəti şöbəsi</v>
          </cell>
          <cell r="E1116" t="str">
            <v>#</v>
          </cell>
          <cell r="F1116" t="str">
            <v>Mütəxəssis</v>
          </cell>
          <cell r="G1116" t="str">
            <v>A</v>
          </cell>
          <cell r="H1116">
            <v>44228</v>
          </cell>
        </row>
        <row r="1117">
          <cell r="B1117" t="str">
            <v>Bakiyeva Lamiə Kinyas</v>
          </cell>
          <cell r="C1117" t="str">
            <v>Xidmət keyfiyyətinin idarə edilməsi departamenti</v>
          </cell>
          <cell r="D1117" t="str">
            <v>Müştəri məmnuniyyəti şöbəsi</v>
          </cell>
          <cell r="E1117" t="str">
            <v>#</v>
          </cell>
          <cell r="F1117" t="str">
            <v>Aparıcı mütəxəssis</v>
          </cell>
          <cell r="G1117" t="str">
            <v>SM</v>
          </cell>
          <cell r="H1117">
            <v>44551</v>
          </cell>
        </row>
        <row r="1118">
          <cell r="B1118" t="str">
            <v>Alyasova Brilyant Malik</v>
          </cell>
          <cell r="C1118" t="str">
            <v>Xidmət keyfiyyətinin idarə edilməsi departamenti</v>
          </cell>
          <cell r="D1118" t="str">
            <v>Müştəri məmnuniyyəti şöbəsi</v>
          </cell>
          <cell r="E1118" t="str">
            <v>#</v>
          </cell>
          <cell r="F1118" t="str">
            <v>Mütəxəssis</v>
          </cell>
          <cell r="G1118" t="str">
            <v>SM</v>
          </cell>
          <cell r="H1118">
            <v>43122</v>
          </cell>
        </row>
        <row r="1119">
          <cell r="B1119" t="str">
            <v>Rəhimli İslam Kamran</v>
          </cell>
          <cell r="C1119" t="str">
            <v>Xidmət keyfiyyətinin idarə edilməsi departamenti</v>
          </cell>
          <cell r="D1119" t="str">
            <v>Müştəri məmnuniyyəti şöbəsi</v>
          </cell>
          <cell r="E1119" t="str">
            <v>#</v>
          </cell>
          <cell r="F1119" t="str">
            <v>Mütəxəssis (müvəqqəti)</v>
          </cell>
          <cell r="G1119" t="str">
            <v>A</v>
          </cell>
          <cell r="H1119">
            <v>45600</v>
          </cell>
        </row>
        <row r="1120">
          <cell r="B1120" t="str">
            <v>Hüseynzadə Elmir Elvin</v>
          </cell>
          <cell r="C1120" t="str">
            <v>Xidmət keyfiyyətinin idarə edilməsi departamenti</v>
          </cell>
          <cell r="D1120" t="str">
            <v>Müştəri məmnuniyyəti şöbəsi</v>
          </cell>
          <cell r="E1120" t="str">
            <v>#</v>
          </cell>
          <cell r="F1120" t="str">
            <v>Aparıcı mütəxəssis</v>
          </cell>
          <cell r="G1120" t="str">
            <v>A</v>
          </cell>
          <cell r="H1120">
            <v>45097</v>
          </cell>
        </row>
        <row r="1121">
          <cell r="B1121" t="str">
            <v>Əsədzadə Gülüzar Samil</v>
          </cell>
          <cell r="C1121" t="str">
            <v>Xidmət keyfiyyətinin idarə edilməsi departamenti</v>
          </cell>
          <cell r="D1121" t="str">
            <v>Müştəri məmnuniyyəti şöbəsi</v>
          </cell>
          <cell r="E1121" t="str">
            <v>#</v>
          </cell>
          <cell r="F1121" t="str">
            <v>Aparıcı mütəxəssis</v>
          </cell>
          <cell r="G1121" t="str">
            <v>A</v>
          </cell>
          <cell r="H1121">
            <v>44463</v>
          </cell>
        </row>
        <row r="1122">
          <cell r="B1122" t="str">
            <v>Qocayeva Nigar İlqar</v>
          </cell>
          <cell r="C1122" t="str">
            <v>Xidmət keyfiyyətinin idarə edilməsi departamenti</v>
          </cell>
          <cell r="D1122" t="str">
            <v>Müştəri məmnuniyyəti şöbəsi</v>
          </cell>
          <cell r="E1122" t="str">
            <v>#</v>
          </cell>
          <cell r="F1122" t="str">
            <v>Mütəxəssis</v>
          </cell>
          <cell r="G1122" t="str">
            <v>A</v>
          </cell>
          <cell r="H1122">
            <v>44901</v>
          </cell>
        </row>
        <row r="1123">
          <cell r="B1123" t="str">
            <v>Hüseynov Cavid Səyyar</v>
          </cell>
          <cell r="C1123" t="str">
            <v>Xidmət keyfiyyətinin idarə edilməsi departamenti</v>
          </cell>
          <cell r="D1123" t="str">
            <v>Müştəri məmnuniyyəti şöbəsi</v>
          </cell>
          <cell r="E1123" t="str">
            <v>#</v>
          </cell>
          <cell r="F1123" t="str">
            <v>Mütəxəssis</v>
          </cell>
          <cell r="G1123" t="str">
            <v>A</v>
          </cell>
          <cell r="H1123">
            <v>45000</v>
          </cell>
        </row>
        <row r="1124">
          <cell r="B1124" t="str">
            <v>Əhmədova Aynur Ədalət</v>
          </cell>
          <cell r="C1124" t="str">
            <v>Xidmət keyfiyyətinin idarə edilməsi departamenti</v>
          </cell>
          <cell r="D1124" t="str">
            <v>Müştəri məmnuniyyəti şöbəsi</v>
          </cell>
          <cell r="E1124" t="str">
            <v>#</v>
          </cell>
          <cell r="F1124" t="str">
            <v>Aparıcı mütəxəssis</v>
          </cell>
          <cell r="G1124" t="str">
            <v>A</v>
          </cell>
          <cell r="H1124">
            <v>43074</v>
          </cell>
        </row>
        <row r="1125">
          <cell r="B1125" t="str">
            <v>Məmmədova Aytac Cahangir</v>
          </cell>
          <cell r="C1125" t="str">
            <v>Xidmət keyfiyyətinin idarə edilməsi departamenti</v>
          </cell>
          <cell r="D1125" t="str">
            <v>Müştəri məmnuniyyəti şöbəsi</v>
          </cell>
          <cell r="E1125" t="str">
            <v>#</v>
          </cell>
          <cell r="F1125" t="str">
            <v>Mütəxəssis</v>
          </cell>
          <cell r="G1125" t="str">
            <v>A</v>
          </cell>
          <cell r="H1125">
            <v>45021</v>
          </cell>
        </row>
        <row r="1126">
          <cell r="B1126" t="str">
            <v>Əliyev Rəcəb Ədalət</v>
          </cell>
          <cell r="C1126" t="str">
            <v>Xidmət keyfiyyətinin idarə edilməsi departamenti</v>
          </cell>
          <cell r="D1126" t="str">
            <v>Müştəri məmnuniyyəti şöbəsi</v>
          </cell>
          <cell r="E1126" t="str">
            <v>#</v>
          </cell>
          <cell r="F1126" t="str">
            <v>Mütəxəssis</v>
          </cell>
          <cell r="G1126" t="str">
            <v>A</v>
          </cell>
          <cell r="H1126">
            <v>45539</v>
          </cell>
        </row>
        <row r="1127">
          <cell r="B1127" t="str">
            <v>Hüseynova Aytac Mahir</v>
          </cell>
          <cell r="C1127" t="str">
            <v>Xidmət keyfiyyətinin idarə edilməsi departamenti</v>
          </cell>
          <cell r="D1127" t="str">
            <v>Müştəri məmnuniyyəti şöbəsi</v>
          </cell>
          <cell r="E1127" t="str">
            <v>#</v>
          </cell>
          <cell r="F1127" t="str">
            <v>Mütəxəssis</v>
          </cell>
          <cell r="G1127" t="str">
            <v>A</v>
          </cell>
          <cell r="H1127">
            <v>44902</v>
          </cell>
        </row>
        <row r="1128">
          <cell r="B1128" t="str">
            <v>Məcidov Ülvi Oqtay</v>
          </cell>
          <cell r="C1128" t="str">
            <v>Xidmət keyfiyyətinin idarə edilməsi departamenti</v>
          </cell>
          <cell r="D1128" t="str">
            <v>Müştəri məmnuniyyəti şöbəsi</v>
          </cell>
          <cell r="E1128" t="str">
            <v>#</v>
          </cell>
          <cell r="F1128" t="str">
            <v>Aparıcı mütəxəssis</v>
          </cell>
          <cell r="G1128" t="str">
            <v>A</v>
          </cell>
          <cell r="H1128">
            <v>45026</v>
          </cell>
        </row>
        <row r="1129">
          <cell r="B1129" t="str">
            <v>Köçəriyev Rabil İlham</v>
          </cell>
          <cell r="C1129" t="str">
            <v>Xidmət keyfiyyətinin idarə edilməsi departamenti</v>
          </cell>
          <cell r="D1129" t="str">
            <v>Müştəri məmnuniyyəti şöbəsi</v>
          </cell>
          <cell r="E1129" t="str">
            <v>#</v>
          </cell>
          <cell r="F1129" t="str">
            <v>Aparıcı mütəxəssis</v>
          </cell>
          <cell r="G1129" t="str">
            <v>A</v>
          </cell>
          <cell r="H1129">
            <v>44749</v>
          </cell>
        </row>
        <row r="1130">
          <cell r="B1130" t="str">
            <v>Atayeva Rəfiqə Ələddin</v>
          </cell>
          <cell r="C1130" t="str">
            <v>Xidmət keyfiyyətinin idarə edilməsi departamenti</v>
          </cell>
          <cell r="D1130" t="str">
            <v>Müştəri məmnuniyyəti şöbəsi</v>
          </cell>
          <cell r="E1130" t="str">
            <v>#</v>
          </cell>
          <cell r="F1130" t="str">
            <v>Mütəxəssis</v>
          </cell>
          <cell r="G1130" t="str">
            <v>SM</v>
          </cell>
          <cell r="H1130">
            <v>43671</v>
          </cell>
        </row>
        <row r="1131">
          <cell r="B1131" t="str">
            <v>Hacıyeva Aysu Elsevər</v>
          </cell>
          <cell r="C1131" t="str">
            <v>Xidmət keyfiyyətinin idarə edilməsi departamenti</v>
          </cell>
          <cell r="D1131" t="str">
            <v>Müştəri məmnuniyyəti şöbəsi</v>
          </cell>
          <cell r="E1131" t="str">
            <v>#</v>
          </cell>
          <cell r="F1131" t="str">
            <v>Mütəxəssis</v>
          </cell>
          <cell r="G1131" t="str">
            <v>A</v>
          </cell>
          <cell r="H1131">
            <v>43712</v>
          </cell>
        </row>
        <row r="1132">
          <cell r="B1132" t="str">
            <v>Bəkirli Sərxan İsmət</v>
          </cell>
          <cell r="C1132" t="str">
            <v>Xidmət keyfiyyətinin idarə edilməsi departamenti</v>
          </cell>
          <cell r="D1132" t="str">
            <v>Müştəri məmnuniyyəti şöbəsi</v>
          </cell>
          <cell r="E1132" t="str">
            <v>#</v>
          </cell>
          <cell r="F1132" t="str">
            <v>Aparıcı mütəxəssis</v>
          </cell>
          <cell r="G1132" t="str">
            <v>A</v>
          </cell>
          <cell r="H1132">
            <v>44700</v>
          </cell>
        </row>
        <row r="1133">
          <cell r="B1133" t="str">
            <v>Məmmədzadə Ruslan Şirəli</v>
          </cell>
          <cell r="C1133" t="str">
            <v>Xidmət keyfiyyətinin idarə edilməsi departamenti</v>
          </cell>
          <cell r="D1133" t="str">
            <v>Müştəri məmnuniyyəti şöbəsi</v>
          </cell>
          <cell r="E1133" t="str">
            <v>#</v>
          </cell>
          <cell r="F1133" t="str">
            <v>Aparıcı mütəxəssis</v>
          </cell>
          <cell r="G1133" t="str">
            <v>A</v>
          </cell>
          <cell r="H1133">
            <v>44666</v>
          </cell>
        </row>
        <row r="1134">
          <cell r="B1134" t="str">
            <v>Həsənova Ülkər Məmmədağa</v>
          </cell>
          <cell r="C1134" t="str">
            <v>Xidmət keyfiyyətinin idarə edilməsi departamenti</v>
          </cell>
          <cell r="D1134" t="str">
            <v>Müştəri məmnuniyyəti şöbəsi</v>
          </cell>
          <cell r="E1134" t="str">
            <v>#</v>
          </cell>
          <cell r="F1134" t="str">
            <v>Mütəxəssis</v>
          </cell>
          <cell r="G1134" t="str">
            <v>A</v>
          </cell>
          <cell r="H1134">
            <v>44160</v>
          </cell>
        </row>
        <row r="1135">
          <cell r="B1135" t="str">
            <v>İbrahimov Amir Gündüz</v>
          </cell>
          <cell r="C1135" t="str">
            <v>Xidmət keyfiyyətinin idarə edilməsi departamenti</v>
          </cell>
          <cell r="D1135" t="str">
            <v>Müştəri məmnuniyyəti şöbəsi</v>
          </cell>
          <cell r="E1135" t="str">
            <v>#</v>
          </cell>
          <cell r="F1135" t="str">
            <v>Aparıcı mütəxəssis</v>
          </cell>
          <cell r="G1135" t="str">
            <v>A</v>
          </cell>
          <cell r="H1135">
            <v>43847</v>
          </cell>
        </row>
        <row r="1136">
          <cell r="B1136" t="str">
            <v>Əmirova Almaz Tahir</v>
          </cell>
          <cell r="C1136" t="str">
            <v>Xidmət keyfiyyətinin idarə edilməsi departamenti</v>
          </cell>
          <cell r="D1136" t="str">
            <v>Müştəri məmnuniyyəti şöbəsi</v>
          </cell>
          <cell r="E1136" t="str">
            <v>#</v>
          </cell>
          <cell r="F1136" t="str">
            <v>Aparıcı mütəxəssis</v>
          </cell>
          <cell r="G1136" t="str">
            <v>A</v>
          </cell>
          <cell r="H1136">
            <v>43867</v>
          </cell>
        </row>
        <row r="1137">
          <cell r="B1137" t="str">
            <v>Məhəmmədli Cavid Vüqar</v>
          </cell>
          <cell r="C1137" t="str">
            <v>Xidmət keyfiyyətinin idarə edilməsi departamenti</v>
          </cell>
          <cell r="D1137" t="str">
            <v>Müştəri məmnuniyyəti şöbəsi</v>
          </cell>
          <cell r="E1137" t="str">
            <v>#</v>
          </cell>
          <cell r="F1137" t="str">
            <v>Aparıcı mütəxəssis</v>
          </cell>
          <cell r="G1137" t="str">
            <v>A</v>
          </cell>
          <cell r="H1137">
            <v>44812</v>
          </cell>
        </row>
        <row r="1138">
          <cell r="B1138" t="str">
            <v>Məmmədova Elmira Xanlar</v>
          </cell>
          <cell r="C1138" t="str">
            <v>Xidmət keyfiyyətinin idarə edilməsi departamenti</v>
          </cell>
          <cell r="D1138" t="str">
            <v>Müştəri məmnuniyyəti şöbəsi</v>
          </cell>
          <cell r="E1138" t="str">
            <v>#</v>
          </cell>
          <cell r="F1138" t="str">
            <v>Mütəxəssis</v>
          </cell>
          <cell r="G1138" t="str">
            <v>SM</v>
          </cell>
          <cell r="H1138">
            <v>42933</v>
          </cell>
        </row>
        <row r="1139">
          <cell r="B1139" t="str">
            <v>İlyasova Zümrüd İlyas</v>
          </cell>
          <cell r="C1139" t="str">
            <v>Xidmət keyfiyyətinin idarə edilməsi departamenti</v>
          </cell>
          <cell r="D1139" t="str">
            <v>Müştəri məmnuniyyəti şöbəsi</v>
          </cell>
          <cell r="E1139" t="str">
            <v>#</v>
          </cell>
          <cell r="F1139" t="str">
            <v>Mütəxəssis (müvəqqəti)</v>
          </cell>
          <cell r="G1139" t="str">
            <v>A</v>
          </cell>
          <cell r="H1139">
            <v>45212</v>
          </cell>
        </row>
        <row r="1140">
          <cell r="B1140" t="str">
            <v>Ağaquliyeva Ülviyyə Vaqif</v>
          </cell>
          <cell r="C1140" t="str">
            <v>Xidmət keyfiyyətinin idarə edilməsi departamenti</v>
          </cell>
          <cell r="D1140" t="str">
            <v>Müştəri məmnuniyyəti şöbəsi</v>
          </cell>
          <cell r="E1140" t="str">
            <v>#</v>
          </cell>
          <cell r="F1140" t="str">
            <v>Aparıcı mütəxəssis</v>
          </cell>
          <cell r="G1140" t="str">
            <v>A</v>
          </cell>
          <cell r="H1140">
            <v>43732</v>
          </cell>
        </row>
        <row r="1141">
          <cell r="B1141" t="str">
            <v>Bəkirov Rövşən Taftıq</v>
          </cell>
          <cell r="C1141" t="str">
            <v>Xidmət keyfiyyətinin idarə edilməsi departamenti</v>
          </cell>
          <cell r="D1141" t="str">
            <v>Müştəri məmnuniyyəti şöbəsi</v>
          </cell>
          <cell r="E1141" t="str">
            <v>#</v>
          </cell>
          <cell r="F1141" t="str">
            <v>Mütəxəssis</v>
          </cell>
          <cell r="G1141" t="str">
            <v>A</v>
          </cell>
          <cell r="H1141">
            <v>43515</v>
          </cell>
        </row>
        <row r="1142">
          <cell r="B1142" t="str">
            <v>Babayev Rəhim Məzahim</v>
          </cell>
          <cell r="C1142" t="str">
            <v>Xidmət keyfiyyətinin idarə edilməsi departamenti</v>
          </cell>
          <cell r="D1142" t="str">
            <v>Müştəri müraciətlərinin araşdırılması şöbəsi</v>
          </cell>
          <cell r="E1142" t="str">
            <v>#</v>
          </cell>
          <cell r="F1142" t="str">
            <v>Menecer</v>
          </cell>
          <cell r="G1142" t="str">
            <v>A</v>
          </cell>
          <cell r="H1142">
            <v>45288</v>
          </cell>
        </row>
        <row r="1143">
          <cell r="B1143" t="str">
            <v>Kiçibəyov Fərid Fərhad</v>
          </cell>
          <cell r="C1143" t="str">
            <v>Xidmət keyfiyyətinin idarə edilməsi departamenti</v>
          </cell>
          <cell r="D1143" t="str">
            <v>Müştəri müraciətlərinin araşdırılması şöbəsi</v>
          </cell>
          <cell r="E1143" t="str">
            <v>#</v>
          </cell>
          <cell r="F1143" t="str">
            <v>Qrup rəhbəri</v>
          </cell>
          <cell r="G1143" t="str">
            <v>A</v>
          </cell>
          <cell r="H1143">
            <v>43875</v>
          </cell>
        </row>
        <row r="1144">
          <cell r="B1144" t="str">
            <v>Həsənli Aysel Mahir</v>
          </cell>
          <cell r="C1144" t="str">
            <v>Xidmət keyfiyyətinin idarə edilməsi departamenti</v>
          </cell>
          <cell r="D1144" t="str">
            <v>Müştəri müraciətlərinin araşdırılması şöbəsi</v>
          </cell>
          <cell r="E1144" t="str">
            <v>#</v>
          </cell>
          <cell r="F1144" t="str">
            <v>Qrup rəhbəri</v>
          </cell>
          <cell r="G1144" t="str">
            <v>A</v>
          </cell>
          <cell r="H1144">
            <v>44421</v>
          </cell>
        </row>
        <row r="1145">
          <cell r="B1145" t="str">
            <v>Əliyev Hikmət Süleyman</v>
          </cell>
          <cell r="C1145" t="str">
            <v>Xidmət keyfiyyətinin idarə edilməsi departamenti</v>
          </cell>
          <cell r="D1145" t="str">
            <v>Müştəri müraciətlərinin araşdırılması şöbəsi</v>
          </cell>
          <cell r="E1145" t="str">
            <v>#</v>
          </cell>
          <cell r="F1145" t="str">
            <v>Baş mütəxəssis</v>
          </cell>
          <cell r="G1145" t="str">
            <v>A</v>
          </cell>
          <cell r="H1145">
            <v>41646</v>
          </cell>
        </row>
        <row r="1146">
          <cell r="B1146" t="str">
            <v>Alıyev Murad Vidadi</v>
          </cell>
          <cell r="C1146" t="str">
            <v>Xidmət keyfiyyətinin idarə edilməsi departamenti</v>
          </cell>
          <cell r="D1146" t="str">
            <v>Müştəri müraciətlərinin araşdırılması şöbəsi</v>
          </cell>
          <cell r="E1146" t="str">
            <v>#</v>
          </cell>
          <cell r="F1146" t="str">
            <v>Qrup rəhbəri</v>
          </cell>
          <cell r="G1146" t="str">
            <v>A</v>
          </cell>
          <cell r="H1146">
            <v>43851</v>
          </cell>
        </row>
        <row r="1147">
          <cell r="B1147" t="str">
            <v>Hümbətov Tural Rövşən</v>
          </cell>
          <cell r="C1147" t="str">
            <v>Xidmət keyfiyyətinin idarə edilməsi departamenti</v>
          </cell>
          <cell r="D1147" t="str">
            <v>Müştəri müraciətlərinin araşdırılması şöbəsi</v>
          </cell>
          <cell r="E1147" t="str">
            <v>#</v>
          </cell>
          <cell r="F1147" t="str">
            <v>Aparıcı mütəxəssis</v>
          </cell>
          <cell r="G1147" t="str">
            <v>A</v>
          </cell>
          <cell r="H1147">
            <v>43931</v>
          </cell>
        </row>
        <row r="1148">
          <cell r="B1148" t="str">
            <v>Səfərov Hüseyn Şahlar</v>
          </cell>
          <cell r="C1148" t="str">
            <v>Xidmət keyfiyyətinin idarə edilməsi departamenti</v>
          </cell>
          <cell r="D1148" t="str">
            <v>Müştəri müraciətlərinin araşdırılması şöbəsi</v>
          </cell>
          <cell r="E1148" t="str">
            <v>#</v>
          </cell>
          <cell r="F1148" t="str">
            <v>Aparıcı mütəxəssis</v>
          </cell>
          <cell r="G1148" t="str">
            <v>A</v>
          </cell>
          <cell r="H1148">
            <v>44840</v>
          </cell>
        </row>
        <row r="1149">
          <cell r="B1149" t="str">
            <v>Hüseynli Cavid Mərdan</v>
          </cell>
          <cell r="C1149" t="str">
            <v>Xidmət keyfiyyətinin idarə edilməsi departamenti</v>
          </cell>
          <cell r="D1149" t="str">
            <v>Müştəri müraciətlərinin araşdırılması şöbəsi</v>
          </cell>
          <cell r="E1149" t="str">
            <v>#</v>
          </cell>
          <cell r="F1149" t="str">
            <v>Mütəxəssis</v>
          </cell>
          <cell r="G1149" t="str">
            <v>A</v>
          </cell>
          <cell r="H1149">
            <v>44582</v>
          </cell>
        </row>
        <row r="1150">
          <cell r="B1150" t="str">
            <v>Məmmədova Fidan Zaur</v>
          </cell>
          <cell r="C1150" t="str">
            <v>Xidmət keyfiyyətinin idarə edilməsi departamenti</v>
          </cell>
          <cell r="D1150" t="str">
            <v>Müştəri müraciətlərinin araşdırılması şöbəsi</v>
          </cell>
          <cell r="E1150" t="str">
            <v>#</v>
          </cell>
          <cell r="F1150" t="str">
            <v>Mütəxəssis</v>
          </cell>
          <cell r="G1150" t="str">
            <v>A</v>
          </cell>
          <cell r="H1150">
            <v>44474</v>
          </cell>
        </row>
        <row r="1151">
          <cell r="B1151" t="str">
            <v>Yusubov Cəfərsadiq Həsrət</v>
          </cell>
          <cell r="C1151" t="str">
            <v>Xidmət keyfiyyətinin idarə edilməsi departamenti</v>
          </cell>
          <cell r="D1151" t="str">
            <v>Müştəri müraciətlərinin araşdırılması şöbəsi</v>
          </cell>
          <cell r="E1151" t="str">
            <v>#</v>
          </cell>
          <cell r="F1151" t="str">
            <v>Mütəxəssis</v>
          </cell>
          <cell r="G1151" t="str">
            <v>A</v>
          </cell>
          <cell r="H1151">
            <v>45245</v>
          </cell>
        </row>
        <row r="1152">
          <cell r="B1152" t="str">
            <v>Ələsgərli Aysu Firdovsi</v>
          </cell>
          <cell r="C1152" t="str">
            <v>Xidmət keyfiyyətinin idarə edilməsi departamenti</v>
          </cell>
          <cell r="D1152" t="str">
            <v>Müştəri müraciətlərinin araşdırılması şöbəsi</v>
          </cell>
          <cell r="E1152" t="str">
            <v>#</v>
          </cell>
          <cell r="F1152" t="str">
            <v>Mütəxəssis</v>
          </cell>
          <cell r="G1152" t="str">
            <v>A</v>
          </cell>
          <cell r="H1152">
            <v>45244</v>
          </cell>
        </row>
        <row r="1153">
          <cell r="B1153" t="str">
            <v>Abbasov Kazım Əli</v>
          </cell>
          <cell r="C1153" t="str">
            <v>Xidmət keyfiyyətinin idarə edilməsi departamenti</v>
          </cell>
          <cell r="D1153" t="str">
            <v>Müştəri müraciətlərinin araşdırılması şöbəsi</v>
          </cell>
          <cell r="E1153" t="str">
            <v>#</v>
          </cell>
          <cell r="F1153" t="str">
            <v>Aparıcı mütəxəssis</v>
          </cell>
          <cell r="G1153" t="str">
            <v>A</v>
          </cell>
          <cell r="H1153">
            <v>44875</v>
          </cell>
        </row>
        <row r="1154">
          <cell r="B1154" t="str">
            <v>Abdullayev Sənan Məzahir</v>
          </cell>
          <cell r="C1154" t="str">
            <v>Xidmət keyfiyyətinin idarə edilməsi departamenti</v>
          </cell>
          <cell r="D1154" t="str">
            <v>Müştəri müraciətlərinin araşdırılması şöbəsi</v>
          </cell>
          <cell r="E1154" t="str">
            <v>#</v>
          </cell>
          <cell r="F1154" t="str">
            <v>Aparıcı mütəxəssis</v>
          </cell>
          <cell r="G1154" t="str">
            <v>A</v>
          </cell>
          <cell r="H1154">
            <v>44551</v>
          </cell>
        </row>
        <row r="1155">
          <cell r="B1155" t="str">
            <v>Əlizadə Şəfiqə İlkin</v>
          </cell>
          <cell r="C1155" t="str">
            <v>Xidmət keyfiyyətinin idarə edilməsi departamenti</v>
          </cell>
          <cell r="D1155" t="str">
            <v>Müştəri müraciətlərinin araşdırılması şöbəsi</v>
          </cell>
          <cell r="E1155" t="str">
            <v>#</v>
          </cell>
          <cell r="F1155" t="str">
            <v>Mütəxəssis</v>
          </cell>
          <cell r="G1155" t="str">
            <v>A</v>
          </cell>
          <cell r="H1155">
            <v>44551</v>
          </cell>
        </row>
        <row r="1156">
          <cell r="B1156" t="str">
            <v>Rəhimova Aynur Səlim</v>
          </cell>
          <cell r="C1156" t="str">
            <v>Xidmət keyfiyyətinin idarə edilməsi departamenti</v>
          </cell>
          <cell r="D1156" t="str">
            <v>Müştəri müraciətlərinin araşdırılması şöbəsi</v>
          </cell>
          <cell r="E1156" t="str">
            <v>#</v>
          </cell>
          <cell r="F1156" t="str">
            <v>Mütəxəssis</v>
          </cell>
          <cell r="G1156" t="str">
            <v>A</v>
          </cell>
          <cell r="H1156">
            <v>44749</v>
          </cell>
        </row>
        <row r="1157">
          <cell r="B1157" t="str">
            <v>İsmayılov Məhəmməd Zakir</v>
          </cell>
          <cell r="C1157" t="str">
            <v>Xidmət keyfiyyətinin idarə edilməsi departamenti</v>
          </cell>
          <cell r="D1157" t="str">
            <v>Müştəri müraciətlərinin araşdırılması şöbəsi</v>
          </cell>
          <cell r="E1157" t="str">
            <v>#</v>
          </cell>
          <cell r="F1157" t="str">
            <v>Mütəxəssis</v>
          </cell>
          <cell r="G1157" t="str">
            <v>A</v>
          </cell>
          <cell r="H1157">
            <v>44987</v>
          </cell>
        </row>
        <row r="1158">
          <cell r="B1158" t="str">
            <v>Bağırova Xumar Gündüz</v>
          </cell>
          <cell r="C1158" t="str">
            <v>Xidmət keyfiyyətinin idarə edilməsi departamenti</v>
          </cell>
          <cell r="D1158" t="str">
            <v>Müştəri müraciətlərinin araşdırılması şöbəsi</v>
          </cell>
          <cell r="E1158" t="str">
            <v>#</v>
          </cell>
          <cell r="F1158" t="str">
            <v>Mütəxəssis</v>
          </cell>
          <cell r="G1158" t="str">
            <v>A</v>
          </cell>
          <cell r="H1158">
            <v>43361</v>
          </cell>
        </row>
        <row r="1159">
          <cell r="B1159" t="str">
            <v>Axundova Aytən Elçin</v>
          </cell>
          <cell r="C1159" t="str">
            <v>Xidmət keyfiyyətinin idarə edilməsi departamenti</v>
          </cell>
          <cell r="D1159" t="str">
            <v>Müştəri müraciətlərinin araşdırılması şöbəsi</v>
          </cell>
          <cell r="E1159" t="str">
            <v>#</v>
          </cell>
          <cell r="F1159" t="str">
            <v>Mütəxəssis</v>
          </cell>
          <cell r="G1159" t="str">
            <v>A</v>
          </cell>
          <cell r="H1159">
            <v>44551</v>
          </cell>
        </row>
        <row r="1160">
          <cell r="B1160" t="str">
            <v>Səmədova Aysel Mais</v>
          </cell>
          <cell r="C1160" t="str">
            <v>Xidmət keyfiyyətinin idarə edilməsi departamenti</v>
          </cell>
          <cell r="D1160" t="str">
            <v>Müştəri müraciətlərinin araşdırılması şöbəsi</v>
          </cell>
          <cell r="E1160" t="str">
            <v>#</v>
          </cell>
          <cell r="F1160" t="str">
            <v>Mütəxəssis</v>
          </cell>
          <cell r="G1160" t="str">
            <v>A</v>
          </cell>
          <cell r="H1160">
            <v>44494</v>
          </cell>
        </row>
        <row r="1161">
          <cell r="B1161" t="str">
            <v>Hüseynova Nərmin Vahid</v>
          </cell>
          <cell r="C1161" t="str">
            <v>Xidmət keyfiyyətinin idarə edilməsi departamenti</v>
          </cell>
          <cell r="D1161" t="str">
            <v>Müştəri müraciətlərinin araşdırılması şöbəsi</v>
          </cell>
          <cell r="E1161" t="str">
            <v>#</v>
          </cell>
          <cell r="F1161" t="str">
            <v>Mütəxəssis</v>
          </cell>
          <cell r="G1161" t="str">
            <v>A</v>
          </cell>
          <cell r="H1161">
            <v>44503</v>
          </cell>
        </row>
        <row r="1162">
          <cell r="B1162" t="str">
            <v>Feyziyev Nihad Cəmil</v>
          </cell>
          <cell r="C1162" t="str">
            <v>Xidmət keyfiyyətinin idarə edilməsi departamenti</v>
          </cell>
          <cell r="D1162" t="str">
            <v>Müştəri müraciətlərinin araşdırılması şöbəsi</v>
          </cell>
          <cell r="E1162" t="str">
            <v>#</v>
          </cell>
          <cell r="F1162" t="str">
            <v>Aparıcı mütəxəssis</v>
          </cell>
          <cell r="G1162" t="str">
            <v>A</v>
          </cell>
          <cell r="H1162">
            <v>44760</v>
          </cell>
        </row>
        <row r="1163">
          <cell r="B1163" t="str">
            <v>Əhmədova Günay Nemət</v>
          </cell>
          <cell r="C1163" t="str">
            <v>Xidmət keyfiyyətinin idarə edilməsi departamenti</v>
          </cell>
          <cell r="D1163" t="str">
            <v>Müştəri müraciətlərinin araşdırılması şöbəsi</v>
          </cell>
          <cell r="E1163" t="str">
            <v>#</v>
          </cell>
          <cell r="F1163" t="str">
            <v>Mütəxəssis</v>
          </cell>
          <cell r="G1163" t="str">
            <v>A</v>
          </cell>
          <cell r="H1163">
            <v>45019</v>
          </cell>
        </row>
        <row r="1164">
          <cell r="B1164" t="str">
            <v>Əlizadə Ellada Ramiz</v>
          </cell>
          <cell r="C1164" t="str">
            <v>Xidmət keyfiyyətinin idarə edilməsi departamenti</v>
          </cell>
          <cell r="D1164" t="str">
            <v>Müştəri müraciətlərinin araşdırılması şöbəsi</v>
          </cell>
          <cell r="E1164" t="str">
            <v>#</v>
          </cell>
          <cell r="F1164" t="str">
            <v>Aparıcı mütəxəssis</v>
          </cell>
          <cell r="G1164" t="str">
            <v>A</v>
          </cell>
          <cell r="H1164">
            <v>43902</v>
          </cell>
        </row>
        <row r="1165">
          <cell r="B1165" t="str">
            <v>Abbasova Səbinə Yaşar</v>
          </cell>
          <cell r="C1165" t="str">
            <v>Xidmət keyfiyyətinin idarə edilməsi departamenti</v>
          </cell>
          <cell r="D1165" t="str">
            <v>Müştəri müraciətlərinin araşdırılması şöbəsi</v>
          </cell>
          <cell r="E1165" t="str">
            <v>#</v>
          </cell>
          <cell r="F1165" t="str">
            <v>Mütəxəssis</v>
          </cell>
          <cell r="G1165" t="str">
            <v>A</v>
          </cell>
          <cell r="H1165">
            <v>42471</v>
          </cell>
        </row>
        <row r="1166">
          <cell r="B1166" t="str">
            <v>Həşimzadə Sevinc Rüstəm</v>
          </cell>
          <cell r="C1166" t="str">
            <v>Xidmət keyfiyyətinin idarə edilməsi departamenti</v>
          </cell>
          <cell r="D1166" t="str">
            <v>Müştəri müraciətlərinin araşdırılması şöbəsi</v>
          </cell>
          <cell r="E1166" t="str">
            <v>#</v>
          </cell>
          <cell r="F1166" t="str">
            <v>Mütəxəssis</v>
          </cell>
          <cell r="G1166" t="str">
            <v>A</v>
          </cell>
          <cell r="H1166">
            <v>44896</v>
          </cell>
        </row>
        <row r="1167">
          <cell r="B1167" t="str">
            <v>Verdiyeva Nəzrin Ümüd</v>
          </cell>
          <cell r="C1167" t="str">
            <v>Xidmət keyfiyyətinin idarə edilməsi departamenti</v>
          </cell>
          <cell r="D1167" t="str">
            <v>Müştəri müraciətlərinin araşdırılması şöbəsi</v>
          </cell>
          <cell r="E1167" t="str">
            <v>#</v>
          </cell>
          <cell r="F1167" t="str">
            <v>Mütəxəssis</v>
          </cell>
          <cell r="G1167" t="str">
            <v>A</v>
          </cell>
          <cell r="H1167">
            <v>44699</v>
          </cell>
        </row>
        <row r="1168">
          <cell r="B1168" t="str">
            <v>Qəmbərova Ləman İsmayıl</v>
          </cell>
          <cell r="C1168" t="str">
            <v>Xidmət keyfiyyətinin idarə edilməsi departamenti</v>
          </cell>
          <cell r="D1168" t="str">
            <v>Müştəri müraciətlərinin araşdırılması şöbəsi</v>
          </cell>
          <cell r="E1168" t="str">
            <v>#</v>
          </cell>
          <cell r="F1168" t="str">
            <v>Mütəxəssis</v>
          </cell>
          <cell r="G1168" t="str">
            <v>A</v>
          </cell>
          <cell r="H1168">
            <v>44558</v>
          </cell>
        </row>
        <row r="1169">
          <cell r="B1169" t="str">
            <v>Əlizadə Sədaqət Natiq</v>
          </cell>
          <cell r="C1169" t="str">
            <v>Xidmət keyfiyyətinin idarə edilməsi departamenti</v>
          </cell>
          <cell r="D1169" t="str">
            <v>Müştəri müraciətlərinin araşdırılması şöbəsi</v>
          </cell>
          <cell r="E1169" t="str">
            <v>#</v>
          </cell>
          <cell r="F1169" t="str">
            <v>Mütəxəssis</v>
          </cell>
          <cell r="G1169" t="str">
            <v>A</v>
          </cell>
          <cell r="H1169">
            <v>43672</v>
          </cell>
        </row>
        <row r="1170">
          <cell r="B1170" t="str">
            <v>Ramazanova Dəniz İbrahim</v>
          </cell>
          <cell r="C1170" t="str">
            <v>Xidmət keyfiyyətinin idarə edilməsi departamenti</v>
          </cell>
          <cell r="D1170" t="str">
            <v>Müştəri müraciətlərinin araşdırılması şöbəsi</v>
          </cell>
          <cell r="E1170" t="str">
            <v>#</v>
          </cell>
          <cell r="F1170" t="str">
            <v>Mütəxəssis</v>
          </cell>
          <cell r="G1170" t="str">
            <v>SM</v>
          </cell>
          <cell r="H1170">
            <v>44698</v>
          </cell>
        </row>
        <row r="1171">
          <cell r="B1171" t="str">
            <v>Məmmədli Lamiə Araz</v>
          </cell>
          <cell r="C1171" t="str">
            <v>Xidmət keyfiyyətinin idarə edilməsi departamenti</v>
          </cell>
          <cell r="D1171" t="str">
            <v>Müştəri müraciətlərinin araşdırılması şöbəsi</v>
          </cell>
          <cell r="E1171" t="str">
            <v>#</v>
          </cell>
          <cell r="F1171" t="str">
            <v>Mütəxəssis (müvəqqəti)</v>
          </cell>
          <cell r="G1171" t="str">
            <v>A</v>
          </cell>
          <cell r="H1171">
            <v>45271</v>
          </cell>
        </row>
        <row r="1172">
          <cell r="B1172" t="str">
            <v>Zaidova Aidə Müzəffər</v>
          </cell>
          <cell r="C1172" t="str">
            <v>Xidmət keyfiyyətinin idarə edilməsi departamenti</v>
          </cell>
          <cell r="D1172" t="str">
            <v>Müştəri müraciətlərinin araşdırılması şöbəsi</v>
          </cell>
          <cell r="E1172" t="str">
            <v>#</v>
          </cell>
          <cell r="F1172" t="str">
            <v>Mütəxəssis</v>
          </cell>
          <cell r="G1172" t="str">
            <v>SM</v>
          </cell>
          <cell r="H1172">
            <v>43514</v>
          </cell>
        </row>
        <row r="1173">
          <cell r="B1173" t="str">
            <v>Hacıyeva Aytən Nadir</v>
          </cell>
          <cell r="C1173" t="str">
            <v>Xidmət keyfiyyətinin idarə edilməsi departamenti</v>
          </cell>
          <cell r="D1173" t="str">
            <v>Müştəri müraciətlərinin araşdırılması şöbəsi</v>
          </cell>
          <cell r="E1173" t="str">
            <v>#</v>
          </cell>
          <cell r="F1173" t="str">
            <v>Mütəxəssis (müvəqqəti)</v>
          </cell>
          <cell r="G1173" t="str">
            <v>A</v>
          </cell>
          <cell r="H1173">
            <v>45042</v>
          </cell>
        </row>
        <row r="1174">
          <cell r="B1174" t="str">
            <v>Səfərəliyeva Nərmin Baləmi</v>
          </cell>
          <cell r="C1174" t="str">
            <v>Xidmət keyfiyyətinin idarə edilməsi departamenti</v>
          </cell>
          <cell r="D1174" t="str">
            <v>Müştəri müraciətlərinin araşdırılması şöbəsi</v>
          </cell>
          <cell r="E1174" t="str">
            <v>#</v>
          </cell>
          <cell r="F1174" t="str">
            <v>Mütəxəssis</v>
          </cell>
          <cell r="G1174" t="str">
            <v>SM</v>
          </cell>
          <cell r="H1174">
            <v>43714</v>
          </cell>
        </row>
        <row r="1175">
          <cell r="B1175" t="str">
            <v>Kərimzadə Nanə Xəlil</v>
          </cell>
          <cell r="C1175" t="str">
            <v>Xidmət keyfiyyətinin idarə edilməsi departamenti</v>
          </cell>
          <cell r="D1175" t="str">
            <v>Müştəri müraciətlərinin araşdırılması şöbəsi</v>
          </cell>
          <cell r="E1175" t="str">
            <v>#</v>
          </cell>
          <cell r="F1175" t="str">
            <v>Mütəxəssis</v>
          </cell>
          <cell r="G1175" t="str">
            <v>A</v>
          </cell>
          <cell r="H1175">
            <v>43864</v>
          </cell>
        </row>
        <row r="1176">
          <cell r="B1176" t="str">
            <v>Əfəndiyeva Leyla Polad</v>
          </cell>
          <cell r="C1176" t="str">
            <v>Xidmət keyfiyyətinin idarə edilməsi departamenti</v>
          </cell>
          <cell r="D1176" t="str">
            <v>Müştəri müraciətlərinin araşdırılması şöbəsi</v>
          </cell>
          <cell r="E1176" t="str">
            <v>#</v>
          </cell>
          <cell r="F1176" t="str">
            <v>Mütəxəssis</v>
          </cell>
          <cell r="G1176" t="str">
            <v>A</v>
          </cell>
          <cell r="H1176">
            <v>44355</v>
          </cell>
        </row>
        <row r="1177">
          <cell r="B1177" t="str">
            <v>Əliyeva Aytən Elçin</v>
          </cell>
          <cell r="C1177" t="str">
            <v>Xidmət keyfiyyətinin idarə edilməsi departamenti</v>
          </cell>
          <cell r="D1177" t="str">
            <v>Müştəri müraciətlərinin araşdırılması şöbəsi</v>
          </cell>
          <cell r="E1177" t="str">
            <v>#</v>
          </cell>
          <cell r="F1177" t="str">
            <v>Mütəxəssis</v>
          </cell>
          <cell r="G1177" t="str">
            <v>A</v>
          </cell>
          <cell r="H1177">
            <v>43942</v>
          </cell>
        </row>
        <row r="1178">
          <cell r="B1178" t="str">
            <v>Əliyev Rəşid Pərviz</v>
          </cell>
          <cell r="C1178" t="str">
            <v>Xidmət keyfiyyətinin idarə edilməsi departamenti</v>
          </cell>
          <cell r="D1178" t="str">
            <v>Müştəri müraciətlərinin araşdırılması şöbəsi</v>
          </cell>
          <cell r="E1178" t="str">
            <v>#</v>
          </cell>
          <cell r="F1178" t="str">
            <v>Kiçik mütəxəssis</v>
          </cell>
          <cell r="G1178" t="str">
            <v>A</v>
          </cell>
          <cell r="H1178">
            <v>46217</v>
          </cell>
        </row>
        <row r="1179">
          <cell r="B1179" t="str">
            <v>Əliyev Vüsal Qorxmaz</v>
          </cell>
          <cell r="C1179" t="str">
            <v>Nağd pulların idarə edilməsi departamenti</v>
          </cell>
          <cell r="D1179" t="str">
            <v>#</v>
          </cell>
          <cell r="E1179" t="str">
            <v>#</v>
          </cell>
          <cell r="F1179" t="str">
            <v>Direktor müavini</v>
          </cell>
          <cell r="G1179" t="str">
            <v>A</v>
          </cell>
          <cell r="H1179">
            <v>42321</v>
          </cell>
        </row>
        <row r="1180">
          <cell r="B1180" t="str">
            <v>Tahirli İlham Heybət</v>
          </cell>
          <cell r="C1180" t="str">
            <v>Kassa və inkassasiya prosesləri departamenti</v>
          </cell>
          <cell r="D1180" t="str">
            <v>#</v>
          </cell>
          <cell r="E1180" t="str">
            <v>#</v>
          </cell>
          <cell r="F1180" t="str">
            <v>Menecer</v>
          </cell>
          <cell r="G1180" t="str">
            <v>A</v>
          </cell>
          <cell r="H1180">
            <v>37568</v>
          </cell>
        </row>
        <row r="1181">
          <cell r="B1181" t="str">
            <v>Nağıyev Samiq Əlişirin</v>
          </cell>
          <cell r="C1181" t="str">
            <v>Kassa və inkassasiya prosesləri departamenti</v>
          </cell>
          <cell r="D1181" t="str">
            <v>#</v>
          </cell>
          <cell r="E1181" t="str">
            <v>#</v>
          </cell>
          <cell r="F1181" t="str">
            <v>Menecer</v>
          </cell>
          <cell r="G1181" t="str">
            <v>A</v>
          </cell>
          <cell r="H1181">
            <v>39854</v>
          </cell>
        </row>
        <row r="1182">
          <cell r="B1182" t="str">
            <v>Şirinov Muxtar Şirin</v>
          </cell>
          <cell r="C1182" t="str">
            <v>Kassa və inkassasiya prosesləri departamenti</v>
          </cell>
          <cell r="D1182" t="str">
            <v>#</v>
          </cell>
          <cell r="E1182" t="str">
            <v>#</v>
          </cell>
          <cell r="F1182" t="str">
            <v>Direktor</v>
          </cell>
          <cell r="G1182" t="str">
            <v>A</v>
          </cell>
          <cell r="H1182">
            <v>46154</v>
          </cell>
          <cell r="I1182" t="str">
            <v>Bir Payment</v>
          </cell>
        </row>
        <row r="1183">
          <cell r="B1183" t="str">
            <v>Hacı Elvin Sübhan</v>
          </cell>
          <cell r="C1183" t="str">
            <v>Kassa və inkassasiya prosesləri departamenti</v>
          </cell>
          <cell r="D1183" t="str">
            <v>#</v>
          </cell>
          <cell r="E1183" t="str">
            <v>#</v>
          </cell>
          <cell r="F1183" t="str">
            <v>Direktor müavini</v>
          </cell>
          <cell r="G1183" t="str">
            <v>A</v>
          </cell>
          <cell r="H1183">
            <v>46162</v>
          </cell>
          <cell r="I1183" t="str">
            <v>Bir Payment</v>
          </cell>
        </row>
        <row r="1184">
          <cell r="B1184" t="str">
            <v>Əliyev Anar İslamxan</v>
          </cell>
          <cell r="C1184" t="str">
            <v>Kassa və inkassasiya prosesləri departamenti</v>
          </cell>
          <cell r="D1184" t="str">
            <v>Nağd pul əməliyyatları şöbəsi</v>
          </cell>
          <cell r="E1184" t="str">
            <v>#</v>
          </cell>
          <cell r="F1184" t="str">
            <v>Şöbə müdiri</v>
          </cell>
          <cell r="G1184" t="str">
            <v>A</v>
          </cell>
          <cell r="H1184">
            <v>41334</v>
          </cell>
        </row>
        <row r="1185">
          <cell r="B1185" t="str">
            <v>İmamverdiyev Emil Bədəl</v>
          </cell>
          <cell r="C1185" t="str">
            <v>Kassa və inkassasiya prosesləri departamenti</v>
          </cell>
          <cell r="D1185" t="str">
            <v>İnkassasiya əməliyyatları şöbəsi</v>
          </cell>
          <cell r="E1185" t="str">
            <v>#</v>
          </cell>
          <cell r="F1185" t="str">
            <v>Menecer</v>
          </cell>
          <cell r="G1185" t="str">
            <v>A</v>
          </cell>
          <cell r="H1185">
            <v>42422</v>
          </cell>
        </row>
        <row r="1186">
          <cell r="B1186" t="str">
            <v>Zamanov Yaşar Adil</v>
          </cell>
          <cell r="C1186" t="str">
            <v>Kassa və inkassasiya prosesləri departamenti</v>
          </cell>
          <cell r="D1186" t="str">
            <v>#</v>
          </cell>
          <cell r="E1186" t="str">
            <v>#</v>
          </cell>
          <cell r="F1186" t="str">
            <v>Menecer</v>
          </cell>
          <cell r="G1186" t="str">
            <v>A</v>
          </cell>
          <cell r="H1186">
            <v>43164</v>
          </cell>
        </row>
        <row r="1187">
          <cell r="B1187" t="str">
            <v>Nəzərov Vüqar Əlövsət</v>
          </cell>
          <cell r="C1187" t="str">
            <v>Kassa və inkassasiya prosesləri departamenti</v>
          </cell>
          <cell r="D1187" t="str">
            <v>Nağd pul əməliyyatları şöbəsi</v>
          </cell>
          <cell r="E1187" t="str">
            <v>#</v>
          </cell>
          <cell r="F1187" t="str">
            <v>Baş mütəxəssis</v>
          </cell>
          <cell r="G1187" t="str">
            <v>A</v>
          </cell>
          <cell r="H1187">
            <v>36697</v>
          </cell>
        </row>
        <row r="1188">
          <cell r="B1188" t="str">
            <v>Səmədova Leyla Soltan</v>
          </cell>
          <cell r="C1188" t="str">
            <v>Nağd pulların idarə edilməsi departamenti</v>
          </cell>
          <cell r="D1188" t="str">
            <v>Nağd əməliyyatlara dəstək şöbəsi</v>
          </cell>
          <cell r="E1188" t="str">
            <v>#</v>
          </cell>
          <cell r="F1188" t="str">
            <v>Baş mütəxəssis</v>
          </cell>
          <cell r="G1188" t="str">
            <v>A</v>
          </cell>
          <cell r="H1188">
            <v>39457</v>
          </cell>
        </row>
        <row r="1189">
          <cell r="B1189" t="str">
            <v>Kərimzadə Aliyə Vilayət</v>
          </cell>
          <cell r="C1189" t="str">
            <v>Nağd pulların idarə edilməsi departamenti</v>
          </cell>
          <cell r="D1189" t="str">
            <v>Nağd əməliyyatlara dəstək şöbəsi</v>
          </cell>
          <cell r="E1189" t="str">
            <v>#</v>
          </cell>
          <cell r="F1189" t="str">
            <v>Baş mütəxəssis</v>
          </cell>
          <cell r="G1189" t="str">
            <v>HX</v>
          </cell>
          <cell r="H1189">
            <v>41548</v>
          </cell>
        </row>
        <row r="1190">
          <cell r="B1190" t="str">
            <v>Əzizov Tural Mirəlif</v>
          </cell>
          <cell r="C1190" t="str">
            <v>Kassa və inkassasiya prosesləri departamenti</v>
          </cell>
          <cell r="D1190" t="str">
            <v>İnkassasiya mərkəzləri ilə iş şöbəsi</v>
          </cell>
          <cell r="E1190" t="str">
            <v>#</v>
          </cell>
          <cell r="F1190" t="str">
            <v>Baş mütəxəssis</v>
          </cell>
          <cell r="G1190" t="str">
            <v>A</v>
          </cell>
          <cell r="H1190">
            <v>41281</v>
          </cell>
        </row>
        <row r="1191">
          <cell r="B1191" t="str">
            <v>Rzayev Osman Ələkbər</v>
          </cell>
          <cell r="C1191" t="str">
            <v>Kassa və inkassasiya prosesləri departamenti</v>
          </cell>
          <cell r="D1191" t="str">
            <v>Nağd pul əməliyyatları şöbəsi</v>
          </cell>
          <cell r="E1191" t="str">
            <v>#</v>
          </cell>
          <cell r="F1191" t="str">
            <v>Aparıcı mütəxəssis</v>
          </cell>
          <cell r="G1191" t="str">
            <v>A</v>
          </cell>
          <cell r="H1191">
            <v>42311</v>
          </cell>
        </row>
        <row r="1192">
          <cell r="B1192" t="str">
            <v>Orucov Zaur Qərib</v>
          </cell>
          <cell r="C1192" t="str">
            <v>Kassa və inkassasiya prosesləri departamenti</v>
          </cell>
          <cell r="D1192" t="str">
            <v>Nağd pul əməliyyatları şöbəsi</v>
          </cell>
          <cell r="E1192" t="str">
            <v>#</v>
          </cell>
          <cell r="F1192" t="str">
            <v>Aparıcı mütəxəssis</v>
          </cell>
          <cell r="G1192" t="str">
            <v>A</v>
          </cell>
          <cell r="H1192">
            <v>43511</v>
          </cell>
        </row>
        <row r="1193">
          <cell r="B1193" t="str">
            <v>Nəcəfov Tural Əminağa</v>
          </cell>
          <cell r="C1193" t="str">
            <v>Kassa və inkassasiya prosesləri departamenti</v>
          </cell>
          <cell r="D1193" t="str">
            <v>Nağd pul əməliyyatları şöbəsi</v>
          </cell>
          <cell r="E1193" t="str">
            <v>#</v>
          </cell>
          <cell r="F1193" t="str">
            <v>Aparıcı mütəxəssis</v>
          </cell>
          <cell r="G1193" t="str">
            <v>A</v>
          </cell>
          <cell r="H1193">
            <v>41772</v>
          </cell>
        </row>
        <row r="1194">
          <cell r="B1194" t="str">
            <v>Məmmədli Kənan Zəkəriyyə</v>
          </cell>
          <cell r="C1194" t="str">
            <v>Kassa və inkassasiya prosesləri departamenti</v>
          </cell>
          <cell r="D1194" t="str">
            <v>İnkassasiya əməliyyatları şöbəsi</v>
          </cell>
          <cell r="E1194" t="str">
            <v>#</v>
          </cell>
          <cell r="F1194" t="str">
            <v>Aparıcı mütəxəssis</v>
          </cell>
          <cell r="G1194" t="str">
            <v>A</v>
          </cell>
          <cell r="H1194">
            <v>42248</v>
          </cell>
        </row>
        <row r="1195">
          <cell r="B1195" t="str">
            <v>Nuriyev Anar Əvəz</v>
          </cell>
          <cell r="C1195" t="str">
            <v>Kassa və inkassasiya prosesləri departamenti</v>
          </cell>
          <cell r="D1195" t="str">
            <v>İnkassasiya mərkəzləri ilə iş şöbəsi</v>
          </cell>
          <cell r="E1195" t="str">
            <v>#</v>
          </cell>
          <cell r="F1195" t="str">
            <v>Aparıcı mütəxəssis</v>
          </cell>
          <cell r="G1195" t="str">
            <v>A</v>
          </cell>
          <cell r="H1195">
            <v>41991</v>
          </cell>
        </row>
        <row r="1196">
          <cell r="B1196" t="str">
            <v>Cəfərov Qabil Əli</v>
          </cell>
          <cell r="C1196" t="str">
            <v>Texniki dəstək departamenti</v>
          </cell>
          <cell r="D1196" t="str">
            <v>#</v>
          </cell>
          <cell r="E1196" t="str">
            <v>#</v>
          </cell>
          <cell r="F1196" t="str">
            <v>Direktor</v>
          </cell>
          <cell r="G1196" t="str">
            <v>A</v>
          </cell>
          <cell r="H1196">
            <v>46154</v>
          </cell>
          <cell r="I1196" t="str">
            <v>Bir Payment</v>
          </cell>
        </row>
        <row r="1197">
          <cell r="B1197" t="str">
            <v>Adgözəlov Nahid Şahin</v>
          </cell>
          <cell r="C1197" t="str">
            <v>Texniki dəstək departamenti</v>
          </cell>
          <cell r="D1197" t="str">
            <v>Plastik kartların çapı və dəstəyi şöbəsi</v>
          </cell>
          <cell r="E1197" t="str">
            <v>#</v>
          </cell>
          <cell r="F1197" t="str">
            <v>Menecer</v>
          </cell>
          <cell r="G1197" t="str">
            <v>A</v>
          </cell>
          <cell r="H1197">
            <v>42346</v>
          </cell>
        </row>
        <row r="1198">
          <cell r="B1198" t="str">
            <v>Məmmədov Seymur Rasin</v>
          </cell>
          <cell r="C1198" t="str">
            <v>Texniki dəstək departamenti</v>
          </cell>
          <cell r="D1198" t="str">
            <v>Plastik kartların çapı və dəstəyi şöbəsi</v>
          </cell>
          <cell r="E1198" t="str">
            <v>#</v>
          </cell>
          <cell r="F1198" t="str">
            <v>Baş mütəxəssis</v>
          </cell>
          <cell r="G1198" t="str">
            <v>A</v>
          </cell>
          <cell r="H1198">
            <v>41500</v>
          </cell>
        </row>
        <row r="1199">
          <cell r="B1199" t="str">
            <v>Ağaşirinov Şöhrət Baba</v>
          </cell>
          <cell r="C1199" t="str">
            <v>Texniki dəstək departamenti</v>
          </cell>
          <cell r="D1199" t="str">
            <v>Plastik kartların çapı və dəstəyi şöbəsi</v>
          </cell>
          <cell r="E1199" t="str">
            <v>#</v>
          </cell>
          <cell r="F1199" t="str">
            <v>Baş mütəxəssis</v>
          </cell>
          <cell r="G1199" t="str">
            <v>A</v>
          </cell>
          <cell r="H1199">
            <v>40375</v>
          </cell>
        </row>
        <row r="1200">
          <cell r="B1200" t="str">
            <v>İsgəndərov Orxan Xan</v>
          </cell>
          <cell r="C1200" t="str">
            <v>Texniki dəstək departamenti</v>
          </cell>
          <cell r="D1200" t="str">
            <v>Plastik kartların çapı və dəstəyi şöbəsi</v>
          </cell>
          <cell r="E1200" t="str">
            <v>#</v>
          </cell>
          <cell r="F1200" t="str">
            <v>Baş mütəxəssis</v>
          </cell>
          <cell r="G1200" t="str">
            <v>A</v>
          </cell>
          <cell r="H1200">
            <v>41108</v>
          </cell>
        </row>
        <row r="1201">
          <cell r="B1201" t="str">
            <v>Hüseynov Samir Davud</v>
          </cell>
          <cell r="C1201" t="str">
            <v>Texniki dəstək departamenti</v>
          </cell>
          <cell r="D1201" t="str">
            <v>Plastik kartların çapı və dəstəyi şöbəsi</v>
          </cell>
          <cell r="E1201" t="str">
            <v>#</v>
          </cell>
          <cell r="F1201" t="str">
            <v>Aparıcı mütəxəssis</v>
          </cell>
          <cell r="G1201" t="str">
            <v>A</v>
          </cell>
          <cell r="H1201">
            <v>42695</v>
          </cell>
        </row>
        <row r="1202">
          <cell r="B1202" t="str">
            <v>Hüseynov Zamin Nurəddin</v>
          </cell>
          <cell r="C1202" t="str">
            <v>Texniki dəstək departamenti</v>
          </cell>
          <cell r="D1202" t="str">
            <v>Plastik kartların çapı və dəstəyi şöbəsi</v>
          </cell>
          <cell r="E1202" t="str">
            <v>#</v>
          </cell>
          <cell r="F1202" t="str">
            <v>Aparıcı mütəxəssis</v>
          </cell>
          <cell r="G1202" t="str">
            <v>A</v>
          </cell>
          <cell r="H1202">
            <v>41416</v>
          </cell>
        </row>
        <row r="1203">
          <cell r="B1203" t="str">
            <v>Süleymanov Adəm Sevindik</v>
          </cell>
          <cell r="C1203" t="str">
            <v>Texniki dəstək departamenti</v>
          </cell>
          <cell r="D1203" t="str">
            <v>Plastik kartların çapı və dəstəyi şöbəsi</v>
          </cell>
          <cell r="E1203" t="str">
            <v>#</v>
          </cell>
          <cell r="F1203" t="str">
            <v>Aparıcı mütəxəssis</v>
          </cell>
          <cell r="G1203" t="str">
            <v>A</v>
          </cell>
          <cell r="H1203">
            <v>43808</v>
          </cell>
        </row>
        <row r="1204">
          <cell r="B1204" t="str">
            <v>Məmmədli Zakir Rəfail</v>
          </cell>
          <cell r="C1204" t="str">
            <v>Texniki dəstək departamenti</v>
          </cell>
          <cell r="D1204" t="str">
            <v>Plastik kartların çapı və dəstəyi şöbəsi</v>
          </cell>
          <cell r="E1204" t="str">
            <v>#</v>
          </cell>
          <cell r="F1204" t="str">
            <v>Aparıcı mütəxəssis</v>
          </cell>
          <cell r="G1204" t="str">
            <v>A</v>
          </cell>
          <cell r="H1204">
            <v>44168</v>
          </cell>
        </row>
        <row r="1205">
          <cell r="B1205" t="str">
            <v>Hüseynov Tural Səfər</v>
          </cell>
          <cell r="C1205" t="str">
            <v>Texniki dəstək departamenti</v>
          </cell>
          <cell r="D1205" t="str">
            <v>Plastik kartların çapı və dəstəyi şöbəsi</v>
          </cell>
          <cell r="E1205" t="str">
            <v>#</v>
          </cell>
          <cell r="F1205" t="str">
            <v>Mütəxəssis</v>
          </cell>
          <cell r="G1205" t="str">
            <v>A</v>
          </cell>
          <cell r="H1205">
            <v>44333</v>
          </cell>
        </row>
        <row r="1206">
          <cell r="B1206" t="str">
            <v>İbrahimov Əli Şaban</v>
          </cell>
          <cell r="C1206" t="str">
            <v>Texniki dəstək departamenti</v>
          </cell>
          <cell r="D1206" t="str">
            <v>Plastik kartların çapı və dəstəyi şöbəsi</v>
          </cell>
          <cell r="E1206" t="str">
            <v>#</v>
          </cell>
          <cell r="F1206" t="str">
            <v>Mütəxəssis</v>
          </cell>
          <cell r="G1206" t="str">
            <v>A</v>
          </cell>
          <cell r="H1206">
            <v>44519</v>
          </cell>
        </row>
        <row r="1207">
          <cell r="B1207" t="str">
            <v>Mirzəyev Elnur Araz</v>
          </cell>
          <cell r="C1207" t="str">
            <v>Texniki dəstək departamenti</v>
          </cell>
          <cell r="D1207" t="str">
            <v>Plastik kartların çapı və dəstəyi şöbəsi</v>
          </cell>
          <cell r="E1207" t="str">
            <v>#</v>
          </cell>
          <cell r="F1207" t="str">
            <v>Mütəxəssis</v>
          </cell>
          <cell r="G1207" t="str">
            <v>A</v>
          </cell>
          <cell r="H1207">
            <v>44890</v>
          </cell>
        </row>
        <row r="1208">
          <cell r="B1208" t="str">
            <v>Novruzov Emil Fuad</v>
          </cell>
          <cell r="C1208" t="str">
            <v>Texniki dəstək departamenti</v>
          </cell>
          <cell r="D1208" t="str">
            <v>Plastik kartların çapı və dəstəyi şöbəsi</v>
          </cell>
          <cell r="E1208" t="str">
            <v>#</v>
          </cell>
          <cell r="F1208" t="str">
            <v>Aparıcı mütəxəssis</v>
          </cell>
          <cell r="G1208" t="str">
            <v>A</v>
          </cell>
          <cell r="H1208">
            <v>44890</v>
          </cell>
        </row>
        <row r="1209">
          <cell r="B1209" t="str">
            <v>Şıxıyev Tərlan Faiq</v>
          </cell>
          <cell r="C1209" t="str">
            <v>Texniki dəstək departamenti</v>
          </cell>
          <cell r="D1209" t="str">
            <v>Plastik kartların çapı və dəstəyi şöbəsi</v>
          </cell>
          <cell r="E1209" t="str">
            <v>#</v>
          </cell>
          <cell r="F1209" t="str">
            <v>Mütəxəssis</v>
          </cell>
          <cell r="G1209" t="str">
            <v>A</v>
          </cell>
          <cell r="H1209">
            <v>44910</v>
          </cell>
        </row>
        <row r="1210">
          <cell r="B1210" t="str">
            <v>Qəmbərli Əli Nizami</v>
          </cell>
          <cell r="C1210" t="str">
            <v>Texniki dəstək departamenti</v>
          </cell>
          <cell r="D1210" t="str">
            <v>Plastik kartların çapı və dəstəyi şöbəsi</v>
          </cell>
          <cell r="E1210" t="str">
            <v>#</v>
          </cell>
          <cell r="F1210" t="str">
            <v>Mütəxəssis</v>
          </cell>
          <cell r="G1210" t="str">
            <v>A</v>
          </cell>
          <cell r="H1210">
            <v>45028</v>
          </cell>
        </row>
        <row r="1211">
          <cell r="B1211" t="str">
            <v>Südgülzadə Elvin Rafael</v>
          </cell>
          <cell r="C1211" t="str">
            <v>Texniki dəstək departamenti</v>
          </cell>
          <cell r="D1211" t="str">
            <v>Plastik kartların çapı və dəstəyi şöbəsi</v>
          </cell>
          <cell r="E1211" t="str">
            <v>#</v>
          </cell>
          <cell r="F1211" t="str">
            <v>Aparıcı mütəxəssis</v>
          </cell>
          <cell r="G1211" t="str">
            <v>A</v>
          </cell>
          <cell r="H1211">
            <v>45068</v>
          </cell>
        </row>
        <row r="1212">
          <cell r="B1212" t="str">
            <v>Tahirmirzəzadə İlkin Ələskər</v>
          </cell>
          <cell r="C1212" t="str">
            <v>Texniki dəstək departamenti</v>
          </cell>
          <cell r="D1212" t="str">
            <v>Plastik kartların çapı və dəstəyi şöbəsi</v>
          </cell>
          <cell r="E1212" t="str">
            <v>#</v>
          </cell>
          <cell r="F1212" t="str">
            <v>Mütəxəssis</v>
          </cell>
          <cell r="G1212" t="str">
            <v>A</v>
          </cell>
          <cell r="H1212">
            <v>45140</v>
          </cell>
        </row>
        <row r="1213">
          <cell r="B1213" t="str">
            <v>Mustafayev Elçin Kamran</v>
          </cell>
          <cell r="C1213" t="str">
            <v>Texniki dəstək departamenti</v>
          </cell>
          <cell r="D1213" t="str">
            <v>Plastik kartların çapı və dəstəyi şöbəsi</v>
          </cell>
          <cell r="E1213" t="str">
            <v>#</v>
          </cell>
          <cell r="F1213" t="str">
            <v>Motokuryer</v>
          </cell>
          <cell r="G1213" t="str">
            <v>A</v>
          </cell>
          <cell r="H1213">
            <v>45275</v>
          </cell>
        </row>
        <row r="1214">
          <cell r="B1214" t="str">
            <v>Həkimov Nazim Namiq</v>
          </cell>
          <cell r="C1214" t="str">
            <v>Texniki dəstək departamenti</v>
          </cell>
          <cell r="D1214" t="str">
            <v>Plastik kartların çapı və dəstəyi şöbəsi</v>
          </cell>
          <cell r="E1214" t="str">
            <v>#</v>
          </cell>
          <cell r="F1214" t="str">
            <v>Motokuryer</v>
          </cell>
          <cell r="G1214" t="str">
            <v>A</v>
          </cell>
          <cell r="H1214">
            <v>45203</v>
          </cell>
        </row>
        <row r="1215">
          <cell r="B1215" t="str">
            <v>Zeynallı Elşən Əziz</v>
          </cell>
          <cell r="C1215" t="str">
            <v>Texniki dəstək departamenti</v>
          </cell>
          <cell r="D1215" t="str">
            <v>Plastik kartların çapı və dəstəyi şöbəsi</v>
          </cell>
          <cell r="E1215" t="str">
            <v>#</v>
          </cell>
          <cell r="F1215" t="str">
            <v>Motokuryer</v>
          </cell>
          <cell r="G1215" t="str">
            <v>A</v>
          </cell>
          <cell r="H1215">
            <v>44728</v>
          </cell>
        </row>
        <row r="1216">
          <cell r="B1216" t="str">
            <v>Məmmədov Hacı Rakif</v>
          </cell>
          <cell r="C1216" t="str">
            <v>Texniki dəstək departamenti</v>
          </cell>
          <cell r="D1216" t="str">
            <v>Plastik kartların çapı və dəstəyi şöbəsi</v>
          </cell>
          <cell r="E1216" t="str">
            <v>#</v>
          </cell>
          <cell r="F1216" t="str">
            <v>Motokuryer</v>
          </cell>
          <cell r="G1216" t="str">
            <v>A</v>
          </cell>
          <cell r="H1216">
            <v>44896</v>
          </cell>
        </row>
        <row r="1217">
          <cell r="B1217" t="str">
            <v>Həsənov Elxan Xəqani</v>
          </cell>
          <cell r="C1217" t="str">
            <v>Texniki dəstək departamenti</v>
          </cell>
          <cell r="D1217" t="str">
            <v>Plastik kartların çapı və dəstəyi şöbəsi</v>
          </cell>
          <cell r="E1217" t="str">
            <v>#</v>
          </cell>
          <cell r="F1217" t="str">
            <v>Motokuryer</v>
          </cell>
          <cell r="G1217" t="str">
            <v>A</v>
          </cell>
          <cell r="H1217">
            <v>44497</v>
          </cell>
        </row>
        <row r="1218">
          <cell r="B1218" t="str">
            <v>Mayorov Dmitriy Aleksandroviç</v>
          </cell>
          <cell r="C1218" t="str">
            <v>Texniki dəstək departamenti</v>
          </cell>
          <cell r="D1218" t="str">
            <v>Plastik kartların çapı və dəstəyi şöbəsi</v>
          </cell>
          <cell r="E1218" t="str">
            <v>#</v>
          </cell>
          <cell r="F1218" t="str">
            <v>Motokuryer</v>
          </cell>
          <cell r="G1218" t="str">
            <v>A</v>
          </cell>
          <cell r="H1218">
            <v>44784</v>
          </cell>
        </row>
        <row r="1219">
          <cell r="B1219" t="str">
            <v>Nağıyev Ceyhun Nazim</v>
          </cell>
          <cell r="C1219" t="str">
            <v>Texniki dəstək departamenti</v>
          </cell>
          <cell r="D1219" t="str">
            <v>Plastik kartların çapı və dəstəyi şöbəsi</v>
          </cell>
          <cell r="E1219" t="str">
            <v>#</v>
          </cell>
          <cell r="F1219" t="str">
            <v>Motokuryer</v>
          </cell>
          <cell r="G1219" t="str">
            <v>A</v>
          </cell>
          <cell r="H1219">
            <v>45996</v>
          </cell>
        </row>
        <row r="1220">
          <cell r="B1220" t="str">
            <v>Ayvazov Orxan Mayıl</v>
          </cell>
          <cell r="C1220" t="str">
            <v>Texniki dəstək departamenti</v>
          </cell>
          <cell r="D1220" t="str">
            <v>Plastik kartların çapı və dəstəyi şöbəsi</v>
          </cell>
          <cell r="E1220" t="str">
            <v>#</v>
          </cell>
          <cell r="F1220" t="str">
            <v>Sürücü</v>
          </cell>
          <cell r="G1220" t="str">
            <v>A</v>
          </cell>
          <cell r="H1220">
            <v>45663</v>
          </cell>
        </row>
        <row r="1221">
          <cell r="B1221" t="str">
            <v>Bayramlı Ramil Ravil</v>
          </cell>
          <cell r="C1221" t="str">
            <v>Texniki dəstək departamenti</v>
          </cell>
          <cell r="D1221" t="str">
            <v>Plastik kartların çapı və dəstəyi şöbəsi</v>
          </cell>
          <cell r="E1221" t="str">
            <v>#</v>
          </cell>
          <cell r="F1221" t="str">
            <v>Sürücü</v>
          </cell>
          <cell r="G1221" t="str">
            <v>A</v>
          </cell>
          <cell r="H1221">
            <v>45663</v>
          </cell>
        </row>
        <row r="1222">
          <cell r="B1222" t="str">
            <v>Hüseynov Kamal İbrahim</v>
          </cell>
          <cell r="C1222" t="str">
            <v>Texniki dəstək departamenti</v>
          </cell>
          <cell r="D1222" t="str">
            <v>Ödəniş terminallarına texniki dəstək şöbəsi</v>
          </cell>
          <cell r="E1222" t="str">
            <v>#</v>
          </cell>
          <cell r="F1222" t="str">
            <v>Baş mütəxəssis</v>
          </cell>
          <cell r="G1222" t="str">
            <v>A</v>
          </cell>
          <cell r="H1222">
            <v>46184</v>
          </cell>
          <cell r="I1222" t="str">
            <v>Bir Payment</v>
          </cell>
        </row>
        <row r="1223">
          <cell r="B1223" t="str">
            <v>Həsənov Zəfər Əliağa</v>
          </cell>
          <cell r="C1223" t="str">
            <v>Texniki dəstək departamenti</v>
          </cell>
          <cell r="D1223" t="str">
            <v>Ödəniş terminallarına texniki dəstək şöbəsi</v>
          </cell>
          <cell r="E1223" t="str">
            <v>#</v>
          </cell>
          <cell r="F1223" t="str">
            <v>Baş mütəxəssis</v>
          </cell>
          <cell r="G1223" t="str">
            <v>A</v>
          </cell>
          <cell r="H1223">
            <v>46184</v>
          </cell>
          <cell r="I1223" t="str">
            <v>Bir Payment</v>
          </cell>
        </row>
        <row r="1224">
          <cell r="B1224" t="str">
            <v>Quluyev Rəşad Cəfər</v>
          </cell>
          <cell r="C1224" t="str">
            <v>Texniki dəstək departamenti</v>
          </cell>
          <cell r="D1224" t="str">
            <v>Ödəniş terminallarına texniki dəstək şöbəsi</v>
          </cell>
          <cell r="E1224" t="str">
            <v>#</v>
          </cell>
          <cell r="F1224" t="str">
            <v>Baş mütəxəssis</v>
          </cell>
          <cell r="G1224" t="str">
            <v>A</v>
          </cell>
          <cell r="H1224">
            <v>46184</v>
          </cell>
          <cell r="I1224" t="str">
            <v>Bir Payment</v>
          </cell>
        </row>
        <row r="1225">
          <cell r="B1225" t="str">
            <v>Əliyev Şahin Əkrəm</v>
          </cell>
          <cell r="C1225" t="str">
            <v>Texniki dəstək departamenti</v>
          </cell>
          <cell r="D1225" t="str">
            <v>Ödəniş terminallarına texniki dəstək şöbəsi</v>
          </cell>
          <cell r="E1225" t="str">
            <v>#</v>
          </cell>
          <cell r="F1225" t="str">
            <v>Baş mütəxəssis</v>
          </cell>
          <cell r="G1225" t="str">
            <v>A</v>
          </cell>
          <cell r="H1225">
            <v>46184</v>
          </cell>
          <cell r="I1225" t="str">
            <v>Bir Payment</v>
          </cell>
        </row>
        <row r="1226">
          <cell r="B1226" t="str">
            <v>Manafov Emil Cavid</v>
          </cell>
          <cell r="C1226" t="str">
            <v>Texniki dəstək departamenti</v>
          </cell>
          <cell r="D1226" t="str">
            <v>Ödəniş terminallarına texniki dəstək şöbəsi</v>
          </cell>
          <cell r="E1226" t="str">
            <v>#</v>
          </cell>
          <cell r="F1226" t="str">
            <v>Baş mütəxəssis</v>
          </cell>
          <cell r="G1226" t="str">
            <v>A</v>
          </cell>
          <cell r="H1226">
            <v>46184</v>
          </cell>
          <cell r="I1226" t="str">
            <v>Bir Payment</v>
          </cell>
        </row>
        <row r="1227">
          <cell r="B1227" t="str">
            <v>İbrahimzadə Elməddin Ələddin</v>
          </cell>
          <cell r="C1227" t="str">
            <v>Texniki dəstək departamenti</v>
          </cell>
          <cell r="D1227" t="str">
            <v>Ödəniş terminallarına texniki dəstək şöbəsi</v>
          </cell>
          <cell r="E1227" t="str">
            <v>#</v>
          </cell>
          <cell r="F1227" t="str">
            <v>Baş mütəxəssis</v>
          </cell>
          <cell r="G1227" t="str">
            <v>A</v>
          </cell>
          <cell r="H1227">
            <v>46184</v>
          </cell>
          <cell r="I1227" t="str">
            <v>Bir Payment</v>
          </cell>
        </row>
        <row r="1228">
          <cell r="B1228" t="str">
            <v>Mirzəyev Əziz Rza</v>
          </cell>
          <cell r="C1228" t="str">
            <v>Texniki dəstək departamenti</v>
          </cell>
          <cell r="D1228" t="str">
            <v>Ödəniş terminallarına texniki dəstək şöbəsi</v>
          </cell>
          <cell r="E1228" t="str">
            <v>#</v>
          </cell>
          <cell r="F1228" t="str">
            <v>Baş mütəxəssis</v>
          </cell>
          <cell r="G1228" t="str">
            <v>A</v>
          </cell>
          <cell r="H1228">
            <v>46185</v>
          </cell>
          <cell r="I1228" t="str">
            <v>Bir Payment</v>
          </cell>
        </row>
        <row r="1229">
          <cell r="B1229" t="str">
            <v>Abbasov Vüqar Nizami</v>
          </cell>
          <cell r="C1229" t="str">
            <v>Texniki dəstək departamenti</v>
          </cell>
          <cell r="D1229" t="str">
            <v>Ödəniş terminallarına texniki dəstək şöbəsi</v>
          </cell>
          <cell r="E1229" t="str">
            <v>#</v>
          </cell>
          <cell r="F1229" t="str">
            <v>Aparıcı mütəxəssis</v>
          </cell>
          <cell r="G1229" t="str">
            <v>A</v>
          </cell>
          <cell r="H1229">
            <v>46184</v>
          </cell>
          <cell r="I1229" t="str">
            <v>Bir Payment</v>
          </cell>
        </row>
        <row r="1230">
          <cell r="B1230" t="str">
            <v>Əhədov Araz Ehtibar</v>
          </cell>
          <cell r="C1230" t="str">
            <v>Texniki dəstək departamenti</v>
          </cell>
          <cell r="D1230" t="str">
            <v>Ödəniş terminallarına texniki dəstək şöbəsi</v>
          </cell>
          <cell r="E1230" t="str">
            <v>#</v>
          </cell>
          <cell r="F1230" t="str">
            <v>Aparıcı mütəxəssis</v>
          </cell>
          <cell r="G1230" t="str">
            <v>A</v>
          </cell>
          <cell r="H1230">
            <v>46184</v>
          </cell>
          <cell r="I1230" t="str">
            <v>Bir Payment</v>
          </cell>
        </row>
        <row r="1231">
          <cell r="B1231" t="str">
            <v>Qaragözov Vüqar Arif</v>
          </cell>
          <cell r="C1231" t="str">
            <v>Texniki dəstək departamenti</v>
          </cell>
          <cell r="D1231" t="str">
            <v>Ödəniş terminallarına texniki dəstək şöbəsi</v>
          </cell>
          <cell r="E1231" t="str">
            <v>#</v>
          </cell>
          <cell r="F1231" t="str">
            <v>Aparıcı mütəxəssis</v>
          </cell>
          <cell r="G1231" t="str">
            <v>A</v>
          </cell>
          <cell r="H1231">
            <v>46184</v>
          </cell>
          <cell r="I1231" t="str">
            <v>Bir Payment</v>
          </cell>
        </row>
        <row r="1232">
          <cell r="B1232" t="str">
            <v>Ələkbərov Fuad Buludxan</v>
          </cell>
          <cell r="C1232" t="str">
            <v>Texniki dəstək departamenti</v>
          </cell>
          <cell r="D1232" t="str">
            <v>Ödəniş terminallarına texniki dəstək şöbəsi</v>
          </cell>
          <cell r="E1232" t="str">
            <v>#</v>
          </cell>
          <cell r="F1232" t="str">
            <v>Aparıcı mütəxəssis</v>
          </cell>
          <cell r="G1232" t="str">
            <v>A</v>
          </cell>
          <cell r="H1232">
            <v>46185</v>
          </cell>
          <cell r="I1232" t="str">
            <v>Bir Payment</v>
          </cell>
        </row>
        <row r="1233">
          <cell r="B1233" t="str">
            <v>Əhmədov Şövqi Oktay</v>
          </cell>
          <cell r="C1233" t="str">
            <v>Texniki dəstək departamenti</v>
          </cell>
          <cell r="D1233" t="str">
            <v>Ödəniş terminallarına texniki dəstək şöbəsi</v>
          </cell>
          <cell r="E1233" t="str">
            <v>#</v>
          </cell>
          <cell r="F1233" t="str">
            <v>Aparıcı mütəxəssis</v>
          </cell>
          <cell r="G1233" t="str">
            <v>A</v>
          </cell>
          <cell r="H1233">
            <v>46184</v>
          </cell>
          <cell r="I1233" t="str">
            <v>Bir Payment</v>
          </cell>
        </row>
        <row r="1234">
          <cell r="B1234" t="str">
            <v>Abbasov Xudabaxış İlqar</v>
          </cell>
          <cell r="C1234" t="str">
            <v>Texniki dəstək departamenti</v>
          </cell>
          <cell r="D1234" t="str">
            <v>Ödəniş terminallarına texniki dəstək şöbəsi</v>
          </cell>
          <cell r="E1234" t="str">
            <v>#</v>
          </cell>
          <cell r="F1234" t="str">
            <v>Aparıcı mütəxəssis</v>
          </cell>
          <cell r="G1234" t="str">
            <v>A</v>
          </cell>
          <cell r="H1234">
            <v>46184</v>
          </cell>
          <cell r="I1234" t="str">
            <v>Bir Payment</v>
          </cell>
        </row>
        <row r="1235">
          <cell r="B1235" t="str">
            <v>Musayev Rəfail Nurəddin</v>
          </cell>
          <cell r="C1235" t="str">
            <v>Texniki dəstək departamenti</v>
          </cell>
          <cell r="D1235" t="str">
            <v>Ödəniş terminallarına texniki dəstək şöbəsi</v>
          </cell>
          <cell r="E1235" t="str">
            <v>#</v>
          </cell>
          <cell r="F1235" t="str">
            <v>Aparıcı mütəxəssis</v>
          </cell>
          <cell r="G1235" t="str">
            <v>A</v>
          </cell>
          <cell r="H1235">
            <v>46184</v>
          </cell>
          <cell r="I1235" t="str">
            <v>Bir Payment</v>
          </cell>
        </row>
        <row r="1236">
          <cell r="B1236" t="str">
            <v>Mirzəyev Məhəmməd Xosaxan</v>
          </cell>
          <cell r="C1236" t="str">
            <v>Texniki dəstək departamenti</v>
          </cell>
          <cell r="D1236" t="str">
            <v>Ödəniş terminallarına texniki dəstək şöbəsi</v>
          </cell>
          <cell r="E1236" t="str">
            <v>#</v>
          </cell>
          <cell r="F1236" t="str">
            <v>Aparıcı mütəxəssis</v>
          </cell>
          <cell r="G1236" t="str">
            <v>A</v>
          </cell>
          <cell r="H1236">
            <v>46185</v>
          </cell>
          <cell r="I1236" t="str">
            <v>Bir Payment</v>
          </cell>
        </row>
        <row r="1237">
          <cell r="B1237" t="str">
            <v>Tahirov Cəmil Ehtibar</v>
          </cell>
          <cell r="C1237" t="str">
            <v>Texniki dəstək departamenti</v>
          </cell>
          <cell r="D1237" t="str">
            <v>Ödəniş terminallarına texniki dəstək şöbəsi</v>
          </cell>
          <cell r="E1237" t="str">
            <v>#</v>
          </cell>
          <cell r="F1237" t="str">
            <v>Aparıcı mütəxəssis</v>
          </cell>
          <cell r="G1237" t="str">
            <v>A</v>
          </cell>
          <cell r="H1237">
            <v>46185</v>
          </cell>
          <cell r="I1237" t="str">
            <v>Bir Payment</v>
          </cell>
        </row>
        <row r="1238">
          <cell r="B1238" t="str">
            <v>Bağırov Fərid Üzeyir</v>
          </cell>
          <cell r="C1238" t="str">
            <v>Texniki dəstək departamenti</v>
          </cell>
          <cell r="D1238" t="str">
            <v>Ödəniş terminallarına texniki dəstək şöbəsi</v>
          </cell>
          <cell r="E1238" t="str">
            <v>#</v>
          </cell>
          <cell r="F1238" t="str">
            <v>Aparıcı mütəxəssis</v>
          </cell>
          <cell r="G1238" t="str">
            <v>A</v>
          </cell>
          <cell r="H1238">
            <v>46185</v>
          </cell>
          <cell r="I1238" t="str">
            <v>Bir Payment</v>
          </cell>
        </row>
        <row r="1239">
          <cell r="B1239" t="str">
            <v>Rəcəbov Aleksandr Zakiroviç</v>
          </cell>
          <cell r="C1239" t="str">
            <v>Texniki dəstək departamenti</v>
          </cell>
          <cell r="D1239" t="str">
            <v>Ödəniş terminallarına texniki dəstək şöbəsi</v>
          </cell>
          <cell r="E1239" t="str">
            <v>#</v>
          </cell>
          <cell r="F1239" t="str">
            <v>Aparıcı mütəxəssis</v>
          </cell>
          <cell r="G1239" t="str">
            <v>A</v>
          </cell>
          <cell r="H1239">
            <v>46185</v>
          </cell>
          <cell r="I1239" t="str">
            <v>Bir Payment</v>
          </cell>
        </row>
        <row r="1240">
          <cell r="B1240" t="str">
            <v>Məmmədov Ramil Müslüm</v>
          </cell>
          <cell r="C1240" t="str">
            <v>Texniki dəstək departamenti</v>
          </cell>
          <cell r="D1240" t="str">
            <v>Ödəniş terminallarına texniki dəstək şöbəsi</v>
          </cell>
          <cell r="E1240" t="str">
            <v>#</v>
          </cell>
          <cell r="F1240" t="str">
            <v>Aparıcı mütəxəssis</v>
          </cell>
          <cell r="G1240" t="str">
            <v>A</v>
          </cell>
          <cell r="H1240">
            <v>46190</v>
          </cell>
          <cell r="I1240" t="str">
            <v>Bir Payment</v>
          </cell>
        </row>
        <row r="1241">
          <cell r="B1241" t="str">
            <v>Ağayev Ülvi Pənah</v>
          </cell>
          <cell r="C1241" t="str">
            <v>Texniki dəstək departamenti</v>
          </cell>
          <cell r="D1241" t="str">
            <v>Ödəniş terminallarına texniki dəstək şöbəsi</v>
          </cell>
          <cell r="E1241" t="str">
            <v>#</v>
          </cell>
          <cell r="F1241" t="str">
            <v>Mütəxəssis</v>
          </cell>
          <cell r="G1241" t="str">
            <v>A</v>
          </cell>
          <cell r="H1241">
            <v>46184</v>
          </cell>
          <cell r="I1241" t="str">
            <v>Bir Payment</v>
          </cell>
        </row>
        <row r="1242">
          <cell r="B1242" t="str">
            <v>Eyvazov Məhəmməd Elşən</v>
          </cell>
          <cell r="C1242" t="str">
            <v>Texniki dəstək departamenti</v>
          </cell>
          <cell r="D1242" t="str">
            <v>Ödəniş terminallarına texniki dəstək şöbəsi</v>
          </cell>
          <cell r="E1242" t="str">
            <v>#</v>
          </cell>
          <cell r="F1242" t="str">
            <v>Aparıcı mütəxəssis</v>
          </cell>
          <cell r="G1242" t="str">
            <v>A</v>
          </cell>
          <cell r="H1242">
            <v>46185</v>
          </cell>
          <cell r="I1242" t="str">
            <v>Bir Payment</v>
          </cell>
        </row>
        <row r="1243">
          <cell r="B1243" t="str">
            <v>Mahmudov Mustafa İlham</v>
          </cell>
          <cell r="C1243" t="str">
            <v>Texniki dəstək departamenti</v>
          </cell>
          <cell r="D1243" t="str">
            <v>Ödəniş terminallarına texniki dəstək şöbəsi</v>
          </cell>
          <cell r="E1243" t="str">
            <v>#</v>
          </cell>
          <cell r="F1243" t="str">
            <v>Mütəxəssis</v>
          </cell>
          <cell r="G1243" t="str">
            <v>A</v>
          </cell>
          <cell r="H1243">
            <v>46185</v>
          </cell>
          <cell r="I1243" t="str">
            <v>Bir Payment</v>
          </cell>
        </row>
        <row r="1244">
          <cell r="B1244" t="str">
            <v>Həsənov Samir Cəlal</v>
          </cell>
          <cell r="C1244" t="str">
            <v>Texniki dəstək departamenti</v>
          </cell>
          <cell r="D1244" t="str">
            <v>Ödəniş terminallarına texniki dəstək şöbəsi</v>
          </cell>
          <cell r="E1244" t="str">
            <v>#</v>
          </cell>
          <cell r="F1244" t="str">
            <v>Mütəxəssis</v>
          </cell>
          <cell r="G1244" t="str">
            <v>A</v>
          </cell>
          <cell r="H1244">
            <v>46185</v>
          </cell>
          <cell r="I1244" t="str">
            <v>Bir Payment</v>
          </cell>
        </row>
        <row r="1245">
          <cell r="B1245" t="str">
            <v>Hüseynov Qoşqar Xanlar</v>
          </cell>
          <cell r="C1245" t="str">
            <v>Texniki dəstək departamenti</v>
          </cell>
          <cell r="D1245" t="str">
            <v>Ödəniş terminallarına texniki dəstək şöbəsi</v>
          </cell>
          <cell r="E1245" t="str">
            <v>#</v>
          </cell>
          <cell r="F1245" t="str">
            <v>Mütəxəssis</v>
          </cell>
          <cell r="G1245" t="str">
            <v>A</v>
          </cell>
          <cell r="H1245">
            <v>46185</v>
          </cell>
          <cell r="I1245" t="str">
            <v>Bir Payment</v>
          </cell>
        </row>
        <row r="1246">
          <cell r="B1246" t="str">
            <v>Hüseynov Ziya Nadir</v>
          </cell>
          <cell r="C1246" t="str">
            <v>Texniki dəstək departamenti</v>
          </cell>
          <cell r="D1246" t="str">
            <v>Ödəniş terminallarına texniki dəstək şöbəsi</v>
          </cell>
          <cell r="E1246" t="str">
            <v>#</v>
          </cell>
          <cell r="F1246" t="str">
            <v>Mütəxəssis</v>
          </cell>
          <cell r="G1246" t="str">
            <v>A</v>
          </cell>
          <cell r="H1246">
            <v>46185</v>
          </cell>
          <cell r="I1246" t="str">
            <v>Bir Payment</v>
          </cell>
        </row>
        <row r="1247">
          <cell r="B1247" t="str">
            <v>Quliyev Ənvər Əli</v>
          </cell>
          <cell r="C1247" t="str">
            <v>Texniki dəstək departamenti</v>
          </cell>
          <cell r="D1247" t="str">
            <v>Ödəniş terminallarına texniki dəstək şöbəsi</v>
          </cell>
          <cell r="E1247" t="str">
            <v>#</v>
          </cell>
          <cell r="F1247" t="str">
            <v>Mütəxəssis</v>
          </cell>
          <cell r="G1247" t="str">
            <v>A</v>
          </cell>
          <cell r="H1247">
            <v>46190</v>
          </cell>
          <cell r="I1247" t="str">
            <v>Bir Payment</v>
          </cell>
        </row>
        <row r="1248">
          <cell r="B1248" t="str">
            <v>Mürşüdov İlqar Mürşüd</v>
          </cell>
          <cell r="C1248" t="str">
            <v>Texniki dəstək departamenti</v>
          </cell>
          <cell r="D1248" t="str">
            <v>Ödəniş terminallarına texniki dəstək şöbəsi</v>
          </cell>
          <cell r="E1248" t="str">
            <v>#</v>
          </cell>
          <cell r="F1248" t="str">
            <v>Texniki işçi (0,5 ştat vahidi üzrə)</v>
          </cell>
          <cell r="G1248" t="str">
            <v>A</v>
          </cell>
          <cell r="H1248">
            <v>46197</v>
          </cell>
          <cell r="I1248" t="str">
            <v>Bir Payment</v>
          </cell>
        </row>
        <row r="1249">
          <cell r="B1249" t="str">
            <v>Vəliyev Rəşid Sənan</v>
          </cell>
          <cell r="C1249" t="str">
            <v>Texniki dəstək departamenti</v>
          </cell>
          <cell r="D1249" t="str">
            <v>Ödəniş terminallarına texniki dəstək şöbəsi</v>
          </cell>
          <cell r="E1249" t="str">
            <v>#</v>
          </cell>
          <cell r="F1249" t="str">
            <v>Texniki işçi (0,5 ştat vahidi üzrə)</v>
          </cell>
          <cell r="G1249" t="str">
            <v>A</v>
          </cell>
          <cell r="H1249">
            <v>46197</v>
          </cell>
          <cell r="I1249" t="str">
            <v>Bir Payment</v>
          </cell>
        </row>
        <row r="1250">
          <cell r="B1250" t="str">
            <v>Məmmədov Vüqar İlqar</v>
          </cell>
          <cell r="C1250" t="str">
            <v>Texniki dəstək departamenti</v>
          </cell>
          <cell r="D1250" t="str">
            <v>Ödəniş terminallarına texniki dəstək şöbəsi</v>
          </cell>
          <cell r="E1250" t="str">
            <v>#</v>
          </cell>
          <cell r="F1250" t="str">
            <v>Texniki işçi (0,5 ştat vahidi üzrə)</v>
          </cell>
          <cell r="G1250" t="str">
            <v>A</v>
          </cell>
          <cell r="H1250">
            <v>46197</v>
          </cell>
          <cell r="I1250" t="str">
            <v>Bir Payment</v>
          </cell>
        </row>
        <row r="1251">
          <cell r="B1251" t="str">
            <v>İsmayılov Elvin Ramiz</v>
          </cell>
          <cell r="C1251" t="str">
            <v>Kassa və inkassasiya prosesləri departamenti</v>
          </cell>
          <cell r="D1251" t="str">
            <v>İnkassasiya əməliyyatları şöbəsi</v>
          </cell>
          <cell r="E1251" t="str">
            <v>#</v>
          </cell>
          <cell r="F1251" t="str">
            <v>Şöbə müdiri</v>
          </cell>
          <cell r="G1251" t="str">
            <v>A</v>
          </cell>
          <cell r="H1251">
            <v>40191</v>
          </cell>
        </row>
        <row r="1252">
          <cell r="B1252" t="str">
            <v>Məmmədzadə Bəhruz Səfaddin</v>
          </cell>
          <cell r="C1252" t="str">
            <v>Kassa və inkassasiya prosesləri departamenti</v>
          </cell>
          <cell r="D1252" t="str">
            <v>İnkassasiya mərkəzləri ilə iş şöbəsi</v>
          </cell>
          <cell r="E1252" t="str">
            <v>#</v>
          </cell>
          <cell r="F1252" t="str">
            <v>Menecer</v>
          </cell>
          <cell r="G1252" t="str">
            <v>A</v>
          </cell>
          <cell r="H1252">
            <v>42254</v>
          </cell>
        </row>
        <row r="1253">
          <cell r="B1253" t="str">
            <v>Gülməmmədov Xətai Məmməd</v>
          </cell>
          <cell r="C1253" t="str">
            <v>Kassa və inkassasiya prosesləri departamenti</v>
          </cell>
          <cell r="D1253" t="str">
            <v>Nağd pul əməliyyatları şöbəsi</v>
          </cell>
          <cell r="E1253" t="str">
            <v>#</v>
          </cell>
          <cell r="F1253" t="str">
            <v>Menecer</v>
          </cell>
          <cell r="G1253" t="str">
            <v>A</v>
          </cell>
          <cell r="H1253">
            <v>42348</v>
          </cell>
        </row>
        <row r="1254">
          <cell r="B1254" t="str">
            <v>Nuriyev Fuad Tahir</v>
          </cell>
          <cell r="C1254" t="str">
            <v>Kassa və inkassasiya prosesləri departamenti</v>
          </cell>
          <cell r="D1254" t="str">
            <v>Nağd pul əməliyyatları şöbəsi</v>
          </cell>
          <cell r="E1254" t="str">
            <v>#</v>
          </cell>
          <cell r="F1254" t="str">
            <v>Menecer</v>
          </cell>
          <cell r="G1254" t="str">
            <v>A</v>
          </cell>
          <cell r="H1254">
            <v>43192</v>
          </cell>
        </row>
        <row r="1255">
          <cell r="B1255" t="str">
            <v>Əliyev Bəhruz Novruz</v>
          </cell>
          <cell r="C1255" t="str">
            <v>Kassa və inkassasiya prosesləri departamenti</v>
          </cell>
          <cell r="D1255" t="str">
            <v>Nağd pul əməliyyatları şöbəsi</v>
          </cell>
          <cell r="E1255" t="str">
            <v>#</v>
          </cell>
          <cell r="F1255" t="str">
            <v>Menecer</v>
          </cell>
          <cell r="G1255" t="str">
            <v>A</v>
          </cell>
          <cell r="H1255">
            <v>46154</v>
          </cell>
          <cell r="I1255" t="str">
            <v>Bir Payment</v>
          </cell>
        </row>
        <row r="1256">
          <cell r="B1256" t="str">
            <v>Məmmədov Elşən Vaqif</v>
          </cell>
          <cell r="C1256" t="str">
            <v>Kassa və inkassasiya prosesləri departamenti</v>
          </cell>
          <cell r="D1256" t="str">
            <v>Nağd pul əməliyyatları şöbəsi</v>
          </cell>
          <cell r="E1256" t="str">
            <v>#</v>
          </cell>
          <cell r="F1256" t="str">
            <v>Menecer</v>
          </cell>
          <cell r="G1256" t="str">
            <v>A</v>
          </cell>
          <cell r="H1256">
            <v>39966</v>
          </cell>
        </row>
        <row r="1257">
          <cell r="B1257" t="str">
            <v>Nağıyev Sərdar Adil</v>
          </cell>
          <cell r="C1257" t="str">
            <v>Kassa və inkassasiya prosesləri departamenti</v>
          </cell>
          <cell r="D1257" t="str">
            <v>İnkassasiya əməliyyatları şöbəsi</v>
          </cell>
          <cell r="E1257" t="str">
            <v>#</v>
          </cell>
          <cell r="F1257" t="str">
            <v>Menecer</v>
          </cell>
          <cell r="G1257" t="str">
            <v>A</v>
          </cell>
          <cell r="H1257">
            <v>40010</v>
          </cell>
        </row>
        <row r="1258">
          <cell r="B1258" t="str">
            <v>Rzayev Nurlan Polad</v>
          </cell>
          <cell r="C1258" t="str">
            <v>Kassa və inkassasiya prosesləri departamenti</v>
          </cell>
          <cell r="D1258" t="str">
            <v>İnkassasiya mərkəzləri ilə iş şöbəsi</v>
          </cell>
          <cell r="E1258" t="str">
            <v>#</v>
          </cell>
          <cell r="F1258" t="str">
            <v>Baş mütəxəssis</v>
          </cell>
          <cell r="G1258" t="str">
            <v>A</v>
          </cell>
          <cell r="H1258">
            <v>41703</v>
          </cell>
        </row>
        <row r="1259">
          <cell r="B1259" t="str">
            <v>Hüseynov Hüseyn Əliqara</v>
          </cell>
          <cell r="C1259" t="str">
            <v>Kassa və inkassasiya prosesləri departamenti</v>
          </cell>
          <cell r="D1259" t="str">
            <v>İnkassasiya mərkəzləri ilə iş şöbəsi</v>
          </cell>
          <cell r="E1259" t="str">
            <v>#</v>
          </cell>
          <cell r="F1259" t="str">
            <v>Kassir-inkassator (Beyləqan regional inkassasiya mərkəzi üzrə)(0,5 ştat vahidi üzrə əvəzçilik qaydasında)</v>
          </cell>
          <cell r="G1259" t="str">
            <v>A</v>
          </cell>
          <cell r="H1259">
            <v>46267</v>
          </cell>
          <cell r="I1259" t="str">
            <v>Bir Payment</v>
          </cell>
        </row>
        <row r="1260">
          <cell r="B1260" t="str">
            <v>Hüseynov Məhəmməd Yavər</v>
          </cell>
          <cell r="C1260" t="str">
            <v>Kassa və inkassasiya prosesləri departamenti</v>
          </cell>
          <cell r="D1260" t="str">
            <v>İnkassasiya mərkəzləri ilə iş şöbəsi</v>
          </cell>
          <cell r="E1260" t="str">
            <v>#</v>
          </cell>
          <cell r="F1260" t="str">
            <v>Kassir-inkassator (Beyləqan regional inkassasiya mərkəzi üzrə)(0,5 ştat vahidi üzrə əvəzçilik qaydasında)</v>
          </cell>
          <cell r="G1260" t="str">
            <v>A</v>
          </cell>
          <cell r="H1260">
            <v>46267</v>
          </cell>
          <cell r="I1260" t="str">
            <v>Bir Payment</v>
          </cell>
        </row>
        <row r="1261">
          <cell r="B1261" t="str">
            <v>Alıyev Fuad Nazim</v>
          </cell>
          <cell r="C1261" t="str">
            <v>Kassa və inkassasiya prosesləri departamenti</v>
          </cell>
          <cell r="D1261" t="str">
            <v>İnkassasiya mərkəzləri ilə iş şöbəsi</v>
          </cell>
          <cell r="E1261" t="str">
            <v>#</v>
          </cell>
          <cell r="F1261" t="str">
            <v>Kassir-inkassator (Beyləqan regional inkassasiya mərkəzi üzrə)(0,5 ştat vahidi üzrə əvəzçilik qaydasında)</v>
          </cell>
          <cell r="G1261" t="str">
            <v>A</v>
          </cell>
          <cell r="H1261">
            <v>46267</v>
          </cell>
          <cell r="I1261" t="str">
            <v>Bir Payment</v>
          </cell>
        </row>
        <row r="1262">
          <cell r="B1262" t="str">
            <v>Hüseynov İlqar Rasim</v>
          </cell>
          <cell r="C1262" t="str">
            <v>Kassa və inkassasiya prosesləri departamenti</v>
          </cell>
          <cell r="D1262" t="str">
            <v>İnkassasiya mərkəzləri ilə iş şöbəsi</v>
          </cell>
          <cell r="E1262" t="str">
            <v>#</v>
          </cell>
          <cell r="F1262" t="str">
            <v>Kassir-inkassator (Beyləqan regional inkassasiya mərkəzi üzrə)(0,5 ştat vahidi üzrə əvəzçilik qaydasında)</v>
          </cell>
          <cell r="G1262" t="str">
            <v>A</v>
          </cell>
          <cell r="H1262">
            <v>46267</v>
          </cell>
          <cell r="I1262" t="str">
            <v>Bir Payment</v>
          </cell>
        </row>
        <row r="1263">
          <cell r="B1263" t="str">
            <v>Mirzəyev Xəyal Aqil</v>
          </cell>
          <cell r="C1263" t="str">
            <v>Kassa və inkassasiya prosesləri departamenti</v>
          </cell>
          <cell r="D1263" t="str">
            <v>İnkassasiya mərkəzləri ilə iş şöbəsi</v>
          </cell>
          <cell r="E1263" t="str">
            <v>#</v>
          </cell>
          <cell r="F1263" t="str">
            <v>Kassir-inkassator (Beyləqan regional inkassasiya mərkəzi üzrə)(0,5 ştat vahidi üzrə əvəzçilik qaydasında)</v>
          </cell>
          <cell r="G1263" t="str">
            <v>A</v>
          </cell>
          <cell r="H1263">
            <v>46267</v>
          </cell>
          <cell r="I1263" t="str">
            <v>Bir Payment</v>
          </cell>
        </row>
        <row r="1264">
          <cell r="B1264" t="str">
            <v>Şükürov Rəşad İmran</v>
          </cell>
          <cell r="C1264" t="str">
            <v>Kassa və inkassasiya prosesləri departamenti</v>
          </cell>
          <cell r="D1264" t="str">
            <v>İnkassasiya mərkəzləri ilə iş şöbəsi</v>
          </cell>
          <cell r="E1264" t="str">
            <v>#</v>
          </cell>
          <cell r="F1264" t="str">
            <v>Kassir-inkassator (Beyləqan regional inkassasiya mərkəzi üzrə)(0,5 ştat vahidi üzrə əvəzçilik qaydasında)</v>
          </cell>
          <cell r="G1264" t="str">
            <v>A</v>
          </cell>
          <cell r="H1264">
            <v>46267</v>
          </cell>
          <cell r="I1264" t="str">
            <v>Bir Payment</v>
          </cell>
        </row>
        <row r="1265">
          <cell r="B1265" t="str">
            <v>Nəsirov Elnur Əbülfəz</v>
          </cell>
          <cell r="C1265" t="str">
            <v>Kassa və inkassasiya prosesləri departamenti</v>
          </cell>
          <cell r="D1265" t="str">
            <v>İnkassasiya mərkəzləri ilə iş şöbəsi</v>
          </cell>
          <cell r="E1265" t="str">
            <v>#</v>
          </cell>
          <cell r="F1265" t="str">
            <v>Kassir-inkassator (Beyləqan regional inkassasiya mərkəzi üzrə)(0,5 ştat vahidi üzrə əvəzçilik qaydasında)</v>
          </cell>
          <cell r="G1265" t="str">
            <v>A</v>
          </cell>
          <cell r="H1265">
            <v>46267</v>
          </cell>
          <cell r="I1265" t="str">
            <v>Bir Payment</v>
          </cell>
        </row>
        <row r="1266">
          <cell r="B1266" t="str">
            <v>Əliyev Elməddin Cəbrayil</v>
          </cell>
          <cell r="C1266" t="str">
            <v>Kassa və inkassasiya prosesləri departamenti</v>
          </cell>
          <cell r="D1266" t="str">
            <v>İnkassasiya mərkəzləri ilə iş şöbəsi</v>
          </cell>
          <cell r="E1266" t="str">
            <v>#</v>
          </cell>
          <cell r="F1266" t="str">
            <v>Kassir-inkassator (Beyləqan regional inkassasiya mərkəzi üzrə)(0,5 ştat vahidi üzrə əvəzçilik qaydasında)</v>
          </cell>
          <cell r="G1266" t="str">
            <v>A</v>
          </cell>
          <cell r="H1266">
            <v>46274</v>
          </cell>
          <cell r="I1266" t="str">
            <v>Bir Payment</v>
          </cell>
        </row>
        <row r="1267">
          <cell r="B1267" t="str">
            <v>Məmmədov Sabir Qabil</v>
          </cell>
          <cell r="C1267" t="str">
            <v>Kassa və inkassasiya prosesləri departamenti</v>
          </cell>
          <cell r="D1267" t="str">
            <v>İnkassasiya mərkəzləri ilə iş şöbəsi</v>
          </cell>
          <cell r="E1267" t="str">
            <v>#</v>
          </cell>
          <cell r="F1267" t="str">
            <v>Baş mütəxəssis (Yevlax regional inkassasiya mərkəzi üzrə)</v>
          </cell>
          <cell r="G1267" t="str">
            <v>A</v>
          </cell>
          <cell r="H1267">
            <v>46239</v>
          </cell>
          <cell r="I1267" t="str">
            <v>Bir Payment</v>
          </cell>
        </row>
        <row r="1268">
          <cell r="B1268" t="str">
            <v>İbadov Elşən Bülbül</v>
          </cell>
          <cell r="C1268" t="str">
            <v>Kassa və inkassasiya prosesləri departamenti</v>
          </cell>
          <cell r="D1268" t="str">
            <v>İnkassasiya mərkəzləri ilə iş şöbəsi</v>
          </cell>
          <cell r="E1268" t="str">
            <v>#</v>
          </cell>
          <cell r="F1268" t="str">
            <v>Baş mütəxəssis (Lənkaran regional inkassasiya mərkəzi üzrə)</v>
          </cell>
          <cell r="G1268" t="str">
            <v>A</v>
          </cell>
          <cell r="H1268">
            <v>46239</v>
          </cell>
          <cell r="I1268" t="str">
            <v>Bir Payment</v>
          </cell>
        </row>
        <row r="1269">
          <cell r="B1269" t="str">
            <v>Məmmədov Rza Şahmirzə</v>
          </cell>
          <cell r="C1269" t="str">
            <v>Kassa və inkassasiya prosesləri departamenti</v>
          </cell>
          <cell r="D1269" t="str">
            <v>İnkassasiya mərkəzləri ilə iş şöbəsi</v>
          </cell>
          <cell r="E1269" t="str">
            <v>#</v>
          </cell>
          <cell r="F1269" t="str">
            <v>Kassir-inkassator (Lənkaran regional inkassasiya mərkəzi üzrə)(0,5 ştat vahidi üzrə əvəzçilik qaydasında)</v>
          </cell>
          <cell r="G1269" t="str">
            <v>A</v>
          </cell>
          <cell r="H1269">
            <v>46267</v>
          </cell>
          <cell r="I1269" t="str">
            <v>Bir Payment</v>
          </cell>
        </row>
        <row r="1270">
          <cell r="B1270" t="str">
            <v>Oruczadə Vahid Dəryaqulu</v>
          </cell>
          <cell r="C1270" t="str">
            <v>Kassa və inkassasiya prosesləri departamenti</v>
          </cell>
          <cell r="D1270" t="str">
            <v>İnkassasiya mərkəzləri ilə iş şöbəsi</v>
          </cell>
          <cell r="E1270" t="str">
            <v>#</v>
          </cell>
          <cell r="F1270" t="str">
            <v>Kassir-inkassator (Lənkaran regional inkassasiya mərkəzi üzrə)(0,5 ştat vahidi üzrə əvəzçilik qaydasında)</v>
          </cell>
          <cell r="G1270" t="str">
            <v>A</v>
          </cell>
          <cell r="H1270">
            <v>46267</v>
          </cell>
          <cell r="I1270" t="str">
            <v>Bir Payment</v>
          </cell>
        </row>
        <row r="1271">
          <cell r="B1271" t="str">
            <v>İmanov Sadiq Möhübbət</v>
          </cell>
          <cell r="C1271" t="str">
            <v>Kassa və inkassasiya prosesləri departamenti</v>
          </cell>
          <cell r="D1271" t="str">
            <v>İnkassasiya mərkəzləri ilə iş şöbəsi</v>
          </cell>
          <cell r="E1271" t="str">
            <v>#</v>
          </cell>
          <cell r="F1271" t="str">
            <v>Kassir-inkassator (Lənkaran regional inkassasiya mərkəzi üzrə)(0,5 ştat vahidi üzrə əvəzçilik qaydasında)</v>
          </cell>
          <cell r="G1271" t="str">
            <v>A</v>
          </cell>
          <cell r="H1271">
            <v>46267</v>
          </cell>
          <cell r="I1271" t="str">
            <v>Bir Payment</v>
          </cell>
        </row>
        <row r="1272">
          <cell r="B1272" t="str">
            <v>Əhmədov Səbuhi İltifat</v>
          </cell>
          <cell r="C1272" t="str">
            <v>Kassa və inkassasiya prosesləri departamenti</v>
          </cell>
          <cell r="D1272" t="str">
            <v>İnkassasiya mərkəzləri ilə iş şöbəsi</v>
          </cell>
          <cell r="E1272" t="str">
            <v>#</v>
          </cell>
          <cell r="F1272" t="str">
            <v>Kassir-inkassator (Lənkaran regional inkassasiya mərkəzi üzrə)(0,5 ştat vahidi üzrə əvəzçilik qaydasında)</v>
          </cell>
          <cell r="G1272" t="str">
            <v>A</v>
          </cell>
          <cell r="H1272">
            <v>46267</v>
          </cell>
          <cell r="I1272" t="str">
            <v>Bir Payment</v>
          </cell>
        </row>
        <row r="1273">
          <cell r="B1273" t="str">
            <v>Rzayev Elvin Ənvər</v>
          </cell>
          <cell r="C1273" t="str">
            <v>Kassa və inkassasiya prosesləri departamenti</v>
          </cell>
          <cell r="D1273" t="str">
            <v>İnkassasiya mərkəzləri ilə iş şöbəsi</v>
          </cell>
          <cell r="E1273" t="str">
            <v>#</v>
          </cell>
          <cell r="F1273" t="str">
            <v>Kassir-inkassator (Lənkaran regional inkassasiya mərkəzi üzrə)(0,5 ştat vahidi üzrə əvəzçilik qaydasında)</v>
          </cell>
          <cell r="G1273" t="str">
            <v>A</v>
          </cell>
          <cell r="H1273">
            <v>46267</v>
          </cell>
          <cell r="I1273" t="str">
            <v>Bir Payment</v>
          </cell>
        </row>
        <row r="1274">
          <cell r="B1274" t="str">
            <v>Təhməzov Səbuhi Məhəmməd</v>
          </cell>
          <cell r="C1274" t="str">
            <v>Kassa və inkassasiya prosesləri departamenti</v>
          </cell>
          <cell r="D1274" t="str">
            <v>İnkassasiya mərkəzləri ilə iş şöbəsi</v>
          </cell>
          <cell r="E1274" t="str">
            <v>#</v>
          </cell>
          <cell r="F1274" t="str">
            <v>Baş mütəxəssis (Beylaqan regional inkassasiya mərkəzi üzrə)</v>
          </cell>
          <cell r="G1274" t="str">
            <v>A</v>
          </cell>
          <cell r="H1274">
            <v>46246</v>
          </cell>
          <cell r="I1274" t="str">
            <v>Bir Payment</v>
          </cell>
        </row>
        <row r="1275">
          <cell r="B1275" t="str">
            <v>Məsimov Əmir Yaqub</v>
          </cell>
          <cell r="C1275" t="str">
            <v>Kassa və inkassasiya prosesləri departamenti</v>
          </cell>
          <cell r="D1275" t="str">
            <v>İnkassasiya mərkəzləri ilə iş şöbəsi</v>
          </cell>
          <cell r="E1275" t="str">
            <v>#</v>
          </cell>
          <cell r="F1275" t="str">
            <v xml:space="preserve">Aparıcı mütəxəssis </v>
          </cell>
          <cell r="G1275" t="str">
            <v>A</v>
          </cell>
          <cell r="H1275">
            <v>46252</v>
          </cell>
          <cell r="I1275" t="str">
            <v>Bir Payment</v>
          </cell>
        </row>
        <row r="1276">
          <cell r="B1276" t="str">
            <v>Əlövsətli Əfqan Qabil</v>
          </cell>
          <cell r="C1276" t="str">
            <v>Kassa və inkassasiya prosesləri departamenti</v>
          </cell>
          <cell r="D1276" t="str">
            <v>İnkassasiya mərkəzləri ilə iş şöbəsi</v>
          </cell>
          <cell r="E1276" t="str">
            <v>#</v>
          </cell>
          <cell r="F1276" t="str">
            <v>Kassir-inkassator (Yevlax regional inkassasiya mərkəzi üzrə)(0,5 ştat vahidi üzrə əvəzçilik qaydasında)</v>
          </cell>
          <cell r="G1276" t="str">
            <v>A</v>
          </cell>
          <cell r="H1276">
            <v>46258</v>
          </cell>
          <cell r="I1276" t="str">
            <v>Bir Payment</v>
          </cell>
        </row>
        <row r="1277">
          <cell r="B1277" t="str">
            <v>Cəbiyev Vüsal Eynulla</v>
          </cell>
          <cell r="C1277" t="str">
            <v>Kassa və inkassasiya prosesləri departamenti</v>
          </cell>
          <cell r="D1277" t="str">
            <v>İnkassasiya mərkəzləri ilə iş şöbəsi</v>
          </cell>
          <cell r="E1277" t="str">
            <v>#</v>
          </cell>
          <cell r="F1277" t="str">
            <v>Kassir-inkassator (İsmayıllı regional inkassasiya mərkəzi üzrə)(0,5 ştat vahidi üzrə əvəzçilik qaydasında)</v>
          </cell>
          <cell r="G1277" t="str">
            <v>A</v>
          </cell>
          <cell r="H1277">
            <v>46258</v>
          </cell>
          <cell r="I1277" t="str">
            <v>Bir Payment</v>
          </cell>
        </row>
        <row r="1278">
          <cell r="B1278" t="str">
            <v>Musazadə Ceyhun Famil</v>
          </cell>
          <cell r="C1278" t="str">
            <v>Kassa və inkassasiya prosesləri departamenti</v>
          </cell>
          <cell r="D1278" t="str">
            <v>İnkassasiya mərkəzləri ilə iş şöbəsi</v>
          </cell>
          <cell r="E1278" t="str">
            <v>#</v>
          </cell>
          <cell r="F1278" t="str">
            <v>Kassir-inkassator (İsmayıllı regional inkassasiya mərkəzi üzrə)(0,5 ştat vahidi üzrə əvəzçilik qaydasında)</v>
          </cell>
          <cell r="G1278" t="str">
            <v>A</v>
          </cell>
          <cell r="H1278">
            <v>46258</v>
          </cell>
          <cell r="I1278" t="str">
            <v>Bir Payment</v>
          </cell>
        </row>
        <row r="1279">
          <cell r="B1279" t="str">
            <v>Əskərli İlyas Şaiq</v>
          </cell>
          <cell r="C1279" t="str">
            <v>Kassa və inkassasiya prosesləri departamenti</v>
          </cell>
          <cell r="D1279" t="str">
            <v>İnkassasiya mərkəzləri ilə iş şöbəsi</v>
          </cell>
          <cell r="E1279" t="str">
            <v>#</v>
          </cell>
          <cell r="F1279" t="str">
            <v>Kassir-inkassator (İsmayıllı regional inkassasiya mərkəzi üzrə)(0,5 ştat vahidi üzrə əvəzçilik qaydasında)</v>
          </cell>
          <cell r="G1279" t="str">
            <v>A</v>
          </cell>
          <cell r="H1279">
            <v>46258</v>
          </cell>
          <cell r="I1279" t="str">
            <v>Bir Payment</v>
          </cell>
        </row>
        <row r="1280">
          <cell r="B1280" t="str">
            <v>Şükürov Bəhram Hidayət</v>
          </cell>
          <cell r="C1280" t="str">
            <v>Kassa və inkassasiya prosesləri departamenti</v>
          </cell>
          <cell r="D1280" t="str">
            <v>İnkassasiya mərkəzləri ilə iş şöbəsi</v>
          </cell>
          <cell r="E1280" t="str">
            <v>#</v>
          </cell>
          <cell r="F1280" t="str">
            <v>Kassir-inkassator (Biləsuvar regional inkassasiya mərkəzi üzrə)(0,5 ştat vahidi üzrə əvəzçilik qaydasında)</v>
          </cell>
          <cell r="G1280" t="str">
            <v>A</v>
          </cell>
          <cell r="H1280">
            <v>46258</v>
          </cell>
          <cell r="I1280" t="str">
            <v>Bir Payment</v>
          </cell>
        </row>
        <row r="1281">
          <cell r="B1281" t="str">
            <v>İmanov Kənan Şakir</v>
          </cell>
          <cell r="C1281" t="str">
            <v>Kassa və inkassasiya prosesləri departamenti</v>
          </cell>
          <cell r="D1281" t="str">
            <v>İnkassasiya mərkəzləri ilə iş şöbəsi</v>
          </cell>
          <cell r="E1281" t="str">
            <v>#</v>
          </cell>
          <cell r="F1281" t="str">
            <v>Kassir-inkassator (Biləsuvar regional inkassasiya mərkəzi üzrə)(0,5 ştat vahidi üzrə əvəzçilik qaydasında)</v>
          </cell>
          <cell r="G1281" t="str">
            <v>A</v>
          </cell>
          <cell r="H1281">
            <v>46274</v>
          </cell>
          <cell r="I1281" t="str">
            <v>Bir Payment</v>
          </cell>
        </row>
        <row r="1282">
          <cell r="B1282" t="str">
            <v>Abbasova Lalə Cavanşir</v>
          </cell>
          <cell r="C1282" t="str">
            <v>Kassa və inkassasiya prosesləri departamenti</v>
          </cell>
          <cell r="D1282" t="str">
            <v>Nağd pul əməliyyatları şöbəsi</v>
          </cell>
          <cell r="E1282" t="str">
            <v>#</v>
          </cell>
          <cell r="F1282" t="str">
            <v>Aparıcı mütəxəssis</v>
          </cell>
          <cell r="G1282" t="str">
            <v>A</v>
          </cell>
          <cell r="H1282">
            <v>44624</v>
          </cell>
        </row>
        <row r="1283">
          <cell r="B1283" t="str">
            <v>Tağıyeva Əntiqə Nəriman</v>
          </cell>
          <cell r="C1283" t="str">
            <v>Kassa və inkassasiya prosesləri departamenti</v>
          </cell>
          <cell r="D1283" t="str">
            <v>Nağd pul əməliyyatları şöbəsi</v>
          </cell>
          <cell r="E1283" t="str">
            <v>#</v>
          </cell>
          <cell r="F1283" t="str">
            <v>Aparıcı mütəxəssis</v>
          </cell>
          <cell r="G1283" t="str">
            <v>A</v>
          </cell>
          <cell r="H1283">
            <v>41997</v>
          </cell>
        </row>
        <row r="1284">
          <cell r="B1284" t="str">
            <v>Behbudov Fariz Fərhad</v>
          </cell>
          <cell r="C1284" t="str">
            <v>Kassa və inkassasiya prosesləri departamenti</v>
          </cell>
          <cell r="D1284" t="str">
            <v>Nağd pul əməliyyatları şöbəsi</v>
          </cell>
          <cell r="E1284" t="str">
            <v>#</v>
          </cell>
          <cell r="F1284" t="str">
            <v>Aparıcı mütəxəssis</v>
          </cell>
          <cell r="G1284" t="str">
            <v>A</v>
          </cell>
          <cell r="H1284">
            <v>46150</v>
          </cell>
          <cell r="I1284" t="str">
            <v>Bir Payment</v>
          </cell>
        </row>
        <row r="1285">
          <cell r="B1285" t="str">
            <v>Manafov Rəşad İsrafil</v>
          </cell>
          <cell r="C1285" t="str">
            <v>Kassa və inkassasiya prosesləri departamenti</v>
          </cell>
          <cell r="D1285" t="str">
            <v>Nağd pul əməliyyatları şöbəsi</v>
          </cell>
          <cell r="E1285" t="str">
            <v>#</v>
          </cell>
          <cell r="F1285" t="str">
            <v>Mütəxəssis</v>
          </cell>
          <cell r="G1285" t="str">
            <v>A</v>
          </cell>
          <cell r="H1285">
            <v>43210</v>
          </cell>
        </row>
        <row r="1286">
          <cell r="B1286" t="str">
            <v>Nəbiyev Şahbəddin Hümbət</v>
          </cell>
          <cell r="C1286" t="str">
            <v>Kassa və inkassasiya prosesləri departamenti</v>
          </cell>
          <cell r="D1286" t="str">
            <v>Nağd pul əməliyyatları şöbəsi</v>
          </cell>
          <cell r="E1286" t="str">
            <v>#</v>
          </cell>
          <cell r="F1286" t="str">
            <v>Kassir-inkassator</v>
          </cell>
          <cell r="G1286" t="str">
            <v>A</v>
          </cell>
          <cell r="H1286">
            <v>36713</v>
          </cell>
        </row>
        <row r="1287">
          <cell r="B1287" t="str">
            <v>Hüseynov Aqil Vaqif</v>
          </cell>
          <cell r="C1287" t="str">
            <v>Kassa və inkassasiya prosesləri departamenti</v>
          </cell>
          <cell r="D1287" t="str">
            <v>İnkassasiya mərkəzləri ilə iş şöbəsi</v>
          </cell>
          <cell r="E1287" t="str">
            <v>#</v>
          </cell>
          <cell r="F1287" t="str">
            <v>Kassir-inkassator</v>
          </cell>
          <cell r="G1287" t="str">
            <v>A</v>
          </cell>
          <cell r="H1287">
            <v>41823</v>
          </cell>
        </row>
        <row r="1288">
          <cell r="B1288" t="str">
            <v>Cəfərov Ramil Akif</v>
          </cell>
          <cell r="C1288" t="str">
            <v>Kassa və inkassasiya prosesləri departamenti</v>
          </cell>
          <cell r="D1288" t="str">
            <v>İnkassasiya əməliyyatları şöbəsi</v>
          </cell>
          <cell r="E1288" t="str">
            <v>#</v>
          </cell>
          <cell r="F1288" t="str">
            <v>Kassir-inkassator</v>
          </cell>
          <cell r="G1288" t="str">
            <v>A</v>
          </cell>
          <cell r="H1288">
            <v>42299</v>
          </cell>
        </row>
        <row r="1289">
          <cell r="B1289" t="str">
            <v>Həsənov Vurğun İlham</v>
          </cell>
          <cell r="C1289" t="str">
            <v>Kassa və inkassasiya prosesləri departamenti</v>
          </cell>
          <cell r="D1289" t="str">
            <v>Nağd pul əməliyyatları şöbəsi</v>
          </cell>
          <cell r="E1289" t="str">
            <v>#</v>
          </cell>
          <cell r="F1289" t="str">
            <v>Kassir-inkassator</v>
          </cell>
          <cell r="G1289" t="str">
            <v>A</v>
          </cell>
          <cell r="H1289">
            <v>45357</v>
          </cell>
        </row>
        <row r="1290">
          <cell r="B1290" t="str">
            <v>Novruzov Vüqar İlham</v>
          </cell>
          <cell r="C1290" t="str">
            <v>Kassa və inkassasiya prosesləri departamenti</v>
          </cell>
          <cell r="D1290" t="str">
            <v>Nağd pul əməliyyatları şöbəsi</v>
          </cell>
          <cell r="E1290" t="str">
            <v>#</v>
          </cell>
          <cell r="F1290" t="str">
            <v>Kassir-inkassator</v>
          </cell>
          <cell r="G1290" t="str">
            <v>A</v>
          </cell>
          <cell r="H1290">
            <v>45357</v>
          </cell>
        </row>
        <row r="1291">
          <cell r="B1291" t="str">
            <v>Həsənov Raul Rəfael</v>
          </cell>
          <cell r="C1291" t="str">
            <v>Kassa və inkassasiya prosesləri departamenti</v>
          </cell>
          <cell r="D1291" t="str">
            <v>Nağd pul əməliyyatları şöbəsi</v>
          </cell>
          <cell r="E1291" t="str">
            <v>#</v>
          </cell>
          <cell r="F1291" t="str">
            <v>Kassir-inkassator</v>
          </cell>
          <cell r="G1291" t="str">
            <v>A</v>
          </cell>
          <cell r="H1291">
            <v>45357</v>
          </cell>
        </row>
        <row r="1292">
          <cell r="B1292" t="str">
            <v>Əliyev Rafiq Yunus</v>
          </cell>
          <cell r="C1292" t="str">
            <v>Kassa və inkassasiya prosesləri departamenti</v>
          </cell>
          <cell r="D1292" t="str">
            <v>Nağd pul əməliyyatları şöbəsi</v>
          </cell>
          <cell r="E1292" t="str">
            <v>#</v>
          </cell>
          <cell r="F1292" t="str">
            <v>Kassir-inkassator</v>
          </cell>
          <cell r="G1292" t="str">
            <v>A</v>
          </cell>
          <cell r="H1292">
            <v>45357</v>
          </cell>
        </row>
        <row r="1293">
          <cell r="B1293" t="str">
            <v>Ağayev Nofəl Əmiraslan</v>
          </cell>
          <cell r="C1293" t="str">
            <v>Kassa və inkassasiya prosesləri departamenti</v>
          </cell>
          <cell r="D1293" t="str">
            <v>İnkassasiya mərkəzləri ilə iş şöbəsi</v>
          </cell>
          <cell r="E1293" t="str">
            <v>#</v>
          </cell>
          <cell r="F1293" t="str">
            <v>Kassir-inkassator</v>
          </cell>
          <cell r="G1293" t="str">
            <v>A</v>
          </cell>
          <cell r="H1293">
            <v>43024</v>
          </cell>
        </row>
        <row r="1294">
          <cell r="B1294" t="str">
            <v>Rəfili Səbuhi İkram</v>
          </cell>
          <cell r="C1294" t="str">
            <v>Kassa və inkassasiya prosesləri departamenti</v>
          </cell>
          <cell r="D1294" t="str">
            <v>İnkassasiya mərkəzləri ilə iş şöbəsi</v>
          </cell>
          <cell r="E1294" t="str">
            <v>#</v>
          </cell>
          <cell r="F1294" t="str">
            <v>Kassir-inkassator</v>
          </cell>
          <cell r="G1294" t="str">
            <v>A</v>
          </cell>
          <cell r="H1294">
            <v>46154</v>
          </cell>
          <cell r="I1294" t="str">
            <v>Bir Payment</v>
          </cell>
        </row>
        <row r="1295">
          <cell r="B1295" t="str">
            <v>Nəbiyev Saqir İlham</v>
          </cell>
          <cell r="C1295" t="str">
            <v>Kassa və inkassasiya prosesləri departamenti</v>
          </cell>
          <cell r="D1295" t="str">
            <v>İnkassasiya mərkəzləri ilə iş şöbəsi</v>
          </cell>
          <cell r="E1295" t="str">
            <v>#</v>
          </cell>
          <cell r="F1295" t="str">
            <v>Kassir-inkassator</v>
          </cell>
          <cell r="G1295" t="str">
            <v>A</v>
          </cell>
          <cell r="H1295">
            <v>46154</v>
          </cell>
          <cell r="I1295" t="str">
            <v>Bir Payment</v>
          </cell>
        </row>
        <row r="1296">
          <cell r="B1296" t="str">
            <v>Abdullayev Seymur Şaiq</v>
          </cell>
          <cell r="C1296" t="str">
            <v>Kassa və inkassasiya prosesləri departamenti</v>
          </cell>
          <cell r="D1296" t="str">
            <v>İnkassasiya mərkəzləri ilə iş şöbəsi</v>
          </cell>
          <cell r="E1296" t="str">
            <v>#</v>
          </cell>
          <cell r="F1296" t="str">
            <v>Kassir-inkassator</v>
          </cell>
          <cell r="G1296" t="str">
            <v>A</v>
          </cell>
          <cell r="H1296">
            <v>46154</v>
          </cell>
          <cell r="I1296" t="str">
            <v>Bir Payment</v>
          </cell>
        </row>
        <row r="1297">
          <cell r="B1297" t="str">
            <v>Hüseynli Mirseyid Hüseyn</v>
          </cell>
          <cell r="C1297" t="str">
            <v>Kassa və inkassasiya prosesləri departamenti</v>
          </cell>
          <cell r="D1297" t="str">
            <v>İnkassasiya əməliyyatları şöbəsi</v>
          </cell>
          <cell r="E1297" t="str">
            <v>#</v>
          </cell>
          <cell r="F1297" t="str">
            <v>Kassir-inkassator</v>
          </cell>
          <cell r="G1297" t="str">
            <v>A</v>
          </cell>
          <cell r="H1297">
            <v>44987</v>
          </cell>
        </row>
        <row r="1298">
          <cell r="B1298" t="str">
            <v>Ömərov Səbuhi Abdullayeviç</v>
          </cell>
          <cell r="C1298" t="str">
            <v>Kassa və inkassasiya prosesləri departamenti</v>
          </cell>
          <cell r="D1298" t="str">
            <v>İnkassasiya mərkəzləri ilə iş şöbəsi</v>
          </cell>
          <cell r="E1298" t="str">
            <v>#</v>
          </cell>
          <cell r="F1298" t="str">
            <v>Kassir-inkassator</v>
          </cell>
          <cell r="G1298" t="str">
            <v>A</v>
          </cell>
          <cell r="H1298">
            <v>44860</v>
          </cell>
        </row>
        <row r="1299">
          <cell r="B1299" t="str">
            <v>Kaşiyev Seymur Təyyar</v>
          </cell>
          <cell r="C1299" t="str">
            <v>Kassa və inkassasiya prosesləri departamenti</v>
          </cell>
          <cell r="D1299" t="str">
            <v>Nağd pul əməliyyatları şöbəsi</v>
          </cell>
          <cell r="E1299" t="str">
            <v>#</v>
          </cell>
          <cell r="F1299" t="str">
            <v>Kassir-inkassator</v>
          </cell>
          <cell r="G1299" t="str">
            <v>A</v>
          </cell>
          <cell r="H1299">
            <v>45079</v>
          </cell>
        </row>
        <row r="1300">
          <cell r="B1300" t="str">
            <v>Ağaç Natəvan Zülfiqar</v>
          </cell>
          <cell r="C1300" t="str">
            <v>Kassa və inkassasiya prosesləri departamenti</v>
          </cell>
          <cell r="D1300" t="str">
            <v>Nağd pul əməliyyatları şöbəsi</v>
          </cell>
          <cell r="E1300" t="str">
            <v>#</v>
          </cell>
          <cell r="F1300" t="str">
            <v>Kassir</v>
          </cell>
          <cell r="G1300" t="str">
            <v>A</v>
          </cell>
          <cell r="H1300">
            <v>46154</v>
          </cell>
          <cell r="I1300" t="str">
            <v>Bir Payment</v>
          </cell>
        </row>
        <row r="1301">
          <cell r="B1301" t="str">
            <v>Həmzəyeva Günel Niyazi</v>
          </cell>
          <cell r="C1301" t="str">
            <v>Kassa və inkassasiya prosesləri departamenti</v>
          </cell>
          <cell r="D1301" t="str">
            <v>Nağd pul əməliyyatları şöbəsi</v>
          </cell>
          <cell r="E1301" t="str">
            <v>#</v>
          </cell>
          <cell r="F1301" t="str">
            <v>Kassir</v>
          </cell>
          <cell r="G1301" t="str">
            <v>A</v>
          </cell>
          <cell r="H1301">
            <v>46154</v>
          </cell>
          <cell r="I1301" t="str">
            <v>Bir Payment</v>
          </cell>
        </row>
        <row r="1302">
          <cell r="B1302" t="str">
            <v>Qüdrətzadə Tamilla Bəhruz</v>
          </cell>
          <cell r="C1302" t="str">
            <v>Kassa və inkassasiya prosesləri departamenti</v>
          </cell>
          <cell r="D1302" t="str">
            <v>Nağd pul əməliyyatları şöbəsi</v>
          </cell>
          <cell r="E1302" t="str">
            <v>#</v>
          </cell>
          <cell r="F1302" t="str">
            <v>Kassir</v>
          </cell>
          <cell r="G1302" t="str">
            <v>A</v>
          </cell>
          <cell r="H1302">
            <v>46154</v>
          </cell>
          <cell r="I1302" t="str">
            <v>Bir Payment</v>
          </cell>
        </row>
        <row r="1303">
          <cell r="B1303" t="str">
            <v>Cəfərova Fatimə Sozalı</v>
          </cell>
          <cell r="C1303" t="str">
            <v>Kassa və inkassasiya prosesləri departamenti</v>
          </cell>
          <cell r="D1303" t="str">
            <v>Nağd pul əməliyyatları şöbəsi</v>
          </cell>
          <cell r="E1303" t="str">
            <v>#</v>
          </cell>
          <cell r="F1303" t="str">
            <v>Kassir</v>
          </cell>
          <cell r="G1303" t="str">
            <v>A</v>
          </cell>
          <cell r="H1303">
            <v>46154</v>
          </cell>
          <cell r="I1303" t="str">
            <v>Bir Payment</v>
          </cell>
        </row>
        <row r="1304">
          <cell r="B1304" t="str">
            <v>Ağayeva Nigar Kamal</v>
          </cell>
          <cell r="C1304" t="str">
            <v>Kassa və inkassasiya prosesləri departamenti</v>
          </cell>
          <cell r="D1304" t="str">
            <v>Nağd pul əməliyyatları şöbəsi</v>
          </cell>
          <cell r="E1304" t="str">
            <v>#</v>
          </cell>
          <cell r="F1304" t="str">
            <v>Kassir</v>
          </cell>
          <cell r="G1304" t="str">
            <v>A</v>
          </cell>
          <cell r="H1304">
            <v>46154</v>
          </cell>
          <cell r="I1304" t="str">
            <v>Bir Payment</v>
          </cell>
        </row>
        <row r="1305">
          <cell r="B1305" t="str">
            <v>Xuduyeva Pərvin Elsevər</v>
          </cell>
          <cell r="C1305" t="str">
            <v>Kassa və inkassasiya prosesləri departamenti</v>
          </cell>
          <cell r="D1305" t="str">
            <v>Nağd pul əməliyyatları şöbəsi</v>
          </cell>
          <cell r="E1305" t="str">
            <v>#</v>
          </cell>
          <cell r="F1305" t="str">
            <v>Kassir</v>
          </cell>
          <cell r="G1305" t="str">
            <v>A</v>
          </cell>
          <cell r="H1305">
            <v>46154</v>
          </cell>
          <cell r="I1305" t="str">
            <v>Bir Payment</v>
          </cell>
        </row>
        <row r="1306">
          <cell r="B1306" t="str">
            <v>Abbasova Fərqanə Tarverdi</v>
          </cell>
          <cell r="C1306" t="str">
            <v>Kassa və inkassasiya prosesləri departamenti</v>
          </cell>
          <cell r="D1306" t="str">
            <v>Nağd pul əməliyyatları şöbəsi</v>
          </cell>
          <cell r="E1306" t="str">
            <v>#</v>
          </cell>
          <cell r="F1306" t="str">
            <v>Kassir</v>
          </cell>
          <cell r="G1306" t="str">
            <v>A</v>
          </cell>
          <cell r="H1306">
            <v>46154</v>
          </cell>
          <cell r="I1306" t="str">
            <v>Bir Payment</v>
          </cell>
        </row>
        <row r="1307">
          <cell r="B1307" t="str">
            <v>Paşazadə Zeynəb Nahib</v>
          </cell>
          <cell r="C1307" t="str">
            <v>Kassa və inkassasiya prosesləri departamenti</v>
          </cell>
          <cell r="D1307" t="str">
            <v>Nağd pul əməliyyatları şöbəsi</v>
          </cell>
          <cell r="E1307" t="str">
            <v>#</v>
          </cell>
          <cell r="F1307" t="str">
            <v>Kassir</v>
          </cell>
          <cell r="G1307" t="str">
            <v>A</v>
          </cell>
          <cell r="H1307">
            <v>46161</v>
          </cell>
          <cell r="I1307" t="str">
            <v>Bir Payment</v>
          </cell>
        </row>
        <row r="1308">
          <cell r="B1308" t="str">
            <v>Hacıyeva Aytən Allahşükür</v>
          </cell>
          <cell r="C1308" t="str">
            <v>Kassa və inkassasiya prosesləri departamenti</v>
          </cell>
          <cell r="D1308" t="str">
            <v>Nağd pul əməliyyatları şöbəsi</v>
          </cell>
          <cell r="E1308" t="str">
            <v>#</v>
          </cell>
          <cell r="F1308" t="str">
            <v>Kassir</v>
          </cell>
          <cell r="G1308" t="str">
            <v>A</v>
          </cell>
          <cell r="H1308">
            <v>46154</v>
          </cell>
          <cell r="I1308" t="str">
            <v>Bir Payment</v>
          </cell>
        </row>
        <row r="1309">
          <cell r="B1309" t="str">
            <v>Həsənova Selcan İlqar</v>
          </cell>
          <cell r="C1309" t="str">
            <v>Kassa və inkassasiya prosesləri departamenti</v>
          </cell>
          <cell r="D1309" t="str">
            <v>Nağd pul əməliyyatları şöbəsi</v>
          </cell>
          <cell r="E1309" t="str">
            <v>#</v>
          </cell>
          <cell r="F1309" t="str">
            <v>Kassir</v>
          </cell>
          <cell r="G1309" t="str">
            <v>A</v>
          </cell>
          <cell r="H1309">
            <v>46154</v>
          </cell>
          <cell r="I1309" t="str">
            <v>Bir Payment</v>
          </cell>
        </row>
        <row r="1310">
          <cell r="B1310" t="str">
            <v>Abdullayeva Nərmin Natiq</v>
          </cell>
          <cell r="C1310" t="str">
            <v>Kassa və inkassasiya prosesləri departamenti</v>
          </cell>
          <cell r="D1310" t="str">
            <v>Nağd pul əməliyyatları şöbəsi</v>
          </cell>
          <cell r="E1310" t="str">
            <v>#</v>
          </cell>
          <cell r="F1310" t="str">
            <v>Kassir</v>
          </cell>
          <cell r="G1310" t="str">
            <v>A</v>
          </cell>
          <cell r="H1310">
            <v>46154</v>
          </cell>
          <cell r="I1310" t="str">
            <v>Bir Payment</v>
          </cell>
        </row>
        <row r="1311">
          <cell r="B1311" t="str">
            <v>Cəfərova Gülşən Nəbi</v>
          </cell>
          <cell r="C1311" t="str">
            <v>Kassa və inkassasiya prosesləri departamenti</v>
          </cell>
          <cell r="D1311" t="str">
            <v>Nağd pul əməliyyatları şöbəsi</v>
          </cell>
          <cell r="E1311" t="str">
            <v>#</v>
          </cell>
          <cell r="F1311" t="str">
            <v>Kassir</v>
          </cell>
          <cell r="G1311" t="str">
            <v>A</v>
          </cell>
          <cell r="H1311">
            <v>46154</v>
          </cell>
          <cell r="I1311" t="str">
            <v>Bir Payment</v>
          </cell>
        </row>
        <row r="1312">
          <cell r="B1312" t="str">
            <v>Mirzəyeva Könül Əsəd</v>
          </cell>
          <cell r="C1312" t="str">
            <v>Kassa və inkassasiya prosesləri departamenti</v>
          </cell>
          <cell r="D1312" t="str">
            <v>Nağd pul əməliyyatları şöbəsi</v>
          </cell>
          <cell r="E1312" t="str">
            <v>#</v>
          </cell>
          <cell r="F1312" t="str">
            <v>Kassir</v>
          </cell>
          <cell r="G1312" t="str">
            <v>A</v>
          </cell>
          <cell r="H1312">
            <v>46154</v>
          </cell>
          <cell r="I1312" t="str">
            <v>Bir Payment</v>
          </cell>
        </row>
        <row r="1313">
          <cell r="B1313" t="str">
            <v>Kazımova Aysel Kərim</v>
          </cell>
          <cell r="C1313" t="str">
            <v>Kassa və inkassasiya prosesləri departamenti</v>
          </cell>
          <cell r="D1313" t="str">
            <v>Nağd pul əməliyyatları şöbəsi</v>
          </cell>
          <cell r="E1313" t="str">
            <v>#</v>
          </cell>
          <cell r="F1313" t="str">
            <v>Kassir</v>
          </cell>
          <cell r="G1313" t="str">
            <v>A</v>
          </cell>
          <cell r="H1313">
            <v>46154</v>
          </cell>
          <cell r="I1313" t="str">
            <v>Bir Payment</v>
          </cell>
        </row>
        <row r="1314">
          <cell r="B1314" t="str">
            <v>Məmmədov Güvən Əfqan</v>
          </cell>
          <cell r="C1314" t="str">
            <v>Kassa və inkassasiya prosesləri departamenti</v>
          </cell>
          <cell r="D1314" t="str">
            <v>Nağd pul əməliyyatları şöbəsi</v>
          </cell>
          <cell r="E1314" t="str">
            <v>#</v>
          </cell>
          <cell r="F1314" t="str">
            <v>Kassir-inkassator</v>
          </cell>
          <cell r="G1314" t="str">
            <v>A</v>
          </cell>
          <cell r="H1314">
            <v>46154</v>
          </cell>
          <cell r="I1314" t="str">
            <v>Bir Payment</v>
          </cell>
        </row>
        <row r="1315">
          <cell r="B1315" t="str">
            <v>Abbaslı Cavid Vidadi</v>
          </cell>
          <cell r="C1315" t="str">
            <v>Kassa və inkassasiya prosesləri departamenti</v>
          </cell>
          <cell r="D1315" t="str">
            <v>Nağd pul əməliyyatları şöbəsi</v>
          </cell>
          <cell r="E1315" t="str">
            <v>#</v>
          </cell>
          <cell r="F1315" t="str">
            <v>Kassir-inkassator</v>
          </cell>
          <cell r="G1315" t="str">
            <v>A</v>
          </cell>
          <cell r="H1315">
            <v>46161</v>
          </cell>
          <cell r="I1315" t="str">
            <v>Bir Payment</v>
          </cell>
        </row>
        <row r="1316">
          <cell r="B1316" t="str">
            <v>Abbasov Rüstəm İlqar</v>
          </cell>
          <cell r="C1316" t="str">
            <v>Kassa və inkassasiya prosesləri departamenti</v>
          </cell>
          <cell r="D1316" t="str">
            <v>Nağd pul əməliyyatları şöbəsi</v>
          </cell>
          <cell r="E1316" t="str">
            <v>#</v>
          </cell>
          <cell r="F1316" t="str">
            <v>Kassir-inkassator</v>
          </cell>
          <cell r="G1316" t="str">
            <v>A</v>
          </cell>
          <cell r="H1316">
            <v>45028</v>
          </cell>
        </row>
        <row r="1317">
          <cell r="B1317" t="str">
            <v>Rüstəmov Teymur Qurban</v>
          </cell>
          <cell r="C1317" t="str">
            <v>Kassa və inkassasiya prosesləri departamenti</v>
          </cell>
          <cell r="D1317" t="str">
            <v>İnkassasiya mərkəzləri ilə iş şöbəsi</v>
          </cell>
          <cell r="E1317" t="str">
            <v>#</v>
          </cell>
          <cell r="F1317" t="str">
            <v>Menecer</v>
          </cell>
          <cell r="G1317" t="str">
            <v>A</v>
          </cell>
          <cell r="H1317">
            <v>46181</v>
          </cell>
          <cell r="I1317" t="str">
            <v>Bir Payment</v>
          </cell>
        </row>
        <row r="1318">
          <cell r="B1318" t="str">
            <v>Bağırov Əlisafa Şahin</v>
          </cell>
          <cell r="C1318" t="str">
            <v>Kassa və inkassasiya prosesləri departamenti</v>
          </cell>
          <cell r="D1318" t="str">
            <v>İnkassasiya mərkəzləri ilə iş şöbəsi</v>
          </cell>
          <cell r="E1318" t="str">
            <v>#</v>
          </cell>
          <cell r="F1318" t="str">
            <v>Kassir-inkassator</v>
          </cell>
          <cell r="G1318" t="str">
            <v>A</v>
          </cell>
          <cell r="H1318">
            <v>44959</v>
          </cell>
        </row>
        <row r="1319">
          <cell r="B1319" t="str">
            <v>Məmmədov Rauf Kamil</v>
          </cell>
          <cell r="C1319" t="str">
            <v>Kassa və inkassasiya prosesləri departamenti</v>
          </cell>
          <cell r="D1319" t="str">
            <v>İnkassasiya mərkəzləri ilə iş şöbəsi</v>
          </cell>
          <cell r="E1319" t="str">
            <v>#</v>
          </cell>
          <cell r="F1319" t="str">
            <v>Kassir-inkassator</v>
          </cell>
          <cell r="G1319" t="str">
            <v>A</v>
          </cell>
          <cell r="H1319">
            <v>42311</v>
          </cell>
        </row>
        <row r="1320">
          <cell r="B1320" t="str">
            <v>Heydərov Elşən Əlövsət</v>
          </cell>
          <cell r="C1320" t="str">
            <v>Kassa və inkassasiya prosesləri departamenti</v>
          </cell>
          <cell r="D1320" t="str">
            <v>İnkassasiya əməliyyatları şöbəsi</v>
          </cell>
          <cell r="E1320" t="str">
            <v>#</v>
          </cell>
          <cell r="F1320" t="str">
            <v>Kassir-inkassator</v>
          </cell>
          <cell r="G1320" t="str">
            <v>A</v>
          </cell>
          <cell r="H1320">
            <v>43620</v>
          </cell>
        </row>
        <row r="1321">
          <cell r="B1321" t="str">
            <v>Quliyev Namiq Nemət</v>
          </cell>
          <cell r="C1321" t="str">
            <v>Kassa və inkassasiya prosesləri departamenti</v>
          </cell>
          <cell r="D1321" t="str">
            <v>Nağd pul əməliyyatları şöbəsi</v>
          </cell>
          <cell r="E1321" t="str">
            <v>#</v>
          </cell>
          <cell r="F1321" t="str">
            <v>Kassir-inkassator</v>
          </cell>
          <cell r="G1321" t="str">
            <v>A</v>
          </cell>
          <cell r="H1321">
            <v>39766</v>
          </cell>
        </row>
        <row r="1322">
          <cell r="B1322" t="str">
            <v>Səfərov Pərvin Xancan</v>
          </cell>
          <cell r="C1322" t="str">
            <v>Kassa və inkassasiya prosesləri departamenti</v>
          </cell>
          <cell r="D1322" t="str">
            <v>İnkassasiya əməliyyatları şöbəsi</v>
          </cell>
          <cell r="E1322" t="str">
            <v>#</v>
          </cell>
          <cell r="F1322" t="str">
            <v>Kassir-inkassator</v>
          </cell>
          <cell r="G1322" t="str">
            <v>A</v>
          </cell>
          <cell r="H1322">
            <v>45881</v>
          </cell>
        </row>
        <row r="1323">
          <cell r="B1323" t="str">
            <v>Məmmədov Rövşən Sahib</v>
          </cell>
          <cell r="C1323" t="str">
            <v>Kassa və inkassasiya prosesləri departamenti</v>
          </cell>
          <cell r="D1323" t="str">
            <v>Nağd pul əməliyyatları şöbəsi</v>
          </cell>
          <cell r="E1323" t="str">
            <v>#</v>
          </cell>
          <cell r="F1323" t="str">
            <v>Kassir-inkassator</v>
          </cell>
          <cell r="G1323" t="str">
            <v>A</v>
          </cell>
          <cell r="H1323">
            <v>40155</v>
          </cell>
        </row>
        <row r="1324">
          <cell r="B1324" t="str">
            <v>Bəşirov Əziz Oqtay</v>
          </cell>
          <cell r="C1324" t="str">
            <v>Kassa və inkassasiya prosesləri departamenti</v>
          </cell>
          <cell r="D1324" t="str">
            <v>İnkassasiya əməliyyatları şöbəsi</v>
          </cell>
          <cell r="E1324" t="str">
            <v>#</v>
          </cell>
          <cell r="F1324" t="str">
            <v>Kassir-inkassator</v>
          </cell>
          <cell r="G1324" t="str">
            <v>A</v>
          </cell>
          <cell r="H1324">
            <v>43566</v>
          </cell>
        </row>
        <row r="1325">
          <cell r="B1325" t="str">
            <v>Mehdiyev Fuad Fazil</v>
          </cell>
          <cell r="C1325" t="str">
            <v>Kassa və inkassasiya prosesləri departamenti</v>
          </cell>
          <cell r="D1325" t="str">
            <v>Nağd pul əməliyyatları şöbəsi</v>
          </cell>
          <cell r="E1325" t="str">
            <v>#</v>
          </cell>
          <cell r="F1325" t="str">
            <v>Kassir-inkassator</v>
          </cell>
          <cell r="G1325" t="str">
            <v>A</v>
          </cell>
          <cell r="H1325">
            <v>43662</v>
          </cell>
        </row>
        <row r="1326">
          <cell r="B1326" t="str">
            <v>Namazov Coşqun Mahir</v>
          </cell>
          <cell r="C1326" t="str">
            <v>Kassa və inkassasiya prosesləri departamenti</v>
          </cell>
          <cell r="D1326" t="str">
            <v>Nağd pul əməliyyatları şöbəsi</v>
          </cell>
          <cell r="E1326" t="str">
            <v>#</v>
          </cell>
          <cell r="F1326" t="str">
            <v>Kassir-inkassator</v>
          </cell>
          <cell r="G1326" t="str">
            <v>A</v>
          </cell>
          <cell r="H1326">
            <v>42348</v>
          </cell>
        </row>
        <row r="1327">
          <cell r="B1327" t="str">
            <v>Cəbrayılov Aydın Mühiddin</v>
          </cell>
          <cell r="C1327" t="str">
            <v>Kassa və inkassasiya prosesləri departamenti</v>
          </cell>
          <cell r="D1327" t="str">
            <v>Nağd pul əməliyyatları şöbəsi</v>
          </cell>
          <cell r="E1327" t="str">
            <v>#</v>
          </cell>
          <cell r="F1327" t="str">
            <v>Kassir-inkassator</v>
          </cell>
          <cell r="G1327" t="str">
            <v>A</v>
          </cell>
          <cell r="H1327">
            <v>42530</v>
          </cell>
        </row>
        <row r="1328">
          <cell r="B1328" t="str">
            <v>Süleymanzadə Tural Eynulla</v>
          </cell>
          <cell r="C1328" t="str">
            <v>Kassa və inkassasiya prosesləri departamenti</v>
          </cell>
          <cell r="D1328" t="str">
            <v>İnkassasiya əməliyyatları şöbəsi</v>
          </cell>
          <cell r="E1328" t="str">
            <v>#</v>
          </cell>
          <cell r="F1328" t="str">
            <v>Kassir-inkassator</v>
          </cell>
          <cell r="G1328" t="str">
            <v>A</v>
          </cell>
          <cell r="H1328">
            <v>43409</v>
          </cell>
        </row>
        <row r="1329">
          <cell r="B1329" t="str">
            <v>Osmanlı Tural Qorxmaz</v>
          </cell>
          <cell r="C1329" t="str">
            <v>Kassa və inkassasiya prosesləri departamenti</v>
          </cell>
          <cell r="D1329" t="str">
            <v>Nağd pul əməliyyatları şöbəsi</v>
          </cell>
          <cell r="E1329" t="str">
            <v>#</v>
          </cell>
          <cell r="F1329" t="str">
            <v>Kassir-inkassator</v>
          </cell>
          <cell r="G1329" t="str">
            <v>A</v>
          </cell>
          <cell r="H1329">
            <v>43602</v>
          </cell>
        </row>
        <row r="1330">
          <cell r="B1330" t="str">
            <v>Hüseynov Nicat Şakir</v>
          </cell>
          <cell r="C1330" t="str">
            <v>Kassa və inkassasiya prosesləri departamenti</v>
          </cell>
          <cell r="D1330" t="str">
            <v>Nağd pul əməliyyatları şöbəsi</v>
          </cell>
          <cell r="E1330" t="str">
            <v>#</v>
          </cell>
          <cell r="F1330" t="str">
            <v>Kassir-inkassator (0,5 ştat vahidi üzrə əvəzçilik qaydasında)</v>
          </cell>
          <cell r="G1330" t="str">
            <v>A</v>
          </cell>
          <cell r="H1330">
            <v>46280</v>
          </cell>
          <cell r="I1330" t="str">
            <v>Bir Payment</v>
          </cell>
        </row>
        <row r="1331">
          <cell r="B1331" t="str">
            <v>Abdullayev Hacağa Fərman</v>
          </cell>
          <cell r="C1331" t="str">
            <v>Kassa və inkassasiya prosesləri departamenti</v>
          </cell>
          <cell r="D1331" t="str">
            <v>İnkassasiya əməliyyatları şöbəsi</v>
          </cell>
          <cell r="E1331" t="str">
            <v>#</v>
          </cell>
          <cell r="F1331" t="str">
            <v>Kassir-inkassator</v>
          </cell>
          <cell r="G1331" t="str">
            <v>A</v>
          </cell>
          <cell r="H1331">
            <v>43416</v>
          </cell>
        </row>
        <row r="1332">
          <cell r="B1332" t="str">
            <v>Ağayev Əflatun Ərəstun</v>
          </cell>
          <cell r="C1332" t="str">
            <v>Kassa və inkassasiya prosesləri departamenti</v>
          </cell>
          <cell r="D1332" t="str">
            <v>İnkassasiya əməliyyatları şöbəsi</v>
          </cell>
          <cell r="E1332" t="str">
            <v>#</v>
          </cell>
          <cell r="F1332" t="str">
            <v>Kassir-inkassator</v>
          </cell>
          <cell r="G1332" t="str">
            <v>A</v>
          </cell>
          <cell r="H1332">
            <v>43580</v>
          </cell>
        </row>
        <row r="1333">
          <cell r="B1333" t="str">
            <v>Quliyeva Nəzakət Cümşüd</v>
          </cell>
          <cell r="C1333" t="str">
            <v>Kassa və inkassasiya prosesləri departamenti</v>
          </cell>
          <cell r="D1333" t="str">
            <v>Nağd pul əməliyyatları şöbəsi</v>
          </cell>
          <cell r="E1333" t="str">
            <v>#</v>
          </cell>
          <cell r="F1333" t="str">
            <v>Aparıcı mütəxəssis</v>
          </cell>
          <cell r="G1333" t="str">
            <v>A</v>
          </cell>
          <cell r="H1333">
            <v>43762</v>
          </cell>
        </row>
        <row r="1334">
          <cell r="B1334" t="str">
            <v>Quliyev Cavid Arif</v>
          </cell>
          <cell r="C1334" t="str">
            <v>Kassa və inkassasiya prosesləri departamenti</v>
          </cell>
          <cell r="D1334" t="str">
            <v>İnkassasiya mərkəzləri ilə iş şöbəsi</v>
          </cell>
          <cell r="E1334" t="str">
            <v>#</v>
          </cell>
          <cell r="F1334" t="str">
            <v>Kassir-inkassator</v>
          </cell>
          <cell r="G1334" t="str">
            <v>A</v>
          </cell>
          <cell r="H1334">
            <v>43210</v>
          </cell>
        </row>
        <row r="1335">
          <cell r="B1335" t="str">
            <v>Səlimov Firdovsi Cəfər</v>
          </cell>
          <cell r="C1335" t="str">
            <v>Kassa və inkassasiya prosesləri departamenti</v>
          </cell>
          <cell r="D1335" t="str">
            <v>Nağd pul əməliyyatları şöbəsi</v>
          </cell>
          <cell r="E1335" t="str">
            <v>#</v>
          </cell>
          <cell r="F1335" t="str">
            <v>Kassir-inkassator</v>
          </cell>
          <cell r="G1335" t="str">
            <v>A</v>
          </cell>
          <cell r="H1335">
            <v>38757</v>
          </cell>
        </row>
        <row r="1336">
          <cell r="B1336" t="str">
            <v>Rzayev Vəli Səhlədər</v>
          </cell>
          <cell r="C1336" t="str">
            <v>Kassa və inkassasiya prosesləri departamenti</v>
          </cell>
          <cell r="D1336" t="str">
            <v>Nağd pul əməliyyatları şöbəsi</v>
          </cell>
          <cell r="E1336" t="str">
            <v>#</v>
          </cell>
          <cell r="F1336" t="str">
            <v>Aparıcı mütəxəssis</v>
          </cell>
          <cell r="G1336" t="str">
            <v>A</v>
          </cell>
          <cell r="H1336">
            <v>44090</v>
          </cell>
        </row>
        <row r="1337">
          <cell r="B1337" t="str">
            <v>Xankişiyev Elçin Firidun</v>
          </cell>
          <cell r="C1337" t="str">
            <v>Kassa və inkassasiya prosesləri departamenti</v>
          </cell>
          <cell r="D1337" t="str">
            <v>İnkassasiya əməliyyatları şöbəsi</v>
          </cell>
          <cell r="E1337" t="str">
            <v>#</v>
          </cell>
          <cell r="F1337" t="str">
            <v>Kassir-inkassator</v>
          </cell>
          <cell r="G1337" t="str">
            <v>A</v>
          </cell>
          <cell r="H1337">
            <v>41137</v>
          </cell>
        </row>
        <row r="1338">
          <cell r="B1338" t="str">
            <v>Yusifli Taleh Həsən</v>
          </cell>
          <cell r="C1338" t="str">
            <v>Kassa və inkassasiya prosesləri departamenti</v>
          </cell>
          <cell r="D1338" t="str">
            <v>İnkassasiya mərkəzləri ilə iş şöbəsi</v>
          </cell>
          <cell r="E1338" t="str">
            <v>#</v>
          </cell>
          <cell r="F1338" t="str">
            <v>Kassir-inkassator</v>
          </cell>
          <cell r="G1338" t="str">
            <v>A</v>
          </cell>
          <cell r="H1338">
            <v>44386</v>
          </cell>
        </row>
        <row r="1339">
          <cell r="B1339" t="str">
            <v>Yaqubov Seymur Nizami</v>
          </cell>
          <cell r="C1339" t="str">
            <v>Kassa və inkassasiya prosesləri departamenti</v>
          </cell>
          <cell r="D1339" t="str">
            <v>İnkassasiya mərkəzləri ilə iş şöbəsi</v>
          </cell>
          <cell r="E1339" t="str">
            <v>#</v>
          </cell>
          <cell r="F1339" t="str">
            <v>Kassir-inkassator</v>
          </cell>
          <cell r="G1339" t="str">
            <v>A</v>
          </cell>
          <cell r="H1339">
            <v>40063</v>
          </cell>
        </row>
        <row r="1340">
          <cell r="B1340" t="str">
            <v>Fərəcov Fərhad Fərəc</v>
          </cell>
          <cell r="C1340" t="str">
            <v>Kassa və inkassasiya prosesləri departamenti</v>
          </cell>
          <cell r="D1340" t="str">
            <v>İnkassasiya əməliyyatları şöbəsi</v>
          </cell>
          <cell r="E1340" t="str">
            <v>#</v>
          </cell>
          <cell r="F1340" t="str">
            <v>Kassir-inkassator</v>
          </cell>
          <cell r="G1340" t="str">
            <v>A</v>
          </cell>
          <cell r="H1340">
            <v>40462</v>
          </cell>
        </row>
        <row r="1341">
          <cell r="B1341" t="str">
            <v>Nəcəfov Səfdər Paşa</v>
          </cell>
          <cell r="C1341" t="str">
            <v>Kassa və inkassasiya prosesləri departamenti</v>
          </cell>
          <cell r="D1341" t="str">
            <v>İnkassasiya mərkəzləri ilə iş şöbəsi</v>
          </cell>
          <cell r="E1341" t="str">
            <v>#</v>
          </cell>
          <cell r="F1341" t="str">
            <v>Kassir-inkassator</v>
          </cell>
          <cell r="G1341" t="str">
            <v>A</v>
          </cell>
          <cell r="H1341">
            <v>41521</v>
          </cell>
        </row>
        <row r="1342">
          <cell r="B1342" t="str">
            <v>İmanov Səməndər Canpolad</v>
          </cell>
          <cell r="C1342" t="str">
            <v>Kassa və inkassasiya prosesləri departamenti</v>
          </cell>
          <cell r="D1342" t="str">
            <v>İnkassasiya əməliyyatları şöbəsi</v>
          </cell>
          <cell r="E1342" t="str">
            <v>#</v>
          </cell>
          <cell r="F1342" t="str">
            <v>Kassir-inkassator</v>
          </cell>
          <cell r="G1342" t="str">
            <v>A</v>
          </cell>
          <cell r="H1342">
            <v>41521</v>
          </cell>
        </row>
        <row r="1343">
          <cell r="B1343" t="str">
            <v>Kazımov Rəşad Yadulla</v>
          </cell>
          <cell r="C1343" t="str">
            <v>Kassa və inkassasiya prosesləri departamenti</v>
          </cell>
          <cell r="D1343" t="str">
            <v>İnkassasiya mərkəzləri ilə iş şöbəsi</v>
          </cell>
          <cell r="E1343" t="str">
            <v>#</v>
          </cell>
          <cell r="F1343" t="str">
            <v>Kassir-inkassator</v>
          </cell>
          <cell r="G1343" t="str">
            <v>A</v>
          </cell>
          <cell r="H1343">
            <v>41991</v>
          </cell>
        </row>
        <row r="1344">
          <cell r="B1344" t="str">
            <v>Əfəndiyev Feyruz Rauf</v>
          </cell>
          <cell r="C1344" t="str">
            <v>Kassa və inkassasiya prosesləri departamenti</v>
          </cell>
          <cell r="D1344" t="str">
            <v>İnkassasiya əməliyyatları şöbəsi</v>
          </cell>
          <cell r="E1344" t="str">
            <v>#</v>
          </cell>
          <cell r="F1344" t="str">
            <v>Kassir-inkassator</v>
          </cell>
          <cell r="G1344" t="str">
            <v>A</v>
          </cell>
          <cell r="H1344">
            <v>40210</v>
          </cell>
        </row>
        <row r="1345">
          <cell r="B1345" t="str">
            <v>Salmanov Tural Səməd</v>
          </cell>
          <cell r="C1345" t="str">
            <v>Kassa və inkassasiya prosesləri departamenti</v>
          </cell>
          <cell r="D1345" t="str">
            <v>İnkassasiya əməliyyatları şöbəsi</v>
          </cell>
          <cell r="E1345" t="str">
            <v>#</v>
          </cell>
          <cell r="F1345" t="str">
            <v>Kassir-inkassator</v>
          </cell>
          <cell r="G1345" t="str">
            <v>A</v>
          </cell>
          <cell r="H1345">
            <v>42716</v>
          </cell>
        </row>
        <row r="1346">
          <cell r="B1346" t="str">
            <v>Məmmədzadə Ellada Adil</v>
          </cell>
          <cell r="C1346" t="str">
            <v>Kassa və inkassasiya prosesləri departamenti</v>
          </cell>
          <cell r="D1346" t="str">
            <v>Nağd pul əməliyyatları şöbəsi</v>
          </cell>
          <cell r="E1346" t="str">
            <v>#</v>
          </cell>
          <cell r="F1346" t="str">
            <v>Kassir-inkassator</v>
          </cell>
          <cell r="G1346" t="str">
            <v>A</v>
          </cell>
          <cell r="H1346">
            <v>38460</v>
          </cell>
        </row>
        <row r="1347">
          <cell r="B1347" t="str">
            <v>Mikayılov Cavid Əhməd</v>
          </cell>
          <cell r="C1347" t="str">
            <v>Kassa və inkassasiya prosesləri departamenti</v>
          </cell>
          <cell r="D1347" t="str">
            <v>İnkassasiya əməliyyatları şöbəsi</v>
          </cell>
          <cell r="E1347" t="str">
            <v>#</v>
          </cell>
          <cell r="F1347" t="str">
            <v>Kassir-inkassator</v>
          </cell>
          <cell r="G1347" t="str">
            <v>A</v>
          </cell>
          <cell r="H1347">
            <v>43080</v>
          </cell>
        </row>
        <row r="1348">
          <cell r="B1348" t="str">
            <v>Məmmədov Mehman Məmməd</v>
          </cell>
          <cell r="C1348" t="str">
            <v>Kassa və inkassasiya prosesləri departamenti</v>
          </cell>
          <cell r="D1348" t="str">
            <v>İnkassasiya əməliyyatları şöbəsi</v>
          </cell>
          <cell r="E1348" t="str">
            <v>#</v>
          </cell>
          <cell r="F1348" t="str">
            <v>Kassir-inkassator</v>
          </cell>
          <cell r="G1348" t="str">
            <v>A</v>
          </cell>
          <cell r="H1348">
            <v>42998</v>
          </cell>
        </row>
        <row r="1349">
          <cell r="B1349" t="str">
            <v>Aqeyev Ruslan Vladimiroviç</v>
          </cell>
          <cell r="C1349" t="str">
            <v>Kassa və inkassasiya prosesləri departamenti</v>
          </cell>
          <cell r="D1349" t="str">
            <v>İnkassasiya əməliyyatları şöbəsi</v>
          </cell>
          <cell r="E1349" t="str">
            <v>#</v>
          </cell>
          <cell r="F1349" t="str">
            <v>Kassir-inkassator</v>
          </cell>
          <cell r="G1349" t="str">
            <v>A</v>
          </cell>
          <cell r="H1349">
            <v>43143</v>
          </cell>
        </row>
        <row r="1350">
          <cell r="B1350" t="str">
            <v>Mərdəliyev Əfqan Məmmədsultan</v>
          </cell>
          <cell r="C1350" t="str">
            <v>Kassa və inkassasiya prosesləri departamenti</v>
          </cell>
          <cell r="D1350" t="str">
            <v>İnkassasiya əməliyyatları şöbəsi</v>
          </cell>
          <cell r="E1350" t="str">
            <v>#</v>
          </cell>
          <cell r="F1350" t="str">
            <v>Kassir-inkassator</v>
          </cell>
          <cell r="G1350" t="str">
            <v>A</v>
          </cell>
          <cell r="H1350">
            <v>43391</v>
          </cell>
        </row>
        <row r="1351">
          <cell r="B1351" t="str">
            <v>Hüseynov Şakir Həsən</v>
          </cell>
          <cell r="C1351" t="str">
            <v>Kassa və inkassasiya prosesləri departamenti</v>
          </cell>
          <cell r="D1351" t="str">
            <v>İnkassasiya əməliyyatları şöbəsi</v>
          </cell>
          <cell r="E1351" t="str">
            <v>#</v>
          </cell>
          <cell r="F1351" t="str">
            <v>Kassir-inkassator</v>
          </cell>
          <cell r="G1351" t="str">
            <v>A</v>
          </cell>
          <cell r="H1351">
            <v>43391</v>
          </cell>
        </row>
        <row r="1352">
          <cell r="B1352" t="str">
            <v>Əzimov Vüqar Akif</v>
          </cell>
          <cell r="C1352" t="str">
            <v>Kassa və inkassasiya prosesləri departamenti</v>
          </cell>
          <cell r="D1352" t="str">
            <v>İnkassasiya əməliyyatları şöbəsi</v>
          </cell>
          <cell r="E1352" t="str">
            <v>#</v>
          </cell>
          <cell r="F1352" t="str">
            <v>Kassir-inkassator</v>
          </cell>
          <cell r="G1352" t="str">
            <v>A</v>
          </cell>
          <cell r="H1352">
            <v>43391</v>
          </cell>
        </row>
        <row r="1353">
          <cell r="B1353" t="str">
            <v>İlyaslı Ayaz Gülbala</v>
          </cell>
          <cell r="C1353" t="str">
            <v>Kassa və inkassasiya prosesləri departamenti</v>
          </cell>
          <cell r="D1353" t="str">
            <v>İnkassasiya əməliyyatları şöbəsi</v>
          </cell>
          <cell r="E1353" t="str">
            <v>#</v>
          </cell>
          <cell r="F1353" t="str">
            <v>Kassir-inkassator</v>
          </cell>
          <cell r="G1353" t="str">
            <v>A</v>
          </cell>
          <cell r="H1353">
            <v>43567</v>
          </cell>
        </row>
        <row r="1354">
          <cell r="B1354" t="str">
            <v>Mehdiyev İslam Yaqub</v>
          </cell>
          <cell r="C1354" t="str">
            <v>Kassa və inkassasiya prosesləri departamenti</v>
          </cell>
          <cell r="D1354" t="str">
            <v>İnkassasiya əməliyyatları şöbəsi</v>
          </cell>
          <cell r="E1354" t="str">
            <v>#</v>
          </cell>
          <cell r="F1354" t="str">
            <v>Kassir-inkassator</v>
          </cell>
          <cell r="G1354" t="str">
            <v>A</v>
          </cell>
          <cell r="H1354">
            <v>43572</v>
          </cell>
        </row>
        <row r="1355">
          <cell r="B1355" t="str">
            <v>Səlimov Oqtay Hacı Ağa</v>
          </cell>
          <cell r="C1355" t="str">
            <v>Kassa və inkassasiya prosesləri departamenti</v>
          </cell>
          <cell r="D1355" t="str">
            <v>İnkassasiya əməliyyatları şöbəsi</v>
          </cell>
          <cell r="E1355" t="str">
            <v>#</v>
          </cell>
          <cell r="F1355" t="str">
            <v>Kassir-inkassator</v>
          </cell>
          <cell r="G1355" t="str">
            <v>A</v>
          </cell>
          <cell r="H1355">
            <v>43579</v>
          </cell>
        </row>
        <row r="1356">
          <cell r="B1356" t="str">
            <v>Maxsudov Yasin Həmid</v>
          </cell>
          <cell r="C1356" t="str">
            <v>Kassa və inkassasiya prosesləri departamenti</v>
          </cell>
          <cell r="D1356" t="str">
            <v>İnkassasiya əməliyyatları şöbəsi</v>
          </cell>
          <cell r="E1356" t="str">
            <v>#</v>
          </cell>
          <cell r="F1356" t="str">
            <v>Kassir-inkassator</v>
          </cell>
          <cell r="G1356" t="str">
            <v>A</v>
          </cell>
          <cell r="H1356">
            <v>43763</v>
          </cell>
        </row>
        <row r="1357">
          <cell r="B1357" t="str">
            <v>Əliyev İlham Vidadi</v>
          </cell>
          <cell r="C1357" t="str">
            <v>Kassa və inkassasiya prosesləri departamenti</v>
          </cell>
          <cell r="D1357" t="str">
            <v>İnkassasiya əməliyyatları şöbəsi</v>
          </cell>
          <cell r="E1357" t="str">
            <v>#</v>
          </cell>
          <cell r="F1357" t="str">
            <v>Kassir-inkassator</v>
          </cell>
          <cell r="G1357" t="str">
            <v>A</v>
          </cell>
          <cell r="H1357">
            <v>43803</v>
          </cell>
        </row>
        <row r="1358">
          <cell r="B1358" t="str">
            <v>Hüseynov Rəşad Elşən</v>
          </cell>
          <cell r="C1358" t="str">
            <v>Kassa və inkassasiya prosesləri departamenti</v>
          </cell>
          <cell r="D1358" t="str">
            <v>İnkassasiya əməliyyatları şöbəsi</v>
          </cell>
          <cell r="E1358" t="str">
            <v>#</v>
          </cell>
          <cell r="F1358" t="str">
            <v>Kassir-inkassator</v>
          </cell>
          <cell r="G1358" t="str">
            <v>A</v>
          </cell>
          <cell r="H1358">
            <v>38840</v>
          </cell>
        </row>
        <row r="1359">
          <cell r="B1359" t="str">
            <v>Zeynallı Xalıq Rəşid</v>
          </cell>
          <cell r="C1359" t="str">
            <v>Kassa və inkassasiya prosesləri departamenti</v>
          </cell>
          <cell r="D1359" t="str">
            <v>İnkassasiya əməliyyatları şöbəsi</v>
          </cell>
          <cell r="E1359" t="str">
            <v>#</v>
          </cell>
          <cell r="F1359" t="str">
            <v>Kassir-inkassator</v>
          </cell>
          <cell r="G1359" t="str">
            <v>A</v>
          </cell>
          <cell r="H1359">
            <v>39377</v>
          </cell>
        </row>
        <row r="1360">
          <cell r="B1360" t="str">
            <v>Əmiraslanov Calal Fəxrəddin</v>
          </cell>
          <cell r="C1360" t="str">
            <v>Kassa və inkassasiya prosesləri departamenti</v>
          </cell>
          <cell r="D1360" t="str">
            <v>İnkassasiya mərkəzləri ilə iş şöbəsi</v>
          </cell>
          <cell r="E1360" t="str">
            <v>#</v>
          </cell>
          <cell r="F1360" t="str">
            <v>Kassir-inkassator</v>
          </cell>
          <cell r="G1360" t="str">
            <v>A</v>
          </cell>
          <cell r="H1360">
            <v>40777</v>
          </cell>
        </row>
        <row r="1361">
          <cell r="B1361" t="str">
            <v>Zamanov Ruslan Saleh</v>
          </cell>
          <cell r="C1361" t="str">
            <v>Kassa və inkassasiya prosesləri departamenti</v>
          </cell>
          <cell r="D1361" t="str">
            <v>İnkassasiya əməliyyatları şöbəsi</v>
          </cell>
          <cell r="E1361" t="str">
            <v>#</v>
          </cell>
          <cell r="F1361" t="str">
            <v>Kassir-inkassator</v>
          </cell>
          <cell r="G1361" t="str">
            <v>A</v>
          </cell>
          <cell r="H1361">
            <v>41521</v>
          </cell>
        </row>
        <row r="1362">
          <cell r="B1362" t="str">
            <v>Əliyev Vahid Qabil</v>
          </cell>
          <cell r="C1362" t="str">
            <v>Kassa və inkassasiya prosesləri departamenti</v>
          </cell>
          <cell r="D1362" t="str">
            <v>İnkassasiya əməliyyatları şöbəsi</v>
          </cell>
          <cell r="E1362" t="str">
            <v>#</v>
          </cell>
          <cell r="F1362" t="str">
            <v>Kassir-inkassator</v>
          </cell>
          <cell r="G1362" t="str">
            <v>A</v>
          </cell>
          <cell r="H1362">
            <v>41537</v>
          </cell>
        </row>
        <row r="1363">
          <cell r="B1363" t="str">
            <v>İsmayılov Rauf Zeyqəm</v>
          </cell>
          <cell r="C1363" t="str">
            <v>Kassa və inkassasiya prosesləri departamenti</v>
          </cell>
          <cell r="D1363" t="str">
            <v>İnkassasiya əməliyyatları şöbəsi</v>
          </cell>
          <cell r="E1363" t="str">
            <v>#</v>
          </cell>
          <cell r="F1363" t="str">
            <v>Kassir-inkassator</v>
          </cell>
          <cell r="G1363" t="str">
            <v>A</v>
          </cell>
          <cell r="H1363">
            <v>41747</v>
          </cell>
        </row>
        <row r="1364">
          <cell r="B1364" t="str">
            <v>Hüseynov Əvəz Kamil</v>
          </cell>
          <cell r="C1364" t="str">
            <v>Kassa və inkassasiya prosesləri departamenti</v>
          </cell>
          <cell r="D1364" t="str">
            <v>Nağd pul əməliyyatları şöbəsi</v>
          </cell>
          <cell r="E1364" t="str">
            <v>#</v>
          </cell>
          <cell r="F1364" t="str">
            <v>Kassir-inkassator</v>
          </cell>
          <cell r="G1364" t="str">
            <v>A</v>
          </cell>
          <cell r="H1364">
            <v>41991</v>
          </cell>
        </row>
        <row r="1365">
          <cell r="B1365" t="str">
            <v>Qafarov Ağahüseyn Mirqafar</v>
          </cell>
          <cell r="C1365" t="str">
            <v>Kassa və inkassasiya prosesləri departamenti</v>
          </cell>
          <cell r="D1365" t="str">
            <v>İnkassasiya əməliyyatları şöbəsi</v>
          </cell>
          <cell r="E1365" t="str">
            <v>#</v>
          </cell>
          <cell r="F1365" t="str">
            <v>Kassir-inkassator</v>
          </cell>
          <cell r="G1365" t="str">
            <v>A</v>
          </cell>
          <cell r="H1365">
            <v>40049</v>
          </cell>
        </row>
        <row r="1366">
          <cell r="B1366" t="str">
            <v>İsmayılov Zaur Sarı</v>
          </cell>
          <cell r="C1366" t="str">
            <v>Kassa və inkassasiya prosesləri departamenti</v>
          </cell>
          <cell r="D1366" t="str">
            <v>İnkassasiya mərkəzləri ilə iş şöbəsi</v>
          </cell>
          <cell r="E1366" t="str">
            <v>#</v>
          </cell>
          <cell r="F1366" t="str">
            <v>Kassir-inkassator</v>
          </cell>
          <cell r="G1366" t="str">
            <v>A</v>
          </cell>
          <cell r="H1366">
            <v>42248</v>
          </cell>
        </row>
        <row r="1367">
          <cell r="B1367" t="str">
            <v>Məmmədov Asif Salam</v>
          </cell>
          <cell r="C1367" t="str">
            <v>Kassa və inkassasiya prosesləri departamenti</v>
          </cell>
          <cell r="D1367" t="str">
            <v>İnkassasiya mərkəzləri ilə iş şöbəsi</v>
          </cell>
          <cell r="E1367" t="str">
            <v>#</v>
          </cell>
          <cell r="F1367" t="str">
            <v>Kassir-inkassator</v>
          </cell>
          <cell r="G1367" t="str">
            <v>A</v>
          </cell>
          <cell r="H1367">
            <v>40660</v>
          </cell>
        </row>
        <row r="1368">
          <cell r="B1368" t="str">
            <v>Əliyev Vahid Vaqif</v>
          </cell>
          <cell r="C1368" t="str">
            <v>Kassa və inkassasiya prosesləri departamenti</v>
          </cell>
          <cell r="D1368" t="str">
            <v>İnkassasiya əməliyyatları şöbəsi</v>
          </cell>
          <cell r="E1368" t="str">
            <v>#</v>
          </cell>
          <cell r="F1368" t="str">
            <v>Kassir-inkassator</v>
          </cell>
          <cell r="G1368" t="str">
            <v>A</v>
          </cell>
          <cell r="H1368">
            <v>42311</v>
          </cell>
        </row>
        <row r="1369">
          <cell r="B1369" t="str">
            <v>Qasımov Orxan Ramiz</v>
          </cell>
          <cell r="C1369" t="str">
            <v>Kassa və inkassasiya prosesləri departamenti</v>
          </cell>
          <cell r="D1369" t="str">
            <v>İnkassasiya mərkəzləri ilə iş şöbəsi</v>
          </cell>
          <cell r="E1369" t="str">
            <v>#</v>
          </cell>
          <cell r="F1369" t="str">
            <v>Kassir-inkassator</v>
          </cell>
          <cell r="G1369" t="str">
            <v>A</v>
          </cell>
          <cell r="H1369">
            <v>42311</v>
          </cell>
        </row>
        <row r="1370">
          <cell r="B1370" t="str">
            <v>Cəlilov Namaz İlham</v>
          </cell>
          <cell r="C1370" t="str">
            <v>Kassa və inkassasiya prosesləri departamenti</v>
          </cell>
          <cell r="D1370" t="str">
            <v>İnkassasiya əməliyyatları şöbəsi</v>
          </cell>
          <cell r="E1370" t="str">
            <v>#</v>
          </cell>
          <cell r="F1370" t="str">
            <v>Kassir-inkassator</v>
          </cell>
          <cell r="G1370" t="str">
            <v>A</v>
          </cell>
          <cell r="H1370">
            <v>42828</v>
          </cell>
        </row>
        <row r="1371">
          <cell r="B1371" t="str">
            <v>Xəlilzadə Rəşid Mirzə</v>
          </cell>
          <cell r="C1371" t="str">
            <v>Kassa və inkassasiya prosesləri departamenti</v>
          </cell>
          <cell r="D1371" t="str">
            <v>İnkassasiya mərkəzləri ilə iş şöbəsi</v>
          </cell>
          <cell r="E1371" t="str">
            <v>#</v>
          </cell>
          <cell r="F1371" t="str">
            <v>Kassir-inkassator</v>
          </cell>
          <cell r="G1371" t="str">
            <v>A</v>
          </cell>
          <cell r="H1371">
            <v>42810</v>
          </cell>
        </row>
        <row r="1372">
          <cell r="B1372" t="str">
            <v>Şixəliyev Aydın Cümşüd</v>
          </cell>
          <cell r="C1372" t="str">
            <v>Kassa və inkassasiya prosesləri departamenti</v>
          </cell>
          <cell r="D1372" t="str">
            <v>İnkassasiya mərkəzləri ilə iş şöbəsi</v>
          </cell>
          <cell r="E1372" t="str">
            <v>#</v>
          </cell>
          <cell r="F1372" t="str">
            <v>Kassir-inkassator</v>
          </cell>
          <cell r="G1372" t="str">
            <v>A</v>
          </cell>
          <cell r="H1372">
            <v>43801</v>
          </cell>
        </row>
        <row r="1373">
          <cell r="B1373" t="str">
            <v>Şıxızadə İlkin Əlisahib</v>
          </cell>
          <cell r="C1373" t="str">
            <v>Kassa və inkassasiya prosesləri departamenti</v>
          </cell>
          <cell r="D1373" t="str">
            <v>İnkassasiya əməliyyatları şöbəsi</v>
          </cell>
          <cell r="E1373" t="str">
            <v>#</v>
          </cell>
          <cell r="F1373" t="str">
            <v>Kassir-inkassator</v>
          </cell>
          <cell r="G1373" t="str">
            <v>A</v>
          </cell>
          <cell r="H1373">
            <v>43383</v>
          </cell>
        </row>
        <row r="1374">
          <cell r="B1374" t="str">
            <v>Ağayev Hikmət Mirdamət</v>
          </cell>
          <cell r="C1374" t="str">
            <v>Kassa və inkassasiya prosesləri departamenti</v>
          </cell>
          <cell r="D1374" t="str">
            <v>Nağd pul əməliyyatları şöbəsi</v>
          </cell>
          <cell r="E1374" t="str">
            <v>#</v>
          </cell>
          <cell r="F1374" t="str">
            <v>Kassir-inkassator</v>
          </cell>
          <cell r="G1374" t="str">
            <v>A</v>
          </cell>
          <cell r="H1374">
            <v>41702</v>
          </cell>
        </row>
        <row r="1375">
          <cell r="B1375" t="str">
            <v>Əhmədov Gündüz Rauf</v>
          </cell>
          <cell r="C1375" t="str">
            <v>Kassa və inkassasiya prosesləri departamenti</v>
          </cell>
          <cell r="D1375" t="str">
            <v>İnkassasiya əməliyyatları şöbəsi</v>
          </cell>
          <cell r="E1375" t="str">
            <v>#</v>
          </cell>
          <cell r="F1375" t="str">
            <v>Kassir-inkassator</v>
          </cell>
          <cell r="G1375" t="str">
            <v>A</v>
          </cell>
          <cell r="H1375">
            <v>43593</v>
          </cell>
        </row>
        <row r="1376">
          <cell r="B1376" t="str">
            <v>Salahov İlqar Əmirşah</v>
          </cell>
          <cell r="C1376" t="str">
            <v>Kassa və inkassasiya prosesləri departamenti</v>
          </cell>
          <cell r="D1376" t="str">
            <v>İnkassasiya əməliyyatları şöbəsi</v>
          </cell>
          <cell r="E1376" t="str">
            <v>#</v>
          </cell>
          <cell r="F1376" t="str">
            <v>Kassir-inkassator</v>
          </cell>
          <cell r="G1376" t="str">
            <v>A</v>
          </cell>
          <cell r="H1376">
            <v>43662</v>
          </cell>
        </row>
        <row r="1377">
          <cell r="B1377" t="str">
            <v>Cəfərov Qasım Adiloviç</v>
          </cell>
          <cell r="C1377" t="str">
            <v>Xidmət keyfiyyətinin idarə edilməsi departamenti</v>
          </cell>
          <cell r="D1377" t="str">
            <v>Pul və logistika əməliyyatları şöbəsi</v>
          </cell>
          <cell r="E1377" t="str">
            <v>#</v>
          </cell>
          <cell r="F1377" t="str">
            <v>Kassir-inkassator</v>
          </cell>
          <cell r="G1377" t="str">
            <v>A</v>
          </cell>
          <cell r="H1377">
            <v>43801</v>
          </cell>
        </row>
        <row r="1378">
          <cell r="B1378" t="str">
            <v>Qurbanov Samir Hüseyn</v>
          </cell>
          <cell r="C1378" t="str">
            <v>Kassa və inkassasiya prosesləri departamenti</v>
          </cell>
          <cell r="D1378" t="str">
            <v>Nağd pul əməliyyatları şöbəsi</v>
          </cell>
          <cell r="E1378" t="str">
            <v>#</v>
          </cell>
          <cell r="F1378" t="str">
            <v>Kassir-inkassator</v>
          </cell>
          <cell r="G1378" t="str">
            <v>A</v>
          </cell>
          <cell r="H1378">
            <v>44491</v>
          </cell>
        </row>
        <row r="1379">
          <cell r="B1379" t="str">
            <v>Kərimov İlham Zülfüqar</v>
          </cell>
          <cell r="C1379" t="str">
            <v>Kassa və inkassasiya prosesləri departamenti</v>
          </cell>
          <cell r="D1379" t="str">
            <v>İnkassasiya əməliyyatları şöbəsi</v>
          </cell>
          <cell r="E1379" t="str">
            <v>#</v>
          </cell>
          <cell r="F1379" t="str">
            <v>Kassir-inkassator</v>
          </cell>
          <cell r="G1379" t="str">
            <v>A</v>
          </cell>
          <cell r="H1379">
            <v>43672</v>
          </cell>
        </row>
        <row r="1380">
          <cell r="B1380" t="str">
            <v>Sadıqov Tale Həsənağa</v>
          </cell>
          <cell r="C1380" t="str">
            <v>Kassa və inkassasiya prosesləri departamenti</v>
          </cell>
          <cell r="D1380" t="str">
            <v>Nağd pul əməliyyatları şöbəsi</v>
          </cell>
          <cell r="E1380" t="str">
            <v>#</v>
          </cell>
          <cell r="F1380" t="str">
            <v>Kassir-inkassator</v>
          </cell>
          <cell r="G1380" t="str">
            <v>A</v>
          </cell>
          <cell r="H1380">
            <v>43511</v>
          </cell>
        </row>
        <row r="1381">
          <cell r="B1381" t="str">
            <v>Səmədli Rəhim Hüseyn</v>
          </cell>
          <cell r="C1381" t="str">
            <v>Kassa və inkassasiya prosesləri departamenti</v>
          </cell>
          <cell r="D1381" t="str">
            <v>İnkassasiya mərkəzləri ilə iş şöbəsi</v>
          </cell>
          <cell r="E1381" t="str">
            <v>#</v>
          </cell>
          <cell r="F1381" t="str">
            <v>Kassir-inkassator</v>
          </cell>
          <cell r="G1381" t="str">
            <v>A</v>
          </cell>
          <cell r="H1381">
            <v>38565</v>
          </cell>
        </row>
        <row r="1382">
          <cell r="B1382" t="str">
            <v>Məmmədov Aydın Səməd</v>
          </cell>
          <cell r="C1382" t="str">
            <v>Kassa və inkassasiya prosesləri departamenti</v>
          </cell>
          <cell r="D1382" t="str">
            <v>İnkassasiya əməliyyatları şöbəsi</v>
          </cell>
          <cell r="E1382" t="str">
            <v>#</v>
          </cell>
          <cell r="F1382" t="str">
            <v>Kassir-inkassator</v>
          </cell>
          <cell r="G1382" t="str">
            <v>A</v>
          </cell>
          <cell r="H1382">
            <v>44824</v>
          </cell>
        </row>
        <row r="1383">
          <cell r="B1383" t="str">
            <v>Nəcəfov Kənan Habil</v>
          </cell>
          <cell r="C1383" t="str">
            <v>Kassa və inkassasiya prosesləri departamenti</v>
          </cell>
          <cell r="D1383" t="str">
            <v>İnkassasiya əməliyyatları şöbəsi</v>
          </cell>
          <cell r="E1383" t="str">
            <v>#</v>
          </cell>
          <cell r="F1383" t="str">
            <v>Kassir-inkassator</v>
          </cell>
          <cell r="G1383" t="str">
            <v>A</v>
          </cell>
          <cell r="H1383">
            <v>44841</v>
          </cell>
        </row>
        <row r="1384">
          <cell r="B1384" t="str">
            <v>Rüstəmzadə Kənan Vahid</v>
          </cell>
          <cell r="C1384" t="str">
            <v>Kassa və inkassasiya prosesləri departamenti</v>
          </cell>
          <cell r="D1384" t="str">
            <v>İnkassasiya mərkəzləri ilə iş şöbəsi</v>
          </cell>
          <cell r="E1384" t="str">
            <v>#</v>
          </cell>
          <cell r="F1384" t="str">
            <v>Kassir-inkassator</v>
          </cell>
          <cell r="G1384" t="str">
            <v>A</v>
          </cell>
          <cell r="H1384">
            <v>44870</v>
          </cell>
        </row>
        <row r="1385">
          <cell r="B1385" t="str">
            <v>Həsənov Vaqif Əbülfət</v>
          </cell>
          <cell r="C1385" t="str">
            <v>Kassa və inkassasiya prosesləri departamenti</v>
          </cell>
          <cell r="D1385" t="str">
            <v>İnkassasiya mərkəzləri ilə iş şöbəsi</v>
          </cell>
          <cell r="E1385" t="str">
            <v>#</v>
          </cell>
          <cell r="F1385" t="str">
            <v>Kassir-inkassator</v>
          </cell>
          <cell r="G1385" t="str">
            <v>A</v>
          </cell>
          <cell r="H1385">
            <v>43893</v>
          </cell>
        </row>
        <row r="1386">
          <cell r="B1386" t="str">
            <v>Məmmədov Taleh Arif</v>
          </cell>
          <cell r="C1386" t="str">
            <v>Kassa və inkassasiya prosesləri departamenti</v>
          </cell>
          <cell r="D1386" t="str">
            <v>İnkassasiya əməliyyatları şöbəsi</v>
          </cell>
          <cell r="E1386" t="str">
            <v>#</v>
          </cell>
          <cell r="F1386" t="str">
            <v>Kassir-inkassator</v>
          </cell>
          <cell r="G1386" t="str">
            <v>A</v>
          </cell>
          <cell r="H1386">
            <v>37104</v>
          </cell>
        </row>
        <row r="1387">
          <cell r="B1387" t="str">
            <v>Dünyamalıyev Elman Ramis</v>
          </cell>
          <cell r="C1387" t="str">
            <v>Kassa və inkassasiya prosesləri departamenti</v>
          </cell>
          <cell r="D1387" t="str">
            <v>İnkassasiya mərkəzləri ilə iş şöbəsi</v>
          </cell>
          <cell r="E1387" t="str">
            <v>#</v>
          </cell>
          <cell r="F1387" t="str">
            <v>Kassir-inkassator</v>
          </cell>
          <cell r="G1387" t="str">
            <v>A</v>
          </cell>
          <cell r="H1387">
            <v>45201</v>
          </cell>
        </row>
        <row r="1388">
          <cell r="B1388" t="str">
            <v>Ağayev Elxan Muxtar</v>
          </cell>
          <cell r="C1388" t="str">
            <v>Kassa və inkassasiya prosesləri departamenti</v>
          </cell>
          <cell r="D1388" t="str">
            <v>İnkassasiya mərkəzləri ilə iş şöbəsi</v>
          </cell>
          <cell r="E1388" t="str">
            <v>#</v>
          </cell>
          <cell r="F1388" t="str">
            <v>Kassir-inkassator</v>
          </cell>
          <cell r="G1388" t="str">
            <v>A</v>
          </cell>
          <cell r="H1388">
            <v>45215</v>
          </cell>
        </row>
        <row r="1389">
          <cell r="B1389" t="str">
            <v>Verdiyev İlyas Qüdrət</v>
          </cell>
          <cell r="C1389" t="str">
            <v>Kassa və inkassasiya prosesləri departamenti</v>
          </cell>
          <cell r="D1389" t="str">
            <v>İnkassasiya əməliyyatları şöbəsi</v>
          </cell>
          <cell r="E1389" t="str">
            <v>#</v>
          </cell>
          <cell r="F1389" t="str">
            <v>Kassir-inkassator</v>
          </cell>
          <cell r="G1389" t="str">
            <v>A</v>
          </cell>
          <cell r="H1389">
            <v>42186</v>
          </cell>
        </row>
        <row r="1390">
          <cell r="B1390" t="str">
            <v>Hacıyev Rövşən Şahsəf</v>
          </cell>
          <cell r="C1390" t="str">
            <v>Kassa və inkassasiya prosesləri departamenti</v>
          </cell>
          <cell r="D1390" t="str">
            <v>İnkassasiya əməliyyatları şöbəsi</v>
          </cell>
          <cell r="E1390" t="str">
            <v>#</v>
          </cell>
          <cell r="F1390" t="str">
            <v>Kassir-inkassator</v>
          </cell>
          <cell r="G1390" t="str">
            <v>A</v>
          </cell>
          <cell r="H1390">
            <v>45084</v>
          </cell>
        </row>
        <row r="1391">
          <cell r="B1391" t="str">
            <v>Misirov Tərlan Bəşir</v>
          </cell>
          <cell r="C1391" t="str">
            <v>Kassa və inkassasiya prosesləri departamenti</v>
          </cell>
          <cell r="D1391" t="str">
            <v>İnkassasiya əməliyyatları şöbəsi</v>
          </cell>
          <cell r="E1391" t="str">
            <v>#</v>
          </cell>
          <cell r="F1391" t="str">
            <v>Kassir-inkassator (0,5 ştat vahidi üzrə əvəzçilik qaydasında)</v>
          </cell>
          <cell r="G1391" t="str">
            <v>A</v>
          </cell>
          <cell r="H1391">
            <v>46268</v>
          </cell>
          <cell r="I1391" t="str">
            <v>Bir Payment</v>
          </cell>
        </row>
        <row r="1392">
          <cell r="B1392" t="str">
            <v>Əliyev Mahir Müzəffər</v>
          </cell>
          <cell r="C1392" t="str">
            <v>Kassa və inkassasiya prosesləri departamenti</v>
          </cell>
          <cell r="D1392" t="str">
            <v>İnkassasiya əməliyyatları şöbəsi</v>
          </cell>
          <cell r="E1392" t="str">
            <v>#</v>
          </cell>
          <cell r="F1392" t="str">
            <v>Kassir-inkassator (0,5 ştat vahidi üzrə əvəzçilik qaydasında)</v>
          </cell>
          <cell r="G1392" t="str">
            <v>A</v>
          </cell>
          <cell r="H1392">
            <v>46268</v>
          </cell>
          <cell r="I1392" t="str">
            <v>Bir Payment</v>
          </cell>
        </row>
        <row r="1393">
          <cell r="B1393" t="str">
            <v>Bayramov Faiq Nizami</v>
          </cell>
          <cell r="C1393" t="str">
            <v>Kassa və inkassasiya prosesləri departamenti</v>
          </cell>
          <cell r="D1393" t="str">
            <v>İnkassasiya əməliyyatları şöbəsi</v>
          </cell>
          <cell r="E1393" t="str">
            <v>#</v>
          </cell>
          <cell r="F1393" t="str">
            <v>Kassir-inkassator (0,5 ştat vahidi üzrə əvəzçilik qaydasında)</v>
          </cell>
          <cell r="G1393" t="str">
            <v>A</v>
          </cell>
          <cell r="H1393">
            <v>46268</v>
          </cell>
          <cell r="I1393" t="str">
            <v>Bir Payment</v>
          </cell>
        </row>
        <row r="1394">
          <cell r="B1394" t="str">
            <v>Nüsrətov Rəşad Seyran</v>
          </cell>
          <cell r="C1394" t="str">
            <v>Kassa və inkassasiya prosesləri departamenti</v>
          </cell>
          <cell r="D1394" t="str">
            <v>İnkassasiya əməliyyatları şöbəsi</v>
          </cell>
          <cell r="E1394" t="str">
            <v>#</v>
          </cell>
          <cell r="F1394" t="str">
            <v>Kassir-inkassator (0,5 ştat vahidi üzrə əvəzçilik qaydasında)</v>
          </cell>
          <cell r="G1394" t="str">
            <v>A</v>
          </cell>
          <cell r="H1394">
            <v>46268</v>
          </cell>
          <cell r="I1394" t="str">
            <v>Bir Payment</v>
          </cell>
        </row>
        <row r="1395">
          <cell r="B1395" t="str">
            <v>Osmanov Rövşən Maarif</v>
          </cell>
          <cell r="C1395" t="str">
            <v>Kassa və inkassasiya prosesləri departamenti</v>
          </cell>
          <cell r="D1395" t="str">
            <v>İnkassasiya əməliyyatları şöbəsi</v>
          </cell>
          <cell r="E1395" t="str">
            <v>#</v>
          </cell>
          <cell r="F1395" t="str">
            <v>Kassir-inkassator (0,5 ştat vahidi üzrə əvəzçilik qaydasında)</v>
          </cell>
          <cell r="G1395" t="str">
            <v>A</v>
          </cell>
          <cell r="H1395">
            <v>46269</v>
          </cell>
          <cell r="I1395" t="str">
            <v>Bir Payment</v>
          </cell>
        </row>
        <row r="1396">
          <cell r="B1396" t="str">
            <v>Tanriverdiyev Pünhan Rizvan</v>
          </cell>
          <cell r="C1396" t="str">
            <v>Kassa və inkassasiya prosesləri departamenti</v>
          </cell>
          <cell r="D1396" t="str">
            <v>İnkassasiya əməliyyatları şöbəsi</v>
          </cell>
          <cell r="E1396" t="str">
            <v>#</v>
          </cell>
          <cell r="F1396" t="str">
            <v>Kassir-inkassator (0,5 ştat vahidi üzrə əvəzçilik qaydasında)</v>
          </cell>
          <cell r="G1396" t="str">
            <v>A</v>
          </cell>
          <cell r="H1396">
            <v>46269</v>
          </cell>
          <cell r="I1396" t="str">
            <v>Bir Payment</v>
          </cell>
        </row>
        <row r="1397">
          <cell r="B1397" t="str">
            <v>Camalov Kamran Kamil</v>
          </cell>
          <cell r="C1397" t="str">
            <v>Kassa və inkassasiya prosesləri departamenti</v>
          </cell>
          <cell r="D1397" t="str">
            <v>İnkassasiya əməliyyatları şöbəsi</v>
          </cell>
          <cell r="E1397" t="str">
            <v>#</v>
          </cell>
          <cell r="F1397" t="str">
            <v>Kassir-inkassator (0,5 ştat vahidi üzrə əvəzçilik qaydasında)</v>
          </cell>
          <cell r="G1397" t="str">
            <v>A</v>
          </cell>
          <cell r="H1397">
            <v>46269</v>
          </cell>
          <cell r="I1397" t="str">
            <v>Bir Payment</v>
          </cell>
        </row>
        <row r="1398">
          <cell r="B1398" t="str">
            <v>Hüseynov Murad İlqar</v>
          </cell>
          <cell r="C1398" t="str">
            <v>Kassa və inkassasiya prosesləri departamenti</v>
          </cell>
          <cell r="D1398" t="str">
            <v>İnkassasiya əməliyyatları şöbəsi</v>
          </cell>
          <cell r="E1398" t="str">
            <v>#</v>
          </cell>
          <cell r="F1398" t="str">
            <v>Kassir-inkassator (0,5 ştat vahidi üzrə əvəzçilik qaydasında)</v>
          </cell>
          <cell r="G1398" t="str">
            <v>A</v>
          </cell>
          <cell r="H1398">
            <v>46269</v>
          </cell>
          <cell r="I1398" t="str">
            <v>Bir Payment</v>
          </cell>
        </row>
        <row r="1399">
          <cell r="B1399" t="str">
            <v>Məcidov Rza Namiq</v>
          </cell>
          <cell r="C1399" t="str">
            <v>Kassa və inkassasiya prosesləri departamenti</v>
          </cell>
          <cell r="D1399" t="str">
            <v>İnkassasiya əməliyyatları şöbəsi</v>
          </cell>
          <cell r="E1399" t="str">
            <v>#</v>
          </cell>
          <cell r="F1399" t="str">
            <v>Kassir-inkassator (0,5 ştat vahidi üzrə əvəzçilik qaydasında)</v>
          </cell>
          <cell r="G1399" t="str">
            <v>A</v>
          </cell>
          <cell r="H1399">
            <v>46269</v>
          </cell>
          <cell r="I1399" t="str">
            <v>Bir Payment</v>
          </cell>
        </row>
        <row r="1400">
          <cell r="B1400" t="str">
            <v>Muxtarov Elvin Yaqub</v>
          </cell>
          <cell r="C1400" t="str">
            <v>Kassa və inkassasiya prosesləri departamenti</v>
          </cell>
          <cell r="D1400" t="str">
            <v>İnkassasiya əməliyyatları şöbəsi</v>
          </cell>
          <cell r="E1400" t="str">
            <v>#</v>
          </cell>
          <cell r="F1400" t="str">
            <v>Kassir-inkassator (0,5 ştat vahidi üzrə əvəzçilik qaydasında)</v>
          </cell>
          <cell r="G1400" t="str">
            <v>A</v>
          </cell>
          <cell r="H1400">
            <v>46269</v>
          </cell>
          <cell r="I1400" t="str">
            <v>Bir Payment</v>
          </cell>
        </row>
        <row r="1401">
          <cell r="B1401" t="str">
            <v>Muradov Orxan İsmayil</v>
          </cell>
          <cell r="C1401" t="str">
            <v>Kassa və inkassasiya prosesləri departamenti</v>
          </cell>
          <cell r="D1401" t="str">
            <v>İnkassasiya əməliyyatları şöbəsi</v>
          </cell>
          <cell r="E1401" t="str">
            <v>#</v>
          </cell>
          <cell r="F1401" t="str">
            <v>Kassir-inkassator (0,5 ştat vahidi üzrə əvəzçilik qaydasında)</v>
          </cell>
          <cell r="G1401" t="str">
            <v>A</v>
          </cell>
          <cell r="H1401">
            <v>46269</v>
          </cell>
          <cell r="I1401" t="str">
            <v>Bir Payment</v>
          </cell>
        </row>
        <row r="1402">
          <cell r="B1402" t="str">
            <v>Abdullayev Kənan Musa</v>
          </cell>
          <cell r="C1402" t="str">
            <v>Kassa və inkassasiya prosesləri departamenti</v>
          </cell>
          <cell r="D1402" t="str">
            <v>İnkassasiya əməliyyatları şöbəsi</v>
          </cell>
          <cell r="E1402" t="str">
            <v>#</v>
          </cell>
          <cell r="F1402" t="str">
            <v>Kassir-inkassator (0,5 ştat vahidi üzrə əvəzçilik qaydasında)</v>
          </cell>
          <cell r="G1402" t="str">
            <v>A</v>
          </cell>
          <cell r="H1402">
            <v>46269</v>
          </cell>
          <cell r="I1402" t="str">
            <v>Bir Payment</v>
          </cell>
        </row>
        <row r="1403">
          <cell r="B1403" t="str">
            <v>Nərimanov Ravin Daxil</v>
          </cell>
          <cell r="C1403" t="str">
            <v>Kassa və inkassasiya prosesləri departamenti</v>
          </cell>
          <cell r="D1403" t="str">
            <v>İnkassasiya əməliyyatları şöbəsi</v>
          </cell>
          <cell r="E1403" t="str">
            <v>#</v>
          </cell>
          <cell r="F1403" t="str">
            <v>Kassir-inkassator (0,5 ştat vahidi üzrə əvəzçilik qaydasında)</v>
          </cell>
          <cell r="G1403" t="str">
            <v>A</v>
          </cell>
          <cell r="H1403">
            <v>46269</v>
          </cell>
          <cell r="I1403" t="str">
            <v>Bir Payment</v>
          </cell>
        </row>
        <row r="1404">
          <cell r="B1404" t="str">
            <v>Rəhimov Fuad Rəhim</v>
          </cell>
          <cell r="C1404" t="str">
            <v>Kassa və inkassasiya prosesləri departamenti</v>
          </cell>
          <cell r="D1404" t="str">
            <v>İnkassasiya əməliyyatları şöbəsi</v>
          </cell>
          <cell r="E1404" t="str">
            <v>#</v>
          </cell>
          <cell r="F1404" t="str">
            <v>Kassir-inkassator (0,5 ştat vahidi üzrə əvəzçilik qaydasında)</v>
          </cell>
          <cell r="G1404" t="str">
            <v>A</v>
          </cell>
          <cell r="H1404">
            <v>46269</v>
          </cell>
          <cell r="I1404" t="str">
            <v>Bir Payment</v>
          </cell>
        </row>
        <row r="1405">
          <cell r="B1405" t="str">
            <v>Nadirov Elnur Haxverdi</v>
          </cell>
          <cell r="C1405" t="str">
            <v>Kassa və inkassasiya prosesləri departamenti</v>
          </cell>
          <cell r="D1405" t="str">
            <v>İnkassasiya əməliyyatları şöbəsi</v>
          </cell>
          <cell r="E1405" t="str">
            <v>#</v>
          </cell>
          <cell r="F1405" t="str">
            <v>Kassir-inkassator (0,5 ştat vahidi üzrə əvəzçilik qaydasında)</v>
          </cell>
          <cell r="G1405" t="str">
            <v>A</v>
          </cell>
          <cell r="H1405">
            <v>46275</v>
          </cell>
          <cell r="I1405" t="str">
            <v>Bir Payment</v>
          </cell>
        </row>
        <row r="1406">
          <cell r="B1406" t="str">
            <v>Aslanov Ülvi Nəsib</v>
          </cell>
          <cell r="C1406" t="str">
            <v>Kassa və inkassasiya prosesləri departamenti</v>
          </cell>
          <cell r="D1406" t="str">
            <v>İnkassasiya əməliyyatları şöbəsi</v>
          </cell>
          <cell r="E1406" t="str">
            <v>#</v>
          </cell>
          <cell r="F1406" t="str">
            <v>Kassir-inkassator (0,5 ştat vahidi üzrə əvəzçilik qaydasında)</v>
          </cell>
          <cell r="G1406" t="str">
            <v>A</v>
          </cell>
          <cell r="H1406">
            <v>46275</v>
          </cell>
          <cell r="I1406" t="str">
            <v>Bir Payment</v>
          </cell>
        </row>
        <row r="1407">
          <cell r="B1407" t="str">
            <v>Əzizov Toğrul Mütəlib</v>
          </cell>
          <cell r="C1407" t="str">
            <v>Kassa və inkassasiya prosesləri departamenti</v>
          </cell>
          <cell r="D1407" t="str">
            <v>İnkassasiya mərkəzləri ilə iş şöbəsi</v>
          </cell>
          <cell r="E1407" t="str">
            <v>#</v>
          </cell>
          <cell r="F1407" t="str">
            <v>Kassir-inkassator</v>
          </cell>
          <cell r="G1407" t="str">
            <v>A</v>
          </cell>
          <cell r="H1407">
            <v>45099</v>
          </cell>
        </row>
        <row r="1408">
          <cell r="B1408" t="str">
            <v>Baxışov Xaqani Qubat</v>
          </cell>
          <cell r="C1408" t="str">
            <v>Kassa və inkassasiya prosesləri departamenti</v>
          </cell>
          <cell r="D1408" t="str">
            <v>İnkassasiya mərkəzləri ilə iş şöbəsi</v>
          </cell>
          <cell r="E1408" t="str">
            <v>#</v>
          </cell>
          <cell r="F1408" t="str">
            <v>Kassir-inkassator</v>
          </cell>
          <cell r="G1408" t="str">
            <v>A</v>
          </cell>
          <cell r="H1408">
            <v>45100</v>
          </cell>
        </row>
        <row r="1409">
          <cell r="B1409" t="str">
            <v>Bayramov Rəvan İlham</v>
          </cell>
          <cell r="C1409" t="str">
            <v>Kassa və inkassasiya prosesləri departamenti</v>
          </cell>
          <cell r="D1409" t="str">
            <v>Nağd pul əməliyyatları şöbəsi</v>
          </cell>
          <cell r="E1409" t="str">
            <v>#</v>
          </cell>
          <cell r="F1409" t="str">
            <v>Kassir-inkassator</v>
          </cell>
          <cell r="G1409" t="str">
            <v>A</v>
          </cell>
          <cell r="H1409">
            <v>45170</v>
          </cell>
        </row>
        <row r="1410">
          <cell r="B1410" t="str">
            <v>Qubadov Yusif Eldar</v>
          </cell>
          <cell r="C1410" t="str">
            <v>Kassa və inkassasiya prosesləri departamenti</v>
          </cell>
          <cell r="D1410" t="str">
            <v>İnkassasiya mərkəzləri ilə iş şöbəsi</v>
          </cell>
          <cell r="E1410" t="str">
            <v>#</v>
          </cell>
          <cell r="F1410" t="str">
            <v>Kassir-inkassator</v>
          </cell>
          <cell r="G1410" t="str">
            <v>A</v>
          </cell>
          <cell r="H1410">
            <v>45170</v>
          </cell>
        </row>
        <row r="1411">
          <cell r="B1411" t="str">
            <v>Məmmədov Nicat Azər</v>
          </cell>
          <cell r="C1411" t="str">
            <v>Kassa və inkassasiya prosesləri departamenti</v>
          </cell>
          <cell r="D1411" t="str">
            <v>İnkassasiya əməliyyatları şöbəsi</v>
          </cell>
          <cell r="E1411" t="str">
            <v>#</v>
          </cell>
          <cell r="F1411" t="str">
            <v>Kassir-inkassator</v>
          </cell>
          <cell r="G1411" t="str">
            <v>A</v>
          </cell>
          <cell r="H1411">
            <v>45187</v>
          </cell>
        </row>
        <row r="1412">
          <cell r="B1412" t="str">
            <v>Nuruyev Eldar Məhəmmədəli</v>
          </cell>
          <cell r="C1412" t="str">
            <v>Kassa və inkassasiya prosesləri departamenti</v>
          </cell>
          <cell r="D1412" t="str">
            <v>İnkassasiya əməliyyatları şöbəsi</v>
          </cell>
          <cell r="E1412" t="str">
            <v>#</v>
          </cell>
          <cell r="F1412" t="str">
            <v>Kassir-inkassator</v>
          </cell>
          <cell r="G1412" t="str">
            <v>A</v>
          </cell>
          <cell r="H1412">
            <v>45191</v>
          </cell>
        </row>
        <row r="1413">
          <cell r="B1413" t="str">
            <v>Mirzəyev Sulduz Balaxan</v>
          </cell>
          <cell r="C1413" t="str">
            <v>Kassa və inkassasiya prosesləri departamenti</v>
          </cell>
          <cell r="D1413" t="str">
            <v>İnkassasiya əməliyyatları şöbəsi</v>
          </cell>
          <cell r="E1413" t="str">
            <v>#</v>
          </cell>
          <cell r="F1413" t="str">
            <v>Kassir-inkassator</v>
          </cell>
          <cell r="G1413" t="str">
            <v>A</v>
          </cell>
          <cell r="H1413">
            <v>39440</v>
          </cell>
        </row>
        <row r="1414">
          <cell r="B1414" t="str">
            <v>Həmidov Vaqif Eldar</v>
          </cell>
          <cell r="C1414" t="str">
            <v>Kassa və inkassasiya prosesləri departamenti</v>
          </cell>
          <cell r="D1414" t="str">
            <v>İnkassasiya əməliyyatları şöbəsi</v>
          </cell>
          <cell r="E1414" t="str">
            <v>#</v>
          </cell>
          <cell r="F1414" t="str">
            <v>Kassir-inkassator</v>
          </cell>
          <cell r="G1414" t="str">
            <v>A</v>
          </cell>
          <cell r="H1414">
            <v>45278</v>
          </cell>
        </row>
        <row r="1415">
          <cell r="B1415" t="str">
            <v>Məmmədov Emin Tahir</v>
          </cell>
          <cell r="C1415" t="str">
            <v>Kassa və inkassasiya prosesləri departamenti</v>
          </cell>
          <cell r="D1415" t="str">
            <v>İnkassasiya əməliyyatları şöbəsi</v>
          </cell>
          <cell r="E1415" t="str">
            <v>#</v>
          </cell>
          <cell r="F1415" t="str">
            <v>Kassir-inkassator</v>
          </cell>
          <cell r="G1415" t="str">
            <v>A</v>
          </cell>
          <cell r="H1415">
            <v>45568</v>
          </cell>
        </row>
        <row r="1416">
          <cell r="B1416" t="str">
            <v>Həsilov Emil Şahinoviç</v>
          </cell>
          <cell r="C1416" t="str">
            <v>Kassa və inkassasiya prosesləri departamenti</v>
          </cell>
          <cell r="D1416" t="str">
            <v>İnkassasiya mərkəzləri ilə iş şöbəsi</v>
          </cell>
          <cell r="E1416" t="str">
            <v>#</v>
          </cell>
          <cell r="F1416" t="str">
            <v>Kassir-inkassator</v>
          </cell>
          <cell r="G1416" t="str">
            <v>A</v>
          </cell>
          <cell r="H1416">
            <v>45568</v>
          </cell>
        </row>
        <row r="1417">
          <cell r="B1417" t="str">
            <v>Bəşirov Kamran Şahlar</v>
          </cell>
          <cell r="C1417" t="str">
            <v>Kassa və inkassasiya prosesləri departamenti</v>
          </cell>
          <cell r="D1417" t="str">
            <v>İnkassasiya mərkəzləri ilə iş şöbəsi</v>
          </cell>
          <cell r="E1417" t="str">
            <v>#</v>
          </cell>
          <cell r="F1417" t="str">
            <v>Kassir-inkassator</v>
          </cell>
          <cell r="G1417" t="str">
            <v>A</v>
          </cell>
          <cell r="H1417">
            <v>45569</v>
          </cell>
        </row>
        <row r="1418">
          <cell r="B1418" t="str">
            <v>Qazixanov Şamil Şahin</v>
          </cell>
          <cell r="C1418" t="str">
            <v>Kassa və inkassasiya prosesləri departamenti</v>
          </cell>
          <cell r="D1418" t="str">
            <v>Nağd pul əməliyyatları şöbəsi</v>
          </cell>
          <cell r="E1418" t="str">
            <v>#</v>
          </cell>
          <cell r="F1418" t="str">
            <v>Kassir-inkassator</v>
          </cell>
          <cell r="G1418" t="str">
            <v>A</v>
          </cell>
          <cell r="H1418">
            <v>45576</v>
          </cell>
        </row>
        <row r="1419">
          <cell r="B1419" t="str">
            <v>Məmmədov Mirsaleh Elçin</v>
          </cell>
          <cell r="C1419" t="str">
            <v>Kassa və inkassasiya prosesləri departamenti</v>
          </cell>
          <cell r="D1419" t="str">
            <v>İnkassasiya mərkəzləri ilə iş şöbəsi</v>
          </cell>
          <cell r="E1419" t="str">
            <v>#</v>
          </cell>
          <cell r="F1419" t="str">
            <v>Kassir-inkassator</v>
          </cell>
          <cell r="G1419" t="str">
            <v>A</v>
          </cell>
          <cell r="H1419">
            <v>45854</v>
          </cell>
        </row>
        <row r="1420">
          <cell r="B1420" t="str">
            <v>Müstəcəbzadə Məhəbbət Yolçu</v>
          </cell>
          <cell r="C1420" t="str">
            <v>Kassa və inkassasiya prosesləri departamenti</v>
          </cell>
          <cell r="D1420" t="str">
            <v>İnkassasiya əməliyyatları şöbəsi</v>
          </cell>
          <cell r="E1420" t="str">
            <v>#</v>
          </cell>
          <cell r="F1420" t="str">
            <v>Kassir-inkassator</v>
          </cell>
          <cell r="G1420" t="str">
            <v>A</v>
          </cell>
          <cell r="H1420">
            <v>45856</v>
          </cell>
        </row>
        <row r="1421">
          <cell r="B1421" t="str">
            <v>Əliyev Elcan Səbuhi</v>
          </cell>
          <cell r="C1421" t="str">
            <v>Kassa və inkassasiya prosesləri departamenti</v>
          </cell>
          <cell r="D1421" t="str">
            <v>İnkassasiya əməliyyatları şöbəsi</v>
          </cell>
          <cell r="E1421" t="str">
            <v>#</v>
          </cell>
          <cell r="F1421" t="str">
            <v>Kassir-inkassator</v>
          </cell>
          <cell r="G1421" t="str">
            <v>A</v>
          </cell>
          <cell r="H1421">
            <v>45887</v>
          </cell>
        </row>
        <row r="1422">
          <cell r="B1422" t="str">
            <v>Məhəmmədov Elvin Elçin</v>
          </cell>
          <cell r="C1422" t="str">
            <v>Kassa və inkassasiya prosesləri departamenti</v>
          </cell>
          <cell r="D1422" t="str">
            <v>İnkassasiya əməliyyatları şöbəsi</v>
          </cell>
          <cell r="E1422" t="str">
            <v>#</v>
          </cell>
          <cell r="F1422" t="str">
            <v>Kassir-inkassator</v>
          </cell>
          <cell r="G1422" t="str">
            <v>A</v>
          </cell>
          <cell r="H1422">
            <v>45944</v>
          </cell>
        </row>
        <row r="1423">
          <cell r="B1423" t="str">
            <v>Sadıqov Orxan Hüseyn</v>
          </cell>
          <cell r="C1423" t="str">
            <v>Kassa və inkassasiya prosesləri departamenti</v>
          </cell>
          <cell r="D1423" t="str">
            <v>İnkassasiya mərkəzləri ilə iş şöbəsi</v>
          </cell>
          <cell r="E1423" t="str">
            <v>#</v>
          </cell>
          <cell r="F1423" t="str">
            <v>Kassir-inkassator(Naxçıvan regional inkassasiya mərkəzi üzrə)</v>
          </cell>
          <cell r="G1423" t="str">
            <v>A</v>
          </cell>
          <cell r="H1423">
            <v>46239</v>
          </cell>
          <cell r="I1423" t="str">
            <v>Bir Payment</v>
          </cell>
        </row>
        <row r="1424">
          <cell r="B1424" t="str">
            <v>Kərimov İsa Nazir</v>
          </cell>
          <cell r="C1424" t="str">
            <v>Kassa və inkassasiya prosesləri departamenti</v>
          </cell>
          <cell r="D1424" t="str">
            <v>İnkassasiya mərkəzləri ilə iş şöbəsi</v>
          </cell>
          <cell r="E1424" t="str">
            <v>#</v>
          </cell>
          <cell r="F1424" t="str">
            <v>Kassir (Yevlax regional inkassasiya mərkəzi üzrə)</v>
          </cell>
          <cell r="G1424" t="str">
            <v>A</v>
          </cell>
          <cell r="H1424">
            <v>46239</v>
          </cell>
          <cell r="I1424" t="str">
            <v>Bir Payment</v>
          </cell>
        </row>
        <row r="1425">
          <cell r="B1425" t="str">
            <v>Məmmədov Murad Sarı</v>
          </cell>
          <cell r="C1425" t="str">
            <v>Kassa və inkassasiya prosesləri departamenti</v>
          </cell>
          <cell r="D1425" t="str">
            <v>İnkassasiya əməliyyatları şöbəsi</v>
          </cell>
          <cell r="E1425" t="str">
            <v>#</v>
          </cell>
          <cell r="F1425" t="str">
            <v>Kassir-inkassator (Sumqayıt regional inkassasiya mərkəzi üzrə)(0,5 ştat vahidi üzrə əvəzçilik qaydasında)</v>
          </cell>
          <cell r="G1425" t="str">
            <v>A</v>
          </cell>
          <cell r="H1425">
            <v>46248</v>
          </cell>
          <cell r="I1425" t="str">
            <v>Bir Payment</v>
          </cell>
        </row>
        <row r="1426">
          <cell r="B1426" t="str">
            <v>Əliyev Elnur Mövlan</v>
          </cell>
          <cell r="C1426" t="str">
            <v>Kassa və inkassasiya prosesləri departamenti</v>
          </cell>
          <cell r="D1426" t="str">
            <v>İnkassasiya əməliyyatları şöbəsi</v>
          </cell>
          <cell r="E1426" t="str">
            <v>#</v>
          </cell>
          <cell r="F1426" t="str">
            <v>Kassir-inkassator (Sumqayıt regional inkassasiya mərkəzi üzrə)(0,5 ştat vahidi üzrə əvəzçilik qaydasında)</v>
          </cell>
          <cell r="G1426" t="str">
            <v>A</v>
          </cell>
          <cell r="H1426">
            <v>46248</v>
          </cell>
          <cell r="I1426" t="str">
            <v>Bir Payment</v>
          </cell>
        </row>
        <row r="1427">
          <cell r="B1427" t="str">
            <v>Kərimov Adil Səbuhi</v>
          </cell>
          <cell r="C1427" t="str">
            <v>Kassa və inkassasiya prosesləri departamenti</v>
          </cell>
          <cell r="D1427" t="str">
            <v>İnkassasiya əməliyyatları şöbəsi</v>
          </cell>
          <cell r="E1427" t="str">
            <v>#</v>
          </cell>
          <cell r="F1427" t="str">
            <v>Kassir-inkassator (Sumqayıt regional inkassasiya mərkəzi üzrə)(0,5 ştat vahidi üzrə əvəzçilik qaydasında)</v>
          </cell>
          <cell r="G1427" t="str">
            <v>A</v>
          </cell>
          <cell r="H1427">
            <v>46252</v>
          </cell>
          <cell r="I1427" t="str">
            <v>Bir Payment</v>
          </cell>
        </row>
        <row r="1428">
          <cell r="B1428" t="str">
            <v>Məmmədli Emin Dağıstan</v>
          </cell>
          <cell r="C1428" t="str">
            <v>Kassa və inkassasiya prosesləri departamenti</v>
          </cell>
          <cell r="D1428" t="str">
            <v>İnkassasiya əməliyyatları şöbəsi</v>
          </cell>
          <cell r="E1428" t="str">
            <v>#</v>
          </cell>
          <cell r="F1428" t="str">
            <v>Kassir-inkassator (Sumqayıt regional inkassasiya mərkəzi üzrə)(0,5 ştat vahidi üzrə əvəzçilik qaydasında)</v>
          </cell>
          <cell r="G1428" t="str">
            <v>A</v>
          </cell>
          <cell r="H1428">
            <v>46252</v>
          </cell>
          <cell r="I1428" t="str">
            <v>Bir Payment</v>
          </cell>
        </row>
        <row r="1429">
          <cell r="B1429" t="str">
            <v>Əmirov Samir Vaqif</v>
          </cell>
          <cell r="C1429" t="str">
            <v>Kassa və inkassasiya prosesləri departamenti</v>
          </cell>
          <cell r="D1429" t="str">
            <v>İnkassasiya əməliyyatları şöbəsi</v>
          </cell>
          <cell r="E1429" t="str">
            <v>#</v>
          </cell>
          <cell r="F1429" t="str">
            <v>Kassir-inkassator (Sumqayıt regional inkassasiya mərkəzi üzrə)(0,5 ştat vahidi üzrə əvəzçilik qaydasında)</v>
          </cell>
          <cell r="G1429" t="str">
            <v>A</v>
          </cell>
          <cell r="H1429">
            <v>46252</v>
          </cell>
          <cell r="I1429" t="str">
            <v>Bir Payment</v>
          </cell>
        </row>
        <row r="1430">
          <cell r="B1430" t="str">
            <v>Musayev Rəşad Əbülfət</v>
          </cell>
          <cell r="C1430" t="str">
            <v>Kassa və inkassasiya prosesləri departamenti</v>
          </cell>
          <cell r="D1430" t="str">
            <v>İnkassasiya əməliyyatları şöbəsi</v>
          </cell>
          <cell r="E1430" t="str">
            <v>#</v>
          </cell>
          <cell r="F1430" t="str">
            <v>Kassir-inkassator (Sumqayıt regional inkassasiya mərkəzi üzrə)(0,5 ştat vahidi üzrə əvəzçilik qaydasında)</v>
          </cell>
          <cell r="G1430" t="str">
            <v>A</v>
          </cell>
          <cell r="H1430">
            <v>46252</v>
          </cell>
          <cell r="I1430" t="str">
            <v>Bir Payment</v>
          </cell>
        </row>
        <row r="1431">
          <cell r="B1431" t="str">
            <v>Ağayev Fuad Əlimuxtar</v>
          </cell>
          <cell r="C1431" t="str">
            <v>Kassa və inkassasiya prosesləri departamenti</v>
          </cell>
          <cell r="D1431" t="str">
            <v>İnkassasiya əməliyyatları şöbəsi</v>
          </cell>
          <cell r="E1431" t="str">
            <v>#</v>
          </cell>
          <cell r="F1431" t="str">
            <v>Kassir-inkassator (Sumqayıt regional inkassasiya mərkəzi üzrə)(0,5 ştat vahidi üzrə əvəzçilik qaydasında)</v>
          </cell>
          <cell r="G1431" t="str">
            <v>A</v>
          </cell>
          <cell r="H1431">
            <v>46252</v>
          </cell>
          <cell r="I1431" t="str">
            <v>Bir Payment</v>
          </cell>
        </row>
        <row r="1432">
          <cell r="B1432" t="str">
            <v>Məmmədov Qismət Əli</v>
          </cell>
          <cell r="C1432" t="str">
            <v>Kassa və inkassasiya prosesləri departamenti</v>
          </cell>
          <cell r="D1432" t="str">
            <v>İnkassasiya əməliyyatları şöbəsi</v>
          </cell>
          <cell r="E1432" t="str">
            <v>#</v>
          </cell>
          <cell r="F1432" t="str">
            <v>Kassir-inkassator (Sumqayıt regional inkassasiya mərkəzi üzrə)(0,5 ştat vahidi üzrə əvəzçilik qaydasında)</v>
          </cell>
          <cell r="G1432" t="str">
            <v>A</v>
          </cell>
          <cell r="H1432">
            <v>46252</v>
          </cell>
          <cell r="I1432" t="str">
            <v>Bir Payment</v>
          </cell>
        </row>
        <row r="1433">
          <cell r="B1433" t="str">
            <v>Mikayilov Namiq Əlirza</v>
          </cell>
          <cell r="C1433" t="str">
            <v>Kassa və inkassasiya prosesləri departamenti</v>
          </cell>
          <cell r="D1433" t="str">
            <v>İnkassasiya mərkəzləri ilə iş şöbəsi</v>
          </cell>
          <cell r="E1433" t="str">
            <v>#</v>
          </cell>
          <cell r="F1433" t="str">
            <v>Aparıcı mütəxəssis (Sumqayıt regional inkassasiya mərkəzi üzrə)(0,5 ştat vahidi üzrə əvəzçilik qaydasında)</v>
          </cell>
          <cell r="G1433" t="str">
            <v>A</v>
          </cell>
          <cell r="H1433">
            <v>46252</v>
          </cell>
          <cell r="I1433" t="str">
            <v>Bir Payment</v>
          </cell>
        </row>
        <row r="1434">
          <cell r="B1434" t="str">
            <v>Nuruyev Ramil Qasim</v>
          </cell>
          <cell r="C1434" t="str">
            <v>Kassa və inkassasiya prosesləri departamenti</v>
          </cell>
          <cell r="D1434" t="str">
            <v>İnkassasiya əməliyyatları şöbəsi</v>
          </cell>
          <cell r="E1434" t="str">
            <v>#</v>
          </cell>
          <cell r="F1434" t="str">
            <v>Kassir-inkassator (Sumqayıt regional inkassasiya mərkəzi üzrə)(0,5 ştat vahidi üzrə əvəzçilik qaydasında)</v>
          </cell>
          <cell r="G1434" t="str">
            <v>A</v>
          </cell>
          <cell r="H1434">
            <v>46252</v>
          </cell>
          <cell r="I1434" t="str">
            <v>Bir Payment</v>
          </cell>
        </row>
        <row r="1435">
          <cell r="B1435" t="str">
            <v>Məmmədov Murad Əlövsət</v>
          </cell>
          <cell r="C1435" t="str">
            <v>Kassa və inkassasiya prosesləri departamenti</v>
          </cell>
          <cell r="D1435" t="str">
            <v>İnkassasiya əməliyyatları şöbəsi</v>
          </cell>
          <cell r="E1435" t="str">
            <v>#</v>
          </cell>
          <cell r="F1435" t="str">
            <v>Kassir-inkassator (Sumqayıt regional inkassasiya mərkəzi üzrə)(0,5 ştat vahidi üzrə əvəzçilik qaydasında)</v>
          </cell>
          <cell r="G1435" t="str">
            <v>A</v>
          </cell>
          <cell r="H1435">
            <v>46252</v>
          </cell>
          <cell r="I1435" t="str">
            <v>Bir Payment</v>
          </cell>
        </row>
        <row r="1436">
          <cell r="B1436" t="str">
            <v>Əliyev Əbəlfəz Fuad</v>
          </cell>
          <cell r="C1436" t="str">
            <v>Kassa və inkassasiya prosesləri departamenti</v>
          </cell>
          <cell r="D1436" t="str">
            <v>İnkassasiya əməliyyatları şöbəsi</v>
          </cell>
          <cell r="E1436" t="str">
            <v>#</v>
          </cell>
          <cell r="F1436" t="str">
            <v>Kassir-inkassator (Sumqayıt regional inkassasiya mərkəzi üzrə)(0,5 ştat vahidi üzrə əvəzçilik qaydasında)</v>
          </cell>
          <cell r="G1436" t="str">
            <v>A</v>
          </cell>
          <cell r="H1436">
            <v>46251</v>
          </cell>
          <cell r="I1436" t="str">
            <v>Bir Payment</v>
          </cell>
        </row>
        <row r="1437">
          <cell r="B1437" t="str">
            <v>Səfərov Habil Əbil</v>
          </cell>
          <cell r="C1437" t="str">
            <v>Kassa və inkassasiya prosesləri departamenti</v>
          </cell>
          <cell r="D1437" t="str">
            <v>İnkassasiya əməliyyatları şöbəsi</v>
          </cell>
          <cell r="E1437" t="str">
            <v>#</v>
          </cell>
          <cell r="F1437" t="str">
            <v>Kassir-inkassator(0,5 ştat vahidi üzrə əvəzçilik qaydasında)</v>
          </cell>
          <cell r="G1437" t="str">
            <v>A</v>
          </cell>
          <cell r="H1437">
            <v>46254</v>
          </cell>
          <cell r="I1437" t="str">
            <v>Bir Payment</v>
          </cell>
        </row>
        <row r="1438">
          <cell r="B1438" t="str">
            <v>Manafov Yusif Əli</v>
          </cell>
          <cell r="C1438" t="str">
            <v>Kassa və inkassasiya prosesləri departamenti</v>
          </cell>
          <cell r="D1438" t="str">
            <v>İnkassasiya əməliyyatları şöbəsi</v>
          </cell>
          <cell r="E1438" t="str">
            <v>#</v>
          </cell>
          <cell r="F1438" t="str">
            <v>Kassir-inkassator(0,5 ştat vahidi üzrə əvəzçilik qaydasında)</v>
          </cell>
          <cell r="G1438" t="str">
            <v>A</v>
          </cell>
          <cell r="H1438">
            <v>46254</v>
          </cell>
          <cell r="I1438" t="str">
            <v>Bir Payment</v>
          </cell>
        </row>
        <row r="1439">
          <cell r="B1439" t="str">
            <v>Babayev Xəyal Elyar</v>
          </cell>
          <cell r="C1439" t="str">
            <v>Kassa və inkassasiya prosesləri departamenti</v>
          </cell>
          <cell r="D1439" t="str">
            <v>İnkassasiya əməliyyatları şöbəsi</v>
          </cell>
          <cell r="E1439" t="str">
            <v>#</v>
          </cell>
          <cell r="F1439" t="str">
            <v>Kassir-inkassator(0,5 ştat vahidi üzrə əvəzçilik qaydasında)</v>
          </cell>
          <cell r="G1439" t="str">
            <v>A</v>
          </cell>
          <cell r="H1439">
            <v>46254</v>
          </cell>
          <cell r="I1439" t="str">
            <v>Bir Payment</v>
          </cell>
        </row>
        <row r="1440">
          <cell r="B1440" t="str">
            <v>İsmayilov Pərvin Ənvər</v>
          </cell>
          <cell r="C1440" t="str">
            <v>Kassa və inkassasiya prosesləri departamenti</v>
          </cell>
          <cell r="D1440" t="str">
            <v>İnkassasiya əməliyyatları şöbəsi</v>
          </cell>
          <cell r="E1440" t="str">
            <v>#</v>
          </cell>
          <cell r="F1440" t="str">
            <v>Kassir-inkassator(0,5 ştat vahidi üzrə əvəzçilik qaydasında)</v>
          </cell>
          <cell r="G1440" t="str">
            <v>A</v>
          </cell>
          <cell r="H1440">
            <v>46254</v>
          </cell>
          <cell r="I1440" t="str">
            <v>Bir Payment</v>
          </cell>
        </row>
        <row r="1441">
          <cell r="B1441" t="str">
            <v>Əliyev Novruz Qardaşxan</v>
          </cell>
          <cell r="C1441" t="str">
            <v>Kassa və inkassasiya prosesləri departamenti</v>
          </cell>
          <cell r="D1441" t="str">
            <v>İnkassasiya əməliyyatları şöbəsi</v>
          </cell>
          <cell r="E1441" t="str">
            <v>#</v>
          </cell>
          <cell r="F1441" t="str">
            <v>Kassir-inkassator(0,5 ştat vahidi üzrə əvəzçilik qaydasında)</v>
          </cell>
          <cell r="G1441" t="str">
            <v>A</v>
          </cell>
          <cell r="H1441">
            <v>46254</v>
          </cell>
          <cell r="I1441" t="str">
            <v>Bir Payment</v>
          </cell>
        </row>
        <row r="1442">
          <cell r="B1442" t="str">
            <v>Əliyev Gündüz Faiq</v>
          </cell>
          <cell r="C1442" t="str">
            <v>Kassa və inkassasiya prosesləri departamenti</v>
          </cell>
          <cell r="D1442" t="str">
            <v>İnkassasiya əməliyyatları şöbəsi</v>
          </cell>
          <cell r="E1442" t="str">
            <v>#</v>
          </cell>
          <cell r="F1442" t="str">
            <v>Kassir-inkassator(0,5 ştat vahidi üzrə əvəzçilik qaydasında)</v>
          </cell>
          <cell r="G1442" t="str">
            <v>A</v>
          </cell>
          <cell r="H1442">
            <v>46255</v>
          </cell>
          <cell r="I1442" t="str">
            <v>Bir Payment</v>
          </cell>
        </row>
        <row r="1443">
          <cell r="B1443" t="str">
            <v>Tağıyev Xəyal Rəfaddin</v>
          </cell>
          <cell r="C1443" t="str">
            <v>Kassa və inkassasiya prosesləri departamenti</v>
          </cell>
          <cell r="D1443" t="str">
            <v>İnkassasiya əməliyyatları şöbəsi</v>
          </cell>
          <cell r="E1443" t="str">
            <v>#</v>
          </cell>
          <cell r="F1443" t="str">
            <v>Kassir-inkassator(0,5 ştat vahidi üzrə əvəzçilik qaydasında)</v>
          </cell>
          <cell r="G1443" t="str">
            <v>A</v>
          </cell>
          <cell r="H1443">
            <v>46268</v>
          </cell>
          <cell r="I1443" t="str">
            <v>Bir Payment</v>
          </cell>
        </row>
        <row r="1444">
          <cell r="B1444" t="str">
            <v>Hacıyev Ruhin Vəli</v>
          </cell>
          <cell r="C1444" t="str">
            <v>Kassa və inkassasiya prosesləri departamenti</v>
          </cell>
          <cell r="D1444" t="str">
            <v>İnkassasiya əməliyyatları şöbəsi</v>
          </cell>
          <cell r="E1444" t="str">
            <v>#</v>
          </cell>
          <cell r="F1444" t="str">
            <v>Kassir-inkassator(0,5 ştat vahidi üzrə əvəzçilik qaydasında)</v>
          </cell>
          <cell r="G1444" t="str">
            <v>A</v>
          </cell>
          <cell r="H1444">
            <v>46272</v>
          </cell>
          <cell r="I1444" t="str">
            <v>Bir Payment</v>
          </cell>
        </row>
        <row r="1445">
          <cell r="B1445" t="str">
            <v>Allahverdiyev Sədi Zahid</v>
          </cell>
          <cell r="C1445" t="str">
            <v>Kassa və inkassasiya prosesləri departamenti</v>
          </cell>
          <cell r="D1445" t="str">
            <v>İnkassasiya əməliyyatları şöbəsi</v>
          </cell>
          <cell r="E1445" t="str">
            <v>#</v>
          </cell>
          <cell r="F1445" t="str">
            <v>Kassir-inkassator(0,5 ştat vahidi üzrə əvəzçilik qaydasında)</v>
          </cell>
          <cell r="G1445" t="str">
            <v>A</v>
          </cell>
          <cell r="H1445">
            <v>46272</v>
          </cell>
          <cell r="I1445" t="str">
            <v>Bir Payment</v>
          </cell>
        </row>
        <row r="1446">
          <cell r="B1446" t="str">
            <v>Əliyev Vüqar Atakişi</v>
          </cell>
          <cell r="C1446" t="str">
            <v>Kassa və inkassasiya prosesləri departamenti</v>
          </cell>
          <cell r="D1446" t="str">
            <v>İnkassasiya əməliyyatları şöbəsi</v>
          </cell>
          <cell r="E1446" t="str">
            <v>#</v>
          </cell>
          <cell r="F1446" t="str">
            <v>Kassir-inkassator(0,5 ştat vahidi üzrə əvəzçilik qaydasında)</v>
          </cell>
          <cell r="G1446" t="str">
            <v>A</v>
          </cell>
          <cell r="H1446">
            <v>46273</v>
          </cell>
          <cell r="I1446" t="str">
            <v>Bir Payment</v>
          </cell>
        </row>
        <row r="1447">
          <cell r="B1447" t="str">
            <v>Nəcəfov Habil Rəhim</v>
          </cell>
          <cell r="C1447" t="str">
            <v>Kassa və inkassasiya prosesləri departamenti</v>
          </cell>
          <cell r="D1447" t="str">
            <v>İnkassasiya əməliyyatları şöbəsi</v>
          </cell>
          <cell r="E1447" t="str">
            <v>#</v>
          </cell>
          <cell r="F1447" t="str">
            <v>Kassir-inkassator(0,5 ştat vahidi üzrə əvəzçilik qaydasında)</v>
          </cell>
          <cell r="G1447" t="str">
            <v>A</v>
          </cell>
          <cell r="H1447">
            <v>46273</v>
          </cell>
          <cell r="I1447" t="str">
            <v>Bir Payment</v>
          </cell>
        </row>
        <row r="1448">
          <cell r="B1448" t="str">
            <v>Qurbanov Ramin Əkbər</v>
          </cell>
          <cell r="C1448" t="str">
            <v>Kassa və inkassasiya prosesləri departamenti</v>
          </cell>
          <cell r="D1448" t="str">
            <v>İnkassasiya əməliyyatları şöbəsi</v>
          </cell>
          <cell r="E1448" t="str">
            <v>#</v>
          </cell>
          <cell r="F1448" t="str">
            <v>Kassir-inkassator(0,5 ştat vahidi üzrə əvəzçilik qaydasında)</v>
          </cell>
          <cell r="G1448" t="str">
            <v>A</v>
          </cell>
          <cell r="H1448">
            <v>46273</v>
          </cell>
          <cell r="I1448" t="str">
            <v>Bir Payment</v>
          </cell>
        </row>
        <row r="1449">
          <cell r="B1449" t="str">
            <v>Alıyev Xalid Xəlil</v>
          </cell>
          <cell r="C1449" t="str">
            <v>Kassa və inkassasiya prosesləri departamenti</v>
          </cell>
          <cell r="D1449" t="str">
            <v>İnkassasiya əməliyyatları şöbəsi</v>
          </cell>
          <cell r="E1449" t="str">
            <v>#</v>
          </cell>
          <cell r="F1449" t="str">
            <v>Kassir-inkassator(0,5 ştat vahidi üzrə əvəzçilik qaydasında)</v>
          </cell>
          <cell r="G1449" t="str">
            <v>A</v>
          </cell>
          <cell r="H1449">
            <v>46280</v>
          </cell>
          <cell r="I1449" t="str">
            <v>Bir Payment</v>
          </cell>
        </row>
        <row r="1450">
          <cell r="B1450" t="str">
            <v>Abdullayev Mirvahab Camaləddin</v>
          </cell>
          <cell r="C1450" t="str">
            <v>Kassa və inkassasiya prosesləri departamenti</v>
          </cell>
          <cell r="D1450" t="str">
            <v>İnkassasiya əməliyyatları şöbəsi</v>
          </cell>
          <cell r="E1450" t="str">
            <v>#</v>
          </cell>
          <cell r="F1450" t="str">
            <v>Kassir-inkassator (Sumqayıt regional inkassasiya mərkəzi üzrə)(0,5 ştat vahidi üzrə əvəzçilik qaydasında)</v>
          </cell>
          <cell r="G1450" t="str">
            <v>A</v>
          </cell>
          <cell r="H1450">
            <v>46258</v>
          </cell>
          <cell r="I1450" t="str">
            <v>Bir Payment</v>
          </cell>
        </row>
        <row r="1451">
          <cell r="B1451" t="str">
            <v>Həziyev İlham İlham</v>
          </cell>
          <cell r="C1451" t="str">
            <v>Kassa və inkassasiya prosesləri departamenti</v>
          </cell>
          <cell r="D1451" t="str">
            <v>İnkassasiya əməliyyatları şöbəsi</v>
          </cell>
          <cell r="E1451" t="str">
            <v>#</v>
          </cell>
          <cell r="F1451" t="str">
            <v>Kassir-inkassator (Sumqayıt regional inkassasiya mərkəzi üzrə)(0,5 ştat vahidi üzrə əvəzçilik qaydasında)</v>
          </cell>
          <cell r="G1451" t="str">
            <v>A</v>
          </cell>
          <cell r="H1451">
            <v>46255</v>
          </cell>
          <cell r="I1451" t="str">
            <v>Bir Payment</v>
          </cell>
        </row>
        <row r="1452">
          <cell r="B1452" t="str">
            <v>Şirinov Rasim Tofiq</v>
          </cell>
          <cell r="C1452" t="str">
            <v>Kassa və inkassasiya prosesləri departamenti</v>
          </cell>
          <cell r="D1452" t="str">
            <v>İnkassasiya mərkəzləri ilə iş şöbəsi</v>
          </cell>
          <cell r="E1452" t="str">
            <v>#</v>
          </cell>
          <cell r="F1452" t="str">
            <v>Kassir-inkassator (Sumqayıt regional inkassasiya mərkəzi üzrə)(0,5 ştat vahidi üzrə əvəzçilik qaydasında)</v>
          </cell>
          <cell r="G1452" t="str">
            <v>A</v>
          </cell>
          <cell r="H1452">
            <v>46259</v>
          </cell>
          <cell r="I1452" t="str">
            <v>Bir Payment</v>
          </cell>
        </row>
        <row r="1453">
          <cell r="B1453" t="str">
            <v>Məmmədov Ruslan İsrail</v>
          </cell>
          <cell r="C1453" t="str">
            <v>Kassa və inkassasiya prosesləri departamenti</v>
          </cell>
          <cell r="D1453" t="str">
            <v>İnkassasiya mərkəzləri ilə iş şöbəsi</v>
          </cell>
          <cell r="E1453" t="str">
            <v>#</v>
          </cell>
          <cell r="F1453" t="str">
            <v>Kassir-inkassator (Sumqayıt regional inkassasiya mərkəzi üzrə)(0,5 ştat vahidi üzrə əvəzçilik qaydasında)</v>
          </cell>
          <cell r="G1453" t="str">
            <v>A</v>
          </cell>
          <cell r="H1453">
            <v>46259</v>
          </cell>
          <cell r="I1453" t="str">
            <v>Bir Payment</v>
          </cell>
        </row>
        <row r="1454">
          <cell r="B1454" t="str">
            <v>Şirinov Tural Şəmi</v>
          </cell>
          <cell r="C1454" t="str">
            <v>Kassa və inkassasiya prosesləri departamenti</v>
          </cell>
          <cell r="D1454" t="str">
            <v>İnkassasiya mərkəzləri ilə iş şöbəsi</v>
          </cell>
          <cell r="E1454" t="str">
            <v>#</v>
          </cell>
          <cell r="F1454" t="str">
            <v>Kassir-inkassator (Sumqayıt regional inkassasiya mərkəzi üzrə)(0,5 ştat vahidi üzrə əvəzçilik qaydasında)</v>
          </cell>
          <cell r="G1454" t="str">
            <v>A</v>
          </cell>
          <cell r="H1454">
            <v>46259</v>
          </cell>
          <cell r="I1454" t="str">
            <v>Bir Payment</v>
          </cell>
        </row>
        <row r="1455">
          <cell r="B1455" t="str">
            <v>Mustafayev Kamil Yusif</v>
          </cell>
          <cell r="C1455" t="str">
            <v>Kassa və inkassasiya prosesləri departamenti</v>
          </cell>
          <cell r="D1455" t="str">
            <v>İnkassasiya mərkəzləri ilə iş şöbəsi</v>
          </cell>
          <cell r="E1455" t="str">
            <v>#</v>
          </cell>
          <cell r="F1455" t="str">
            <v>Kassir-inkassator (Sumqayıt regional inkassasiya mərkəzi üzrə)(0,5 ştat vahidi üzrə əvəzçilik qaydasında)</v>
          </cell>
          <cell r="G1455" t="str">
            <v>A</v>
          </cell>
          <cell r="H1455">
            <v>46269</v>
          </cell>
          <cell r="I1455" t="str">
            <v>Bir Payment</v>
          </cell>
        </row>
        <row r="1456">
          <cell r="B1456" t="str">
            <v>Dadaşov Rüstəm Həmid</v>
          </cell>
          <cell r="C1456" t="str">
            <v>Kassa və inkassasiya prosesləri departamenti</v>
          </cell>
          <cell r="D1456" t="str">
            <v>İnkassasiya mərkəzləri ilə iş şöbəsi</v>
          </cell>
          <cell r="E1456" t="str">
            <v>#</v>
          </cell>
          <cell r="F1456" t="str">
            <v>Kassir-inkassator (Sumqayıt regional inkassasiya mərkəzi üzrə)(0,5 ştat vahidi üzrə əvəzçilik qaydasında)</v>
          </cell>
          <cell r="G1456" t="str">
            <v>A</v>
          </cell>
          <cell r="H1456">
            <v>46269</v>
          </cell>
          <cell r="I1456" t="str">
            <v>Bir Payment</v>
          </cell>
        </row>
        <row r="1457">
          <cell r="B1457" t="str">
            <v>İbrahimov Əli Tərlan</v>
          </cell>
          <cell r="C1457" t="str">
            <v>Kassa və inkassasiya prosesləri departamenti</v>
          </cell>
          <cell r="D1457" t="str">
            <v>İnkassasiya mərkəzləri ilə iş şöbəsi</v>
          </cell>
          <cell r="E1457" t="str">
            <v>#</v>
          </cell>
          <cell r="F1457" t="str">
            <v>Kassir-inkassator (Sumqayıt regional inkassasiya mərkəzi üzrə)(0,5 ştat vahidi üzrə əvəzçilik qaydasında)</v>
          </cell>
          <cell r="G1457" t="str">
            <v>A</v>
          </cell>
          <cell r="H1457">
            <v>46269</v>
          </cell>
          <cell r="I1457" t="str">
            <v>Bir Payment</v>
          </cell>
        </row>
        <row r="1458">
          <cell r="B1458" t="str">
            <v>Vahidov Sakit Akif</v>
          </cell>
          <cell r="C1458" t="str">
            <v>Kassa və inkassasiya prosesləri departamenti</v>
          </cell>
          <cell r="D1458" t="str">
            <v>İnkassasiya mərkəzləri ilə iş şöbəsi</v>
          </cell>
          <cell r="E1458" t="str">
            <v>#</v>
          </cell>
          <cell r="F1458" t="str">
            <v>Kassir-inkassator (Sumqayıt regional inkassasiya mərkəzi üzrə)(0,5 ştat vahidi üzrə əvəzçilik qaydasında)</v>
          </cell>
          <cell r="G1458" t="str">
            <v>A</v>
          </cell>
          <cell r="H1458">
            <v>46269</v>
          </cell>
          <cell r="I1458" t="str">
            <v>Bir Payment</v>
          </cell>
        </row>
        <row r="1459">
          <cell r="B1459" t="str">
            <v>Məmmədov Tapdıq Füzuli</v>
          </cell>
          <cell r="C1459" t="str">
            <v>Kassa və inkassasiya prosesləri departamenti</v>
          </cell>
          <cell r="D1459" t="str">
            <v>İnkassasiya mərkəzləri ilə iş şöbəsi</v>
          </cell>
          <cell r="E1459" t="str">
            <v>#</v>
          </cell>
          <cell r="F1459" t="str">
            <v>Kassir-inkassator (Sumqayıt regional inkassasiya mərkəzi üzrə)(0,5 ştat vahidi üzrə əvəzçilik qaydasında)</v>
          </cell>
          <cell r="G1459" t="str">
            <v>A</v>
          </cell>
          <cell r="H1459">
            <v>46272</v>
          </cell>
          <cell r="I1459" t="str">
            <v>Bir Payment</v>
          </cell>
        </row>
        <row r="1460">
          <cell r="B1460" t="str">
            <v>Məsimov Buludxan Söybət</v>
          </cell>
          <cell r="C1460" t="str">
            <v>Kassa və inkassasiya prosesləri departamenti</v>
          </cell>
          <cell r="D1460" t="str">
            <v>İnkassasiya mərkəzləri ilə iş şöbəsi</v>
          </cell>
          <cell r="E1460" t="str">
            <v>#</v>
          </cell>
          <cell r="F1460" t="str">
            <v>Kassir-inkassator (Sumqayıt regional inkassasiya mərkəzi üzrə)(0,5 ştat vahidi üzrə əvəzçilik qaydasında)</v>
          </cell>
          <cell r="G1460" t="str">
            <v>A</v>
          </cell>
          <cell r="H1460">
            <v>46272</v>
          </cell>
          <cell r="I1460" t="str">
            <v>Bir Payment</v>
          </cell>
        </row>
        <row r="1461">
          <cell r="B1461" t="str">
            <v>Səmədov Səmid Sarbala</v>
          </cell>
          <cell r="C1461" t="str">
            <v>Kassa və inkassasiya prosesləri departamenti</v>
          </cell>
          <cell r="D1461" t="str">
            <v>İnkassasiya mərkəzləri ilə iş şöbəsi</v>
          </cell>
          <cell r="E1461" t="str">
            <v>#</v>
          </cell>
          <cell r="F1461" t="str">
            <v>Kassir-inkassator (Sumqayıt regional inkassasiya mərkəzi üzrə)(0,5 ştat vahidi üzrə əvəzçilik qaydasında)</v>
          </cell>
          <cell r="G1461" t="str">
            <v>A</v>
          </cell>
          <cell r="H1461">
            <v>46272</v>
          </cell>
          <cell r="I1461" t="str">
            <v>Bir Payment</v>
          </cell>
        </row>
        <row r="1462">
          <cell r="B1462" t="str">
            <v>Ələkbərli Ülvi Arif</v>
          </cell>
          <cell r="C1462" t="str">
            <v>Kassa və inkassasiya prosesləri departamenti</v>
          </cell>
          <cell r="D1462" t="str">
            <v>İnkassasiya mərkəzləri ilə iş şöbəsi</v>
          </cell>
          <cell r="E1462" t="str">
            <v>#</v>
          </cell>
          <cell r="F1462" t="str">
            <v>Kassir-inkassator (Sumqayıt regional inkassasiya mərkəzi üzrə)(0,5 ştat vahidi üzrə əvəzçilik qaydasında)</v>
          </cell>
          <cell r="G1462" t="str">
            <v>A</v>
          </cell>
          <cell r="H1462">
            <v>46272</v>
          </cell>
          <cell r="I1462" t="str">
            <v>Bir Payment</v>
          </cell>
        </row>
        <row r="1463">
          <cell r="B1463" t="str">
            <v>İbrahimov Rüstəm Zakir</v>
          </cell>
          <cell r="C1463" t="str">
            <v>Kassa və inkassasiya prosesləri departamenti</v>
          </cell>
          <cell r="D1463" t="str">
            <v>İnkassasiya mərkəzləri ilə iş şöbəsi</v>
          </cell>
          <cell r="E1463" t="str">
            <v>#</v>
          </cell>
          <cell r="F1463" t="str">
            <v>Kassir-inkassator (Sumqayıt regional inkassasiya mərkəzi üzrə)(0,5 ştat vahidi üzrə əvəzçilik qaydasında)</v>
          </cell>
          <cell r="G1463" t="str">
            <v>A</v>
          </cell>
          <cell r="H1463">
            <v>46273</v>
          </cell>
          <cell r="I1463" t="str">
            <v>Bir Payment</v>
          </cell>
        </row>
        <row r="1464">
          <cell r="B1464" t="str">
            <v>Muradov Ruslan Yaqub</v>
          </cell>
          <cell r="C1464" t="str">
            <v>Kassa və inkassasiya prosesləri departamenti</v>
          </cell>
          <cell r="D1464" t="str">
            <v>İnkassasiya mərkəzləri ilə iş şöbəsi</v>
          </cell>
          <cell r="E1464" t="str">
            <v>#</v>
          </cell>
          <cell r="F1464" t="str">
            <v>Kassir-inkassator (Sumqayıt regional inkassasiya mərkəzi üzrə)(0,5 ştat vahidi üzrə əvəzçilik qaydasında)</v>
          </cell>
          <cell r="G1464" t="str">
            <v>A</v>
          </cell>
          <cell r="H1464">
            <v>46280</v>
          </cell>
          <cell r="I1464" t="str">
            <v>Bir Payment</v>
          </cell>
        </row>
        <row r="1465">
          <cell r="B1465" t="str">
            <v>Əzizov Rafik Namiq</v>
          </cell>
          <cell r="C1465" t="str">
            <v>Kassa və inkassasiya prosesləri departamenti</v>
          </cell>
          <cell r="D1465" t="str">
            <v>İnkassasiya əməliyyatları şöbəsi</v>
          </cell>
          <cell r="E1465" t="str">
            <v>#</v>
          </cell>
          <cell r="F1465" t="str">
            <v>Kassir-inkassator(0,5 ştat vahidi üzrə əvəzçilik qaydasında)</v>
          </cell>
          <cell r="G1465" t="str">
            <v>A</v>
          </cell>
          <cell r="H1465">
            <v>46255</v>
          </cell>
          <cell r="I1465" t="str">
            <v>Bir Payment</v>
          </cell>
        </row>
        <row r="1466">
          <cell r="B1466" t="str">
            <v>Həsənov Ramil Elbrus</v>
          </cell>
          <cell r="C1466" t="str">
            <v>Kassa və inkassasiya prosesləri departamenti</v>
          </cell>
          <cell r="D1466" t="str">
            <v>İnkassasiya əməliyyatları şöbəsi</v>
          </cell>
          <cell r="E1466" t="str">
            <v>#</v>
          </cell>
          <cell r="F1466" t="str">
            <v>Kassir-inkassator(0,5 ştat vahidi üzrə əvəzçilik qaydasında)</v>
          </cell>
          <cell r="G1466" t="str">
            <v>A</v>
          </cell>
          <cell r="H1466">
            <v>46255</v>
          </cell>
          <cell r="I1466" t="str">
            <v>Bir Payment</v>
          </cell>
        </row>
        <row r="1467">
          <cell r="B1467" t="str">
            <v>Allahverdiyev Elçin Əli</v>
          </cell>
          <cell r="C1467" t="str">
            <v>Kassa və inkassasiya prosesləri departamenti</v>
          </cell>
          <cell r="D1467" t="str">
            <v>İnkassasiya mərkəzləri ilə iş şöbəsi</v>
          </cell>
          <cell r="E1467" t="str">
            <v>#</v>
          </cell>
          <cell r="F1467" t="str">
            <v>Kassir-inkassator(0,5 ştat vahidi üzrə əvəzçilik qaydasında)</v>
          </cell>
          <cell r="G1467" t="str">
            <v>A</v>
          </cell>
          <cell r="H1467">
            <v>46261</v>
          </cell>
          <cell r="I1467" t="str">
            <v>Bir Payment</v>
          </cell>
        </row>
        <row r="1468">
          <cell r="B1468" t="str">
            <v>Şahmuradov Şahmurad İqraməddin</v>
          </cell>
          <cell r="C1468" t="str">
            <v>Kassa və inkassasiya prosesləri departamenti</v>
          </cell>
          <cell r="D1468" t="str">
            <v>İnkassasiya əməliyyatları şöbəsi</v>
          </cell>
          <cell r="E1468" t="str">
            <v>#</v>
          </cell>
          <cell r="F1468" t="str">
            <v>Kassir-inkassator (0,5 ştat vahidi üzrə)</v>
          </cell>
          <cell r="G1468" t="str">
            <v>A</v>
          </cell>
          <cell r="H1468">
            <v>45681</v>
          </cell>
        </row>
        <row r="1469">
          <cell r="B1469" t="str">
            <v>İsrafilzadə İsmayıl Tahir</v>
          </cell>
          <cell r="C1469" t="str">
            <v>Kassa və inkassasiya prosesləri departamenti</v>
          </cell>
          <cell r="D1469" t="str">
            <v>İnkassasiya mərkəzləri ilə iş şöbəsi</v>
          </cell>
          <cell r="E1469" t="str">
            <v>#</v>
          </cell>
          <cell r="F1469" t="str">
            <v>Kassir-inkassator (Sumqayıt regional inkassasiya mərkəzi üzrə)</v>
          </cell>
          <cell r="G1469" t="str">
            <v>A</v>
          </cell>
          <cell r="H1469">
            <v>45357</v>
          </cell>
        </row>
        <row r="1470">
          <cell r="B1470" t="str">
            <v>Əkbərov Seymur Fərhad</v>
          </cell>
          <cell r="C1470" t="str">
            <v>Kassa və inkassasiya prosesləri departamenti</v>
          </cell>
          <cell r="D1470" t="str">
            <v>İnkassasiya mərkəzləri ilə iş şöbəsi</v>
          </cell>
          <cell r="E1470" t="str">
            <v>#</v>
          </cell>
          <cell r="F1470" t="str">
            <v>Kassir-inkassator (Sumqayıt regional inkassasiya mərkəzi üzrə)</v>
          </cell>
          <cell r="G1470" t="str">
            <v>A</v>
          </cell>
          <cell r="H1470">
            <v>45357</v>
          </cell>
        </row>
        <row r="1471">
          <cell r="B1471" t="str">
            <v>Dadaşova Gülxanim Nuhbala</v>
          </cell>
          <cell r="C1471" t="str">
            <v>Kassa və inkassasiya prosesləri departamenti</v>
          </cell>
          <cell r="D1471" t="str">
            <v>İnkassasiya mərkəzləri ilə iş şöbəsi</v>
          </cell>
          <cell r="E1471" t="str">
            <v>#</v>
          </cell>
          <cell r="F1471" t="str">
            <v>Kassir-inkassator (Sumqayıt regional inkassasiya mərkəzi üzrə)</v>
          </cell>
          <cell r="G1471" t="str">
            <v>A</v>
          </cell>
          <cell r="H1471">
            <v>46146</v>
          </cell>
          <cell r="I1471" t="str">
            <v>Bir Payment</v>
          </cell>
        </row>
        <row r="1472">
          <cell r="B1472" t="str">
            <v>Əliyeva Xanım Tahir</v>
          </cell>
          <cell r="C1472" t="str">
            <v>Kassa və inkassasiya prosesləri departamenti</v>
          </cell>
          <cell r="D1472" t="str">
            <v>İnkassasiya mərkəzləri ilə iş şöbəsi</v>
          </cell>
          <cell r="E1472" t="str">
            <v>#</v>
          </cell>
          <cell r="F1472" t="str">
            <v>Kassir-inkassator (Sumqayıt regional inkassasiya mərkəzi üzrə)</v>
          </cell>
          <cell r="G1472" t="str">
            <v>A</v>
          </cell>
          <cell r="H1472">
            <v>46146</v>
          </cell>
          <cell r="I1472" t="str">
            <v>Bir Payment</v>
          </cell>
        </row>
        <row r="1473">
          <cell r="B1473" t="str">
            <v>Malik Əsmər Malik</v>
          </cell>
          <cell r="C1473" t="str">
            <v>Kassa və inkassasiya prosesləri departamenti</v>
          </cell>
          <cell r="D1473" t="str">
            <v>İnkassasiya mərkəzləri ilə iş şöbəsi</v>
          </cell>
          <cell r="E1473" t="str">
            <v>#</v>
          </cell>
          <cell r="F1473" t="str">
            <v>Kassir-inkassator (Sumqayıt regional inkassasiya mərkəzi üzrə)</v>
          </cell>
          <cell r="G1473" t="str">
            <v>A</v>
          </cell>
          <cell r="H1473">
            <v>46146</v>
          </cell>
          <cell r="I1473" t="str">
            <v>Bir Payment</v>
          </cell>
        </row>
        <row r="1474">
          <cell r="B1474" t="str">
            <v>Məmmədov Vəli Şahin</v>
          </cell>
          <cell r="C1474" t="str">
            <v>Kassa və inkassasiya prosesləri departamenti</v>
          </cell>
          <cell r="D1474" t="str">
            <v>İnkassasiya mərkəzləri ilə iş şöbəsi</v>
          </cell>
          <cell r="E1474" t="str">
            <v>#</v>
          </cell>
          <cell r="F1474" t="str">
            <v>Kassir-inkassator (Xaçmaz regional inkassasiya mərkəzi üzrə)</v>
          </cell>
          <cell r="G1474" t="str">
            <v>A</v>
          </cell>
          <cell r="H1474">
            <v>46146</v>
          </cell>
          <cell r="I1474" t="str">
            <v>Bir Payment</v>
          </cell>
        </row>
        <row r="1475">
          <cell r="B1475" t="str">
            <v>Gülməmmədov Əli Məmməd</v>
          </cell>
          <cell r="C1475" t="str">
            <v>Kassa və inkassasiya prosesləri departamenti</v>
          </cell>
          <cell r="D1475" t="str">
            <v>İnkassasiya mərkəzləri ilə iş şöbəsi</v>
          </cell>
          <cell r="E1475" t="str">
            <v>#</v>
          </cell>
          <cell r="F1475" t="str">
            <v>Kassir-inkassator (Sumqayıt regional inkassasiya mərkəzi üzrə)</v>
          </cell>
          <cell r="G1475" t="str">
            <v>A</v>
          </cell>
          <cell r="H1475">
            <v>46146</v>
          </cell>
          <cell r="I1475" t="str">
            <v>Bir Payment</v>
          </cell>
        </row>
        <row r="1476">
          <cell r="B1476" t="str">
            <v>Həmidova Təranə Rəhman</v>
          </cell>
          <cell r="C1476" t="str">
            <v>Kassa və inkassasiya prosesləri departamenti</v>
          </cell>
          <cell r="D1476" t="str">
            <v>İnkassasiya mərkəzləri ilə iş şöbəsi</v>
          </cell>
          <cell r="E1476" t="str">
            <v>#</v>
          </cell>
          <cell r="F1476" t="str">
            <v>Kassir-inkassator (Sumqayıt regional inkassasiya mərkəzi üzrə)</v>
          </cell>
          <cell r="G1476" t="str">
            <v>A</v>
          </cell>
          <cell r="H1476">
            <v>46146</v>
          </cell>
          <cell r="I1476" t="str">
            <v>Bir Payment</v>
          </cell>
        </row>
        <row r="1477">
          <cell r="B1477" t="str">
            <v>Bədirxanov Tural İmran</v>
          </cell>
          <cell r="C1477" t="str">
            <v>Kassa və inkassasiya prosesləri departamenti</v>
          </cell>
          <cell r="D1477" t="str">
            <v>İnkassasiya mərkəzləri ilə iş şöbəsi</v>
          </cell>
          <cell r="E1477" t="str">
            <v>#</v>
          </cell>
          <cell r="F1477" t="str">
            <v>Kassir-inkassator (Sumqayıt regional inkassasiya mərkəzi üzrə)</v>
          </cell>
          <cell r="G1477" t="str">
            <v>A</v>
          </cell>
          <cell r="H1477">
            <v>46146</v>
          </cell>
          <cell r="I1477" t="str">
            <v>Bir Payment</v>
          </cell>
        </row>
        <row r="1478">
          <cell r="B1478" t="str">
            <v>Cəbrayılov Elvin Elşad</v>
          </cell>
          <cell r="C1478" t="str">
            <v>Kassa və inkassasiya prosesləri departamenti</v>
          </cell>
          <cell r="D1478" t="str">
            <v>İnkassasiya mərkəzləri ilə iş şöbəsi</v>
          </cell>
          <cell r="E1478" t="str">
            <v>#</v>
          </cell>
          <cell r="F1478" t="str">
            <v>Kassir-inkassator (Sumqayıt regional inkassasiya mərkəzi üzrə)</v>
          </cell>
          <cell r="G1478" t="str">
            <v>A</v>
          </cell>
          <cell r="H1478">
            <v>46146</v>
          </cell>
          <cell r="I1478" t="str">
            <v>Bir Payment</v>
          </cell>
        </row>
        <row r="1479">
          <cell r="B1479" t="str">
            <v>Qəmbərova Rühəngiz Fərhad</v>
          </cell>
          <cell r="C1479" t="str">
            <v>Kassa və inkassasiya prosesləri departamenti</v>
          </cell>
          <cell r="D1479" t="str">
            <v>İnkassasiya mərkəzləri ilə iş şöbəsi</v>
          </cell>
          <cell r="E1479" t="str">
            <v>#</v>
          </cell>
          <cell r="F1479" t="str">
            <v>Kassir-inkassator (Sumqayıt regional inkassasiya mərkəzi üzrə)</v>
          </cell>
          <cell r="G1479" t="str">
            <v>A</v>
          </cell>
          <cell r="H1479">
            <v>46146</v>
          </cell>
          <cell r="I1479" t="str">
            <v>Bir Payment</v>
          </cell>
        </row>
        <row r="1480">
          <cell r="B1480" t="str">
            <v>Ağazadə Əli İlham</v>
          </cell>
          <cell r="C1480" t="str">
            <v>Kassa və inkassasiya prosesləri departamenti</v>
          </cell>
          <cell r="D1480" t="str">
            <v>İnkassasiya mərkəzləri ilə iş şöbəsi</v>
          </cell>
          <cell r="E1480" t="str">
            <v>#</v>
          </cell>
          <cell r="F1480" t="str">
            <v>Kassir-inkassator (Sumqayıt regional inkassasiya mərkəzi üzrə)</v>
          </cell>
          <cell r="G1480" t="str">
            <v>A</v>
          </cell>
          <cell r="H1480">
            <v>46146</v>
          </cell>
          <cell r="I1480" t="str">
            <v>Bir Payment</v>
          </cell>
        </row>
        <row r="1481">
          <cell r="B1481" t="str">
            <v>Hüseynov Mahir Həsən</v>
          </cell>
          <cell r="C1481" t="str">
            <v>Kassa və inkassasiya prosesləri departamenti</v>
          </cell>
          <cell r="D1481" t="str">
            <v>İnkassasiya mərkəzləri ilə iş şöbəsi</v>
          </cell>
          <cell r="E1481" t="str">
            <v>#</v>
          </cell>
          <cell r="F1481" t="str">
            <v>Kassir-inkassator (Sumqayıt regional inkassasiya mərkəzi üzrə)</v>
          </cell>
          <cell r="G1481" t="str">
            <v>A</v>
          </cell>
          <cell r="H1481">
            <v>46146</v>
          </cell>
          <cell r="I1481" t="str">
            <v>Bir Payment</v>
          </cell>
        </row>
        <row r="1482">
          <cell r="B1482" t="str">
            <v>Bəşirova Səmayə Ələsgər</v>
          </cell>
          <cell r="C1482" t="str">
            <v>Kassa və inkassasiya prosesləri departamenti</v>
          </cell>
          <cell r="D1482" t="str">
            <v>İnkassasiya mərkəzləri ilə iş şöbəsi</v>
          </cell>
          <cell r="E1482" t="str">
            <v>#</v>
          </cell>
          <cell r="F1482" t="str">
            <v>Kassir-inkassator (Sumqayıt regional inkassasiya mərkəzi üzrə)</v>
          </cell>
          <cell r="G1482" t="str">
            <v>A</v>
          </cell>
          <cell r="H1482">
            <v>46146</v>
          </cell>
          <cell r="I1482" t="str">
            <v>Bir Payment</v>
          </cell>
        </row>
        <row r="1483">
          <cell r="B1483" t="str">
            <v>Hüseynli Fatma Natiq</v>
          </cell>
          <cell r="C1483" t="str">
            <v>Kassa və inkassasiya prosesləri departamenti</v>
          </cell>
          <cell r="D1483" t="str">
            <v>İnkassasiya mərkəzləri ilə iş şöbəsi</v>
          </cell>
          <cell r="E1483" t="str">
            <v>#</v>
          </cell>
          <cell r="F1483" t="str">
            <v>Kassir-inkassator (Sumqayıt regional inkassasiya mərkəzi üzrə)</v>
          </cell>
          <cell r="G1483" t="str">
            <v>A</v>
          </cell>
          <cell r="H1483">
            <v>46147</v>
          </cell>
          <cell r="I1483" t="str">
            <v>Bir Payment</v>
          </cell>
        </row>
        <row r="1484">
          <cell r="B1484" t="str">
            <v>Məmmədov Adəm Sarı</v>
          </cell>
          <cell r="C1484" t="str">
            <v>Kassa və inkassasiya prosesləri departamenti</v>
          </cell>
          <cell r="D1484" t="str">
            <v>İnkassasiya mərkəzləri ilə iş şöbəsi</v>
          </cell>
          <cell r="E1484" t="str">
            <v>#</v>
          </cell>
          <cell r="F1484" t="str">
            <v>Kassir-inkassator (Beyləqan regional inkassasiya mərkəzi üzrə)</v>
          </cell>
          <cell r="G1484" t="str">
            <v>A</v>
          </cell>
          <cell r="H1484">
            <v>40219</v>
          </cell>
        </row>
        <row r="1485">
          <cell r="B1485" t="str">
            <v>Süleymanov Röyal Rəhim</v>
          </cell>
          <cell r="C1485" t="str">
            <v>Kassa və inkassasiya prosesləri departamenti</v>
          </cell>
          <cell r="D1485" t="str">
            <v>İnkassasiya mərkəzləri ilə iş şöbəsi</v>
          </cell>
          <cell r="E1485" t="str">
            <v>#</v>
          </cell>
          <cell r="F1485" t="str">
            <v>Kassir-inkassator (Beyləqan regional inkassasiya mərkəzi üzrə)</v>
          </cell>
          <cell r="G1485" t="str">
            <v>A</v>
          </cell>
          <cell r="H1485">
            <v>45845</v>
          </cell>
        </row>
        <row r="1486">
          <cell r="B1486" t="str">
            <v>Mustafazadə Razi Atamoğlan</v>
          </cell>
          <cell r="C1486" t="str">
            <v>Kassa və inkassasiya prosesləri departamenti</v>
          </cell>
          <cell r="D1486" t="str">
            <v>İnkassasiya mərkəzləri ilə iş şöbəsi</v>
          </cell>
          <cell r="E1486" t="str">
            <v>#</v>
          </cell>
          <cell r="F1486" t="str">
            <v>Kassir-inkassator (Beyləqan regional inkassasiya mərkəzi üzrə)</v>
          </cell>
          <cell r="G1486" t="str">
            <v>A</v>
          </cell>
          <cell r="H1486">
            <v>45854</v>
          </cell>
        </row>
        <row r="1487">
          <cell r="B1487" t="str">
            <v>Tahirov Xanlar Barat</v>
          </cell>
          <cell r="C1487" t="str">
            <v>Kassa və inkassasiya prosesləri departamenti</v>
          </cell>
          <cell r="D1487" t="str">
            <v>İnkassasiya mərkəzləri ilə iş şöbəsi</v>
          </cell>
          <cell r="E1487" t="str">
            <v>#</v>
          </cell>
          <cell r="F1487" t="str">
            <v>Kassir-inkassator (Beyləqan regional inkassasiya mərkəzi üzrə)</v>
          </cell>
          <cell r="G1487" t="str">
            <v>A</v>
          </cell>
          <cell r="H1487">
            <v>44420</v>
          </cell>
        </row>
        <row r="1488">
          <cell r="B1488" t="str">
            <v>Xanalıyev Fazil Famil</v>
          </cell>
          <cell r="C1488" t="str">
            <v>Kassa və inkassasiya prosesləri departamenti</v>
          </cell>
          <cell r="D1488" t="str">
            <v>İnkassasiya mərkəzləri ilə iş şöbəsi</v>
          </cell>
          <cell r="E1488" t="str">
            <v>#</v>
          </cell>
          <cell r="F1488" t="str">
            <v>Kassir-inkassator (Beyləqan regional inkassasiya mərkəzi üzrə)</v>
          </cell>
          <cell r="G1488" t="str">
            <v>A</v>
          </cell>
          <cell r="H1488">
            <v>40913</v>
          </cell>
        </row>
        <row r="1489">
          <cell r="B1489" t="str">
            <v>Cəfərov Anar Malik</v>
          </cell>
          <cell r="C1489" t="str">
            <v>Kassa və inkassasiya prosesləri departamenti</v>
          </cell>
          <cell r="D1489" t="str">
            <v>İnkassasiya mərkəzləri ilə iş şöbəsi</v>
          </cell>
          <cell r="E1489" t="str">
            <v>#</v>
          </cell>
          <cell r="F1489" t="str">
            <v>Kassir-inkassator (Beyləqan regional inkassasiya mərkəzi üzrə)</v>
          </cell>
          <cell r="G1489" t="str">
            <v>A</v>
          </cell>
          <cell r="H1489">
            <v>38740</v>
          </cell>
        </row>
        <row r="1490">
          <cell r="B1490" t="str">
            <v>Mustafayev Əhiya Rəhim</v>
          </cell>
          <cell r="C1490" t="str">
            <v>Kassa və inkassasiya prosesləri departamenti</v>
          </cell>
          <cell r="D1490" t="str">
            <v>İnkassasiya mərkəzləri ilə iş şöbəsi</v>
          </cell>
          <cell r="E1490" t="str">
            <v>#</v>
          </cell>
          <cell r="F1490" t="str">
            <v>Kassir-inkassator (Beyləqan regional inkassasiya mərkəzi üzrə)</v>
          </cell>
          <cell r="G1490" t="str">
            <v>A</v>
          </cell>
          <cell r="H1490">
            <v>41324</v>
          </cell>
        </row>
        <row r="1491">
          <cell r="B1491" t="str">
            <v>Mehrəliyev Fərid Telman</v>
          </cell>
          <cell r="C1491" t="str">
            <v>Kassa və inkassasiya prosesləri departamenti</v>
          </cell>
          <cell r="D1491" t="str">
            <v>İnkassasiya mərkəzləri ilə iş şöbəsi</v>
          </cell>
          <cell r="E1491" t="str">
            <v>#</v>
          </cell>
          <cell r="F1491" t="str">
            <v>Kassir-inkassator (Beyləqan regional inkassasiya mərkəzi üzrə)</v>
          </cell>
          <cell r="G1491" t="str">
            <v>A</v>
          </cell>
          <cell r="H1491">
            <v>42009</v>
          </cell>
        </row>
        <row r="1492">
          <cell r="B1492" t="str">
            <v>Səfərov Seyhun Yurik</v>
          </cell>
          <cell r="C1492" t="str">
            <v>Kassa və inkassasiya prosesləri departamenti</v>
          </cell>
          <cell r="D1492" t="str">
            <v>İnkassasiya mərkəzləri ilə iş şöbəsi</v>
          </cell>
          <cell r="E1492" t="str">
            <v>#</v>
          </cell>
          <cell r="F1492" t="str">
            <v>Kassir-inkassator (Beyləqan regional inkassasiya mərkəzi üzrə)</v>
          </cell>
          <cell r="G1492" t="str">
            <v>A</v>
          </cell>
          <cell r="H1492">
            <v>40444</v>
          </cell>
        </row>
        <row r="1493">
          <cell r="B1493" t="str">
            <v>Abbasov Rizvan Rizman</v>
          </cell>
          <cell r="C1493" t="str">
            <v>Kassa və inkassasiya prosesləri departamenti</v>
          </cell>
          <cell r="D1493" t="str">
            <v>İnkassasiya mərkəzləri ilə iş şöbəsi</v>
          </cell>
          <cell r="E1493" t="str">
            <v>#</v>
          </cell>
          <cell r="F1493" t="str">
            <v>Kassir-inkassator (Beyləqan regional inkassasiya mərkəzi üzrə)</v>
          </cell>
          <cell r="G1493" t="str">
            <v>A</v>
          </cell>
          <cell r="H1493">
            <v>46132</v>
          </cell>
          <cell r="I1493" t="str">
            <v>Bir Payment</v>
          </cell>
        </row>
        <row r="1494">
          <cell r="B1494" t="str">
            <v>Mamedov Yusif Rəhim</v>
          </cell>
          <cell r="C1494" t="str">
            <v>Kassa və inkassasiya prosesləri departamenti</v>
          </cell>
          <cell r="D1494" t="str">
            <v>İnkassasiya mərkəzləri ilə iş şöbəsi</v>
          </cell>
          <cell r="E1494" t="str">
            <v>#</v>
          </cell>
          <cell r="F1494" t="str">
            <v>Kassir-inkassator (Beyləqan regional inkassasiya mərkəzi üzrə)</v>
          </cell>
          <cell r="G1494" t="str">
            <v>A</v>
          </cell>
          <cell r="H1494">
            <v>46132</v>
          </cell>
          <cell r="I1494" t="str">
            <v>Bir Payment</v>
          </cell>
        </row>
        <row r="1495">
          <cell r="B1495" t="str">
            <v>Səfərəliyev İbrahim Məmməd</v>
          </cell>
          <cell r="C1495" t="str">
            <v>Kassa və inkassasiya prosesləri departamenti</v>
          </cell>
          <cell r="D1495" t="str">
            <v>İnkassasiya mərkəzləri ilə iş şöbəsi</v>
          </cell>
          <cell r="E1495" t="str">
            <v>#</v>
          </cell>
          <cell r="F1495" t="str">
            <v>Kassir-inkassator (Beyləqan regional inkassasiya mərkəzi üzrə)</v>
          </cell>
          <cell r="G1495" t="str">
            <v>A</v>
          </cell>
          <cell r="H1495">
            <v>44664</v>
          </cell>
        </row>
        <row r="1496">
          <cell r="B1496" t="str">
            <v>Məmmədli Orxan Qasım</v>
          </cell>
          <cell r="C1496" t="str">
            <v>Kassa və inkassasiya prosesləri departamenti</v>
          </cell>
          <cell r="D1496" t="str">
            <v>İnkassasiya mərkəzləri ilə iş şöbəsi</v>
          </cell>
          <cell r="E1496" t="str">
            <v>#</v>
          </cell>
          <cell r="F1496" t="str">
            <v>Kassir-inkassator (Beyləqan regional inkassasiya mərkəzi üzrə)</v>
          </cell>
          <cell r="G1496" t="str">
            <v>A</v>
          </cell>
          <cell r="H1496">
            <v>45226</v>
          </cell>
        </row>
        <row r="1497">
          <cell r="B1497" t="str">
            <v>Həsənli Ruslan Aslan</v>
          </cell>
          <cell r="C1497" t="str">
            <v>Kassa və inkassasiya prosesləri departamenti</v>
          </cell>
          <cell r="D1497" t="str">
            <v>İnkassasiya mərkəzləri ilə iş şöbəsi</v>
          </cell>
          <cell r="E1497" t="str">
            <v>#</v>
          </cell>
          <cell r="F1497" t="str">
            <v>Kassir-inkassator (Beyləqan regional inkassasiya mərkəzi üzrə)</v>
          </cell>
          <cell r="G1497" t="str">
            <v>A</v>
          </cell>
          <cell r="H1497">
            <v>45975</v>
          </cell>
        </row>
        <row r="1498">
          <cell r="B1498" t="str">
            <v>Hüseynov Ramil Şəmsəddin</v>
          </cell>
          <cell r="C1498" t="str">
            <v>Kassa və inkassasiya prosesləri departamenti</v>
          </cell>
          <cell r="D1498" t="str">
            <v>İnkassasiya mərkəzləri ilə iş şöbəsi</v>
          </cell>
          <cell r="E1498" t="str">
            <v>#</v>
          </cell>
          <cell r="F1498" t="str">
            <v>Kassir-inkassator (Beyləqan regional inkassasiya mərkəzi üzrə)(0,5 ştat vahidi üzrə əvəzçilik qaydasında)</v>
          </cell>
          <cell r="G1498" t="str">
            <v>A</v>
          </cell>
          <cell r="H1498">
            <v>46276</v>
          </cell>
          <cell r="I1498" t="str">
            <v>Bir Payment</v>
          </cell>
        </row>
        <row r="1499">
          <cell r="B1499" t="str">
            <v>Cəfərov Hüseyn Böyükağa</v>
          </cell>
          <cell r="C1499" t="str">
            <v>Kassa və inkassasiya prosesləri departamenti</v>
          </cell>
          <cell r="D1499" t="str">
            <v>İnkassasiya mərkəzləri ilə iş şöbəsi</v>
          </cell>
          <cell r="E1499" t="str">
            <v>#</v>
          </cell>
          <cell r="F1499" t="str">
            <v>Kassir-inkassator (Biləsuvar regional inkassasiya mərkəzi üzrə)</v>
          </cell>
          <cell r="G1499" t="str">
            <v>A</v>
          </cell>
          <cell r="H1499">
            <v>41957</v>
          </cell>
        </row>
        <row r="1500">
          <cell r="B1500" t="str">
            <v>Məmmədov Nazim Kamil</v>
          </cell>
          <cell r="C1500" t="str">
            <v>Kassa və inkassasiya prosesləri departamenti</v>
          </cell>
          <cell r="D1500" t="str">
            <v>İnkassasiya mərkəzləri ilə iş şöbəsi</v>
          </cell>
          <cell r="E1500" t="str">
            <v>#</v>
          </cell>
          <cell r="F1500" t="str">
            <v>Kassir-inkassator (Biləsuvar regional inkassasiya mərkəzi üzrə)</v>
          </cell>
          <cell r="G1500" t="str">
            <v>A</v>
          </cell>
          <cell r="H1500">
            <v>41752</v>
          </cell>
        </row>
        <row r="1501">
          <cell r="B1501" t="str">
            <v>Kazımov Bayram Faiq</v>
          </cell>
          <cell r="C1501" t="str">
            <v>Kassa və inkassasiya prosesləri departamenti</v>
          </cell>
          <cell r="D1501" t="str">
            <v>İnkassasiya mərkəzləri ilə iş şöbəsi</v>
          </cell>
          <cell r="E1501" t="str">
            <v>#</v>
          </cell>
          <cell r="F1501" t="str">
            <v>Kassir-inkassator (Biləsuvar regional inkassasiya mərkəzi üzrə)(0,5 ştat vahidi üzrə əvəzçilik qaydasında)</v>
          </cell>
          <cell r="G1501" t="str">
            <v>A</v>
          </cell>
          <cell r="H1501">
            <v>46260</v>
          </cell>
          <cell r="I1501" t="str">
            <v>Bir Payment</v>
          </cell>
        </row>
        <row r="1502">
          <cell r="B1502" t="str">
            <v>Umudov Rəşad Nizami</v>
          </cell>
          <cell r="C1502" t="str">
            <v>Kassa və inkassasiya prosesləri departamenti</v>
          </cell>
          <cell r="D1502" t="str">
            <v>İnkassasiya mərkəzləri ilə iş şöbəsi</v>
          </cell>
          <cell r="E1502" t="str">
            <v>#</v>
          </cell>
          <cell r="F1502" t="str">
            <v>Kassir-inkassator (Biləsuvar regional inkassasiya mərkəzi üzrə)(0,5 ştat vahidi üzrə əvəzçilik qaydasında)</v>
          </cell>
          <cell r="G1502" t="str">
            <v>A</v>
          </cell>
          <cell r="H1502">
            <v>46275</v>
          </cell>
          <cell r="I1502" t="str">
            <v>Bir Payment</v>
          </cell>
        </row>
        <row r="1503">
          <cell r="B1503" t="str">
            <v>Quliyev Elşən Ramiz</v>
          </cell>
          <cell r="C1503" t="str">
            <v>Kassa və inkassasiya prosesləri departamenti</v>
          </cell>
          <cell r="D1503" t="str">
            <v>İnkassasiya mərkəzləri ilə iş şöbəsi</v>
          </cell>
          <cell r="E1503" t="str">
            <v>#</v>
          </cell>
          <cell r="F1503" t="str">
            <v>Kassir-inkassator (Biləsuvar regional inkassasiya mərkəzi üzrə)(0,5 ştat vahidi üzrə əvəzçilik qaydasında)</v>
          </cell>
          <cell r="G1503" t="str">
            <v>A</v>
          </cell>
          <cell r="H1503">
            <v>46275</v>
          </cell>
          <cell r="I1503" t="str">
            <v>Bir Payment</v>
          </cell>
        </row>
        <row r="1504">
          <cell r="B1504" t="str">
            <v>Rəhimov Şamil Azad</v>
          </cell>
          <cell r="C1504" t="str">
            <v>Kassa və inkassasiya prosesləri departamenti</v>
          </cell>
          <cell r="D1504" t="str">
            <v>İnkassasiya mərkəzləri ilə iş şöbəsi</v>
          </cell>
          <cell r="E1504" t="str">
            <v>#</v>
          </cell>
          <cell r="F1504" t="str">
            <v>Kassir-inkassator (Biləsuvar regional inkassasiya mərkəzi üzrə)</v>
          </cell>
          <cell r="G1504" t="str">
            <v>A</v>
          </cell>
          <cell r="H1504">
            <v>40206</v>
          </cell>
        </row>
        <row r="1505">
          <cell r="B1505" t="str">
            <v>Abdullayev Hüseynalı Təvəkkül</v>
          </cell>
          <cell r="C1505" t="str">
            <v>Kassa və inkassasiya prosesləri departamenti</v>
          </cell>
          <cell r="D1505" t="str">
            <v>İnkassasiya mərkəzləri ilə iş şöbəsi</v>
          </cell>
          <cell r="E1505" t="str">
            <v>#</v>
          </cell>
          <cell r="F1505" t="str">
            <v>Kassir-inkassator (Biləsuvar regional inkassasiya mərkəzi üzrə)</v>
          </cell>
          <cell r="G1505" t="str">
            <v>A</v>
          </cell>
          <cell r="H1505">
            <v>41957</v>
          </cell>
        </row>
        <row r="1506">
          <cell r="B1506" t="str">
            <v>Abdullayev Rafiq Əliağa</v>
          </cell>
          <cell r="C1506" t="str">
            <v>Kassa və inkassasiya prosesləri departamenti</v>
          </cell>
          <cell r="D1506" t="str">
            <v>İnkassasiya mərkəzləri ilə iş şöbəsi</v>
          </cell>
          <cell r="E1506" t="str">
            <v>#</v>
          </cell>
          <cell r="F1506" t="str">
            <v>Kassir-inkassator (Biləsuvar regional inkassasiya mərkəzi üzrə)</v>
          </cell>
          <cell r="G1506" t="str">
            <v>A</v>
          </cell>
          <cell r="H1506">
            <v>40756</v>
          </cell>
        </row>
        <row r="1507">
          <cell r="B1507" t="str">
            <v>Pənahəliyev Aşur Novruz</v>
          </cell>
          <cell r="C1507" t="str">
            <v>Kassa və inkassasiya prosesləri departamenti</v>
          </cell>
          <cell r="D1507" t="str">
            <v>İnkassasiya mərkəzləri ilə iş şöbəsi</v>
          </cell>
          <cell r="E1507" t="str">
            <v>#</v>
          </cell>
          <cell r="F1507" t="str">
            <v>Kassir-inkassator (Biləsuvar regional inkassasiya mərkəzi üzrə)</v>
          </cell>
          <cell r="G1507" t="str">
            <v>A</v>
          </cell>
          <cell r="H1507">
            <v>43567</v>
          </cell>
        </row>
        <row r="1508">
          <cell r="B1508" t="str">
            <v>Əliyev Vüsal Alxan</v>
          </cell>
          <cell r="C1508" t="str">
            <v>Kassa və inkassasiya prosesləri departamenti</v>
          </cell>
          <cell r="D1508" t="str">
            <v>İnkassasiya mərkəzləri ilə iş şöbəsi</v>
          </cell>
          <cell r="E1508" t="str">
            <v>#</v>
          </cell>
          <cell r="F1508" t="str">
            <v>Kassir-inkassator (Biləsuvar regional inkassasiya mərkəzi üzrə)</v>
          </cell>
          <cell r="G1508" t="str">
            <v>A</v>
          </cell>
          <cell r="H1508">
            <v>44391</v>
          </cell>
        </row>
        <row r="1509">
          <cell r="B1509" t="str">
            <v>Məmmədov Tural İlham</v>
          </cell>
          <cell r="C1509" t="str">
            <v>Kassa və inkassasiya prosesləri departamenti</v>
          </cell>
          <cell r="D1509" t="str">
            <v>İnkassasiya mərkəzləri ilə iş şöbəsi</v>
          </cell>
          <cell r="E1509" t="str">
            <v>#</v>
          </cell>
          <cell r="F1509" t="str">
            <v>Kassir-inkassator (Biləsuvar regional inkassasiya mərkəzi üzrə)</v>
          </cell>
          <cell r="G1509" t="str">
            <v>A</v>
          </cell>
          <cell r="H1509">
            <v>45250</v>
          </cell>
        </row>
        <row r="1510">
          <cell r="B1510" t="str">
            <v>Yusifov Elvin Aydın</v>
          </cell>
          <cell r="C1510" t="str">
            <v>Kassa və inkassasiya prosesləri departamenti</v>
          </cell>
          <cell r="D1510" t="str">
            <v>İnkassasiya mərkəzləri ilə iş şöbəsi</v>
          </cell>
          <cell r="E1510" t="str">
            <v>#</v>
          </cell>
          <cell r="F1510" t="str">
            <v>Kassir-inkassator (Gəncə regional inkassasiya mərkəzi üzrə)</v>
          </cell>
          <cell r="G1510" t="str">
            <v>A</v>
          </cell>
          <cell r="H1510">
            <v>42031</v>
          </cell>
        </row>
        <row r="1511">
          <cell r="B1511" t="str">
            <v>Əzizov Habil Şaumyan</v>
          </cell>
          <cell r="C1511" t="str">
            <v>Kassa və inkassasiya prosesləri departamenti</v>
          </cell>
          <cell r="D1511" t="str">
            <v>İnkassasiya mərkəzləri ilə iş şöbəsi</v>
          </cell>
          <cell r="E1511" t="str">
            <v>#</v>
          </cell>
          <cell r="F1511" t="str">
            <v>Kassir-inkassator (Gəncə regional inkassasiya mərkəzi üzrə)</v>
          </cell>
          <cell r="G1511" t="str">
            <v>A</v>
          </cell>
          <cell r="H1511">
            <v>36721</v>
          </cell>
        </row>
        <row r="1512">
          <cell r="B1512" t="str">
            <v>Hacıyev Seymur Azər</v>
          </cell>
          <cell r="C1512" t="str">
            <v>Kassa və inkassasiya prosesləri departamenti</v>
          </cell>
          <cell r="D1512" t="str">
            <v>İnkassasiya mərkəzləri ilə iş şöbəsi</v>
          </cell>
          <cell r="E1512" t="str">
            <v>#</v>
          </cell>
          <cell r="F1512" t="str">
            <v>Kassir-inkassator (Gəncə regional inkassasiya mərkəzi üzrə)</v>
          </cell>
          <cell r="G1512" t="str">
            <v>A</v>
          </cell>
          <cell r="H1512">
            <v>44083</v>
          </cell>
        </row>
        <row r="1513">
          <cell r="B1513" t="str">
            <v>Baxşalıyev Arzu Rəsul</v>
          </cell>
          <cell r="C1513" t="str">
            <v>Kassa və inkassasiya prosesləri departamenti</v>
          </cell>
          <cell r="D1513" t="str">
            <v>İnkassasiya mərkəzləri ilə iş şöbəsi</v>
          </cell>
          <cell r="E1513" t="str">
            <v>#</v>
          </cell>
          <cell r="F1513" t="str">
            <v>Kassir-inkassator (Gəncə regional inkassasiya mərkəzi üzrə)</v>
          </cell>
          <cell r="G1513" t="str">
            <v>A</v>
          </cell>
          <cell r="H1513">
            <v>36721</v>
          </cell>
        </row>
        <row r="1514">
          <cell r="B1514" t="str">
            <v xml:space="preserve">	İbrahimova Leyla Zakir</v>
          </cell>
          <cell r="C1514" t="str">
            <v>Kassa və inkassasiya prosesləri departamenti</v>
          </cell>
          <cell r="D1514" t="str">
            <v>İnkassasiya mərkəzləri ilə iş şöbəsi</v>
          </cell>
          <cell r="E1514" t="str">
            <v>#</v>
          </cell>
          <cell r="F1514" t="str">
            <v>Kassir-inkassator (Gəncə regional inkassasiya mərkəzi üzrə)</v>
          </cell>
          <cell r="G1514" t="str">
            <v>A</v>
          </cell>
          <cell r="H1514">
            <v>46097</v>
          </cell>
          <cell r="I1514" t="str">
            <v>Bir Payment</v>
          </cell>
        </row>
        <row r="1515">
          <cell r="B1515" t="str">
            <v>Nəzirli Anar Nazim</v>
          </cell>
          <cell r="C1515" t="str">
            <v>Kassa və inkassasiya prosesləri departamenti</v>
          </cell>
          <cell r="D1515" t="str">
            <v>İnkassasiya mərkəzləri ilə iş şöbəsi</v>
          </cell>
          <cell r="E1515" t="str">
            <v>#</v>
          </cell>
          <cell r="F1515" t="str">
            <v>Kassir-inkassator (Gəncə regional inkassasiya mərkəzi üzrə)</v>
          </cell>
          <cell r="G1515" t="str">
            <v>A</v>
          </cell>
          <cell r="H1515">
            <v>46097</v>
          </cell>
          <cell r="I1515" t="str">
            <v>Bir Payment</v>
          </cell>
        </row>
        <row r="1516">
          <cell r="B1516" t="str">
            <v>Qəhrəmanov Əli Yusif</v>
          </cell>
          <cell r="C1516" t="str">
            <v>Kassa və inkassasiya prosesləri departamenti</v>
          </cell>
          <cell r="D1516" t="str">
            <v>İnkassasiya mərkəzləri ilə iş şöbəsi</v>
          </cell>
          <cell r="E1516" t="str">
            <v>#</v>
          </cell>
          <cell r="F1516" t="str">
            <v>Kassir-inkassator (Gəncə regional inkassasiya mərkəzi üzrə)</v>
          </cell>
          <cell r="G1516" t="str">
            <v>A</v>
          </cell>
          <cell r="H1516">
            <v>46097</v>
          </cell>
          <cell r="I1516" t="str">
            <v>Bir Payment</v>
          </cell>
        </row>
        <row r="1517">
          <cell r="B1517" t="str">
            <v>Əsədov İsmayıl Əsəd</v>
          </cell>
          <cell r="C1517" t="str">
            <v>Kassa və inkassasiya prosesləri departamenti</v>
          </cell>
          <cell r="D1517" t="str">
            <v>İnkassasiya mərkəzləri ilə iş şöbəsi</v>
          </cell>
          <cell r="E1517" t="str">
            <v>#</v>
          </cell>
          <cell r="F1517" t="str">
            <v>Kassir-inkassator (Tovuz regional inkassasiya mərkəzi üzrə)</v>
          </cell>
          <cell r="G1517" t="str">
            <v>A</v>
          </cell>
          <cell r="H1517">
            <v>46097</v>
          </cell>
          <cell r="I1517" t="str">
            <v>Bir Payment</v>
          </cell>
        </row>
        <row r="1518">
          <cell r="B1518" t="str">
            <v>Tağıyeva Sara Türkan</v>
          </cell>
          <cell r="C1518" t="str">
            <v>Kassa və inkassasiya prosesləri departamenti</v>
          </cell>
          <cell r="D1518" t="str">
            <v>İnkassasiya mərkəzləri ilə iş şöbəsi</v>
          </cell>
          <cell r="E1518" t="str">
            <v>#</v>
          </cell>
          <cell r="F1518" t="str">
            <v>Kassir-inkassator (Gəncə regional inkassasiya mərkəzi üzrə)</v>
          </cell>
          <cell r="G1518" t="str">
            <v>A</v>
          </cell>
          <cell r="H1518">
            <v>46097</v>
          </cell>
          <cell r="I1518" t="str">
            <v>Bir Payment</v>
          </cell>
        </row>
        <row r="1519">
          <cell r="B1519" t="str">
            <v>Məmmədov Zahid Faxrəddin</v>
          </cell>
          <cell r="C1519" t="str">
            <v>Kassa və inkassasiya prosesləri departamenti</v>
          </cell>
          <cell r="D1519" t="str">
            <v>İnkassasiya mərkəzləri ilə iş şöbəsi</v>
          </cell>
          <cell r="E1519" t="str">
            <v>#</v>
          </cell>
          <cell r="F1519" t="str">
            <v>Kassir-inkassator (Gəncə regional inkassasiya mərkəzi üzrə)</v>
          </cell>
          <cell r="G1519" t="str">
            <v>A</v>
          </cell>
          <cell r="H1519">
            <v>42031</v>
          </cell>
        </row>
        <row r="1520">
          <cell r="B1520" t="str">
            <v>Piriyev Mikayıl Rakif</v>
          </cell>
          <cell r="C1520" t="str">
            <v>Kassa və inkassasiya prosesləri departamenti</v>
          </cell>
          <cell r="D1520" t="str">
            <v>İnkassasiya mərkəzləri ilə iş şöbəsi</v>
          </cell>
          <cell r="E1520" t="str">
            <v>#</v>
          </cell>
          <cell r="F1520" t="str">
            <v>Kassir-inkassator (Gəncə regional inkassasiya mərkəzi üzrə)</v>
          </cell>
          <cell r="G1520" t="str">
            <v>A</v>
          </cell>
          <cell r="H1520">
            <v>41564</v>
          </cell>
        </row>
        <row r="1521">
          <cell r="B1521" t="str">
            <v>Məmmədov Allahverdi Əli</v>
          </cell>
          <cell r="C1521" t="str">
            <v>Kassa və inkassasiya prosesləri departamenti</v>
          </cell>
          <cell r="D1521" t="str">
            <v>İnkassasiya mərkəzləri ilə iş şöbəsi</v>
          </cell>
          <cell r="E1521" t="str">
            <v>#</v>
          </cell>
          <cell r="F1521" t="str">
            <v>Kassir-inkassator (Gəncə regional inkassasiya mərkəzi üzrə)</v>
          </cell>
          <cell r="G1521" t="str">
            <v>A</v>
          </cell>
          <cell r="H1521">
            <v>42850</v>
          </cell>
        </row>
        <row r="1522">
          <cell r="B1522" t="str">
            <v>Məmmədov Şahin Məmməd</v>
          </cell>
          <cell r="C1522" t="str">
            <v>Kassa və inkassasiya prosesləri departamenti</v>
          </cell>
          <cell r="D1522" t="str">
            <v>İnkassasiya mərkəzləri ilə iş şöbəsi</v>
          </cell>
          <cell r="E1522" t="str">
            <v>#</v>
          </cell>
          <cell r="F1522" t="str">
            <v>Kassir-inkassator (Gəncə regional inkassasiya mərkəzi üzrə)</v>
          </cell>
          <cell r="G1522" t="str">
            <v>A</v>
          </cell>
          <cell r="H1522">
            <v>40051</v>
          </cell>
        </row>
        <row r="1523">
          <cell r="B1523" t="str">
            <v>Məmmədov Ceyhun İlqar</v>
          </cell>
          <cell r="C1523" t="str">
            <v>Kassa və inkassasiya prosesləri departamenti</v>
          </cell>
          <cell r="D1523" t="str">
            <v>İnkassasiya mərkəzləri ilə iş şöbəsi</v>
          </cell>
          <cell r="E1523" t="str">
            <v>#</v>
          </cell>
          <cell r="F1523" t="str">
            <v>Kassir-inkassator (Gəncə regional inkassasiya mərkəzi üzrə)</v>
          </cell>
          <cell r="G1523" t="str">
            <v>A</v>
          </cell>
          <cell r="H1523">
            <v>40695</v>
          </cell>
        </row>
        <row r="1524">
          <cell r="B1524" t="str">
            <v>Hüseynov Emil Vaqif</v>
          </cell>
          <cell r="C1524" t="str">
            <v>Kassa və inkassasiya prosesləri departamenti</v>
          </cell>
          <cell r="D1524" t="str">
            <v>İnkassasiya mərkəzləri ilə iş şöbəsi</v>
          </cell>
          <cell r="E1524" t="str">
            <v>#</v>
          </cell>
          <cell r="F1524" t="str">
            <v>Kassir-inkassator (Gəncə regional inkassasiya mərkəzi üzrə)(0,5 ştat vahidi üzrə əvəzçilik qaydasında)</v>
          </cell>
          <cell r="G1524" t="str">
            <v>A</v>
          </cell>
          <cell r="H1524">
            <v>46260</v>
          </cell>
          <cell r="I1524" t="str">
            <v>Bir Payment</v>
          </cell>
        </row>
        <row r="1525">
          <cell r="B1525" t="str">
            <v>Əliyev İsmayıl Həsən</v>
          </cell>
          <cell r="C1525" t="str">
            <v>Kassa və inkassasiya prosesləri departamenti</v>
          </cell>
          <cell r="D1525" t="str">
            <v>İnkassasiya mərkəzləri ilə iş şöbəsi</v>
          </cell>
          <cell r="E1525" t="str">
            <v>#</v>
          </cell>
          <cell r="F1525" t="str">
            <v>Kassir-inkassator (Gəncə regional inkassasiya mərkəzi üzrə)(0,5 ştat vahidi üzrə əvəzçilik qaydasında)</v>
          </cell>
          <cell r="G1525" t="str">
            <v>A</v>
          </cell>
          <cell r="H1525">
            <v>46260</v>
          </cell>
          <cell r="I1525" t="str">
            <v>Bir Payment</v>
          </cell>
        </row>
        <row r="1526">
          <cell r="B1526" t="str">
            <v>Abdullayev Turan Qalib</v>
          </cell>
          <cell r="C1526" t="str">
            <v>Kassa və inkassasiya prosesləri departamenti</v>
          </cell>
          <cell r="D1526" t="str">
            <v>İnkassasiya mərkəzləri ilə iş şöbəsi</v>
          </cell>
          <cell r="E1526" t="str">
            <v>#</v>
          </cell>
          <cell r="F1526" t="str">
            <v>Kassir-inkassator (Gəncə regional inkassasiya mərkəzi üzrə)(0,5 ştat vahidi üzrə əvəzçilik qaydasında)</v>
          </cell>
          <cell r="G1526" t="str">
            <v>A</v>
          </cell>
          <cell r="H1526">
            <v>46260</v>
          </cell>
          <cell r="I1526" t="str">
            <v>Bir Payment</v>
          </cell>
        </row>
        <row r="1527">
          <cell r="B1527" t="str">
            <v>Əliyev Azər Fizuli</v>
          </cell>
          <cell r="C1527" t="str">
            <v>Kassa və inkassasiya prosesləri departamenti</v>
          </cell>
          <cell r="D1527" t="str">
            <v>İnkassasiya mərkəzləri ilə iş şöbəsi</v>
          </cell>
          <cell r="E1527" t="str">
            <v>#</v>
          </cell>
          <cell r="F1527" t="str">
            <v>Kassir-inkassator (Gəncə regional inkassasiya mərkəzi üzrə)(0,5 ştat vahidi üzrə əvəzçilik qaydasında)</v>
          </cell>
          <cell r="G1527" t="str">
            <v>A</v>
          </cell>
          <cell r="H1527">
            <v>46260</v>
          </cell>
          <cell r="I1527" t="str">
            <v>Bir Payment</v>
          </cell>
        </row>
        <row r="1528">
          <cell r="B1528" t="str">
            <v>Sofuyev Hüseyn Rafiq</v>
          </cell>
          <cell r="C1528" t="str">
            <v>Kassa və inkassasiya prosesləri departamenti</v>
          </cell>
          <cell r="D1528" t="str">
            <v>İnkassasiya mərkəzləri ilə iş şöbəsi</v>
          </cell>
          <cell r="E1528" t="str">
            <v>#</v>
          </cell>
          <cell r="F1528" t="str">
            <v>Kassir-inkassator (Gəncə regional inkassasiya mərkəzi üzrə)(0,5 ştat vahidi üzrə əvəzçilik qaydasında)</v>
          </cell>
          <cell r="G1528" t="str">
            <v>A</v>
          </cell>
          <cell r="H1528">
            <v>46260</v>
          </cell>
          <cell r="I1528" t="str">
            <v>Bir Payment</v>
          </cell>
        </row>
        <row r="1529">
          <cell r="B1529" t="str">
            <v>Cümşüdov Elşən Şahin</v>
          </cell>
          <cell r="C1529" t="str">
            <v>Kassa və inkassasiya prosesləri departamenti</v>
          </cell>
          <cell r="D1529" t="str">
            <v>İnkassasiya mərkəzləri ilə iş şöbəsi</v>
          </cell>
          <cell r="E1529" t="str">
            <v>#</v>
          </cell>
          <cell r="F1529" t="str">
            <v>Kassir-inkassator (Gəncə regional inkassasiya mərkəzi üzrə)(0,5 ştat vahidi üzrə əvəzçilik qaydasında)</v>
          </cell>
          <cell r="G1529" t="str">
            <v>A</v>
          </cell>
          <cell r="H1529">
            <v>46260</v>
          </cell>
          <cell r="I1529" t="str">
            <v>Bir Payment</v>
          </cell>
        </row>
        <row r="1530">
          <cell r="B1530" t="str">
            <v>İsmayılov Turqay Zahir</v>
          </cell>
          <cell r="C1530" t="str">
            <v>Kassa və inkassasiya prosesləri departamenti</v>
          </cell>
          <cell r="D1530" t="str">
            <v>İnkassasiya mərkəzləri ilə iş şöbəsi</v>
          </cell>
          <cell r="E1530" t="str">
            <v>#</v>
          </cell>
          <cell r="F1530" t="str">
            <v>Kassir-inkassator (Gəncə regional inkassasiya mərkəzi üzrə)(0,5 ştat vahidi üzrə əvəzçilik qaydasında)</v>
          </cell>
          <cell r="G1530" t="str">
            <v>A</v>
          </cell>
          <cell r="H1530">
            <v>46266</v>
          </cell>
          <cell r="I1530" t="str">
            <v>Bir Payment</v>
          </cell>
        </row>
        <row r="1531">
          <cell r="B1531" t="str">
            <v>Rəşidov Rüfət Qalib</v>
          </cell>
          <cell r="C1531" t="str">
            <v>Kassa və inkassasiya prosesləri departamenti</v>
          </cell>
          <cell r="D1531" t="str">
            <v>İnkassasiya mərkəzləri ilə iş şöbəsi</v>
          </cell>
          <cell r="E1531" t="str">
            <v>#</v>
          </cell>
          <cell r="F1531" t="str">
            <v>Kassir-inkassator (Gəncə regional inkassasiya mərkəzi üzrə)(0,5 ştat vahidi üzrə əvəzçilik qaydasında)</v>
          </cell>
          <cell r="G1531" t="str">
            <v>A</v>
          </cell>
          <cell r="H1531">
            <v>46266</v>
          </cell>
          <cell r="I1531" t="str">
            <v>Bir Payment</v>
          </cell>
        </row>
        <row r="1532">
          <cell r="B1532" t="str">
            <v>Musayev Süleyman Nizami</v>
          </cell>
          <cell r="C1532" t="str">
            <v>Kassa və inkassasiya prosesləri departamenti</v>
          </cell>
          <cell r="D1532" t="str">
            <v>İnkassasiya mərkəzləri ilə iş şöbəsi</v>
          </cell>
          <cell r="E1532" t="str">
            <v>#</v>
          </cell>
          <cell r="F1532" t="str">
            <v>Kassir-inkassator (Gəncə regional inkassasiya mərkəzi üzrə)(0,5 ştat vahidi üzrə əvəzçilik qaydasında)</v>
          </cell>
          <cell r="G1532" t="str">
            <v>A</v>
          </cell>
          <cell r="H1532">
            <v>46266</v>
          </cell>
          <cell r="I1532" t="str">
            <v>Bir Payment</v>
          </cell>
        </row>
        <row r="1533">
          <cell r="B1533" t="str">
            <v>Məmmədov Zaur Qoca</v>
          </cell>
          <cell r="C1533" t="str">
            <v>Kassa və inkassasiya prosesləri departamenti</v>
          </cell>
          <cell r="D1533" t="str">
            <v>İnkassasiya mərkəzləri ilə iş şöbəsi</v>
          </cell>
          <cell r="E1533" t="str">
            <v>#</v>
          </cell>
          <cell r="F1533" t="str">
            <v>Kassir-inkassator (Gəncə regional inkassasiya mərkəzi üzrə)(0,5 ştat vahidi üzrə əvəzçilik qaydasında)</v>
          </cell>
          <cell r="G1533" t="str">
            <v>A</v>
          </cell>
          <cell r="H1533">
            <v>46266</v>
          </cell>
          <cell r="I1533" t="str">
            <v>Bir Payment</v>
          </cell>
        </row>
        <row r="1534">
          <cell r="B1534" t="str">
            <v>Abbasov Kənan Eldar</v>
          </cell>
          <cell r="C1534" t="str">
            <v>Kassa və inkassasiya prosesləri departamenti</v>
          </cell>
          <cell r="D1534" t="str">
            <v>İnkassasiya mərkəzləri ilə iş şöbəsi</v>
          </cell>
          <cell r="E1534" t="str">
            <v>#</v>
          </cell>
          <cell r="F1534" t="str">
            <v>Kassir-inkassator (Gəncə regional inkassasiya mərkəzi üzrə)(0,5 ştat vahidi üzrə əvəzçilik qaydasında)</v>
          </cell>
          <cell r="G1534" t="str">
            <v>A</v>
          </cell>
          <cell r="H1534">
            <v>46266</v>
          </cell>
          <cell r="I1534" t="str">
            <v>Bir Payment</v>
          </cell>
        </row>
        <row r="1535">
          <cell r="B1535" t="str">
            <v>Cəfərov Faiq Elçin</v>
          </cell>
          <cell r="C1535" t="str">
            <v>Kassa və inkassasiya prosesləri departamenti</v>
          </cell>
          <cell r="D1535" t="str">
            <v>İnkassasiya mərkəzləri ilə iş şöbəsi</v>
          </cell>
          <cell r="E1535" t="str">
            <v>#</v>
          </cell>
          <cell r="F1535" t="str">
            <v>Kassir-inkassator (Gəncə regional inkassasiya mərkəzi üzrə)(0,5 ştat vahidi üzrə əvəzçilik qaydasında)</v>
          </cell>
          <cell r="G1535" t="str">
            <v>A</v>
          </cell>
          <cell r="H1535">
            <v>46266</v>
          </cell>
          <cell r="I1535" t="str">
            <v>Bir Payment</v>
          </cell>
        </row>
        <row r="1536">
          <cell r="B1536" t="str">
            <v>Hüseynov Elnur Araz</v>
          </cell>
          <cell r="C1536" t="str">
            <v>Kassa və inkassasiya prosesləri departamenti</v>
          </cell>
          <cell r="D1536" t="str">
            <v>İnkassasiya mərkəzləri ilə iş şöbəsi</v>
          </cell>
          <cell r="E1536" t="str">
            <v>#</v>
          </cell>
          <cell r="F1536" t="str">
            <v>Kassir-inkassator (Gəncə regional inkassasiya mərkəzi üzrə)(0,5 ştat vahidi üzrə əvəzçilik qaydasında)</v>
          </cell>
          <cell r="G1536" t="str">
            <v>A</v>
          </cell>
          <cell r="H1536">
            <v>46276</v>
          </cell>
          <cell r="I1536" t="str">
            <v>Bir Payment</v>
          </cell>
        </row>
        <row r="1537">
          <cell r="B1537" t="str">
            <v>Hüseynov İsmayıl Məmməd</v>
          </cell>
          <cell r="C1537" t="str">
            <v>Kassa və inkassasiya prosesləri departamenti</v>
          </cell>
          <cell r="D1537" t="str">
            <v>İnkassasiya mərkəzləri ilə iş şöbəsi</v>
          </cell>
          <cell r="E1537" t="str">
            <v>#</v>
          </cell>
          <cell r="F1537" t="str">
            <v>Kassir-inkassator (Gəncə regional inkassasiya mərkəzi üzrə)</v>
          </cell>
          <cell r="G1537" t="str">
            <v>A</v>
          </cell>
          <cell r="H1537">
            <v>40599</v>
          </cell>
        </row>
        <row r="1538">
          <cell r="B1538" t="str">
            <v>Babayev Bayram Qərib</v>
          </cell>
          <cell r="C1538" t="str">
            <v>Kassa və inkassasiya prosesləri departamenti</v>
          </cell>
          <cell r="D1538" t="str">
            <v>İnkassasiya mərkəzləri ilə iş şöbəsi</v>
          </cell>
          <cell r="E1538" t="str">
            <v>#</v>
          </cell>
          <cell r="F1538" t="str">
            <v>Kassir-inkassator (Gəncə regional inkassasiya mərkəzi üzrə)</v>
          </cell>
          <cell r="G1538" t="str">
            <v>A</v>
          </cell>
          <cell r="H1538">
            <v>45315</v>
          </cell>
        </row>
        <row r="1539">
          <cell r="B1539" t="str">
            <v>Abdullayev Nuran Nurpaşa</v>
          </cell>
          <cell r="C1539" t="str">
            <v>Kassa və inkassasiya prosesləri departamenti</v>
          </cell>
          <cell r="D1539" t="str">
            <v>İnkassasiya mərkəzləri ilə iş şöbəsi</v>
          </cell>
          <cell r="E1539" t="str">
            <v>#</v>
          </cell>
          <cell r="F1539" t="str">
            <v>Kassir-inkassator (Gəncə regional inkassasiya mərkəzi üzrə)</v>
          </cell>
          <cell r="G1539" t="str">
            <v>A</v>
          </cell>
          <cell r="H1539">
            <v>45589</v>
          </cell>
        </row>
        <row r="1540">
          <cell r="B1540" t="str">
            <v>Musayev Musa Saqif</v>
          </cell>
          <cell r="C1540" t="str">
            <v>Kassa və inkassasiya prosesləri departamenti</v>
          </cell>
          <cell r="D1540" t="str">
            <v>İnkassasiya mərkəzləri ilə iş şöbəsi</v>
          </cell>
          <cell r="E1540" t="str">
            <v>#</v>
          </cell>
          <cell r="F1540" t="str">
            <v>Kassir-inkassator (Gəncə regional inkassasiya mərkəzi üzrə)</v>
          </cell>
          <cell r="G1540" t="str">
            <v>A</v>
          </cell>
          <cell r="H1540">
            <v>45623</v>
          </cell>
        </row>
        <row r="1541">
          <cell r="B1541" t="str">
            <v>Bağırov Taryel Əlizamin</v>
          </cell>
          <cell r="C1541" t="str">
            <v>Kassa və inkassasiya prosesləri departamenti</v>
          </cell>
          <cell r="D1541" t="str">
            <v>İnkassasiya mərkəzləri ilə iş şöbəsi</v>
          </cell>
          <cell r="E1541" t="str">
            <v>#</v>
          </cell>
          <cell r="F1541" t="str">
            <v>Kassir-inkassator (Gəncə regional inkassasiya mərkəzi üzrə)</v>
          </cell>
          <cell r="G1541" t="str">
            <v>A</v>
          </cell>
          <cell r="H1541">
            <v>45663</v>
          </cell>
        </row>
        <row r="1542">
          <cell r="B1542" t="str">
            <v>Rüstəmov Vüqar Xanlar</v>
          </cell>
          <cell r="C1542" t="str">
            <v>Kassa və inkassasiya prosesləri departamenti</v>
          </cell>
          <cell r="D1542" t="str">
            <v>İnkassasiya mərkəzləri ilə iş şöbəsi</v>
          </cell>
          <cell r="E1542" t="str">
            <v>#</v>
          </cell>
          <cell r="F1542" t="str">
            <v>Kassir-inkassator (Gəncə regional inkassasiya mərkəzi üzrə)</v>
          </cell>
          <cell r="G1542" t="str">
            <v>A</v>
          </cell>
          <cell r="H1542">
            <v>45663</v>
          </cell>
        </row>
        <row r="1543">
          <cell r="B1543" t="str">
            <v>Rzayev Elnur Famil</v>
          </cell>
          <cell r="C1543" t="str">
            <v>Kassa və inkassasiya prosesləri departamenti</v>
          </cell>
          <cell r="D1543" t="str">
            <v>İnkassasiya mərkəzləri ilə iş şöbəsi</v>
          </cell>
          <cell r="E1543" t="str">
            <v>#</v>
          </cell>
          <cell r="F1543" t="str">
            <v>Kassir-inkassator (Gəncə regional inkassasiya mərkəzi üzrə)</v>
          </cell>
          <cell r="G1543" t="str">
            <v>A</v>
          </cell>
          <cell r="H1543">
            <v>45663</v>
          </cell>
        </row>
        <row r="1544">
          <cell r="B1544" t="str">
            <v>İbrahimov Xəlil Qaçay</v>
          </cell>
          <cell r="C1544" t="str">
            <v>Kassa və inkassasiya prosesləri departamenti</v>
          </cell>
          <cell r="D1544" t="str">
            <v>İnkassasiya mərkəzləri ilə iş şöbəsi</v>
          </cell>
          <cell r="E1544" t="str">
            <v>#</v>
          </cell>
          <cell r="F1544" t="str">
            <v>Kassir-inkassator (Gəncə regional inkassasiya mərkəzi üzrə)</v>
          </cell>
          <cell r="G1544" t="str">
            <v>A</v>
          </cell>
          <cell r="H1544">
            <v>45663</v>
          </cell>
        </row>
        <row r="1545">
          <cell r="B1545" t="str">
            <v>Paşayev Fərhad Məmmədbağır</v>
          </cell>
          <cell r="C1545" t="str">
            <v>Kassa və inkassasiya prosesləri departamenti</v>
          </cell>
          <cell r="D1545" t="str">
            <v>İnkassasiya mərkəzləri ilə iş şöbəsi</v>
          </cell>
          <cell r="E1545" t="str">
            <v>#</v>
          </cell>
          <cell r="F1545" t="str">
            <v>Kassir-inkassator (Xaçmaz regional inkassasiya mərkəzi üzrə)</v>
          </cell>
          <cell r="G1545" t="str">
            <v>A</v>
          </cell>
          <cell r="H1545">
            <v>37999</v>
          </cell>
        </row>
        <row r="1546">
          <cell r="B1546" t="str">
            <v>Kərimov Teyfur Abiddinoviç</v>
          </cell>
          <cell r="C1546" t="str">
            <v>Kassa və inkassasiya prosesləri departamenti</v>
          </cell>
          <cell r="D1546" t="str">
            <v>İnkassasiya mərkəzləri ilə iş şöbəsi</v>
          </cell>
          <cell r="E1546" t="str">
            <v>#</v>
          </cell>
          <cell r="F1546" t="str">
            <v>Kassir-inkassator (Xaçmaz regional inkassasiya mərkəzi üzrə)</v>
          </cell>
          <cell r="G1546" t="str">
            <v>A</v>
          </cell>
          <cell r="H1546">
            <v>41792</v>
          </cell>
        </row>
        <row r="1547">
          <cell r="B1547" t="str">
            <v>Qasımov Vəli Rufulla</v>
          </cell>
          <cell r="C1547" t="str">
            <v>Kassa və inkassasiya prosesləri departamenti</v>
          </cell>
          <cell r="D1547" t="str">
            <v>İnkassasiya mərkəzləri ilə iş şöbəsi</v>
          </cell>
          <cell r="E1547" t="str">
            <v>#</v>
          </cell>
          <cell r="F1547" t="str">
            <v>Kassir-inkassator (Xaçmaz regional inkassasiya mərkəzi üzrə)</v>
          </cell>
          <cell r="G1547" t="str">
            <v>A</v>
          </cell>
          <cell r="H1547">
            <v>43721</v>
          </cell>
        </row>
        <row r="1548">
          <cell r="B1548" t="str">
            <v>Alammədov Fərman Balahməd</v>
          </cell>
          <cell r="C1548" t="str">
            <v>Kassa və inkassasiya prosesləri departamenti</v>
          </cell>
          <cell r="D1548" t="str">
            <v>İnkassasiya mərkəzləri ilə iş şöbəsi</v>
          </cell>
          <cell r="E1548" t="str">
            <v>#</v>
          </cell>
          <cell r="F1548" t="str">
            <v>Kassir-inkassator (Xaçmaz regional inkassasiya mərkəzi üzrə)</v>
          </cell>
          <cell r="G1548" t="str">
            <v>A</v>
          </cell>
          <cell r="H1548">
            <v>37412</v>
          </cell>
        </row>
        <row r="1549">
          <cell r="B1549" t="str">
            <v>Həmidov Tural Ağaseyid</v>
          </cell>
          <cell r="C1549" t="str">
            <v>Kassa və inkassasiya prosesləri departamenti</v>
          </cell>
          <cell r="D1549" t="str">
            <v>İnkassasiya mərkəzləri ilə iş şöbəsi</v>
          </cell>
          <cell r="E1549" t="str">
            <v>#</v>
          </cell>
          <cell r="F1549" t="str">
            <v>Kassir-inkassator (Xaçmaz regional inkassasiya mərkəzi üzrə)</v>
          </cell>
          <cell r="G1549" t="str">
            <v>A</v>
          </cell>
          <cell r="H1549">
            <v>42828</v>
          </cell>
        </row>
        <row r="1550">
          <cell r="B1550" t="str">
            <v>İsayev Bəhruz Müstəcəb</v>
          </cell>
          <cell r="C1550" t="str">
            <v>Kassa və inkassasiya prosesləri departamenti</v>
          </cell>
          <cell r="D1550" t="str">
            <v>İnkassasiya mərkəzləri ilə iş şöbəsi</v>
          </cell>
          <cell r="E1550" t="str">
            <v>#</v>
          </cell>
          <cell r="F1550" t="str">
            <v>Kassir-inkassator (Xaçmaz regional inkassasiya mərkəzi üzrə)</v>
          </cell>
          <cell r="G1550" t="str">
            <v>A</v>
          </cell>
          <cell r="H1550">
            <v>43391</v>
          </cell>
        </row>
        <row r="1551">
          <cell r="B1551" t="str">
            <v>Əhmədov Vüqar Məzahir</v>
          </cell>
          <cell r="C1551" t="str">
            <v>Kassa və inkassasiya prosesləri departamenti</v>
          </cell>
          <cell r="D1551" t="str">
            <v>İnkassasiya mərkəzləri ilə iş şöbəsi</v>
          </cell>
          <cell r="E1551" t="str">
            <v>#</v>
          </cell>
          <cell r="F1551" t="str">
            <v>Kassir-inkassator (Xaçmaz regional inkassasiya mərkəzi üzrə)</v>
          </cell>
          <cell r="G1551" t="str">
            <v>A</v>
          </cell>
          <cell r="H1551">
            <v>44531</v>
          </cell>
        </row>
        <row r="1552">
          <cell r="B1552" t="str">
            <v>Şahmərdanov Mehman Mirbaba</v>
          </cell>
          <cell r="C1552" t="str">
            <v>Kassa və inkassasiya prosesləri departamenti</v>
          </cell>
          <cell r="D1552" t="str">
            <v>İnkassasiya mərkəzləri ilə iş şöbəsi</v>
          </cell>
          <cell r="E1552" t="str">
            <v>#</v>
          </cell>
          <cell r="F1552" t="str">
            <v>Kassir-inkassator (Xaçmaz regional inkassasiya mərkəzi üzrə)</v>
          </cell>
          <cell r="G1552" t="str">
            <v>A</v>
          </cell>
          <cell r="H1552">
            <v>43839</v>
          </cell>
        </row>
        <row r="1553">
          <cell r="B1553" t="str">
            <v>Səfərov Orxan Ağamirzə</v>
          </cell>
          <cell r="C1553" t="str">
            <v>Kassa və inkassasiya prosesləri departamenti</v>
          </cell>
          <cell r="D1553" t="str">
            <v>İnkassasiya mərkəzləri ilə iş şöbəsi</v>
          </cell>
          <cell r="E1553" t="str">
            <v>#</v>
          </cell>
          <cell r="F1553" t="str">
            <v>Kassir-inkassator (Xaçmaz regional inkassasiya mərkəzi üzrə)</v>
          </cell>
          <cell r="G1553" t="str">
            <v>A</v>
          </cell>
          <cell r="H1553">
            <v>45163</v>
          </cell>
        </row>
        <row r="1554">
          <cell r="B1554" t="str">
            <v>Əsədov Azad Əlibəy</v>
          </cell>
          <cell r="C1554" t="str">
            <v>Kassa və inkassasiya prosesləri departamenti</v>
          </cell>
          <cell r="D1554" t="str">
            <v>İnkassasiya mərkəzləri ilə iş şöbəsi</v>
          </cell>
          <cell r="E1554" t="str">
            <v>#</v>
          </cell>
          <cell r="F1554" t="str">
            <v>Kassir-inkassator (Xaçmaz regional inkassasiya mərkəzi üzrə)</v>
          </cell>
          <cell r="G1554" t="str">
            <v>A</v>
          </cell>
          <cell r="H1554">
            <v>45663</v>
          </cell>
        </row>
        <row r="1555">
          <cell r="B1555" t="str">
            <v>Məmmədov Rəvan Kamran</v>
          </cell>
          <cell r="C1555" t="str">
            <v>Kassa və inkassasiya prosesləri departamenti</v>
          </cell>
          <cell r="D1555" t="str">
            <v>İnkassasiya mərkəzləri ilə iş şöbəsi</v>
          </cell>
          <cell r="E1555" t="str">
            <v>#</v>
          </cell>
          <cell r="F1555" t="str">
            <v>Kassir-inkassator (Xaçmaz regional inkassasiya mərkəzi üzrə)(0,5 ştat vahidi üzrə əvəzçilik qaydasında)</v>
          </cell>
          <cell r="G1555" t="str">
            <v>A</v>
          </cell>
          <cell r="H1555">
            <v>46279</v>
          </cell>
          <cell r="I1555" t="str">
            <v>Bir Payment</v>
          </cell>
        </row>
        <row r="1556">
          <cell r="B1556" t="str">
            <v>Hüseynov Toğrul İldırım</v>
          </cell>
          <cell r="C1556" t="str">
            <v>Kassa və inkassasiya prosesləri departamenti</v>
          </cell>
          <cell r="D1556" t="str">
            <v>İnkassasiya mərkəzləri ilə iş şöbəsi</v>
          </cell>
          <cell r="E1556" t="str">
            <v>#</v>
          </cell>
          <cell r="F1556" t="str">
            <v>Kassir-inkassator (İsmayıllı regional inkassasiya mərkəzi üzrə)</v>
          </cell>
          <cell r="G1556" t="str">
            <v>A</v>
          </cell>
          <cell r="H1556">
            <v>41036</v>
          </cell>
        </row>
        <row r="1557">
          <cell r="B1557" t="str">
            <v>Məsimov Qədir Qniyaz</v>
          </cell>
          <cell r="C1557" t="str">
            <v>Kassa və inkassasiya prosesləri departamenti</v>
          </cell>
          <cell r="D1557" t="str">
            <v>İnkassasiya mərkəzləri ilə iş şöbəsi</v>
          </cell>
          <cell r="E1557" t="str">
            <v>#</v>
          </cell>
          <cell r="F1557" t="str">
            <v>Kassir-inkassator (İsmayıllı regional inkassasiya mərkəzi üzrə)</v>
          </cell>
          <cell r="G1557" t="str">
            <v>A</v>
          </cell>
          <cell r="H1557">
            <v>46132</v>
          </cell>
          <cell r="I1557" t="str">
            <v>Bir Payment</v>
          </cell>
        </row>
        <row r="1558">
          <cell r="B1558" t="str">
            <v>Məmmədov Rəşad Rahib</v>
          </cell>
          <cell r="C1558" t="str">
            <v>Kassa və inkassasiya prosesləri departamenti</v>
          </cell>
          <cell r="D1558" t="str">
            <v>İnkassasiya mərkəzləri ilə iş şöbəsi</v>
          </cell>
          <cell r="E1558" t="str">
            <v>#</v>
          </cell>
          <cell r="F1558" t="str">
            <v>Kassir-inkassator (İsmayıllı regional inkassasiya mərkəzi üzrə)</v>
          </cell>
          <cell r="G1558" t="str">
            <v>A</v>
          </cell>
          <cell r="H1558">
            <v>46132</v>
          </cell>
          <cell r="I1558" t="str">
            <v>Bir Payment</v>
          </cell>
        </row>
        <row r="1559">
          <cell r="B1559" t="str">
            <v>Ədilov Vüqar Ağaəli</v>
          </cell>
          <cell r="C1559" t="str">
            <v>Kassa və inkassasiya prosesləri departamenti</v>
          </cell>
          <cell r="D1559" t="str">
            <v>İnkassasiya mərkəzləri ilə iş şöbəsi</v>
          </cell>
          <cell r="E1559" t="str">
            <v>#</v>
          </cell>
          <cell r="F1559" t="str">
            <v>Kassir-inkassator (Şəki regional inkassasiya mərkəzi üzrə)</v>
          </cell>
          <cell r="G1559" t="str">
            <v>A</v>
          </cell>
          <cell r="H1559">
            <v>46132</v>
          </cell>
          <cell r="I1559" t="str">
            <v>Bir Payment</v>
          </cell>
        </row>
        <row r="1560">
          <cell r="B1560" t="str">
            <v>Mütəllimov Elçin Eyvaz</v>
          </cell>
          <cell r="C1560" t="str">
            <v>Kassa və inkassasiya prosesləri departamenti</v>
          </cell>
          <cell r="D1560" t="str">
            <v>İnkassasiya mərkəzləri ilə iş şöbəsi</v>
          </cell>
          <cell r="E1560" t="str">
            <v>#</v>
          </cell>
          <cell r="F1560" t="str">
            <v>Kassir-inkassator (İsmayıllı regional inkassasiya mərkəzi üzrə)</v>
          </cell>
          <cell r="G1560" t="str">
            <v>A</v>
          </cell>
          <cell r="H1560">
            <v>43761</v>
          </cell>
        </row>
        <row r="1561">
          <cell r="B1561" t="str">
            <v>Eminov Coşqun İlqar</v>
          </cell>
          <cell r="C1561" t="str">
            <v>Kassa və inkassasiya prosesləri departamenti</v>
          </cell>
          <cell r="D1561" t="str">
            <v>İnkassasiya mərkəzləri ilə iş şöbəsi</v>
          </cell>
          <cell r="E1561" t="str">
            <v>#</v>
          </cell>
          <cell r="F1561" t="str">
            <v>Kassir-inkassator (İsmayıllı regional inkassasiya mərkəzi üzrə)</v>
          </cell>
          <cell r="G1561" t="str">
            <v>A</v>
          </cell>
          <cell r="H1561">
            <v>38687</v>
          </cell>
        </row>
        <row r="1562">
          <cell r="B1562" t="str">
            <v>Mahmudzadə Cavidan Rafiq</v>
          </cell>
          <cell r="C1562" t="str">
            <v>Kassa və inkassasiya prosesləri departamenti</v>
          </cell>
          <cell r="D1562" t="str">
            <v>İnkassasiya mərkəzləri ilə iş şöbəsi</v>
          </cell>
          <cell r="E1562" t="str">
            <v>#</v>
          </cell>
          <cell r="F1562" t="str">
            <v>Kassir-inkassator (İsmayıllı regional inkassasiya mərkəzi üzrə)(0,5 ştat vahidi üzrə əvəzçilik qaydasında)</v>
          </cell>
          <cell r="G1562" t="str">
            <v>A</v>
          </cell>
          <cell r="H1562">
            <v>46259</v>
          </cell>
          <cell r="I1562" t="str">
            <v>Bir Payment</v>
          </cell>
        </row>
        <row r="1563">
          <cell r="B1563" t="str">
            <v>Yamənzadə Vüqar Fərrux</v>
          </cell>
          <cell r="C1563" t="str">
            <v>Kassa və inkassasiya prosesləri departamenti</v>
          </cell>
          <cell r="D1563" t="str">
            <v>İnkassasiya mərkəzləri ilə iş şöbəsi</v>
          </cell>
          <cell r="E1563" t="str">
            <v>#</v>
          </cell>
          <cell r="F1563" t="str">
            <v>Kassir-inkassator (İsmayıllı regional inkassasiya mərkəzi üzrə)(0,5 ştat vahidi üzrə əvəzçilik qaydasında)</v>
          </cell>
          <cell r="G1563" t="str">
            <v>A</v>
          </cell>
          <cell r="H1563">
            <v>46259</v>
          </cell>
          <cell r="I1563" t="str">
            <v>Bir Payment</v>
          </cell>
        </row>
        <row r="1564">
          <cell r="B1564" t="str">
            <v>Nuri Kənan Mirzağa</v>
          </cell>
          <cell r="C1564" t="str">
            <v>Kassa və inkassasiya prosesləri departamenti</v>
          </cell>
          <cell r="D1564" t="str">
            <v>İnkassasiya mərkəzləri ilə iş şöbəsi</v>
          </cell>
          <cell r="E1564" t="str">
            <v>#</v>
          </cell>
          <cell r="F1564" t="str">
            <v>Kassir-inkassator (İsmayıllı regional inkassasiya mərkəzi üzrə)(0,5 ştat vahidi üzrə əvəzçilik qaydasında)</v>
          </cell>
          <cell r="G1564" t="str">
            <v>A</v>
          </cell>
          <cell r="H1564">
            <v>46259</v>
          </cell>
          <cell r="I1564" t="str">
            <v>Bir Payment</v>
          </cell>
        </row>
        <row r="1565">
          <cell r="B1565" t="str">
            <v>Hümbətov Murad Adil</v>
          </cell>
          <cell r="C1565" t="str">
            <v>Kassa və inkassasiya prosesləri departamenti</v>
          </cell>
          <cell r="D1565" t="str">
            <v>İnkassasiya mərkəzləri ilə iş şöbəsi</v>
          </cell>
          <cell r="E1565" t="str">
            <v>#</v>
          </cell>
          <cell r="F1565" t="str">
            <v>Kassir-inkassator (İsmayıllı regional inkassasiya mərkəzi üzrə)(0,5 ştat vahidi üzrə əvəzçilik qaydasında)</v>
          </cell>
          <cell r="G1565" t="str">
            <v>A</v>
          </cell>
          <cell r="H1565">
            <v>46259</v>
          </cell>
          <cell r="I1565" t="str">
            <v>Bir Payment</v>
          </cell>
        </row>
        <row r="1566">
          <cell r="B1566" t="str">
            <v>Rəhimov Veysəl Kərəm</v>
          </cell>
          <cell r="C1566" t="str">
            <v>Kassa və inkassasiya prosesləri departamenti</v>
          </cell>
          <cell r="D1566" t="str">
            <v>İnkassasiya mərkəzləri ilə iş şöbəsi</v>
          </cell>
          <cell r="E1566" t="str">
            <v>#</v>
          </cell>
          <cell r="F1566" t="str">
            <v>Kassir-inkassator (İsmayıllı regional inkassasiya mərkəzi üzrə)(0,5 ştat vahidi üzrə əvəzçilik qaydasında)</v>
          </cell>
          <cell r="G1566" t="str">
            <v>A</v>
          </cell>
          <cell r="H1566">
            <v>46259</v>
          </cell>
          <cell r="I1566" t="str">
            <v>Bir Payment</v>
          </cell>
        </row>
        <row r="1567">
          <cell r="B1567" t="str">
            <v>Qabilov Şamil Ağaəli</v>
          </cell>
          <cell r="C1567" t="str">
            <v>Kassa və inkassasiya prosesləri departamenti</v>
          </cell>
          <cell r="D1567" t="str">
            <v>İnkassasiya mərkəzləri ilə iş şöbəsi</v>
          </cell>
          <cell r="E1567" t="str">
            <v>#</v>
          </cell>
          <cell r="F1567" t="str">
            <v>Kassir-inkassator (İsmayıllı regional inkassasiya mərkəzi üzrə)</v>
          </cell>
          <cell r="G1567" t="str">
            <v>A</v>
          </cell>
          <cell r="H1567">
            <v>40301</v>
          </cell>
        </row>
        <row r="1568">
          <cell r="B1568" t="str">
            <v>Mustafayev Fərahim Məhəmmədəli</v>
          </cell>
          <cell r="C1568" t="str">
            <v>Kassa və inkassasiya prosesləri departamenti</v>
          </cell>
          <cell r="D1568" t="str">
            <v>İnkassasiya mərkəzləri ilə iş şöbəsi</v>
          </cell>
          <cell r="E1568" t="str">
            <v>#</v>
          </cell>
          <cell r="F1568" t="str">
            <v>Kassir-inkassator (İsmayıllı regional inkassasiya mərkəzi üzrə)</v>
          </cell>
          <cell r="G1568" t="str">
            <v>A</v>
          </cell>
          <cell r="H1568">
            <v>42060</v>
          </cell>
        </row>
        <row r="1569">
          <cell r="B1569" t="str">
            <v>Rəşidov İlqar Xaləddin</v>
          </cell>
          <cell r="C1569" t="str">
            <v>Kassa və inkassasiya prosesləri departamenti</v>
          </cell>
          <cell r="D1569" t="str">
            <v>İnkassasiya mərkəzləri ilə iş şöbəsi</v>
          </cell>
          <cell r="E1569" t="str">
            <v>#</v>
          </cell>
          <cell r="F1569" t="str">
            <v>Kassir-inkassator (İsmayıllı regional inkassasiya mərkəzi üzrə)</v>
          </cell>
          <cell r="G1569" t="str">
            <v>A</v>
          </cell>
          <cell r="H1569">
            <v>45029</v>
          </cell>
        </row>
        <row r="1570">
          <cell r="B1570" t="str">
            <v>Abdullayev Nurlan Qulam</v>
          </cell>
          <cell r="C1570" t="str">
            <v>Kassa və inkassasiya prosesləri departamenti</v>
          </cell>
          <cell r="D1570" t="str">
            <v>İnkassasiya mərkəzləri ilə iş şöbəsi</v>
          </cell>
          <cell r="E1570" t="str">
            <v>#</v>
          </cell>
          <cell r="F1570" t="str">
            <v>Kassir-inkassator (İsmayıllı regional inkassasiya mərkəzi üzrə)</v>
          </cell>
          <cell r="G1570" t="str">
            <v>A</v>
          </cell>
          <cell r="H1570">
            <v>45090</v>
          </cell>
        </row>
        <row r="1571">
          <cell r="B1571" t="str">
            <v>Hacəmmədov Vüqar Bəxtiyar</v>
          </cell>
          <cell r="C1571" t="str">
            <v>Kassa və inkassasiya prosesləri departamenti</v>
          </cell>
          <cell r="D1571" t="str">
            <v>İnkassasiya mərkəzləri ilə iş şöbəsi</v>
          </cell>
          <cell r="E1571" t="str">
            <v>#</v>
          </cell>
          <cell r="F1571" t="str">
            <v>Kassir-inkassator (İsmayıllı regional inkassasiya mərkəzi üzrə)</v>
          </cell>
          <cell r="G1571" t="str">
            <v>A</v>
          </cell>
          <cell r="H1571">
            <v>45944</v>
          </cell>
        </row>
        <row r="1572">
          <cell r="B1572" t="str">
            <v>Vəliyev Fərid Vidman</v>
          </cell>
          <cell r="C1572" t="str">
            <v>Kassa və inkassasiya prosesləri departamenti</v>
          </cell>
          <cell r="D1572" t="str">
            <v>İnkassasiya mərkəzləri ilə iş şöbəsi</v>
          </cell>
          <cell r="E1572" t="str">
            <v>#</v>
          </cell>
          <cell r="F1572" t="str">
            <v>Kassir-inkassator (İsmayıllı regional inkassasiya mərkəzi üzrə)</v>
          </cell>
          <cell r="G1572" t="str">
            <v>A</v>
          </cell>
          <cell r="H1572">
            <v>45994</v>
          </cell>
        </row>
        <row r="1573">
          <cell r="B1573" t="str">
            <v>Mirzəli Bəhruz Sücəddin</v>
          </cell>
          <cell r="C1573" t="str">
            <v>Kassa və inkassasiya prosesləri departamenti</v>
          </cell>
          <cell r="D1573" t="str">
            <v>İnkassasiya mərkəzləri ilə iş şöbəsi</v>
          </cell>
          <cell r="E1573" t="str">
            <v>#</v>
          </cell>
          <cell r="F1573" t="str">
            <v>Kassir-inkassator (Lənkəran regional inkassasiya mərkəzi üzrə)</v>
          </cell>
          <cell r="G1573" t="str">
            <v>A</v>
          </cell>
          <cell r="H1573">
            <v>42032</v>
          </cell>
        </row>
        <row r="1574">
          <cell r="B1574" t="str">
            <v>Əliyev Vüsal Xanməd</v>
          </cell>
          <cell r="C1574" t="str">
            <v>Kassa və inkassasiya prosesləri departamenti</v>
          </cell>
          <cell r="D1574" t="str">
            <v>İnkassasiya mərkəzləri ilə iş şöbəsi</v>
          </cell>
          <cell r="E1574" t="str">
            <v>#</v>
          </cell>
          <cell r="F1574" t="str">
            <v>Kassir-inkassator (Lənkəran regional inkassasiya mərkəzi üzrə)</v>
          </cell>
          <cell r="G1574" t="str">
            <v>A</v>
          </cell>
          <cell r="H1574">
            <v>46097</v>
          </cell>
          <cell r="I1574" t="str">
            <v>Bir Payment</v>
          </cell>
        </row>
        <row r="1575">
          <cell r="B1575" t="str">
            <v xml:space="preserve">	Həsənli Elşən Etibar</v>
          </cell>
          <cell r="C1575" t="str">
            <v>Kassa və inkassasiya prosesləri departamenti</v>
          </cell>
          <cell r="D1575" t="str">
            <v>İnkassasiya mərkəzləri ilə iş şöbəsi</v>
          </cell>
          <cell r="E1575" t="str">
            <v>#</v>
          </cell>
          <cell r="F1575" t="str">
            <v>Kassir-inkassator (Lənkəran regional inkassasiya mərkəzi üzrə)</v>
          </cell>
          <cell r="G1575" t="str">
            <v>A</v>
          </cell>
          <cell r="H1575">
            <v>46097</v>
          </cell>
          <cell r="I1575" t="str">
            <v>Bir Payment</v>
          </cell>
        </row>
        <row r="1576">
          <cell r="B1576" t="str">
            <v>Bəşirov İlqar Allahyar</v>
          </cell>
          <cell r="C1576" t="str">
            <v>Kassa və inkassasiya prosesləri departamenti</v>
          </cell>
          <cell r="D1576" t="str">
            <v>İnkassasiya mərkəzləri ilə iş şöbəsi</v>
          </cell>
          <cell r="E1576" t="str">
            <v>#</v>
          </cell>
          <cell r="F1576" t="str">
            <v>Kassir-inkassator (Lənkəran regional inkassasiya mərkəzi üzrə)</v>
          </cell>
          <cell r="G1576" t="str">
            <v>A</v>
          </cell>
          <cell r="H1576">
            <v>41999</v>
          </cell>
        </row>
        <row r="1577">
          <cell r="B1577" t="str">
            <v>Şəmmədli Teymur Ağakərim</v>
          </cell>
          <cell r="C1577" t="str">
            <v>Kassa və inkassasiya prosesləri departamenti</v>
          </cell>
          <cell r="D1577" t="str">
            <v>İnkassasiya mərkəzləri ilə iş şöbəsi</v>
          </cell>
          <cell r="E1577" t="str">
            <v>#</v>
          </cell>
          <cell r="F1577" t="str">
            <v>Kassir-inkassator (Lənkəran regional inkassasiya mərkəzi üzrə)</v>
          </cell>
          <cell r="G1577" t="str">
            <v>A</v>
          </cell>
          <cell r="H1577">
            <v>43080</v>
          </cell>
        </row>
        <row r="1578">
          <cell r="B1578" t="str">
            <v>Axundov İldırım Hüseynəli</v>
          </cell>
          <cell r="C1578" t="str">
            <v>Kassa və inkassasiya prosesləri departamenti</v>
          </cell>
          <cell r="D1578" t="str">
            <v>İnkassasiya mərkəzləri ilə iş şöbəsi</v>
          </cell>
          <cell r="E1578" t="str">
            <v>#</v>
          </cell>
          <cell r="F1578" t="str">
            <v>Kassir-inkassator (Lənkəran regional inkassasiya mərkəzi üzrə)</v>
          </cell>
          <cell r="G1578" t="str">
            <v>A</v>
          </cell>
          <cell r="H1578">
            <v>43227</v>
          </cell>
        </row>
        <row r="1579">
          <cell r="B1579" t="str">
            <v>Cəfərli Radik Akif</v>
          </cell>
          <cell r="C1579" t="str">
            <v>Kassa və inkassasiya prosesləri departamenti</v>
          </cell>
          <cell r="D1579" t="str">
            <v>İnkassasiya mərkəzləri ilə iş şöbəsi</v>
          </cell>
          <cell r="E1579" t="str">
            <v>#</v>
          </cell>
          <cell r="F1579" t="str">
            <v>Kassir-inkassator (Lənkəran regional inkassasiya mərkəzi üzrə)</v>
          </cell>
          <cell r="G1579" t="str">
            <v>A</v>
          </cell>
          <cell r="H1579">
            <v>42114</v>
          </cell>
        </row>
        <row r="1580">
          <cell r="B1580" t="str">
            <v>Əzimov İsa Hacı</v>
          </cell>
          <cell r="C1580" t="str">
            <v>Kassa və inkassasiya prosesləri departamenti</v>
          </cell>
          <cell r="D1580" t="str">
            <v>İnkassasiya mərkəzləri ilə iş şöbəsi</v>
          </cell>
          <cell r="E1580" t="str">
            <v>#</v>
          </cell>
          <cell r="F1580" t="str">
            <v>Kassir-inkassator (Lənkəran regional inkassasiya mərkəzi üzrə)</v>
          </cell>
          <cell r="G1580" t="str">
            <v>A</v>
          </cell>
          <cell r="H1580">
            <v>39572</v>
          </cell>
        </row>
        <row r="1581">
          <cell r="B1581" t="str">
            <v>Quliyev Əhmədağa Əbülfəz</v>
          </cell>
          <cell r="C1581" t="str">
            <v>Kassa və inkassasiya prosesləri departamenti</v>
          </cell>
          <cell r="D1581" t="str">
            <v>İnkassasiya mərkəzləri ilə iş şöbəsi</v>
          </cell>
          <cell r="E1581" t="str">
            <v>#</v>
          </cell>
          <cell r="F1581" t="str">
            <v>Kassir-inkassator (Lənkəran regional inkassasiya mərkəzi üzrə)</v>
          </cell>
          <cell r="G1581" t="str">
            <v>A</v>
          </cell>
          <cell r="H1581">
            <v>41229</v>
          </cell>
        </row>
        <row r="1582">
          <cell r="B1582" t="str">
            <v>Mustafayev Hüseyn Telman</v>
          </cell>
          <cell r="C1582" t="str">
            <v>Kassa və inkassasiya prosesləri departamenti</v>
          </cell>
          <cell r="D1582" t="str">
            <v>İnkassasiya mərkəzləri ilə iş şöbəsi</v>
          </cell>
          <cell r="E1582" t="str">
            <v>#</v>
          </cell>
          <cell r="F1582" t="str">
            <v>Kassir-inkassator (Lənkəran regional inkassasiya mərkəzi üzrə)</v>
          </cell>
          <cell r="G1582" t="str">
            <v>A</v>
          </cell>
          <cell r="H1582">
            <v>43080</v>
          </cell>
        </row>
        <row r="1583">
          <cell r="B1583" t="str">
            <v>Fərəcli İmran Kamil</v>
          </cell>
          <cell r="C1583" t="str">
            <v>Kassa və inkassasiya prosesləri departamenti</v>
          </cell>
          <cell r="D1583" t="str">
            <v>İnkassasiya mərkəzləri ilə iş şöbəsi</v>
          </cell>
          <cell r="E1583" t="str">
            <v>#</v>
          </cell>
          <cell r="F1583" t="str">
            <v>Kassir-inkassator (Lənkəran regional inkassasiya mərkəzi üzrə)</v>
          </cell>
          <cell r="G1583" t="str">
            <v>A</v>
          </cell>
          <cell r="H1583">
            <v>45223</v>
          </cell>
        </row>
        <row r="1584">
          <cell r="B1584" t="str">
            <v>Məmmədli Ümid Əhədağa</v>
          </cell>
          <cell r="C1584" t="str">
            <v>Kassa və inkassasiya prosesləri departamenti</v>
          </cell>
          <cell r="D1584" t="str">
            <v>İnkassasiya mərkəzləri ilə iş şöbəsi</v>
          </cell>
          <cell r="E1584" t="str">
            <v>#</v>
          </cell>
          <cell r="F1584" t="str">
            <v>Kassir-inkassator (Lənkəran regional inkassasiya mərkəzi üzrə)</v>
          </cell>
          <cell r="G1584" t="str">
            <v>A</v>
          </cell>
          <cell r="H1584">
            <v>45818</v>
          </cell>
        </row>
        <row r="1585">
          <cell r="B1585" t="str">
            <v>Mirzəyev Şaiq Mehman</v>
          </cell>
          <cell r="C1585" t="str">
            <v>Kassa və inkassasiya prosesləri departamenti</v>
          </cell>
          <cell r="D1585" t="str">
            <v>İnkassasiya mərkəzləri ilə iş şöbəsi</v>
          </cell>
          <cell r="E1585" t="str">
            <v>#</v>
          </cell>
          <cell r="F1585" t="str">
            <v>Kassir-inkassator (Lənkəran regional inkassasiya mərkəzi üzrə)</v>
          </cell>
          <cell r="G1585" t="str">
            <v>A</v>
          </cell>
          <cell r="H1585">
            <v>45958</v>
          </cell>
        </row>
        <row r="1586">
          <cell r="B1586" t="str">
            <v>Qardaşlı Murad Qüdrət</v>
          </cell>
          <cell r="C1586" t="str">
            <v>Kassa və inkassasiya prosesləri departamenti</v>
          </cell>
          <cell r="D1586" t="str">
            <v>İnkassasiya mərkəzləri ilə iş şöbəsi</v>
          </cell>
          <cell r="E1586" t="str">
            <v>#</v>
          </cell>
          <cell r="F1586" t="str">
            <v>Kassir-inkassator (Lənkəran regional inkassasiya mərkəzi üzrə)(0,5 ştat vahidi üzrə əvəzçilik qaydasında)</v>
          </cell>
          <cell r="G1586" t="str">
            <v>A</v>
          </cell>
          <cell r="H1586">
            <v>46273</v>
          </cell>
          <cell r="I1586" t="str">
            <v>Bir Payment</v>
          </cell>
        </row>
        <row r="1587">
          <cell r="B1587" t="str">
            <v>Əliyev İqbal Baxşəli</v>
          </cell>
          <cell r="C1587" t="str">
            <v>Kassa və inkassasiya prosesləri departamenti</v>
          </cell>
          <cell r="D1587" t="str">
            <v>İnkassasiya mərkəzləri ilə iş şöbəsi</v>
          </cell>
          <cell r="E1587" t="str">
            <v>#</v>
          </cell>
          <cell r="F1587" t="str">
            <v>Kassir-inkassator (Naxçıvan regional inkassasiya mərkəzi üzrə)</v>
          </cell>
          <cell r="G1587" t="str">
            <v>A</v>
          </cell>
          <cell r="H1587">
            <v>43755</v>
          </cell>
        </row>
        <row r="1588">
          <cell r="B1588" t="str">
            <v>Mustafayev Elvin Elşən</v>
          </cell>
          <cell r="C1588" t="str">
            <v>Kassa və inkassasiya prosesləri departamenti</v>
          </cell>
          <cell r="D1588" t="str">
            <v>İnkassasiya mərkəzləri ilə iş şöbəsi</v>
          </cell>
          <cell r="E1588" t="str">
            <v>#</v>
          </cell>
          <cell r="F1588" t="str">
            <v>Kassir-inkassator (Naxçıvan regional inkassasiya mərkəzi üzrə)(0,5 ştat vahidi üzrə əvəzçilik qaydasında)</v>
          </cell>
          <cell r="G1588" t="str">
            <v>A</v>
          </cell>
          <cell r="H1588">
            <v>46259</v>
          </cell>
          <cell r="I1588" t="str">
            <v>Bir Payment</v>
          </cell>
        </row>
        <row r="1589">
          <cell r="B1589" t="str">
            <v>Paşayev Qədir Əvəz</v>
          </cell>
          <cell r="C1589" t="str">
            <v>Kassa və inkassasiya prosesləri departamenti</v>
          </cell>
          <cell r="D1589" t="str">
            <v>İnkassasiya mərkəzləri ilə iş şöbəsi</v>
          </cell>
          <cell r="E1589" t="str">
            <v>#</v>
          </cell>
          <cell r="F1589" t="str">
            <v>Kassir-inkassator (Naxçıvan regional inkassasiya mərkəzi üzrə)(0,5 ştat vahidi üzrə əvəzçilik qaydasında)</v>
          </cell>
          <cell r="G1589" t="str">
            <v>A</v>
          </cell>
          <cell r="H1589">
            <v>46259</v>
          </cell>
          <cell r="I1589" t="str">
            <v>Bir Payment</v>
          </cell>
        </row>
        <row r="1590">
          <cell r="B1590" t="str">
            <v>Novruzov Ədalət Hakim</v>
          </cell>
          <cell r="C1590" t="str">
            <v>Kassa və inkassasiya prosesləri departamenti</v>
          </cell>
          <cell r="D1590" t="str">
            <v>İnkassasiya mərkəzləri ilə iş şöbəsi</v>
          </cell>
          <cell r="E1590" t="str">
            <v>#</v>
          </cell>
          <cell r="F1590" t="str">
            <v>Kassir-inkassator (Naxçıvan regional inkassasiya mərkəzi üzrə)(0,5 ştat vahidi üzrə əvəzçilik qaydasında)</v>
          </cell>
          <cell r="G1590" t="str">
            <v>A</v>
          </cell>
          <cell r="H1590">
            <v>46259</v>
          </cell>
          <cell r="I1590" t="str">
            <v>Bir Payment</v>
          </cell>
        </row>
        <row r="1591">
          <cell r="B1591" t="str">
            <v>Cəlilov Hümbət İsmayil</v>
          </cell>
          <cell r="C1591" t="str">
            <v>Kassa və inkassasiya prosesləri departamenti</v>
          </cell>
          <cell r="D1591" t="str">
            <v>İnkassasiya mərkəzləri ilə iş şöbəsi</v>
          </cell>
          <cell r="E1591" t="str">
            <v>#</v>
          </cell>
          <cell r="F1591" t="str">
            <v>Kassir-inkassator (Naxçıvan regional inkassasiya mərkəzi üzrə)(0,5 ştat vahidi üzrə əvəzçilik qaydasında)</v>
          </cell>
          <cell r="G1591" t="str">
            <v>A</v>
          </cell>
          <cell r="H1591">
            <v>46259</v>
          </cell>
          <cell r="I1591" t="str">
            <v>Bir Payment</v>
          </cell>
        </row>
        <row r="1592">
          <cell r="B1592" t="str">
            <v>Bağışlı Sarkan Vətən</v>
          </cell>
          <cell r="C1592" t="str">
            <v>Kassa və inkassasiya prosesləri departamenti</v>
          </cell>
          <cell r="D1592" t="str">
            <v>İnkassasiya mərkəzləri ilə iş şöbəsi</v>
          </cell>
          <cell r="E1592" t="str">
            <v>#</v>
          </cell>
          <cell r="F1592" t="str">
            <v>Kassir-inkassator (Naxçıvan regional inkassasiya mərkəzi üzrə)(0,5 ştat vahidi üzrə əvəzçilik qaydasında)</v>
          </cell>
          <cell r="G1592" t="str">
            <v>A</v>
          </cell>
          <cell r="H1592">
            <v>46259</v>
          </cell>
          <cell r="I1592" t="str">
            <v>Bir Payment</v>
          </cell>
        </row>
        <row r="1593">
          <cell r="B1593" t="str">
            <v>Seyidov Sahib Hüseyn</v>
          </cell>
          <cell r="C1593" t="str">
            <v>Kassa və inkassasiya prosesləri departamenti</v>
          </cell>
          <cell r="D1593" t="str">
            <v>İnkassasiya mərkəzləri ilə iş şöbəsi</v>
          </cell>
          <cell r="E1593" t="str">
            <v>#</v>
          </cell>
          <cell r="F1593" t="str">
            <v>Kassir-inkassator (Naxçıvan regional inkassasiya mərkəzi üzrə)(0,5 ştat vahidi üzrə əvəzçilik qaydasında)</v>
          </cell>
          <cell r="G1593" t="str">
            <v>A</v>
          </cell>
          <cell r="H1593">
            <v>46259</v>
          </cell>
          <cell r="I1593" t="str">
            <v>Bir Payment</v>
          </cell>
        </row>
        <row r="1594">
          <cell r="B1594" t="str">
            <v>Bayramov Nihad Namiq</v>
          </cell>
          <cell r="C1594" t="str">
            <v>Kassa və inkassasiya prosesləri departamenti</v>
          </cell>
          <cell r="D1594" t="str">
            <v>İnkassasiya mərkəzləri ilə iş şöbəsi</v>
          </cell>
          <cell r="E1594" t="str">
            <v>#</v>
          </cell>
          <cell r="F1594" t="str">
            <v>Kassir-inkassator (Naxçıvan regional inkassasiya mərkəzi üzrə)(0,5 ştat vahidi üzrə əvəzçilik qaydasında)</v>
          </cell>
          <cell r="G1594" t="str">
            <v>A</v>
          </cell>
          <cell r="H1594">
            <v>46261</v>
          </cell>
          <cell r="I1594" t="str">
            <v>Bir Payment</v>
          </cell>
        </row>
        <row r="1595">
          <cell r="B1595" t="str">
            <v>Rəhimov Raiq Vasif</v>
          </cell>
          <cell r="C1595" t="str">
            <v>Kassa və inkassasiya prosesləri departamenti</v>
          </cell>
          <cell r="D1595" t="str">
            <v>İnkassasiya mərkəzləri ilə iş şöbəsi</v>
          </cell>
          <cell r="E1595" t="str">
            <v>#</v>
          </cell>
          <cell r="F1595" t="str">
            <v>Kassir-inkassator (Naxçıvan regional inkassasiya mərkəzi üzrə)(0,5 ştat vahidi üzrə əvəzçilik qaydasında)</v>
          </cell>
          <cell r="G1595" t="str">
            <v>A</v>
          </cell>
          <cell r="H1595">
            <v>46268</v>
          </cell>
          <cell r="I1595" t="str">
            <v>Bir Payment</v>
          </cell>
        </row>
        <row r="1596">
          <cell r="B1596" t="str">
            <v>Salahov Kənan Ramiz</v>
          </cell>
          <cell r="C1596" t="str">
            <v>Kassa və inkassasiya prosesləri departamenti</v>
          </cell>
          <cell r="D1596" t="str">
            <v>İnkassasiya mərkəzləri ilə iş şöbəsi</v>
          </cell>
          <cell r="E1596" t="str">
            <v>#</v>
          </cell>
          <cell r="F1596" t="str">
            <v>Kassir-inkassator (Naxçıvan regional inkassasiya mərkəzi üzrə)</v>
          </cell>
          <cell r="G1596" t="str">
            <v>A</v>
          </cell>
          <cell r="H1596">
            <v>43755</v>
          </cell>
        </row>
        <row r="1597">
          <cell r="B1597" t="str">
            <v>Rüstəmov Azər Sabir</v>
          </cell>
          <cell r="C1597" t="str">
            <v>Kassa və inkassasiya prosesləri departamenti</v>
          </cell>
          <cell r="D1597" t="str">
            <v>İnkassasiya mərkəzləri ilə iş şöbəsi</v>
          </cell>
          <cell r="E1597" t="str">
            <v>#</v>
          </cell>
          <cell r="F1597" t="str">
            <v>Kassir-inkassator (Naxçıvan regional inkassasiya mərkəzi üzrə)</v>
          </cell>
          <cell r="G1597" t="str">
            <v>A</v>
          </cell>
          <cell r="H1597">
            <v>43755</v>
          </cell>
        </row>
        <row r="1598">
          <cell r="B1598" t="str">
            <v>Bayramov Namiq Rəcəb</v>
          </cell>
          <cell r="C1598" t="str">
            <v>Kassa və inkassasiya prosesləri departamenti</v>
          </cell>
          <cell r="D1598" t="str">
            <v>İnkassasiya mərkəzləri ilə iş şöbəsi</v>
          </cell>
          <cell r="E1598" t="str">
            <v>#</v>
          </cell>
          <cell r="F1598" t="str">
            <v>Kassir-inkassator (Naxçıvan regional inkassasiya mərkəzi üzrə)</v>
          </cell>
          <cell r="G1598" t="str">
            <v>A</v>
          </cell>
          <cell r="H1598">
            <v>43755</v>
          </cell>
        </row>
        <row r="1599">
          <cell r="B1599" t="str">
            <v>Abbasov Rafael Yusif</v>
          </cell>
          <cell r="C1599" t="str">
            <v>Kassa və inkassasiya prosesləri departamenti</v>
          </cell>
          <cell r="D1599" t="str">
            <v>İnkassasiya mərkəzləri ilə iş şöbəsi</v>
          </cell>
          <cell r="E1599" t="str">
            <v>#</v>
          </cell>
          <cell r="F1599" t="str">
            <v>Kassir-inkassator (Naxçıvan regional inkassasiya mərkəzi üzrə)</v>
          </cell>
          <cell r="G1599" t="str">
            <v>A</v>
          </cell>
          <cell r="H1599">
            <v>43755</v>
          </cell>
        </row>
        <row r="1600">
          <cell r="B1600" t="str">
            <v>Baxşıyev Hüseyn Həsən</v>
          </cell>
          <cell r="C1600" t="str">
            <v>Kassa və inkassasiya prosesləri departamenti</v>
          </cell>
          <cell r="D1600" t="str">
            <v>İnkassasiya mərkəzləri ilə iş şöbəsi</v>
          </cell>
          <cell r="E1600" t="str">
            <v>#</v>
          </cell>
          <cell r="F1600" t="str">
            <v>Kassir-inkassator (Naxçıvan regional inkassasiya mərkəzi üzrə)</v>
          </cell>
          <cell r="G1600" t="str">
            <v>A</v>
          </cell>
          <cell r="H1600">
            <v>43755</v>
          </cell>
        </row>
        <row r="1601">
          <cell r="B1601" t="str">
            <v>Əliyev Elşən Ənvər</v>
          </cell>
          <cell r="C1601" t="str">
            <v>Kassa və inkassasiya prosesləri departamenti</v>
          </cell>
          <cell r="D1601" t="str">
            <v>İnkassasiya mərkəzləri ilə iş şöbəsi</v>
          </cell>
          <cell r="E1601" t="str">
            <v>#</v>
          </cell>
          <cell r="F1601" t="str">
            <v>Kassir-inkassator (Naxçıvan regional inkassasiya mərkəzi üzrə)</v>
          </cell>
          <cell r="G1601" t="str">
            <v>A</v>
          </cell>
          <cell r="H1601">
            <v>45282</v>
          </cell>
        </row>
        <row r="1602">
          <cell r="B1602" t="str">
            <v>Allahverdiyev Kazım Hüseyn</v>
          </cell>
          <cell r="C1602" t="str">
            <v>Kassa və inkassasiya prosesləri departamenti</v>
          </cell>
          <cell r="D1602" t="str">
            <v>İnkassasiya mərkəzləri ilə iş şöbəsi</v>
          </cell>
          <cell r="E1602" t="str">
            <v>#</v>
          </cell>
          <cell r="F1602" t="str">
            <v>Kassir-inkassator (Naxçıvan regional inkassasiya mərkəzi üzrə)</v>
          </cell>
          <cell r="G1602" t="str">
            <v>A</v>
          </cell>
          <cell r="H1602">
            <v>45569</v>
          </cell>
        </row>
        <row r="1603">
          <cell r="B1603" t="str">
            <v>İbrahimli Azər Sultan</v>
          </cell>
          <cell r="C1603" t="str">
            <v>Kassa və inkassasiya prosesləri departamenti</v>
          </cell>
          <cell r="D1603" t="str">
            <v>İnkassasiya mərkəzləri ilə iş şöbəsi</v>
          </cell>
          <cell r="E1603" t="str">
            <v>#</v>
          </cell>
          <cell r="F1603" t="str">
            <v>Kassir-inkassator (Naxçıvan regional inkassasiya mərkəzi üzrə)</v>
          </cell>
          <cell r="G1603" t="str">
            <v>A</v>
          </cell>
          <cell r="H1603">
            <v>45887</v>
          </cell>
        </row>
        <row r="1604">
          <cell r="B1604" t="str">
            <v>Mehdiyev Ayxan Saleh</v>
          </cell>
          <cell r="C1604" t="str">
            <v>Kassa və inkassasiya prosesləri departamenti</v>
          </cell>
          <cell r="D1604" t="str">
            <v>İnkassasiya mərkəzləri ilə iş şöbəsi</v>
          </cell>
          <cell r="E1604" t="str">
            <v>#</v>
          </cell>
          <cell r="F1604" t="str">
            <v>Kassir (Naxçıvan regional inkassasiya mərkəzi üzrə)</v>
          </cell>
          <cell r="G1604" t="str">
            <v>A</v>
          </cell>
          <cell r="H1604">
            <v>46198</v>
          </cell>
          <cell r="I1604" t="str">
            <v>Bir Payment</v>
          </cell>
        </row>
        <row r="1605">
          <cell r="B1605" t="str">
            <v>Əliyev Kənan Nizami</v>
          </cell>
          <cell r="C1605" t="str">
            <v>Kassa və inkassasiya prosesləri departamenti</v>
          </cell>
          <cell r="D1605" t="str">
            <v>İnkassasiya mərkəzləri ilə iş şöbəsi</v>
          </cell>
          <cell r="E1605" t="str">
            <v>#</v>
          </cell>
          <cell r="F1605" t="str">
            <v>Kassir (Naxçıvan regional inkassasiya mərkəzi üzrə)</v>
          </cell>
          <cell r="G1605" t="str">
            <v>A</v>
          </cell>
          <cell r="H1605">
            <v>46198</v>
          </cell>
          <cell r="I1605" t="str">
            <v>Bir Payment</v>
          </cell>
        </row>
        <row r="1606">
          <cell r="B1606" t="str">
            <v>Quliyev Kənan Valeh</v>
          </cell>
          <cell r="C1606" t="str">
            <v>Kassa və inkassasiya prosesləri departamenti</v>
          </cell>
          <cell r="D1606" t="str">
            <v>İnkassasiya mərkəzləri ilə iş şöbəsi</v>
          </cell>
          <cell r="E1606" t="str">
            <v>#</v>
          </cell>
          <cell r="F1606" t="str">
            <v>Kassir (Naxçıvan regional inkassasiya mərkəzi üzrə)</v>
          </cell>
          <cell r="G1606" t="str">
            <v>A</v>
          </cell>
          <cell r="H1606">
            <v>46198</v>
          </cell>
          <cell r="I1606" t="str">
            <v>Bir Payment</v>
          </cell>
        </row>
        <row r="1607">
          <cell r="B1607" t="str">
            <v>Abdullayev Qubad Səfər</v>
          </cell>
          <cell r="C1607" t="str">
            <v>Kassa və inkassasiya prosesləri departamenti</v>
          </cell>
          <cell r="D1607" t="str">
            <v>İnkassasiya mərkəzləri ilə iş şöbəsi</v>
          </cell>
          <cell r="E1607" t="str">
            <v>#</v>
          </cell>
          <cell r="F1607" t="str">
            <v>Kassir-inkassator (Şəki regional inkassasiya mərkəzi üzrə)</v>
          </cell>
          <cell r="G1607" t="str">
            <v>A</v>
          </cell>
          <cell r="H1607">
            <v>36713</v>
          </cell>
        </row>
        <row r="1608">
          <cell r="B1608" t="str">
            <v>Yusifli Qənbər Tofiq</v>
          </cell>
          <cell r="C1608" t="str">
            <v>Kassa və inkassasiya prosesləri departamenti</v>
          </cell>
          <cell r="D1608" t="str">
            <v>İnkassasiya mərkəzləri ilə iş şöbəsi</v>
          </cell>
          <cell r="E1608" t="str">
            <v>#</v>
          </cell>
          <cell r="F1608" t="str">
            <v>Kassir-inkassator (Şəki regional inkassasiya mərkəzi üzrə)</v>
          </cell>
          <cell r="G1608" t="str">
            <v>A</v>
          </cell>
          <cell r="H1608">
            <v>43661</v>
          </cell>
        </row>
        <row r="1609">
          <cell r="B1609" t="str">
            <v>Məhərrəmov Vüsal Əsəd</v>
          </cell>
          <cell r="C1609" t="str">
            <v>Kassa və inkassasiya prosesləri departamenti</v>
          </cell>
          <cell r="D1609" t="str">
            <v>İnkassasiya mərkəzləri ilə iş şöbəsi</v>
          </cell>
          <cell r="E1609" t="str">
            <v>#</v>
          </cell>
          <cell r="F1609" t="str">
            <v>Kassir-inkassator (Şəki regional inkassasiya mərkəzi üzrə)</v>
          </cell>
          <cell r="G1609" t="str">
            <v>A</v>
          </cell>
          <cell r="H1609">
            <v>41995</v>
          </cell>
        </row>
        <row r="1610">
          <cell r="B1610" t="str">
            <v>İbrahimov İkram Həmid</v>
          </cell>
          <cell r="C1610" t="str">
            <v>Kassa və inkassasiya prosesləri departamenti</v>
          </cell>
          <cell r="D1610" t="str">
            <v>İnkassasiya mərkəzləri ilə iş şöbəsi</v>
          </cell>
          <cell r="E1610" t="str">
            <v>#</v>
          </cell>
          <cell r="F1610" t="str">
            <v>Kassir-inkassator (Şəki regional inkassasiya mərkəzi üzrə)</v>
          </cell>
          <cell r="G1610" t="str">
            <v>A</v>
          </cell>
          <cell r="H1610">
            <v>41030</v>
          </cell>
        </row>
        <row r="1611">
          <cell r="B1611" t="str">
            <v>Şirinov Məmmədseyid Rəsul</v>
          </cell>
          <cell r="C1611" t="str">
            <v>Kassa və inkassasiya prosesləri departamenti</v>
          </cell>
          <cell r="D1611" t="str">
            <v>İnkassasiya mərkəzləri ilə iş şöbəsi</v>
          </cell>
          <cell r="E1611" t="str">
            <v>#</v>
          </cell>
          <cell r="F1611" t="str">
            <v>Kassir-inkassator (Şəki regional inkassasiya mərkəzi üzrə)</v>
          </cell>
          <cell r="G1611" t="str">
            <v>A</v>
          </cell>
          <cell r="H1611">
            <v>44284</v>
          </cell>
        </row>
        <row r="1612">
          <cell r="B1612" t="str">
            <v>Mahmudov Cavidan Fərrux</v>
          </cell>
          <cell r="C1612" t="str">
            <v>Kassa və inkassasiya prosesləri departamenti</v>
          </cell>
          <cell r="D1612" t="str">
            <v>İnkassasiya mərkəzləri ilə iş şöbəsi</v>
          </cell>
          <cell r="E1612" t="str">
            <v>#</v>
          </cell>
          <cell r="F1612" t="str">
            <v>Kassir-inkassator (Şəki regional inkassasiya mərkəzi üzrə)</v>
          </cell>
          <cell r="G1612" t="str">
            <v>A</v>
          </cell>
          <cell r="H1612">
            <v>45253</v>
          </cell>
        </row>
        <row r="1613">
          <cell r="B1613" t="str">
            <v>Bağırlı Loğman Şöhləddin</v>
          </cell>
          <cell r="C1613" t="str">
            <v>Kassa və inkassasiya prosesləri departamenti</v>
          </cell>
          <cell r="D1613" t="str">
            <v>İnkassasiya mərkəzləri ilə iş şöbəsi</v>
          </cell>
          <cell r="E1613" t="str">
            <v>#</v>
          </cell>
          <cell r="F1613" t="str">
            <v>Kassir-inkassator (Şəki regional inkassasiya mərkəzi üzrə)(0,5 ştat vahidi üzrə əvəzçilik qaydasında)</v>
          </cell>
          <cell r="G1613" t="str">
            <v>A</v>
          </cell>
          <cell r="H1613">
            <v>46259</v>
          </cell>
          <cell r="I1613" t="str">
            <v>Bir Payment</v>
          </cell>
        </row>
        <row r="1614">
          <cell r="B1614" t="str">
            <v>Abuşov Camal Razim</v>
          </cell>
          <cell r="C1614" t="str">
            <v>Kassa və inkassasiya prosesləri departamenti</v>
          </cell>
          <cell r="D1614" t="str">
            <v>İnkassasiya mərkəzləri ilə iş şöbəsi</v>
          </cell>
          <cell r="E1614" t="str">
            <v>#</v>
          </cell>
          <cell r="F1614" t="str">
            <v>Kassir-inkassator (Şəki regional inkassasiya mərkəzi üzrə)(0,5 ştat vahidi üzrə əvəzçilik qaydasında)</v>
          </cell>
          <cell r="G1614" t="str">
            <v>A</v>
          </cell>
          <cell r="H1614">
            <v>46260</v>
          </cell>
          <cell r="I1614" t="str">
            <v>Bir Payment</v>
          </cell>
        </row>
        <row r="1615">
          <cell r="B1615" t="str">
            <v>Ağababayev Maqsud Rəşid</v>
          </cell>
          <cell r="C1615" t="str">
            <v>Kassa və inkassasiya prosesləri departamenti</v>
          </cell>
          <cell r="D1615" t="str">
            <v>İnkassasiya mərkəzləri ilə iş şöbəsi</v>
          </cell>
          <cell r="E1615" t="str">
            <v>#</v>
          </cell>
          <cell r="F1615" t="str">
            <v>Kassir-inkassator (Şəki regional inkassasiya mərkəzi üzrə)(0,5 ştat vahidi üzrə əvəzçilik qaydasında)</v>
          </cell>
          <cell r="G1615" t="str">
            <v>A</v>
          </cell>
          <cell r="H1615">
            <v>46268</v>
          </cell>
          <cell r="I1615" t="str">
            <v>Bir Payment</v>
          </cell>
        </row>
        <row r="1616">
          <cell r="B1616" t="str">
            <v>Heydərov Zaur Namiq</v>
          </cell>
          <cell r="C1616" t="str">
            <v>Kassa və inkassasiya prosesləri departamenti</v>
          </cell>
          <cell r="D1616" t="str">
            <v>İnkassasiya mərkəzləri ilə iş şöbəsi</v>
          </cell>
          <cell r="E1616" t="str">
            <v>#</v>
          </cell>
          <cell r="F1616" t="str">
            <v>Kassir-inkassator (Şəki regional inkassasiya mərkəzi üzrə)(0,5 ştat vahidi üzrə əvəzçilik qaydasında)</v>
          </cell>
          <cell r="G1616" t="str">
            <v>A</v>
          </cell>
          <cell r="H1616">
            <v>46269</v>
          </cell>
          <cell r="I1616" t="str">
            <v>Bir Payment</v>
          </cell>
        </row>
        <row r="1617">
          <cell r="B1617" t="str">
            <v>Davudov Fuad Şahin</v>
          </cell>
          <cell r="C1617" t="str">
            <v>Kassa və inkassasiya prosesləri departamenti</v>
          </cell>
          <cell r="D1617" t="str">
            <v>İnkassasiya mərkəzləri ilə iş şöbəsi</v>
          </cell>
          <cell r="E1617" t="str">
            <v>#</v>
          </cell>
          <cell r="F1617" t="str">
            <v>Kassir-inkassator (Şəki regional inkassasiya mərkəzi üzrə)(0,5 ştat vahidi üzrə əvəzçilik qaydasında)</v>
          </cell>
          <cell r="G1617" t="str">
            <v>A</v>
          </cell>
          <cell r="H1617">
            <v>46279</v>
          </cell>
          <cell r="I1617" t="str">
            <v>Bir Payment</v>
          </cell>
        </row>
        <row r="1618">
          <cell r="B1618" t="str">
            <v>Yusubov Əyyub Etibar</v>
          </cell>
          <cell r="C1618" t="str">
            <v>Kassa və inkassasiya prosesləri departamenti</v>
          </cell>
          <cell r="D1618" t="str">
            <v>İnkassasiya mərkəzləri ilə iş şöbəsi</v>
          </cell>
          <cell r="E1618" t="str">
            <v>#</v>
          </cell>
          <cell r="F1618" t="str">
            <v>Kassir-inkassator (Şəki regional inkassasiya mərkəzi üzrə)</v>
          </cell>
          <cell r="G1618" t="str">
            <v>A</v>
          </cell>
          <cell r="H1618">
            <v>45279</v>
          </cell>
        </row>
        <row r="1619">
          <cell r="B1619" t="str">
            <v>Quliyev Ramiz Ağamoğlan</v>
          </cell>
          <cell r="C1619" t="str">
            <v>Kassa və inkassasiya prosesləri departamenti</v>
          </cell>
          <cell r="D1619" t="str">
            <v>İnkassasiya mərkəzləri ilə iş şöbəsi</v>
          </cell>
          <cell r="E1619" t="str">
            <v>#</v>
          </cell>
          <cell r="F1619" t="str">
            <v>Kassir-inkassator (Şirvan regional inkassasiya mərkəzi üzrə)</v>
          </cell>
          <cell r="G1619" t="str">
            <v>A</v>
          </cell>
          <cell r="H1619">
            <v>44271</v>
          </cell>
        </row>
        <row r="1620">
          <cell r="B1620" t="str">
            <v>Rəhimov Ülvi Nəsimi</v>
          </cell>
          <cell r="C1620" t="str">
            <v>Kassa və inkassasiya prosesləri departamenti</v>
          </cell>
          <cell r="D1620" t="str">
            <v>İnkassasiya mərkəzləri ilə iş şöbəsi</v>
          </cell>
          <cell r="E1620" t="str">
            <v>#</v>
          </cell>
          <cell r="F1620" t="str">
            <v>Kassir-inkassator (Şirvan regional inkassasiya mərkəzi üzrə)(0,5 ştat vahidi üzrə əvəzçilik qaydasında)</v>
          </cell>
          <cell r="G1620" t="str">
            <v>A</v>
          </cell>
          <cell r="H1620">
            <v>46259</v>
          </cell>
          <cell r="I1620" t="str">
            <v>Bir Payment</v>
          </cell>
        </row>
        <row r="1621">
          <cell r="B1621" t="str">
            <v>Mehraliyev Məhəmməd Həşim</v>
          </cell>
          <cell r="C1621" t="str">
            <v>Kassa və inkassasiya prosesləri departamenti</v>
          </cell>
          <cell r="D1621" t="str">
            <v>İnkassasiya mərkəzləri ilə iş şöbəsi</v>
          </cell>
          <cell r="E1621" t="str">
            <v>#</v>
          </cell>
          <cell r="F1621" t="str">
            <v>Kassir-inkassator (Şirvan regional inkassasiya mərkəzi üzrə)(0,5 ştat vahidi üzrə əvəzçilik qaydasında)</v>
          </cell>
          <cell r="G1621" t="str">
            <v>A</v>
          </cell>
          <cell r="H1621">
            <v>46259</v>
          </cell>
          <cell r="I1621" t="str">
            <v>Bir Payment</v>
          </cell>
        </row>
        <row r="1622">
          <cell r="B1622" t="str">
            <v>Şahbazov Elnur Əvəzağa</v>
          </cell>
          <cell r="C1622" t="str">
            <v>Kassa və inkassasiya prosesləri departamenti</v>
          </cell>
          <cell r="D1622" t="str">
            <v>İnkassasiya mərkəzləri ilə iş şöbəsi</v>
          </cell>
          <cell r="E1622" t="str">
            <v>#</v>
          </cell>
          <cell r="F1622" t="str">
            <v>Kassir-inkassator (Şirvan regional inkassasiya mərkəzi üzrə)(0,5 ştat vahidi üzrə əvəzçilik qaydasında)</v>
          </cell>
          <cell r="G1622" t="str">
            <v>A</v>
          </cell>
          <cell r="H1622">
            <v>46260</v>
          </cell>
          <cell r="I1622" t="str">
            <v>Bir Payment</v>
          </cell>
        </row>
        <row r="1623">
          <cell r="B1623" t="str">
            <v>Kərimov Elnur Fərahim</v>
          </cell>
          <cell r="C1623" t="str">
            <v>Kassa və inkassasiya prosesləri departamenti</v>
          </cell>
          <cell r="D1623" t="str">
            <v>İnkassasiya mərkəzləri ilə iş şöbəsi</v>
          </cell>
          <cell r="E1623" t="str">
            <v>#</v>
          </cell>
          <cell r="F1623" t="str">
            <v>Kassir-inkassator (Şirvan regional inkassasiya mərkəzi üzrə)(0,5 ştat vahidi üzrə əvəzçilik qaydasında)</v>
          </cell>
          <cell r="G1623" t="str">
            <v>A</v>
          </cell>
          <cell r="H1623">
            <v>46275</v>
          </cell>
          <cell r="I1623" t="str">
            <v>Bir Payment</v>
          </cell>
        </row>
        <row r="1624">
          <cell r="B1624" t="str">
            <v>Hüseynov Pirhüseyn Əbülfəz</v>
          </cell>
          <cell r="C1624" t="str">
            <v>Kassa və inkassasiya prosesləri departamenti</v>
          </cell>
          <cell r="D1624" t="str">
            <v>İnkassasiya mərkəzləri ilə iş şöbəsi</v>
          </cell>
          <cell r="E1624" t="str">
            <v>#</v>
          </cell>
          <cell r="F1624" t="str">
            <v>Kassir-inkassator (Şirvan regional inkassasiya mərkəzi üzrə)(0,5 ştat vahidi üzrə əvəzçilik qaydasında)</v>
          </cell>
          <cell r="G1624" t="str">
            <v>A</v>
          </cell>
          <cell r="H1624">
            <v>46275</v>
          </cell>
          <cell r="I1624" t="str">
            <v>Bir Payment</v>
          </cell>
        </row>
        <row r="1625">
          <cell r="B1625" t="str">
            <v>Əmirbəyov Əliyar Azad</v>
          </cell>
          <cell r="C1625" t="str">
            <v>Kassa və inkassasiya prosesləri departamenti</v>
          </cell>
          <cell r="D1625" t="str">
            <v>İnkassasiya mərkəzləri ilə iş şöbəsi</v>
          </cell>
          <cell r="E1625" t="str">
            <v>#</v>
          </cell>
          <cell r="F1625" t="str">
            <v>Kassir-inkassator (Şirvan regional inkassasiya mərkəzi üzrə)(0,5 ştat vahidi üzrə əvəzçilik qaydasında)</v>
          </cell>
          <cell r="G1625" t="str">
            <v>A</v>
          </cell>
          <cell r="H1625">
            <v>46275</v>
          </cell>
          <cell r="I1625" t="str">
            <v>Bir Payment</v>
          </cell>
        </row>
        <row r="1626">
          <cell r="B1626" t="str">
            <v>Əskərov Cahandar Rövşən</v>
          </cell>
          <cell r="C1626" t="str">
            <v>Kassa və inkassasiya prosesləri departamenti</v>
          </cell>
          <cell r="D1626" t="str">
            <v>İnkassasiya mərkəzləri ilə iş şöbəsi</v>
          </cell>
          <cell r="E1626" t="str">
            <v>#</v>
          </cell>
          <cell r="F1626" t="str">
            <v>Kassir-inkassator (Şirvan regional inkassasiya mərkəzi üzrə)(0,5 ştat vahidi üzrə əvəzçilik qaydasında)</v>
          </cell>
          <cell r="G1626" t="str">
            <v>A</v>
          </cell>
          <cell r="H1626">
            <v>46275</v>
          </cell>
          <cell r="I1626" t="str">
            <v>Bir Payment</v>
          </cell>
        </row>
        <row r="1627">
          <cell r="B1627" t="str">
            <v>Umudov Hüseynağa İlqar</v>
          </cell>
          <cell r="C1627" t="str">
            <v>Kassa və inkassasiya prosesləri departamenti</v>
          </cell>
          <cell r="D1627" t="str">
            <v>İnkassasiya mərkəzləri ilə iş şöbəsi</v>
          </cell>
          <cell r="E1627" t="str">
            <v>#</v>
          </cell>
          <cell r="F1627" t="str">
            <v>Kassir-inkassator (Şirvan regional inkassasiya mərkəzi üzrə)(0,5 ştat vahidi üzrə əvəzçilik qaydasında)</v>
          </cell>
          <cell r="G1627" t="str">
            <v>A</v>
          </cell>
          <cell r="H1627">
            <v>46261</v>
          </cell>
          <cell r="I1627" t="str">
            <v>Bir Payment</v>
          </cell>
        </row>
        <row r="1628">
          <cell r="B1628" t="str">
            <v>Cavadov Amid İslam</v>
          </cell>
          <cell r="C1628" t="str">
            <v>Kassa və inkassasiya prosesləri departamenti</v>
          </cell>
          <cell r="D1628" t="str">
            <v>İnkassasiya mərkəzləri ilə iş şöbəsi</v>
          </cell>
          <cell r="E1628" t="str">
            <v>#</v>
          </cell>
          <cell r="F1628" t="str">
            <v>Kassir-inkassator (Şirvan regional inkassasiya mərkəzi üzrə)</v>
          </cell>
          <cell r="G1628" t="str">
            <v>A</v>
          </cell>
          <cell r="H1628">
            <v>45884</v>
          </cell>
        </row>
        <row r="1629">
          <cell r="B1629" t="str">
            <v>Əsədov Müşfiq Rəşid</v>
          </cell>
          <cell r="C1629" t="str">
            <v>Kassa və inkassasiya prosesləri departamenti</v>
          </cell>
          <cell r="D1629" t="str">
            <v>İnkassasiya mərkəzləri ilə iş şöbəsi</v>
          </cell>
          <cell r="E1629" t="str">
            <v>#</v>
          </cell>
          <cell r="F1629" t="str">
            <v>Kassir-inkassator (Şirvan regional inkassasiya mərkəzi üzrə)</v>
          </cell>
          <cell r="G1629" t="str">
            <v>A</v>
          </cell>
          <cell r="H1629">
            <v>37795</v>
          </cell>
        </row>
        <row r="1630">
          <cell r="B1630" t="str">
            <v>Quliyev Elman Soltan</v>
          </cell>
          <cell r="C1630" t="str">
            <v>Kassa və inkassasiya prosesləri departamenti</v>
          </cell>
          <cell r="D1630" t="str">
            <v>İnkassasiya mərkəzləri ilə iş şöbəsi</v>
          </cell>
          <cell r="E1630" t="str">
            <v>#</v>
          </cell>
          <cell r="F1630" t="str">
            <v>Kassir-inkassator (Şirvan regional inkassasiya mərkəzi üzrə)</v>
          </cell>
          <cell r="G1630" t="str">
            <v>A</v>
          </cell>
          <cell r="H1630">
            <v>41009</v>
          </cell>
        </row>
        <row r="1631">
          <cell r="B1631" t="str">
            <v>Məmmədov Faiq Hafis</v>
          </cell>
          <cell r="C1631" t="str">
            <v>Kassa və inkassasiya prosesləri departamenti</v>
          </cell>
          <cell r="D1631" t="str">
            <v>İnkassasiya mərkəzləri ilə iş şöbəsi</v>
          </cell>
          <cell r="E1631" t="str">
            <v>#</v>
          </cell>
          <cell r="F1631" t="str">
            <v>Kassir-inkassator (Şirvan regional inkassasiya mərkəzi üzrə)</v>
          </cell>
          <cell r="G1631" t="str">
            <v>A</v>
          </cell>
          <cell r="H1631">
            <v>43164</v>
          </cell>
        </row>
        <row r="1632">
          <cell r="B1632" t="str">
            <v>İmanov Şahin Beydulla</v>
          </cell>
          <cell r="C1632" t="str">
            <v>Kassa və inkassasiya prosesləri departamenti</v>
          </cell>
          <cell r="D1632" t="str">
            <v>İnkassasiya mərkəzləri ilə iş şöbəsi</v>
          </cell>
          <cell r="E1632" t="str">
            <v>#</v>
          </cell>
          <cell r="F1632" t="str">
            <v>Kassir-inkassator (Şirvan regional inkassasiya mərkəzi üzrə)</v>
          </cell>
          <cell r="G1632" t="str">
            <v>A</v>
          </cell>
          <cell r="H1632">
            <v>43514</v>
          </cell>
        </row>
        <row r="1633">
          <cell r="B1633" t="str">
            <v>Şükürov Müşfiq Əlidamit</v>
          </cell>
          <cell r="C1633" t="str">
            <v>Kassa və inkassasiya prosesləri departamenti</v>
          </cell>
          <cell r="D1633" t="str">
            <v>İnkassasiya mərkəzləri ilə iş şöbəsi</v>
          </cell>
          <cell r="E1633" t="str">
            <v>#</v>
          </cell>
          <cell r="F1633" t="str">
            <v>Kassir-inkassator (Şirvan regional inkassasiya mərkəzi üzrə)</v>
          </cell>
          <cell r="G1633" t="str">
            <v>A</v>
          </cell>
          <cell r="H1633">
            <v>43844</v>
          </cell>
        </row>
        <row r="1634">
          <cell r="B1634" t="str">
            <v>Süleymanov İlkin Nizami</v>
          </cell>
          <cell r="C1634" t="str">
            <v>Kassa və inkassasiya prosesləri departamenti</v>
          </cell>
          <cell r="D1634" t="str">
            <v>İnkassasiya mərkəzləri ilə iş şöbəsi</v>
          </cell>
          <cell r="E1634" t="str">
            <v>#</v>
          </cell>
          <cell r="F1634" t="str">
            <v>Kassir-inkassator (Şirvan regional inkassasiya mərkəzi üzrə)</v>
          </cell>
          <cell r="G1634" t="str">
            <v>A</v>
          </cell>
          <cell r="H1634">
            <v>44411</v>
          </cell>
        </row>
        <row r="1635">
          <cell r="B1635" t="str">
            <v>Piriyev Vüsal Əskər</v>
          </cell>
          <cell r="C1635" t="str">
            <v>Kassa və inkassasiya prosesləri departamenti</v>
          </cell>
          <cell r="D1635" t="str">
            <v>İnkassasiya mərkəzləri ilə iş şöbəsi</v>
          </cell>
          <cell r="E1635" t="str">
            <v>#</v>
          </cell>
          <cell r="F1635" t="str">
            <v>Kassir-inkassator (Şirvan regional inkassasiya mərkəzi üzrə)</v>
          </cell>
          <cell r="G1635" t="str">
            <v>A</v>
          </cell>
          <cell r="H1635">
            <v>45635</v>
          </cell>
        </row>
        <row r="1636">
          <cell r="B1636" t="str">
            <v>Abışzadə Qüdrət Rövşən</v>
          </cell>
          <cell r="C1636" t="str">
            <v>Kassa və inkassasiya prosesləri departamenti</v>
          </cell>
          <cell r="D1636" t="str">
            <v>İnkassasiya mərkəzləri ilə iş şöbəsi</v>
          </cell>
          <cell r="E1636" t="str">
            <v>#</v>
          </cell>
          <cell r="F1636" t="str">
            <v>Menecer (Şirvan regional inkassasiya mərkəzi üzrə)</v>
          </cell>
          <cell r="G1636" t="str">
            <v>A</v>
          </cell>
          <cell r="H1636">
            <v>46071</v>
          </cell>
          <cell r="I1636" t="str">
            <v>Bir Payment</v>
          </cell>
        </row>
        <row r="1637">
          <cell r="B1637" t="str">
            <v>Əkbərov Bəxtiyar Bəhrəm</v>
          </cell>
          <cell r="C1637" t="str">
            <v>Kassa və inkassasiya prosesləri departamenti</v>
          </cell>
          <cell r="D1637" t="str">
            <v>İnkassasiya mərkəzləri ilə iş şöbəsi</v>
          </cell>
          <cell r="E1637" t="str">
            <v>#</v>
          </cell>
          <cell r="F1637" t="str">
            <v>Kassir-inkassator (Şirvan regional inkassasiya mərkəzi üzrə)</v>
          </cell>
          <cell r="G1637" t="str">
            <v>A</v>
          </cell>
          <cell r="H1637">
            <v>46069</v>
          </cell>
          <cell r="I1637" t="str">
            <v>Bir Payment</v>
          </cell>
        </row>
        <row r="1638">
          <cell r="B1638" t="str">
            <v>Şərifzadə Sağı Zabit</v>
          </cell>
          <cell r="C1638" t="str">
            <v>Kassa və inkassasiya prosesləri departamenti</v>
          </cell>
          <cell r="D1638" t="str">
            <v>İnkassasiya mərkəzləri ilə iş şöbəsi</v>
          </cell>
          <cell r="E1638" t="str">
            <v>#</v>
          </cell>
          <cell r="F1638" t="str">
            <v>Kassir-inkassator (Şirvan regional inkassasiya mərkəzi üzrə)</v>
          </cell>
          <cell r="G1638" t="str">
            <v>A</v>
          </cell>
          <cell r="H1638">
            <v>46069</v>
          </cell>
          <cell r="I1638" t="str">
            <v>Bir Payment</v>
          </cell>
        </row>
        <row r="1639">
          <cell r="B1639" t="str">
            <v>Bağırov Rauf Əlizaman</v>
          </cell>
          <cell r="C1639" t="str">
            <v>Kassa və inkassasiya prosesləri departamenti</v>
          </cell>
          <cell r="D1639" t="str">
            <v>İnkassasiya mərkəzləri ilə iş şöbəsi</v>
          </cell>
          <cell r="E1639" t="str">
            <v>#</v>
          </cell>
          <cell r="F1639" t="str">
            <v>Kassir-inkassator (Şirvan regional inkassasiya mərkəzi üzrə)</v>
          </cell>
          <cell r="G1639" t="str">
            <v>A</v>
          </cell>
          <cell r="H1639">
            <v>46069</v>
          </cell>
          <cell r="I1639" t="str">
            <v>Bir Payment</v>
          </cell>
        </row>
        <row r="1640">
          <cell r="B1640" t="str">
            <v>Əlizadə Cavanşir Rahim</v>
          </cell>
          <cell r="C1640" t="str">
            <v>Kassa və inkassasiya prosesləri departamenti</v>
          </cell>
          <cell r="D1640" t="str">
            <v>İnkassasiya mərkəzləri ilə iş şöbəsi</v>
          </cell>
          <cell r="E1640" t="str">
            <v>#</v>
          </cell>
          <cell r="F1640" t="str">
            <v>Kassir-inkassator (Şirvan regional inkassasiya mərkəzi üzrə)</v>
          </cell>
          <cell r="G1640" t="str">
            <v>A</v>
          </cell>
          <cell r="H1640">
            <v>45953</v>
          </cell>
        </row>
        <row r="1641">
          <cell r="B1641" t="str">
            <v>Aslanov Zaur Elbrus</v>
          </cell>
          <cell r="C1641" t="str">
            <v>Kassa və inkassasiya prosesləri departamenti</v>
          </cell>
          <cell r="D1641" t="str">
            <v>İnkassasiya mərkəzləri ilə iş şöbəsi</v>
          </cell>
          <cell r="E1641" t="str">
            <v>#</v>
          </cell>
          <cell r="F1641" t="str">
            <v>Kassir-inkassator (Tovuz regional inkassasiya mərkəzi üzrə)</v>
          </cell>
          <cell r="G1641" t="str">
            <v>A</v>
          </cell>
          <cell r="H1641">
            <v>38385</v>
          </cell>
        </row>
        <row r="1642">
          <cell r="B1642" t="str">
            <v>Hüseynli Tural Oktay</v>
          </cell>
          <cell r="C1642" t="str">
            <v>Kassa və inkassasiya prosesləri departamenti</v>
          </cell>
          <cell r="D1642" t="str">
            <v>İnkassasiya mərkəzləri ilə iş şöbəsi</v>
          </cell>
          <cell r="E1642" t="str">
            <v>#</v>
          </cell>
          <cell r="F1642" t="str">
            <v>Kassir-inkassator (Tovuz regional inkassasiya mərkəzi üzrə)</v>
          </cell>
          <cell r="G1642" t="str">
            <v>A</v>
          </cell>
          <cell r="H1642">
            <v>44701</v>
          </cell>
        </row>
        <row r="1643">
          <cell r="B1643" t="str">
            <v>Kərimov Gündüz Kərim</v>
          </cell>
          <cell r="C1643" t="str">
            <v>Kassa və inkassasiya prosesləri departamenti</v>
          </cell>
          <cell r="D1643" t="str">
            <v>İnkassasiya mərkəzləri ilə iş şöbəsi</v>
          </cell>
          <cell r="E1643" t="str">
            <v>#</v>
          </cell>
          <cell r="F1643" t="str">
            <v>Kassir-inkassator (Tovuz regional inkassasiya mərkəzi üzrə)</v>
          </cell>
          <cell r="G1643" t="str">
            <v>A</v>
          </cell>
          <cell r="H1643">
            <v>42534</v>
          </cell>
        </row>
        <row r="1644">
          <cell r="B1644" t="str">
            <v>Həsənov Gündüz Akif</v>
          </cell>
          <cell r="C1644" t="str">
            <v>Kassa və inkassasiya prosesləri departamenti</v>
          </cell>
          <cell r="D1644" t="str">
            <v>İnkassasiya mərkəzləri ilə iş şöbəsi</v>
          </cell>
          <cell r="E1644" t="str">
            <v>#</v>
          </cell>
          <cell r="F1644" t="str">
            <v>Kassir-inkassator (Tovuz regional inkassasiya mərkəzi üzrə)</v>
          </cell>
          <cell r="G1644" t="str">
            <v>A</v>
          </cell>
          <cell r="H1644">
            <v>39304</v>
          </cell>
        </row>
        <row r="1645">
          <cell r="B1645" t="str">
            <v>Mərdanov Elçin Abbas</v>
          </cell>
          <cell r="C1645" t="str">
            <v>Kassa və inkassasiya prosesləri departamenti</v>
          </cell>
          <cell r="D1645" t="str">
            <v>İnkassasiya mərkəzləri ilə iş şöbəsi</v>
          </cell>
          <cell r="E1645" t="str">
            <v>#</v>
          </cell>
          <cell r="F1645" t="str">
            <v>Kassir-inkassator (Tovuz regional inkassasiya mərkəzi üzrə)</v>
          </cell>
          <cell r="G1645" t="str">
            <v>A</v>
          </cell>
          <cell r="H1645">
            <v>38777</v>
          </cell>
        </row>
        <row r="1646">
          <cell r="B1646" t="str">
            <v>İbrahimov Malik Camal</v>
          </cell>
          <cell r="C1646" t="str">
            <v>Kassa və inkassasiya prosesləri departamenti</v>
          </cell>
          <cell r="D1646" t="str">
            <v>İnkassasiya mərkəzləri ilə iş şöbəsi</v>
          </cell>
          <cell r="E1646" t="str">
            <v>#</v>
          </cell>
          <cell r="F1646" t="str">
            <v>Kassir-inkassator (Tovuz regional inkassasiya mərkəzi üzrə)</v>
          </cell>
          <cell r="G1646" t="str">
            <v>A</v>
          </cell>
          <cell r="H1646">
            <v>40611</v>
          </cell>
        </row>
        <row r="1647">
          <cell r="B1647" t="str">
            <v>Nağıyev Camal Kamıl</v>
          </cell>
          <cell r="C1647" t="str">
            <v>Kassa və inkassasiya prosesləri departamenti</v>
          </cell>
          <cell r="D1647" t="str">
            <v>İnkassasiya mərkəzləri ilə iş şöbəsi</v>
          </cell>
          <cell r="E1647" t="str">
            <v>#</v>
          </cell>
          <cell r="F1647" t="str">
            <v>Kassir-inkassator (Tovuz regional inkassasiya mərkəzi üzrə)</v>
          </cell>
          <cell r="G1647" t="str">
            <v>A</v>
          </cell>
          <cell r="H1647">
            <v>40969</v>
          </cell>
        </row>
        <row r="1648">
          <cell r="B1648" t="str">
            <v>Bayramov Nemət Nazim</v>
          </cell>
          <cell r="C1648" t="str">
            <v>Kassa və inkassasiya prosesləri departamenti</v>
          </cell>
          <cell r="D1648" t="str">
            <v>İnkassasiya mərkəzləri ilə iş şöbəsi</v>
          </cell>
          <cell r="E1648" t="str">
            <v>#</v>
          </cell>
          <cell r="F1648" t="str">
            <v>Kassir-inkassator (Tovuz regional inkassasiya mərkəzi üzrə)</v>
          </cell>
          <cell r="G1648" t="str">
            <v>A</v>
          </cell>
          <cell r="H1648">
            <v>42549</v>
          </cell>
        </row>
        <row r="1649">
          <cell r="B1649" t="str">
            <v>Abbasov Aqşin Ağakişi</v>
          </cell>
          <cell r="C1649" t="str">
            <v>Kassa və inkassasiya prosesləri departamenti</v>
          </cell>
          <cell r="D1649" t="str">
            <v>İnkassasiya mərkəzləri ilə iş şöbəsi</v>
          </cell>
          <cell r="E1649" t="str">
            <v>#</v>
          </cell>
          <cell r="F1649" t="str">
            <v>Kassir-inkassator (Tovuz regional inkassasiya mərkəzi üzrə)</v>
          </cell>
          <cell r="G1649" t="str">
            <v>A</v>
          </cell>
          <cell r="H1649">
            <v>43497</v>
          </cell>
        </row>
        <row r="1650">
          <cell r="B1650" t="str">
            <v>Həsənov Arzu Hümbət</v>
          </cell>
          <cell r="C1650" t="str">
            <v>Kassa və inkassasiya prosesləri departamenti</v>
          </cell>
          <cell r="D1650" t="str">
            <v>İnkassasiya mərkəzləri ilə iş şöbəsi</v>
          </cell>
          <cell r="E1650" t="str">
            <v>#</v>
          </cell>
          <cell r="F1650" t="str">
            <v>Kassir-inkassator (Tovuz regional inkassasiya mərkəzi üzrə)(0,5 ştat vahidi üzrə əvəzçilik qaydasında)</v>
          </cell>
          <cell r="G1650" t="str">
            <v>A</v>
          </cell>
          <cell r="H1650">
            <v>46268</v>
          </cell>
          <cell r="I1650" t="str">
            <v>Bir Payment</v>
          </cell>
        </row>
        <row r="1651">
          <cell r="B1651" t="str">
            <v>Əsgərov Zaur Aydin</v>
          </cell>
          <cell r="C1651" t="str">
            <v>Kassa və inkassasiya prosesləri departamenti</v>
          </cell>
          <cell r="D1651" t="str">
            <v>İnkassasiya mərkəzləri ilə iş şöbəsi</v>
          </cell>
          <cell r="E1651" t="str">
            <v>#</v>
          </cell>
          <cell r="F1651" t="str">
            <v>Kassir-inkassator (Tovuz regional inkassasiya mərkəzi üzrə)(0,5 ştat vahidi üzrə əvəzçilik qaydasında)</v>
          </cell>
          <cell r="G1651" t="str">
            <v>A</v>
          </cell>
          <cell r="H1651">
            <v>46268</v>
          </cell>
          <cell r="I1651" t="str">
            <v>Bir Payment</v>
          </cell>
        </row>
        <row r="1652">
          <cell r="B1652" t="str">
            <v>Qulioğlu Talıb Avdal</v>
          </cell>
          <cell r="C1652" t="str">
            <v>Kassa və inkassasiya prosesləri departamenti</v>
          </cell>
          <cell r="D1652" t="str">
            <v>İnkassasiya mərkəzləri ilə iş şöbəsi</v>
          </cell>
          <cell r="E1652" t="str">
            <v>#</v>
          </cell>
          <cell r="F1652" t="str">
            <v>Kassir-inkassator (Tovuz regional inkassasiya mərkəzi üzrə)(0,5 ştat vahidi üzrə əvəzçilik qaydasında)</v>
          </cell>
          <cell r="G1652" t="str">
            <v>A</v>
          </cell>
          <cell r="H1652">
            <v>46274</v>
          </cell>
          <cell r="I1652" t="str">
            <v>Bir Payment</v>
          </cell>
        </row>
        <row r="1653">
          <cell r="B1653" t="str">
            <v>Məmmədzadə Ülfət Faxrəddin</v>
          </cell>
          <cell r="C1653" t="str">
            <v>Kassa və inkassasiya prosesləri departamenti</v>
          </cell>
          <cell r="D1653" t="str">
            <v>İnkassasiya mərkəzləri ilə iş şöbəsi</v>
          </cell>
          <cell r="E1653" t="str">
            <v>#</v>
          </cell>
          <cell r="F1653" t="str">
            <v>Kassir-inkassator (Tovuz regional inkassasiya mərkəzi üzrə)(0,5 ştat vahidi üzrə əvəzçilik qaydasında)</v>
          </cell>
          <cell r="G1653" t="str">
            <v>A</v>
          </cell>
          <cell r="H1653">
            <v>46274</v>
          </cell>
          <cell r="I1653" t="str">
            <v>Bir Payment</v>
          </cell>
        </row>
        <row r="1654">
          <cell r="B1654" t="str">
            <v>Ələkbərov Vidadi İlham</v>
          </cell>
          <cell r="C1654" t="str">
            <v>Kassa və inkassasiya prosesləri departamenti</v>
          </cell>
          <cell r="D1654" t="str">
            <v>İnkassasiya mərkəzləri ilə iş şöbəsi</v>
          </cell>
          <cell r="E1654" t="str">
            <v>#</v>
          </cell>
          <cell r="F1654" t="str">
            <v>Kassir-inkassator (Tovuz regional inkassasiya mərkəzi üzrə)(0,5 ştat vahidi üzrə əvəzçilik qaydasında)</v>
          </cell>
          <cell r="G1654" t="str">
            <v>A</v>
          </cell>
          <cell r="H1654">
            <v>46274</v>
          </cell>
          <cell r="I1654" t="str">
            <v>Bir Payment</v>
          </cell>
        </row>
        <row r="1655">
          <cell r="B1655" t="str">
            <v>Məmmədov Yusif Hümmət</v>
          </cell>
          <cell r="C1655" t="str">
            <v>Kassa və inkassasiya prosesləri departamenti</v>
          </cell>
          <cell r="D1655" t="str">
            <v>İnkassasiya mərkəzləri ilə iş şöbəsi</v>
          </cell>
          <cell r="E1655" t="str">
            <v>#</v>
          </cell>
          <cell r="F1655" t="str">
            <v>Kassir-inkassator (Yevlax regional inkassasiya mərkəzi üzrə)</v>
          </cell>
          <cell r="G1655" t="str">
            <v>A</v>
          </cell>
          <cell r="H1655">
            <v>39114</v>
          </cell>
        </row>
        <row r="1656">
          <cell r="B1656" t="str">
            <v>Allahverdiyev Rəşad Felman</v>
          </cell>
          <cell r="C1656" t="str">
            <v>Kassa və inkassasiya prosesləri departamenti</v>
          </cell>
          <cell r="D1656" t="str">
            <v>İnkassasiya mərkəzləri ilə iş şöbəsi</v>
          </cell>
          <cell r="E1656" t="str">
            <v>#</v>
          </cell>
          <cell r="F1656" t="str">
            <v>Kassir-inkassator (Yevlax regional inkassasiya mərkəzi üzrə)</v>
          </cell>
          <cell r="G1656" t="str">
            <v>A</v>
          </cell>
          <cell r="H1656">
            <v>43761</v>
          </cell>
        </row>
        <row r="1657">
          <cell r="B1657" t="str">
            <v>Həsənzadə Əli İlqar</v>
          </cell>
          <cell r="C1657" t="str">
            <v>Kassa və inkassasiya prosesləri departamenti</v>
          </cell>
          <cell r="D1657" t="str">
            <v>İnkassasiya mərkəzləri ilə iş şöbəsi</v>
          </cell>
          <cell r="E1657" t="str">
            <v>#</v>
          </cell>
          <cell r="F1657" t="str">
            <v>Kassir-inkassator (Yevlax regional inkassasiya mərkəzi üzrə)</v>
          </cell>
          <cell r="G1657" t="str">
            <v>A</v>
          </cell>
          <cell r="H1657">
            <v>43011</v>
          </cell>
        </row>
        <row r="1658">
          <cell r="B1658" t="str">
            <v>Kazımov İsmayıl Habil</v>
          </cell>
          <cell r="C1658" t="str">
            <v>Kassa və inkassasiya prosesləri departamenti</v>
          </cell>
          <cell r="D1658" t="str">
            <v>İnkassasiya mərkəzləri ilə iş şöbəsi</v>
          </cell>
          <cell r="E1658" t="str">
            <v>#</v>
          </cell>
          <cell r="F1658" t="str">
            <v>Kassir-inkassator (Yevlax regional inkassasiya mərkəzi üzrə)</v>
          </cell>
          <cell r="G1658" t="str">
            <v>A</v>
          </cell>
          <cell r="H1658">
            <v>42730</v>
          </cell>
        </row>
        <row r="1659">
          <cell r="B1659" t="str">
            <v>Əşrəfov Rüstəm Rafiq</v>
          </cell>
          <cell r="C1659" t="str">
            <v>Kassa və inkassasiya prosesləri departamenti</v>
          </cell>
          <cell r="D1659" t="str">
            <v>İnkassasiya mərkəzləri ilə iş şöbəsi</v>
          </cell>
          <cell r="E1659" t="str">
            <v>#</v>
          </cell>
          <cell r="F1659" t="str">
            <v>Kassir-inkassator (Yevlax regional inkassasiya mərkəzi üzrə)</v>
          </cell>
          <cell r="G1659" t="str">
            <v>A</v>
          </cell>
          <cell r="H1659">
            <v>42781</v>
          </cell>
        </row>
        <row r="1660">
          <cell r="B1660" t="str">
            <v>Həsənov Adil Sədrəddin</v>
          </cell>
          <cell r="C1660" t="str">
            <v>Kassa və inkassasiya prosesləri departamenti</v>
          </cell>
          <cell r="D1660" t="str">
            <v>İnkassasiya mərkəzləri ilə iş şöbəsi</v>
          </cell>
          <cell r="E1660" t="str">
            <v>#</v>
          </cell>
          <cell r="F1660" t="str">
            <v>Kassir-inkassator (Yevlax regional inkassasiya mərkəzi üzrə)</v>
          </cell>
          <cell r="G1660" t="str">
            <v>A</v>
          </cell>
          <cell r="H1660">
            <v>45175</v>
          </cell>
        </row>
        <row r="1661">
          <cell r="B1661" t="str">
            <v>Qasımov Elturan Ayaz</v>
          </cell>
          <cell r="C1661" t="str">
            <v>Kassa və inkassasiya prosesləri departamenti</v>
          </cell>
          <cell r="D1661" t="str">
            <v>İnkassasiya mərkəzləri ilə iş şöbəsi</v>
          </cell>
          <cell r="E1661" t="str">
            <v>#</v>
          </cell>
          <cell r="F1661" t="str">
            <v>Kassir-inkassator (Yevlax regional inkassasiya mərkəzi üzrə)</v>
          </cell>
          <cell r="G1661" t="str">
            <v>A</v>
          </cell>
          <cell r="H1661">
            <v>44168</v>
          </cell>
        </row>
        <row r="1662">
          <cell r="B1662" t="str">
            <v>Fərziyev Rəfail Cəfər</v>
          </cell>
          <cell r="C1662" t="str">
            <v>Kassa və inkassasiya prosesləri departamenti</v>
          </cell>
          <cell r="D1662" t="str">
            <v>İnkassasiya mərkəzləri ilə iş şöbəsi</v>
          </cell>
          <cell r="E1662" t="str">
            <v>#</v>
          </cell>
          <cell r="F1662" t="str">
            <v>Kassir-inkassator (Yevlax regional inkassasiya mərkəzi üzrə)(0,5 ştat vahidi üzrə əvəzçilik qaydasında)</v>
          </cell>
          <cell r="G1662" t="str">
            <v>A</v>
          </cell>
          <cell r="H1662">
            <v>46259</v>
          </cell>
          <cell r="I1662" t="str">
            <v>Bir Payment</v>
          </cell>
        </row>
        <row r="1663">
          <cell r="B1663" t="str">
            <v>Məmmədov Tural Sadıx</v>
          </cell>
          <cell r="C1663" t="str">
            <v>Kassa və inkassasiya prosesləri departamenti</v>
          </cell>
          <cell r="D1663" t="str">
            <v>İnkassasiya mərkəzləri ilə iş şöbəsi</v>
          </cell>
          <cell r="E1663" t="str">
            <v>#</v>
          </cell>
          <cell r="F1663" t="str">
            <v>Kassir-inkassator (Yevlax regional inkassasiya mərkəzi üzrə)(0,5 ştat vahidi üzrə əvəzçilik qaydasında)</v>
          </cell>
          <cell r="G1663" t="str">
            <v>A</v>
          </cell>
          <cell r="H1663">
            <v>46260</v>
          </cell>
          <cell r="I1663" t="str">
            <v>Bir Payment</v>
          </cell>
        </row>
        <row r="1664">
          <cell r="B1664" t="str">
            <v>Nuriyev Nicat Zaməddin</v>
          </cell>
          <cell r="C1664" t="str">
            <v>Kassa və inkassasiya prosesləri departamenti</v>
          </cell>
          <cell r="D1664" t="str">
            <v>İnkassasiya mərkəzləri ilə iş şöbəsi</v>
          </cell>
          <cell r="E1664" t="str">
            <v>#</v>
          </cell>
          <cell r="F1664" t="str">
            <v>Kassir-inkassator (Yevlax regional inkassasiya mərkəzi üzrə)(0,5 ştat vahidi üzrə əvəzçilik qaydasında)</v>
          </cell>
          <cell r="G1664" t="str">
            <v>A</v>
          </cell>
          <cell r="H1664">
            <v>46260</v>
          </cell>
          <cell r="I1664" t="str">
            <v>Bir Payment</v>
          </cell>
        </row>
        <row r="1665">
          <cell r="B1665" t="str">
            <v>Cabbarov Abbas Xaliq</v>
          </cell>
          <cell r="C1665" t="str">
            <v>Kassa və inkassasiya prosesləri departamenti</v>
          </cell>
          <cell r="D1665" t="str">
            <v>İnkassasiya mərkəzləri ilə iş şöbəsi</v>
          </cell>
          <cell r="E1665" t="str">
            <v>#</v>
          </cell>
          <cell r="F1665" t="str">
            <v>Kassir-inkassator (Yevlax regional inkassasiya mərkəzi üzrə)(0,5 ştat vahidi üzrə əvəzçilik qaydasında)</v>
          </cell>
          <cell r="G1665" t="str">
            <v>A</v>
          </cell>
          <cell r="H1665">
            <v>46260</v>
          </cell>
          <cell r="I1665" t="str">
            <v>Bir Payment</v>
          </cell>
        </row>
        <row r="1666">
          <cell r="B1666" t="str">
            <v>Əhmədov Təbriz Mütəllim</v>
          </cell>
          <cell r="C1666" t="str">
            <v>Kassa və inkassasiya prosesləri departamenti</v>
          </cell>
          <cell r="D1666" t="str">
            <v>İnkassasiya mərkəzləri ilə iş şöbəsi</v>
          </cell>
          <cell r="E1666" t="str">
            <v>#</v>
          </cell>
          <cell r="F1666" t="str">
            <v>Kassir-inkassator (Yevlax regional inkassasiya mərkəzi üzrə)(0,5 ştat vahidi üzrə əvəzçilik qaydasında)</v>
          </cell>
          <cell r="G1666" t="str">
            <v>A</v>
          </cell>
          <cell r="H1666">
            <v>46261</v>
          </cell>
          <cell r="I1666" t="str">
            <v>Bir Payment</v>
          </cell>
        </row>
        <row r="1667">
          <cell r="B1667" t="str">
            <v>Sadıqov Elgiz Elçin</v>
          </cell>
          <cell r="C1667" t="str">
            <v>Kassa və inkassasiya prosesləri departamenti</v>
          </cell>
          <cell r="D1667" t="str">
            <v>İnkassasiya mərkəzləri ilə iş şöbəsi</v>
          </cell>
          <cell r="E1667" t="str">
            <v>#</v>
          </cell>
          <cell r="F1667" t="str">
            <v>Kassir-inkassator (Yevlax regional inkassasiya mərkəzi üzrə)(0,5 ştat vahidi üzrə əvəzçilik qaydasında)</v>
          </cell>
          <cell r="G1667" t="str">
            <v>A</v>
          </cell>
          <cell r="H1667">
            <v>46268</v>
          </cell>
          <cell r="I1667" t="str">
            <v>Bir Payment</v>
          </cell>
        </row>
        <row r="1668">
          <cell r="B1668" t="str">
            <v>Hüseynov Fəxri Fikrət</v>
          </cell>
          <cell r="C1668" t="str">
            <v>Kassa və inkassasiya prosesləri departamenti</v>
          </cell>
          <cell r="D1668" t="str">
            <v>İnkassasiya mərkəzləri ilə iş şöbəsi</v>
          </cell>
          <cell r="E1668" t="str">
            <v>#</v>
          </cell>
          <cell r="F1668" t="str">
            <v>Kassir-inkassator (Yevlax regional inkassasiya mərkəzi üzrə)</v>
          </cell>
          <cell r="G1668" t="str">
            <v>A</v>
          </cell>
          <cell r="H1668">
            <v>45338</v>
          </cell>
        </row>
        <row r="1669">
          <cell r="B1669" t="str">
            <v>Abbasov Elşad Vaqif</v>
          </cell>
          <cell r="C1669" t="str">
            <v>Kassa və inkassasiya prosesləri departamenti</v>
          </cell>
          <cell r="D1669" t="str">
            <v>İnkassasiya mərkəzləri ilə iş şöbəsi</v>
          </cell>
          <cell r="E1669" t="str">
            <v>#</v>
          </cell>
          <cell r="F1669" t="str">
            <v>Kassir-inkassator (Yevlax regional inkassasiya mərkəzi üzrə)</v>
          </cell>
          <cell r="G1669" t="str">
            <v>A</v>
          </cell>
          <cell r="H1669">
            <v>45343</v>
          </cell>
        </row>
        <row r="1670">
          <cell r="B1670" t="str">
            <v>Məmmədov Xəqani Polad</v>
          </cell>
          <cell r="C1670" t="str">
            <v>Kassa və inkassasiya prosesləri departamenti</v>
          </cell>
          <cell r="D1670" t="str">
            <v>İnkassasiya mərkəzləri ilə iş şöbəsi</v>
          </cell>
          <cell r="E1670" t="str">
            <v>#</v>
          </cell>
          <cell r="F1670" t="str">
            <v>Kassir-inkassator (Yevlax regional inkassasiya mərkəzi üzrə)</v>
          </cell>
          <cell r="G1670" t="str">
            <v>A</v>
          </cell>
          <cell r="H1670">
            <v>45357</v>
          </cell>
        </row>
        <row r="1671">
          <cell r="B1671" t="str">
            <v>Hacıyev Vüsal Aydın</v>
          </cell>
          <cell r="C1671" t="str">
            <v>Kassa və inkassasiya prosesləri departamenti</v>
          </cell>
          <cell r="D1671" t="str">
            <v>İnkassasiya mərkəzləri ilə iş şöbəsi</v>
          </cell>
          <cell r="E1671" t="str">
            <v>#</v>
          </cell>
          <cell r="F1671" t="str">
            <v>Kassir-inkassator (Yevlax regional inkassasiya mərkəzi üzrə)</v>
          </cell>
          <cell r="G1671" t="str">
            <v>A</v>
          </cell>
          <cell r="H1671">
            <v>45366</v>
          </cell>
        </row>
        <row r="1672">
          <cell r="B1672" t="str">
            <v>Aslanlı Ramazan Zahid</v>
          </cell>
          <cell r="C1672" t="str">
            <v>Kassa və inkassasiya prosesləri departamenti</v>
          </cell>
          <cell r="D1672" t="str">
            <v>İnkassasiya mərkəzləri ilə iş şöbəsi</v>
          </cell>
          <cell r="E1672" t="str">
            <v>#</v>
          </cell>
          <cell r="F1672" t="str">
            <v>Kassir-inkassator (Yevlax regional inkassasiya mərkəzi üzrə)</v>
          </cell>
          <cell r="G1672" t="str">
            <v>A</v>
          </cell>
          <cell r="H1672">
            <v>45568</v>
          </cell>
        </row>
        <row r="1673">
          <cell r="B1673" t="str">
            <v>Poladov Zaur Zöhrab</v>
          </cell>
          <cell r="C1673" t="str">
            <v>Kassa və inkassasiya prosesləri departamenti</v>
          </cell>
          <cell r="D1673" t="str">
            <v>İnkassasiya mərkəzləri ilə iş şöbəsi</v>
          </cell>
          <cell r="E1673" t="str">
            <v>#</v>
          </cell>
          <cell r="F1673" t="str">
            <v>Kassir-inkassator (Yevlax regional inkassasiya mərkəzi üzrə)</v>
          </cell>
          <cell r="G1673" t="str">
            <v>A</v>
          </cell>
          <cell r="H1673">
            <v>44676</v>
          </cell>
        </row>
        <row r="1674">
          <cell r="B1674" t="str">
            <v>Süleymanlı Ceyhun Əli</v>
          </cell>
          <cell r="C1674" t="str">
            <v>Nağd pulların idarə edilməsi departamenti</v>
          </cell>
          <cell r="D1674" t="str">
            <v>Kassa və inkassasiya əməliyyatlarının koordinasiyası şöbəsi</v>
          </cell>
          <cell r="E1674" t="str">
            <v>#</v>
          </cell>
          <cell r="F1674" t="str">
            <v>Menecer</v>
          </cell>
          <cell r="G1674" t="str">
            <v>A</v>
          </cell>
          <cell r="H1674">
            <v>42530</v>
          </cell>
        </row>
        <row r="1675">
          <cell r="B1675" t="str">
            <v>Axundzadə Əbdülkərim Nazir</v>
          </cell>
          <cell r="C1675" t="str">
            <v>Nağd pulların idarə edilməsi departamenti</v>
          </cell>
          <cell r="D1675" t="str">
            <v>Kassa və inkassasiya əməliyyatlarının koordinasiyası şöbəsi</v>
          </cell>
          <cell r="E1675" t="str">
            <v>#</v>
          </cell>
          <cell r="F1675" t="str">
            <v>Menecer</v>
          </cell>
          <cell r="G1675" t="str">
            <v>A</v>
          </cell>
          <cell r="H1675">
            <v>43438</v>
          </cell>
        </row>
        <row r="1676">
          <cell r="B1676" t="str">
            <v>Rüstəmova Günel Etibar</v>
          </cell>
          <cell r="C1676" t="str">
            <v>Nağd pulların idarə edilməsi departamenti</v>
          </cell>
          <cell r="D1676" t="str">
            <v>Kassa və inkassasiya əməliyyatlarının koordinasiyası şöbəsi</v>
          </cell>
          <cell r="E1676" t="str">
            <v>#</v>
          </cell>
          <cell r="F1676" t="str">
            <v>Baş mütəxəssis</v>
          </cell>
          <cell r="G1676" t="str">
            <v>A</v>
          </cell>
          <cell r="H1676">
            <v>39475</v>
          </cell>
        </row>
        <row r="1677">
          <cell r="B1677" t="str">
            <v>Ələsgərov Məhəmməd Ələsgər</v>
          </cell>
          <cell r="C1677" t="str">
            <v>Nağd pulların idarə edilməsi departamenti</v>
          </cell>
          <cell r="D1677" t="str">
            <v>ATM və ekvayrinq biznesinə dəstək şöbəsi</v>
          </cell>
          <cell r="E1677" t="str">
            <v>#</v>
          </cell>
          <cell r="F1677" t="str">
            <v>Baş mütəxəssis</v>
          </cell>
          <cell r="G1677" t="str">
            <v>A</v>
          </cell>
          <cell r="H1677">
            <v>42149</v>
          </cell>
        </row>
        <row r="1678">
          <cell r="B1678" t="str">
            <v>Qüdrətova Arzu Tahir</v>
          </cell>
          <cell r="C1678" t="str">
            <v>Nağd pulların idarə edilməsi departamenti</v>
          </cell>
          <cell r="D1678" t="str">
            <v>Kassa və inkassasiya əməliyyatlarının koordinasiyası şöbəsi</v>
          </cell>
          <cell r="E1678" t="str">
            <v>#</v>
          </cell>
          <cell r="F1678" t="str">
            <v>Baş mütəxəssis</v>
          </cell>
          <cell r="G1678" t="str">
            <v>A</v>
          </cell>
          <cell r="H1678">
            <v>40918</v>
          </cell>
        </row>
        <row r="1679">
          <cell r="B1679" t="str">
            <v>Mansurov Vaqif Nəsib</v>
          </cell>
          <cell r="C1679" t="str">
            <v>Nağd pulların idarə edilməsi departamenti</v>
          </cell>
          <cell r="D1679" t="str">
            <v>Kassa və inkassasiya əməliyyatlarının koordinasiyası şöbəsi</v>
          </cell>
          <cell r="E1679" t="str">
            <v>#</v>
          </cell>
          <cell r="F1679" t="str">
            <v>Baş mütəxəssis</v>
          </cell>
          <cell r="G1679" t="str">
            <v>A</v>
          </cell>
          <cell r="H1679">
            <v>36693</v>
          </cell>
        </row>
        <row r="1680">
          <cell r="B1680" t="str">
            <v>Abdullayev Murad Akif</v>
          </cell>
          <cell r="C1680" t="str">
            <v>Nağd pulların idarə edilməsi departamenti</v>
          </cell>
          <cell r="D1680" t="str">
            <v>ATM və ekvayrinq biznesinə dəstək şöbəsi</v>
          </cell>
          <cell r="E1680" t="str">
            <v>#</v>
          </cell>
          <cell r="F1680" t="str">
            <v>Aparıcı mütəxəssis</v>
          </cell>
          <cell r="G1680" t="str">
            <v>A</v>
          </cell>
          <cell r="H1680">
            <v>42461</v>
          </cell>
        </row>
        <row r="1681">
          <cell r="B1681" t="str">
            <v>Məmmədov Eynar Şahin</v>
          </cell>
          <cell r="C1681" t="str">
            <v>Nağd pulların idarə edilməsi departamenti</v>
          </cell>
          <cell r="D1681" t="str">
            <v>ATM və ekvayrinq biznesinə dəstək şöbəsi</v>
          </cell>
          <cell r="E1681" t="str">
            <v>#</v>
          </cell>
          <cell r="F1681" t="str">
            <v>Aparıcı mütəxəssis</v>
          </cell>
          <cell r="G1681" t="str">
            <v>A</v>
          </cell>
          <cell r="H1681">
            <v>42468</v>
          </cell>
        </row>
        <row r="1682">
          <cell r="B1682" t="str">
            <v>Süleymanlı Aydan Kamil</v>
          </cell>
          <cell r="C1682" t="str">
            <v>Nağd pulların idarə edilməsi departamenti</v>
          </cell>
          <cell r="D1682" t="str">
            <v>Kassa və inkassasiya əməliyyatlarının koordinasiyası şöbəsi</v>
          </cell>
          <cell r="E1682" t="str">
            <v>#</v>
          </cell>
          <cell r="F1682" t="str">
            <v>Aparıcı mütəxəssis</v>
          </cell>
          <cell r="G1682" t="str">
            <v>A</v>
          </cell>
          <cell r="H1682">
            <v>43395</v>
          </cell>
        </row>
        <row r="1683">
          <cell r="B1683" t="str">
            <v>Nəcəfova Aysel Arif</v>
          </cell>
          <cell r="C1683" t="str">
            <v>Nağd pulların idarə edilməsi departamenti</v>
          </cell>
          <cell r="D1683" t="str">
            <v>Kassa və inkassasiya əməliyyatlarının koordinasiyası şöbəsi</v>
          </cell>
          <cell r="E1683" t="str">
            <v>#</v>
          </cell>
          <cell r="F1683" t="str">
            <v>Aparıcı mütəxəssis</v>
          </cell>
          <cell r="G1683" t="str">
            <v>A</v>
          </cell>
          <cell r="H1683">
            <v>44463</v>
          </cell>
        </row>
        <row r="1684">
          <cell r="B1684" t="str">
            <v>Şərifova Ruhiyyə Rasim</v>
          </cell>
          <cell r="C1684" t="str">
            <v>Nağd pulların idarə edilməsi departamenti</v>
          </cell>
          <cell r="D1684" t="str">
            <v>Kassa və inkassasiya əməliyyatlarının koordinasiyası şöbəsi</v>
          </cell>
          <cell r="E1684" t="str">
            <v>#</v>
          </cell>
          <cell r="F1684" t="str">
            <v>Aparıcı mütəxəssis</v>
          </cell>
          <cell r="G1684" t="str">
            <v>A</v>
          </cell>
          <cell r="H1684">
            <v>43824</v>
          </cell>
        </row>
        <row r="1685">
          <cell r="B1685" t="str">
            <v>Səmədli Əli Fəqan</v>
          </cell>
          <cell r="C1685" t="str">
            <v>Nağd pulların idarə edilməsi departamenti</v>
          </cell>
          <cell r="D1685" t="str">
            <v>ATM və ekvayrinq biznesinə dəstək şöbəsi</v>
          </cell>
          <cell r="E1685" t="str">
            <v>#</v>
          </cell>
          <cell r="F1685" t="str">
            <v>Mütəxəssis</v>
          </cell>
          <cell r="G1685" t="str">
            <v>A</v>
          </cell>
          <cell r="H1685">
            <v>45125</v>
          </cell>
        </row>
        <row r="1686">
          <cell r="B1686" t="str">
            <v>Cənnətova Aynurə Azər</v>
          </cell>
          <cell r="C1686" t="str">
            <v>Nağd pulların idarə edilməsi departamenti</v>
          </cell>
          <cell r="D1686" t="str">
            <v>Kassa və inkassasiya əməliyyatlarının koordinasiyası şöbəsi</v>
          </cell>
          <cell r="E1686" t="str">
            <v>#</v>
          </cell>
          <cell r="F1686" t="str">
            <v>Mütəxəssis</v>
          </cell>
          <cell r="G1686" t="str">
            <v>A</v>
          </cell>
          <cell r="H1686">
            <v>45062</v>
          </cell>
        </row>
        <row r="1687">
          <cell r="B1687" t="str">
            <v>Muradov Əzim Vahid</v>
          </cell>
          <cell r="C1687" t="str">
            <v>Nağd pulların idarə edilməsi departamenti</v>
          </cell>
          <cell r="D1687" t="str">
            <v>Kassa və inkassasiya əməliyyatlarının koordinasiyası şöbəsi</v>
          </cell>
          <cell r="E1687" t="str">
            <v>#</v>
          </cell>
          <cell r="F1687" t="str">
            <v>Mütəxəssis</v>
          </cell>
          <cell r="G1687" t="str">
            <v>A</v>
          </cell>
          <cell r="H1687">
            <v>45730</v>
          </cell>
        </row>
        <row r="1688">
          <cell r="B1688" t="str">
            <v>Umudlu Cəmaləddin Fariz</v>
          </cell>
          <cell r="C1688" t="str">
            <v>Nağd pulların idarə edilməsi departamenti</v>
          </cell>
          <cell r="D1688" t="str">
            <v>Kassa və inkassasiya əməliyyatlarının koordinasiyası şöbəsi</v>
          </cell>
          <cell r="E1688" t="str">
            <v>#</v>
          </cell>
          <cell r="F1688" t="str">
            <v>Mütəxəssis</v>
          </cell>
          <cell r="G1688" t="str">
            <v>A</v>
          </cell>
          <cell r="H1688">
            <v>45730</v>
          </cell>
        </row>
        <row r="1689">
          <cell r="B1689" t="str">
            <v>Vəlizadə Tərxan Mehman</v>
          </cell>
          <cell r="C1689" t="str">
            <v>Satış kanalları departamenti</v>
          </cell>
          <cell r="D1689" t="str">
            <v>#</v>
          </cell>
          <cell r="E1689" t="str">
            <v>#</v>
          </cell>
          <cell r="F1689" t="str">
            <v>Direktor müavini</v>
          </cell>
          <cell r="G1689" t="str">
            <v>A</v>
          </cell>
          <cell r="H1689">
            <v>42159</v>
          </cell>
        </row>
        <row r="1690">
          <cell r="B1690" t="str">
            <v>Cəfərov Bahadur Mahir</v>
          </cell>
          <cell r="C1690" t="str">
            <v>Satış kanalları departamenti</v>
          </cell>
          <cell r="D1690" t="str">
            <v>Birbaşa satış və xidmət şöbəsi</v>
          </cell>
          <cell r="E1690" t="str">
            <v>#</v>
          </cell>
          <cell r="F1690" t="str">
            <v>Şöbə müdiri</v>
          </cell>
          <cell r="G1690" t="str">
            <v>A</v>
          </cell>
          <cell r="H1690">
            <v>42144</v>
          </cell>
        </row>
        <row r="1691">
          <cell r="B1691" t="str">
            <v>Daşdiyev Qoşqar Ramiz</v>
          </cell>
          <cell r="C1691" t="str">
            <v>Satış kanalları departamenti</v>
          </cell>
          <cell r="D1691" t="str">
            <v>YSB-lərdə satış və xidmət şöbəsi</v>
          </cell>
          <cell r="E1691" t="str">
            <v>#</v>
          </cell>
          <cell r="F1691" t="str">
            <v>Şöbə müdiri</v>
          </cell>
          <cell r="G1691" t="str">
            <v>A</v>
          </cell>
          <cell r="H1691">
            <v>42821</v>
          </cell>
        </row>
        <row r="1692">
          <cell r="B1692" t="str">
            <v>Daşdəmirov Orxan Mahir</v>
          </cell>
          <cell r="C1692" t="str">
            <v>Satış kanalları departamenti</v>
          </cell>
          <cell r="D1692" t="str">
            <v>Birbaşa satış və xidmət şöbəsi</v>
          </cell>
          <cell r="E1692" t="str">
            <v>Birbaşa satış bölməsi</v>
          </cell>
          <cell r="F1692" t="str">
            <v>Bölmə rəhbəri</v>
          </cell>
          <cell r="G1692" t="str">
            <v>A</v>
          </cell>
          <cell r="H1692">
            <v>42940</v>
          </cell>
        </row>
        <row r="1693">
          <cell r="B1693" t="str">
            <v>Cəfərov Emin Əbülfət</v>
          </cell>
          <cell r="C1693" t="str">
            <v>Satış kanalları departamenti</v>
          </cell>
          <cell r="D1693" t="str">
            <v>Birbaşa satış və xidmət şöbəsi</v>
          </cell>
          <cell r="E1693" t="str">
            <v>Birbaşa satış bölməsi</v>
          </cell>
          <cell r="F1693" t="str">
            <v>Qrup rəhbəri</v>
          </cell>
          <cell r="G1693" t="str">
            <v>A</v>
          </cell>
          <cell r="H1693">
            <v>42894</v>
          </cell>
        </row>
        <row r="1694">
          <cell r="B1694" t="str">
            <v>Qurbanəliyev Elçin Məhəmməd</v>
          </cell>
          <cell r="C1694" t="str">
            <v>Satış kanalları departamenti</v>
          </cell>
          <cell r="D1694" t="str">
            <v>Birbaşa satış və xidmət şöbəsi</v>
          </cell>
          <cell r="E1694" t="str">
            <v>Birbaşa satış bölməsi</v>
          </cell>
          <cell r="F1694" t="str">
            <v>Qrup rəhbəri</v>
          </cell>
          <cell r="G1694" t="str">
            <v>A</v>
          </cell>
          <cell r="H1694">
            <v>43221</v>
          </cell>
        </row>
        <row r="1695">
          <cell r="B1695" t="str">
            <v>Abdullayev Taleh Cavanşir</v>
          </cell>
          <cell r="C1695" t="str">
            <v>Satış kanalları departamenti</v>
          </cell>
          <cell r="D1695" t="str">
            <v>Birbaşa satış və xidmət şöbəsi</v>
          </cell>
          <cell r="E1695" t="str">
            <v>Birbaşa satış bölməsi</v>
          </cell>
          <cell r="F1695" t="str">
            <v>Qrup rəhbəri</v>
          </cell>
          <cell r="G1695" t="str">
            <v>A</v>
          </cell>
          <cell r="H1695">
            <v>42443</v>
          </cell>
        </row>
        <row r="1696">
          <cell r="B1696" t="str">
            <v>Məmmədov Xaləddin Balası</v>
          </cell>
          <cell r="C1696" t="str">
            <v>Satış kanalları departamenti</v>
          </cell>
          <cell r="D1696" t="str">
            <v>Birbaşa satış və xidmət şöbəsi</v>
          </cell>
          <cell r="E1696" t="str">
            <v>Birbaşa satış bölməsi</v>
          </cell>
          <cell r="F1696" t="str">
            <v>Baş mütəxəssis (Mərkəzi Aran zonası üzrə)</v>
          </cell>
          <cell r="G1696" t="str">
            <v>A</v>
          </cell>
          <cell r="H1696">
            <v>43825</v>
          </cell>
        </row>
        <row r="1697">
          <cell r="B1697" t="str">
            <v>Rəhimov Etibar Norman</v>
          </cell>
          <cell r="C1697" t="str">
            <v>Satış kanalları departamenti</v>
          </cell>
          <cell r="D1697" t="str">
            <v>Birbaşa satış və xidmət şöbəsi</v>
          </cell>
          <cell r="E1697" t="str">
            <v>Birbaşa satış bölməsi</v>
          </cell>
          <cell r="F1697" t="str">
            <v>Aparıcı mütəxəssis</v>
          </cell>
          <cell r="G1697" t="str">
            <v>A</v>
          </cell>
          <cell r="H1697">
            <v>43818</v>
          </cell>
        </row>
        <row r="1698">
          <cell r="B1698" t="str">
            <v>Əsgərov Elcan Asif</v>
          </cell>
          <cell r="C1698" t="str">
            <v>Satış kanalları departamenti</v>
          </cell>
          <cell r="D1698" t="str">
            <v>Birbaşa satış və xidmət şöbəsi</v>
          </cell>
          <cell r="E1698" t="str">
            <v>Birbaşa satış bölməsi</v>
          </cell>
          <cell r="F1698" t="str">
            <v>Aparıcı mütəxəssis(Gəncə-Daşkəsən zonası üzrə)</v>
          </cell>
          <cell r="G1698" t="str">
            <v>A</v>
          </cell>
          <cell r="H1698">
            <v>44714</v>
          </cell>
        </row>
        <row r="1699">
          <cell r="B1699" t="str">
            <v>Məmmədov Yusif Ramin</v>
          </cell>
          <cell r="C1699" t="str">
            <v>Satış kanalları departamenti</v>
          </cell>
          <cell r="D1699" t="str">
            <v>Birbaşa satış və xidmət şöbəsi</v>
          </cell>
          <cell r="E1699" t="str">
            <v>Birbaşa satış bölməsi</v>
          </cell>
          <cell r="F1699" t="str">
            <v>Aparıcı mütəxəssis</v>
          </cell>
          <cell r="G1699" t="str">
            <v>A</v>
          </cell>
          <cell r="H1699">
            <v>44159</v>
          </cell>
        </row>
        <row r="1700">
          <cell r="B1700" t="str">
            <v>Əliyev Arif Asəm</v>
          </cell>
          <cell r="C1700" t="str">
            <v>Satış kanalları departamenti</v>
          </cell>
          <cell r="D1700" t="str">
            <v>Birbaşa satış və xidmət şöbəsi</v>
          </cell>
          <cell r="E1700" t="str">
            <v>Birbaşa satış bölməsi</v>
          </cell>
          <cell r="F1700" t="str">
            <v>Aparıcı mütəxəssis</v>
          </cell>
          <cell r="G1700" t="str">
            <v>A</v>
          </cell>
          <cell r="H1700">
            <v>44503</v>
          </cell>
        </row>
        <row r="1701">
          <cell r="B1701" t="str">
            <v>İsmayılov Eşqin Ənvər</v>
          </cell>
          <cell r="C1701" t="str">
            <v>Satış kanalları departamenti</v>
          </cell>
          <cell r="D1701" t="str">
            <v>Birbaşa satış və xidmət şöbəsi</v>
          </cell>
          <cell r="E1701" t="str">
            <v>Birbaşa satış bölməsi</v>
          </cell>
          <cell r="F1701" t="str">
            <v>Aparıcı mütəxəssis</v>
          </cell>
          <cell r="G1701" t="str">
            <v>A</v>
          </cell>
          <cell r="H1701">
            <v>44518</v>
          </cell>
        </row>
        <row r="1702">
          <cell r="B1702" t="str">
            <v>Məmmədli Rəvan Pərviz</v>
          </cell>
          <cell r="C1702" t="str">
            <v>Satış kanalları departamenti</v>
          </cell>
          <cell r="D1702" t="str">
            <v>Birbaşa satış və xidmət şöbəsi</v>
          </cell>
          <cell r="E1702" t="str">
            <v>Birbaşa satış bölməsi</v>
          </cell>
          <cell r="F1702" t="str">
            <v>Aparıcı mütəxəssis</v>
          </cell>
          <cell r="G1702" t="str">
            <v>A</v>
          </cell>
          <cell r="H1702">
            <v>44728</v>
          </cell>
        </row>
        <row r="1703">
          <cell r="B1703" t="str">
            <v>Cabarov Əskər Ələskər</v>
          </cell>
          <cell r="C1703" t="str">
            <v>Satış kanalları departamenti</v>
          </cell>
          <cell r="D1703" t="str">
            <v>Birbaşa satış və xidmət şöbəsi</v>
          </cell>
          <cell r="E1703" t="str">
            <v>Birbaşa satış bölməsi</v>
          </cell>
          <cell r="F1703" t="str">
            <v>Aparıcı mütəxəssis</v>
          </cell>
          <cell r="G1703" t="str">
            <v>A</v>
          </cell>
          <cell r="H1703">
            <v>44763</v>
          </cell>
        </row>
        <row r="1704">
          <cell r="B1704" t="str">
            <v>Talıblı Murad Malik</v>
          </cell>
          <cell r="C1704" t="str">
            <v>Satış kanalları departamenti</v>
          </cell>
          <cell r="D1704" t="str">
            <v>Birbaşa satış və xidmət şöbəsi</v>
          </cell>
          <cell r="E1704" t="str">
            <v>Birbaşa satış bölməsi</v>
          </cell>
          <cell r="F1704" t="str">
            <v>Aparıcı mütəxəssis</v>
          </cell>
          <cell r="G1704" t="str">
            <v>A</v>
          </cell>
          <cell r="H1704">
            <v>44844</v>
          </cell>
        </row>
        <row r="1705">
          <cell r="B1705" t="str">
            <v>Qənizadə Binnət Elşən</v>
          </cell>
          <cell r="C1705" t="str">
            <v>Satış kanalları departamenti</v>
          </cell>
          <cell r="D1705" t="str">
            <v>Birbaşa satış və xidmət şöbəsi</v>
          </cell>
          <cell r="E1705" t="str">
            <v>Birbaşa satış bölməsi</v>
          </cell>
          <cell r="F1705" t="str">
            <v>Aparıcı mütəxəssis</v>
          </cell>
          <cell r="G1705" t="str">
            <v>A</v>
          </cell>
          <cell r="H1705">
            <v>44916</v>
          </cell>
        </row>
        <row r="1706">
          <cell r="B1706" t="str">
            <v>Əsgərov Pərviz Fəhrad</v>
          </cell>
          <cell r="C1706" t="str">
            <v>Satış kanalları departamenti</v>
          </cell>
          <cell r="D1706" t="str">
            <v>Birbaşa satış və xidmət şöbəsi</v>
          </cell>
          <cell r="E1706" t="str">
            <v>Birbaşa satış bölməsi</v>
          </cell>
          <cell r="F1706" t="str">
            <v>Mütəxəssis</v>
          </cell>
          <cell r="G1706" t="str">
            <v>A</v>
          </cell>
          <cell r="H1706">
            <v>44959</v>
          </cell>
        </row>
        <row r="1707">
          <cell r="B1707" t="str">
            <v>Məmmədov Rəhman Məmmədəli</v>
          </cell>
          <cell r="C1707" t="str">
            <v>Satış kanalları departamenti</v>
          </cell>
          <cell r="D1707" t="str">
            <v>Birbaşa satış və xidmət şöbəsi</v>
          </cell>
          <cell r="E1707" t="str">
            <v>Birbaşa satış bölməsi</v>
          </cell>
          <cell r="F1707" t="str">
            <v>Mütəxəssis</v>
          </cell>
          <cell r="G1707" t="str">
            <v>A</v>
          </cell>
          <cell r="H1707">
            <v>45363</v>
          </cell>
        </row>
        <row r="1708">
          <cell r="B1708" t="str">
            <v>Mehdili Rəşad Niyazi</v>
          </cell>
          <cell r="C1708" t="str">
            <v>Satış kanalları departamenti</v>
          </cell>
          <cell r="D1708" t="str">
            <v>Birbaşa satış və xidmət şöbəsi</v>
          </cell>
          <cell r="E1708" t="str">
            <v>Birbaşa satış bölməsi</v>
          </cell>
          <cell r="F1708" t="str">
            <v>Mütəxəssis</v>
          </cell>
          <cell r="G1708" t="str">
            <v>A</v>
          </cell>
          <cell r="H1708">
            <v>45232</v>
          </cell>
        </row>
        <row r="1709">
          <cell r="B1709" t="str">
            <v>Rəsulov Mərrahim Məhərrəm</v>
          </cell>
          <cell r="C1709" t="str">
            <v>Satış kanalları departamenti</v>
          </cell>
          <cell r="D1709" t="str">
            <v>Birbaşa satış və xidmət şöbəsi</v>
          </cell>
          <cell r="E1709" t="str">
            <v>Birbaşa satış bölməsi</v>
          </cell>
          <cell r="F1709" t="str">
            <v>Mütəxəssis</v>
          </cell>
          <cell r="G1709" t="str">
            <v>A</v>
          </cell>
          <cell r="H1709">
            <v>45275</v>
          </cell>
        </row>
        <row r="1710">
          <cell r="B1710" t="str">
            <v>Əliyev İlqar Səfiyar</v>
          </cell>
          <cell r="C1710" t="str">
            <v>Satış kanalları departamenti</v>
          </cell>
          <cell r="D1710" t="str">
            <v>Birbaşa satış və xidmət şöbəsi</v>
          </cell>
          <cell r="E1710" t="str">
            <v>Birbaşa satış bölməsi</v>
          </cell>
          <cell r="F1710" t="str">
            <v>Mütəxəssis</v>
          </cell>
          <cell r="G1710" t="str">
            <v>A</v>
          </cell>
          <cell r="H1710">
            <v>45275</v>
          </cell>
        </row>
        <row r="1711">
          <cell r="B1711" t="str">
            <v>Məmmədli Əmrah İntizam</v>
          </cell>
          <cell r="C1711" t="str">
            <v>Satış kanalları departamenti</v>
          </cell>
          <cell r="D1711" t="str">
            <v>Birbaşa satış və xidmət şöbəsi</v>
          </cell>
          <cell r="E1711" t="str">
            <v>Birbaşa satış bölməsi</v>
          </cell>
          <cell r="F1711" t="str">
            <v>Mütəxəssis</v>
          </cell>
          <cell r="G1711" t="str">
            <v>A</v>
          </cell>
          <cell r="H1711">
            <v>45310</v>
          </cell>
        </row>
        <row r="1712">
          <cell r="B1712" t="str">
            <v>Quliyev Nicat Rəsul</v>
          </cell>
          <cell r="C1712" t="str">
            <v>Satış kanalları departamenti</v>
          </cell>
          <cell r="D1712" t="str">
            <v>Birbaşa satış və xidmət şöbəsi</v>
          </cell>
          <cell r="E1712" t="str">
            <v>Birbaşa satış bölməsi</v>
          </cell>
          <cell r="F1712" t="str">
            <v>Mütəxəssis</v>
          </cell>
          <cell r="G1712" t="str">
            <v>A</v>
          </cell>
          <cell r="H1712">
            <v>45313</v>
          </cell>
        </row>
        <row r="1713">
          <cell r="B1713" t="str">
            <v>Şükürlü Nurlan Mahir</v>
          </cell>
          <cell r="C1713" t="str">
            <v>Satış kanalları departamenti</v>
          </cell>
          <cell r="D1713" t="str">
            <v>Birbaşa satış və xidmət şöbəsi</v>
          </cell>
          <cell r="E1713" t="str">
            <v>Birbaşa satış bölməsi</v>
          </cell>
          <cell r="F1713" t="str">
            <v>Mütəxəssis</v>
          </cell>
          <cell r="G1713" t="str">
            <v>A</v>
          </cell>
          <cell r="H1713">
            <v>45560</v>
          </cell>
        </row>
        <row r="1714">
          <cell r="B1714" t="str">
            <v>Qasımov Təbriz Xaqani</v>
          </cell>
          <cell r="C1714" t="str">
            <v>Satış kanalları departamenti</v>
          </cell>
          <cell r="D1714" t="str">
            <v>Birbaşa satış və xidmət şöbəsi</v>
          </cell>
          <cell r="E1714" t="str">
            <v>Birbaşa satış bölməsi</v>
          </cell>
          <cell r="F1714" t="str">
            <v>Mütəxəssis</v>
          </cell>
          <cell r="G1714" t="str">
            <v>A</v>
          </cell>
          <cell r="H1714">
            <v>45391</v>
          </cell>
        </row>
        <row r="1715">
          <cell r="B1715" t="str">
            <v>Rəşidli Rəşid Müşviq</v>
          </cell>
          <cell r="C1715" t="str">
            <v>Satış kanalları departamenti</v>
          </cell>
          <cell r="D1715" t="str">
            <v>Birbaşa satış və xidmət şöbəsi</v>
          </cell>
          <cell r="E1715" t="str">
            <v>Birbaşa satış bölməsi</v>
          </cell>
          <cell r="F1715" t="str">
            <v>Mütəxəssis</v>
          </cell>
          <cell r="G1715" t="str">
            <v>A</v>
          </cell>
          <cell r="H1715">
            <v>45309</v>
          </cell>
        </row>
        <row r="1716">
          <cell r="B1716" t="str">
            <v>Qarayev Kənan Qoşqar</v>
          </cell>
          <cell r="C1716" t="str">
            <v>Satış kanalları departamenti</v>
          </cell>
          <cell r="D1716" t="str">
            <v>Birbaşa satış və xidmət şöbəsi</v>
          </cell>
          <cell r="E1716" t="str">
            <v>Birbaşa satış bölməsi</v>
          </cell>
          <cell r="F1716" t="str">
            <v>Mütəxəssis</v>
          </cell>
          <cell r="G1716" t="str">
            <v>A</v>
          </cell>
          <cell r="H1716">
            <v>46240</v>
          </cell>
        </row>
        <row r="1717">
          <cell r="B1717" t="str">
            <v>Əhmədov Emin Vüqar</v>
          </cell>
          <cell r="C1717" t="str">
            <v>Satış kanalları departamenti</v>
          </cell>
          <cell r="D1717" t="str">
            <v>Birbaşa satış və xidmət şöbəsi</v>
          </cell>
          <cell r="E1717" t="str">
            <v>Birbaşa satış bölməsi</v>
          </cell>
          <cell r="F1717" t="str">
            <v>Mütəxəssis</v>
          </cell>
          <cell r="G1717" t="str">
            <v>A</v>
          </cell>
          <cell r="H1717">
            <v>45828</v>
          </cell>
        </row>
        <row r="1718">
          <cell r="B1718" t="str">
            <v>Rəsulov Aydın İlham</v>
          </cell>
          <cell r="C1718" t="str">
            <v>Satış kanalları departamenti</v>
          </cell>
          <cell r="D1718" t="str">
            <v>Birbaşa satış və xidmət şöbəsi</v>
          </cell>
          <cell r="E1718" t="str">
            <v>Birbaşa satış bölməsi</v>
          </cell>
          <cell r="F1718" t="str">
            <v>Kiçik mütəxəssis</v>
          </cell>
          <cell r="G1718" t="str">
            <v>A</v>
          </cell>
          <cell r="H1718">
            <v>46084</v>
          </cell>
        </row>
        <row r="1719">
          <cell r="B1719" t="str">
            <v>Dəmirov Ramil Yaşar</v>
          </cell>
          <cell r="C1719" t="str">
            <v>Satış kanalları departamenti</v>
          </cell>
          <cell r="D1719" t="str">
            <v>Birbaşa satış və xidmət şöbəsi</v>
          </cell>
          <cell r="E1719" t="str">
            <v>Birbaşa satış bölməsi</v>
          </cell>
          <cell r="F1719" t="str">
            <v>Kiçik mütəxəssis</v>
          </cell>
          <cell r="G1719" t="str">
            <v>A</v>
          </cell>
          <cell r="H1719">
            <v>46176</v>
          </cell>
        </row>
        <row r="1720">
          <cell r="B1720" t="str">
            <v>Qaffarov Cabbar Hilal</v>
          </cell>
          <cell r="C1720" t="str">
            <v>Satış kanalları departamenti</v>
          </cell>
          <cell r="D1720" t="str">
            <v>Birbaşa satış və xidmət şöbəsi</v>
          </cell>
          <cell r="E1720" t="str">
            <v>Birbaşa satış bölməsi</v>
          </cell>
          <cell r="F1720" t="str">
            <v>Kiçik mütəxəssis</v>
          </cell>
          <cell r="G1720" t="str">
            <v>A</v>
          </cell>
          <cell r="H1720">
            <v>46190</v>
          </cell>
        </row>
        <row r="1721">
          <cell r="B1721" t="str">
            <v>Abdulxalıqov Vahab Mikayıl</v>
          </cell>
          <cell r="C1721" t="str">
            <v>Satış kanalları departamenti</v>
          </cell>
          <cell r="D1721" t="str">
            <v>Birbaşa satış və xidmət şöbəsi</v>
          </cell>
          <cell r="E1721" t="str">
            <v>Birbaşa satış bölməsi</v>
          </cell>
          <cell r="F1721" t="str">
            <v>Mütəxəssis</v>
          </cell>
          <cell r="G1721" t="str">
            <v>A</v>
          </cell>
          <cell r="H1721">
            <v>45497</v>
          </cell>
        </row>
        <row r="1722">
          <cell r="B1722" t="str">
            <v>Abbaszadə Nahid Natiq</v>
          </cell>
          <cell r="C1722" t="str">
            <v>Satış kanalları departamenti</v>
          </cell>
          <cell r="D1722" t="str">
            <v>Birbaşa satış və xidmət şöbəsi</v>
          </cell>
          <cell r="E1722" t="str">
            <v>Birbaşa satış bölməsi</v>
          </cell>
          <cell r="F1722" t="str">
            <v>Mütəxəssis</v>
          </cell>
          <cell r="G1722" t="str">
            <v>A</v>
          </cell>
          <cell r="H1722">
            <v>45587</v>
          </cell>
        </row>
        <row r="1723">
          <cell r="B1723" t="str">
            <v>Məmmədov Elşən Balanməd</v>
          </cell>
          <cell r="C1723" t="str">
            <v>Satış kanalları departamenti</v>
          </cell>
          <cell r="D1723" t="str">
            <v>Birbaşa satış və xidmət şöbəsi</v>
          </cell>
          <cell r="E1723" t="str">
            <v>Birbaşa satış bölməsi</v>
          </cell>
          <cell r="F1723" t="str">
            <v>Mütəxəssis(Şəki-Zaqatala zonası üzrə)</v>
          </cell>
          <cell r="G1723" t="str">
            <v>A</v>
          </cell>
          <cell r="H1723">
            <v>44211</v>
          </cell>
        </row>
        <row r="1724">
          <cell r="B1724" t="str">
            <v>Abdullazadə Əvəzağa Şahin</v>
          </cell>
          <cell r="C1724" t="str">
            <v>Satış kanalları departamenti</v>
          </cell>
          <cell r="D1724" t="str">
            <v>Birbaşa satış və xidmət şöbəsi</v>
          </cell>
          <cell r="E1724" t="str">
            <v>Birbaşa satış bölməsi</v>
          </cell>
          <cell r="F1724" t="str">
            <v>Kiçik mütəxəssis (Şirvan-Salyan zonası üzrə)</v>
          </cell>
          <cell r="G1724" t="str">
            <v>A</v>
          </cell>
          <cell r="H1724">
            <v>46190</v>
          </cell>
        </row>
        <row r="1725">
          <cell r="B1725" t="str">
            <v xml:space="preserve">Hüseynov Kərəm Ramiloviç </v>
          </cell>
          <cell r="C1725" t="str">
            <v>Satış kanalları departamenti</v>
          </cell>
          <cell r="D1725" t="str">
            <v>Birbaşa satış və xidmət şöbəsi</v>
          </cell>
          <cell r="E1725" t="str">
            <v>Birbaşa satış bölməsi</v>
          </cell>
          <cell r="F1725" t="str">
            <v>Kiçik mütəxəssis (Qarabağ zonası üzrə)</v>
          </cell>
          <cell r="G1725" t="str">
            <v>A</v>
          </cell>
          <cell r="H1725">
            <v>46190</v>
          </cell>
        </row>
        <row r="1726">
          <cell r="B1726" t="str">
            <v>Sultanov Emil Əbil</v>
          </cell>
          <cell r="C1726" t="str">
            <v>Satış kanalları departamenti</v>
          </cell>
          <cell r="D1726" t="str">
            <v>Birbaşa satış və xidmət şöbəsi</v>
          </cell>
          <cell r="E1726" t="str">
            <v>Birbaşa satış bölməsi</v>
          </cell>
          <cell r="F1726" t="str">
            <v>Kiçik mütəxəssis (Quba-Xaçmaz zonası üzrə)</v>
          </cell>
          <cell r="G1726" t="str">
            <v>A</v>
          </cell>
          <cell r="H1726">
            <v>46220</v>
          </cell>
        </row>
        <row r="1727">
          <cell r="B1727" t="str">
            <v>Nəsirov Rza Səttar</v>
          </cell>
          <cell r="C1727" t="str">
            <v>Satış kanalları departamenti</v>
          </cell>
          <cell r="D1727" t="str">
            <v>Birbaşa satış və xidmət şöbəsi</v>
          </cell>
          <cell r="E1727" t="str">
            <v>Birbaşa satış bölməsi</v>
          </cell>
          <cell r="F1727" t="str">
            <v>Kiçik mütəxəssis (Naxçıvan zonası üzrə)</v>
          </cell>
          <cell r="G1727" t="str">
            <v>A</v>
          </cell>
          <cell r="H1727">
            <v>46230</v>
          </cell>
        </row>
        <row r="1728">
          <cell r="B1728" t="str">
            <v>Davudoğlu Elmin Davud</v>
          </cell>
          <cell r="C1728" t="str">
            <v>Satış kanalları departamenti</v>
          </cell>
          <cell r="D1728" t="str">
            <v>Birbaşa satış və xidmət şöbəsi</v>
          </cell>
          <cell r="E1728" t="str">
            <v>Birbaşa satış bölməsi</v>
          </cell>
          <cell r="F1728" t="str">
            <v>Kiçik mütəxəssis(Mil-Muğan zonası üzrə)</v>
          </cell>
          <cell r="G1728" t="str">
            <v>A</v>
          </cell>
          <cell r="H1728">
            <v>46238</v>
          </cell>
        </row>
        <row r="1729">
          <cell r="B1729" t="str">
            <v>Ələmov Sədi Vüqaroviç</v>
          </cell>
          <cell r="C1729" t="str">
            <v>Satış kanalları departamenti</v>
          </cell>
          <cell r="D1729" t="str">
            <v>Birbaşa satış və xidmət şöbəsi</v>
          </cell>
          <cell r="E1729" t="str">
            <v>Birbaşa satış bölməsi</v>
          </cell>
          <cell r="F1729" t="str">
            <v>Kiçik mütəxəssis(Lənkaran-Astara zonası üzrə)</v>
          </cell>
          <cell r="G1729" t="str">
            <v>A</v>
          </cell>
          <cell r="H1729">
            <v>46280</v>
          </cell>
        </row>
        <row r="1730">
          <cell r="B1730" t="str">
            <v>Abdullayev Mircəlal Elxan</v>
          </cell>
          <cell r="C1730" t="str">
            <v>Satış kanalları departamenti</v>
          </cell>
          <cell r="D1730" t="str">
            <v>Birbaşa satış və xidmət şöbəsi</v>
          </cell>
          <cell r="E1730" t="str">
            <v>Birbaşa satış bölməsi</v>
          </cell>
          <cell r="F1730" t="str">
            <v>Mütəxəssis</v>
          </cell>
          <cell r="G1730" t="str">
            <v>A</v>
          </cell>
          <cell r="H1730">
            <v>45876</v>
          </cell>
        </row>
        <row r="1731">
          <cell r="B1731" t="str">
            <v>Nurlu Sərxan Valeh</v>
          </cell>
          <cell r="C1731" t="str">
            <v>Satış kanalları departamenti</v>
          </cell>
          <cell r="D1731" t="str">
            <v>Birbaşa satış və xidmət şöbəsi</v>
          </cell>
          <cell r="E1731" t="str">
            <v>Birbaşa satış bölməsi</v>
          </cell>
          <cell r="F1731" t="str">
            <v>Kiçik mütəxəssis</v>
          </cell>
          <cell r="G1731" t="str">
            <v>A</v>
          </cell>
          <cell r="H1731">
            <v>45887</v>
          </cell>
        </row>
        <row r="1732">
          <cell r="B1732" t="str">
            <v>Paşayev Elçin Namiq</v>
          </cell>
          <cell r="C1732" t="str">
            <v>Satış kanalları departamenti</v>
          </cell>
          <cell r="D1732" t="str">
            <v>Birbaşa satış və xidmət şöbəsi</v>
          </cell>
          <cell r="E1732" t="str">
            <v>Birbaşa satış bölməsi</v>
          </cell>
          <cell r="F1732" t="str">
            <v>Kiçik mütəxəssis</v>
          </cell>
          <cell r="G1732" t="str">
            <v>A</v>
          </cell>
          <cell r="H1732">
            <v>45887</v>
          </cell>
        </row>
        <row r="1733">
          <cell r="B1733" t="str">
            <v>Kazımov Museyib Kazım</v>
          </cell>
          <cell r="C1733" t="str">
            <v>Satış kanalları departamenti</v>
          </cell>
          <cell r="D1733" t="str">
            <v>Birbaşa satış və xidmət şöbəsi</v>
          </cell>
          <cell r="E1733" t="str">
            <v>Birbaşa satış bölməsi</v>
          </cell>
          <cell r="F1733" t="str">
            <v>Mütəxəssis</v>
          </cell>
          <cell r="G1733" t="str">
            <v>A</v>
          </cell>
          <cell r="H1733">
            <v>45887</v>
          </cell>
        </row>
        <row r="1734">
          <cell r="B1734" t="str">
            <v>Kərimov Süleyman Tofiq</v>
          </cell>
          <cell r="C1734" t="str">
            <v>Satış kanalları departamenti</v>
          </cell>
          <cell r="D1734" t="str">
            <v>Birbaşa satış və xidmət şöbəsi</v>
          </cell>
          <cell r="E1734" t="str">
            <v>Birbaşa satış bölməsi</v>
          </cell>
          <cell r="F1734" t="str">
            <v>Mütəxəssis</v>
          </cell>
          <cell r="G1734" t="str">
            <v>A</v>
          </cell>
          <cell r="H1734">
            <v>46230</v>
          </cell>
        </row>
        <row r="1735">
          <cell r="B1735" t="str">
            <v>Eyvazov Ceyhun Ariz</v>
          </cell>
          <cell r="C1735" t="str">
            <v>Satış kanalları departamenti</v>
          </cell>
          <cell r="D1735" t="str">
            <v>Birbaşa satış və xidmət şöbəsi</v>
          </cell>
          <cell r="E1735" t="str">
            <v>Birbaşa satış bölməsi</v>
          </cell>
          <cell r="F1735" t="str">
            <v>Kiçik mütəxəssis</v>
          </cell>
          <cell r="G1735" t="str">
            <v>A</v>
          </cell>
          <cell r="H1735">
            <v>46072</v>
          </cell>
        </row>
        <row r="1736">
          <cell r="B1736" t="str">
            <v>Şikarov Tərlan Mahir</v>
          </cell>
          <cell r="C1736" t="str">
            <v>Satış kanalları departamenti</v>
          </cell>
          <cell r="D1736" t="str">
            <v>Birbaşa satış və xidmət şöbəsi</v>
          </cell>
          <cell r="E1736" t="str">
            <v>Birbaşa satış bölməsi</v>
          </cell>
          <cell r="F1736" t="str">
            <v>Kiçik mütəxəssis</v>
          </cell>
          <cell r="G1736" t="str">
            <v>A</v>
          </cell>
          <cell r="H1736">
            <v>46072</v>
          </cell>
        </row>
        <row r="1737">
          <cell r="B1737" t="str">
            <v>Cəbrayılzadə Elvin Rövşən</v>
          </cell>
          <cell r="C1737" t="str">
            <v>Satış kanalları departamenti</v>
          </cell>
          <cell r="D1737" t="str">
            <v>Birbaşa satış və xidmət şöbəsi</v>
          </cell>
          <cell r="E1737" t="str">
            <v>Birbaşa satış bölməsi</v>
          </cell>
          <cell r="F1737" t="str">
            <v>Kiçik mütəxəssis</v>
          </cell>
          <cell r="G1737" t="str">
            <v>A</v>
          </cell>
          <cell r="H1737">
            <v>46160</v>
          </cell>
        </row>
        <row r="1738">
          <cell r="B1738" t="str">
            <v>Mahmudov Atəş Arzu</v>
          </cell>
          <cell r="C1738" t="str">
            <v>Satış kanalları departamenti</v>
          </cell>
          <cell r="D1738" t="str">
            <v>Birbaşa satış və xidmət şöbəsi</v>
          </cell>
          <cell r="E1738" t="str">
            <v>Birbaşa satış bölməsi</v>
          </cell>
          <cell r="F1738" t="str">
            <v>Kiçik mütəxəssis</v>
          </cell>
          <cell r="G1738" t="str">
            <v>A</v>
          </cell>
          <cell r="H1738">
            <v>45951</v>
          </cell>
        </row>
        <row r="1739">
          <cell r="B1739" t="str">
            <v>Cəlilov Elman Kamal</v>
          </cell>
          <cell r="C1739" t="str">
            <v>Satış kanalları departamenti</v>
          </cell>
          <cell r="D1739" t="str">
            <v>Birbaşa satış və xidmət şöbəsi</v>
          </cell>
          <cell r="E1739" t="str">
            <v>Birbaşa satış bölməsi</v>
          </cell>
          <cell r="F1739" t="str">
            <v>Kiçik mütəxəssis</v>
          </cell>
          <cell r="G1739" t="str">
            <v>A</v>
          </cell>
          <cell r="H1739">
            <v>46143</v>
          </cell>
        </row>
        <row r="1740">
          <cell r="B1740" t="str">
            <v>Quliyev Elvin Rizvan</v>
          </cell>
          <cell r="C1740" t="str">
            <v>Satış kanalları departamenti</v>
          </cell>
          <cell r="D1740" t="str">
            <v>Birbaşa satış və xidmət şöbəsi</v>
          </cell>
          <cell r="E1740" t="str">
            <v>Yerində Xidmət bölməsi</v>
          </cell>
          <cell r="F1740" t="str">
            <v>Bölmə rəhbəri</v>
          </cell>
          <cell r="G1740" t="str">
            <v>A</v>
          </cell>
          <cell r="H1740">
            <v>43355</v>
          </cell>
        </row>
        <row r="1741">
          <cell r="B1741" t="str">
            <v>Babayev Camal Cavid</v>
          </cell>
          <cell r="C1741" t="str">
            <v>Satış kanalları departamenti</v>
          </cell>
          <cell r="D1741" t="str">
            <v>Birbaşa satış və xidmət şöbəsi</v>
          </cell>
          <cell r="E1741" t="str">
            <v>Yerində Xidmət bölməsi</v>
          </cell>
          <cell r="F1741" t="str">
            <v>Qrup rəhbəri</v>
          </cell>
          <cell r="G1741" t="str">
            <v>A</v>
          </cell>
          <cell r="H1741">
            <v>43011</v>
          </cell>
        </row>
        <row r="1742">
          <cell r="B1742" t="str">
            <v>Tağıyev Fariz Bakir</v>
          </cell>
          <cell r="C1742" t="str">
            <v>Satış kanalları departamenti</v>
          </cell>
          <cell r="D1742" t="str">
            <v>Birbaşa satış və xidmət şöbəsi</v>
          </cell>
          <cell r="E1742" t="str">
            <v>Yerində Xidmət bölməsi</v>
          </cell>
          <cell r="F1742" t="str">
            <v>Baş mütəxəssis</v>
          </cell>
          <cell r="G1742" t="str">
            <v>A</v>
          </cell>
          <cell r="H1742">
            <v>42342</v>
          </cell>
        </row>
        <row r="1743">
          <cell r="B1743" t="str">
            <v>Hüseynzadə Nəcməddin Firudin</v>
          </cell>
          <cell r="C1743" t="str">
            <v>Satış kanalları departamenti</v>
          </cell>
          <cell r="D1743" t="str">
            <v>Birbaşa satış və xidmət şöbəsi</v>
          </cell>
          <cell r="E1743" t="str">
            <v>Yerində Xidmət bölməsi</v>
          </cell>
          <cell r="F1743" t="str">
            <v>Aparıcı mütəxəssis</v>
          </cell>
          <cell r="G1743" t="str">
            <v>A</v>
          </cell>
          <cell r="H1743">
            <v>44638</v>
          </cell>
        </row>
        <row r="1744">
          <cell r="B1744" t="str">
            <v>Qasımov Anar Rauf</v>
          </cell>
          <cell r="C1744" t="str">
            <v>Satış kanalları departamenti</v>
          </cell>
          <cell r="D1744" t="str">
            <v>Birbaşa satış və xidmət şöbəsi</v>
          </cell>
          <cell r="E1744" t="str">
            <v>Yerində Xidmət bölməsi</v>
          </cell>
          <cell r="F1744" t="str">
            <v>Aparıcı mütəxəssis</v>
          </cell>
          <cell r="G1744" t="str">
            <v>A</v>
          </cell>
          <cell r="H1744">
            <v>43864</v>
          </cell>
        </row>
        <row r="1745">
          <cell r="B1745" t="str">
            <v>Əzizli Zamin Famil</v>
          </cell>
          <cell r="C1745" t="str">
            <v>Satış kanalları departamenti</v>
          </cell>
          <cell r="D1745" t="str">
            <v>Birbaşa satış və xidmət şöbəsi</v>
          </cell>
          <cell r="E1745" t="str">
            <v>Yerində Xidmət bölməsi</v>
          </cell>
          <cell r="F1745" t="str">
            <v>Aparıcı mütəxəssis</v>
          </cell>
          <cell r="G1745" t="str">
            <v>A</v>
          </cell>
          <cell r="H1745">
            <v>44728</v>
          </cell>
        </row>
        <row r="1746">
          <cell r="B1746" t="str">
            <v>Şükürzadə Şükür Rəsul</v>
          </cell>
          <cell r="C1746" t="str">
            <v>Satış kanalları departamenti</v>
          </cell>
          <cell r="D1746" t="str">
            <v>Birbaşa satış və xidmət şöbəsi</v>
          </cell>
          <cell r="E1746" t="str">
            <v>Yerində Xidmət bölməsi</v>
          </cell>
          <cell r="F1746" t="str">
            <v>Aparıcı mütəxəssis</v>
          </cell>
          <cell r="G1746" t="str">
            <v>A</v>
          </cell>
          <cell r="H1746">
            <v>44886</v>
          </cell>
        </row>
        <row r="1747">
          <cell r="B1747" t="str">
            <v>İsrafilov Emin İntiqam</v>
          </cell>
          <cell r="C1747" t="str">
            <v>Satış kanalları departamenti</v>
          </cell>
          <cell r="D1747" t="str">
            <v>Birbaşa satış və xidmət şöbəsi</v>
          </cell>
          <cell r="E1747" t="str">
            <v>Yerində Xidmət bölməsi</v>
          </cell>
          <cell r="F1747" t="str">
            <v>Aparıcı mütəxəssis</v>
          </cell>
          <cell r="G1747" t="str">
            <v>A</v>
          </cell>
          <cell r="H1747">
            <v>44734</v>
          </cell>
        </row>
        <row r="1748">
          <cell r="B1748" t="str">
            <v>Abbasov Rövşən Əflatun</v>
          </cell>
          <cell r="C1748" t="str">
            <v>Satış kanalları departamenti</v>
          </cell>
          <cell r="D1748" t="str">
            <v>Birbaşa satış və xidmət şöbəsi</v>
          </cell>
          <cell r="E1748" t="str">
            <v>Yerində Xidmət bölməsi</v>
          </cell>
          <cell r="F1748" t="str">
            <v>Mütəxəssis</v>
          </cell>
          <cell r="G1748" t="str">
            <v>A</v>
          </cell>
          <cell r="H1748">
            <v>45344</v>
          </cell>
        </row>
        <row r="1749">
          <cell r="B1749" t="str">
            <v>Salehova Səbinə Əhməd</v>
          </cell>
          <cell r="C1749" t="str">
            <v>Satış kanalları departamenti</v>
          </cell>
          <cell r="D1749" t="str">
            <v>Birbaşa satış və xidmət şöbəsi</v>
          </cell>
          <cell r="E1749" t="str">
            <v>Yerində Xidmət bölməsi</v>
          </cell>
          <cell r="F1749" t="str">
            <v>Mütəxəssis</v>
          </cell>
          <cell r="G1749" t="str">
            <v>A</v>
          </cell>
          <cell r="H1749">
            <v>45489</v>
          </cell>
        </row>
        <row r="1750">
          <cell r="B1750" t="str">
            <v>Əhmədova Səbinə Şirzad</v>
          </cell>
          <cell r="C1750" t="str">
            <v>Satış kanalları departamenti</v>
          </cell>
          <cell r="D1750" t="str">
            <v>Birbaşa satış və xidmət şöbəsi</v>
          </cell>
          <cell r="E1750" t="str">
            <v>Yerində Xidmət bölməsi</v>
          </cell>
          <cell r="F1750" t="str">
            <v>Mütəxəssis</v>
          </cell>
          <cell r="G1750" t="str">
            <v>A</v>
          </cell>
          <cell r="H1750">
            <v>45526</v>
          </cell>
        </row>
        <row r="1751">
          <cell r="B1751" t="str">
            <v>Quliyev Emil Əsgər</v>
          </cell>
          <cell r="C1751" t="str">
            <v>Satış kanalları departamenti</v>
          </cell>
          <cell r="D1751" t="str">
            <v>Birbaşa satış və xidmət şöbəsi</v>
          </cell>
          <cell r="E1751" t="str">
            <v>Yerində Xidmət bölməsi</v>
          </cell>
          <cell r="F1751" t="str">
            <v>Mütəxəssis</v>
          </cell>
          <cell r="G1751" t="str">
            <v>A</v>
          </cell>
          <cell r="H1751">
            <v>45694</v>
          </cell>
        </row>
        <row r="1752">
          <cell r="B1752" t="str">
            <v>Yaqubova Səbinə Natiq</v>
          </cell>
          <cell r="C1752" t="str">
            <v>Satış kanalları departamenti</v>
          </cell>
          <cell r="D1752" t="str">
            <v>Birbaşa satış və xidmət şöbəsi</v>
          </cell>
          <cell r="E1752" t="str">
            <v>Yerində Xidmət bölməsi</v>
          </cell>
          <cell r="F1752" t="str">
            <v>Mütəxəssis</v>
          </cell>
          <cell r="G1752" t="str">
            <v>A</v>
          </cell>
          <cell r="H1752">
            <v>45699</v>
          </cell>
        </row>
        <row r="1753">
          <cell r="B1753" t="str">
            <v>Ağayev Aiyət Sakit</v>
          </cell>
          <cell r="C1753" t="str">
            <v>Satış kanalları departamenti</v>
          </cell>
          <cell r="D1753" t="str">
            <v>Birbaşa satış və xidmət şöbəsi</v>
          </cell>
          <cell r="E1753" t="str">
            <v>Yerində Xidmət bölməsi</v>
          </cell>
          <cell r="F1753" t="str">
            <v>Mütəxəssis (Gəncə zonası üzrə)</v>
          </cell>
          <cell r="G1753" t="str">
            <v>A</v>
          </cell>
          <cell r="H1753">
            <v>45709</v>
          </cell>
        </row>
        <row r="1754">
          <cell r="B1754" t="str">
            <v>Hüseynov Sahil Surxay</v>
          </cell>
          <cell r="C1754" t="str">
            <v>Satış kanalları departamenti</v>
          </cell>
          <cell r="D1754" t="str">
            <v>Birbaşa satış və xidmət şöbəsi</v>
          </cell>
          <cell r="E1754" t="str">
            <v>Yerində Xidmət bölməsi</v>
          </cell>
          <cell r="F1754" t="str">
            <v>Mütəxəssis</v>
          </cell>
          <cell r="G1754" t="str">
            <v>A</v>
          </cell>
          <cell r="H1754">
            <v>45730</v>
          </cell>
        </row>
        <row r="1755">
          <cell r="B1755" t="str">
            <v>Salahov Bəymurad Xudaverdi</v>
          </cell>
          <cell r="C1755" t="str">
            <v>Satış kanalları departamenti</v>
          </cell>
          <cell r="D1755" t="str">
            <v>Birbaşa satış və xidmət şöbəsi</v>
          </cell>
          <cell r="E1755" t="str">
            <v>Yerində Xidmət bölməsi</v>
          </cell>
          <cell r="F1755" t="str">
            <v>Mütəxəssis</v>
          </cell>
          <cell r="G1755" t="str">
            <v>A</v>
          </cell>
          <cell r="H1755">
            <v>45769</v>
          </cell>
        </row>
        <row r="1756">
          <cell r="B1756" t="str">
            <v>Ələkbərov Zeynal Rasim</v>
          </cell>
          <cell r="C1756" t="str">
            <v>Satış kanalları departamenti</v>
          </cell>
          <cell r="D1756" t="str">
            <v>Birbaşa satış və xidmət şöbəsi</v>
          </cell>
          <cell r="E1756" t="str">
            <v>Yerində Xidmət bölməsi</v>
          </cell>
          <cell r="F1756" t="str">
            <v>Mütəxəssis</v>
          </cell>
          <cell r="G1756" t="str">
            <v>A</v>
          </cell>
          <cell r="H1756">
            <v>45769</v>
          </cell>
        </row>
        <row r="1757">
          <cell r="B1757" t="str">
            <v>Əhmədova Roza Təvəkgül</v>
          </cell>
          <cell r="C1757" t="str">
            <v>Satış kanalları departamenti</v>
          </cell>
          <cell r="D1757" t="str">
            <v>Birbaşa satış və xidmət şöbəsi</v>
          </cell>
          <cell r="E1757" t="str">
            <v>Yerində Xidmət bölməsi</v>
          </cell>
          <cell r="F1757" t="str">
            <v>Mütəxəssis</v>
          </cell>
          <cell r="G1757" t="str">
            <v>A</v>
          </cell>
          <cell r="H1757">
            <v>45770</v>
          </cell>
        </row>
        <row r="1758">
          <cell r="B1758" t="str">
            <v>Babazadə Qəmər Seyfəddin</v>
          </cell>
          <cell r="C1758" t="str">
            <v>Satış kanalları departamenti</v>
          </cell>
          <cell r="D1758" t="str">
            <v>Birbaşa satış və xidmət şöbəsi</v>
          </cell>
          <cell r="E1758" t="str">
            <v>Yerində Xidmət bölməsi</v>
          </cell>
          <cell r="F1758" t="str">
            <v>Mütəxəssis</v>
          </cell>
          <cell r="G1758" t="str">
            <v>A</v>
          </cell>
          <cell r="H1758">
            <v>45783</v>
          </cell>
        </row>
        <row r="1759">
          <cell r="B1759" t="str">
            <v>Səmədov İxtiyar Vüqar</v>
          </cell>
          <cell r="C1759" t="str">
            <v>Satış kanalları departamenti</v>
          </cell>
          <cell r="D1759" t="str">
            <v>Birbaşa satış və xidmət şöbəsi</v>
          </cell>
          <cell r="E1759" t="str">
            <v>Yerində Xidmət bölməsi</v>
          </cell>
          <cell r="F1759" t="str">
            <v>Mütəxəssis</v>
          </cell>
          <cell r="G1759" t="str">
            <v>A</v>
          </cell>
          <cell r="H1759">
            <v>45791</v>
          </cell>
        </row>
        <row r="1760">
          <cell r="B1760" t="str">
            <v>Əlizadə Ziya Şükrəm</v>
          </cell>
          <cell r="C1760" t="str">
            <v>Satış kanalları departamenti</v>
          </cell>
          <cell r="D1760" t="str">
            <v>Birbaşa satış və xidmət şöbəsi</v>
          </cell>
          <cell r="E1760" t="str">
            <v>Yerində Xidmət bölməsi</v>
          </cell>
          <cell r="F1760" t="str">
            <v>Mütəxəssis</v>
          </cell>
          <cell r="G1760" t="str">
            <v>A</v>
          </cell>
          <cell r="H1760">
            <v>45791</v>
          </cell>
        </row>
        <row r="1761">
          <cell r="B1761" t="str">
            <v>Dayıyev Xəyal İslam</v>
          </cell>
          <cell r="C1761" t="str">
            <v>Satış kanalları departamenti</v>
          </cell>
          <cell r="D1761" t="str">
            <v>Birbaşa satış və xidmət şöbəsi</v>
          </cell>
          <cell r="E1761" t="str">
            <v>Yerində Xidmət bölməsi</v>
          </cell>
          <cell r="F1761" t="str">
            <v>Mütəxəssis</v>
          </cell>
          <cell r="G1761" t="str">
            <v>A</v>
          </cell>
          <cell r="H1761">
            <v>45796</v>
          </cell>
        </row>
        <row r="1762">
          <cell r="B1762" t="str">
            <v>Şamilov Kənan Vidadi</v>
          </cell>
          <cell r="C1762" t="str">
            <v>Satış kanalları departamenti</v>
          </cell>
          <cell r="D1762" t="str">
            <v>Birbaşa satış və xidmət şöbəsi</v>
          </cell>
          <cell r="E1762" t="str">
            <v>Yerində Xidmət bölməsi</v>
          </cell>
          <cell r="F1762" t="str">
            <v>Mütəxəssis</v>
          </cell>
          <cell r="G1762" t="str">
            <v>A</v>
          </cell>
          <cell r="H1762">
            <v>45800</v>
          </cell>
        </row>
        <row r="1763">
          <cell r="B1763" t="str">
            <v>Mikayılov Abbas Arçil</v>
          </cell>
          <cell r="C1763" t="str">
            <v>Satış kanalları departamenti</v>
          </cell>
          <cell r="D1763" t="str">
            <v>Birbaşa satış və xidmət şöbəsi</v>
          </cell>
          <cell r="E1763" t="str">
            <v>Yerində Xidmət bölməsi</v>
          </cell>
          <cell r="F1763" t="str">
            <v>Mütəxəssis</v>
          </cell>
          <cell r="G1763" t="str">
            <v>A</v>
          </cell>
          <cell r="H1763">
            <v>45828</v>
          </cell>
        </row>
        <row r="1764">
          <cell r="B1764" t="str">
            <v>Aslanov Namiq Azər</v>
          </cell>
          <cell r="C1764" t="str">
            <v>Satış kanalları departamenti</v>
          </cell>
          <cell r="D1764" t="str">
            <v>Birbaşa satış və xidmət şöbəsi</v>
          </cell>
          <cell r="E1764" t="str">
            <v>Yerində Xidmət bölməsi</v>
          </cell>
          <cell r="F1764" t="str">
            <v>Kiçik mütəxəssis</v>
          </cell>
          <cell r="G1764" t="str">
            <v>A</v>
          </cell>
          <cell r="H1764">
            <v>45904</v>
          </cell>
        </row>
        <row r="1765">
          <cell r="B1765" t="str">
            <v>Abasova Aygün Rafail</v>
          </cell>
          <cell r="C1765" t="str">
            <v>Satış kanalları departamenti</v>
          </cell>
          <cell r="D1765" t="str">
            <v>Birbaşa satış və xidmət şöbəsi</v>
          </cell>
          <cell r="E1765" t="str">
            <v>Yerində Xidmət bölməsi</v>
          </cell>
          <cell r="F1765" t="str">
            <v>Kiçik mütəxəssis</v>
          </cell>
          <cell r="G1765" t="str">
            <v>A</v>
          </cell>
          <cell r="H1765">
            <v>46266</v>
          </cell>
        </row>
        <row r="1766">
          <cell r="B1766" t="str">
            <v>Mənəfli Nərmin Rəşad</v>
          </cell>
          <cell r="C1766" t="str">
            <v>Satış kanalları departamenti</v>
          </cell>
          <cell r="D1766" t="str">
            <v>Birbaşa satış və xidmət şöbəsi</v>
          </cell>
          <cell r="E1766" t="str">
            <v>Yerində Xidmət bölməsi</v>
          </cell>
          <cell r="F1766" t="str">
            <v>Kiçik mütəxəssis</v>
          </cell>
          <cell r="G1766" t="str">
            <v>A</v>
          </cell>
          <cell r="H1766">
            <v>46266</v>
          </cell>
        </row>
        <row r="1767">
          <cell r="B1767" t="str">
            <v>Əhmədova Şəhla Ruslan</v>
          </cell>
          <cell r="C1767" t="str">
            <v>Satış kanalları departamenti</v>
          </cell>
          <cell r="D1767" t="str">
            <v>Birbaşa satış və xidmət şöbəsi</v>
          </cell>
          <cell r="E1767" t="str">
            <v>Yerində Xidmət bölməsi</v>
          </cell>
          <cell r="F1767" t="str">
            <v>Kiçik mütəxəssis</v>
          </cell>
          <cell r="G1767" t="str">
            <v>A</v>
          </cell>
          <cell r="H1767">
            <v>46266</v>
          </cell>
        </row>
        <row r="1768">
          <cell r="B1768" t="str">
            <v>Səfərova Röya Niyaməddin</v>
          </cell>
          <cell r="C1768" t="str">
            <v>Satış kanalları departamenti</v>
          </cell>
          <cell r="D1768" t="str">
            <v>Birbaşa satış və xidmət şöbəsi</v>
          </cell>
          <cell r="E1768" t="str">
            <v>Yerində Xidmət bölməsi</v>
          </cell>
          <cell r="F1768" t="str">
            <v>Kiçik mütəxəssis</v>
          </cell>
          <cell r="G1768" t="str">
            <v>A</v>
          </cell>
          <cell r="H1768">
            <v>46266</v>
          </cell>
        </row>
        <row r="1769">
          <cell r="B1769" t="str">
            <v>Nəzərova Havva Sahib</v>
          </cell>
          <cell r="C1769" t="str">
            <v>Satış kanalları departamenti</v>
          </cell>
          <cell r="D1769" t="str">
            <v>Birbaşa satış və xidmət şöbəsi</v>
          </cell>
          <cell r="E1769" t="str">
            <v>Yerində Xidmət bölməsi</v>
          </cell>
          <cell r="F1769" t="str">
            <v>Kiçik mütəxəssis</v>
          </cell>
          <cell r="G1769" t="str">
            <v>A</v>
          </cell>
          <cell r="H1769">
            <v>46266</v>
          </cell>
        </row>
        <row r="1770">
          <cell r="B1770" t="str">
            <v>Salmanzadə Nuray İntiqam</v>
          </cell>
          <cell r="C1770" t="str">
            <v>Satış kanalları departamenti</v>
          </cell>
          <cell r="D1770" t="str">
            <v>Birbaşa satış və xidmət şöbəsi</v>
          </cell>
          <cell r="E1770" t="str">
            <v>Yerində Xidmət bölməsi</v>
          </cell>
          <cell r="F1770" t="str">
            <v>Kiçik mütəxəssis (0,5 ştat vahidi üzrə)</v>
          </cell>
          <cell r="G1770" t="str">
            <v>A</v>
          </cell>
          <cell r="H1770">
            <v>46279</v>
          </cell>
        </row>
        <row r="1771">
          <cell r="B1771" t="str">
            <v>Quliyeva Duyğu Anar</v>
          </cell>
          <cell r="C1771" t="str">
            <v>Satış kanalları departamenti</v>
          </cell>
          <cell r="D1771" t="str">
            <v>Birbaşa satış və xidmət şöbəsi</v>
          </cell>
          <cell r="E1771" t="str">
            <v>Yerində Xidmət bölməsi</v>
          </cell>
          <cell r="F1771" t="str">
            <v>Kiçik mütəxəssis (0,5 ştat vahidi üzrə)</v>
          </cell>
          <cell r="G1771" t="str">
            <v>A</v>
          </cell>
          <cell r="H1771">
            <v>46279</v>
          </cell>
        </row>
        <row r="1772">
          <cell r="B1772" t="str">
            <v>Hümbətova Gülər Natiq</v>
          </cell>
          <cell r="C1772" t="str">
            <v>Satış kanalları departamenti</v>
          </cell>
          <cell r="D1772" t="str">
            <v>Birbaşa satış və xidmət şöbəsi</v>
          </cell>
          <cell r="E1772" t="str">
            <v>Yerində Xidmət bölməsi</v>
          </cell>
          <cell r="F1772" t="str">
            <v>Kiçik mütəxəssis (0,5 ştat vahidi üzrə)</v>
          </cell>
          <cell r="G1772" t="str">
            <v>A</v>
          </cell>
          <cell r="H1772">
            <v>46279</v>
          </cell>
        </row>
        <row r="1773">
          <cell r="B1773" t="str">
            <v>Əsgərov Sabir Məzahir</v>
          </cell>
          <cell r="C1773" t="str">
            <v>Satış kanalları departamenti</v>
          </cell>
          <cell r="D1773" t="str">
            <v>Birbaşa satış və xidmət şöbəsi</v>
          </cell>
          <cell r="E1773" t="str">
            <v>Yerində Xidmət bölməsi</v>
          </cell>
          <cell r="F1773" t="str">
            <v>Kiçik mütəxəssis (0,5 ştat vahidi üzrə)</v>
          </cell>
          <cell r="G1773" t="str">
            <v>A</v>
          </cell>
          <cell r="H1773">
            <v>46279</v>
          </cell>
        </row>
        <row r="1774">
          <cell r="B1774" t="str">
            <v>Əliyev Anar Elçin</v>
          </cell>
          <cell r="C1774" t="str">
            <v>Satış kanalları departamenti</v>
          </cell>
          <cell r="D1774" t="str">
            <v>Birbaşa satış və xidmət şöbəsi</v>
          </cell>
          <cell r="E1774" t="str">
            <v>Yerində Xidmət bölməsi</v>
          </cell>
          <cell r="F1774" t="str">
            <v>Kiçik mütəxəssis</v>
          </cell>
          <cell r="G1774" t="str">
            <v>A</v>
          </cell>
          <cell r="H1774">
            <v>46279</v>
          </cell>
        </row>
        <row r="1775">
          <cell r="B1775" t="str">
            <v>Məmmədov Tahir Taleh</v>
          </cell>
          <cell r="C1775" t="str">
            <v>Satış kanalları departamenti</v>
          </cell>
          <cell r="D1775" t="str">
            <v>Birbaşa satış və xidmət şöbəsi</v>
          </cell>
          <cell r="E1775" t="str">
            <v>Yerində Xidmət bölməsi</v>
          </cell>
          <cell r="F1775" t="str">
            <v>Kiçik mütəxəssis (0,5 ştat vahidi üzrə)</v>
          </cell>
          <cell r="G1775" t="str">
            <v>A</v>
          </cell>
          <cell r="H1775">
            <v>46279</v>
          </cell>
        </row>
        <row r="1776">
          <cell r="B1776" t="str">
            <v>Məmmədova Nurcan Eldar</v>
          </cell>
          <cell r="C1776" t="str">
            <v>Satış kanalları departamenti</v>
          </cell>
          <cell r="D1776" t="str">
            <v>Birbaşa satış və xidmət şöbəsi</v>
          </cell>
          <cell r="E1776" t="str">
            <v>Yerində Xidmət bölməsi</v>
          </cell>
          <cell r="F1776" t="str">
            <v>Kiçik mütəxəssis (0,5 ştat vahidi üzrə)</v>
          </cell>
          <cell r="G1776" t="str">
            <v>A</v>
          </cell>
          <cell r="H1776">
            <v>46279</v>
          </cell>
        </row>
        <row r="1777">
          <cell r="B1777" t="str">
            <v>Əzizova Nəzrin Təhsin</v>
          </cell>
          <cell r="C1777" t="str">
            <v>Satış kanalları departamenti</v>
          </cell>
          <cell r="D1777" t="str">
            <v>Birbaşa satış və xidmət şöbəsi</v>
          </cell>
          <cell r="E1777" t="str">
            <v>Yerində Xidmət bölməsi</v>
          </cell>
          <cell r="F1777" t="str">
            <v>Kiçik mütəxəssis (0,5 ştat vahidi üzrə)</v>
          </cell>
          <cell r="G1777" t="str">
            <v>A</v>
          </cell>
          <cell r="H1777">
            <v>46279</v>
          </cell>
        </row>
        <row r="1778">
          <cell r="B1778" t="str">
            <v>Əlizadə Səbinə Nizami</v>
          </cell>
          <cell r="C1778" t="str">
            <v>Satış kanalları departamenti</v>
          </cell>
          <cell r="D1778" t="str">
            <v>Birbaşa satış və xidmət şöbəsi</v>
          </cell>
          <cell r="E1778" t="str">
            <v>Yerində Xidmət bölməsi</v>
          </cell>
          <cell r="F1778" t="str">
            <v>Kiçik mütəxəssis (0,5 ştat vahidi üzrə)</v>
          </cell>
          <cell r="G1778" t="str">
            <v>A</v>
          </cell>
          <cell r="H1778">
            <v>46279</v>
          </cell>
        </row>
        <row r="1779">
          <cell r="B1779" t="str">
            <v>Əlili Aytac Nemət</v>
          </cell>
          <cell r="C1779" t="str">
            <v>Satış kanalları departamenti</v>
          </cell>
          <cell r="D1779" t="str">
            <v>Birbaşa satış və xidmət şöbəsi</v>
          </cell>
          <cell r="E1779" t="str">
            <v>Yerində Xidmət bölməsi</v>
          </cell>
          <cell r="F1779" t="str">
            <v>Kiçik mütəxəssis (0,5 ştat vahidi üzrə)</v>
          </cell>
          <cell r="G1779" t="str">
            <v>A</v>
          </cell>
          <cell r="H1779">
            <v>46279</v>
          </cell>
        </row>
        <row r="1780">
          <cell r="B1780" t="str">
            <v>Qasımov Samir Səxavət</v>
          </cell>
          <cell r="C1780" t="str">
            <v>Satış kanalları departamenti</v>
          </cell>
          <cell r="D1780" t="str">
            <v>Birbaşa satış və xidmət şöbəsi</v>
          </cell>
          <cell r="E1780" t="str">
            <v>Yerində Xidmət bölməsi</v>
          </cell>
          <cell r="F1780" t="str">
            <v>Kiçik mütəxəssis (0,5 ştat vahidi üzrə)</v>
          </cell>
          <cell r="G1780" t="str">
            <v>A</v>
          </cell>
          <cell r="H1780">
            <v>46279</v>
          </cell>
        </row>
        <row r="1781">
          <cell r="B1781" t="str">
            <v>Rəhimli Fatimə Azər</v>
          </cell>
          <cell r="C1781" t="str">
            <v>Satış kanalları departamenti</v>
          </cell>
          <cell r="D1781" t="str">
            <v>Birbaşa satış və xidmət şöbəsi</v>
          </cell>
          <cell r="E1781" t="str">
            <v>Yerində Xidmət bölməsi</v>
          </cell>
          <cell r="F1781" t="str">
            <v>Kiçik mütəxəssis (0,5 ştat vahidi üzrə)</v>
          </cell>
          <cell r="G1781" t="str">
            <v>A</v>
          </cell>
          <cell r="H1781">
            <v>46279</v>
          </cell>
        </row>
        <row r="1782">
          <cell r="B1782" t="str">
            <v>Mahmudova Fatimə Əli</v>
          </cell>
          <cell r="C1782" t="str">
            <v>Satış kanalları departamenti</v>
          </cell>
          <cell r="D1782" t="str">
            <v>Birbaşa satış və xidmət şöbəsi</v>
          </cell>
          <cell r="E1782" t="str">
            <v>Yerində Xidmət bölməsi</v>
          </cell>
          <cell r="F1782" t="str">
            <v>Kiçik mütəxəssis (0,5 ştat vahidi üzrə)</v>
          </cell>
          <cell r="G1782" t="str">
            <v>A</v>
          </cell>
          <cell r="H1782">
            <v>46279</v>
          </cell>
        </row>
        <row r="1783">
          <cell r="B1783" t="str">
            <v>Aslanova Nigar Elnur</v>
          </cell>
          <cell r="C1783" t="str">
            <v>Satış kanalları departamenti</v>
          </cell>
          <cell r="D1783" t="str">
            <v>Birbaşa satış və xidmət şöbəsi</v>
          </cell>
          <cell r="E1783" t="str">
            <v>Yerində Xidmət bölməsi</v>
          </cell>
          <cell r="F1783" t="str">
            <v>Kiçik mütəxəssis (0,5 ştat vahidi üzrə)</v>
          </cell>
          <cell r="G1783" t="str">
            <v>A</v>
          </cell>
          <cell r="H1783">
            <v>46279</v>
          </cell>
        </row>
        <row r="1784">
          <cell r="B1784" t="str">
            <v>Alcanova Ummahanı Hikmət</v>
          </cell>
          <cell r="C1784" t="str">
            <v>Satış kanalları departamenti</v>
          </cell>
          <cell r="D1784" t="str">
            <v>Birbaşa satış və xidmət şöbəsi</v>
          </cell>
          <cell r="E1784" t="str">
            <v>Yerində Xidmət bölməsi</v>
          </cell>
          <cell r="F1784" t="str">
            <v>Kiçik mütəxəssis (0,5 ştat vahidi üzrə)</v>
          </cell>
          <cell r="G1784" t="str">
            <v>A</v>
          </cell>
          <cell r="H1784">
            <v>46279</v>
          </cell>
        </row>
        <row r="1785">
          <cell r="B1785" t="str">
            <v>Qurbanlı Arif Ceyhun</v>
          </cell>
          <cell r="C1785" t="str">
            <v>Satış kanalları departamenti</v>
          </cell>
          <cell r="D1785" t="str">
            <v>Birbaşa satış və xidmət şöbəsi</v>
          </cell>
          <cell r="E1785" t="str">
            <v>Yerində Xidmət bölməsi</v>
          </cell>
          <cell r="F1785" t="str">
            <v>Kiçik mütəxəssis (0,5 ştat vahidi üzrə)</v>
          </cell>
          <cell r="G1785" t="str">
            <v>A</v>
          </cell>
          <cell r="H1785">
            <v>46279</v>
          </cell>
        </row>
        <row r="1786">
          <cell r="B1786" t="str">
            <v>Qənbərov Pənah İdris</v>
          </cell>
          <cell r="C1786" t="str">
            <v>Satış kanalları departamenti</v>
          </cell>
          <cell r="D1786" t="str">
            <v>Birbaşa satış və xidmət şöbəsi</v>
          </cell>
          <cell r="E1786" t="str">
            <v>Yerində Xidmət bölməsi</v>
          </cell>
          <cell r="F1786" t="str">
            <v>Kiçik mütəxəssis (0,5 ştat vahidi üzrə)</v>
          </cell>
          <cell r="G1786" t="str">
            <v>A</v>
          </cell>
          <cell r="H1786">
            <v>46279</v>
          </cell>
        </row>
        <row r="1787">
          <cell r="B1787" t="str">
            <v>Yediyarova Arzu Murad</v>
          </cell>
          <cell r="C1787" t="str">
            <v>Satış kanalları departamenti</v>
          </cell>
          <cell r="D1787" t="str">
            <v>Birbaşa satış və xidmət şöbəsi</v>
          </cell>
          <cell r="E1787" t="str">
            <v>Yerində Xidmət bölməsi</v>
          </cell>
          <cell r="F1787" t="str">
            <v>Kiçik mütəxəssis (0,5 ştat vahidi üzrə)</v>
          </cell>
          <cell r="G1787" t="str">
            <v>A</v>
          </cell>
          <cell r="H1787">
            <v>46279</v>
          </cell>
        </row>
        <row r="1788">
          <cell r="B1788" t="str">
            <v>Qorçuyeva Səlmi Yolçu</v>
          </cell>
          <cell r="C1788" t="str">
            <v>Satış kanalları departamenti</v>
          </cell>
          <cell r="D1788" t="str">
            <v>Birbaşa satış və xidmət şöbəsi</v>
          </cell>
          <cell r="E1788" t="str">
            <v>Yerində Xidmət bölməsi</v>
          </cell>
          <cell r="F1788" t="str">
            <v>Kiçik mütəxəssis (0,5 ştat vahidi üzrə)</v>
          </cell>
          <cell r="G1788" t="str">
            <v>A</v>
          </cell>
          <cell r="H1788">
            <v>46279</v>
          </cell>
        </row>
        <row r="1789">
          <cell r="B1789" t="str">
            <v>İbrahimli Tural Şahin</v>
          </cell>
          <cell r="C1789" t="str">
            <v>Satış kanalları departamenti</v>
          </cell>
          <cell r="D1789" t="str">
            <v>Birbaşa satış və xidmət şöbəsi</v>
          </cell>
          <cell r="E1789" t="str">
            <v>Yerində Xidmət bölməsi</v>
          </cell>
          <cell r="F1789" t="str">
            <v>Kiçik mütəxəssis</v>
          </cell>
          <cell r="G1789" t="str">
            <v>A</v>
          </cell>
          <cell r="H1789">
            <v>45954</v>
          </cell>
        </row>
        <row r="1790">
          <cell r="B1790" t="str">
            <v>Məhərrəmova Hacıyeva Səidə Mürvət</v>
          </cell>
          <cell r="C1790" t="str">
            <v>Satış kanalları departamenti</v>
          </cell>
          <cell r="D1790" t="str">
            <v>Birbaşa satış və xidmət şöbəsi</v>
          </cell>
          <cell r="E1790" t="str">
            <v>Yerində Xidmət bölməsi</v>
          </cell>
          <cell r="F1790" t="str">
            <v>Kiçik mütəxəssis</v>
          </cell>
          <cell r="G1790" t="str">
            <v>A</v>
          </cell>
          <cell r="H1790">
            <v>45964</v>
          </cell>
        </row>
        <row r="1791">
          <cell r="B1791" t="str">
            <v>Bayramlı Sərxan Zaur</v>
          </cell>
          <cell r="C1791" t="str">
            <v>Satış kanalları departamenti</v>
          </cell>
          <cell r="D1791" t="str">
            <v>Birbaşa satış və xidmət şöbəsi</v>
          </cell>
          <cell r="E1791" t="str">
            <v>Yerində Xidmət bölməsi</v>
          </cell>
          <cell r="F1791" t="str">
            <v>Kiçik mütəxəssis</v>
          </cell>
          <cell r="G1791" t="str">
            <v>A</v>
          </cell>
          <cell r="H1791">
            <v>45996</v>
          </cell>
        </row>
        <row r="1792">
          <cell r="B1792" t="str">
            <v>Musayeva Nəzrin Elxan</v>
          </cell>
          <cell r="C1792" t="str">
            <v>Satış kanalları departamenti</v>
          </cell>
          <cell r="D1792" t="str">
            <v>Birbaşa satış və xidmət şöbəsi</v>
          </cell>
          <cell r="E1792" t="str">
            <v>Yerində Xidmət bölməsi</v>
          </cell>
          <cell r="F1792" t="str">
            <v>Kiçik mütəxəssis</v>
          </cell>
          <cell r="G1792" t="str">
            <v>A</v>
          </cell>
          <cell r="H1792">
            <v>46043</v>
          </cell>
        </row>
        <row r="1793">
          <cell r="B1793" t="str">
            <v>Məmmədov Elçin Tahir</v>
          </cell>
          <cell r="C1793" t="str">
            <v>Satış kanalları departamenti</v>
          </cell>
          <cell r="D1793" t="str">
            <v>Birbaşa satış və xidmət şöbəsi</v>
          </cell>
          <cell r="E1793" t="str">
            <v>Yerində Xidmət bölməsi</v>
          </cell>
          <cell r="F1793" t="str">
            <v>Kiçik mütəxəssis</v>
          </cell>
          <cell r="G1793" t="str">
            <v>A</v>
          </cell>
          <cell r="H1793">
            <v>45876</v>
          </cell>
        </row>
        <row r="1794">
          <cell r="B1794" t="str">
            <v>Əliyev Seymur Əkbər</v>
          </cell>
          <cell r="C1794" t="str">
            <v>Satış kanalları departamenti</v>
          </cell>
          <cell r="D1794" t="str">
            <v>Birbaşa satış və xidmət şöbəsi</v>
          </cell>
          <cell r="E1794" t="str">
            <v>Yerində Xidmət bölməsi</v>
          </cell>
          <cell r="F1794" t="str">
            <v>Kiçik mütəxəssis</v>
          </cell>
          <cell r="G1794" t="str">
            <v>A</v>
          </cell>
          <cell r="H1794">
            <v>45882</v>
          </cell>
        </row>
        <row r="1795">
          <cell r="B1795" t="str">
            <v>Səfərli Məhyəddin Oktay</v>
          </cell>
          <cell r="C1795" t="str">
            <v>Satış kanalları departamenti</v>
          </cell>
          <cell r="D1795" t="str">
            <v>Birbaşa satış və xidmət şöbəsi</v>
          </cell>
          <cell r="E1795" t="str">
            <v>Yerində Xidmət bölməsi</v>
          </cell>
          <cell r="F1795" t="str">
            <v>Kiçik mütəxəssis</v>
          </cell>
          <cell r="G1795" t="str">
            <v>A</v>
          </cell>
          <cell r="H1795">
            <v>46255</v>
          </cell>
        </row>
        <row r="1796">
          <cell r="B1796" t="str">
            <v>Əliyev İlham Sədaqət</v>
          </cell>
          <cell r="C1796" t="str">
            <v>Satış kanalları departamenti</v>
          </cell>
          <cell r="D1796" t="str">
            <v>Birbaşa satış və xidmət şöbəsi</v>
          </cell>
          <cell r="E1796" t="str">
            <v>Yerində Xidmət bölməsi</v>
          </cell>
          <cell r="F1796" t="str">
            <v>Kiçik mütəxəssis</v>
          </cell>
          <cell r="G1796" t="str">
            <v>A</v>
          </cell>
          <cell r="H1796">
            <v>46210</v>
          </cell>
        </row>
        <row r="1797">
          <cell r="B1797" t="str">
            <v>Qətəati Elvin Sirus</v>
          </cell>
          <cell r="C1797" t="str">
            <v>Satış kanalları departamenti</v>
          </cell>
          <cell r="D1797" t="str">
            <v>Birbaşa satış və xidmət şöbəsi</v>
          </cell>
          <cell r="E1797" t="str">
            <v>Yerində Xidmət bölməsi</v>
          </cell>
          <cell r="F1797" t="str">
            <v>Kiçik mütəxəssis</v>
          </cell>
          <cell r="G1797" t="str">
            <v>A</v>
          </cell>
          <cell r="H1797">
            <v>46225</v>
          </cell>
        </row>
        <row r="1798">
          <cell r="B1798" t="str">
            <v>Quliyeva Əsmər Aqşin</v>
          </cell>
          <cell r="C1798" t="str">
            <v>Satış kanalları departamenti</v>
          </cell>
          <cell r="D1798" t="str">
            <v>Birbaşa satış və xidmət şöbəsi</v>
          </cell>
          <cell r="E1798" t="str">
            <v>Yerində Xidmət bölməsi</v>
          </cell>
          <cell r="F1798" t="str">
            <v>Kiçik mütəxəssis</v>
          </cell>
          <cell r="G1798" t="str">
            <v>A</v>
          </cell>
          <cell r="H1798">
            <v>46225</v>
          </cell>
        </row>
        <row r="1799">
          <cell r="B1799" t="str">
            <v>Yusifov Nicat Azər</v>
          </cell>
          <cell r="C1799" t="str">
            <v>Satış kanalları departamenti</v>
          </cell>
          <cell r="D1799" t="str">
            <v>Birbaşa satış və xidmət şöbəsi</v>
          </cell>
          <cell r="E1799" t="str">
            <v>Yerində Xidmət bölməsi</v>
          </cell>
          <cell r="F1799" t="str">
            <v>Kiçik mütəxəssis</v>
          </cell>
          <cell r="G1799" t="str">
            <v>A</v>
          </cell>
          <cell r="H1799">
            <v>46226</v>
          </cell>
        </row>
        <row r="1800">
          <cell r="B1800" t="str">
            <v>Qarayusifova Svetlana Əzizxan</v>
          </cell>
          <cell r="C1800" t="str">
            <v>Satış kanalları departamenti</v>
          </cell>
          <cell r="D1800" t="str">
            <v>Birbaşa satış və xidmət şöbəsi</v>
          </cell>
          <cell r="E1800" t="str">
            <v>Yerində Xidmət bölməsi</v>
          </cell>
          <cell r="F1800" t="str">
            <v>Kiçik mütəxəssis</v>
          </cell>
          <cell r="G1800" t="str">
            <v>A</v>
          </cell>
          <cell r="H1800">
            <v>46226</v>
          </cell>
        </row>
        <row r="1801">
          <cell r="B1801" t="str">
            <v>Kərimzadə Rəvan Rövşən</v>
          </cell>
          <cell r="C1801" t="str">
            <v>Satış kanalları departamenti</v>
          </cell>
          <cell r="D1801" t="str">
            <v>Birbaşa satış və xidmət şöbəsi</v>
          </cell>
          <cell r="E1801" t="str">
            <v>Yerində Xidmət bölməsi</v>
          </cell>
          <cell r="F1801" t="str">
            <v>Kiçik mütəxəssis</v>
          </cell>
          <cell r="G1801" t="str">
            <v>A</v>
          </cell>
          <cell r="H1801">
            <v>46163</v>
          </cell>
        </row>
        <row r="1802">
          <cell r="B1802" t="str">
            <v>Vəlizadə Anar Allahverdi</v>
          </cell>
          <cell r="C1802" t="str">
            <v>Satış kanalları departamenti</v>
          </cell>
          <cell r="D1802" t="str">
            <v>Birbaşa satış və xidmət şöbəsi</v>
          </cell>
          <cell r="E1802" t="str">
            <v>Yerində Xidmət bölməsi</v>
          </cell>
          <cell r="F1802" t="str">
            <v>Kiçik mütəxəssis</v>
          </cell>
          <cell r="G1802" t="str">
            <v>A</v>
          </cell>
          <cell r="H1802">
            <v>46163</v>
          </cell>
        </row>
        <row r="1803">
          <cell r="B1803" t="str">
            <v>Yusubova Günay Kamil</v>
          </cell>
          <cell r="C1803" t="str">
            <v>Satış kanalları departamenti</v>
          </cell>
          <cell r="D1803" t="str">
            <v>Birbaşa satış və xidmət şöbəsi</v>
          </cell>
          <cell r="E1803" t="str">
            <v>Yerində Xidmət bölməsi</v>
          </cell>
          <cell r="F1803" t="str">
            <v>Kiçik mütəxəssis</v>
          </cell>
          <cell r="G1803" t="str">
            <v>A</v>
          </cell>
          <cell r="H1803">
            <v>46163</v>
          </cell>
        </row>
        <row r="1804">
          <cell r="B1804" t="str">
            <v>Rzayeva Ayşən Maşallah</v>
          </cell>
          <cell r="C1804" t="str">
            <v>Satış kanalları departamenti</v>
          </cell>
          <cell r="D1804" t="str">
            <v>Birbaşa satış və xidmət şöbəsi</v>
          </cell>
          <cell r="E1804" t="str">
            <v>Yerində Xidmət bölməsi</v>
          </cell>
          <cell r="F1804" t="str">
            <v>Kiçik mütəxəssis</v>
          </cell>
          <cell r="G1804" t="str">
            <v>A</v>
          </cell>
          <cell r="H1804">
            <v>46043</v>
          </cell>
        </row>
        <row r="1805">
          <cell r="B1805" t="str">
            <v>Musayev Ülvi Füzuli</v>
          </cell>
          <cell r="C1805" t="str">
            <v>Satış kanalları departamenti</v>
          </cell>
          <cell r="D1805" t="str">
            <v>Birbaşa satış və xidmət şöbəsi</v>
          </cell>
          <cell r="E1805" t="str">
            <v>Yerində Xidmət bölməsi</v>
          </cell>
          <cell r="F1805" t="str">
            <v>Mütəxəssis (Gəncə zonası üzrə)</v>
          </cell>
          <cell r="G1805" t="str">
            <v>A</v>
          </cell>
          <cell r="H1805">
            <v>45722</v>
          </cell>
        </row>
        <row r="1806">
          <cell r="B1806" t="str">
            <v>Mustafayeva Sultanə Namiq</v>
          </cell>
          <cell r="C1806" t="str">
            <v>Satış kanalları departamenti</v>
          </cell>
          <cell r="D1806" t="str">
            <v>Birbaşa satış və xidmət şöbəsi</v>
          </cell>
          <cell r="E1806" t="str">
            <v>Yerində Xidmət bölməsi</v>
          </cell>
          <cell r="F1806" t="str">
            <v>Kiçik mütəxəssis (Gəncə zonası üzrə)</v>
          </cell>
          <cell r="G1806" t="str">
            <v>A</v>
          </cell>
          <cell r="H1806">
            <v>46175</v>
          </cell>
        </row>
        <row r="1807">
          <cell r="B1807" t="str">
            <v>Camalov Məhəmməd Qibləli</v>
          </cell>
          <cell r="C1807" t="str">
            <v>Satış kanalları departamenti</v>
          </cell>
          <cell r="D1807" t="str">
            <v>Birbaşa satış və xidmət şöbəsi</v>
          </cell>
          <cell r="E1807" t="str">
            <v>Yerində Xidmət bölməsi</v>
          </cell>
          <cell r="F1807" t="str">
            <v>Kiçik mütəxəssis</v>
          </cell>
          <cell r="G1807" t="str">
            <v>A</v>
          </cell>
          <cell r="H1807">
            <v>46191</v>
          </cell>
        </row>
        <row r="1808">
          <cell r="B1808" t="str">
            <v>Əli Zadə Sənan Fuad</v>
          </cell>
          <cell r="C1808" t="str">
            <v>Satış kanalları departamenti</v>
          </cell>
          <cell r="D1808" t="str">
            <v>Birbaşa satış və xidmət şöbəsi</v>
          </cell>
          <cell r="E1808" t="str">
            <v>Yerində xidmət bölməsi</v>
          </cell>
          <cell r="F1808" t="str">
            <v>Baş mütəxəssis</v>
          </cell>
          <cell r="G1808" t="str">
            <v>A</v>
          </cell>
          <cell r="H1808">
            <v>45566</v>
          </cell>
        </row>
        <row r="1809">
          <cell r="B1809" t="str">
            <v>Musazadə Ülvi Mahir</v>
          </cell>
          <cell r="C1809" t="str">
            <v>Satış kanalları departamenti</v>
          </cell>
          <cell r="D1809" t="str">
            <v>Birbaşa satış və xidmət şöbəsi</v>
          </cell>
          <cell r="E1809" t="str">
            <v>Yerində xidmət bölməsi</v>
          </cell>
          <cell r="F1809" t="str">
            <v>Mütəxəssis</v>
          </cell>
          <cell r="G1809" t="str">
            <v>A</v>
          </cell>
          <cell r="H1809">
            <v>45363</v>
          </cell>
        </row>
        <row r="1810">
          <cell r="B1810" t="str">
            <v>Ağayev Ceyhun Vaqif</v>
          </cell>
          <cell r="C1810" t="str">
            <v>Satış kanalları departamenti</v>
          </cell>
          <cell r="D1810" t="str">
            <v>Əlaqə mərkəzi şöbəsi</v>
          </cell>
          <cell r="E1810" t="str">
            <v>#</v>
          </cell>
          <cell r="F1810" t="str">
            <v>Şöbə müdiri</v>
          </cell>
          <cell r="G1810" t="str">
            <v>A</v>
          </cell>
          <cell r="H1810">
            <v>44410</v>
          </cell>
        </row>
        <row r="1811">
          <cell r="B1811" t="str">
            <v>Mehdiyeva Töhfə Nazim</v>
          </cell>
          <cell r="C1811" t="str">
            <v>Satış kanalları departamenti</v>
          </cell>
          <cell r="D1811" t="str">
            <v>Əlaqə mərkəzi şöbəsi</v>
          </cell>
          <cell r="E1811" t="str">
            <v>#</v>
          </cell>
          <cell r="F1811" t="str">
            <v>Aparıcı mütəxəssis</v>
          </cell>
          <cell r="G1811" t="str">
            <v>A</v>
          </cell>
          <cell r="H1811">
            <v>44538</v>
          </cell>
        </row>
        <row r="1812">
          <cell r="B1812" t="str">
            <v>Səlimli Aydan Aydın</v>
          </cell>
          <cell r="C1812" t="str">
            <v>Satış kanalları departamenti</v>
          </cell>
          <cell r="D1812" t="str">
            <v>Əlaqə mərkəzi şöbəsi</v>
          </cell>
          <cell r="E1812" t="str">
            <v>#</v>
          </cell>
          <cell r="F1812" t="str">
            <v>Aparıcı mütəxəssis</v>
          </cell>
          <cell r="G1812" t="str">
            <v>A</v>
          </cell>
          <cell r="H1812">
            <v>44671</v>
          </cell>
        </row>
        <row r="1813">
          <cell r="B1813" t="str">
            <v>Əzimov Elvin Şadulla</v>
          </cell>
          <cell r="C1813" t="str">
            <v>Satış kanalları departamenti</v>
          </cell>
          <cell r="D1813" t="str">
            <v>Əlaqə mərkəzi şöbəsi</v>
          </cell>
          <cell r="E1813" t="str">
            <v>#</v>
          </cell>
          <cell r="F1813" t="str">
            <v>Aparıcı mütəxəssis</v>
          </cell>
          <cell r="G1813" t="str">
            <v>A</v>
          </cell>
          <cell r="H1813">
            <v>44713</v>
          </cell>
        </row>
        <row r="1814">
          <cell r="B1814" t="str">
            <v>Haşımov Telman Ağarəfi</v>
          </cell>
          <cell r="C1814" t="str">
            <v>Satış kanalları departamenti</v>
          </cell>
          <cell r="D1814" t="str">
            <v>Əlaqə mərkəzi şöbəsi</v>
          </cell>
          <cell r="E1814" t="str">
            <v>#</v>
          </cell>
          <cell r="F1814" t="str">
            <v>Aparıcı mütəxəssis</v>
          </cell>
          <cell r="G1814" t="str">
            <v>A</v>
          </cell>
          <cell r="H1814">
            <v>45119</v>
          </cell>
        </row>
        <row r="1815">
          <cell r="B1815" t="str">
            <v>Məsimov Xəyal Əmrullah</v>
          </cell>
          <cell r="C1815" t="str">
            <v>Satış kanalları departamenti</v>
          </cell>
          <cell r="D1815" t="str">
            <v>Əlaqə mərkəzi şöbəsi</v>
          </cell>
          <cell r="E1815" t="str">
            <v>#</v>
          </cell>
          <cell r="F1815" t="str">
            <v>Aparıcı mütəxəssis</v>
          </cell>
          <cell r="G1815" t="str">
            <v>A</v>
          </cell>
          <cell r="H1815">
            <v>45355</v>
          </cell>
        </row>
        <row r="1816">
          <cell r="B1816" t="str">
            <v>Niyazlı Rəşad Mehman</v>
          </cell>
          <cell r="C1816" t="str">
            <v>Satış kanalları departamenti</v>
          </cell>
          <cell r="D1816" t="str">
            <v>Əlaqə mərkəzi şöbəsi</v>
          </cell>
          <cell r="E1816" t="str">
            <v>#</v>
          </cell>
          <cell r="F1816" t="str">
            <v>Aparıcı mütəxəssis</v>
          </cell>
          <cell r="G1816" t="str">
            <v>A</v>
          </cell>
          <cell r="H1816">
            <v>44603</v>
          </cell>
        </row>
        <row r="1817">
          <cell r="B1817" t="str">
            <v>İsmayılzadə Tural Böyükkişi</v>
          </cell>
          <cell r="C1817" t="str">
            <v>Satış kanalları departamenti</v>
          </cell>
          <cell r="D1817" t="str">
            <v>Əlaqə mərkəzi şöbəsi</v>
          </cell>
          <cell r="E1817" t="str">
            <v>Onlayn xidmətlər bölməsi</v>
          </cell>
          <cell r="F1817" t="str">
            <v>Qrup rəhbəri</v>
          </cell>
          <cell r="G1817" t="str">
            <v>A</v>
          </cell>
          <cell r="H1817">
            <v>44694</v>
          </cell>
        </row>
        <row r="1818">
          <cell r="B1818" t="str">
            <v>Abbasova Raya Zahid</v>
          </cell>
          <cell r="C1818" t="str">
            <v>Satış kanalları departamenti</v>
          </cell>
          <cell r="D1818" t="str">
            <v>Əlaqə mərkəzi şöbəsi</v>
          </cell>
          <cell r="E1818" t="str">
            <v>Onlayn xidmətlər bölməsi</v>
          </cell>
          <cell r="F1818" t="str">
            <v>Aparıcı mütəxəssis</v>
          </cell>
          <cell r="G1818" t="str">
            <v>A</v>
          </cell>
          <cell r="H1818">
            <v>44760</v>
          </cell>
        </row>
        <row r="1819">
          <cell r="B1819" t="str">
            <v>Əliyeva Süsən Tahir</v>
          </cell>
          <cell r="C1819" t="str">
            <v>Satış kanalları departamenti</v>
          </cell>
          <cell r="D1819" t="str">
            <v>Əlaqə mərkəzi şöbəsi</v>
          </cell>
          <cell r="E1819" t="str">
            <v>Onlayn xidmətlər bölməsi</v>
          </cell>
          <cell r="F1819" t="str">
            <v>Qrup rəhbəri</v>
          </cell>
          <cell r="G1819" t="str">
            <v>A</v>
          </cell>
          <cell r="H1819">
            <v>44596</v>
          </cell>
        </row>
        <row r="1820">
          <cell r="B1820" t="str">
            <v>Qurbanzadə Nərmin Qara</v>
          </cell>
          <cell r="C1820" t="str">
            <v>Satış kanalları departamenti</v>
          </cell>
          <cell r="D1820" t="str">
            <v>Əlaqə mərkəzi şöbəsi</v>
          </cell>
          <cell r="E1820" t="str">
            <v>Onlayn xidmətlər bölməsi</v>
          </cell>
          <cell r="F1820" t="str">
            <v>Qrup rəhbəri</v>
          </cell>
          <cell r="G1820" t="str">
            <v>A</v>
          </cell>
          <cell r="H1820">
            <v>44603</v>
          </cell>
        </row>
        <row r="1821">
          <cell r="B1821" t="str">
            <v>Yaqublu Günay Kamil</v>
          </cell>
          <cell r="C1821" t="str">
            <v>Satış kanalları departamenti</v>
          </cell>
          <cell r="D1821" t="str">
            <v>Əlaqə mərkəzi şöbəsi</v>
          </cell>
          <cell r="E1821" t="str">
            <v>Onlayn xidmətlər bölməsi</v>
          </cell>
          <cell r="F1821" t="str">
            <v>Aparıcı mütəxəssis</v>
          </cell>
          <cell r="G1821" t="str">
            <v>A</v>
          </cell>
          <cell r="H1821">
            <v>44503</v>
          </cell>
        </row>
        <row r="1822">
          <cell r="B1822" t="str">
            <v>Vəliyev Nicat Bəymirzə</v>
          </cell>
          <cell r="C1822" t="str">
            <v>Satış kanalları departamenti</v>
          </cell>
          <cell r="D1822" t="str">
            <v>Əlaqə mərkəzi şöbəsi</v>
          </cell>
          <cell r="E1822" t="str">
            <v>Onlayn xidmətlər bölməsi</v>
          </cell>
          <cell r="F1822" t="str">
            <v>Aparıcı mütəxəssis</v>
          </cell>
          <cell r="G1822" t="str">
            <v>A</v>
          </cell>
          <cell r="H1822">
            <v>44056</v>
          </cell>
        </row>
        <row r="1823">
          <cell r="B1823" t="str">
            <v>Əliyeva Çinarə Zaur</v>
          </cell>
          <cell r="C1823" t="str">
            <v>Satış kanalları departamenti</v>
          </cell>
          <cell r="D1823" t="str">
            <v>Əlaqə mərkəzi şöbəsi</v>
          </cell>
          <cell r="E1823" t="str">
            <v>Onlayn xidmətlər bölməsi</v>
          </cell>
          <cell r="F1823" t="str">
            <v>Aparıcı mütəxəssis</v>
          </cell>
          <cell r="G1823" t="str">
            <v>A</v>
          </cell>
          <cell r="H1823">
            <v>44378</v>
          </cell>
        </row>
        <row r="1824">
          <cell r="B1824" t="str">
            <v>İsmayılov Murad Raiz</v>
          </cell>
          <cell r="C1824" t="str">
            <v>Satış kanalları departamenti</v>
          </cell>
          <cell r="D1824" t="str">
            <v>Əlaqə mərkəzi şöbəsi</v>
          </cell>
          <cell r="E1824" t="str">
            <v>Onlayn xidmətlər bölməsi</v>
          </cell>
          <cell r="F1824" t="str">
            <v>Aparıcı mütəxəssis</v>
          </cell>
          <cell r="G1824" t="str">
            <v>A</v>
          </cell>
          <cell r="H1824">
            <v>44394</v>
          </cell>
        </row>
        <row r="1825">
          <cell r="B1825" t="str">
            <v>Hüseynov İlkin Vüsal</v>
          </cell>
          <cell r="C1825" t="str">
            <v>Satış kanalları departamenti</v>
          </cell>
          <cell r="D1825" t="str">
            <v>Əlaqə mərkəzi şöbəsi</v>
          </cell>
          <cell r="E1825" t="str">
            <v>Onlayn xidmətlər bölməsi</v>
          </cell>
          <cell r="F1825" t="str">
            <v>Aparıcı mütəxəssis</v>
          </cell>
          <cell r="G1825" t="str">
            <v>A</v>
          </cell>
          <cell r="H1825">
            <v>44624</v>
          </cell>
        </row>
        <row r="1826">
          <cell r="B1826" t="str">
            <v>Çərkəsova Bikəxanım Nizami</v>
          </cell>
          <cell r="C1826" t="str">
            <v>Satış kanalları departamenti</v>
          </cell>
          <cell r="D1826" t="str">
            <v>Əlaqə mərkəzi şöbəsi</v>
          </cell>
          <cell r="E1826" t="str">
            <v>Onlayn xidmətlər bölməsi</v>
          </cell>
          <cell r="F1826" t="str">
            <v>Mütəxəssis</v>
          </cell>
          <cell r="G1826" t="str">
            <v>SM</v>
          </cell>
          <cell r="H1826">
            <v>43931</v>
          </cell>
        </row>
        <row r="1827">
          <cell r="B1827" t="str">
            <v>Məmmədov Rauf İlham</v>
          </cell>
          <cell r="C1827" t="str">
            <v>Satış kanalları departamenti</v>
          </cell>
          <cell r="D1827" t="str">
            <v>Əlaqə mərkəzi şöbəsi</v>
          </cell>
          <cell r="E1827" t="str">
            <v>Onlayn xidmətlər bölməsi</v>
          </cell>
          <cell r="F1827" t="str">
            <v>Mütəxəssis (müvəqqəti)</v>
          </cell>
          <cell r="G1827" t="str">
            <v>A</v>
          </cell>
          <cell r="H1827">
            <v>45828</v>
          </cell>
        </row>
        <row r="1828">
          <cell r="B1828" t="str">
            <v>Ağayeva Jalə Rauf</v>
          </cell>
          <cell r="C1828" t="str">
            <v>Satış kanalları departamenti</v>
          </cell>
          <cell r="D1828" t="str">
            <v>Əlaqə mərkəzi şöbəsi</v>
          </cell>
          <cell r="E1828" t="str">
            <v>Onlayn xidmətlər bölməsi</v>
          </cell>
          <cell r="F1828" t="str">
            <v>Mütəxəssis</v>
          </cell>
          <cell r="G1828" t="str">
            <v>A</v>
          </cell>
          <cell r="H1828">
            <v>43775</v>
          </cell>
        </row>
        <row r="1829">
          <cell r="B1829" t="str">
            <v>Balayeva Əfsanə Paşa</v>
          </cell>
          <cell r="C1829" t="str">
            <v>Satış kanalları departamenti</v>
          </cell>
          <cell r="D1829" t="str">
            <v>Əlaqə mərkəzi şöbəsi</v>
          </cell>
          <cell r="E1829" t="str">
            <v>Onlayn xidmətlər bölməsi</v>
          </cell>
          <cell r="F1829" t="str">
            <v>Mütəxəssis</v>
          </cell>
          <cell r="G1829" t="str">
            <v>A</v>
          </cell>
          <cell r="H1829">
            <v>43853</v>
          </cell>
        </row>
        <row r="1830">
          <cell r="B1830" t="str">
            <v>Hətəmova Bami Məhəmməd</v>
          </cell>
          <cell r="C1830" t="str">
            <v>Satış kanalları departamenti</v>
          </cell>
          <cell r="D1830" t="str">
            <v>Əlaqə mərkəzi şöbəsi</v>
          </cell>
          <cell r="E1830" t="str">
            <v>Onlayn xidmətlər bölməsi</v>
          </cell>
          <cell r="F1830" t="str">
            <v>Mütəxəssis</v>
          </cell>
          <cell r="G1830" t="str">
            <v>A</v>
          </cell>
          <cell r="H1830">
            <v>43458</v>
          </cell>
        </row>
        <row r="1831">
          <cell r="B1831" t="str">
            <v>Davudlu Aytən Bəhmən</v>
          </cell>
          <cell r="C1831" t="str">
            <v>Satış kanalları departamenti</v>
          </cell>
          <cell r="D1831" t="str">
            <v>Əlaqə mərkəzi şöbəsi</v>
          </cell>
          <cell r="E1831" t="str">
            <v>Onlayn xidmətlər bölməsi</v>
          </cell>
          <cell r="F1831" t="str">
            <v>Mütəxəssis</v>
          </cell>
          <cell r="G1831" t="str">
            <v>A</v>
          </cell>
          <cell r="H1831">
            <v>43810</v>
          </cell>
        </row>
        <row r="1832">
          <cell r="B1832" t="str">
            <v>Səlimli Fidan Gündüz</v>
          </cell>
          <cell r="C1832" t="str">
            <v>Satış kanalları departamenti</v>
          </cell>
          <cell r="D1832" t="str">
            <v>Əlaqə mərkəzi şöbəsi</v>
          </cell>
          <cell r="E1832" t="str">
            <v>Onlayn xidmətlər bölməsi</v>
          </cell>
          <cell r="F1832" t="str">
            <v>Mütəxəssis</v>
          </cell>
          <cell r="G1832" t="str">
            <v>SM</v>
          </cell>
          <cell r="H1832">
            <v>43885</v>
          </cell>
        </row>
        <row r="1833">
          <cell r="B1833" t="str">
            <v>Çobanzadə Elçin Oruc</v>
          </cell>
          <cell r="C1833" t="str">
            <v>Satış kanalları departamenti</v>
          </cell>
          <cell r="D1833" t="str">
            <v>Əlaqə mərkəzi şöbəsi</v>
          </cell>
          <cell r="E1833" t="str">
            <v>Onlayn xidmətlər bölməsi</v>
          </cell>
          <cell r="F1833" t="str">
            <v>Aparıcı mütəxəssis (müvəqqəti)</v>
          </cell>
          <cell r="G1833" t="str">
            <v>A</v>
          </cell>
          <cell r="H1833">
            <v>45120</v>
          </cell>
        </row>
        <row r="1834">
          <cell r="B1834" t="str">
            <v>Quluzadə-Hacızadə Günel Etibar</v>
          </cell>
          <cell r="C1834" t="str">
            <v>Satış kanalları departamenti</v>
          </cell>
          <cell r="D1834" t="str">
            <v>Əlaqə mərkəzi şöbəsi</v>
          </cell>
          <cell r="E1834" t="str">
            <v>Onlayn xidmətlər bölməsi</v>
          </cell>
          <cell r="F1834" t="str">
            <v>Mütəxəssis</v>
          </cell>
          <cell r="G1834" t="str">
            <v>A</v>
          </cell>
          <cell r="H1834">
            <v>43936</v>
          </cell>
        </row>
        <row r="1835">
          <cell r="B1835" t="str">
            <v>Hüseynova Sevda Elşən</v>
          </cell>
          <cell r="C1835" t="str">
            <v>Satış kanalları departamenti</v>
          </cell>
          <cell r="D1835" t="str">
            <v>Əlaqə mərkəzi şöbəsi</v>
          </cell>
          <cell r="E1835" t="str">
            <v>Onlayn xidmətlər bölməsi</v>
          </cell>
          <cell r="F1835" t="str">
            <v>Mütəxəssis</v>
          </cell>
          <cell r="G1835" t="str">
            <v>A</v>
          </cell>
          <cell r="H1835">
            <v>44452</v>
          </cell>
        </row>
        <row r="1836">
          <cell r="B1836" t="str">
            <v>Əhmədzadə Təhminə Natiq</v>
          </cell>
          <cell r="C1836" t="str">
            <v>Satış kanalları departamenti</v>
          </cell>
          <cell r="D1836" t="str">
            <v>Əlaqə mərkəzi şöbəsi</v>
          </cell>
          <cell r="E1836" t="str">
            <v>Onlayn xidmətlər bölməsi</v>
          </cell>
          <cell r="F1836" t="str">
            <v>Aparıcı mütəxəssis</v>
          </cell>
          <cell r="G1836" t="str">
            <v>HX</v>
          </cell>
          <cell r="H1836">
            <v>44475</v>
          </cell>
        </row>
        <row r="1837">
          <cell r="B1837" t="str">
            <v>Carçiyeva Ülviyyə Əziz</v>
          </cell>
          <cell r="C1837" t="str">
            <v>Satış kanalları departamenti</v>
          </cell>
          <cell r="D1837" t="str">
            <v>Əlaqə mərkəzi şöbəsi</v>
          </cell>
          <cell r="E1837" t="str">
            <v>Onlayn xidmətlər bölməsi</v>
          </cell>
          <cell r="F1837" t="str">
            <v>Aparıcı mütəxəssis (müvəqqəti)</v>
          </cell>
          <cell r="G1837" t="str">
            <v>A</v>
          </cell>
          <cell r="H1837">
            <v>45478</v>
          </cell>
        </row>
        <row r="1838">
          <cell r="B1838" t="str">
            <v>Bədəlova Aysel Səyyad</v>
          </cell>
          <cell r="C1838" t="str">
            <v>Satış kanalları departamenti</v>
          </cell>
          <cell r="D1838" t="str">
            <v>Əlaqə mərkəzi şöbəsi</v>
          </cell>
          <cell r="E1838" t="str">
            <v>Onlayn xidmətlər bölməsi</v>
          </cell>
          <cell r="F1838" t="str">
            <v>Mütəxəssis</v>
          </cell>
          <cell r="G1838" t="str">
            <v>HX</v>
          </cell>
          <cell r="H1838">
            <v>44582</v>
          </cell>
        </row>
        <row r="1839">
          <cell r="B1839" t="str">
            <v>Əliyeva Ayşən Paşa</v>
          </cell>
          <cell r="C1839" t="str">
            <v>Satış kanalları departamenti</v>
          </cell>
          <cell r="D1839" t="str">
            <v>Əlaqə mərkəzi şöbəsi</v>
          </cell>
          <cell r="E1839" t="str">
            <v>Onlayn xidmətlər bölməsi</v>
          </cell>
          <cell r="F1839" t="str">
            <v>Mütəxəssis</v>
          </cell>
          <cell r="G1839" t="str">
            <v>A</v>
          </cell>
          <cell r="H1839">
            <v>44474</v>
          </cell>
        </row>
        <row r="1840">
          <cell r="B1840" t="str">
            <v>Xanlarova Çimnaz İlqar</v>
          </cell>
          <cell r="C1840" t="str">
            <v>Satış kanalları departamenti</v>
          </cell>
          <cell r="D1840" t="str">
            <v>Əlaqə mərkəzi şöbəsi</v>
          </cell>
          <cell r="E1840" t="str">
            <v>Onlayn xidmətlər bölməsi</v>
          </cell>
          <cell r="F1840" t="str">
            <v>Mütəxəssis</v>
          </cell>
          <cell r="G1840" t="str">
            <v>A</v>
          </cell>
          <cell r="H1840">
            <v>44474</v>
          </cell>
        </row>
        <row r="1841">
          <cell r="B1841" t="str">
            <v>Zeynalabdinova Nigar Bəxtiyar</v>
          </cell>
          <cell r="C1841" t="str">
            <v>Satış kanalları departamenti</v>
          </cell>
          <cell r="D1841" t="str">
            <v>Əlaqə mərkəzi şöbəsi</v>
          </cell>
          <cell r="E1841" t="str">
            <v>Onlayn xidmətlər bölməsi</v>
          </cell>
          <cell r="F1841" t="str">
            <v>Mütəxəssis</v>
          </cell>
          <cell r="G1841" t="str">
            <v>A</v>
          </cell>
          <cell r="H1841">
            <v>44501</v>
          </cell>
        </row>
        <row r="1842">
          <cell r="B1842" t="str">
            <v>Tağıyeva Nərmin Rüfət</v>
          </cell>
          <cell r="C1842" t="str">
            <v>Satış kanalları departamenti</v>
          </cell>
          <cell r="D1842" t="str">
            <v>Əlaqə mərkəzi şöbəsi</v>
          </cell>
          <cell r="E1842" t="str">
            <v>Onlayn xidmətlər bölməsi</v>
          </cell>
          <cell r="F1842" t="str">
            <v>Mütəxəssis</v>
          </cell>
          <cell r="G1842" t="str">
            <v>A</v>
          </cell>
          <cell r="H1842">
            <v>44582</v>
          </cell>
        </row>
        <row r="1843">
          <cell r="B1843" t="str">
            <v>Salmanov Salman Zöhrab</v>
          </cell>
          <cell r="C1843" t="str">
            <v>Satış kanalları departamenti</v>
          </cell>
          <cell r="D1843" t="str">
            <v>Əlaqə mərkəzi şöbəsi</v>
          </cell>
          <cell r="E1843" t="str">
            <v>Onlayn xidmətlər bölməsi</v>
          </cell>
          <cell r="F1843" t="str">
            <v>Mütəxəssis</v>
          </cell>
          <cell r="G1843" t="str">
            <v>A</v>
          </cell>
          <cell r="H1843">
            <v>43878</v>
          </cell>
        </row>
        <row r="1844">
          <cell r="B1844" t="str">
            <v>Məmmədova Nigar Eldar</v>
          </cell>
          <cell r="C1844" t="str">
            <v>Satış kanalları departamenti</v>
          </cell>
          <cell r="D1844" t="str">
            <v>Əlaqə mərkəzi şöbəsi</v>
          </cell>
          <cell r="E1844" t="str">
            <v>Onlayn xidmətlər bölməsi</v>
          </cell>
          <cell r="F1844" t="str">
            <v>Mütəxəssis</v>
          </cell>
          <cell r="G1844" t="str">
            <v>SM</v>
          </cell>
          <cell r="H1844">
            <v>44324</v>
          </cell>
        </row>
        <row r="1845">
          <cell r="B1845" t="str">
            <v>Bayramova Şirin Namiq</v>
          </cell>
          <cell r="C1845" t="str">
            <v>Satış kanalları departamenti</v>
          </cell>
          <cell r="D1845" t="str">
            <v>Əlaqə mərkəzi şöbəsi</v>
          </cell>
          <cell r="E1845" t="str">
            <v>Onlayn xidmətlər bölməsi</v>
          </cell>
          <cell r="F1845" t="str">
            <v>Mütəxəssis (müvəqqəti)</v>
          </cell>
          <cell r="G1845" t="str">
            <v>A</v>
          </cell>
          <cell r="H1845">
            <v>45478</v>
          </cell>
        </row>
        <row r="1846">
          <cell r="B1846" t="str">
            <v>Tamazova Münəvvər Şərif</v>
          </cell>
          <cell r="C1846" t="str">
            <v>Satış kanalları departamenti</v>
          </cell>
          <cell r="D1846" t="str">
            <v>Əlaqə mərkəzi şöbəsi</v>
          </cell>
          <cell r="E1846" t="str">
            <v>Onlayn xidmətlər bölməsi</v>
          </cell>
          <cell r="F1846" t="str">
            <v>Mütəxəssis</v>
          </cell>
          <cell r="G1846" t="str">
            <v>A</v>
          </cell>
          <cell r="H1846">
            <v>44608</v>
          </cell>
        </row>
        <row r="1847">
          <cell r="B1847" t="str">
            <v>Əsgərova Səidə Zahid</v>
          </cell>
          <cell r="C1847" t="str">
            <v>Satış kanalları departamenti</v>
          </cell>
          <cell r="D1847" t="str">
            <v>Əlaqə mərkəzi şöbəsi</v>
          </cell>
          <cell r="E1847" t="str">
            <v>Onlayn xidmətlər bölməsi</v>
          </cell>
          <cell r="F1847" t="str">
            <v>Mütəxəssis</v>
          </cell>
          <cell r="G1847" t="str">
            <v>A</v>
          </cell>
          <cell r="H1847">
            <v>44474</v>
          </cell>
        </row>
        <row r="1848">
          <cell r="B1848" t="str">
            <v>Səttarlı Lalə Vilayət</v>
          </cell>
          <cell r="C1848" t="str">
            <v>Satış kanalları departamenti</v>
          </cell>
          <cell r="D1848" t="str">
            <v>Əlaqə mərkəzi şöbəsi</v>
          </cell>
          <cell r="E1848" t="str">
            <v>Onlayn xidmətlər bölməsi</v>
          </cell>
          <cell r="F1848" t="str">
            <v>Aparıcı mütəxəssis</v>
          </cell>
          <cell r="G1848" t="str">
            <v>A</v>
          </cell>
          <cell r="H1848">
            <v>44600</v>
          </cell>
        </row>
        <row r="1849">
          <cell r="B1849" t="str">
            <v>Mikayılova Nigar Aslan</v>
          </cell>
          <cell r="C1849" t="str">
            <v>Satış kanalları departamenti</v>
          </cell>
          <cell r="D1849" t="str">
            <v>Əlaqə mərkəzi şöbəsi</v>
          </cell>
          <cell r="E1849" t="str">
            <v>Onlayn xidmətlər bölməsi</v>
          </cell>
          <cell r="F1849" t="str">
            <v>Mütəxəssis</v>
          </cell>
          <cell r="G1849" t="str">
            <v>A</v>
          </cell>
          <cell r="H1849">
            <v>45126</v>
          </cell>
        </row>
        <row r="1850">
          <cell r="B1850" t="str">
            <v>Hənifəyeva Samirə Hüseyn</v>
          </cell>
          <cell r="C1850" t="str">
            <v>Satış kanalları departamenti</v>
          </cell>
          <cell r="D1850" t="str">
            <v>Əlaqə mərkəzi şöbəsi</v>
          </cell>
          <cell r="E1850" t="str">
            <v>Onlayn xidmətlər bölməsi</v>
          </cell>
          <cell r="F1850" t="str">
            <v>Mütəxəssis</v>
          </cell>
          <cell r="G1850" t="str">
            <v>A</v>
          </cell>
          <cell r="H1850">
            <v>44666</v>
          </cell>
        </row>
        <row r="1851">
          <cell r="B1851" t="str">
            <v>Xankişiyeva Fidan Seymur</v>
          </cell>
          <cell r="C1851" t="str">
            <v>Satış kanalları departamenti</v>
          </cell>
          <cell r="D1851" t="str">
            <v>Əlaqə mərkəzi şöbəsi</v>
          </cell>
          <cell r="E1851" t="str">
            <v>Onlayn xidmətlər bölməsi</v>
          </cell>
          <cell r="F1851" t="str">
            <v>Mütəxəssis</v>
          </cell>
          <cell r="G1851" t="str">
            <v>A</v>
          </cell>
          <cell r="H1851">
            <v>43873</v>
          </cell>
        </row>
        <row r="1852">
          <cell r="B1852" t="str">
            <v>Aslanova Şəhla Faiq</v>
          </cell>
          <cell r="C1852" t="str">
            <v>Satış kanalları departamenti</v>
          </cell>
          <cell r="D1852" t="str">
            <v>Əlaqə mərkəzi şöbəsi</v>
          </cell>
          <cell r="E1852" t="str">
            <v>Onlayn xidmətlər bölməsi</v>
          </cell>
          <cell r="F1852" t="str">
            <v>Aparıcı mütəxəssis</v>
          </cell>
          <cell r="G1852" t="str">
            <v>A</v>
          </cell>
          <cell r="H1852">
            <v>44764</v>
          </cell>
        </row>
        <row r="1853">
          <cell r="B1853" t="str">
            <v>Ağazadə Eldar Ceyhun</v>
          </cell>
          <cell r="C1853" t="str">
            <v>Satış kanalları departamenti</v>
          </cell>
          <cell r="D1853" t="str">
            <v>Əlaqə mərkəzi şöbəsi</v>
          </cell>
          <cell r="E1853" t="str">
            <v>Onlayn xidmətlər bölməsi</v>
          </cell>
          <cell r="F1853" t="str">
            <v>Mütəxəssis</v>
          </cell>
          <cell r="G1853" t="str">
            <v>A</v>
          </cell>
          <cell r="H1853">
            <v>44679</v>
          </cell>
        </row>
        <row r="1854">
          <cell r="B1854" t="str">
            <v>Məmmədov Elçin Fərhad</v>
          </cell>
          <cell r="C1854" t="str">
            <v>Satış kanalları departamenti</v>
          </cell>
          <cell r="D1854" t="str">
            <v>Əlaqə mərkəzi şöbəsi</v>
          </cell>
          <cell r="E1854" t="str">
            <v>Onlayn xidmətlər bölməsi</v>
          </cell>
          <cell r="F1854" t="str">
            <v>Mütəxəssis</v>
          </cell>
          <cell r="G1854" t="str">
            <v>A</v>
          </cell>
          <cell r="H1854">
            <v>45327</v>
          </cell>
        </row>
        <row r="1855">
          <cell r="B1855" t="str">
            <v>Şirinova Nərgiz Fərman</v>
          </cell>
          <cell r="C1855" t="str">
            <v>Satış kanalları departamenti</v>
          </cell>
          <cell r="D1855" t="str">
            <v>Əlaqə mərkəzi şöbəsi</v>
          </cell>
          <cell r="E1855" t="str">
            <v>Onlayn xidmətlər bölməsi</v>
          </cell>
          <cell r="F1855" t="str">
            <v>Mütəxəssis</v>
          </cell>
          <cell r="G1855" t="str">
            <v>A</v>
          </cell>
          <cell r="H1855">
            <v>44600</v>
          </cell>
        </row>
        <row r="1856">
          <cell r="B1856" t="str">
            <v>Cəbrayılova Fidan Heydar</v>
          </cell>
          <cell r="C1856" t="str">
            <v>Satış kanalları departamenti</v>
          </cell>
          <cell r="D1856" t="str">
            <v>Əlaqə mərkəzi şöbəsi</v>
          </cell>
          <cell r="E1856" t="str">
            <v>Onlayn xidmətlər bölməsi</v>
          </cell>
          <cell r="F1856" t="str">
            <v>Mütəxəssis</v>
          </cell>
          <cell r="G1856" t="str">
            <v>A</v>
          </cell>
          <cell r="H1856">
            <v>44474</v>
          </cell>
        </row>
        <row r="1857">
          <cell r="B1857" t="str">
            <v>Ağayarova Səbinə Azad</v>
          </cell>
          <cell r="C1857" t="str">
            <v>Satış kanalları departamenti</v>
          </cell>
          <cell r="D1857" t="str">
            <v>Əlaqə mərkəzi şöbəsi</v>
          </cell>
          <cell r="E1857" t="str">
            <v>Onlayn xidmətlər bölməsi</v>
          </cell>
          <cell r="F1857" t="str">
            <v>Mütəxəssis</v>
          </cell>
          <cell r="G1857" t="str">
            <v>A</v>
          </cell>
          <cell r="H1857">
            <v>44756</v>
          </cell>
        </row>
        <row r="1858">
          <cell r="B1858" t="str">
            <v>Abdullayeva Məryəm Elşən</v>
          </cell>
          <cell r="C1858" t="str">
            <v>Satış kanalları departamenti</v>
          </cell>
          <cell r="D1858" t="str">
            <v>Əlaqə mərkəzi şöbəsi</v>
          </cell>
          <cell r="E1858" t="str">
            <v>Onlayn xidmətlər bölməsi</v>
          </cell>
          <cell r="F1858" t="str">
            <v>Mütəxəssis</v>
          </cell>
          <cell r="G1858" t="str">
            <v>A</v>
          </cell>
          <cell r="H1858">
            <v>44768</v>
          </cell>
        </row>
        <row r="1859">
          <cell r="B1859" t="str">
            <v>Məmmədova Jalə İsa</v>
          </cell>
          <cell r="C1859" t="str">
            <v>Satış kanalları departamenti</v>
          </cell>
          <cell r="D1859" t="str">
            <v>Əlaqə mərkəzi şöbəsi</v>
          </cell>
          <cell r="E1859" t="str">
            <v>Onlayn xidmətlər bölməsi</v>
          </cell>
          <cell r="F1859" t="str">
            <v>Mütəxəssis</v>
          </cell>
          <cell r="G1859" t="str">
            <v>A</v>
          </cell>
          <cell r="H1859">
            <v>44551</v>
          </cell>
        </row>
        <row r="1860">
          <cell r="B1860" t="str">
            <v>Səlimli Namiq Natiq</v>
          </cell>
          <cell r="C1860" t="str">
            <v>Satış kanalları departamenti</v>
          </cell>
          <cell r="D1860" t="str">
            <v>Əlaqə mərkəzi şöbəsi</v>
          </cell>
          <cell r="E1860" t="str">
            <v>Onlayn xidmətlər bölməsi</v>
          </cell>
          <cell r="F1860" t="str">
            <v>Mütəxəssis</v>
          </cell>
          <cell r="G1860" t="str">
            <v>A</v>
          </cell>
          <cell r="H1860">
            <v>44837</v>
          </cell>
        </row>
        <row r="1861">
          <cell r="B1861" t="str">
            <v>Qəniyeva Sərvinaz Natiq</v>
          </cell>
          <cell r="C1861" t="str">
            <v>Satış kanalları departamenti</v>
          </cell>
          <cell r="D1861" t="str">
            <v>Əlaqə mərkəzi şöbəsi</v>
          </cell>
          <cell r="E1861" t="str">
            <v>Onlayn xidmətlər bölməsi</v>
          </cell>
          <cell r="F1861" t="str">
            <v>Mütəxəssis</v>
          </cell>
          <cell r="G1861" t="str">
            <v>SM</v>
          </cell>
          <cell r="H1861">
            <v>44889</v>
          </cell>
        </row>
        <row r="1862">
          <cell r="B1862" t="str">
            <v>Cabbarova Gülarə Nizami</v>
          </cell>
          <cell r="C1862" t="str">
            <v>Satış kanalları departamenti</v>
          </cell>
          <cell r="D1862" t="str">
            <v>Əlaqə mərkəzi şöbəsi</v>
          </cell>
          <cell r="E1862" t="str">
            <v>Onlayn xidmətlər bölməsi</v>
          </cell>
          <cell r="F1862" t="str">
            <v>Mütəxəssis(müvəqqəti)</v>
          </cell>
          <cell r="G1862" t="str">
            <v>A</v>
          </cell>
          <cell r="H1862">
            <v>45356</v>
          </cell>
        </row>
        <row r="1863">
          <cell r="B1863" t="str">
            <v>Salamzadə Jalə Fariz</v>
          </cell>
          <cell r="C1863" t="str">
            <v>Satış kanalları departamenti</v>
          </cell>
          <cell r="D1863" t="str">
            <v>Əlaqə mərkəzi şöbəsi</v>
          </cell>
          <cell r="E1863" t="str">
            <v>Onlayn xidmətlər bölməsi</v>
          </cell>
          <cell r="F1863" t="str">
            <v>Mütəxəssis</v>
          </cell>
          <cell r="G1863" t="str">
            <v>A</v>
          </cell>
          <cell r="H1863">
            <v>44847</v>
          </cell>
        </row>
        <row r="1864">
          <cell r="B1864" t="str">
            <v>Qarayev Murad Polad</v>
          </cell>
          <cell r="C1864" t="str">
            <v>Satış kanalları departamenti</v>
          </cell>
          <cell r="D1864" t="str">
            <v>Əlaqə mərkəzi şöbəsi</v>
          </cell>
          <cell r="E1864" t="str">
            <v>Onlayn xidmətlər bölməsi</v>
          </cell>
          <cell r="F1864" t="str">
            <v>Mütəxəssis</v>
          </cell>
          <cell r="G1864" t="str">
            <v>A</v>
          </cell>
          <cell r="H1864">
            <v>44593</v>
          </cell>
        </row>
        <row r="1865">
          <cell r="B1865" t="str">
            <v>Aboyeva Dilarə Akif</v>
          </cell>
          <cell r="C1865" t="str">
            <v>Satış kanalları departamenti</v>
          </cell>
          <cell r="D1865" t="str">
            <v>Əlaqə mərkəzi şöbəsi</v>
          </cell>
          <cell r="E1865" t="str">
            <v>Onlayn xidmətlər bölməsi</v>
          </cell>
          <cell r="F1865" t="str">
            <v>Mütəxəssis</v>
          </cell>
          <cell r="G1865" t="str">
            <v>A</v>
          </cell>
          <cell r="H1865">
            <v>44867</v>
          </cell>
        </row>
        <row r="1866">
          <cell r="B1866" t="str">
            <v>Teymurlu Nərmin Ceyhun</v>
          </cell>
          <cell r="C1866" t="str">
            <v>Satış kanalları departamenti</v>
          </cell>
          <cell r="D1866" t="str">
            <v>Əlaqə mərkəzi şöbəsi</v>
          </cell>
          <cell r="E1866" t="str">
            <v>Onlayn xidmətlər bölməsi</v>
          </cell>
          <cell r="F1866" t="str">
            <v>Mütəxəssis</v>
          </cell>
          <cell r="G1866" t="str">
            <v>A</v>
          </cell>
          <cell r="H1866">
            <v>44749</v>
          </cell>
        </row>
        <row r="1867">
          <cell r="B1867" t="str">
            <v>Yaqubova Dilarə Yaşar</v>
          </cell>
          <cell r="C1867" t="str">
            <v>Satış kanalları departamenti</v>
          </cell>
          <cell r="D1867" t="str">
            <v>Əlaqə mərkəzi şöbəsi</v>
          </cell>
          <cell r="E1867" t="str">
            <v>Onlayn xidmətlər bölməsi</v>
          </cell>
          <cell r="F1867" t="str">
            <v>Mütəxəssis</v>
          </cell>
          <cell r="G1867" t="str">
            <v>A</v>
          </cell>
          <cell r="H1867">
            <v>45096</v>
          </cell>
        </row>
        <row r="1868">
          <cell r="B1868" t="str">
            <v>Fəttayeva Lamiyə Rafiq</v>
          </cell>
          <cell r="C1868" t="str">
            <v>Satış kanalları departamenti</v>
          </cell>
          <cell r="D1868" t="str">
            <v>Əlaqə mərkəzi şöbəsi</v>
          </cell>
          <cell r="E1868" t="str">
            <v>Onlayn xidmətlər bölməsi</v>
          </cell>
          <cell r="F1868" t="str">
            <v>Mütəxəssis</v>
          </cell>
          <cell r="G1868" t="str">
            <v>A</v>
          </cell>
          <cell r="H1868">
            <v>44876</v>
          </cell>
        </row>
        <row r="1869">
          <cell r="B1869" t="str">
            <v>Quliyeva Sevinc Hətəmxan</v>
          </cell>
          <cell r="C1869" t="str">
            <v>Satış kanalları departamenti</v>
          </cell>
          <cell r="D1869" t="str">
            <v>Əlaqə mərkəzi şöbəsi</v>
          </cell>
          <cell r="E1869" t="str">
            <v>Onlayn xidmətlər bölməsi</v>
          </cell>
          <cell r="F1869" t="str">
            <v>Mütəxəssis</v>
          </cell>
          <cell r="G1869" t="str">
            <v>SM</v>
          </cell>
          <cell r="H1869">
            <v>44475</v>
          </cell>
        </row>
        <row r="1870">
          <cell r="B1870" t="str">
            <v>Nurəliyev Rəşad Azad</v>
          </cell>
          <cell r="C1870" t="str">
            <v>Satış kanalları departamenti</v>
          </cell>
          <cell r="D1870" t="str">
            <v>Əlaqə mərkəzi şöbəsi</v>
          </cell>
          <cell r="E1870" t="str">
            <v>Onlayn xidmətlər bölməsi</v>
          </cell>
          <cell r="F1870" t="str">
            <v>Aparıcı mütəxəssis (müvəqqəti)</v>
          </cell>
          <cell r="G1870" t="str">
            <v>A</v>
          </cell>
          <cell r="H1870">
            <v>45687</v>
          </cell>
        </row>
        <row r="1871">
          <cell r="B1871" t="str">
            <v>Hacıyev Murad Əli</v>
          </cell>
          <cell r="C1871" t="str">
            <v>Satış kanalları departamenti</v>
          </cell>
          <cell r="D1871" t="str">
            <v>Əlaqə mərkəzi şöbəsi</v>
          </cell>
          <cell r="E1871" t="str">
            <v>Onlayn xidmətlər bölməsi</v>
          </cell>
          <cell r="F1871" t="str">
            <v>Mütəxəssis</v>
          </cell>
          <cell r="G1871" t="str">
            <v>A</v>
          </cell>
          <cell r="H1871">
            <v>45096</v>
          </cell>
        </row>
        <row r="1872">
          <cell r="B1872" t="str">
            <v>Misirova Aysel Azər</v>
          </cell>
          <cell r="C1872" t="str">
            <v>Satış kanalları departamenti</v>
          </cell>
          <cell r="D1872" t="str">
            <v>Əlaqə mərkəzi şöbəsi</v>
          </cell>
          <cell r="E1872" t="str">
            <v>Onlayn xidmətlər bölməsi</v>
          </cell>
          <cell r="F1872" t="str">
            <v>Mütəxəssis</v>
          </cell>
          <cell r="G1872" t="str">
            <v>A</v>
          </cell>
          <cell r="H1872">
            <v>45096</v>
          </cell>
        </row>
        <row r="1873">
          <cell r="B1873" t="str">
            <v>Bədəlov Orxan Eldar</v>
          </cell>
          <cell r="C1873" t="str">
            <v>Satış kanalları departamenti</v>
          </cell>
          <cell r="D1873" t="str">
            <v>Əlaqə mərkəzi şöbəsi</v>
          </cell>
          <cell r="E1873" t="str">
            <v>Onlayn xidmətlər bölməsi</v>
          </cell>
          <cell r="F1873" t="str">
            <v>Mütəxəssis</v>
          </cell>
          <cell r="G1873" t="str">
            <v>A</v>
          </cell>
          <cell r="H1873">
            <v>45334</v>
          </cell>
        </row>
        <row r="1874">
          <cell r="B1874" t="str">
            <v>Əhmədova Nərmin Yusif</v>
          </cell>
          <cell r="C1874" t="str">
            <v>Satış kanalları departamenti</v>
          </cell>
          <cell r="D1874" t="str">
            <v>Əlaqə mərkəzi şöbəsi</v>
          </cell>
          <cell r="E1874" t="str">
            <v>Onlayn xidmətlər bölməsi</v>
          </cell>
          <cell r="F1874" t="str">
            <v>Mütəxəssis</v>
          </cell>
          <cell r="G1874" t="str">
            <v>A</v>
          </cell>
          <cell r="H1874">
            <v>44916</v>
          </cell>
        </row>
        <row r="1875">
          <cell r="B1875" t="str">
            <v>Həmzəbəyova Züleyxa Həmzəbəy</v>
          </cell>
          <cell r="C1875" t="str">
            <v>Satış kanalları departamenti</v>
          </cell>
          <cell r="D1875" t="str">
            <v>Əlaqə mərkəzi şöbəsi</v>
          </cell>
          <cell r="E1875" t="str">
            <v>Onlayn xidmətlər bölməsi</v>
          </cell>
          <cell r="F1875" t="str">
            <v>Mütəxəssis</v>
          </cell>
          <cell r="G1875" t="str">
            <v>A</v>
          </cell>
          <cell r="H1875">
            <v>44897</v>
          </cell>
        </row>
        <row r="1876">
          <cell r="B1876" t="str">
            <v>Ağabəyov Elman Ceyhun</v>
          </cell>
          <cell r="C1876" t="str">
            <v>Satış kanalları departamenti</v>
          </cell>
          <cell r="D1876" t="str">
            <v>Əlaqə mərkəzi şöbəsi</v>
          </cell>
          <cell r="E1876" t="str">
            <v>Onlayn xidmətlər bölməsi</v>
          </cell>
          <cell r="F1876" t="str">
            <v>Mütəxəssis</v>
          </cell>
          <cell r="G1876" t="str">
            <v>A</v>
          </cell>
          <cell r="H1876">
            <v>45541</v>
          </cell>
        </row>
        <row r="1877">
          <cell r="B1877" t="str">
            <v>Zeynalova Aytən Əkrəm</v>
          </cell>
          <cell r="C1877" t="str">
            <v>Satış kanalları departamenti</v>
          </cell>
          <cell r="D1877" t="str">
            <v>Əlaqə mərkəzi şöbəsi</v>
          </cell>
          <cell r="E1877" t="str">
            <v>Onlayn xidmətlər bölməsi</v>
          </cell>
          <cell r="F1877" t="str">
            <v>Mütəxəssis</v>
          </cell>
          <cell r="G1877" t="str">
            <v>A</v>
          </cell>
          <cell r="H1877">
            <v>45042</v>
          </cell>
        </row>
        <row r="1878">
          <cell r="B1878" t="str">
            <v>Səmədova Təhminə Davud</v>
          </cell>
          <cell r="C1878" t="str">
            <v>Satış kanalları departamenti</v>
          </cell>
          <cell r="D1878" t="str">
            <v>Əlaqə mərkəzi şöbəsi</v>
          </cell>
          <cell r="E1878" t="str">
            <v>Onlayn xidmətlər bölməsi</v>
          </cell>
          <cell r="F1878" t="str">
            <v>Aparıcı mütəxəssis</v>
          </cell>
          <cell r="G1878" t="str">
            <v>A</v>
          </cell>
          <cell r="H1878">
            <v>44713</v>
          </cell>
        </row>
        <row r="1879">
          <cell r="B1879" t="str">
            <v>Hacıyeva Şəfiqə Mahir</v>
          </cell>
          <cell r="C1879" t="str">
            <v>Satış kanalları departamenti</v>
          </cell>
          <cell r="D1879" t="str">
            <v>Əlaqə mərkəzi şöbəsi</v>
          </cell>
          <cell r="E1879" t="str">
            <v>Onlayn xidmətlər bölməsi</v>
          </cell>
          <cell r="F1879" t="str">
            <v>Mütəxəssis</v>
          </cell>
          <cell r="G1879" t="str">
            <v>A</v>
          </cell>
          <cell r="H1879">
            <v>44760</v>
          </cell>
        </row>
        <row r="1880">
          <cell r="B1880" t="str">
            <v>Quvalov Nurlan Həsən</v>
          </cell>
          <cell r="C1880" t="str">
            <v>Satış kanalları departamenti</v>
          </cell>
          <cell r="D1880" t="str">
            <v>Əlaqə mərkəzi şöbəsi</v>
          </cell>
          <cell r="E1880" t="str">
            <v>Onlayn xidmətlər bölməsi</v>
          </cell>
          <cell r="F1880" t="str">
            <v>Mütəxəssis</v>
          </cell>
          <cell r="G1880" t="str">
            <v>A</v>
          </cell>
          <cell r="H1880">
            <v>45499</v>
          </cell>
        </row>
        <row r="1881">
          <cell r="B1881" t="str">
            <v>Qurbanlı Fatimə Seymur</v>
          </cell>
          <cell r="C1881" t="str">
            <v>Satış kanalları departamenti</v>
          </cell>
          <cell r="D1881" t="str">
            <v>Əlaqə mərkəzi şöbəsi</v>
          </cell>
          <cell r="E1881" t="str">
            <v>Onlayn xidmətlər bölməsi</v>
          </cell>
          <cell r="F1881" t="str">
            <v>Kiçik mütəxəssis</v>
          </cell>
          <cell r="G1881" t="str">
            <v>A</v>
          </cell>
          <cell r="H1881">
            <v>46031</v>
          </cell>
        </row>
        <row r="1882">
          <cell r="B1882" t="str">
            <v>Məmmədova Nigar Rəsul</v>
          </cell>
          <cell r="C1882" t="str">
            <v>Satış kanalları departamenti</v>
          </cell>
          <cell r="D1882" t="str">
            <v>Əlaqə mərkəzi şöbəsi</v>
          </cell>
          <cell r="E1882" t="str">
            <v>Onlayn xidmətlər bölməsi</v>
          </cell>
          <cell r="F1882" t="str">
            <v>Kiçik mütəxəssis</v>
          </cell>
          <cell r="G1882" t="str">
            <v>A</v>
          </cell>
          <cell r="H1882">
            <v>46035</v>
          </cell>
        </row>
        <row r="1883">
          <cell r="B1883" t="str">
            <v>Yusupova Anaxanım Azər</v>
          </cell>
          <cell r="C1883" t="str">
            <v>Satış kanalları departamenti</v>
          </cell>
          <cell r="D1883" t="str">
            <v>Əlaqə mərkəzi şöbəsi</v>
          </cell>
          <cell r="E1883" t="str">
            <v>Onlayn xidmətlər bölməsi</v>
          </cell>
          <cell r="F1883" t="str">
            <v>Mütəxəssis</v>
          </cell>
          <cell r="G1883" t="str">
            <v>SM</v>
          </cell>
          <cell r="H1883">
            <v>43818</v>
          </cell>
        </row>
        <row r="1884">
          <cell r="B1884" t="str">
            <v>Adıgözəlov Cəlal Nadir</v>
          </cell>
          <cell r="C1884" t="str">
            <v>Satış kanalları departamenti</v>
          </cell>
          <cell r="D1884" t="str">
            <v>Əlaqə mərkəzi şöbəsi</v>
          </cell>
          <cell r="E1884" t="str">
            <v>Onlayn xidmətlər bölməsi</v>
          </cell>
          <cell r="F1884" t="str">
            <v>Mütəxəssis (müvəqqəti)</v>
          </cell>
          <cell r="G1884" t="str">
            <v>A</v>
          </cell>
          <cell r="H1884">
            <v>45707</v>
          </cell>
        </row>
        <row r="1885">
          <cell r="B1885" t="str">
            <v>Abdullazadə Aytac Vəfa</v>
          </cell>
          <cell r="C1885" t="str">
            <v>Satış kanalları departamenti</v>
          </cell>
          <cell r="D1885" t="str">
            <v>Əlaqə mərkəzi şöbəsi</v>
          </cell>
          <cell r="E1885" t="str">
            <v>Onlayn xidmətlər bölməsi</v>
          </cell>
          <cell r="F1885" t="str">
            <v>Mütəxəssis</v>
          </cell>
          <cell r="G1885" t="str">
            <v>SM</v>
          </cell>
          <cell r="H1885">
            <v>43931</v>
          </cell>
        </row>
        <row r="1886">
          <cell r="B1886" t="str">
            <v>Xakiyeva Sayalı Vaqif</v>
          </cell>
          <cell r="C1886" t="str">
            <v>Satış kanalları departamenti</v>
          </cell>
          <cell r="D1886" t="str">
            <v>Əlaqə mərkəzi şöbəsi</v>
          </cell>
          <cell r="E1886" t="str">
            <v>Onlayn xidmətlər bölməsi</v>
          </cell>
          <cell r="F1886" t="str">
            <v>Kiçik mütəxəssis (müvəqqəti) (0,5 ştat vahidi üzrə əvəzçilik qaydasında)</v>
          </cell>
          <cell r="G1886" t="str">
            <v>A</v>
          </cell>
          <cell r="H1886">
            <v>46251</v>
          </cell>
        </row>
        <row r="1887">
          <cell r="B1887" t="str">
            <v>Bayramova Nərmin Fəti</v>
          </cell>
          <cell r="C1887" t="str">
            <v>Satış kanalları departamenti</v>
          </cell>
          <cell r="D1887" t="str">
            <v>Əlaqə mərkəzi şöbəsi</v>
          </cell>
          <cell r="E1887" t="str">
            <v>Onlayn xidmətlər bölməsi</v>
          </cell>
          <cell r="F1887" t="str">
            <v>Mütəxəssis (müvəqqəti)</v>
          </cell>
          <cell r="G1887" t="str">
            <v>SM</v>
          </cell>
          <cell r="H1887">
            <v>44713</v>
          </cell>
        </row>
        <row r="1888">
          <cell r="B1888" t="str">
            <v>Süleymanlı Kamran Sənan</v>
          </cell>
          <cell r="C1888" t="str">
            <v>Satış kanalları departamenti</v>
          </cell>
          <cell r="D1888" t="str">
            <v>Əlaqə mərkəzi şöbəsi</v>
          </cell>
          <cell r="E1888" t="str">
            <v>Onlayn xidmətlər bölməsi</v>
          </cell>
          <cell r="F1888" t="str">
            <v>Kiçik mütəxəssis (müvəqqəti)</v>
          </cell>
          <cell r="G1888" t="str">
            <v>A</v>
          </cell>
          <cell r="H1888">
            <v>45853</v>
          </cell>
        </row>
        <row r="1889">
          <cell r="B1889" t="str">
            <v>Ağaməmmədova Lalə Əhməd</v>
          </cell>
          <cell r="C1889" t="str">
            <v>Satış kanalları departamenti</v>
          </cell>
          <cell r="D1889" t="str">
            <v>Əlaqə mərkəzi şöbəsi</v>
          </cell>
          <cell r="E1889" t="str">
            <v>Onlayn xidmətlər bölməsi</v>
          </cell>
          <cell r="F1889" t="str">
            <v>Mütəxəssis</v>
          </cell>
          <cell r="G1889" t="str">
            <v>SM</v>
          </cell>
          <cell r="H1889">
            <v>43777</v>
          </cell>
        </row>
        <row r="1890">
          <cell r="B1890" t="str">
            <v>Məmmədova Fatimə Rövşən</v>
          </cell>
          <cell r="C1890" t="str">
            <v>Satış kanalları departamenti</v>
          </cell>
          <cell r="D1890" t="str">
            <v>Əlaqə mərkəzi şöbəsi</v>
          </cell>
          <cell r="E1890" t="str">
            <v>Onlayn xidmətlər bölməsi</v>
          </cell>
          <cell r="F1890" t="str">
            <v>Mütəxəssis (müvəqqəti)</v>
          </cell>
          <cell r="G1890" t="str">
            <v>A</v>
          </cell>
          <cell r="H1890">
            <v>45275</v>
          </cell>
        </row>
        <row r="1891">
          <cell r="B1891" t="str">
            <v>Səmədova Natəvan Bəyyar</v>
          </cell>
          <cell r="C1891" t="str">
            <v>Satış kanalları departamenti</v>
          </cell>
          <cell r="D1891" t="str">
            <v>Əlaqə mərkəzi şöbəsi</v>
          </cell>
          <cell r="E1891" t="str">
            <v>Onlayn xidmətlər bölməsi</v>
          </cell>
          <cell r="F1891" t="str">
            <v>Mütəxəssis</v>
          </cell>
          <cell r="G1891" t="str">
            <v>SM</v>
          </cell>
          <cell r="H1891">
            <v>44539</v>
          </cell>
        </row>
        <row r="1892">
          <cell r="B1892" t="str">
            <v>Bağırzadə Elmar Rahid</v>
          </cell>
          <cell r="C1892" t="str">
            <v>Satış kanalları departamenti</v>
          </cell>
          <cell r="D1892" t="str">
            <v>Əlaqə mərkəzi şöbəsi</v>
          </cell>
          <cell r="E1892" t="str">
            <v>Onlayn xidmətlər bölməsi</v>
          </cell>
          <cell r="F1892" t="str">
            <v>Mütəxəssis (müvəqqəti)</v>
          </cell>
          <cell r="G1892" t="str">
            <v>A</v>
          </cell>
          <cell r="H1892">
            <v>44699</v>
          </cell>
        </row>
        <row r="1893">
          <cell r="B1893" t="str">
            <v>Vahabova Amaliya Azad</v>
          </cell>
          <cell r="C1893" t="str">
            <v>Satış kanalları departamenti</v>
          </cell>
          <cell r="D1893" t="str">
            <v>Əlaqə mərkəzi şöbəsi</v>
          </cell>
          <cell r="E1893" t="str">
            <v>Onlayn xidmətlər bölməsi</v>
          </cell>
          <cell r="F1893" t="str">
            <v>Mütəxəssis</v>
          </cell>
          <cell r="G1893" t="str">
            <v>SM</v>
          </cell>
          <cell r="H1893">
            <v>44551</v>
          </cell>
        </row>
        <row r="1894">
          <cell r="B1894" t="str">
            <v>Kazımlı Ülvü Eldəniz</v>
          </cell>
          <cell r="C1894" t="str">
            <v>Satış kanalları departamenti</v>
          </cell>
          <cell r="D1894" t="str">
            <v>Əlaqə mərkəzi şöbəsi</v>
          </cell>
          <cell r="E1894" t="str">
            <v>Onlayn xidmətlər bölməsi</v>
          </cell>
          <cell r="F1894" t="str">
            <v>Kiçik mütəxəssis (müvəqqəti)</v>
          </cell>
          <cell r="G1894" t="str">
            <v>A</v>
          </cell>
          <cell r="H1894">
            <v>45828</v>
          </cell>
        </row>
        <row r="1895">
          <cell r="B1895" t="str">
            <v>Məmmədova Günel Habil</v>
          </cell>
          <cell r="C1895" t="str">
            <v>Satış kanalları departamenti</v>
          </cell>
          <cell r="D1895" t="str">
            <v>Əlaqə mərkəzi şöbəsi</v>
          </cell>
          <cell r="E1895" t="str">
            <v>Onlayn xidmətlər bölməsi</v>
          </cell>
          <cell r="F1895" t="str">
            <v>Mütəxəssis</v>
          </cell>
          <cell r="G1895" t="str">
            <v>A</v>
          </cell>
          <cell r="H1895">
            <v>44551</v>
          </cell>
        </row>
        <row r="1896">
          <cell r="B1896" t="str">
            <v>Müseyibli Telli İlham</v>
          </cell>
          <cell r="C1896" t="str">
            <v>Satış kanalları departamenti</v>
          </cell>
          <cell r="D1896" t="str">
            <v>Əlaqə mərkəzi şöbəsi</v>
          </cell>
          <cell r="E1896" t="str">
            <v>Onlayn xidmətlər bölməsi</v>
          </cell>
          <cell r="F1896" t="str">
            <v>Mütəxəssis (0,5 ştat vahidi üzrə əvəzçilik qaydasında)</v>
          </cell>
          <cell r="G1896" t="str">
            <v>A</v>
          </cell>
          <cell r="H1896">
            <v>44356</v>
          </cell>
        </row>
        <row r="1897">
          <cell r="B1897" t="str">
            <v>Verdiyev Yusif Azad</v>
          </cell>
          <cell r="C1897" t="str">
            <v>Satış kanalları departamenti</v>
          </cell>
          <cell r="D1897" t="str">
            <v>Əlaqə mərkəzi şöbəsi</v>
          </cell>
          <cell r="E1897" t="str">
            <v>Onlayn xidmətlər bölməsi</v>
          </cell>
          <cell r="F1897" t="str">
            <v>Mütəxəssis</v>
          </cell>
          <cell r="G1897" t="str">
            <v>A</v>
          </cell>
          <cell r="H1897">
            <v>45527</v>
          </cell>
        </row>
        <row r="1898">
          <cell r="B1898" t="str">
            <v>Rzazadə Əkrəm Rəşid</v>
          </cell>
          <cell r="C1898" t="str">
            <v>Satış kanalları departamenti</v>
          </cell>
          <cell r="D1898" t="str">
            <v>Əlaqə mərkəzi şöbəsi</v>
          </cell>
          <cell r="E1898" t="str">
            <v>Onlayn xidmətlər bölməsi</v>
          </cell>
          <cell r="F1898" t="str">
            <v>Kiçik mütəxəssis (0,5 ştat vahidi üzrə əvəzçilik qaydasında)</v>
          </cell>
          <cell r="G1898" t="str">
            <v>A</v>
          </cell>
          <cell r="H1898">
            <v>45652</v>
          </cell>
        </row>
        <row r="1899">
          <cell r="B1899" t="str">
            <v>Hacıyev Dadaş İntiqam</v>
          </cell>
          <cell r="C1899" t="str">
            <v>Satış kanalları departamenti</v>
          </cell>
          <cell r="D1899" t="str">
            <v>Əlaqə mərkəzi şöbəsi</v>
          </cell>
          <cell r="E1899" t="str">
            <v>Onlayn xidmətlər bölməsi</v>
          </cell>
          <cell r="F1899" t="str">
            <v>Kiçik mütəxəssis (0,5 ştat vahidi üzrə əvəzçilik qaydasında)</v>
          </cell>
          <cell r="G1899" t="str">
            <v>A</v>
          </cell>
          <cell r="H1899">
            <v>45749</v>
          </cell>
        </row>
        <row r="1900">
          <cell r="B1900" t="str">
            <v>Məstanov Fərid İsmayıl</v>
          </cell>
          <cell r="C1900" t="str">
            <v>Satış kanalları departamenti</v>
          </cell>
          <cell r="D1900" t="str">
            <v>Əlaqə mərkəzi şöbəsi</v>
          </cell>
          <cell r="E1900" t="str">
            <v>Telefon mərkəzi bölməsi</v>
          </cell>
          <cell r="F1900" t="str">
            <v>Bölmə rəhbəri</v>
          </cell>
          <cell r="G1900" t="str">
            <v>A</v>
          </cell>
          <cell r="H1900">
            <v>45184</v>
          </cell>
        </row>
        <row r="1901">
          <cell r="B1901" t="str">
            <v>Gözəlova Mehri Mehdi</v>
          </cell>
          <cell r="C1901" t="str">
            <v>Satış kanalları departamenti</v>
          </cell>
          <cell r="D1901" t="str">
            <v>Əlaqə mərkəzi şöbəsi</v>
          </cell>
          <cell r="E1901" t="str">
            <v>Telefon mərkəzi bölməsi</v>
          </cell>
          <cell r="F1901" t="str">
            <v>Qrup rəhbəri</v>
          </cell>
          <cell r="G1901" t="str">
            <v>A</v>
          </cell>
          <cell r="H1901">
            <v>43853</v>
          </cell>
        </row>
        <row r="1902">
          <cell r="B1902" t="str">
            <v>Bünyət Zadə Orxan İlqar</v>
          </cell>
          <cell r="C1902" t="str">
            <v>Satış kanalları departamenti</v>
          </cell>
          <cell r="D1902" t="str">
            <v>Əlaqə mərkəzi şöbəsi</v>
          </cell>
          <cell r="E1902" t="str">
            <v>Telefon mərkəzi bölməsi</v>
          </cell>
          <cell r="F1902" t="str">
            <v>Qrup rəhbəri</v>
          </cell>
          <cell r="G1902" t="str">
            <v>A</v>
          </cell>
          <cell r="H1902">
            <v>43929</v>
          </cell>
        </row>
        <row r="1903">
          <cell r="B1903" t="str">
            <v>Qurbanov Cahandar Arzu</v>
          </cell>
          <cell r="C1903" t="str">
            <v>Satış kanalları departamenti</v>
          </cell>
          <cell r="D1903" t="str">
            <v>Əlaqə mərkəzi şöbəsi</v>
          </cell>
          <cell r="E1903" t="str">
            <v>Telefon mərkəzi bölməsi</v>
          </cell>
          <cell r="F1903" t="str">
            <v>Qrup rəhbəri</v>
          </cell>
          <cell r="G1903" t="str">
            <v>A</v>
          </cell>
          <cell r="H1903">
            <v>43931</v>
          </cell>
        </row>
        <row r="1904">
          <cell r="B1904" t="str">
            <v>Vəlizadə Gülşən Elşən</v>
          </cell>
          <cell r="C1904" t="str">
            <v>Satış kanalları departamenti</v>
          </cell>
          <cell r="D1904" t="str">
            <v>Əlaqə mərkəzi şöbəsi</v>
          </cell>
          <cell r="E1904" t="str">
            <v>Telefon mərkəzi bölməsi</v>
          </cell>
          <cell r="F1904" t="str">
            <v>Qrup rəhbəri</v>
          </cell>
          <cell r="G1904" t="str">
            <v>A</v>
          </cell>
          <cell r="H1904">
            <v>42797</v>
          </cell>
        </row>
        <row r="1905">
          <cell r="B1905" t="str">
            <v>Mirzəyev Ənvər Ağamirzə</v>
          </cell>
          <cell r="C1905" t="str">
            <v>Satış kanalları departamenti</v>
          </cell>
          <cell r="D1905" t="str">
            <v>Əlaqə mərkəzi şöbəsi</v>
          </cell>
          <cell r="E1905" t="str">
            <v>Telefon mərkəzi bölməsi</v>
          </cell>
          <cell r="F1905" t="str">
            <v>Qrup rəhbəri</v>
          </cell>
          <cell r="G1905" t="str">
            <v>A</v>
          </cell>
          <cell r="H1905">
            <v>44551</v>
          </cell>
        </row>
        <row r="1906">
          <cell r="B1906" t="str">
            <v>Əlizadə Saleh Zaur</v>
          </cell>
          <cell r="C1906" t="str">
            <v>Satış kanalları departamenti</v>
          </cell>
          <cell r="D1906" t="str">
            <v>Əlaqə mərkəzi şöbəsi</v>
          </cell>
          <cell r="E1906" t="str">
            <v>Telefon mərkəzi bölməsi</v>
          </cell>
          <cell r="F1906" t="str">
            <v>Qrup rəhbəri</v>
          </cell>
          <cell r="G1906" t="str">
            <v>A</v>
          </cell>
          <cell r="H1906">
            <v>44538</v>
          </cell>
        </row>
        <row r="1907">
          <cell r="B1907" t="str">
            <v>Kərimli Xavər Rauf</v>
          </cell>
          <cell r="C1907" t="str">
            <v>Satış kanalları departamenti</v>
          </cell>
          <cell r="D1907" t="str">
            <v>Əlaqə mərkəzi şöbəsi</v>
          </cell>
          <cell r="E1907" t="str">
            <v>Telefon mərkəzi bölməsi</v>
          </cell>
          <cell r="F1907" t="str">
            <v>Qrup rəhbəri</v>
          </cell>
          <cell r="G1907" t="str">
            <v>A</v>
          </cell>
          <cell r="H1907">
            <v>44876</v>
          </cell>
        </row>
        <row r="1908">
          <cell r="B1908" t="str">
            <v>İbrahimova Aydan Ağa Mehdi</v>
          </cell>
          <cell r="C1908" t="str">
            <v>Satış kanalları departamenti</v>
          </cell>
          <cell r="D1908" t="str">
            <v>Əlaqə mərkəzi şöbəsi</v>
          </cell>
          <cell r="E1908" t="str">
            <v>Telefon mərkəzi bölməsi</v>
          </cell>
          <cell r="F1908" t="str">
            <v>Aparıcı mütəxəssis</v>
          </cell>
          <cell r="G1908" t="str">
            <v>A</v>
          </cell>
          <cell r="H1908">
            <v>44551</v>
          </cell>
        </row>
        <row r="1909">
          <cell r="B1909" t="str">
            <v>Hüseynova Şəbnəm Əliqismət</v>
          </cell>
          <cell r="C1909" t="str">
            <v>Satış kanalları departamenti</v>
          </cell>
          <cell r="D1909" t="str">
            <v>Əlaqə mərkəzi şöbəsi</v>
          </cell>
          <cell r="E1909" t="str">
            <v>Telefon mərkəzi bölməsi</v>
          </cell>
          <cell r="F1909" t="str">
            <v>Qrup rəhbəri</v>
          </cell>
          <cell r="G1909" t="str">
            <v>A</v>
          </cell>
          <cell r="H1909">
            <v>44932</v>
          </cell>
        </row>
        <row r="1910">
          <cell r="B1910" t="str">
            <v>Seyidova Əsmər Səbuhi</v>
          </cell>
          <cell r="C1910" t="str">
            <v>Satış kanalları departamenti</v>
          </cell>
          <cell r="D1910" t="str">
            <v>Əlaqə mərkəzi şöbəsi</v>
          </cell>
          <cell r="E1910" t="str">
            <v>Telefon mərkəzi bölməsi</v>
          </cell>
          <cell r="F1910" t="str">
            <v>Aparıcı mütəxəssis</v>
          </cell>
          <cell r="G1910" t="str">
            <v>A</v>
          </cell>
          <cell r="H1910">
            <v>44903</v>
          </cell>
        </row>
        <row r="1911">
          <cell r="B1911" t="str">
            <v>Əliyeva Tangiz Fizuli</v>
          </cell>
          <cell r="C1911" t="str">
            <v>Satış kanalları departamenti</v>
          </cell>
          <cell r="D1911" t="str">
            <v>Əlaqə mərkəzi şöbəsi</v>
          </cell>
          <cell r="E1911" t="str">
            <v>Telefon mərkəzi bölməsi</v>
          </cell>
          <cell r="F1911" t="str">
            <v>Aparıcı mütəxəssis</v>
          </cell>
          <cell r="G1911" t="str">
            <v>A</v>
          </cell>
          <cell r="H1911">
            <v>43866</v>
          </cell>
        </row>
        <row r="1912">
          <cell r="B1912" t="str">
            <v>Allahverdiyev Sənan Məhərrəm</v>
          </cell>
          <cell r="C1912" t="str">
            <v>Satış kanalları departamenti</v>
          </cell>
          <cell r="D1912" t="str">
            <v>Əlaqə mərkəzi şöbəsi</v>
          </cell>
          <cell r="E1912" t="str">
            <v>Telefon mərkəzi bölməsi</v>
          </cell>
          <cell r="F1912" t="str">
            <v>Mütəxəssis</v>
          </cell>
          <cell r="G1912" t="str">
            <v>A</v>
          </cell>
          <cell r="H1912">
            <v>43931</v>
          </cell>
        </row>
        <row r="1913">
          <cell r="B1913" t="str">
            <v>Abasquliyev Məmmədəli Zöhrab</v>
          </cell>
          <cell r="C1913" t="str">
            <v>Satış kanalları departamenti</v>
          </cell>
          <cell r="D1913" t="str">
            <v>Əlaqə mərkəzi şöbəsi</v>
          </cell>
          <cell r="E1913" t="str">
            <v>Telefon mərkəzi bölməsi</v>
          </cell>
          <cell r="F1913" t="str">
            <v>Mütəxəssis</v>
          </cell>
          <cell r="G1913" t="str">
            <v>A</v>
          </cell>
          <cell r="H1913">
            <v>44494</v>
          </cell>
        </row>
        <row r="1914">
          <cell r="B1914" t="str">
            <v>Mehdiyeva Günay Musa</v>
          </cell>
          <cell r="C1914" t="str">
            <v>Satış kanalları departamenti</v>
          </cell>
          <cell r="D1914" t="str">
            <v>Əlaqə mərkəzi şöbəsi</v>
          </cell>
          <cell r="E1914" t="str">
            <v>Telefon mərkəzi bölməsi</v>
          </cell>
          <cell r="F1914" t="str">
            <v>Mütəxəssis</v>
          </cell>
          <cell r="G1914" t="str">
            <v>A</v>
          </cell>
          <cell r="H1914">
            <v>44539</v>
          </cell>
        </row>
        <row r="1915">
          <cell r="B1915" t="str">
            <v>Mübarizli Firuzə Vüqar</v>
          </cell>
          <cell r="C1915" t="str">
            <v>Satış kanalları departamenti</v>
          </cell>
          <cell r="D1915" t="str">
            <v>Əlaqə mərkəzi şöbəsi</v>
          </cell>
          <cell r="E1915" t="str">
            <v>Telefon mərkəzi bölməsi</v>
          </cell>
          <cell r="F1915" t="str">
            <v>Mütəxəssis</v>
          </cell>
          <cell r="G1915" t="str">
            <v>HX</v>
          </cell>
          <cell r="H1915">
            <v>44539</v>
          </cell>
        </row>
        <row r="1916">
          <cell r="B1916" t="str">
            <v>İsgəndərli Əli Budaq</v>
          </cell>
          <cell r="C1916" t="str">
            <v>Satış kanalları departamenti</v>
          </cell>
          <cell r="D1916" t="str">
            <v>Əlaqə mərkəzi şöbəsi</v>
          </cell>
          <cell r="E1916" t="str">
            <v>Telefon mərkəzi bölməsi</v>
          </cell>
          <cell r="F1916" t="str">
            <v>Mütəxəssis (müvəqqəti)</v>
          </cell>
          <cell r="G1916" t="str">
            <v>A</v>
          </cell>
          <cell r="H1916">
            <v>46275</v>
          </cell>
        </row>
        <row r="1917">
          <cell r="B1917" t="str">
            <v>İsrafilova Nərmin Əvəz</v>
          </cell>
          <cell r="C1917" t="str">
            <v>Satış kanalları departamenti</v>
          </cell>
          <cell r="D1917" t="str">
            <v>Əlaqə mərkəzi şöbəsi</v>
          </cell>
          <cell r="E1917" t="str">
            <v>Telefon mərkəzi bölməsi</v>
          </cell>
          <cell r="F1917" t="str">
            <v>Mütəxəssis</v>
          </cell>
          <cell r="G1917" t="str">
            <v>A</v>
          </cell>
          <cell r="H1917">
            <v>44596</v>
          </cell>
        </row>
        <row r="1918">
          <cell r="B1918" t="str">
            <v>Səlimova Lalə Kərim</v>
          </cell>
          <cell r="C1918" t="str">
            <v>Satış kanalları departamenti</v>
          </cell>
          <cell r="D1918" t="str">
            <v>Əlaqə mərkəzi şöbəsi</v>
          </cell>
          <cell r="E1918" t="str">
            <v>Telefon mərkəzi bölməsi</v>
          </cell>
          <cell r="F1918" t="str">
            <v>Mütəxəssis</v>
          </cell>
          <cell r="G1918" t="str">
            <v>A</v>
          </cell>
          <cell r="H1918">
            <v>44603</v>
          </cell>
        </row>
        <row r="1919">
          <cell r="B1919" t="str">
            <v>İbrahimli Xeyrulla Məhəmməd</v>
          </cell>
          <cell r="C1919" t="str">
            <v>Satış kanalları departamenti</v>
          </cell>
          <cell r="D1919" t="str">
            <v>Əlaqə mərkəzi şöbəsi</v>
          </cell>
          <cell r="E1919" t="str">
            <v>Telefon mərkəzi bölməsi</v>
          </cell>
          <cell r="F1919" t="str">
            <v>Aparıcı mütəxəssis</v>
          </cell>
          <cell r="G1919" t="str">
            <v>A</v>
          </cell>
          <cell r="H1919">
            <v>44638</v>
          </cell>
        </row>
        <row r="1920">
          <cell r="B1920" t="str">
            <v>Eyyubova Şəhanə Ərəstun</v>
          </cell>
          <cell r="C1920" t="str">
            <v>Satış kanalları departamenti</v>
          </cell>
          <cell r="D1920" t="str">
            <v>Əlaqə mərkəzi şöbəsi</v>
          </cell>
          <cell r="E1920" t="str">
            <v>Telefon mərkəzi bölməsi</v>
          </cell>
          <cell r="F1920" t="str">
            <v>Mütəxəssis</v>
          </cell>
          <cell r="G1920" t="str">
            <v>A</v>
          </cell>
          <cell r="H1920">
            <v>44713</v>
          </cell>
        </row>
        <row r="1921">
          <cell r="B1921" t="str">
            <v>İsmayılova Aytəkin Barat</v>
          </cell>
          <cell r="C1921" t="str">
            <v>Satış kanalları departamenti</v>
          </cell>
          <cell r="D1921" t="str">
            <v>Əlaqə mərkəzi şöbəsi</v>
          </cell>
          <cell r="E1921" t="str">
            <v>Telefon mərkəzi bölməsi</v>
          </cell>
          <cell r="F1921" t="str">
            <v>Mütəxəssis</v>
          </cell>
          <cell r="G1921" t="str">
            <v>SM</v>
          </cell>
          <cell r="H1921">
            <v>44764</v>
          </cell>
        </row>
        <row r="1922">
          <cell r="B1922" t="str">
            <v>İsayev Əli Zaur</v>
          </cell>
          <cell r="C1922" t="str">
            <v>Satış kanalları departamenti</v>
          </cell>
          <cell r="D1922" t="str">
            <v>Əlaqə mərkəzi şöbəsi</v>
          </cell>
          <cell r="E1922" t="str">
            <v>Telefon mərkəzi bölməsi</v>
          </cell>
          <cell r="F1922" t="str">
            <v>Kiçik mütəxəssis (müvəqqəti)</v>
          </cell>
          <cell r="G1922" t="str">
            <v>A</v>
          </cell>
          <cell r="H1922">
            <v>46232</v>
          </cell>
        </row>
        <row r="1923">
          <cell r="B1923" t="str">
            <v>Eldarzadə Jalə İlham</v>
          </cell>
          <cell r="C1923" t="str">
            <v>Satış kanalları departamenti</v>
          </cell>
          <cell r="D1923" t="str">
            <v>Əlaqə mərkəzi şöbəsi</v>
          </cell>
          <cell r="E1923" t="str">
            <v>Telefon mərkəzi bölməsi</v>
          </cell>
          <cell r="F1923" t="str">
            <v>Mütəxəssis</v>
          </cell>
          <cell r="G1923" t="str">
            <v>A</v>
          </cell>
          <cell r="H1923">
            <v>44777</v>
          </cell>
        </row>
        <row r="1924">
          <cell r="B1924" t="str">
            <v>Paşayeva Könül Hüseyn</v>
          </cell>
          <cell r="C1924" t="str">
            <v>Satış kanalları departamenti</v>
          </cell>
          <cell r="D1924" t="str">
            <v>Əlaqə mərkəzi şöbəsi</v>
          </cell>
          <cell r="E1924" t="str">
            <v>Telefon mərkəzi bölməsi</v>
          </cell>
          <cell r="F1924" t="str">
            <v>Mütəxəssis</v>
          </cell>
          <cell r="G1924" t="str">
            <v>A</v>
          </cell>
          <cell r="H1924">
            <v>44623</v>
          </cell>
        </row>
        <row r="1925">
          <cell r="B1925" t="str">
            <v>Rzalı Nərgiz İlham</v>
          </cell>
          <cell r="C1925" t="str">
            <v>Satış kanalları departamenti</v>
          </cell>
          <cell r="D1925" t="str">
            <v>Əlaqə mərkəzi şöbəsi</v>
          </cell>
          <cell r="E1925" t="str">
            <v>Telefon mərkəzi bölməsi</v>
          </cell>
          <cell r="F1925" t="str">
            <v>Mütəxəssis</v>
          </cell>
          <cell r="G1925" t="str">
            <v>SM</v>
          </cell>
          <cell r="H1925">
            <v>44756</v>
          </cell>
        </row>
        <row r="1926">
          <cell r="B1926" t="str">
            <v>Əhmədova Ləman Əli</v>
          </cell>
          <cell r="C1926" t="str">
            <v>Satış kanalları departamenti</v>
          </cell>
          <cell r="D1926" t="str">
            <v>Əlaqə mərkəzi şöbəsi</v>
          </cell>
          <cell r="E1926" t="str">
            <v>Telefon mərkəzi bölməsi</v>
          </cell>
          <cell r="F1926" t="str">
            <v>Kiçik mütəxəssis (müvəqqəti)</v>
          </cell>
          <cell r="G1926" t="str">
            <v>A</v>
          </cell>
          <cell r="H1926">
            <v>46006</v>
          </cell>
        </row>
        <row r="1927">
          <cell r="B1927" t="str">
            <v>Bənnayeva Mehriban Ramiz</v>
          </cell>
          <cell r="C1927" t="str">
            <v>Satış kanalları departamenti</v>
          </cell>
          <cell r="D1927" t="str">
            <v>Əlaqə mərkəzi şöbəsi</v>
          </cell>
          <cell r="E1927" t="str">
            <v>Telefon mərkəzi bölməsi</v>
          </cell>
          <cell r="F1927" t="str">
            <v>Mütəxəssis</v>
          </cell>
          <cell r="G1927" t="str">
            <v>A</v>
          </cell>
          <cell r="H1927">
            <v>44854</v>
          </cell>
        </row>
        <row r="1928">
          <cell r="B1928" t="str">
            <v>İbadov Sahib Azər</v>
          </cell>
          <cell r="C1928" t="str">
            <v>Satış kanalları departamenti</v>
          </cell>
          <cell r="D1928" t="str">
            <v>Əlaqə mərkəzi şöbəsi</v>
          </cell>
          <cell r="E1928" t="str">
            <v>Telefon mərkəzi bölməsi</v>
          </cell>
          <cell r="F1928" t="str">
            <v>Aparıcı mütəxəssis</v>
          </cell>
          <cell r="G1928" t="str">
            <v>A</v>
          </cell>
          <cell r="H1928">
            <v>44858</v>
          </cell>
        </row>
        <row r="1929">
          <cell r="B1929" t="str">
            <v>Ağayeva Vüsalə Fizuli</v>
          </cell>
          <cell r="C1929" t="str">
            <v>Satış kanalları departamenti</v>
          </cell>
          <cell r="D1929" t="str">
            <v>Əlaqə mərkəzi şöbəsi</v>
          </cell>
          <cell r="E1929" t="str">
            <v>Telefon mərkəzi bölməsi</v>
          </cell>
          <cell r="F1929" t="str">
            <v>Mütəxəssis</v>
          </cell>
          <cell r="G1929" t="str">
            <v>A</v>
          </cell>
          <cell r="H1929">
            <v>44870</v>
          </cell>
        </row>
        <row r="1930">
          <cell r="B1930" t="str">
            <v>Qasımova Məxluqə Eldəniz</v>
          </cell>
          <cell r="C1930" t="str">
            <v>Satış kanalları departamenti</v>
          </cell>
          <cell r="D1930" t="str">
            <v>Əlaqə mərkəzi şöbəsi</v>
          </cell>
          <cell r="E1930" t="str">
            <v>Telefon mərkəzi bölməsi</v>
          </cell>
          <cell r="F1930" t="str">
            <v>Mütəxəssis</v>
          </cell>
          <cell r="G1930" t="str">
            <v>A</v>
          </cell>
          <cell r="H1930">
            <v>44875</v>
          </cell>
        </row>
        <row r="1931">
          <cell r="B1931" t="str">
            <v>İsmayılzadə Rəşid İsmayıl</v>
          </cell>
          <cell r="C1931" t="str">
            <v>Satış kanalları departamenti</v>
          </cell>
          <cell r="D1931" t="str">
            <v>Əlaqə mərkəzi şöbəsi</v>
          </cell>
          <cell r="E1931" t="str">
            <v>Telefon mərkəzi bölməsi</v>
          </cell>
          <cell r="F1931" t="str">
            <v>Mütəxəssis</v>
          </cell>
          <cell r="G1931" t="str">
            <v>A</v>
          </cell>
          <cell r="H1931">
            <v>44876</v>
          </cell>
        </row>
        <row r="1932">
          <cell r="B1932" t="str">
            <v>Qasımova Aytən Elçin</v>
          </cell>
          <cell r="C1932" t="str">
            <v>Satış kanalları departamenti</v>
          </cell>
          <cell r="D1932" t="str">
            <v>Əlaqə mərkəzi şöbəsi</v>
          </cell>
          <cell r="E1932" t="str">
            <v>Telefon mərkəzi bölməsi</v>
          </cell>
          <cell r="F1932" t="str">
            <v>Mütəxəssis</v>
          </cell>
          <cell r="G1932" t="str">
            <v>A</v>
          </cell>
          <cell r="H1932">
            <v>44893</v>
          </cell>
        </row>
        <row r="1933">
          <cell r="B1933" t="str">
            <v>Həsənova Dinarə Nurəddin</v>
          </cell>
          <cell r="C1933" t="str">
            <v>Satış kanalları departamenti</v>
          </cell>
          <cell r="D1933" t="str">
            <v>Əlaqə mərkəzi şöbəsi</v>
          </cell>
          <cell r="E1933" t="str">
            <v>Telefon mərkəzi bölməsi</v>
          </cell>
          <cell r="F1933" t="str">
            <v>Mütəxəssis</v>
          </cell>
          <cell r="G1933" t="str">
            <v>A</v>
          </cell>
          <cell r="H1933">
            <v>44887</v>
          </cell>
        </row>
        <row r="1934">
          <cell r="B1934" t="str">
            <v>Nağıyeva İlkanə Həsrət</v>
          </cell>
          <cell r="C1934" t="str">
            <v>Satış kanalları departamenti</v>
          </cell>
          <cell r="D1934" t="str">
            <v>Əlaqə mərkəzi şöbəsi</v>
          </cell>
          <cell r="E1934" t="str">
            <v>Telefon mərkəzi bölməsi</v>
          </cell>
          <cell r="F1934" t="str">
            <v>Mütəxəssis</v>
          </cell>
          <cell r="G1934" t="str">
            <v>A</v>
          </cell>
          <cell r="H1934">
            <v>44870</v>
          </cell>
        </row>
        <row r="1935">
          <cell r="B1935" t="str">
            <v>Novruzova Leyla Əzizağa</v>
          </cell>
          <cell r="C1935" t="str">
            <v>Satış kanalları departamenti</v>
          </cell>
          <cell r="D1935" t="str">
            <v>Əlaqə mərkəzi şöbəsi</v>
          </cell>
          <cell r="E1935" t="str">
            <v>Telefon mərkəzi bölməsi</v>
          </cell>
          <cell r="F1935" t="str">
            <v>Mütəxəssis</v>
          </cell>
          <cell r="G1935" t="str">
            <v>A</v>
          </cell>
          <cell r="H1935">
            <v>45000</v>
          </cell>
        </row>
        <row r="1936">
          <cell r="B1936" t="str">
            <v>Əliyeva Rəvanə Kamran</v>
          </cell>
          <cell r="C1936" t="str">
            <v>Satış kanalları departamenti</v>
          </cell>
          <cell r="D1936" t="str">
            <v>Əlaqə mərkəzi şöbəsi</v>
          </cell>
          <cell r="E1936" t="str">
            <v>Telefon mərkəzi bölməsi</v>
          </cell>
          <cell r="F1936" t="str">
            <v>Mütəxəssis</v>
          </cell>
          <cell r="G1936" t="str">
            <v>SM</v>
          </cell>
          <cell r="H1936">
            <v>44858</v>
          </cell>
        </row>
        <row r="1937">
          <cell r="B1937" t="str">
            <v>Məmmədli Arzu Calal</v>
          </cell>
          <cell r="C1937" t="str">
            <v>Satış kanalları departamenti</v>
          </cell>
          <cell r="D1937" t="str">
            <v>Əlaqə mərkəzi şöbəsi</v>
          </cell>
          <cell r="E1937" t="str">
            <v>Telefon mərkəzi bölməsi</v>
          </cell>
          <cell r="F1937" t="str">
            <v>Kiçik mütəxəssis (müvəqqəti)</v>
          </cell>
          <cell r="G1937" t="str">
            <v>A</v>
          </cell>
          <cell r="H1937">
            <v>46231</v>
          </cell>
        </row>
        <row r="1938">
          <cell r="B1938" t="str">
            <v>Sarıyeva Sona Elşad</v>
          </cell>
          <cell r="C1938" t="str">
            <v>Satış kanalları departamenti</v>
          </cell>
          <cell r="D1938" t="str">
            <v>Əlaqə mərkəzi şöbəsi</v>
          </cell>
          <cell r="E1938" t="str">
            <v>Telefon mərkəzi bölməsi</v>
          </cell>
          <cell r="F1938" t="str">
            <v>Mütəxəssis</v>
          </cell>
          <cell r="G1938" t="str">
            <v>A</v>
          </cell>
          <cell r="H1938">
            <v>44875</v>
          </cell>
        </row>
        <row r="1939">
          <cell r="B1939" t="str">
            <v>Əliyev Ülvi Şöhrət</v>
          </cell>
          <cell r="C1939" t="str">
            <v>Satış kanalları departamenti</v>
          </cell>
          <cell r="D1939" t="str">
            <v>Əlaqə mərkəzi şöbəsi</v>
          </cell>
          <cell r="E1939" t="str">
            <v>Telefon mərkəzi bölməsi</v>
          </cell>
          <cell r="F1939" t="str">
            <v>Mütəxəssis</v>
          </cell>
          <cell r="G1939" t="str">
            <v>A</v>
          </cell>
          <cell r="H1939">
            <v>44936</v>
          </cell>
        </row>
        <row r="1940">
          <cell r="B1940" t="str">
            <v>İbrahimli Zərifə Sərdar</v>
          </cell>
          <cell r="C1940" t="str">
            <v>Satış kanalları departamenti</v>
          </cell>
          <cell r="D1940" t="str">
            <v>Əlaqə mərkəzi şöbəsi</v>
          </cell>
          <cell r="E1940" t="str">
            <v>Telefon mərkəzi bölməsi</v>
          </cell>
          <cell r="F1940" t="str">
            <v>Mütəxəssis</v>
          </cell>
          <cell r="G1940" t="str">
            <v>A</v>
          </cell>
          <cell r="H1940">
            <v>44936</v>
          </cell>
        </row>
        <row r="1941">
          <cell r="B1941" t="str">
            <v>Əliyeva Aytac İlqar</v>
          </cell>
          <cell r="C1941" t="str">
            <v>Satış kanalları departamenti</v>
          </cell>
          <cell r="D1941" t="str">
            <v>Əlaqə mərkəzi şöbəsi</v>
          </cell>
          <cell r="E1941" t="str">
            <v>Telefon mərkəzi bölməsi</v>
          </cell>
          <cell r="F1941" t="str">
            <v>Mütəxəssis</v>
          </cell>
          <cell r="G1941" t="str">
            <v>A</v>
          </cell>
          <cell r="H1941">
            <v>44936</v>
          </cell>
        </row>
        <row r="1942">
          <cell r="B1942" t="str">
            <v>Xudiyeva Aydan Azadi</v>
          </cell>
          <cell r="C1942" t="str">
            <v>Satış kanalları departamenti</v>
          </cell>
          <cell r="D1942" t="str">
            <v>Əlaqə mərkəzi şöbəsi</v>
          </cell>
          <cell r="E1942" t="str">
            <v>Telefon mərkəzi bölməsi</v>
          </cell>
          <cell r="F1942" t="str">
            <v>Mütəxəssis</v>
          </cell>
          <cell r="G1942" t="str">
            <v>A</v>
          </cell>
          <cell r="H1942">
            <v>45019</v>
          </cell>
        </row>
        <row r="1943">
          <cell r="B1943" t="str">
            <v>Əliyeva Jalə İlcan</v>
          </cell>
          <cell r="C1943" t="str">
            <v>Satış kanalları departamenti</v>
          </cell>
          <cell r="D1943" t="str">
            <v>Əlaqə mərkəzi şöbəsi</v>
          </cell>
          <cell r="E1943" t="str">
            <v>Telefon mərkəzi bölməsi</v>
          </cell>
          <cell r="F1943" t="str">
            <v>Mütəxəssis</v>
          </cell>
          <cell r="G1943" t="str">
            <v>A</v>
          </cell>
          <cell r="H1943">
            <v>45027</v>
          </cell>
        </row>
        <row r="1944">
          <cell r="B1944" t="str">
            <v>Əhmədova Lalə Rasim</v>
          </cell>
          <cell r="C1944" t="str">
            <v>Satış kanalları departamenti</v>
          </cell>
          <cell r="D1944" t="str">
            <v>Əlaqə mərkəzi şöbəsi</v>
          </cell>
          <cell r="E1944" t="str">
            <v>Telefon mərkəzi bölməsi</v>
          </cell>
          <cell r="F1944" t="str">
            <v>Mütəxəssis</v>
          </cell>
          <cell r="G1944" t="str">
            <v>A</v>
          </cell>
          <cell r="H1944">
            <v>45042</v>
          </cell>
        </row>
        <row r="1945">
          <cell r="B1945" t="str">
            <v>Hüseynova Gülşən Rövşən</v>
          </cell>
          <cell r="C1945" t="str">
            <v>Satış kanalları departamenti</v>
          </cell>
          <cell r="D1945" t="str">
            <v>Əlaqə mərkəzi şöbəsi</v>
          </cell>
          <cell r="E1945" t="str">
            <v>Telefon mərkəzi bölməsi</v>
          </cell>
          <cell r="F1945" t="str">
            <v>Mütəxəssis</v>
          </cell>
          <cell r="G1945" t="str">
            <v>A</v>
          </cell>
          <cell r="H1945">
            <v>45126</v>
          </cell>
        </row>
        <row r="1946">
          <cell r="B1946" t="str">
            <v>Həsənova Şəhla Vüqar</v>
          </cell>
          <cell r="C1946" t="str">
            <v>Satış kanalları departamenti</v>
          </cell>
          <cell r="D1946" t="str">
            <v>Əlaqə mərkəzi şöbəsi</v>
          </cell>
          <cell r="E1946" t="str">
            <v>Telefon mərkəzi bölməsi</v>
          </cell>
          <cell r="F1946" t="str">
            <v>Aparıcı mütəxəssis</v>
          </cell>
          <cell r="G1946" t="str">
            <v>A</v>
          </cell>
          <cell r="H1946">
            <v>45128</v>
          </cell>
        </row>
        <row r="1947">
          <cell r="B1947" t="str">
            <v>Fərzəliyeva Lamiyə Şahin</v>
          </cell>
          <cell r="C1947" t="str">
            <v>Satış kanalları departamenti</v>
          </cell>
          <cell r="D1947" t="str">
            <v>Əlaqə mərkəzi şöbəsi</v>
          </cell>
          <cell r="E1947" t="str">
            <v>Telefon mərkəzi bölməsi</v>
          </cell>
          <cell r="F1947" t="str">
            <v>Mütəxəssis</v>
          </cell>
          <cell r="G1947" t="str">
            <v>A</v>
          </cell>
          <cell r="H1947">
            <v>45140</v>
          </cell>
        </row>
        <row r="1948">
          <cell r="B1948" t="str">
            <v>Qurbanova Sevinc Qurban</v>
          </cell>
          <cell r="C1948" t="str">
            <v>Satış kanalları departamenti</v>
          </cell>
          <cell r="D1948" t="str">
            <v>Əlaqə mərkəzi şöbəsi</v>
          </cell>
          <cell r="E1948" t="str">
            <v>Telefon mərkəzi bölməsi</v>
          </cell>
          <cell r="F1948" t="str">
            <v>Mütəxəssis</v>
          </cell>
          <cell r="G1948" t="str">
            <v>A</v>
          </cell>
          <cell r="H1948">
            <v>43896</v>
          </cell>
        </row>
        <row r="1949">
          <cell r="B1949" t="str">
            <v>Süleymanzadə Ülkər Süleyman</v>
          </cell>
          <cell r="C1949" t="str">
            <v>Satış kanalları departamenti</v>
          </cell>
          <cell r="D1949" t="str">
            <v>Əlaqə mərkəzi şöbəsi</v>
          </cell>
          <cell r="E1949" t="str">
            <v>Telefon mərkəzi bölməsi</v>
          </cell>
          <cell r="F1949" t="str">
            <v>Mütəxəssis</v>
          </cell>
          <cell r="G1949" t="str">
            <v>A</v>
          </cell>
          <cell r="H1949">
            <v>45140</v>
          </cell>
        </row>
        <row r="1950">
          <cell r="B1950" t="str">
            <v>İsmayılzadə Abdullah Rafiq</v>
          </cell>
          <cell r="C1950" t="str">
            <v>Satış kanalları departamenti</v>
          </cell>
          <cell r="D1950" t="str">
            <v>Əlaqə mərkəzi şöbəsi</v>
          </cell>
          <cell r="E1950" t="str">
            <v>Telefon mərkəzi bölməsi</v>
          </cell>
          <cell r="F1950" t="str">
            <v>Mütəxəssis</v>
          </cell>
          <cell r="G1950" t="str">
            <v>A</v>
          </cell>
          <cell r="H1950">
            <v>45086</v>
          </cell>
        </row>
        <row r="1951">
          <cell r="B1951" t="str">
            <v>Məmmədova Fatimə Urfan</v>
          </cell>
          <cell r="C1951" t="str">
            <v>Satış kanalları departamenti</v>
          </cell>
          <cell r="D1951" t="str">
            <v>Əlaqə mərkəzi şöbəsi</v>
          </cell>
          <cell r="E1951" t="str">
            <v>Telefon mərkəzi bölməsi</v>
          </cell>
          <cell r="F1951" t="str">
            <v>Mütəxəssis</v>
          </cell>
          <cell r="G1951" t="str">
            <v>A</v>
          </cell>
          <cell r="H1951">
            <v>45226</v>
          </cell>
        </row>
        <row r="1952">
          <cell r="B1952" t="str">
            <v>Yaqubzadə Nigar Mübariz</v>
          </cell>
          <cell r="C1952" t="str">
            <v>Satış kanalları departamenti</v>
          </cell>
          <cell r="D1952" t="str">
            <v>Əlaqə mərkəzi şöbəsi</v>
          </cell>
          <cell r="E1952" t="str">
            <v>Telefon mərkəzi bölməsi</v>
          </cell>
          <cell r="F1952" t="str">
            <v>Mütəxəssis</v>
          </cell>
          <cell r="G1952" t="str">
            <v>A</v>
          </cell>
          <cell r="H1952">
            <v>45250</v>
          </cell>
        </row>
        <row r="1953">
          <cell r="B1953" t="str">
            <v>Nəsibov Şahmar Məmməd</v>
          </cell>
          <cell r="C1953" t="str">
            <v>Satış kanalları departamenti</v>
          </cell>
          <cell r="D1953" t="str">
            <v>Əlaqə mərkəzi şöbəsi</v>
          </cell>
          <cell r="E1953" t="str">
            <v>Telefon mərkəzi bölməsi</v>
          </cell>
          <cell r="F1953" t="str">
            <v>Mütəxəssis</v>
          </cell>
          <cell r="G1953" t="str">
            <v>A</v>
          </cell>
          <cell r="H1953">
            <v>45236</v>
          </cell>
        </row>
        <row r="1954">
          <cell r="B1954" t="str">
            <v>Əsgərova Zəhra Cəbrayıl</v>
          </cell>
          <cell r="C1954" t="str">
            <v>Satış kanalları departamenti</v>
          </cell>
          <cell r="D1954" t="str">
            <v>Əlaqə mərkəzi şöbəsi</v>
          </cell>
          <cell r="E1954" t="str">
            <v>Telefon mərkəzi bölməsi</v>
          </cell>
          <cell r="F1954" t="str">
            <v>Mütəxəssis</v>
          </cell>
          <cell r="G1954" t="str">
            <v>A</v>
          </cell>
          <cell r="H1954">
            <v>45191</v>
          </cell>
        </row>
        <row r="1955">
          <cell r="B1955" t="str">
            <v>Rüstəmov İlkin Sabir</v>
          </cell>
          <cell r="C1955" t="str">
            <v>Satış kanalları departamenti</v>
          </cell>
          <cell r="D1955" t="str">
            <v>Əlaqə mərkəzi şöbəsi</v>
          </cell>
          <cell r="E1955" t="str">
            <v>Telefon mərkəzi bölməsi</v>
          </cell>
          <cell r="F1955" t="str">
            <v>Aparıcı mütəxəssis</v>
          </cell>
          <cell r="G1955" t="str">
            <v>A</v>
          </cell>
          <cell r="H1955">
            <v>44795</v>
          </cell>
        </row>
        <row r="1956">
          <cell r="B1956" t="str">
            <v>Abasov Ramin Nazim</v>
          </cell>
          <cell r="C1956" t="str">
            <v>Satış kanalları departamenti</v>
          </cell>
          <cell r="D1956" t="str">
            <v>Əlaqə mərkəzi şöbəsi</v>
          </cell>
          <cell r="E1956" t="str">
            <v>Telefon mərkəzi bölməsi</v>
          </cell>
          <cell r="F1956" t="str">
            <v>Mütəxəssis</v>
          </cell>
          <cell r="G1956" t="str">
            <v>A</v>
          </cell>
          <cell r="H1956">
            <v>45177</v>
          </cell>
        </row>
        <row r="1957">
          <cell r="B1957" t="str">
            <v>Cabbarlı Aysel Dilqəm</v>
          </cell>
          <cell r="C1957" t="str">
            <v>Satış kanalları departamenti</v>
          </cell>
          <cell r="D1957" t="str">
            <v>Əlaqə mərkəzi şöbəsi</v>
          </cell>
          <cell r="E1957" t="str">
            <v>Telefon mərkəzi bölməsi</v>
          </cell>
          <cell r="F1957" t="str">
            <v>Mütəxəssis</v>
          </cell>
          <cell r="G1957" t="str">
            <v>A</v>
          </cell>
          <cell r="H1957">
            <v>44720</v>
          </cell>
        </row>
        <row r="1958">
          <cell r="B1958" t="str">
            <v>Piriyeva Nəzrin Niyazi</v>
          </cell>
          <cell r="C1958" t="str">
            <v>Satış kanalları departamenti</v>
          </cell>
          <cell r="D1958" t="str">
            <v>Əlaqə mərkəzi şöbəsi</v>
          </cell>
          <cell r="E1958" t="str">
            <v>Telefon mərkəzi bölməsi</v>
          </cell>
          <cell r="F1958" t="str">
            <v>Mütəxəssis</v>
          </cell>
          <cell r="G1958" t="str">
            <v>A</v>
          </cell>
          <cell r="H1958">
            <v>44755</v>
          </cell>
        </row>
        <row r="1959">
          <cell r="B1959" t="str">
            <v>El-oğlu Fidan Azər</v>
          </cell>
          <cell r="C1959" t="str">
            <v>Satış kanalları departamenti</v>
          </cell>
          <cell r="D1959" t="str">
            <v>Əlaqə mərkəzi şöbəsi</v>
          </cell>
          <cell r="E1959" t="str">
            <v>Telefon mərkəzi bölməsi</v>
          </cell>
          <cell r="F1959" t="str">
            <v>Mütəxəssis</v>
          </cell>
          <cell r="G1959" t="str">
            <v>A</v>
          </cell>
          <cell r="H1959">
            <v>45384</v>
          </cell>
        </row>
        <row r="1960">
          <cell r="B1960" t="str">
            <v>Aslanlı Fatimə Ramil</v>
          </cell>
          <cell r="C1960" t="str">
            <v>Satış kanalları departamenti</v>
          </cell>
          <cell r="D1960" t="str">
            <v>Əlaqə mərkəzi şöbəsi</v>
          </cell>
          <cell r="E1960" t="str">
            <v>Telefon mərkəzi bölməsi</v>
          </cell>
          <cell r="F1960" t="str">
            <v>Mütəxəssis</v>
          </cell>
          <cell r="G1960" t="str">
            <v>HX</v>
          </cell>
          <cell r="H1960">
            <v>45399</v>
          </cell>
        </row>
        <row r="1961">
          <cell r="B1961" t="str">
            <v>Murquzov Bəxtiyar Habil</v>
          </cell>
          <cell r="C1961" t="str">
            <v>Satış kanalları departamenti</v>
          </cell>
          <cell r="D1961" t="str">
            <v>Əlaqə mərkəzi şöbəsi</v>
          </cell>
          <cell r="E1961" t="str">
            <v>Telefon mərkəzi bölməsi</v>
          </cell>
          <cell r="F1961" t="str">
            <v>Mütəxəssis (müvəqqəti)</v>
          </cell>
          <cell r="G1961" t="str">
            <v>A</v>
          </cell>
          <cell r="H1961">
            <v>46275</v>
          </cell>
        </row>
        <row r="1962">
          <cell r="B1962" t="str">
            <v>Sadıqova Şəms Salman</v>
          </cell>
          <cell r="C1962" t="str">
            <v>Satış kanalları departamenti</v>
          </cell>
          <cell r="D1962" t="str">
            <v>Əlaqə mərkəzi şöbəsi</v>
          </cell>
          <cell r="E1962" t="str">
            <v>Telefon mərkəzi bölməsi</v>
          </cell>
          <cell r="F1962" t="str">
            <v>Mütəxəssis</v>
          </cell>
          <cell r="G1962" t="str">
            <v>A</v>
          </cell>
          <cell r="H1962">
            <v>45355</v>
          </cell>
        </row>
        <row r="1963">
          <cell r="B1963" t="str">
            <v>Pənahova Ləman Fərzayıl</v>
          </cell>
          <cell r="C1963" t="str">
            <v>Satış kanalları departamenti</v>
          </cell>
          <cell r="D1963" t="str">
            <v>Əlaqə mərkəzi şöbəsi</v>
          </cell>
          <cell r="E1963" t="str">
            <v>Telefon mərkəzi bölməsi</v>
          </cell>
          <cell r="F1963" t="str">
            <v>Mütəxəssis</v>
          </cell>
          <cell r="G1963" t="str">
            <v>A</v>
          </cell>
          <cell r="H1963">
            <v>45356</v>
          </cell>
        </row>
        <row r="1964">
          <cell r="B1964" t="str">
            <v>Əsgərov Oruc Aslan</v>
          </cell>
          <cell r="C1964" t="str">
            <v>Satış kanalları departamenti</v>
          </cell>
          <cell r="D1964" t="str">
            <v>Əlaqə mərkəzi şöbəsi</v>
          </cell>
          <cell r="E1964" t="str">
            <v>Telefon mərkəzi bölməsi</v>
          </cell>
          <cell r="F1964" t="str">
            <v>Mütəxəssis</v>
          </cell>
          <cell r="G1964" t="str">
            <v>A</v>
          </cell>
          <cell r="H1964">
            <v>45120</v>
          </cell>
        </row>
        <row r="1965">
          <cell r="B1965" t="str">
            <v>Məmmədova Firuzə Mehrac</v>
          </cell>
          <cell r="C1965" t="str">
            <v>Satış kanalları departamenti</v>
          </cell>
          <cell r="D1965" t="str">
            <v>Əlaqə mərkəzi şöbəsi</v>
          </cell>
          <cell r="E1965" t="str">
            <v>Telefon mərkəzi bölməsi</v>
          </cell>
          <cell r="F1965" t="str">
            <v>Mütəxəssis</v>
          </cell>
          <cell r="G1965" t="str">
            <v>A</v>
          </cell>
          <cell r="H1965">
            <v>45226</v>
          </cell>
        </row>
        <row r="1966">
          <cell r="B1966" t="str">
            <v>Rəcəbova Nuranə Sabir</v>
          </cell>
          <cell r="C1966" t="str">
            <v>Satış kanalları departamenti</v>
          </cell>
          <cell r="D1966" t="str">
            <v>Əlaqə mərkəzi şöbəsi</v>
          </cell>
          <cell r="E1966" t="str">
            <v>Telefon mərkəzi bölməsi</v>
          </cell>
          <cell r="F1966" t="str">
            <v>Mütəxəssis</v>
          </cell>
          <cell r="G1966" t="str">
            <v>A</v>
          </cell>
          <cell r="H1966">
            <v>45226</v>
          </cell>
        </row>
        <row r="1967">
          <cell r="B1967" t="str">
            <v>Şıxızadə Hülya Vüqar</v>
          </cell>
          <cell r="C1967" t="str">
            <v>Satış kanalları departamenti</v>
          </cell>
          <cell r="D1967" t="str">
            <v>Əlaqə mərkəzi şöbəsi</v>
          </cell>
          <cell r="E1967" t="str">
            <v>Telefon mərkəzi bölməsi</v>
          </cell>
          <cell r="F1967" t="str">
            <v>Mütəxəssis</v>
          </cell>
          <cell r="G1967" t="str">
            <v>A</v>
          </cell>
          <cell r="H1967">
            <v>45237</v>
          </cell>
        </row>
        <row r="1968">
          <cell r="B1968" t="str">
            <v>Carçıyeva Nazilə Xaliq</v>
          </cell>
          <cell r="C1968" t="str">
            <v>Satış kanalları departamenti</v>
          </cell>
          <cell r="D1968" t="str">
            <v>Əlaqə mərkəzi şöbəsi</v>
          </cell>
          <cell r="E1968" t="str">
            <v>Telefon mərkəzi bölməsi</v>
          </cell>
          <cell r="F1968" t="str">
            <v>Mütəxəssis</v>
          </cell>
          <cell r="G1968" t="str">
            <v>A</v>
          </cell>
          <cell r="H1968">
            <v>44596</v>
          </cell>
        </row>
        <row r="1969">
          <cell r="B1969" t="str">
            <v>Yarıyev Murad Polad</v>
          </cell>
          <cell r="C1969" t="str">
            <v>Satış kanalları departamenti</v>
          </cell>
          <cell r="D1969" t="str">
            <v>Əlaqə mərkəzi şöbəsi</v>
          </cell>
          <cell r="E1969" t="str">
            <v>Telefon mərkəzi bölməsi</v>
          </cell>
          <cell r="F1969" t="str">
            <v>Mütəxəssis</v>
          </cell>
          <cell r="G1969" t="str">
            <v>A</v>
          </cell>
          <cell r="H1969">
            <v>45302</v>
          </cell>
        </row>
        <row r="1970">
          <cell r="B1970" t="str">
            <v>Süleymanov Rəşad İraddin</v>
          </cell>
          <cell r="C1970" t="str">
            <v>Satış kanalları departamenti</v>
          </cell>
          <cell r="D1970" t="str">
            <v>Əlaqə mərkəzi şöbəsi</v>
          </cell>
          <cell r="E1970" t="str">
            <v>Telefon mərkəzi bölməsi</v>
          </cell>
          <cell r="F1970" t="str">
            <v>Mütəxəssis</v>
          </cell>
          <cell r="G1970" t="str">
            <v>A</v>
          </cell>
          <cell r="H1970">
            <v>45309</v>
          </cell>
        </row>
        <row r="1971">
          <cell r="B1971" t="str">
            <v>İsmayılzadə Təranə Qiyas</v>
          </cell>
          <cell r="C1971" t="str">
            <v>Satış kanalları departamenti</v>
          </cell>
          <cell r="D1971" t="str">
            <v>Əlaqə mərkəzi şöbəsi</v>
          </cell>
          <cell r="E1971" t="str">
            <v>Telefon mərkəzi bölməsi</v>
          </cell>
          <cell r="F1971" t="str">
            <v>Mütəxəssis</v>
          </cell>
          <cell r="G1971" t="str">
            <v>A</v>
          </cell>
          <cell r="H1971">
            <v>45334</v>
          </cell>
        </row>
        <row r="1972">
          <cell r="B1972" t="str">
            <v>İsayeva Leyla Xəzər</v>
          </cell>
          <cell r="C1972" t="str">
            <v>Satış kanalları departamenti</v>
          </cell>
          <cell r="D1972" t="str">
            <v>Əlaqə mərkəzi şöbəsi</v>
          </cell>
          <cell r="E1972" t="str">
            <v>Telefon mərkəzi bölməsi</v>
          </cell>
          <cell r="F1972" t="str">
            <v>Mütəxəssis</v>
          </cell>
          <cell r="G1972" t="str">
            <v>A</v>
          </cell>
          <cell r="H1972">
            <v>45334</v>
          </cell>
        </row>
        <row r="1973">
          <cell r="B1973" t="str">
            <v>Şəkərova Fidan Fuad</v>
          </cell>
          <cell r="C1973" t="str">
            <v>Satış kanalları departamenti</v>
          </cell>
          <cell r="D1973" t="str">
            <v>Əlaqə mərkəzi şöbəsi</v>
          </cell>
          <cell r="E1973" t="str">
            <v>Telefon mərkəzi bölməsi</v>
          </cell>
          <cell r="F1973" t="str">
            <v>Mütəxəssis</v>
          </cell>
          <cell r="G1973" t="str">
            <v>A</v>
          </cell>
          <cell r="H1973">
            <v>45334</v>
          </cell>
        </row>
        <row r="1974">
          <cell r="B1974" t="str">
            <v>Aslanova Nərgiz Fərhad</v>
          </cell>
          <cell r="C1974" t="str">
            <v>Satış kanalları departamenti</v>
          </cell>
          <cell r="D1974" t="str">
            <v>Əlaqə mərkəzi şöbəsi</v>
          </cell>
          <cell r="E1974" t="str">
            <v>Telefon mərkəzi bölməsi</v>
          </cell>
          <cell r="F1974" t="str">
            <v>Mütəxəssis</v>
          </cell>
          <cell r="G1974" t="str">
            <v>A</v>
          </cell>
          <cell r="H1974">
            <v>45370</v>
          </cell>
        </row>
        <row r="1975">
          <cell r="B1975" t="str">
            <v>Hüseynova Şəbnəm Mayıl</v>
          </cell>
          <cell r="C1975" t="str">
            <v>Satış kanalları departamenti</v>
          </cell>
          <cell r="D1975" t="str">
            <v>Əlaqə mərkəzi şöbəsi</v>
          </cell>
          <cell r="E1975" t="str">
            <v>Telefon mərkəzi bölməsi</v>
          </cell>
          <cell r="F1975" t="str">
            <v>Mütəxəssis</v>
          </cell>
          <cell r="G1975" t="str">
            <v>A</v>
          </cell>
          <cell r="H1975">
            <v>45603</v>
          </cell>
        </row>
        <row r="1976">
          <cell r="B1976" t="str">
            <v>Hüseynova Niyar Nurəddin</v>
          </cell>
          <cell r="C1976" t="str">
            <v>Satış kanalları departamenti</v>
          </cell>
          <cell r="D1976" t="str">
            <v>Əlaqə mərkəzi şöbəsi</v>
          </cell>
          <cell r="E1976" t="str">
            <v>Telefon mərkəzi bölməsi</v>
          </cell>
          <cell r="F1976" t="str">
            <v>Mütəxəssis</v>
          </cell>
          <cell r="G1976" t="str">
            <v>A</v>
          </cell>
          <cell r="H1976">
            <v>45446</v>
          </cell>
        </row>
        <row r="1977">
          <cell r="B1977" t="str">
            <v>Mürsəlova Nərmin Vitali</v>
          </cell>
          <cell r="C1977" t="str">
            <v>Satış kanalları departamenti</v>
          </cell>
          <cell r="D1977" t="str">
            <v>Əlaqə mərkəzi şöbəsi</v>
          </cell>
          <cell r="E1977" t="str">
            <v>Telefon mərkəzi bölməsi</v>
          </cell>
          <cell r="F1977" t="str">
            <v>Mütəxəssis</v>
          </cell>
          <cell r="G1977" t="str">
            <v>A</v>
          </cell>
          <cell r="H1977">
            <v>45446</v>
          </cell>
        </row>
        <row r="1978">
          <cell r="B1978" t="str">
            <v>Məmmədzadə Orxan Sahib</v>
          </cell>
          <cell r="C1978" t="str">
            <v>Satış kanalları departamenti</v>
          </cell>
          <cell r="D1978" t="str">
            <v>Əlaqə mərkəzi şöbəsi</v>
          </cell>
          <cell r="E1978" t="str">
            <v>Telefon mərkəzi bölməsi</v>
          </cell>
          <cell r="F1978" t="str">
            <v>Mütəxəssis</v>
          </cell>
          <cell r="G1978" t="str">
            <v>A</v>
          </cell>
          <cell r="H1978">
            <v>45454</v>
          </cell>
        </row>
        <row r="1979">
          <cell r="B1979" t="str">
            <v>Qasımova Səma Valeh</v>
          </cell>
          <cell r="C1979" t="str">
            <v>Satış kanalları departamenti</v>
          </cell>
          <cell r="D1979" t="str">
            <v>Əlaqə mərkəzi şöbəsi</v>
          </cell>
          <cell r="E1979" t="str">
            <v>Telefon mərkəzi bölməsi</v>
          </cell>
          <cell r="F1979" t="str">
            <v>Mütəxəssis</v>
          </cell>
          <cell r="G1979" t="str">
            <v>A</v>
          </cell>
          <cell r="H1979">
            <v>45413</v>
          </cell>
        </row>
        <row r="1980">
          <cell r="B1980" t="str">
            <v>Eyvazova Aytac Kamranovna</v>
          </cell>
          <cell r="C1980" t="str">
            <v>Satış kanalları departamenti</v>
          </cell>
          <cell r="D1980" t="str">
            <v>Əlaqə mərkəzi şöbəsi</v>
          </cell>
          <cell r="E1980" t="str">
            <v>Telefon mərkəzi bölməsi</v>
          </cell>
          <cell r="F1980" t="str">
            <v>Mütəxəssis</v>
          </cell>
          <cell r="G1980" t="str">
            <v>A</v>
          </cell>
          <cell r="H1980">
            <v>45433</v>
          </cell>
        </row>
        <row r="1981">
          <cell r="B1981" t="str">
            <v>Baxışov Tunar Çingiz</v>
          </cell>
          <cell r="C1981" t="str">
            <v>Satış kanalları departamenti</v>
          </cell>
          <cell r="D1981" t="str">
            <v>Əlaqə mərkəzi şöbəsi</v>
          </cell>
          <cell r="E1981" t="str">
            <v>Telefon mərkəzi bölməsi</v>
          </cell>
          <cell r="F1981" t="str">
            <v>Mütəxəssis</v>
          </cell>
          <cell r="G1981" t="str">
            <v>A</v>
          </cell>
          <cell r="H1981">
            <v>45475</v>
          </cell>
        </row>
        <row r="1982">
          <cell r="B1982" t="str">
            <v>Alməmmədova Rəna Akif</v>
          </cell>
          <cell r="C1982" t="str">
            <v>Satış kanalları departamenti</v>
          </cell>
          <cell r="D1982" t="str">
            <v>Əlaqə mərkəzi şöbəsi</v>
          </cell>
          <cell r="E1982" t="str">
            <v>Telefon mərkəzi bölməsi</v>
          </cell>
          <cell r="F1982" t="str">
            <v>Mütəxəssis</v>
          </cell>
          <cell r="G1982" t="str">
            <v>A</v>
          </cell>
          <cell r="H1982">
            <v>45475</v>
          </cell>
        </row>
        <row r="1983">
          <cell r="B1983" t="str">
            <v>Bəşirova Səma Rauf</v>
          </cell>
          <cell r="C1983" t="str">
            <v>Satış kanalları departamenti</v>
          </cell>
          <cell r="D1983" t="str">
            <v>Əlaqə mərkəzi şöbəsi</v>
          </cell>
          <cell r="E1983" t="str">
            <v>Telefon mərkəzi bölməsi</v>
          </cell>
          <cell r="F1983" t="str">
            <v>Mütəxəssis</v>
          </cell>
          <cell r="G1983" t="str">
            <v>A</v>
          </cell>
          <cell r="H1983">
            <v>45476</v>
          </cell>
        </row>
        <row r="1984">
          <cell r="B1984" t="str">
            <v>Xanlarov Natiq Elbrus</v>
          </cell>
          <cell r="C1984" t="str">
            <v>Satış kanalları departamenti</v>
          </cell>
          <cell r="D1984" t="str">
            <v>Əlaqə mərkəzi şöbəsi</v>
          </cell>
          <cell r="E1984" t="str">
            <v>Telefon mərkəzi bölməsi</v>
          </cell>
          <cell r="F1984" t="str">
            <v>Mütəxəssis</v>
          </cell>
          <cell r="G1984" t="str">
            <v>A</v>
          </cell>
          <cell r="H1984">
            <v>45519</v>
          </cell>
        </row>
        <row r="1985">
          <cell r="B1985" t="str">
            <v>Bayramov Semral Elşən</v>
          </cell>
          <cell r="C1985" t="str">
            <v>Satış kanalları departamenti</v>
          </cell>
          <cell r="D1985" t="str">
            <v>Əlaqə mərkəzi şöbəsi</v>
          </cell>
          <cell r="E1985" t="str">
            <v>Telefon mərkəzi bölməsi</v>
          </cell>
          <cell r="F1985" t="str">
            <v>Mütəxəssis</v>
          </cell>
          <cell r="G1985" t="str">
            <v>A</v>
          </cell>
          <cell r="H1985">
            <v>45531</v>
          </cell>
        </row>
        <row r="1986">
          <cell r="B1986" t="str">
            <v>Kərimli Lalə İlqar</v>
          </cell>
          <cell r="C1986" t="str">
            <v>Satış kanalları departamenti</v>
          </cell>
          <cell r="D1986" t="str">
            <v>Əlaqə mərkəzi şöbəsi</v>
          </cell>
          <cell r="E1986" t="str">
            <v>Telefon mərkəzi bölməsi</v>
          </cell>
          <cell r="F1986" t="str">
            <v>Mütəxəssis</v>
          </cell>
          <cell r="G1986" t="str">
            <v>A</v>
          </cell>
          <cell r="H1986">
            <v>45568</v>
          </cell>
        </row>
        <row r="1987">
          <cell r="B1987" t="str">
            <v>Muradova Könül Tahir</v>
          </cell>
          <cell r="C1987" t="str">
            <v>Satış kanalları departamenti</v>
          </cell>
          <cell r="D1987" t="str">
            <v>Əlaqə mərkəzi şöbəsi</v>
          </cell>
          <cell r="E1987" t="str">
            <v>Telefon mərkəzi bölməsi</v>
          </cell>
          <cell r="F1987" t="str">
            <v>Mütəxəssis</v>
          </cell>
          <cell r="G1987" t="str">
            <v>A</v>
          </cell>
          <cell r="H1987">
            <v>45692</v>
          </cell>
        </row>
        <row r="1988">
          <cell r="B1988" t="str">
            <v>Dadaşzadə Zibeydə Emil</v>
          </cell>
          <cell r="C1988" t="str">
            <v>Satış kanalları departamenti</v>
          </cell>
          <cell r="D1988" t="str">
            <v>Əlaqə mərkəzi şöbəsi</v>
          </cell>
          <cell r="E1988" t="str">
            <v>Telefon mərkəzi bölməsi</v>
          </cell>
          <cell r="F1988" t="str">
            <v>Mütəxəssis</v>
          </cell>
          <cell r="G1988" t="str">
            <v>A</v>
          </cell>
          <cell r="H1988">
            <v>45692</v>
          </cell>
        </row>
        <row r="1989">
          <cell r="B1989" t="str">
            <v>Mehmanov Tofiq Anar</v>
          </cell>
          <cell r="C1989" t="str">
            <v>Satış kanalları departamenti</v>
          </cell>
          <cell r="D1989" t="str">
            <v>Əlaqə mərkəzi şöbəsi</v>
          </cell>
          <cell r="E1989" t="str">
            <v>Telefon mərkəzi bölməsi</v>
          </cell>
          <cell r="F1989" t="str">
            <v>Mütəxəssis</v>
          </cell>
          <cell r="G1989" t="str">
            <v>A</v>
          </cell>
          <cell r="H1989">
            <v>45692</v>
          </cell>
        </row>
        <row r="1990">
          <cell r="B1990" t="str">
            <v>Əliyeva Fazilə Nazim</v>
          </cell>
          <cell r="C1990" t="str">
            <v>Satış kanalları departamenti</v>
          </cell>
          <cell r="D1990" t="str">
            <v>Əlaqə mərkəzi şöbəsi</v>
          </cell>
          <cell r="E1990" t="str">
            <v>Telefon mərkəzi bölməsi</v>
          </cell>
          <cell r="F1990" t="str">
            <v>Mütəxəssis</v>
          </cell>
          <cell r="G1990" t="str">
            <v>A</v>
          </cell>
          <cell r="H1990">
            <v>45693</v>
          </cell>
        </row>
        <row r="1991">
          <cell r="B1991" t="str">
            <v>Abbasova Fidan Rövşən</v>
          </cell>
          <cell r="C1991" t="str">
            <v>Satış kanalları departamenti</v>
          </cell>
          <cell r="D1991" t="str">
            <v>Əlaqə mərkəzi şöbəsi</v>
          </cell>
          <cell r="E1991" t="str">
            <v>Telefon mərkəzi bölməsi</v>
          </cell>
          <cell r="F1991" t="str">
            <v>Mütəxəssis</v>
          </cell>
          <cell r="G1991" t="str">
            <v>SM</v>
          </cell>
          <cell r="H1991">
            <v>45693</v>
          </cell>
        </row>
        <row r="1992">
          <cell r="B1992" t="str">
            <v>Alcanov Nemət Fuad</v>
          </cell>
          <cell r="C1992" t="str">
            <v>Satış kanalları departamenti</v>
          </cell>
          <cell r="D1992" t="str">
            <v>Əlaqə mərkəzi şöbəsi</v>
          </cell>
          <cell r="E1992" t="str">
            <v>Telefon mərkəzi bölməsi</v>
          </cell>
          <cell r="F1992" t="str">
            <v>Kiçik mütəxəssis (müvəqqəti)</v>
          </cell>
          <cell r="G1992" t="str">
            <v>A</v>
          </cell>
          <cell r="H1992">
            <v>46231</v>
          </cell>
        </row>
        <row r="1993">
          <cell r="B1993" t="str">
            <v>Mayılova Validə Mehman</v>
          </cell>
          <cell r="C1993" t="str">
            <v>Satış kanalları departamenti</v>
          </cell>
          <cell r="D1993" t="str">
            <v>Əlaqə mərkəzi şöbəsi</v>
          </cell>
          <cell r="E1993" t="str">
            <v>Telefon mərkəzi bölməsi</v>
          </cell>
          <cell r="F1993" t="str">
            <v>Mütəxəssis</v>
          </cell>
          <cell r="G1993" t="str">
            <v>A</v>
          </cell>
          <cell r="H1993">
            <v>45568</v>
          </cell>
        </row>
        <row r="1994">
          <cell r="B1994" t="str">
            <v>Əhmədova Aişə Vüqar</v>
          </cell>
          <cell r="C1994" t="str">
            <v>Satış kanalları departamenti</v>
          </cell>
          <cell r="D1994" t="str">
            <v>Əlaqə mərkəzi şöbəsi</v>
          </cell>
          <cell r="E1994" t="str">
            <v>Telefon mərkəzi bölməsi</v>
          </cell>
          <cell r="F1994" t="str">
            <v>Mütəxəssis</v>
          </cell>
          <cell r="G1994" t="str">
            <v>A</v>
          </cell>
          <cell r="H1994">
            <v>45569</v>
          </cell>
        </row>
        <row r="1995">
          <cell r="B1995" t="str">
            <v>Paşayeva Rahilə Qəhrəman</v>
          </cell>
          <cell r="C1995" t="str">
            <v>Satış kanalları departamenti</v>
          </cell>
          <cell r="D1995" t="str">
            <v>Əlaqə mərkəzi şöbəsi</v>
          </cell>
          <cell r="E1995" t="str">
            <v>Telefon mərkəzi bölməsi</v>
          </cell>
          <cell r="F1995" t="str">
            <v>Mütəxəssis</v>
          </cell>
          <cell r="G1995" t="str">
            <v>A</v>
          </cell>
          <cell r="H1995">
            <v>45581</v>
          </cell>
        </row>
        <row r="1996">
          <cell r="B1996" t="str">
            <v>Musayeva Nərmin Nöhbala</v>
          </cell>
          <cell r="C1996" t="str">
            <v>Satış kanalları departamenti</v>
          </cell>
          <cell r="D1996" t="str">
            <v>Əlaqə mərkəzi şöbəsi</v>
          </cell>
          <cell r="E1996" t="str">
            <v>Telefon mərkəzi bölməsi</v>
          </cell>
          <cell r="F1996" t="str">
            <v>Mütəxəssis</v>
          </cell>
          <cell r="G1996" t="str">
            <v>SM</v>
          </cell>
          <cell r="H1996">
            <v>45612</v>
          </cell>
        </row>
        <row r="1997">
          <cell r="B1997" t="str">
            <v>Qurbanov Şükran Ariz</v>
          </cell>
          <cell r="C1997" t="str">
            <v>Satış kanalları departamenti</v>
          </cell>
          <cell r="D1997" t="str">
            <v>Əlaqə mərkəzi şöbəsi</v>
          </cell>
          <cell r="E1997" t="str">
            <v>Telefon mərkəzi bölməsi</v>
          </cell>
          <cell r="F1997" t="str">
            <v>Mütəxəssis (müvəqqəti)</v>
          </cell>
          <cell r="G1997" t="str">
            <v>A</v>
          </cell>
          <cell r="H1997">
            <v>45754</v>
          </cell>
        </row>
        <row r="1998">
          <cell r="B1998" t="str">
            <v>Cavadzadə Xədicə Cavad</v>
          </cell>
          <cell r="C1998" t="str">
            <v>Satış kanalları departamenti</v>
          </cell>
          <cell r="D1998" t="str">
            <v>Əlaqə mərkəzi şöbəsi</v>
          </cell>
          <cell r="E1998" t="str">
            <v>Telefon mərkəzi bölməsi</v>
          </cell>
          <cell r="F1998" t="str">
            <v>Mütəxəssis</v>
          </cell>
          <cell r="G1998" t="str">
            <v>SM</v>
          </cell>
          <cell r="H1998">
            <v>45623</v>
          </cell>
        </row>
        <row r="1999">
          <cell r="B1999" t="str">
            <v>Əliyeva Leyla Elçin</v>
          </cell>
          <cell r="C1999" t="str">
            <v>Satış kanalları departamenti</v>
          </cell>
          <cell r="D1999" t="str">
            <v>Əlaqə mərkəzi şöbəsi</v>
          </cell>
          <cell r="E1999" t="str">
            <v>Telefon mərkəzi bölməsi</v>
          </cell>
          <cell r="F1999" t="str">
            <v>Kiçik mütəxəssis (müvəqqəti)</v>
          </cell>
          <cell r="G1999" t="str">
            <v>A</v>
          </cell>
          <cell r="H1999">
            <v>46246</v>
          </cell>
        </row>
        <row r="2000">
          <cell r="B2000" t="str">
            <v>Cavadlı Gülnar Mütalib</v>
          </cell>
          <cell r="C2000" t="str">
            <v>Satış kanalları departamenti</v>
          </cell>
          <cell r="D2000" t="str">
            <v>Əlaqə mərkəzi şöbəsi</v>
          </cell>
          <cell r="E2000" t="str">
            <v>Telefon mərkəzi bölməsi</v>
          </cell>
          <cell r="F2000" t="str">
            <v>Mütəxəssis</v>
          </cell>
          <cell r="G2000" t="str">
            <v>A</v>
          </cell>
          <cell r="H2000">
            <v>45553</v>
          </cell>
        </row>
        <row r="2001">
          <cell r="B2001" t="str">
            <v>Əsgərova Nəzrin Azər</v>
          </cell>
          <cell r="C2001" t="str">
            <v>Satış kanalları departamenti</v>
          </cell>
          <cell r="D2001" t="str">
            <v>Əlaqə mərkəzi şöbəsi</v>
          </cell>
          <cell r="E2001" t="str">
            <v>Telefon mərkəzi bölməsi</v>
          </cell>
          <cell r="F2001" t="str">
            <v>Mütəxəssis</v>
          </cell>
          <cell r="G2001" t="str">
            <v>A</v>
          </cell>
          <cell r="H2001">
            <v>45439</v>
          </cell>
        </row>
        <row r="2002">
          <cell r="B2002" t="str">
            <v>Əliyeva Nəzrin Yalçın</v>
          </cell>
          <cell r="C2002" t="str">
            <v>Satış kanalları departamenti</v>
          </cell>
          <cell r="D2002" t="str">
            <v>Əlaqə mərkəzi şöbəsi</v>
          </cell>
          <cell r="E2002" t="str">
            <v>Telefon mərkəzi bölməsi</v>
          </cell>
          <cell r="F2002" t="str">
            <v>Mütəxəssis</v>
          </cell>
          <cell r="G2002" t="str">
            <v>A</v>
          </cell>
          <cell r="H2002">
            <v>45547</v>
          </cell>
        </row>
        <row r="2003">
          <cell r="B2003" t="str">
            <v>Məmmədova Şəms Elçin</v>
          </cell>
          <cell r="C2003" t="str">
            <v>Satış kanalları departamenti</v>
          </cell>
          <cell r="D2003" t="str">
            <v>Əlaqə mərkəzi şöbəsi</v>
          </cell>
          <cell r="E2003" t="str">
            <v>Telefon mərkəzi bölməsi</v>
          </cell>
          <cell r="F2003" t="str">
            <v>Mütəxəssis</v>
          </cell>
          <cell r="G2003" t="str">
            <v>A</v>
          </cell>
          <cell r="H2003">
            <v>45547</v>
          </cell>
        </row>
        <row r="2004">
          <cell r="B2004" t="str">
            <v>Zeynalova Aygün Namiq</v>
          </cell>
          <cell r="C2004" t="str">
            <v>Satış kanalları departamenti</v>
          </cell>
          <cell r="D2004" t="str">
            <v>Əlaqə mərkəzi şöbəsi</v>
          </cell>
          <cell r="E2004" t="str">
            <v>Telefon mərkəzi bölməsi</v>
          </cell>
          <cell r="F2004" t="str">
            <v>Mütəxəssis</v>
          </cell>
          <cell r="G2004" t="str">
            <v>A</v>
          </cell>
          <cell r="H2004">
            <v>45126</v>
          </cell>
        </row>
        <row r="2005">
          <cell r="B2005" t="str">
            <v>Hüseynzadə Aytən Rüfət</v>
          </cell>
          <cell r="C2005" t="str">
            <v>Satış kanalları departamenti</v>
          </cell>
          <cell r="D2005" t="str">
            <v>Əlaqə mərkəzi şöbəsi</v>
          </cell>
          <cell r="E2005" t="str">
            <v>Telefon mərkəzi bölməsi</v>
          </cell>
          <cell r="F2005" t="str">
            <v>Mütəxəssis</v>
          </cell>
          <cell r="G2005" t="str">
            <v>A</v>
          </cell>
          <cell r="H2005">
            <v>45547</v>
          </cell>
        </row>
        <row r="2006">
          <cell r="B2006" t="str">
            <v>Rəhimov Mirsahib Hikmət</v>
          </cell>
          <cell r="C2006" t="str">
            <v>Satış kanalları departamenti</v>
          </cell>
          <cell r="D2006" t="str">
            <v>Əlaqə mərkəzi şöbəsi</v>
          </cell>
          <cell r="E2006" t="str">
            <v>Telefon mərkəzi bölməsi</v>
          </cell>
          <cell r="F2006" t="str">
            <v>Mütəxəssis</v>
          </cell>
          <cell r="G2006" t="str">
            <v>A</v>
          </cell>
          <cell r="H2006">
            <v>45603</v>
          </cell>
        </row>
        <row r="2007">
          <cell r="B2007" t="str">
            <v>Aslanlı Cavid Möhübbət</v>
          </cell>
          <cell r="C2007" t="str">
            <v>Satış kanalları departamenti</v>
          </cell>
          <cell r="D2007" t="str">
            <v>Əlaqə mərkəzi şöbəsi</v>
          </cell>
          <cell r="E2007" t="str">
            <v>Telefon mərkəzi bölməsi</v>
          </cell>
          <cell r="F2007" t="str">
            <v>Mütəxəssis</v>
          </cell>
          <cell r="G2007" t="str">
            <v>A</v>
          </cell>
          <cell r="H2007">
            <v>45603</v>
          </cell>
        </row>
        <row r="2008">
          <cell r="B2008" t="str">
            <v>Rzalı Yusif Anar</v>
          </cell>
          <cell r="C2008" t="str">
            <v>Satış kanalları departamenti</v>
          </cell>
          <cell r="D2008" t="str">
            <v>Əlaqə mərkəzi şöbəsi</v>
          </cell>
          <cell r="E2008" t="str">
            <v>Telefon mərkəzi bölməsi</v>
          </cell>
          <cell r="F2008" t="str">
            <v>Mütəxəssis</v>
          </cell>
          <cell r="G2008" t="str">
            <v>A</v>
          </cell>
          <cell r="H2008">
            <v>45891</v>
          </cell>
        </row>
        <row r="2009">
          <cell r="B2009" t="str">
            <v>Mehrabova Kəmalə Tofiq</v>
          </cell>
          <cell r="C2009" t="str">
            <v>Satış kanalları departamenti</v>
          </cell>
          <cell r="D2009" t="str">
            <v>Əlaqə mərkəzi şöbəsi</v>
          </cell>
          <cell r="E2009" t="str">
            <v>Telefon mərkəzi bölməsi</v>
          </cell>
          <cell r="F2009" t="str">
            <v>Mütəxəssis</v>
          </cell>
          <cell r="G2009" t="str">
            <v>SM</v>
          </cell>
          <cell r="H2009">
            <v>44854</v>
          </cell>
        </row>
        <row r="2010">
          <cell r="B2010" t="str">
            <v>Həsənzadə Bənövşə Allahverən</v>
          </cell>
          <cell r="C2010" t="str">
            <v>Satış kanalları departamenti</v>
          </cell>
          <cell r="D2010" t="str">
            <v>Əlaqə mərkəzi şöbəsi</v>
          </cell>
          <cell r="E2010" t="str">
            <v>Telefon mərkəzi bölməsi</v>
          </cell>
          <cell r="F2010" t="str">
            <v>Mütəxəssis</v>
          </cell>
          <cell r="G2010" t="str">
            <v>SM</v>
          </cell>
          <cell r="H2010">
            <v>44876</v>
          </cell>
        </row>
        <row r="2011">
          <cell r="B2011" t="str">
            <v>Məlikov Fuad Rəhman</v>
          </cell>
          <cell r="C2011" t="str">
            <v>Satış kanalları departamenti</v>
          </cell>
          <cell r="D2011" t="str">
            <v>Əlaqə mərkəzi şöbəsi</v>
          </cell>
          <cell r="E2011" t="str">
            <v>Telefon mərkəzi bölməsi</v>
          </cell>
          <cell r="F2011" t="str">
            <v>Kiçik mütəxəssis (müvəqqəti)</v>
          </cell>
          <cell r="G2011" t="str">
            <v>A</v>
          </cell>
          <cell r="H2011">
            <v>46007</v>
          </cell>
        </row>
        <row r="2012">
          <cell r="B2012" t="str">
            <v>Alıyeva Ayna Telman</v>
          </cell>
          <cell r="C2012" t="str">
            <v>Satış kanalları departamenti</v>
          </cell>
          <cell r="D2012" t="str">
            <v>Əlaqə mərkəzi şöbəsi</v>
          </cell>
          <cell r="E2012" t="str">
            <v>Telefon mərkəzi bölməsi</v>
          </cell>
          <cell r="F2012" t="str">
            <v>Mütəxəssis</v>
          </cell>
          <cell r="G2012" t="str">
            <v>SM</v>
          </cell>
          <cell r="H2012">
            <v>44631</v>
          </cell>
        </row>
        <row r="2013">
          <cell r="B2013" t="str">
            <v>Məmmədov Sevlan Rövşən</v>
          </cell>
          <cell r="C2013" t="str">
            <v>Satış kanalları departamenti</v>
          </cell>
          <cell r="D2013" t="str">
            <v>Əlaqə mərkəzi şöbəsi</v>
          </cell>
          <cell r="E2013" t="str">
            <v>Telefon mərkəzi bölməsi</v>
          </cell>
          <cell r="F2013" t="str">
            <v>Aparıcı mütəxəssis (müvəqqəti)</v>
          </cell>
          <cell r="G2013" t="str">
            <v>A</v>
          </cell>
          <cell r="H2013">
            <v>44755</v>
          </cell>
        </row>
        <row r="2014">
          <cell r="B2014" t="str">
            <v>Talıblı Səkinə İlham</v>
          </cell>
          <cell r="C2014" t="str">
            <v>Satış kanalları departamenti</v>
          </cell>
          <cell r="D2014" t="str">
            <v>Əlaqə mərkəzi şöbəsi</v>
          </cell>
          <cell r="E2014" t="str">
            <v>Telefon mərkəzi bölməsi</v>
          </cell>
          <cell r="F2014" t="str">
            <v>Mütəxəssis</v>
          </cell>
          <cell r="G2014" t="str">
            <v>SM</v>
          </cell>
          <cell r="H2014">
            <v>44631</v>
          </cell>
        </row>
        <row r="2015">
          <cell r="B2015" t="str">
            <v>Bayramova Günay Hafiz</v>
          </cell>
          <cell r="C2015" t="str">
            <v>Satış kanalları departamenti</v>
          </cell>
          <cell r="D2015" t="str">
            <v>Əlaqə mərkəzi şöbəsi</v>
          </cell>
          <cell r="E2015" t="str">
            <v>Telefon mərkəzi bölməsi</v>
          </cell>
          <cell r="F2015" t="str">
            <v>Mütəxəssis (müvəqqəti)</v>
          </cell>
          <cell r="G2015" t="str">
            <v>SM</v>
          </cell>
          <cell r="H2015">
            <v>45754</v>
          </cell>
        </row>
        <row r="2016">
          <cell r="B2016" t="str">
            <v>Məmmədova Fidan Mansur</v>
          </cell>
          <cell r="C2016" t="str">
            <v>Satış kanalları departamenti</v>
          </cell>
          <cell r="D2016" t="str">
            <v>Əlaqə mərkəzi şöbəsi</v>
          </cell>
          <cell r="E2016" t="str">
            <v>Telefon mərkəzi bölməsi</v>
          </cell>
          <cell r="F2016" t="str">
            <v>Kiçik mütəxəssis (müvəqqəti)</v>
          </cell>
          <cell r="G2016" t="str">
            <v>A</v>
          </cell>
          <cell r="H2016">
            <v>46246</v>
          </cell>
        </row>
        <row r="2017">
          <cell r="B2017" t="str">
            <v>Nuriyeva Aysel Ərziman</v>
          </cell>
          <cell r="C2017" t="str">
            <v>Satış kanalları departamenti</v>
          </cell>
          <cell r="D2017" t="str">
            <v>Əlaqə mərkəzi şöbəsi</v>
          </cell>
          <cell r="E2017" t="str">
            <v>Telefon mərkəzi bölməsi</v>
          </cell>
          <cell r="F2017" t="str">
            <v>Mütəxəssis</v>
          </cell>
          <cell r="G2017" t="str">
            <v>A</v>
          </cell>
          <cell r="H2017">
            <v>44631</v>
          </cell>
        </row>
        <row r="2018">
          <cell r="B2018" t="str">
            <v>Kərimova Günel Sənan</v>
          </cell>
          <cell r="C2018" t="str">
            <v>Satış kanalları departamenti</v>
          </cell>
          <cell r="D2018" t="str">
            <v>Əlaqə mərkəzi şöbəsi</v>
          </cell>
          <cell r="E2018" t="str">
            <v>Telefon mərkəzi bölməsi</v>
          </cell>
          <cell r="F2018" t="str">
            <v>Kiçik mütəxəssis</v>
          </cell>
          <cell r="G2018" t="str">
            <v>A</v>
          </cell>
          <cell r="H2018">
            <v>45650</v>
          </cell>
        </row>
        <row r="2019">
          <cell r="B2019" t="str">
            <v>Bədurayeva Aydan Vidadi</v>
          </cell>
          <cell r="C2019" t="str">
            <v>Satış kanalları departamenti</v>
          </cell>
          <cell r="D2019" t="str">
            <v>Əlaqə mərkəzi şöbəsi</v>
          </cell>
          <cell r="E2019" t="str">
            <v>Telefon mərkəzi bölməsi</v>
          </cell>
          <cell r="F2019" t="str">
            <v>Mütəxəssis</v>
          </cell>
          <cell r="G2019" t="str">
            <v>A</v>
          </cell>
          <cell r="H2019">
            <v>45370</v>
          </cell>
        </row>
        <row r="2020">
          <cell r="B2020" t="str">
            <v>Tağıyeva Gülnar Seydağa</v>
          </cell>
          <cell r="C2020" t="str">
            <v>Satış kanalları departamenti</v>
          </cell>
          <cell r="D2020" t="str">
            <v>Əlaqə mərkəzi şöbəsi</v>
          </cell>
          <cell r="E2020" t="str">
            <v>Telefon mərkəzi bölməsi</v>
          </cell>
          <cell r="F2020" t="str">
            <v>Kiçik mütəxəssis</v>
          </cell>
          <cell r="G2020" t="str">
            <v>A</v>
          </cell>
          <cell r="H2020">
            <v>45603</v>
          </cell>
        </row>
        <row r="2021">
          <cell r="B2021" t="str">
            <v>Həşimov Nadir İlqar</v>
          </cell>
          <cell r="C2021" t="str">
            <v>Satış kanalları departamenti</v>
          </cell>
          <cell r="D2021" t="str">
            <v>Əlaqə mərkəzi şöbəsi</v>
          </cell>
          <cell r="E2021" t="str">
            <v>Telefon mərkəzi bölməsi</v>
          </cell>
          <cell r="F2021" t="str">
            <v>Kiçik mütəxəssis</v>
          </cell>
          <cell r="G2021" t="str">
            <v>A</v>
          </cell>
          <cell r="H2021">
            <v>46083</v>
          </cell>
        </row>
        <row r="2022">
          <cell r="B2022" t="str">
            <v>Cəfərli Sadiq Nəsib</v>
          </cell>
          <cell r="C2022" t="str">
            <v>Satış kanalları departamenti</v>
          </cell>
          <cell r="D2022" t="str">
            <v>Əlaqə mərkəzi şöbəsi</v>
          </cell>
          <cell r="E2022" t="str">
            <v>Telefon mərkəzi bölməsi</v>
          </cell>
          <cell r="F2022" t="str">
            <v>Kiçik mütəxəssis</v>
          </cell>
          <cell r="G2022" t="str">
            <v>A</v>
          </cell>
          <cell r="H2022">
            <v>46083</v>
          </cell>
        </row>
        <row r="2023">
          <cell r="B2023" t="str">
            <v>Yunis Fatimə Vüqar</v>
          </cell>
          <cell r="C2023" t="str">
            <v>Satış kanalları departamenti</v>
          </cell>
          <cell r="D2023" t="str">
            <v>Əlaqə mərkəzi şöbəsi</v>
          </cell>
          <cell r="E2023" t="str">
            <v>Telefon mərkəzi bölməsi</v>
          </cell>
          <cell r="F2023" t="str">
            <v>Kiçik mütəxəssis</v>
          </cell>
          <cell r="G2023" t="str">
            <v>A</v>
          </cell>
          <cell r="H2023">
            <v>46083</v>
          </cell>
        </row>
        <row r="2024">
          <cell r="B2024" t="str">
            <v>Aşurova Günəş Novruz</v>
          </cell>
          <cell r="C2024" t="str">
            <v>Satış kanalları departamenti</v>
          </cell>
          <cell r="D2024" t="str">
            <v>Əlaqə mərkəzi şöbəsi</v>
          </cell>
          <cell r="E2024" t="str">
            <v>Telefon mərkəzi bölməsi</v>
          </cell>
          <cell r="F2024" t="str">
            <v>Kiçik mütəxəssis</v>
          </cell>
          <cell r="G2024" t="str">
            <v>A</v>
          </cell>
          <cell r="H2024">
            <v>46113</v>
          </cell>
        </row>
        <row r="2025">
          <cell r="B2025" t="str">
            <v>Kərimova Səbinə Sarxan</v>
          </cell>
          <cell r="C2025" t="str">
            <v>Satış kanalları departamenti</v>
          </cell>
          <cell r="D2025" t="str">
            <v>Əlaqə mərkəzi şöbəsi</v>
          </cell>
          <cell r="E2025" t="str">
            <v>Telefon mərkəzi bölməsi</v>
          </cell>
          <cell r="F2025" t="str">
            <v>Kiçik mütəxəssis</v>
          </cell>
          <cell r="G2025" t="str">
            <v>A</v>
          </cell>
          <cell r="H2025">
            <v>46083</v>
          </cell>
        </row>
        <row r="2026">
          <cell r="B2026" t="str">
            <v>Zeynallı Pərvin Pərviz</v>
          </cell>
          <cell r="C2026" t="str">
            <v>Satış kanalları departamenti</v>
          </cell>
          <cell r="D2026" t="str">
            <v>Əlaqə mərkəzi şöbəsi</v>
          </cell>
          <cell r="E2026" t="str">
            <v>Telefon mərkəzi bölməsi</v>
          </cell>
          <cell r="F2026" t="str">
            <v>Kiçik mütəxəssis</v>
          </cell>
          <cell r="G2026" t="str">
            <v>A</v>
          </cell>
          <cell r="H2026">
            <v>46178</v>
          </cell>
        </row>
        <row r="2027">
          <cell r="B2027" t="str">
            <v>Muradova Gülarə Vəlixan</v>
          </cell>
          <cell r="C2027" t="str">
            <v>Satış kanalları departamenti</v>
          </cell>
          <cell r="D2027" t="str">
            <v>Əlaqə mərkəzi şöbəsi</v>
          </cell>
          <cell r="E2027" t="str">
            <v>Telefon mərkəzi bölməsi</v>
          </cell>
          <cell r="F2027" t="str">
            <v>Kiçik mütəxəssis</v>
          </cell>
          <cell r="G2027" t="str">
            <v>A</v>
          </cell>
          <cell r="H2027">
            <v>45614</v>
          </cell>
        </row>
        <row r="2028">
          <cell r="B2028" t="str">
            <v>Mahmudova Nuray Rasim</v>
          </cell>
          <cell r="C2028" t="str">
            <v>Satış kanalları departamenti</v>
          </cell>
          <cell r="D2028" t="str">
            <v>Əlaqə mərkəzi şöbəsi</v>
          </cell>
          <cell r="E2028" t="str">
            <v>Telefon mərkəzi bölməsi</v>
          </cell>
          <cell r="F2028" t="str">
            <v>Kiçik mütəxəssis</v>
          </cell>
          <cell r="G2028" t="str">
            <v>SM</v>
          </cell>
          <cell r="H2028">
            <v>45650</v>
          </cell>
        </row>
        <row r="2029">
          <cell r="B2029" t="str">
            <v>Heydərova Aygün Elçin</v>
          </cell>
          <cell r="C2029" t="str">
            <v>Satış kanalları departamenti</v>
          </cell>
          <cell r="D2029" t="str">
            <v>Əlaqə mərkəzi şöbəsi</v>
          </cell>
          <cell r="E2029" t="str">
            <v>Telefon mərkəzi bölməsi</v>
          </cell>
          <cell r="F2029" t="str">
            <v>Kiçik mütəxəssis (müvəqqəti)</v>
          </cell>
          <cell r="G2029" t="str">
            <v>A</v>
          </cell>
          <cell r="H2029">
            <v>45860</v>
          </cell>
        </row>
        <row r="2030">
          <cell r="B2030" t="str">
            <v>Zariyeva Aynur Zari</v>
          </cell>
          <cell r="C2030" t="str">
            <v>Satış kanalları departamenti</v>
          </cell>
          <cell r="D2030" t="str">
            <v>Əlaqə mərkəzi şöbəsi</v>
          </cell>
          <cell r="E2030" t="str">
            <v>Telefon mərkəzi bölməsi</v>
          </cell>
          <cell r="F2030" t="str">
            <v>Mütəxəssis</v>
          </cell>
          <cell r="G2030" t="str">
            <v>A</v>
          </cell>
          <cell r="H2030">
            <v>45449</v>
          </cell>
        </row>
        <row r="2031">
          <cell r="B2031" t="str">
            <v>İsgəndərova Fidan Hüseyn</v>
          </cell>
          <cell r="C2031" t="str">
            <v>Satış kanalları departamenti</v>
          </cell>
          <cell r="D2031" t="str">
            <v>Əlaqə mərkəzi şöbəsi</v>
          </cell>
          <cell r="E2031" t="str">
            <v>Telefon mərkəzi bölməsi</v>
          </cell>
          <cell r="F2031" t="str">
            <v>Kiçik mütəxəssis</v>
          </cell>
          <cell r="G2031" t="str">
            <v>A</v>
          </cell>
          <cell r="H2031">
            <v>45541</v>
          </cell>
        </row>
        <row r="2032">
          <cell r="B2032" t="str">
            <v>Atayeva Aysun Muxtar</v>
          </cell>
          <cell r="C2032" t="str">
            <v>Satış kanalları departamenti</v>
          </cell>
          <cell r="D2032" t="str">
            <v>Əlaqə mərkəzi şöbəsi</v>
          </cell>
          <cell r="E2032" t="str">
            <v>Telefon mərkəzi bölməsi</v>
          </cell>
          <cell r="F2032" t="str">
            <v>Kiçik mütəxəssis</v>
          </cell>
          <cell r="G2032" t="str">
            <v>A</v>
          </cell>
          <cell r="H2032">
            <v>45555</v>
          </cell>
        </row>
        <row r="2033">
          <cell r="B2033" t="str">
            <v>Qurbanova Nərminə Əli</v>
          </cell>
          <cell r="C2033" t="str">
            <v>Satış kanalları departamenti</v>
          </cell>
          <cell r="D2033" t="str">
            <v>Əlaqə mərkəzi şöbəsi</v>
          </cell>
          <cell r="E2033" t="str">
            <v>Telefon mərkəzi bölməsi</v>
          </cell>
          <cell r="F2033" t="str">
            <v>Mütəxəssis</v>
          </cell>
          <cell r="G2033" t="str">
            <v>A</v>
          </cell>
          <cell r="H2033">
            <v>45569</v>
          </cell>
        </row>
        <row r="2034">
          <cell r="B2034" t="str">
            <v>Ələskərova Aytən Həyyam</v>
          </cell>
          <cell r="C2034" t="str">
            <v>Satış kanalları departamenti</v>
          </cell>
          <cell r="D2034" t="str">
            <v>Əlaqə mərkəzi şöbəsi</v>
          </cell>
          <cell r="E2034" t="str">
            <v>Telefon mərkəzi bölməsi</v>
          </cell>
          <cell r="F2034" t="str">
            <v>Kiçik mütəxəssis</v>
          </cell>
          <cell r="G2034" t="str">
            <v>SM</v>
          </cell>
          <cell r="H2034">
            <v>45612</v>
          </cell>
        </row>
        <row r="2035">
          <cell r="B2035" t="str">
            <v>Bəyalıyev Ülvi Xanəhməd</v>
          </cell>
          <cell r="C2035" t="str">
            <v>Satış kanalları departamenti</v>
          </cell>
          <cell r="D2035" t="str">
            <v>Əlaqə mərkəzi şöbəsi</v>
          </cell>
          <cell r="E2035" t="str">
            <v>Telefon mərkəzi bölməsi</v>
          </cell>
          <cell r="F2035" t="str">
            <v>Kiçik mütəxəssis (müvəqqəti)</v>
          </cell>
          <cell r="G2035" t="str">
            <v>A</v>
          </cell>
          <cell r="H2035">
            <v>46007</v>
          </cell>
        </row>
        <row r="2036">
          <cell r="B2036" t="str">
            <v>Hacıyeva Jalə Pərviz</v>
          </cell>
          <cell r="C2036" t="str">
            <v>Satış kanalları departamenti</v>
          </cell>
          <cell r="D2036" t="str">
            <v>Əlaqə mərkəzi şöbəsi</v>
          </cell>
          <cell r="E2036" t="str">
            <v>Telefon mərkəzi bölməsi</v>
          </cell>
          <cell r="F2036" t="str">
            <v>Kiçik mütəxəssis</v>
          </cell>
          <cell r="G2036" t="str">
            <v>A</v>
          </cell>
          <cell r="H2036">
            <v>45612</v>
          </cell>
        </row>
        <row r="2037">
          <cell r="B2037" t="str">
            <v>Niyazova-Fərəməzli Aytac Şahbaz</v>
          </cell>
          <cell r="C2037" t="str">
            <v>Satış kanalları departamenti</v>
          </cell>
          <cell r="D2037" t="str">
            <v>Əlaqə mərkəzi şöbəsi</v>
          </cell>
          <cell r="E2037" t="str">
            <v>Telefon mərkəzi bölməsi</v>
          </cell>
          <cell r="F2037" t="str">
            <v>Mütəxəssis</v>
          </cell>
          <cell r="G2037" t="str">
            <v>A</v>
          </cell>
          <cell r="H2037">
            <v>45649</v>
          </cell>
        </row>
        <row r="2038">
          <cell r="B2038" t="str">
            <v>Quliyeva Şəhanə Nazil</v>
          </cell>
          <cell r="C2038" t="str">
            <v>Satış kanalları departamenti</v>
          </cell>
          <cell r="D2038" t="str">
            <v>Əlaqə mərkəzi şöbəsi</v>
          </cell>
          <cell r="E2038" t="str">
            <v>Telefon mərkəzi bölməsi</v>
          </cell>
          <cell r="F2038" t="str">
            <v>Mütəxəssis</v>
          </cell>
          <cell r="G2038" t="str">
            <v>A</v>
          </cell>
          <cell r="H2038">
            <v>45649</v>
          </cell>
        </row>
        <row r="2039">
          <cell r="B2039" t="str">
            <v>Məmmədli İmran Ülfət</v>
          </cell>
          <cell r="C2039" t="str">
            <v>Satış kanalları departamenti</v>
          </cell>
          <cell r="D2039" t="str">
            <v>Əlaqə mərkəzi şöbəsi</v>
          </cell>
          <cell r="E2039" t="str">
            <v>Telefon mərkəzi bölməsi</v>
          </cell>
          <cell r="F2039" t="str">
            <v>Mütəxəssis</v>
          </cell>
          <cell r="G2039" t="str">
            <v>A</v>
          </cell>
          <cell r="H2039">
            <v>45652</v>
          </cell>
        </row>
        <row r="2040">
          <cell r="B2040" t="str">
            <v>Ramazanlı Zibeydə Dəyanət</v>
          </cell>
          <cell r="C2040" t="str">
            <v>Satış kanalları departamenti</v>
          </cell>
          <cell r="D2040" t="str">
            <v>Əlaqə mərkəzi şöbəsi</v>
          </cell>
          <cell r="E2040" t="str">
            <v>Telefon mərkəzi bölməsi</v>
          </cell>
          <cell r="F2040" t="str">
            <v>Mütəxəssis</v>
          </cell>
          <cell r="G2040" t="str">
            <v>A</v>
          </cell>
          <cell r="H2040">
            <v>45709</v>
          </cell>
        </row>
        <row r="2041">
          <cell r="B2041" t="str">
            <v>İsgəndərova Günel Samir</v>
          </cell>
          <cell r="C2041" t="str">
            <v>Satış kanalları departamenti</v>
          </cell>
          <cell r="D2041" t="str">
            <v>Əlaqə mərkəzi şöbəsi</v>
          </cell>
          <cell r="E2041" t="str">
            <v>Telefon mərkəzi bölməsi</v>
          </cell>
          <cell r="F2041" t="str">
            <v>Mütəxəssis</v>
          </cell>
          <cell r="G2041" t="str">
            <v>A</v>
          </cell>
          <cell r="H2041">
            <v>45709</v>
          </cell>
        </row>
        <row r="2042">
          <cell r="B2042" t="str">
            <v>Məmmədəliyev Toğrul Elçin</v>
          </cell>
          <cell r="C2042" t="str">
            <v>Satış kanalları departamenti</v>
          </cell>
          <cell r="D2042" t="str">
            <v>Əlaqə mərkəzi şöbəsi</v>
          </cell>
          <cell r="E2042" t="str">
            <v>Telefon mərkəzi bölməsi</v>
          </cell>
          <cell r="F2042" t="str">
            <v>Mütəxəssis</v>
          </cell>
          <cell r="G2042" t="str">
            <v>A</v>
          </cell>
          <cell r="H2042">
            <v>45700</v>
          </cell>
        </row>
        <row r="2043">
          <cell r="B2043" t="str">
            <v>Alışzadə Raul Səbuhi</v>
          </cell>
          <cell r="C2043" t="str">
            <v>Satış kanalları departamenti</v>
          </cell>
          <cell r="D2043" t="str">
            <v>Əlaqə mərkəzi şöbəsi</v>
          </cell>
          <cell r="E2043" t="str">
            <v>Telefon mərkəzi bölməsi</v>
          </cell>
          <cell r="F2043" t="str">
            <v>Mütəxəssis</v>
          </cell>
          <cell r="G2043" t="str">
            <v>A</v>
          </cell>
          <cell r="H2043">
            <v>45700</v>
          </cell>
        </row>
        <row r="2044">
          <cell r="B2044" t="str">
            <v>İsgəndərova Nigar Şahvələt</v>
          </cell>
          <cell r="C2044" t="str">
            <v>Satış kanalları departamenti</v>
          </cell>
          <cell r="D2044" t="str">
            <v>Əlaqə mərkəzi şöbəsi</v>
          </cell>
          <cell r="E2044" t="str">
            <v>Telefon mərkəzi bölməsi</v>
          </cell>
          <cell r="F2044" t="str">
            <v>Mütəxəssis</v>
          </cell>
          <cell r="G2044" t="str">
            <v>A</v>
          </cell>
          <cell r="H2044">
            <v>45722</v>
          </cell>
        </row>
        <row r="2045">
          <cell r="B2045" t="str">
            <v>Əhmədli Aysel Anar</v>
          </cell>
          <cell r="C2045" t="str">
            <v>Satış kanalları departamenti</v>
          </cell>
          <cell r="D2045" t="str">
            <v>Əlaqə mərkəzi şöbəsi</v>
          </cell>
          <cell r="E2045" t="str">
            <v>Telefon mərkəzi bölməsi</v>
          </cell>
          <cell r="F2045" t="str">
            <v>Mütəxəssis</v>
          </cell>
          <cell r="G2045" t="str">
            <v>A</v>
          </cell>
          <cell r="H2045">
            <v>45749</v>
          </cell>
        </row>
        <row r="2046">
          <cell r="B2046" t="str">
            <v>Bağırova Ləman Kamil</v>
          </cell>
          <cell r="C2046" t="str">
            <v>Satış kanalları departamenti</v>
          </cell>
          <cell r="D2046" t="str">
            <v>Əlaqə mərkəzi şöbəsi</v>
          </cell>
          <cell r="E2046" t="str">
            <v>Telefon mərkəzi bölməsi</v>
          </cell>
          <cell r="F2046" t="str">
            <v>Mütəxəssis</v>
          </cell>
          <cell r="G2046" t="str">
            <v>A</v>
          </cell>
          <cell r="H2046">
            <v>45754</v>
          </cell>
        </row>
        <row r="2047">
          <cell r="B2047" t="str">
            <v>Ələsgərova Nəzrin İkram</v>
          </cell>
          <cell r="C2047" t="str">
            <v>Satış kanalları departamenti</v>
          </cell>
          <cell r="D2047" t="str">
            <v>Əlaqə mərkəzi şöbəsi</v>
          </cell>
          <cell r="E2047" t="str">
            <v>Telefon mərkəzi bölməsi</v>
          </cell>
          <cell r="F2047" t="str">
            <v>Mütəxəssis</v>
          </cell>
          <cell r="G2047" t="str">
            <v>A</v>
          </cell>
          <cell r="H2047">
            <v>45826</v>
          </cell>
        </row>
        <row r="2048">
          <cell r="B2048" t="str">
            <v>İsmayılova Nigar Ziyad</v>
          </cell>
          <cell r="C2048" t="str">
            <v>Satış kanalları departamenti</v>
          </cell>
          <cell r="D2048" t="str">
            <v>Əlaqə mərkəzi şöbəsi</v>
          </cell>
          <cell r="E2048" t="str">
            <v>Telefon mərkəzi bölməsi</v>
          </cell>
          <cell r="F2048" t="str">
            <v>Kiçik mütəxəssis</v>
          </cell>
          <cell r="G2048" t="str">
            <v>A</v>
          </cell>
          <cell r="H2048">
            <v>45826</v>
          </cell>
        </row>
        <row r="2049">
          <cell r="B2049" t="str">
            <v>Şükürov Samir Mikayıl</v>
          </cell>
          <cell r="C2049" t="str">
            <v>Satış kanalları departamenti</v>
          </cell>
          <cell r="D2049" t="str">
            <v>Əlaqə mərkəzi şöbəsi</v>
          </cell>
          <cell r="E2049" t="str">
            <v>Telefon mərkəzi bölməsi</v>
          </cell>
          <cell r="F2049" t="str">
            <v>Kiçik mütəxəssis</v>
          </cell>
          <cell r="G2049" t="str">
            <v>A</v>
          </cell>
          <cell r="H2049">
            <v>45981</v>
          </cell>
        </row>
        <row r="2050">
          <cell r="B2050" t="str">
            <v>Cavadova Gülüstan Aləddin</v>
          </cell>
          <cell r="C2050" t="str">
            <v>Satış kanalları departamenti</v>
          </cell>
          <cell r="D2050" t="str">
            <v>Əlaqə mərkəzi şöbəsi</v>
          </cell>
          <cell r="E2050" t="str">
            <v>Telefon mərkəzi bölməsi</v>
          </cell>
          <cell r="F2050" t="str">
            <v>Kiçik mütəxəssis</v>
          </cell>
          <cell r="G2050" t="str">
            <v>A</v>
          </cell>
          <cell r="H2050">
            <v>46114</v>
          </cell>
        </row>
        <row r="2051">
          <cell r="B2051" t="str">
            <v>Rəhimova Səriyyəxanım Azər</v>
          </cell>
          <cell r="C2051" t="str">
            <v>Satış kanalları departamenti</v>
          </cell>
          <cell r="D2051" t="str">
            <v>Əlaqə mərkəzi şöbəsi</v>
          </cell>
          <cell r="E2051" t="str">
            <v>Telefon mərkəzi bölməsi</v>
          </cell>
          <cell r="F2051" t="str">
            <v>Mütəxəssis</v>
          </cell>
          <cell r="G2051" t="str">
            <v>A</v>
          </cell>
          <cell r="H2051">
            <v>45828</v>
          </cell>
        </row>
        <row r="2052">
          <cell r="B2052" t="str">
            <v>Beybalayeva Günel Yusif</v>
          </cell>
          <cell r="C2052" t="str">
            <v>Satış kanalları departamenti</v>
          </cell>
          <cell r="D2052" t="str">
            <v>Əlaqə mərkəzi şöbəsi</v>
          </cell>
          <cell r="E2052" t="str">
            <v>Telefon mərkəzi bölməsi</v>
          </cell>
          <cell r="F2052" t="str">
            <v>Mütəxəssis</v>
          </cell>
          <cell r="G2052" t="str">
            <v>A</v>
          </cell>
          <cell r="H2052">
            <v>45755</v>
          </cell>
        </row>
        <row r="2053">
          <cell r="B2053" t="str">
            <v>Əzimova Emilla Əhməd</v>
          </cell>
          <cell r="C2053" t="str">
            <v>Satış kanalları departamenti</v>
          </cell>
          <cell r="D2053" t="str">
            <v>Əlaqə mərkəzi şöbəsi</v>
          </cell>
          <cell r="E2053" t="str">
            <v>Telefon mərkəzi bölməsi</v>
          </cell>
          <cell r="F2053" t="str">
            <v>Mütəxəssis</v>
          </cell>
          <cell r="G2053" t="str">
            <v>A</v>
          </cell>
          <cell r="H2053">
            <v>45762</v>
          </cell>
        </row>
        <row r="2054">
          <cell r="B2054" t="str">
            <v>İsrəfili Günay Elçin</v>
          </cell>
          <cell r="C2054" t="str">
            <v>Satış kanalları departamenti</v>
          </cell>
          <cell r="D2054" t="str">
            <v>Əlaqə mərkəzi şöbəsi</v>
          </cell>
          <cell r="E2054" t="str">
            <v>Telefon mərkəzi bölməsi</v>
          </cell>
          <cell r="F2054" t="str">
            <v>Mütəxəssis</v>
          </cell>
          <cell r="G2054" t="str">
            <v>A</v>
          </cell>
          <cell r="H2054">
            <v>45784</v>
          </cell>
        </row>
        <row r="2055">
          <cell r="B2055" t="str">
            <v>Ramazanova Xədicə Qulu</v>
          </cell>
          <cell r="C2055" t="str">
            <v>Satış kanalları departamenti</v>
          </cell>
          <cell r="D2055" t="str">
            <v>Əlaqə mərkəzi şöbəsi</v>
          </cell>
          <cell r="E2055" t="str">
            <v>Telefon mərkəzi bölməsi</v>
          </cell>
          <cell r="F2055" t="str">
            <v>Mütəxəssis</v>
          </cell>
          <cell r="G2055" t="str">
            <v>A</v>
          </cell>
          <cell r="H2055">
            <v>45784</v>
          </cell>
        </row>
        <row r="2056">
          <cell r="B2056" t="str">
            <v>Mustafayeva Rəvanə Əbdurəhman</v>
          </cell>
          <cell r="C2056" t="str">
            <v>Satış kanalları departamenti</v>
          </cell>
          <cell r="D2056" t="str">
            <v>Əlaqə mərkəzi şöbəsi</v>
          </cell>
          <cell r="E2056" t="str">
            <v>Telefon mərkəzi bölməsi</v>
          </cell>
          <cell r="F2056" t="str">
            <v>Mütəxəssis</v>
          </cell>
          <cell r="G2056" t="str">
            <v>A</v>
          </cell>
          <cell r="H2056">
            <v>45784</v>
          </cell>
        </row>
        <row r="2057">
          <cell r="B2057" t="str">
            <v>Gözəlova Mayya Firdovsi</v>
          </cell>
          <cell r="C2057" t="str">
            <v>Satış kanalları departamenti</v>
          </cell>
          <cell r="D2057" t="str">
            <v>Əlaqə mərkəzi şöbəsi</v>
          </cell>
          <cell r="E2057" t="str">
            <v>Telefon mərkəzi bölməsi</v>
          </cell>
          <cell r="F2057" t="str">
            <v>Kiçik mütəxəssis</v>
          </cell>
          <cell r="G2057" t="str">
            <v>A</v>
          </cell>
          <cell r="H2057">
            <v>45856</v>
          </cell>
        </row>
        <row r="2058">
          <cell r="B2058" t="str">
            <v>Hidayətova Nuranə Nail</v>
          </cell>
          <cell r="C2058" t="str">
            <v>Satış kanalları departamenti</v>
          </cell>
          <cell r="D2058" t="str">
            <v>Əlaqə mərkəzi şöbəsi</v>
          </cell>
          <cell r="E2058" t="str">
            <v>Telefon mərkəzi bölməsi</v>
          </cell>
          <cell r="F2058" t="str">
            <v>Kiçik mütəxəssis</v>
          </cell>
          <cell r="G2058" t="str">
            <v>HX</v>
          </cell>
          <cell r="H2058">
            <v>45875</v>
          </cell>
        </row>
        <row r="2059">
          <cell r="B2059" t="str">
            <v>Səfərov Anar Məhəmməd</v>
          </cell>
          <cell r="C2059" t="str">
            <v>Satış kanalları departamenti</v>
          </cell>
          <cell r="D2059" t="str">
            <v>Əlaqə mərkəzi şöbəsi</v>
          </cell>
          <cell r="E2059" t="str">
            <v>Telefon mərkəzi bölməsi</v>
          </cell>
          <cell r="F2059" t="str">
            <v>Mütəxəssis (müvəqqəti)</v>
          </cell>
          <cell r="G2059" t="str">
            <v>A</v>
          </cell>
          <cell r="H2059">
            <v>45692</v>
          </cell>
        </row>
        <row r="2060">
          <cell r="B2060" t="str">
            <v>Məmmədova Leyla Vüqar</v>
          </cell>
          <cell r="C2060" t="str">
            <v>Satış kanalları departamenti</v>
          </cell>
          <cell r="D2060" t="str">
            <v>Əlaqə mərkəzi şöbəsi</v>
          </cell>
          <cell r="E2060" t="str">
            <v>Telefon mərkəzi bölməsi</v>
          </cell>
          <cell r="F2060" t="str">
            <v>Kiçik mütəxəssis</v>
          </cell>
          <cell r="G2060" t="str">
            <v>A</v>
          </cell>
          <cell r="H2060">
            <v>46155</v>
          </cell>
        </row>
        <row r="2061">
          <cell r="B2061" t="str">
            <v>Əliəkbərova Sevinc Rüfət</v>
          </cell>
          <cell r="C2061" t="str">
            <v>Satış kanalları departamenti</v>
          </cell>
          <cell r="D2061" t="str">
            <v>Əlaqə mərkəzi şöbəsi</v>
          </cell>
          <cell r="E2061" t="str">
            <v>Telefon mərkəzi bölməsi</v>
          </cell>
          <cell r="F2061" t="str">
            <v>Kiçik mütəxəssis</v>
          </cell>
          <cell r="G2061" t="str">
            <v>A</v>
          </cell>
          <cell r="H2061">
            <v>46155</v>
          </cell>
        </row>
        <row r="2062">
          <cell r="B2062" t="str">
            <v>İsmayılova Nəzrin İmran</v>
          </cell>
          <cell r="C2062" t="str">
            <v>Satış kanalları departamenti</v>
          </cell>
          <cell r="D2062" t="str">
            <v>Əlaqə mərkəzi şöbəsi</v>
          </cell>
          <cell r="E2062" t="str">
            <v>Telefon mərkəzi bölməsi</v>
          </cell>
          <cell r="F2062" t="str">
            <v>Kiçik mütəxəssis</v>
          </cell>
          <cell r="G2062" t="str">
            <v>A</v>
          </cell>
          <cell r="H2062">
            <v>46155</v>
          </cell>
        </row>
        <row r="2063">
          <cell r="B2063" t="str">
            <v>Xanalizadə Səfiyyə Vuqar</v>
          </cell>
          <cell r="C2063" t="str">
            <v>Satış kanalları departamenti</v>
          </cell>
          <cell r="D2063" t="str">
            <v>Əlaqə mərkəzi şöbəsi</v>
          </cell>
          <cell r="E2063" t="str">
            <v>Telefon mərkəzi bölməsi</v>
          </cell>
          <cell r="F2063" t="str">
            <v>Kiçik mütəxəssis</v>
          </cell>
          <cell r="G2063" t="str">
            <v>A</v>
          </cell>
          <cell r="H2063">
            <v>46161</v>
          </cell>
        </row>
        <row r="2064">
          <cell r="B2064" t="str">
            <v>Həmzətova Rəhilə Tahir</v>
          </cell>
          <cell r="C2064" t="str">
            <v>Satış kanalları departamenti</v>
          </cell>
          <cell r="D2064" t="str">
            <v>Əlaqə mərkəzi şöbəsi</v>
          </cell>
          <cell r="E2064" t="str">
            <v>Telefon mərkəzi bölməsi</v>
          </cell>
          <cell r="F2064" t="str">
            <v>Kiçik mütəxəssis</v>
          </cell>
          <cell r="G2064" t="str">
            <v>A</v>
          </cell>
          <cell r="H2064">
            <v>45891</v>
          </cell>
        </row>
        <row r="2065">
          <cell r="B2065" t="str">
            <v>Hüseynova Arzu Aydın</v>
          </cell>
          <cell r="C2065" t="str">
            <v>Satış kanalları departamenti</v>
          </cell>
          <cell r="D2065" t="str">
            <v>Əlaqə mərkəzi şöbəsi</v>
          </cell>
          <cell r="E2065" t="str">
            <v>Telefon mərkəzi bölməsi</v>
          </cell>
          <cell r="F2065" t="str">
            <v>Kiçik mütəxəssis</v>
          </cell>
          <cell r="G2065" t="str">
            <v>A</v>
          </cell>
          <cell r="H2065">
            <v>45856</v>
          </cell>
        </row>
        <row r="2066">
          <cell r="B2066" t="str">
            <v>Hüseynova Nigar Elxan</v>
          </cell>
          <cell r="C2066" t="str">
            <v>Satış kanalları departamenti</v>
          </cell>
          <cell r="D2066" t="str">
            <v>Əlaqə mərkəzi şöbəsi</v>
          </cell>
          <cell r="E2066" t="str">
            <v>Telefon mərkəzi bölməsi</v>
          </cell>
          <cell r="F2066" t="str">
            <v>Mütəxəssis</v>
          </cell>
          <cell r="G2066" t="str">
            <v>A</v>
          </cell>
          <cell r="H2066">
            <v>45784</v>
          </cell>
        </row>
        <row r="2067">
          <cell r="B2067" t="str">
            <v>Mirzəyeva Aytən Qəşəm</v>
          </cell>
          <cell r="C2067" t="str">
            <v>Satış kanalları departamenti</v>
          </cell>
          <cell r="D2067" t="str">
            <v>Əlaqə mərkəzi şöbəsi</v>
          </cell>
          <cell r="E2067" t="str">
            <v>Telefon mərkəzi bölməsi</v>
          </cell>
          <cell r="F2067" t="str">
            <v>Mütəxəssis</v>
          </cell>
          <cell r="G2067" t="str">
            <v>A</v>
          </cell>
          <cell r="H2067">
            <v>45784</v>
          </cell>
        </row>
        <row r="2068">
          <cell r="B2068" t="str">
            <v>Abdullazadə Arzu Mübariz</v>
          </cell>
          <cell r="C2068" t="str">
            <v>Satış kanalları departamenti</v>
          </cell>
          <cell r="D2068" t="str">
            <v>Əlaqə mərkəzi şöbəsi</v>
          </cell>
          <cell r="E2068" t="str">
            <v>Telefon mərkəzi bölməsi</v>
          </cell>
          <cell r="F2068" t="str">
            <v>Mütəxəssis</v>
          </cell>
          <cell r="G2068" t="str">
            <v>A</v>
          </cell>
          <cell r="H2068">
            <v>44847</v>
          </cell>
        </row>
        <row r="2069">
          <cell r="B2069" t="str">
            <v>Həsənzadə Fəridə Elşad</v>
          </cell>
          <cell r="C2069" t="str">
            <v>Satış kanalları departamenti</v>
          </cell>
          <cell r="D2069" t="str">
            <v>Əlaqə mərkəzi şöbəsi</v>
          </cell>
          <cell r="E2069" t="str">
            <v>Telefon mərkəzi bölməsi</v>
          </cell>
          <cell r="F2069" t="str">
            <v>Kiçik mütəxəssis</v>
          </cell>
          <cell r="G2069" t="str">
            <v>A</v>
          </cell>
          <cell r="H2069">
            <v>45903</v>
          </cell>
        </row>
        <row r="2070">
          <cell r="B2070" t="str">
            <v>Telmanlı Bahar Eyvaz</v>
          </cell>
          <cell r="C2070" t="str">
            <v>Satış kanalları departamenti</v>
          </cell>
          <cell r="D2070" t="str">
            <v>Əlaqə mərkəzi şöbəsi</v>
          </cell>
          <cell r="E2070" t="str">
            <v>Telefon mərkəzi bölməsi</v>
          </cell>
          <cell r="F2070" t="str">
            <v>Kiçik mütəxəssis</v>
          </cell>
          <cell r="G2070" t="str">
            <v>A</v>
          </cell>
          <cell r="H2070">
            <v>45903</v>
          </cell>
        </row>
        <row r="2071">
          <cell r="B2071" t="str">
            <v>Cabbarlı Aysu Elçin</v>
          </cell>
          <cell r="C2071" t="str">
            <v>Satış kanalları departamenti</v>
          </cell>
          <cell r="D2071" t="str">
            <v>Əlaqə mərkəzi şöbəsi</v>
          </cell>
          <cell r="E2071" t="str">
            <v>Telefon mərkəzi bölməsi</v>
          </cell>
          <cell r="F2071" t="str">
            <v>Kiçik mütəxəssis</v>
          </cell>
          <cell r="G2071" t="str">
            <v>A</v>
          </cell>
          <cell r="H2071">
            <v>45904</v>
          </cell>
        </row>
        <row r="2072">
          <cell r="B2072" t="str">
            <v>Qafarlı Gülnar Calal</v>
          </cell>
          <cell r="C2072" t="str">
            <v>Satış kanalları departamenti</v>
          </cell>
          <cell r="D2072" t="str">
            <v>Əlaqə mərkəzi şöbəsi</v>
          </cell>
          <cell r="E2072" t="str">
            <v>Telefon mərkəzi bölməsi</v>
          </cell>
          <cell r="F2072" t="str">
            <v>Kiçik mütəxəssis</v>
          </cell>
          <cell r="G2072" t="str">
            <v>A</v>
          </cell>
          <cell r="H2072">
            <v>45904</v>
          </cell>
        </row>
        <row r="2073">
          <cell r="B2073" t="str">
            <v>Məmmədova Kamilla Rüstəm</v>
          </cell>
          <cell r="C2073" t="str">
            <v>Satış kanalları departamenti</v>
          </cell>
          <cell r="D2073" t="str">
            <v>Əlaqə mərkəzi şöbəsi</v>
          </cell>
          <cell r="E2073" t="str">
            <v>Telefon mərkəzi bölməsi</v>
          </cell>
          <cell r="F2073" t="str">
            <v>Kiçik mütəxəssis</v>
          </cell>
          <cell r="G2073" t="str">
            <v>A</v>
          </cell>
          <cell r="H2073">
            <v>45692</v>
          </cell>
        </row>
        <row r="2074">
          <cell r="B2074" t="str">
            <v>Nəsirov Əkbər Balakişi</v>
          </cell>
          <cell r="C2074" t="str">
            <v>Satış kanalları departamenti</v>
          </cell>
          <cell r="D2074" t="str">
            <v>Əlaqə mərkəzi şöbəsi</v>
          </cell>
          <cell r="E2074" t="str">
            <v>Telefon mərkəzi bölməsi</v>
          </cell>
          <cell r="F2074" t="str">
            <v>Kiçik mütəxəssis</v>
          </cell>
          <cell r="G2074" t="str">
            <v>A</v>
          </cell>
          <cell r="H2074">
            <v>45939</v>
          </cell>
        </row>
        <row r="2075">
          <cell r="B2075" t="str">
            <v>Elməddinzadə Ziynət Nəzər</v>
          </cell>
          <cell r="C2075" t="str">
            <v>Satış kanalları departamenti</v>
          </cell>
          <cell r="D2075" t="str">
            <v>Əlaqə mərkəzi şöbəsi</v>
          </cell>
          <cell r="E2075" t="str">
            <v>Telefon mərkəzi bölməsi</v>
          </cell>
          <cell r="F2075" t="str">
            <v>Kiçik mütəxəssis</v>
          </cell>
          <cell r="G2075" t="str">
            <v>A</v>
          </cell>
          <cell r="H2075">
            <v>45967</v>
          </cell>
        </row>
        <row r="2076">
          <cell r="B2076" t="str">
            <v>Əlizadə Şəhla Abdulhüseyn</v>
          </cell>
          <cell r="C2076" t="str">
            <v>Satış kanalları departamenti</v>
          </cell>
          <cell r="D2076" t="str">
            <v>Əlaqə mərkəzi şöbəsi</v>
          </cell>
          <cell r="E2076" t="str">
            <v>Telefon mərkəzi bölməsi</v>
          </cell>
          <cell r="F2076" t="str">
            <v>Kiçik mütəxəssis</v>
          </cell>
          <cell r="G2076" t="str">
            <v>A</v>
          </cell>
          <cell r="H2076">
            <v>45973</v>
          </cell>
        </row>
        <row r="2077">
          <cell r="B2077" t="str">
            <v>Kərimova Aysel Mirdamət</v>
          </cell>
          <cell r="C2077" t="str">
            <v>Satış kanalları departamenti</v>
          </cell>
          <cell r="D2077" t="str">
            <v>Əlaqə mərkəzi şöbəsi</v>
          </cell>
          <cell r="E2077" t="str">
            <v>Telefon mərkəzi bölməsi</v>
          </cell>
          <cell r="F2077" t="str">
            <v>Kiçik mütəxəssis</v>
          </cell>
          <cell r="G2077" t="str">
            <v>A</v>
          </cell>
          <cell r="H2077">
            <v>45978</v>
          </cell>
        </row>
        <row r="2078">
          <cell r="B2078" t="str">
            <v>Qasımov Ramil Eldar</v>
          </cell>
          <cell r="C2078" t="str">
            <v>Satış kanalları departamenti</v>
          </cell>
          <cell r="D2078" t="str">
            <v>Əlaqə mərkəzi şöbəsi</v>
          </cell>
          <cell r="E2078" t="str">
            <v>Telefon mərkəzi bölməsi</v>
          </cell>
          <cell r="F2078" t="str">
            <v>Kiçik mütəxəssis</v>
          </cell>
          <cell r="G2078" t="str">
            <v>A</v>
          </cell>
          <cell r="H2078">
            <v>45978</v>
          </cell>
        </row>
        <row r="2079">
          <cell r="B2079" t="str">
            <v>Yaqubzadə Göyçək Ehtiram</v>
          </cell>
          <cell r="C2079" t="str">
            <v>Satış kanalları departamenti</v>
          </cell>
          <cell r="D2079" t="str">
            <v>Əlaqə mərkəzi şöbəsi</v>
          </cell>
          <cell r="E2079" t="str">
            <v>Telefon mərkəzi bölməsi</v>
          </cell>
          <cell r="F2079" t="str">
            <v>Kiçik mütəxəssis</v>
          </cell>
          <cell r="G2079" t="str">
            <v>A</v>
          </cell>
          <cell r="H2079">
            <v>45980</v>
          </cell>
        </row>
        <row r="2080">
          <cell r="B2080" t="str">
            <v>Əskərova Fidan Əskər</v>
          </cell>
          <cell r="C2080" t="str">
            <v>Satış kanalları departamenti</v>
          </cell>
          <cell r="D2080" t="str">
            <v>Əlaqə mərkəzi şöbəsi</v>
          </cell>
          <cell r="E2080" t="str">
            <v>Telefon mərkəzi bölməsi</v>
          </cell>
          <cell r="F2080" t="str">
            <v>Kiçik mütəxəssis</v>
          </cell>
          <cell r="G2080" t="str">
            <v>A</v>
          </cell>
          <cell r="H2080">
            <v>45980</v>
          </cell>
        </row>
        <row r="2081">
          <cell r="B2081" t="str">
            <v>Vəliyeva Günel Elçin</v>
          </cell>
          <cell r="C2081" t="str">
            <v>Satış kanalları departamenti</v>
          </cell>
          <cell r="D2081" t="str">
            <v>Əlaqə mərkəzi şöbəsi</v>
          </cell>
          <cell r="E2081" t="str">
            <v>Telefon mərkəzi bölməsi</v>
          </cell>
          <cell r="F2081" t="str">
            <v>Kiçik mütəxəssis</v>
          </cell>
          <cell r="G2081" t="str">
            <v>A</v>
          </cell>
          <cell r="H2081">
            <v>45999</v>
          </cell>
        </row>
        <row r="2082">
          <cell r="B2082" t="str">
            <v>Əliyeva Aysel Arif</v>
          </cell>
          <cell r="C2082" t="str">
            <v>Satış kanalları departamenti</v>
          </cell>
          <cell r="D2082" t="str">
            <v>Əlaqə mərkəzi şöbəsi</v>
          </cell>
          <cell r="E2082" t="str">
            <v>Telefon mərkəzi bölməsi</v>
          </cell>
          <cell r="F2082" t="str">
            <v>Kiçik mütəxəssis</v>
          </cell>
          <cell r="G2082" t="str">
            <v>A</v>
          </cell>
          <cell r="H2082">
            <v>46000</v>
          </cell>
        </row>
        <row r="2083">
          <cell r="B2083" t="str">
            <v>Məmmədli Roza Nurəddin</v>
          </cell>
          <cell r="C2083" t="str">
            <v>Satış kanalları departamenti</v>
          </cell>
          <cell r="D2083" t="str">
            <v>Əlaqə mərkəzi şöbəsi</v>
          </cell>
          <cell r="E2083" t="str">
            <v>Telefon mərkəzi bölməsi</v>
          </cell>
          <cell r="F2083" t="str">
            <v>Kiçik mütəxəssis</v>
          </cell>
          <cell r="G2083" t="str">
            <v>A</v>
          </cell>
          <cell r="H2083">
            <v>46000</v>
          </cell>
        </row>
        <row r="2084">
          <cell r="B2084" t="str">
            <v>Hüseynli Elturan Elbar</v>
          </cell>
          <cell r="C2084" t="str">
            <v>Satış kanalları departamenti</v>
          </cell>
          <cell r="D2084" t="str">
            <v>Əlaqə mərkəzi şöbəsi</v>
          </cell>
          <cell r="E2084" t="str">
            <v>Telefon mərkəzi bölməsi</v>
          </cell>
          <cell r="F2084" t="str">
            <v>Kiçik mütəxəssis</v>
          </cell>
          <cell r="G2084" t="str">
            <v>A</v>
          </cell>
          <cell r="H2084">
            <v>46006</v>
          </cell>
        </row>
        <row r="2085">
          <cell r="B2085" t="str">
            <v>Muxtarzadə Kamil Rauf</v>
          </cell>
          <cell r="C2085" t="str">
            <v>Satış kanalları departamenti</v>
          </cell>
          <cell r="D2085" t="str">
            <v>Əlaqə mərkəzi şöbəsi</v>
          </cell>
          <cell r="E2085" t="str">
            <v>Telefon mərkəzi bölməsi</v>
          </cell>
          <cell r="F2085" t="str">
            <v>Kiçik mütəxəssis</v>
          </cell>
          <cell r="G2085" t="str">
            <v>A</v>
          </cell>
          <cell r="H2085">
            <v>46143</v>
          </cell>
        </row>
        <row r="2086">
          <cell r="B2086" t="str">
            <v>Abuşova Mühanə Mehman</v>
          </cell>
          <cell r="C2086" t="str">
            <v>Satış kanalları departamenti</v>
          </cell>
          <cell r="D2086" t="str">
            <v>Əlaqə mərkəzi şöbəsi</v>
          </cell>
          <cell r="E2086" t="str">
            <v>Telefon mərkəzi bölməsi</v>
          </cell>
          <cell r="F2086" t="str">
            <v>Kiçik mütəxəssis</v>
          </cell>
          <cell r="G2086" t="str">
            <v>A</v>
          </cell>
          <cell r="H2086">
            <v>46147</v>
          </cell>
        </row>
        <row r="2087">
          <cell r="B2087" t="str">
            <v>Əliyeva Ləman Şəmsi</v>
          </cell>
          <cell r="C2087" t="str">
            <v>Satış kanalları departamenti</v>
          </cell>
          <cell r="D2087" t="str">
            <v>Əlaqə mərkəzi şöbəsi</v>
          </cell>
          <cell r="E2087" t="str">
            <v>Telefon mərkəzi bölməsi</v>
          </cell>
          <cell r="F2087" t="str">
            <v>Kiçik mütəxəssis</v>
          </cell>
          <cell r="G2087" t="str">
            <v>A</v>
          </cell>
          <cell r="H2087">
            <v>46176</v>
          </cell>
        </row>
        <row r="2088">
          <cell r="B2088" t="str">
            <v>Dadaşlı Türkan Sucayət</v>
          </cell>
          <cell r="C2088" t="str">
            <v>Satış kanalları departamenti</v>
          </cell>
          <cell r="D2088" t="str">
            <v>Əlaqə mərkəzi şöbəsi</v>
          </cell>
          <cell r="E2088" t="str">
            <v>Telefon mərkəzi bölməsi</v>
          </cell>
          <cell r="F2088" t="str">
            <v>Mütəxəssis</v>
          </cell>
          <cell r="G2088" t="str">
            <v>A</v>
          </cell>
          <cell r="H2088">
            <v>44608</v>
          </cell>
        </row>
        <row r="2089">
          <cell r="B2089" t="str">
            <v>Kazımova Həsənli Xeyransə Mikayıl</v>
          </cell>
          <cell r="C2089" t="str">
            <v>Satış kanalları departamenti</v>
          </cell>
          <cell r="D2089" t="str">
            <v>Əlaqə mərkəzi şöbəsi</v>
          </cell>
          <cell r="E2089" t="str">
            <v>Telefon mərkəzi bölməsi</v>
          </cell>
          <cell r="F2089" t="str">
            <v>Kiçik mütəxəssis</v>
          </cell>
          <cell r="G2089" t="str">
            <v>A</v>
          </cell>
          <cell r="H2089">
            <v>46146</v>
          </cell>
        </row>
        <row r="2090">
          <cell r="B2090" t="str">
            <v>Həşimova Zöhrə Yaşar</v>
          </cell>
          <cell r="C2090" t="str">
            <v>Satış kanalları departamenti</v>
          </cell>
          <cell r="D2090" t="str">
            <v>Əlaqə mərkəzi şöbəsi</v>
          </cell>
          <cell r="E2090" t="str">
            <v>Telefon mərkəzi bölməsi</v>
          </cell>
          <cell r="F2090" t="str">
            <v>Kiçik mütəxəssis</v>
          </cell>
          <cell r="G2090" t="str">
            <v>SM</v>
          </cell>
          <cell r="H2090">
            <v>45414</v>
          </cell>
        </row>
        <row r="2091">
          <cell r="B2091" t="str">
            <v>Abdinova Zərifə Elçin</v>
          </cell>
          <cell r="C2091" t="str">
            <v>Satış kanalları departamenti</v>
          </cell>
          <cell r="D2091" t="str">
            <v>Əlaqə mərkəzi şöbəsi</v>
          </cell>
          <cell r="E2091" t="str">
            <v>Telefon mərkəzi bölməsi</v>
          </cell>
          <cell r="F2091" t="str">
            <v>Mütəxəssis (müvəqqəti)</v>
          </cell>
          <cell r="G2091" t="str">
            <v>A</v>
          </cell>
          <cell r="H2091">
            <v>45652</v>
          </cell>
        </row>
        <row r="2092">
          <cell r="B2092" t="str">
            <v>Teymurova Sevinc Musa</v>
          </cell>
          <cell r="C2092" t="str">
            <v>Satış kanalları departamenti</v>
          </cell>
          <cell r="D2092" t="str">
            <v>Əlaqə mərkəzi şöbəsi</v>
          </cell>
          <cell r="E2092" t="str">
            <v>Telefon mərkəzi bölməsi</v>
          </cell>
          <cell r="F2092" t="str">
            <v>Kiçik mütəxəssis</v>
          </cell>
          <cell r="G2092" t="str">
            <v>SM</v>
          </cell>
          <cell r="H2092">
            <v>44763</v>
          </cell>
        </row>
        <row r="2093">
          <cell r="B2093" t="str">
            <v>Əkbərzadə Şəms Rəhman</v>
          </cell>
          <cell r="C2093" t="str">
            <v>Satış kanalları departamenti</v>
          </cell>
          <cell r="D2093" t="str">
            <v>Əlaqə mərkəzi şöbəsi</v>
          </cell>
          <cell r="E2093" t="str">
            <v>Telefon mərkəzi bölməsi</v>
          </cell>
          <cell r="F2093" t="str">
            <v>Kiçik mütəxəssis (müvəqqəti)</v>
          </cell>
          <cell r="G2093" t="str">
            <v>A</v>
          </cell>
          <cell r="H2093">
            <v>46231</v>
          </cell>
        </row>
        <row r="2094">
          <cell r="B2094" t="str">
            <v>Seyidli Fidan Bəyoğlan</v>
          </cell>
          <cell r="C2094" t="str">
            <v>Satış kanalları departamenti</v>
          </cell>
          <cell r="D2094" t="str">
            <v>Əlaqə mərkəzi şöbəsi</v>
          </cell>
          <cell r="E2094" t="str">
            <v>Telefon mərkəzi bölməsi</v>
          </cell>
          <cell r="F2094" t="str">
            <v>Kiçik mütəxəssis (0,5 ştat vahidi üzrə əvəzçilik qaydasında)</v>
          </cell>
          <cell r="G2094" t="str">
            <v>A</v>
          </cell>
          <cell r="H2094">
            <v>45810</v>
          </cell>
        </row>
        <row r="2095">
          <cell r="B2095" t="str">
            <v>Əlizadə Səbinə Eminağa</v>
          </cell>
          <cell r="C2095" t="str">
            <v>Satış kanalları departamenti</v>
          </cell>
          <cell r="D2095" t="str">
            <v>#</v>
          </cell>
          <cell r="E2095" t="str">
            <v>#</v>
          </cell>
          <cell r="F2095" t="str">
            <v>Direktor müavini</v>
          </cell>
          <cell r="G2095" t="str">
            <v>A</v>
          </cell>
          <cell r="H2095">
            <v>42705</v>
          </cell>
        </row>
        <row r="2096">
          <cell r="B2096" t="str">
            <v>Hüseynov Fərrux Elxan</v>
          </cell>
          <cell r="C2096" t="str">
            <v>Satış kanalları departamenti</v>
          </cell>
          <cell r="D2096" t="str">
            <v>Məsafədən satış və xidmət şöbəsi</v>
          </cell>
          <cell r="E2096" t="str">
            <v>Rəqəmsal satışlara xidmət bölməsi</v>
          </cell>
          <cell r="F2096" t="str">
            <v>Bölmə rəhbəri</v>
          </cell>
          <cell r="G2096" t="str">
            <v>A</v>
          </cell>
          <cell r="H2096">
            <v>43063</v>
          </cell>
        </row>
        <row r="2097">
          <cell r="B2097" t="str">
            <v>Əliyeva Rəna İmaməddin</v>
          </cell>
          <cell r="C2097" t="str">
            <v>Satış kanalları departamenti</v>
          </cell>
          <cell r="D2097" t="str">
            <v>Məsafədən satış və xidmət şöbəsi</v>
          </cell>
          <cell r="E2097" t="str">
            <v>Rəqəmsal satışlara xidmət bölməsi</v>
          </cell>
          <cell r="F2097" t="str">
            <v>Baş mütəxəssis</v>
          </cell>
          <cell r="G2097" t="str">
            <v>A</v>
          </cell>
          <cell r="H2097">
            <v>43074</v>
          </cell>
        </row>
        <row r="2098">
          <cell r="B2098" t="str">
            <v>Musayev Rüstəm Kazım</v>
          </cell>
          <cell r="C2098" t="str">
            <v>Satış kanalları departamenti</v>
          </cell>
          <cell r="D2098" t="str">
            <v>Məsafədən satış və xidmət şöbəsi</v>
          </cell>
          <cell r="E2098" t="str">
            <v>Rəqəmsal satışlara xidmət bölməsi</v>
          </cell>
          <cell r="F2098" t="str">
            <v>Baş mütəxəssis</v>
          </cell>
          <cell r="G2098" t="str">
            <v>A</v>
          </cell>
          <cell r="H2098">
            <v>43245</v>
          </cell>
        </row>
        <row r="2099">
          <cell r="B2099" t="str">
            <v>Fətəliyeva Aytac Azər</v>
          </cell>
          <cell r="C2099" t="str">
            <v>Satış kanalları departamenti</v>
          </cell>
          <cell r="D2099" t="str">
            <v>Məsafədən satış və xidmət şöbəsi</v>
          </cell>
          <cell r="E2099" t="str">
            <v>Rəqəmsal satışlara xidmət bölməsi</v>
          </cell>
          <cell r="F2099" t="str">
            <v>Aparıcı mütəxəssis</v>
          </cell>
          <cell r="G2099" t="str">
            <v>A</v>
          </cell>
          <cell r="H2099">
            <v>43017</v>
          </cell>
        </row>
        <row r="2100">
          <cell r="B2100" t="str">
            <v>Pirverdiyeva Könül Nazim</v>
          </cell>
          <cell r="C2100" t="str">
            <v>Biznesə dəstək departamenti</v>
          </cell>
          <cell r="D2100" t="str">
            <v>#</v>
          </cell>
          <cell r="E2100" t="str">
            <v>Onlayn hesablar bölməsi</v>
          </cell>
          <cell r="F2100" t="str">
            <v>Aparıcı mütəxəssis</v>
          </cell>
          <cell r="G2100" t="str">
            <v>A</v>
          </cell>
          <cell r="H2100">
            <v>42829</v>
          </cell>
        </row>
        <row r="2101">
          <cell r="B2101" t="str">
            <v>Musayeva Aygün Nurəddin</v>
          </cell>
          <cell r="C2101" t="str">
            <v>Biznesə dəstək departamenti</v>
          </cell>
          <cell r="D2101" t="str">
            <v>#</v>
          </cell>
          <cell r="E2101" t="str">
            <v>Onlayn hesablar bölməsi</v>
          </cell>
          <cell r="F2101" t="str">
            <v>Baş mütəxəssis</v>
          </cell>
          <cell r="G2101" t="str">
            <v>A</v>
          </cell>
          <cell r="H2101">
            <v>36697</v>
          </cell>
        </row>
        <row r="2102">
          <cell r="B2102" t="str">
            <v>Məhərrəmov Saleh Mehman</v>
          </cell>
          <cell r="C2102" t="str">
            <v>Satış kanalları departamenti</v>
          </cell>
          <cell r="D2102" t="str">
            <v>Məsafədən satış və xidmət şöbəsi</v>
          </cell>
          <cell r="E2102" t="str">
            <v>Rəqəmsal satışlara xidmət bölməsi</v>
          </cell>
          <cell r="F2102" t="str">
            <v>Aparıcı mütəxəssis</v>
          </cell>
          <cell r="G2102" t="str">
            <v>A</v>
          </cell>
          <cell r="H2102">
            <v>43668</v>
          </cell>
        </row>
        <row r="2103">
          <cell r="B2103" t="str">
            <v>Qasımova Nailə Vüqar</v>
          </cell>
          <cell r="C2103" t="str">
            <v>Satış kanalları departamenti</v>
          </cell>
          <cell r="D2103" t="str">
            <v>Məsafədən satış və xidmət şöbəsi</v>
          </cell>
          <cell r="E2103" t="str">
            <v>Rəqəmsal satışlara xidmət bölməsi</v>
          </cell>
          <cell r="F2103" t="str">
            <v>Aparıcı mütəxəssis</v>
          </cell>
          <cell r="G2103" t="str">
            <v>A</v>
          </cell>
          <cell r="H2103">
            <v>43671</v>
          </cell>
        </row>
        <row r="2104">
          <cell r="B2104" t="str">
            <v>Hüseynova Əfşan Tofiq</v>
          </cell>
          <cell r="C2104" t="str">
            <v>Biznesə dəstək departamenti</v>
          </cell>
          <cell r="D2104" t="str">
            <v>#</v>
          </cell>
          <cell r="E2104" t="str">
            <v>Onlayn hesablar bölməsi</v>
          </cell>
          <cell r="F2104" t="str">
            <v>Aparıcı mütəxəssis</v>
          </cell>
          <cell r="G2104" t="str">
            <v>A</v>
          </cell>
          <cell r="H2104">
            <v>42346</v>
          </cell>
        </row>
        <row r="2105">
          <cell r="B2105" t="str">
            <v>Quluzadə Aybəniz Səbuhi</v>
          </cell>
          <cell r="C2105" t="str">
            <v>Satış kanalları departamenti</v>
          </cell>
          <cell r="D2105" t="str">
            <v>Məsafədən satış və xidmət şöbəsi</v>
          </cell>
          <cell r="E2105" t="str">
            <v>Rəqəmsal satışlara xidmət bölməsi</v>
          </cell>
          <cell r="F2105" t="str">
            <v>Aparıcı mütəxəssis</v>
          </cell>
          <cell r="G2105" t="str">
            <v>A</v>
          </cell>
          <cell r="H2105">
            <v>44112</v>
          </cell>
        </row>
        <row r="2106">
          <cell r="B2106" t="str">
            <v>Məmmədov Oruc Şair</v>
          </cell>
          <cell r="C2106" t="str">
            <v>Satış kanalları departamenti</v>
          </cell>
          <cell r="D2106" t="str">
            <v>Məsafədən satış və xidmət şöbəsi</v>
          </cell>
          <cell r="E2106" t="str">
            <v>Rəqəmsal satışlara xidmət bölməsi</v>
          </cell>
          <cell r="F2106" t="str">
            <v>Mütəxəssis</v>
          </cell>
          <cell r="G2106" t="str">
            <v>A</v>
          </cell>
          <cell r="H2106">
            <v>44886</v>
          </cell>
        </row>
        <row r="2107">
          <cell r="B2107" t="str">
            <v>Məmmədli Elşən Ülfət</v>
          </cell>
          <cell r="C2107" t="str">
            <v>Satış kanalları departamenti</v>
          </cell>
          <cell r="D2107" t="str">
            <v>Məsafədən satış və xidmət şöbəsi</v>
          </cell>
          <cell r="E2107" t="str">
            <v>Rəqəmsal satışlara xidmət bölməsi</v>
          </cell>
          <cell r="F2107" t="str">
            <v>Mütəxəssis</v>
          </cell>
          <cell r="G2107" t="str">
            <v>A</v>
          </cell>
          <cell r="H2107">
            <v>44456</v>
          </cell>
        </row>
        <row r="2108">
          <cell r="B2108" t="str">
            <v>Qurbanzadə Filurə Faiq</v>
          </cell>
          <cell r="C2108" t="str">
            <v>Satış kanalları departamenti</v>
          </cell>
          <cell r="D2108" t="str">
            <v>Məsafədən satış və xidmət şöbəsi</v>
          </cell>
          <cell r="E2108" t="str">
            <v>Rəqəmsal satışlara xidmət bölməsi</v>
          </cell>
          <cell r="F2108" t="str">
            <v>Mütəxəssis</v>
          </cell>
          <cell r="G2108" t="str">
            <v>A</v>
          </cell>
          <cell r="H2108">
            <v>44323</v>
          </cell>
        </row>
        <row r="2109">
          <cell r="B2109" t="str">
            <v>Məmmədli Vəfa Ağamalı</v>
          </cell>
          <cell r="C2109" t="str">
            <v>Satış kanalları departamenti</v>
          </cell>
          <cell r="D2109" t="str">
            <v>Məsafədən satış və xidmət şöbəsi</v>
          </cell>
          <cell r="E2109" t="str">
            <v>Rəqəmsal satışlara xidmət bölməsi</v>
          </cell>
          <cell r="F2109" t="str">
            <v>Mütəxəssis</v>
          </cell>
          <cell r="G2109" t="str">
            <v>A</v>
          </cell>
          <cell r="H2109">
            <v>43090</v>
          </cell>
        </row>
        <row r="2110">
          <cell r="B2110" t="str">
            <v>Rüstəmli Firudin Rəşad</v>
          </cell>
          <cell r="C2110" t="str">
            <v>Satış Kanalları Departamenti</v>
          </cell>
          <cell r="D2110" t="str">
            <v>Məsafədən satış və xidmət şöbəsi</v>
          </cell>
          <cell r="E2110" t="str">
            <v>Rəqəmsal satışlara xidmət bölməsi</v>
          </cell>
          <cell r="F2110" t="str">
            <v>Mütəxəssis</v>
          </cell>
          <cell r="G2110" t="str">
            <v>A</v>
          </cell>
          <cell r="H2110">
            <v>45566</v>
          </cell>
        </row>
        <row r="2111">
          <cell r="B2111" t="str">
            <v>Hacıyev Nazim İftixar</v>
          </cell>
          <cell r="C2111" t="str">
            <v>Satış kanalları departamenti</v>
          </cell>
          <cell r="D2111" t="str">
            <v>Məsafədən satış və xidmət şöbəsi</v>
          </cell>
          <cell r="E2111" t="str">
            <v>Rəqəmsal satışlara xidmət bölməsi</v>
          </cell>
          <cell r="F2111" t="str">
            <v>Mütəxəssis</v>
          </cell>
          <cell r="G2111" t="str">
            <v>A</v>
          </cell>
          <cell r="H2111">
            <v>45568</v>
          </cell>
        </row>
        <row r="2112">
          <cell r="B2112" t="str">
            <v>Xanbəyli Səidə Vüqar</v>
          </cell>
          <cell r="C2112" t="str">
            <v>Satış kanalları departamenti</v>
          </cell>
          <cell r="D2112" t="str">
            <v>Məsafədən satış və xidmət şöbəsi</v>
          </cell>
          <cell r="E2112" t="str">
            <v>Rəqəmsal satışlara xidmət bölməsi</v>
          </cell>
          <cell r="F2112" t="str">
            <v>Mütəxəssis</v>
          </cell>
          <cell r="G2112" t="str">
            <v>A</v>
          </cell>
          <cell r="H2112">
            <v>45793</v>
          </cell>
        </row>
        <row r="2113">
          <cell r="B2113" t="str">
            <v>Kərimli Qönçə Mahmud</v>
          </cell>
          <cell r="C2113" t="str">
            <v>Satış Kanalları Departamenti</v>
          </cell>
          <cell r="D2113" t="str">
            <v>Məsafədən satış və xidmət şöbəsi</v>
          </cell>
          <cell r="E2113" t="str">
            <v>Rəqəmsal satışlara xidmət bölməsi</v>
          </cell>
          <cell r="F2113" t="str">
            <v>Mütəxəssis</v>
          </cell>
          <cell r="G2113" t="str">
            <v>A</v>
          </cell>
          <cell r="H2113">
            <v>45566</v>
          </cell>
        </row>
        <row r="2114">
          <cell r="B2114" t="str">
            <v>Tahirov Əbdülhüseyn Vüqar</v>
          </cell>
          <cell r="C2114" t="str">
            <v>Satış Kanalları Departamenti</v>
          </cell>
          <cell r="D2114" t="str">
            <v>Məsafədən satış və xidmət şöbəsi</v>
          </cell>
          <cell r="E2114" t="str">
            <v>Rəqəmsal satışlara xidmət bölməsi</v>
          </cell>
          <cell r="F2114" t="str">
            <v>Kiçik mütəxəssis</v>
          </cell>
          <cell r="G2114" t="str">
            <v>A</v>
          </cell>
          <cell r="H2114">
            <v>45937</v>
          </cell>
        </row>
        <row r="2115">
          <cell r="B2115" t="str">
            <v>Cəbrayıllı Viktoriya Nikolayevna</v>
          </cell>
          <cell r="C2115" t="str">
            <v>Satış kanalları departamenti</v>
          </cell>
          <cell r="D2115" t="str">
            <v>Məsafədən satış və xidmət şöbəsi</v>
          </cell>
          <cell r="E2115" t="str">
            <v>Telemarketinq bölməsi</v>
          </cell>
          <cell r="F2115" t="str">
            <v>Qrup rəhbəri</v>
          </cell>
          <cell r="G2115" t="str">
            <v>A</v>
          </cell>
          <cell r="H2115">
            <v>42349</v>
          </cell>
        </row>
        <row r="2116">
          <cell r="B2116" t="str">
            <v>Ağayeva Aliyə Tahir</v>
          </cell>
          <cell r="C2116" t="str">
            <v>Satış kanalları departamenti</v>
          </cell>
          <cell r="D2116" t="str">
            <v>Məsafədən satış və xidmət şöbəsi</v>
          </cell>
          <cell r="E2116" t="str">
            <v>Telemarketinq bölməsi</v>
          </cell>
          <cell r="F2116" t="str">
            <v>Qrup rəhbəri</v>
          </cell>
          <cell r="G2116" t="str">
            <v>A</v>
          </cell>
          <cell r="H2116">
            <v>42951</v>
          </cell>
        </row>
        <row r="2117">
          <cell r="B2117" t="str">
            <v>İbadova Jalə Mehman</v>
          </cell>
          <cell r="C2117" t="str">
            <v>Satış kanalları departamenti</v>
          </cell>
          <cell r="D2117" t="str">
            <v>Məsafədən satış və xidmət şöbəsi</v>
          </cell>
          <cell r="E2117" t="str">
            <v>Telemarketinq bölməsi</v>
          </cell>
          <cell r="F2117" t="str">
            <v>Aparıcı mütəxəssis</v>
          </cell>
          <cell r="G2117" t="str">
            <v>A</v>
          </cell>
          <cell r="H2117">
            <v>43090</v>
          </cell>
        </row>
        <row r="2118">
          <cell r="B2118" t="str">
            <v>Kərimli Samirə Zaur</v>
          </cell>
          <cell r="C2118" t="str">
            <v>Satış kanalları departamenti</v>
          </cell>
          <cell r="D2118" t="str">
            <v>Məsafədən satış və xidmət şöbəsi</v>
          </cell>
          <cell r="E2118" t="str">
            <v>Telemarketinq bölməsi</v>
          </cell>
          <cell r="F2118" t="str">
            <v>Mütəxəssis</v>
          </cell>
          <cell r="G2118" t="str">
            <v>A</v>
          </cell>
          <cell r="H2118">
            <v>43004</v>
          </cell>
        </row>
        <row r="2119">
          <cell r="B2119" t="str">
            <v>Məmmədova Müslümə Elman</v>
          </cell>
          <cell r="C2119" t="str">
            <v>Satış kanalları departamenti</v>
          </cell>
          <cell r="D2119" t="str">
            <v>Məsafədən satış və xidmət şöbəsi</v>
          </cell>
          <cell r="E2119" t="str">
            <v>Telemarketinq bölməsi</v>
          </cell>
          <cell r="F2119" t="str">
            <v>Mütəxəssis</v>
          </cell>
          <cell r="G2119" t="str">
            <v>A</v>
          </cell>
          <cell r="H2119">
            <v>43122</v>
          </cell>
        </row>
        <row r="2120">
          <cell r="B2120" t="str">
            <v>İsmayılova Jalə Hidayət</v>
          </cell>
          <cell r="C2120" t="str">
            <v>Satış kanalları departamenti</v>
          </cell>
          <cell r="D2120" t="str">
            <v>Məsafədən satış və xidmət şöbəsi</v>
          </cell>
          <cell r="E2120" t="str">
            <v>Telemarketinq bölməsi</v>
          </cell>
          <cell r="F2120" t="str">
            <v>Mütəxəssis</v>
          </cell>
          <cell r="G2120" t="str">
            <v>SM</v>
          </cell>
          <cell r="H2120">
            <v>43427</v>
          </cell>
        </row>
        <row r="2121">
          <cell r="B2121" t="str">
            <v>İbrahimova Aysaba Ehtibar</v>
          </cell>
          <cell r="C2121" t="str">
            <v>Satış kanalları departamenti</v>
          </cell>
          <cell r="D2121" t="str">
            <v>Məsafədən satış və xidmət şöbəsi</v>
          </cell>
          <cell r="E2121" t="str">
            <v>Telemarketinq bölməsi</v>
          </cell>
          <cell r="F2121" t="str">
            <v>Mütəxəssis (müvəqqəti)</v>
          </cell>
          <cell r="G2121" t="str">
            <v>HX</v>
          </cell>
          <cell r="H2121">
            <v>45730</v>
          </cell>
        </row>
        <row r="2122">
          <cell r="B2122" t="str">
            <v>Sayılova Aygün Əsəd</v>
          </cell>
          <cell r="C2122" t="str">
            <v>Satış kanalları departamenti</v>
          </cell>
          <cell r="D2122" t="str">
            <v>Məsafədən satış və xidmət şöbəsi</v>
          </cell>
          <cell r="E2122" t="str">
            <v>Telemarketinq bölməsi</v>
          </cell>
          <cell r="F2122" t="str">
            <v>Mütəxəssis</v>
          </cell>
          <cell r="G2122" t="str">
            <v>A</v>
          </cell>
          <cell r="H2122">
            <v>44288</v>
          </cell>
        </row>
        <row r="2123">
          <cell r="B2123" t="str">
            <v>Cəlilova Nilufər Ayxan</v>
          </cell>
          <cell r="C2123" t="str">
            <v>Satış kanalları departamenti</v>
          </cell>
          <cell r="D2123" t="str">
            <v>Məsafədən satış və xidmət şöbəsi</v>
          </cell>
          <cell r="E2123" t="str">
            <v>Telemarketinq bölməsi</v>
          </cell>
          <cell r="F2123" t="str">
            <v>Mütəxəssis</v>
          </cell>
          <cell r="G2123" t="str">
            <v>A</v>
          </cell>
          <cell r="H2123">
            <v>44319</v>
          </cell>
        </row>
        <row r="2124">
          <cell r="B2124" t="str">
            <v>Məmmədova Gülnar İslam</v>
          </cell>
          <cell r="C2124" t="str">
            <v>Satış kanalları departamenti</v>
          </cell>
          <cell r="D2124" t="str">
            <v>Məsafədən satış və xidmət şöbəsi</v>
          </cell>
          <cell r="E2124" t="str">
            <v>Telesatış bölməsi</v>
          </cell>
          <cell r="F2124" t="str">
            <v>Mütəxəssis</v>
          </cell>
          <cell r="G2124" t="str">
            <v>SM</v>
          </cell>
          <cell r="H2124">
            <v>44391</v>
          </cell>
        </row>
        <row r="2125">
          <cell r="B2125" t="str">
            <v>Hacıyeva Məryəm Mehmanovna</v>
          </cell>
          <cell r="C2125" t="str">
            <v>Satış kanalları departamenti</v>
          </cell>
          <cell r="D2125" t="str">
            <v>Məsafədən satış və xidmət şöbəsi</v>
          </cell>
          <cell r="E2125" t="str">
            <v>Telesatış bölməsi</v>
          </cell>
          <cell r="F2125" t="str">
            <v>Kiçik mütəxəssis (müvəqqəti)</v>
          </cell>
          <cell r="G2125" t="str">
            <v>A</v>
          </cell>
          <cell r="H2125">
            <v>45800</v>
          </cell>
        </row>
        <row r="2126">
          <cell r="B2126" t="str">
            <v>İsmayılova Aysel Daşdəmir</v>
          </cell>
          <cell r="C2126" t="str">
            <v>Satış kanalları departamenti</v>
          </cell>
          <cell r="D2126" t="str">
            <v>Məsafədən satış və xidmət şöbəsi</v>
          </cell>
          <cell r="E2126" t="str">
            <v>Telemarketinq bölməsi</v>
          </cell>
          <cell r="F2126" t="str">
            <v>Mütəxəssis</v>
          </cell>
          <cell r="G2126" t="str">
            <v>A</v>
          </cell>
          <cell r="H2126">
            <v>44522</v>
          </cell>
        </row>
        <row r="2127">
          <cell r="B2127" t="str">
            <v>Tağızadə Məsumə Valeh</v>
          </cell>
          <cell r="C2127" t="str">
            <v>Satış kanalları departamenti</v>
          </cell>
          <cell r="D2127" t="str">
            <v>Məsafədən satış və xidmət şöbəsi</v>
          </cell>
          <cell r="E2127" t="str">
            <v>Telemarketinq bölməsi</v>
          </cell>
          <cell r="F2127" t="str">
            <v>Mütəxəssis</v>
          </cell>
          <cell r="G2127" t="str">
            <v>A</v>
          </cell>
          <cell r="H2127">
            <v>44575</v>
          </cell>
        </row>
        <row r="2128">
          <cell r="B2128" t="str">
            <v>Məmmədzadə Rahimə Qara</v>
          </cell>
          <cell r="C2128" t="str">
            <v>Satış kanalları departamenti</v>
          </cell>
          <cell r="D2128" t="str">
            <v>Məsafədən satış və xidmət şöbəsi</v>
          </cell>
          <cell r="E2128" t="str">
            <v>Telesatış bölməsi</v>
          </cell>
          <cell r="F2128" t="str">
            <v>Mütəxəssis</v>
          </cell>
          <cell r="G2128" t="str">
            <v>SM</v>
          </cell>
          <cell r="H2128">
            <v>44307</v>
          </cell>
        </row>
        <row r="2129">
          <cell r="B2129" t="str">
            <v>Kazımov Aqil Mayis</v>
          </cell>
          <cell r="C2129" t="str">
            <v>Satış kanalları departamenti</v>
          </cell>
          <cell r="D2129" t="str">
            <v>Məsafədən satış və xidmət şöbəsi</v>
          </cell>
          <cell r="E2129" t="str">
            <v>Telesatış bölməsi</v>
          </cell>
          <cell r="F2129" t="str">
            <v>Mütəxəssis (müvəqqəti)</v>
          </cell>
          <cell r="G2129" t="str">
            <v>A</v>
          </cell>
          <cell r="H2129">
            <v>45611</v>
          </cell>
        </row>
        <row r="2130">
          <cell r="B2130" t="str">
            <v>Quluzadə Gül Rövşən</v>
          </cell>
          <cell r="C2130" t="str">
            <v>Satış kanalları departamenti</v>
          </cell>
          <cell r="D2130" t="str">
            <v>Məsafədən satış və xidmət şöbəsi</v>
          </cell>
          <cell r="E2130" t="str">
            <v>Telesatış bölməsi</v>
          </cell>
          <cell r="F2130" t="str">
            <v>Mütəxəssis</v>
          </cell>
          <cell r="G2130" t="str">
            <v>SM</v>
          </cell>
          <cell r="H2130">
            <v>44593</v>
          </cell>
        </row>
        <row r="2131">
          <cell r="B2131" t="str">
            <v>Kərimov Elmar Şahin</v>
          </cell>
          <cell r="C2131" t="str">
            <v>Satış kanalları departamenti</v>
          </cell>
          <cell r="D2131" t="str">
            <v>Məsafədən satış və xidmət şöbəsi</v>
          </cell>
          <cell r="E2131" t="str">
            <v>Telesatış bölməsi</v>
          </cell>
          <cell r="F2131" t="str">
            <v>Mütəxəssis (müvəqqəti)</v>
          </cell>
          <cell r="G2131" t="str">
            <v>A</v>
          </cell>
          <cell r="H2131">
            <v>45896</v>
          </cell>
        </row>
        <row r="2132">
          <cell r="B2132" t="str">
            <v>Şükürova Əzizə Rabil</v>
          </cell>
          <cell r="C2132" t="str">
            <v>Satış kanalları departamenti</v>
          </cell>
          <cell r="D2132" t="str">
            <v>Məsafədən satış və xidmət şöbəsi</v>
          </cell>
          <cell r="E2132" t="str">
            <v>Telesatış bölməsi</v>
          </cell>
          <cell r="F2132" t="str">
            <v>Mütəxəssis</v>
          </cell>
          <cell r="G2132" t="str">
            <v>SM</v>
          </cell>
          <cell r="H2132">
            <v>44858</v>
          </cell>
        </row>
        <row r="2133">
          <cell r="B2133" t="str">
            <v>Kürdova İliana Bəhrəm</v>
          </cell>
          <cell r="C2133" t="str">
            <v>Satış kanalları departamenti</v>
          </cell>
          <cell r="D2133" t="str">
            <v>Məsafədən satış və xidmət şöbəsi</v>
          </cell>
          <cell r="E2133" t="str">
            <v>Telesatış bölməsi</v>
          </cell>
          <cell r="F2133" t="str">
            <v>Kiçik mütəxəssis (müvəqqəti)</v>
          </cell>
          <cell r="G2133" t="str">
            <v>A</v>
          </cell>
          <cell r="H2133">
            <v>46177</v>
          </cell>
        </row>
        <row r="2134">
          <cell r="B2134" t="str">
            <v>Baxşəliyeva Əfsanə Aqşin</v>
          </cell>
          <cell r="C2134" t="str">
            <v>Satış kanalları departamenti</v>
          </cell>
          <cell r="D2134" t="str">
            <v>Məsafədən satış və xidmət şöbəsi</v>
          </cell>
          <cell r="E2134" t="str">
            <v>Telemarketinq bölməsi</v>
          </cell>
          <cell r="F2134" t="str">
            <v>Mütəxəssis</v>
          </cell>
          <cell r="G2134" t="str">
            <v>A</v>
          </cell>
          <cell r="H2134">
            <v>44977</v>
          </cell>
        </row>
        <row r="2135">
          <cell r="B2135" t="str">
            <v>Məlikova Nigar Çingiz</v>
          </cell>
          <cell r="C2135" t="str">
            <v>Satış kanalları departamenti</v>
          </cell>
          <cell r="D2135" t="str">
            <v>Məsafədən satış və xidmət şöbəsi</v>
          </cell>
          <cell r="E2135" t="str">
            <v>Telemarketinq bölməsi</v>
          </cell>
          <cell r="F2135" t="str">
            <v>Mütəxəssis</v>
          </cell>
          <cell r="G2135" t="str">
            <v>A</v>
          </cell>
          <cell r="H2135">
            <v>45057</v>
          </cell>
        </row>
        <row r="2136">
          <cell r="B2136" t="str">
            <v>Nəsirova Fərqanə Musa</v>
          </cell>
          <cell r="C2136" t="str">
            <v>Satış kanalları departamenti</v>
          </cell>
          <cell r="D2136" t="str">
            <v>Məsafədən satış və xidmət şöbəsi</v>
          </cell>
          <cell r="E2136" t="str">
            <v>Telesatış bölməsi</v>
          </cell>
          <cell r="F2136" t="str">
            <v>Mütəxəssis</v>
          </cell>
          <cell r="G2136" t="str">
            <v>SM</v>
          </cell>
          <cell r="H2136">
            <v>44307</v>
          </cell>
        </row>
        <row r="2137">
          <cell r="B2137" t="str">
            <v>Kazımov Fuad Kazım</v>
          </cell>
          <cell r="C2137" t="str">
            <v>Satış kanalları departamenti</v>
          </cell>
          <cell r="D2137" t="str">
            <v>Məsafədən satış və xidmət şöbəsi</v>
          </cell>
          <cell r="E2137" t="str">
            <v>Telesatış bölməsi</v>
          </cell>
          <cell r="F2137" t="str">
            <v>Kiçik mütəxəssis (müvəqqəti)</v>
          </cell>
          <cell r="G2137" t="str">
            <v>A</v>
          </cell>
          <cell r="H2137">
            <v>46216</v>
          </cell>
        </row>
        <row r="2138">
          <cell r="B2138" t="str">
            <v>Sadıqova Yasəmən Faiq</v>
          </cell>
          <cell r="C2138" t="str">
            <v>Satış kanalları departamenti</v>
          </cell>
          <cell r="D2138" t="str">
            <v>Məsafədən satış və xidmət şöbəsi</v>
          </cell>
          <cell r="E2138" t="str">
            <v>Telemarketinq bölməsi</v>
          </cell>
          <cell r="F2138" t="str">
            <v>Mütəxəssis</v>
          </cell>
          <cell r="G2138" t="str">
            <v>A</v>
          </cell>
          <cell r="H2138">
            <v>45331</v>
          </cell>
        </row>
        <row r="2139">
          <cell r="B2139" t="str">
            <v>Zalova Xanımana Həsənağa</v>
          </cell>
          <cell r="C2139" t="str">
            <v>Satış kanalları departamenti</v>
          </cell>
          <cell r="D2139" t="str">
            <v>Məsafədən satış və xidmət şöbəsi</v>
          </cell>
          <cell r="E2139" t="str">
            <v>Telesatış bölməsi</v>
          </cell>
          <cell r="F2139" t="str">
            <v>Mütəxəssis</v>
          </cell>
          <cell r="G2139" t="str">
            <v>SM</v>
          </cell>
          <cell r="H2139">
            <v>45142</v>
          </cell>
        </row>
        <row r="2140">
          <cell r="B2140" t="str">
            <v>Məhyəddinova Fatimə Əhmədiyyə</v>
          </cell>
          <cell r="C2140" t="str">
            <v>Satış kanalları departamenti</v>
          </cell>
          <cell r="D2140" t="str">
            <v>Məsafədən satış və xidmət şöbəsi</v>
          </cell>
          <cell r="E2140" t="str">
            <v>Telesatış bölməsi</v>
          </cell>
          <cell r="F2140" t="str">
            <v>Kiçik mütəxəssis (müvəqqəti)</v>
          </cell>
          <cell r="G2140" t="str">
            <v>A</v>
          </cell>
          <cell r="H2140">
            <v>46220</v>
          </cell>
        </row>
        <row r="2141">
          <cell r="B2141" t="str">
            <v>Kərimova Sevda Fuad</v>
          </cell>
          <cell r="C2141" t="str">
            <v>Satış kanalları departamenti</v>
          </cell>
          <cell r="D2141" t="str">
            <v>Məsafədən satış və xidmət şöbəsi</v>
          </cell>
          <cell r="E2141" t="str">
            <v>Telemarketinq bölməsi</v>
          </cell>
          <cell r="F2141" t="str">
            <v>Mütəxəssis</v>
          </cell>
          <cell r="G2141" t="str">
            <v>A</v>
          </cell>
          <cell r="H2141">
            <v>45128</v>
          </cell>
        </row>
        <row r="2142">
          <cell r="B2142" t="str">
            <v>Zülfüqarova Xədicə Fəxrəddin</v>
          </cell>
          <cell r="C2142" t="str">
            <v>Satış kanalları departamenti</v>
          </cell>
          <cell r="D2142" t="str">
            <v>Məsafədən satış və xidmət şöbəsi</v>
          </cell>
          <cell r="E2142" t="str">
            <v>Telesatış bölməsi</v>
          </cell>
          <cell r="F2142" t="str">
            <v>Mütəxəssis</v>
          </cell>
          <cell r="G2142" t="str">
            <v>SM</v>
          </cell>
          <cell r="H2142">
            <v>43074</v>
          </cell>
        </row>
        <row r="2143">
          <cell r="B2143" t="str">
            <v>Qurbanov Xəyal Eldar</v>
          </cell>
          <cell r="C2143" t="str">
            <v>Satış Kanalları Departamenti</v>
          </cell>
          <cell r="D2143" t="str">
            <v>Məsafədən satış və xidmət şöbəsi</v>
          </cell>
          <cell r="E2143" t="str">
            <v>Telesatış bölməsi</v>
          </cell>
          <cell r="F2143" t="str">
            <v>Kiçik mütəxəssis (müvəqqəti)</v>
          </cell>
          <cell r="G2143" t="str">
            <v>A</v>
          </cell>
          <cell r="H2143">
            <v>45566</v>
          </cell>
        </row>
        <row r="2144">
          <cell r="B2144" t="str">
            <v>Ağazadə Əfsanə Mehman</v>
          </cell>
          <cell r="C2144" t="str">
            <v>Satış kanalları departamenti</v>
          </cell>
          <cell r="D2144" t="str">
            <v>Məsafədən satış və xidmət şöbəsi</v>
          </cell>
          <cell r="E2144" t="str">
            <v>Telemarketinq bölməsi</v>
          </cell>
          <cell r="F2144" t="str">
            <v>Mütəxəssis</v>
          </cell>
          <cell r="G2144" t="str">
            <v>A</v>
          </cell>
          <cell r="H2144">
            <v>44567</v>
          </cell>
        </row>
        <row r="2145">
          <cell r="B2145" t="str">
            <v>Əli-zadə Leyla İbadulla</v>
          </cell>
          <cell r="C2145" t="str">
            <v>Satış kanalları departamenti</v>
          </cell>
          <cell r="D2145" t="str">
            <v>Məsafədən satış və xidmət şöbəsi</v>
          </cell>
          <cell r="E2145" t="str">
            <v>Telesatış bölməsi</v>
          </cell>
          <cell r="F2145" t="str">
            <v>Mütəxəssis</v>
          </cell>
          <cell r="G2145" t="str">
            <v>SM</v>
          </cell>
          <cell r="H2145">
            <v>43685</v>
          </cell>
        </row>
        <row r="2146">
          <cell r="B2146" t="str">
            <v>Çəltikova Nərmin Nəsimi</v>
          </cell>
          <cell r="C2146" t="str">
            <v>Satış kanalları departamenti</v>
          </cell>
          <cell r="D2146" t="str">
            <v>Məsafədən satış və xidmət şöbəsi</v>
          </cell>
          <cell r="E2146" t="str">
            <v>Telesatış bölməsi</v>
          </cell>
          <cell r="F2146" t="str">
            <v>Mütəxəssis (müvəqqəti)</v>
          </cell>
          <cell r="G2146" t="str">
            <v>A</v>
          </cell>
          <cell r="H2146">
            <v>45474</v>
          </cell>
        </row>
        <row r="2147">
          <cell r="B2147" t="str">
            <v>Xəlilova Leyla Arif</v>
          </cell>
          <cell r="C2147" t="str">
            <v>Satış kanalları departamenti</v>
          </cell>
          <cell r="D2147" t="str">
            <v>Məsafədən satış və xidmət şöbəsi</v>
          </cell>
          <cell r="E2147" t="str">
            <v>Telemarketinq bölməsi</v>
          </cell>
          <cell r="F2147" t="str">
            <v>Mütəxəssis</v>
          </cell>
          <cell r="G2147" t="str">
            <v>A</v>
          </cell>
          <cell r="H2147">
            <v>45513</v>
          </cell>
        </row>
        <row r="2148">
          <cell r="B2148" t="str">
            <v>Məmmədova Nərmin Zakir</v>
          </cell>
          <cell r="C2148" t="str">
            <v>Satış kanalları departamenti</v>
          </cell>
          <cell r="D2148" t="str">
            <v>Məsafədən satış və xidmət şöbəsi</v>
          </cell>
          <cell r="E2148" t="str">
            <v>Telesatış bölməsi</v>
          </cell>
          <cell r="F2148" t="str">
            <v>Kiçik mütəxəssis</v>
          </cell>
          <cell r="G2148" t="str">
            <v>A</v>
          </cell>
          <cell r="H2148">
            <v>45057</v>
          </cell>
        </row>
        <row r="2149">
          <cell r="B2149" t="str">
            <v>Tağı-zadə Ləman Ağası</v>
          </cell>
          <cell r="C2149" t="str">
            <v>Satış kanalları departamenti</v>
          </cell>
          <cell r="D2149" t="str">
            <v>Məsafədən satış və xidmət şöbəsi</v>
          </cell>
          <cell r="E2149" t="str">
            <v>Telemarketinq bölməsi</v>
          </cell>
          <cell r="F2149" t="str">
            <v>Mütəxəssis</v>
          </cell>
          <cell r="G2149" t="str">
            <v>A</v>
          </cell>
          <cell r="H2149">
            <v>44503</v>
          </cell>
        </row>
        <row r="2150">
          <cell r="B2150" t="str">
            <v>Cəfərli Kəmalə Mir Kamal</v>
          </cell>
          <cell r="C2150" t="str">
            <v>Satış kanalları departamenti</v>
          </cell>
          <cell r="D2150" t="str">
            <v>Məsafədən satış və xidmət şöbəsi</v>
          </cell>
          <cell r="E2150" t="str">
            <v>#</v>
          </cell>
          <cell r="F2150" t="str">
            <v>Menecer</v>
          </cell>
          <cell r="G2150" t="str">
            <v>A</v>
          </cell>
          <cell r="H2150">
            <v>43004</v>
          </cell>
        </row>
        <row r="2151">
          <cell r="B2151" t="str">
            <v>Yusupova Aynurə Rahim</v>
          </cell>
          <cell r="C2151" t="str">
            <v>Satış kanalları departamenti</v>
          </cell>
          <cell r="D2151" t="str">
            <v>Məsafədən satış və xidmət şöbəsi</v>
          </cell>
          <cell r="E2151" t="str">
            <v>Telemarketinq bölməsi</v>
          </cell>
          <cell r="F2151" t="str">
            <v>Bölmə rəhbəri</v>
          </cell>
          <cell r="G2151" t="str">
            <v>A</v>
          </cell>
          <cell r="H2151">
            <v>42443</v>
          </cell>
        </row>
        <row r="2152">
          <cell r="B2152" t="str">
            <v>İsakova Kubra İlyas</v>
          </cell>
          <cell r="C2152" t="str">
            <v>Satış kanalları departamenti</v>
          </cell>
          <cell r="D2152" t="str">
            <v>Məsafədən satış və xidmət şöbəsi</v>
          </cell>
          <cell r="E2152" t="str">
            <v>Telesatış bölməsi</v>
          </cell>
          <cell r="F2152" t="str">
            <v>Bölmə rəhbəri</v>
          </cell>
          <cell r="G2152" t="str">
            <v>A</v>
          </cell>
          <cell r="H2152">
            <v>43028</v>
          </cell>
        </row>
        <row r="2153">
          <cell r="B2153" t="str">
            <v>Haqverdiyeva Məhbubə Samir</v>
          </cell>
          <cell r="C2153" t="str">
            <v>Satış kanalları departamenti</v>
          </cell>
          <cell r="D2153" t="str">
            <v>Məsafədən satış və xidmət şöbəsi</v>
          </cell>
          <cell r="E2153" t="str">
            <v>Telesatış bölməsi</v>
          </cell>
          <cell r="F2153" t="str">
            <v>Qrup rəhbəri</v>
          </cell>
          <cell r="G2153" t="str">
            <v>A</v>
          </cell>
          <cell r="H2153">
            <v>42760</v>
          </cell>
        </row>
        <row r="2154">
          <cell r="B2154" t="str">
            <v>Qasımov Vüqar Qulam</v>
          </cell>
          <cell r="C2154" t="str">
            <v>Satış kanalları departamenti</v>
          </cell>
          <cell r="D2154" t="str">
            <v>Məsafədən satış və xidmət şöbəsi</v>
          </cell>
          <cell r="E2154" t="str">
            <v>Telesatış bölməsi</v>
          </cell>
          <cell r="F2154" t="str">
            <v>Qrup rəhbəri</v>
          </cell>
          <cell r="G2154" t="str">
            <v>A</v>
          </cell>
          <cell r="H2154">
            <v>43063</v>
          </cell>
        </row>
        <row r="2155">
          <cell r="B2155" t="str">
            <v>Abdullayev Coşqun Eyvaz</v>
          </cell>
          <cell r="C2155" t="str">
            <v>Satış kanalları departamenti</v>
          </cell>
          <cell r="D2155" t="str">
            <v>Məsafədən satış və xidmət şöbəsi</v>
          </cell>
          <cell r="E2155" t="str">
            <v>Telesatış bölməsi</v>
          </cell>
          <cell r="F2155" t="str">
            <v>Qrup rəhbəri</v>
          </cell>
          <cell r="G2155" t="str">
            <v>A</v>
          </cell>
          <cell r="H2155">
            <v>44522</v>
          </cell>
        </row>
        <row r="2156">
          <cell r="B2156" t="str">
            <v>Bədəlzadə Nailə İlham</v>
          </cell>
          <cell r="C2156" t="str">
            <v>Satış kanalları departamenti</v>
          </cell>
          <cell r="D2156" t="str">
            <v>Məsafədən satış və xidmət şöbəsi</v>
          </cell>
          <cell r="E2156" t="str">
            <v>Telesatış bölməsi</v>
          </cell>
          <cell r="F2156" t="str">
            <v>Aparıcı mütəxəssis</v>
          </cell>
          <cell r="G2156" t="str">
            <v>A</v>
          </cell>
          <cell r="H2156">
            <v>44288</v>
          </cell>
        </row>
        <row r="2157">
          <cell r="B2157" t="str">
            <v>Arzumanlı Arzuman Nofəl</v>
          </cell>
          <cell r="C2157" t="str">
            <v>Satış kanalları departamenti</v>
          </cell>
          <cell r="D2157" t="str">
            <v>Məsafədən satış və xidmət şöbəsi</v>
          </cell>
          <cell r="E2157" t="str">
            <v>Telesatış bölməsi</v>
          </cell>
          <cell r="F2157" t="str">
            <v>Aparıcı mütəxəssis</v>
          </cell>
          <cell r="G2157" t="str">
            <v>A</v>
          </cell>
          <cell r="H2157">
            <v>44323</v>
          </cell>
        </row>
        <row r="2158">
          <cell r="B2158" t="str">
            <v>Sadiqov Fərid Rəhim</v>
          </cell>
          <cell r="C2158" t="str">
            <v>Satış kanalları departamenti</v>
          </cell>
          <cell r="D2158" t="str">
            <v>Məsafədən satış və xidmət şöbəsi</v>
          </cell>
          <cell r="E2158" t="str">
            <v>Telesatış bölməsi</v>
          </cell>
          <cell r="F2158" t="str">
            <v>Aparıcı mütəxəssis</v>
          </cell>
          <cell r="G2158" t="str">
            <v>A</v>
          </cell>
          <cell r="H2158">
            <v>44539</v>
          </cell>
        </row>
        <row r="2159">
          <cell r="B2159" t="str">
            <v>Cəfərova Gülər İlqar</v>
          </cell>
          <cell r="C2159" t="str">
            <v>Satış kanalları departamenti</v>
          </cell>
          <cell r="D2159" t="str">
            <v>Məsafədən satış və xidmət şöbəsi</v>
          </cell>
          <cell r="E2159" t="str">
            <v>Telesatış bölməsi</v>
          </cell>
          <cell r="F2159" t="str">
            <v>Aparıcı mütəxəssis</v>
          </cell>
          <cell r="G2159" t="str">
            <v>A</v>
          </cell>
          <cell r="H2159">
            <v>42690</v>
          </cell>
        </row>
        <row r="2160">
          <cell r="B2160" t="str">
            <v>İsrəfilzadə Gülay Ələddin</v>
          </cell>
          <cell r="C2160" t="str">
            <v>Satış kanalları departamenti</v>
          </cell>
          <cell r="D2160" t="str">
            <v>Məsafədən satış və xidmət şöbəsi</v>
          </cell>
          <cell r="E2160" t="str">
            <v>Telesatış bölməsi</v>
          </cell>
          <cell r="F2160" t="str">
            <v>Aparıcı mütəxəssis</v>
          </cell>
          <cell r="G2160" t="str">
            <v>A</v>
          </cell>
          <cell r="H2160">
            <v>43437</v>
          </cell>
        </row>
        <row r="2161">
          <cell r="B2161" t="str">
            <v>Əmiraslanova Nərmin Rizvan</v>
          </cell>
          <cell r="C2161" t="str">
            <v>Satış kanalları departamenti</v>
          </cell>
          <cell r="D2161" t="str">
            <v>Məsafədən satış və xidmət şöbəsi</v>
          </cell>
          <cell r="E2161" t="str">
            <v>Telesatış bölməsi</v>
          </cell>
          <cell r="F2161" t="str">
            <v>Aparıcı mütəxəssis</v>
          </cell>
          <cell r="G2161" t="str">
            <v>A</v>
          </cell>
          <cell r="H2161">
            <v>43063</v>
          </cell>
        </row>
        <row r="2162">
          <cell r="B2162" t="str">
            <v>Məmmədova Rufanə Fərmayıl</v>
          </cell>
          <cell r="C2162" t="str">
            <v>Satış kanalları departamenti</v>
          </cell>
          <cell r="D2162" t="str">
            <v>Məsafədən satış və xidmət şöbəsi</v>
          </cell>
          <cell r="E2162" t="str">
            <v>Telesatış bölməsi</v>
          </cell>
          <cell r="F2162" t="str">
            <v>Aparıcı mütəxəssis</v>
          </cell>
          <cell r="G2162" t="str">
            <v>A</v>
          </cell>
          <cell r="H2162">
            <v>43004</v>
          </cell>
        </row>
        <row r="2163">
          <cell r="B2163" t="str">
            <v>Həsənova Fidan Məhəbbət</v>
          </cell>
          <cell r="C2163" t="str">
            <v>Satış kanalları departamenti</v>
          </cell>
          <cell r="D2163" t="str">
            <v>Məsafədən satış və xidmət şöbəsi</v>
          </cell>
          <cell r="E2163" t="str">
            <v>Telesatış bölməsi</v>
          </cell>
          <cell r="F2163" t="str">
            <v>Aparıcı mütəxəssis</v>
          </cell>
          <cell r="G2163" t="str">
            <v>A</v>
          </cell>
          <cell r="H2163">
            <v>43004</v>
          </cell>
        </row>
        <row r="2164">
          <cell r="B2164" t="str">
            <v>Həsənova Qəmzə Saleh</v>
          </cell>
          <cell r="C2164" t="str">
            <v>Satış kanalları departamenti</v>
          </cell>
          <cell r="D2164" t="str">
            <v>Məsafədən satış və xidmət şöbəsi</v>
          </cell>
          <cell r="E2164" t="str">
            <v>Telesatış bölməsi</v>
          </cell>
          <cell r="F2164" t="str">
            <v>Aparıcı mütəxəssis</v>
          </cell>
          <cell r="G2164" t="str">
            <v>A</v>
          </cell>
          <cell r="H2164">
            <v>43017</v>
          </cell>
        </row>
        <row r="2165">
          <cell r="B2165" t="str">
            <v>Hüseynova Nigar Şahin</v>
          </cell>
          <cell r="C2165" t="str">
            <v>Satış kanalları departamenti</v>
          </cell>
          <cell r="D2165" t="str">
            <v>Məsafədən satış və xidmət şöbəsi</v>
          </cell>
          <cell r="E2165" t="str">
            <v>Telesatış bölməsi</v>
          </cell>
          <cell r="F2165" t="str">
            <v>Aparıcı mütəxəssis</v>
          </cell>
          <cell r="G2165" t="str">
            <v>A</v>
          </cell>
          <cell r="H2165">
            <v>44323</v>
          </cell>
        </row>
        <row r="2166">
          <cell r="B2166" t="str">
            <v>Namazova Şəhla Rasim</v>
          </cell>
          <cell r="C2166" t="str">
            <v>Satış kanalları departamenti</v>
          </cell>
          <cell r="D2166" t="str">
            <v>Məsafədən satış və xidmət şöbəsi</v>
          </cell>
          <cell r="E2166" t="str">
            <v>Telesatış bölməsi</v>
          </cell>
          <cell r="F2166" t="str">
            <v>Aparıcı mütəxəssis</v>
          </cell>
          <cell r="G2166" t="str">
            <v>A</v>
          </cell>
          <cell r="H2166">
            <v>44400</v>
          </cell>
        </row>
        <row r="2167">
          <cell r="B2167" t="str">
            <v>Babayeva Firuzə Utarid</v>
          </cell>
          <cell r="C2167" t="str">
            <v>Satış kanalları departamenti</v>
          </cell>
          <cell r="D2167" t="str">
            <v>Məsafədən satış və xidmət şöbəsi</v>
          </cell>
          <cell r="E2167" t="str">
            <v>Telesatış bölməsi</v>
          </cell>
          <cell r="F2167" t="str">
            <v>Aparıcı mütəxəssis</v>
          </cell>
          <cell r="G2167" t="str">
            <v>A</v>
          </cell>
          <cell r="H2167">
            <v>43696</v>
          </cell>
        </row>
        <row r="2168">
          <cell r="B2168" t="str">
            <v>Əlizadə Tamerlan Mayis</v>
          </cell>
          <cell r="C2168" t="str">
            <v>Satış kanalları departamenti</v>
          </cell>
          <cell r="D2168" t="str">
            <v>Məsafədən satış və xidmət şöbəsi</v>
          </cell>
          <cell r="E2168" t="str">
            <v>Telesatış bölməsi</v>
          </cell>
          <cell r="F2168" t="str">
            <v>Aparıcı mütəxəssis</v>
          </cell>
          <cell r="G2168" t="str">
            <v>A</v>
          </cell>
          <cell r="H2168">
            <v>44621</v>
          </cell>
        </row>
        <row r="2169">
          <cell r="B2169" t="str">
            <v>Ataşova Əzizə Niyazi</v>
          </cell>
          <cell r="C2169" t="str">
            <v>Satış kanalları departamenti</v>
          </cell>
          <cell r="D2169" t="str">
            <v>Məsafədən satış və xidmət şöbəsi</v>
          </cell>
          <cell r="E2169" t="str">
            <v>Telesatış bölməsi</v>
          </cell>
          <cell r="F2169" t="str">
            <v>Aparıcı mütəxəssis</v>
          </cell>
          <cell r="G2169" t="str">
            <v>A</v>
          </cell>
          <cell r="H2169">
            <v>44391</v>
          </cell>
        </row>
        <row r="2170">
          <cell r="B2170" t="str">
            <v>Seyidova Aydan Mübariz</v>
          </cell>
          <cell r="C2170" t="str">
            <v>Satış kanalları departamenti</v>
          </cell>
          <cell r="D2170" t="str">
            <v>Məsafədən satış və xidmət şöbəsi</v>
          </cell>
          <cell r="E2170" t="str">
            <v>Telesatış bölməsi</v>
          </cell>
          <cell r="F2170" t="str">
            <v>Aparıcı mütəxəssis</v>
          </cell>
          <cell r="G2170" t="str">
            <v>A</v>
          </cell>
          <cell r="H2170">
            <v>44480</v>
          </cell>
        </row>
        <row r="2171">
          <cell r="B2171" t="str">
            <v>Nadirli Nadir Zahid</v>
          </cell>
          <cell r="C2171" t="str">
            <v>Satış kanalları departamenti</v>
          </cell>
          <cell r="D2171" t="str">
            <v>Məsafədən satış və xidmət şöbəsi</v>
          </cell>
          <cell r="E2171" t="str">
            <v>Telesatış bölməsi</v>
          </cell>
          <cell r="F2171" t="str">
            <v>Aparıcı mütəxəssis</v>
          </cell>
          <cell r="G2171" t="str">
            <v>A</v>
          </cell>
          <cell r="H2171">
            <v>44480</v>
          </cell>
        </row>
        <row r="2172">
          <cell r="B2172" t="str">
            <v>Bəşirov Burhan Əmrah</v>
          </cell>
          <cell r="C2172" t="str">
            <v>Satış kanalları departamenti</v>
          </cell>
          <cell r="D2172" t="str">
            <v>Məsafədən satış və xidmət şöbəsi</v>
          </cell>
          <cell r="E2172" t="str">
            <v>Telesatış bölməsi</v>
          </cell>
          <cell r="F2172" t="str">
            <v>Aparıcı mütəxəssis</v>
          </cell>
          <cell r="G2172" t="str">
            <v>A</v>
          </cell>
          <cell r="H2172">
            <v>44482</v>
          </cell>
        </row>
        <row r="2173">
          <cell r="B2173" t="str">
            <v>Bayramov Niyazi Bayram</v>
          </cell>
          <cell r="C2173" t="str">
            <v>Satış kanalları departamenti</v>
          </cell>
          <cell r="D2173" t="str">
            <v>Məsafədən satış və xidmət şöbəsi</v>
          </cell>
          <cell r="E2173" t="str">
            <v>Telesatış bölməsi</v>
          </cell>
          <cell r="F2173" t="str">
            <v>Aparıcı mütəxəssis</v>
          </cell>
          <cell r="G2173" t="str">
            <v>A</v>
          </cell>
          <cell r="H2173">
            <v>44482</v>
          </cell>
        </row>
        <row r="2174">
          <cell r="B2174" t="str">
            <v>Hüseynli Həsən Elşən</v>
          </cell>
          <cell r="C2174" t="str">
            <v>Satış kanalları departamenti</v>
          </cell>
          <cell r="D2174" t="str">
            <v>Məsafədən satış və xidmət şöbəsi</v>
          </cell>
          <cell r="E2174" t="str">
            <v>Telesatış bölməsi</v>
          </cell>
          <cell r="F2174" t="str">
            <v>Aparıcı mütəxəssis</v>
          </cell>
          <cell r="G2174" t="str">
            <v>A</v>
          </cell>
          <cell r="H2174">
            <v>44512</v>
          </cell>
        </row>
        <row r="2175">
          <cell r="B2175" t="str">
            <v>Məmmədli Rabil Qabil</v>
          </cell>
          <cell r="C2175" t="str">
            <v>Satış kanalları departamenti</v>
          </cell>
          <cell r="D2175" t="str">
            <v>Məsafədən satış və xidmət şöbəsi</v>
          </cell>
          <cell r="E2175" t="str">
            <v>Telesatış bölməsi</v>
          </cell>
          <cell r="F2175" t="str">
            <v>Aparıcı mütəxəssis</v>
          </cell>
          <cell r="G2175" t="str">
            <v>A</v>
          </cell>
          <cell r="H2175">
            <v>44522</v>
          </cell>
        </row>
        <row r="2176">
          <cell r="B2176" t="str">
            <v>Vəlibəyova Əfsanə Ramiz</v>
          </cell>
          <cell r="C2176" t="str">
            <v>Satış kanalları departamenti</v>
          </cell>
          <cell r="D2176" t="str">
            <v>Məsafədən satış və xidmət şöbəsi</v>
          </cell>
          <cell r="E2176" t="str">
            <v>Telesatış bölməsi</v>
          </cell>
          <cell r="F2176" t="str">
            <v>Aparıcı mütəxəssis</v>
          </cell>
          <cell r="G2176" t="str">
            <v>A</v>
          </cell>
          <cell r="H2176">
            <v>44539</v>
          </cell>
        </row>
        <row r="2177">
          <cell r="B2177" t="str">
            <v>Qaragözov Vahid Nemət</v>
          </cell>
          <cell r="C2177" t="str">
            <v>Satış kanalları departamenti</v>
          </cell>
          <cell r="D2177" t="str">
            <v>Məsafədən satış və xidmət şöbəsi</v>
          </cell>
          <cell r="E2177" t="str">
            <v>Telesatış bölməsi</v>
          </cell>
          <cell r="F2177" t="str">
            <v>Aparıcı mütəxəssis</v>
          </cell>
          <cell r="G2177" t="str">
            <v>A</v>
          </cell>
          <cell r="H2177">
            <v>44539</v>
          </cell>
        </row>
        <row r="2178">
          <cell r="B2178" t="str">
            <v>Əliyev İbrahim Rasim</v>
          </cell>
          <cell r="C2178" t="str">
            <v>Satış kanalları departamenti</v>
          </cell>
          <cell r="D2178" t="str">
            <v>Məsafədən satış və xidmət şöbəsi</v>
          </cell>
          <cell r="E2178" t="str">
            <v>Telesatış bölməsi</v>
          </cell>
          <cell r="F2178" t="str">
            <v>Aparıcı mütəxəssis</v>
          </cell>
          <cell r="G2178" t="str">
            <v>A</v>
          </cell>
          <cell r="H2178">
            <v>44552</v>
          </cell>
        </row>
        <row r="2179">
          <cell r="B2179" t="str">
            <v>Səmədova Aksana Dadaş</v>
          </cell>
          <cell r="C2179" t="str">
            <v>Satış kanalları departamenti</v>
          </cell>
          <cell r="D2179" t="str">
            <v>Məsafədən satış və xidmət şöbəsi</v>
          </cell>
          <cell r="E2179" t="str">
            <v>Telesatış bölməsi</v>
          </cell>
          <cell r="F2179" t="str">
            <v>Aparıcı mütəxəssis</v>
          </cell>
          <cell r="G2179" t="str">
            <v>A</v>
          </cell>
          <cell r="H2179">
            <v>44700</v>
          </cell>
        </row>
        <row r="2180">
          <cell r="B2180" t="str">
            <v>Teymurlu Elmira Nəriman</v>
          </cell>
          <cell r="C2180" t="str">
            <v>Satış kanalları departamenti</v>
          </cell>
          <cell r="D2180" t="str">
            <v>Məsafədən satış və xidmət şöbəsi</v>
          </cell>
          <cell r="E2180" t="str">
            <v>Telesatış bölməsi</v>
          </cell>
          <cell r="F2180" t="str">
            <v>Aparıcı mütəxəssis</v>
          </cell>
          <cell r="G2180" t="str">
            <v>SM</v>
          </cell>
          <cell r="H2180">
            <v>44413</v>
          </cell>
        </row>
        <row r="2181">
          <cell r="B2181" t="str">
            <v>Musalı Ebru Musa</v>
          </cell>
          <cell r="C2181" t="str">
            <v>Satış kanalları departamenti</v>
          </cell>
          <cell r="D2181" t="str">
            <v>Məsafədən satış və xidmət şöbəsi</v>
          </cell>
          <cell r="E2181" t="str">
            <v>Telesatış bölməsi</v>
          </cell>
          <cell r="F2181" t="str">
            <v>Kiçik mütəxəssis (müvəqqəti)</v>
          </cell>
          <cell r="G2181" t="str">
            <v>A</v>
          </cell>
          <cell r="H2181">
            <v>46098</v>
          </cell>
        </row>
        <row r="2182">
          <cell r="B2182" t="str">
            <v>Fətullayeva Sunay İlham</v>
          </cell>
          <cell r="C2182" t="str">
            <v>Satış kanalları departamenti</v>
          </cell>
          <cell r="D2182" t="str">
            <v>Məsafədən satış və xidmət şöbəsi</v>
          </cell>
          <cell r="E2182" t="str">
            <v>Telesatış bölməsi</v>
          </cell>
          <cell r="F2182" t="str">
            <v>Aparıcı mütəxəssis</v>
          </cell>
          <cell r="G2182" t="str">
            <v>A</v>
          </cell>
          <cell r="H2182">
            <v>44625</v>
          </cell>
        </row>
        <row r="2183">
          <cell r="B2183" t="str">
            <v>Qurbanlı Pərviz Balarza</v>
          </cell>
          <cell r="C2183" t="str">
            <v>Satış kanalları departamenti</v>
          </cell>
          <cell r="D2183" t="str">
            <v>Məsafədən satış və xidmət şöbəsi</v>
          </cell>
          <cell r="E2183" t="str">
            <v>Telesatış bölməsi</v>
          </cell>
          <cell r="F2183" t="str">
            <v>Mütəxəssis</v>
          </cell>
          <cell r="G2183" t="str">
            <v>A</v>
          </cell>
          <cell r="H2183">
            <v>44879</v>
          </cell>
        </row>
        <row r="2184">
          <cell r="B2184" t="str">
            <v>İsazadə Tural Elsevər</v>
          </cell>
          <cell r="C2184" t="str">
            <v>Satış kanalları departamenti</v>
          </cell>
          <cell r="D2184" t="str">
            <v>Məsafədən satış və xidmət şöbəsi</v>
          </cell>
          <cell r="E2184" t="str">
            <v>Telesatış bölməsi</v>
          </cell>
          <cell r="F2184" t="str">
            <v>Mütəxəssis</v>
          </cell>
          <cell r="G2184" t="str">
            <v>A</v>
          </cell>
          <cell r="H2184">
            <v>44999</v>
          </cell>
        </row>
        <row r="2185">
          <cell r="B2185" t="str">
            <v>Mamedov Firdus Ədalət</v>
          </cell>
          <cell r="C2185" t="str">
            <v>Satış kanalları departamenti</v>
          </cell>
          <cell r="D2185" t="str">
            <v>Məsafədən satış və xidmət şöbəsi</v>
          </cell>
          <cell r="E2185" t="str">
            <v>Telesatış bölməsi</v>
          </cell>
          <cell r="F2185" t="str">
            <v>Mütəxəssis</v>
          </cell>
          <cell r="G2185" t="str">
            <v>A</v>
          </cell>
          <cell r="H2185">
            <v>45692</v>
          </cell>
        </row>
        <row r="2186">
          <cell r="B2186" t="str">
            <v>Bədəlbəyli Həsən Əfsər</v>
          </cell>
          <cell r="C2186" t="str">
            <v>Satış kanalları departamenti</v>
          </cell>
          <cell r="D2186" t="str">
            <v>Məsafədən satış və xidmət şöbəsi</v>
          </cell>
          <cell r="E2186" t="str">
            <v>Telesatış bölməsi</v>
          </cell>
          <cell r="F2186" t="str">
            <v>Mütəxəssis</v>
          </cell>
          <cell r="G2186" t="str">
            <v>A</v>
          </cell>
          <cell r="H2186">
            <v>44820</v>
          </cell>
        </row>
        <row r="2187">
          <cell r="B2187" t="str">
            <v>Qədəşova Aygül Feyruz</v>
          </cell>
          <cell r="C2187" t="str">
            <v>Satış kanalları departamenti</v>
          </cell>
          <cell r="D2187" t="str">
            <v>Məsafədən satış və xidmət şöbəsi</v>
          </cell>
          <cell r="E2187" t="str">
            <v>Telesatış bölməsi</v>
          </cell>
          <cell r="F2187" t="str">
            <v>Mütəxəssis</v>
          </cell>
          <cell r="G2187" t="str">
            <v>A</v>
          </cell>
          <cell r="H2187">
            <v>43075</v>
          </cell>
        </row>
        <row r="2188">
          <cell r="B2188" t="str">
            <v>Tağıyev Orxan Əliş</v>
          </cell>
          <cell r="C2188" t="str">
            <v>Satış kanalları departamenti</v>
          </cell>
          <cell r="D2188" t="str">
            <v>Məsafədən satış və xidmət şöbəsi</v>
          </cell>
          <cell r="E2188" t="str">
            <v>Telesatış bölməsi</v>
          </cell>
          <cell r="F2188" t="str">
            <v>Mütəxəssis</v>
          </cell>
          <cell r="G2188" t="str">
            <v>A</v>
          </cell>
          <cell r="H2188">
            <v>45516</v>
          </cell>
        </row>
        <row r="2189">
          <cell r="B2189" t="str">
            <v>Vəliyeva Nargilə Bəhram</v>
          </cell>
          <cell r="C2189" t="str">
            <v>Satış kanalları departamenti</v>
          </cell>
          <cell r="D2189" t="str">
            <v>Məsafədən satış və xidmət şöbəsi</v>
          </cell>
          <cell r="E2189" t="str">
            <v>Telesatış bölməsi</v>
          </cell>
          <cell r="F2189" t="str">
            <v>Mütəxəssis</v>
          </cell>
          <cell r="G2189" t="str">
            <v>SM</v>
          </cell>
          <cell r="H2189">
            <v>45042</v>
          </cell>
        </row>
        <row r="2190">
          <cell r="B2190" t="str">
            <v>Gülmalıyeva Rəqsanə İlyas</v>
          </cell>
          <cell r="C2190" t="str">
            <v>Satış kanalları departamenti</v>
          </cell>
          <cell r="D2190" t="str">
            <v>Məsafədən satış və xidmət şöbəsi</v>
          </cell>
          <cell r="E2190" t="str">
            <v>Telesatış bölməsi</v>
          </cell>
          <cell r="F2190" t="str">
            <v>Mütəxəssis</v>
          </cell>
          <cell r="G2190" t="str">
            <v>A</v>
          </cell>
          <cell r="H2190">
            <v>45142</v>
          </cell>
        </row>
        <row r="2191">
          <cell r="B2191" t="str">
            <v>Abbasov Fərid Teymur</v>
          </cell>
          <cell r="C2191" t="str">
            <v>Satış kanalları departamenti</v>
          </cell>
          <cell r="D2191" t="str">
            <v>Məsafədən satış və xidmət şöbəsi</v>
          </cell>
          <cell r="E2191" t="str">
            <v>Telesatış bölməsi</v>
          </cell>
          <cell r="F2191" t="str">
            <v>Mütəxəssis</v>
          </cell>
          <cell r="G2191" t="str">
            <v>A</v>
          </cell>
          <cell r="H2191">
            <v>45890</v>
          </cell>
        </row>
        <row r="2192">
          <cell r="B2192" t="str">
            <v>Hacıyeva Ləman Vidadi</v>
          </cell>
          <cell r="C2192" t="str">
            <v>Satış kanalları departamenti</v>
          </cell>
          <cell r="D2192" t="str">
            <v>Məsafədən satış və xidmət şöbəsi</v>
          </cell>
          <cell r="E2192" t="str">
            <v>Telesatış bölməsi</v>
          </cell>
          <cell r="F2192" t="str">
            <v>Mütəxəssis</v>
          </cell>
          <cell r="G2192" t="str">
            <v>A</v>
          </cell>
          <cell r="H2192">
            <v>43075</v>
          </cell>
        </row>
        <row r="2193">
          <cell r="B2193" t="str">
            <v>Nəsirli Abdulla Anar</v>
          </cell>
          <cell r="C2193" t="str">
            <v>Satış kanalları departamenti</v>
          </cell>
          <cell r="D2193" t="str">
            <v>Məsafədən satış və xidmət şöbəsi</v>
          </cell>
          <cell r="E2193" t="str">
            <v>Telesatış bölməsi</v>
          </cell>
          <cell r="F2193" t="str">
            <v>Mütəxəssis</v>
          </cell>
          <cell r="G2193" t="str">
            <v>A</v>
          </cell>
          <cell r="H2193">
            <v>45079</v>
          </cell>
        </row>
        <row r="2194">
          <cell r="B2194" t="str">
            <v>Rəhimli Sənan Akif</v>
          </cell>
          <cell r="C2194" t="str">
            <v>Satış kanalları departamenti</v>
          </cell>
          <cell r="D2194" t="str">
            <v>Məsafədən satış və xidmət şöbəsi</v>
          </cell>
          <cell r="E2194" t="str">
            <v>Telesatış bölməsi</v>
          </cell>
          <cell r="F2194" t="str">
            <v>Mütəxəssis</v>
          </cell>
          <cell r="G2194" t="str">
            <v>A</v>
          </cell>
          <cell r="H2194">
            <v>44890</v>
          </cell>
        </row>
        <row r="2195">
          <cell r="B2195" t="str">
            <v>Vəliyeva Qızqayıt Şahin</v>
          </cell>
          <cell r="C2195" t="str">
            <v>Satış kanalları departamenti</v>
          </cell>
          <cell r="D2195" t="str">
            <v>Məsafədən satış və xidmət şöbəsi</v>
          </cell>
          <cell r="E2195" t="str">
            <v>Telesatış bölməsi</v>
          </cell>
          <cell r="F2195" t="str">
            <v>Mütəxəssis</v>
          </cell>
          <cell r="G2195" t="str">
            <v>SM</v>
          </cell>
          <cell r="H2195">
            <v>43004</v>
          </cell>
        </row>
        <row r="2196">
          <cell r="B2196" t="str">
            <v>Nəsirli Ramin Ehtibar</v>
          </cell>
          <cell r="C2196" t="str">
            <v>Satış kanalları departamenti</v>
          </cell>
          <cell r="D2196" t="str">
            <v>Məsafədən satış və xidmət şöbəsi</v>
          </cell>
          <cell r="E2196" t="str">
            <v>Telesatış bölməsi</v>
          </cell>
          <cell r="F2196" t="str">
            <v>Kiçik mütəxəssis (müvəqqəti)</v>
          </cell>
          <cell r="G2196" t="str">
            <v>A</v>
          </cell>
          <cell r="H2196">
            <v>46066</v>
          </cell>
        </row>
        <row r="2197">
          <cell r="B2197" t="str">
            <v>Mirzəyev Adil Rafik</v>
          </cell>
          <cell r="C2197" t="str">
            <v>Satış kanalları departamenti</v>
          </cell>
          <cell r="D2197" t="str">
            <v>Məsafədən satış və xidmət şöbəsi</v>
          </cell>
          <cell r="E2197" t="str">
            <v>Telesatış bölməsi</v>
          </cell>
          <cell r="F2197" t="str">
            <v xml:space="preserve">Mütəxəssis </v>
          </cell>
          <cell r="G2197" t="str">
            <v>A</v>
          </cell>
          <cell r="H2197">
            <v>45196</v>
          </cell>
        </row>
        <row r="2198">
          <cell r="B2198" t="str">
            <v>Məmmədova Elnarə Barat</v>
          </cell>
          <cell r="C2198" t="str">
            <v>Satış kanalları departamenti</v>
          </cell>
          <cell r="D2198" t="str">
            <v>Məsafədən satış və xidmət şöbəsi</v>
          </cell>
          <cell r="E2198" t="str">
            <v>Telesatış bölməsi</v>
          </cell>
          <cell r="F2198" t="str">
            <v>Mütəxəssis</v>
          </cell>
          <cell r="G2198" t="str">
            <v>A</v>
          </cell>
          <cell r="H2198">
            <v>44112</v>
          </cell>
        </row>
        <row r="2199">
          <cell r="B2199" t="str">
            <v>Nəbiyeva Gülnisə Bəhruz</v>
          </cell>
          <cell r="C2199" t="str">
            <v>Satış kanalları departamenti</v>
          </cell>
          <cell r="D2199" t="str">
            <v>Məsafədən satış və xidmət şöbəsi</v>
          </cell>
          <cell r="E2199" t="str">
            <v>Telesatış bölməsi</v>
          </cell>
          <cell r="F2199" t="str">
            <v>Mütəxəssis</v>
          </cell>
          <cell r="G2199" t="str">
            <v>A</v>
          </cell>
          <cell r="H2199">
            <v>44160</v>
          </cell>
        </row>
        <row r="2200">
          <cell r="B2200" t="str">
            <v>Veysəlov Rüfət İlqar</v>
          </cell>
          <cell r="C2200" t="str">
            <v>Satış kanalları departamenti</v>
          </cell>
          <cell r="D2200" t="str">
            <v>Məsafədən satış və xidmət şöbəsi</v>
          </cell>
          <cell r="E2200" t="str">
            <v>Telesatış bölməsi</v>
          </cell>
          <cell r="F2200" t="str">
            <v>Mütəxəssis</v>
          </cell>
          <cell r="G2200" t="str">
            <v>A</v>
          </cell>
          <cell r="H2200">
            <v>46267</v>
          </cell>
        </row>
        <row r="2201">
          <cell r="B2201" t="str">
            <v>Əliyev Tural Əli</v>
          </cell>
          <cell r="C2201" t="str">
            <v>Satış kanalları departamenti</v>
          </cell>
          <cell r="D2201" t="str">
            <v>Məsafədən satış və xidmət şöbəsi</v>
          </cell>
          <cell r="E2201" t="str">
            <v>Telesatış bölməsi</v>
          </cell>
          <cell r="F2201" t="str">
            <v>Mütəxəssis</v>
          </cell>
          <cell r="G2201" t="str">
            <v>A</v>
          </cell>
          <cell r="H2201">
            <v>46267</v>
          </cell>
        </row>
        <row r="2202">
          <cell r="B2202" t="str">
            <v>Səfərov Yahya Səyavuş</v>
          </cell>
          <cell r="C2202" t="str">
            <v>Satış kanalları departamenti</v>
          </cell>
          <cell r="D2202" t="str">
            <v>Məsafədən satış və xidmət şöbəsi</v>
          </cell>
          <cell r="E2202" t="str">
            <v>Telesatış bölməsi</v>
          </cell>
          <cell r="F2202" t="str">
            <v>Kiçik mütəxəssis</v>
          </cell>
          <cell r="G2202" t="str">
            <v>A</v>
          </cell>
          <cell r="H2202">
            <v>46267</v>
          </cell>
        </row>
        <row r="2203">
          <cell r="B2203" t="str">
            <v>Hacıyeva Nilufər Tacəddin</v>
          </cell>
          <cell r="C2203" t="str">
            <v>Satış kanalları departamenti</v>
          </cell>
          <cell r="D2203" t="str">
            <v>Məsafədən satış və xidmət şöbəsi</v>
          </cell>
          <cell r="E2203" t="str">
            <v>Telesatış bölməsi</v>
          </cell>
          <cell r="F2203" t="str">
            <v>Mütəxəssis</v>
          </cell>
          <cell r="G2203" t="str">
            <v>A</v>
          </cell>
          <cell r="H2203">
            <v>44250</v>
          </cell>
        </row>
        <row r="2204">
          <cell r="B2204" t="str">
            <v>Talıblı Aynur Fərəc</v>
          </cell>
          <cell r="C2204" t="str">
            <v>Satış kanalları departamenti</v>
          </cell>
          <cell r="D2204" t="str">
            <v>Məsafədən satış və xidmət şöbəsi</v>
          </cell>
          <cell r="E2204" t="str">
            <v>Telesatış bölməsi</v>
          </cell>
          <cell r="F2204" t="str">
            <v>Mütəxəssis</v>
          </cell>
          <cell r="G2204" t="str">
            <v>A</v>
          </cell>
          <cell r="H2204">
            <v>44176</v>
          </cell>
        </row>
        <row r="2205">
          <cell r="B2205" t="str">
            <v>Məmmədova Nüşabə Rasim</v>
          </cell>
          <cell r="C2205" t="str">
            <v>Satış kanalları departamenti</v>
          </cell>
          <cell r="D2205" t="str">
            <v>Məsafədən satış və xidmət şöbəsi</v>
          </cell>
          <cell r="E2205" t="str">
            <v>Telesatış bölməsi</v>
          </cell>
          <cell r="F2205" t="str">
            <v>Aparıcı mütəxəssis</v>
          </cell>
          <cell r="G2205" t="str">
            <v>A</v>
          </cell>
          <cell r="H2205">
            <v>44391</v>
          </cell>
        </row>
        <row r="2206">
          <cell r="B2206" t="str">
            <v>Hacıyeva Aygün Sahib</v>
          </cell>
          <cell r="C2206" t="str">
            <v>Satış kanalları departamenti</v>
          </cell>
          <cell r="D2206" t="str">
            <v>Məsafədən satış və xidmət şöbəsi</v>
          </cell>
          <cell r="E2206" t="str">
            <v>Telesatış bölməsi</v>
          </cell>
          <cell r="F2206" t="str">
            <v>Mütəxəssis</v>
          </cell>
          <cell r="G2206" t="str">
            <v>A</v>
          </cell>
          <cell r="H2206">
            <v>44413</v>
          </cell>
        </row>
        <row r="2207">
          <cell r="B2207" t="str">
            <v>İbrahimov Oqtay Samir</v>
          </cell>
          <cell r="C2207" t="str">
            <v>Satış kanalları departamenti</v>
          </cell>
          <cell r="D2207" t="str">
            <v>Məsafədən satış və xidmət şöbəsi</v>
          </cell>
          <cell r="E2207" t="str">
            <v>Telesatış bölməsi</v>
          </cell>
          <cell r="F2207" t="str">
            <v>Mütəxəssis</v>
          </cell>
          <cell r="G2207" t="str">
            <v>A</v>
          </cell>
          <cell r="H2207">
            <v>44361</v>
          </cell>
        </row>
        <row r="2208">
          <cell r="B2208" t="str">
            <v>Əfəndiyeva Sara Şakir</v>
          </cell>
          <cell r="C2208" t="str">
            <v>Satış kanalları departamenti</v>
          </cell>
          <cell r="D2208" t="str">
            <v>Məsafədən satış və xidmət şöbəsi</v>
          </cell>
          <cell r="E2208" t="str">
            <v>Telesatış bölməsi</v>
          </cell>
          <cell r="F2208" t="str">
            <v>Mütəxəssis</v>
          </cell>
          <cell r="G2208" t="str">
            <v>A</v>
          </cell>
          <cell r="H2208">
            <v>44482</v>
          </cell>
        </row>
        <row r="2209">
          <cell r="B2209" t="str">
            <v>Sadıxova Minəvər Əhmədağa</v>
          </cell>
          <cell r="C2209" t="str">
            <v>Satış kanalları departamenti</v>
          </cell>
          <cell r="D2209" t="str">
            <v>Məsafədən satış və xidmət şöbəsi</v>
          </cell>
          <cell r="E2209" t="str">
            <v>Telesatış bölməsi</v>
          </cell>
          <cell r="F2209" t="str">
            <v>Mütəxəssis</v>
          </cell>
          <cell r="G2209" t="str">
            <v>SM</v>
          </cell>
          <cell r="H2209">
            <v>44482</v>
          </cell>
        </row>
        <row r="2210">
          <cell r="B2210" t="str">
            <v>Hüseynova Aytac Əkbər</v>
          </cell>
          <cell r="C2210" t="str">
            <v>Satış kanalları departamenti</v>
          </cell>
          <cell r="D2210" t="str">
            <v>Məsafədən satış və xidmət şöbəsi</v>
          </cell>
          <cell r="E2210" t="str">
            <v>Telesatış bölməsi</v>
          </cell>
          <cell r="F2210" t="str">
            <v>Mütəxəssis (müvəqqəti)</v>
          </cell>
          <cell r="G2210" t="str">
            <v>A</v>
          </cell>
          <cell r="H2210">
            <v>45800</v>
          </cell>
        </row>
        <row r="2211">
          <cell r="B2211" t="str">
            <v>Alıyeva Xədicə Yasin</v>
          </cell>
          <cell r="C2211" t="str">
            <v>Satış kanalları departamenti</v>
          </cell>
          <cell r="D2211" t="str">
            <v>Məsafədən satış və xidmət şöbəsi</v>
          </cell>
          <cell r="E2211" t="str">
            <v>Telesatış bölməsi</v>
          </cell>
          <cell r="F2211" t="str">
            <v>Mütəxəssis</v>
          </cell>
          <cell r="G2211" t="str">
            <v>SM</v>
          </cell>
          <cell r="H2211">
            <v>44482</v>
          </cell>
        </row>
        <row r="2212">
          <cell r="B2212" t="str">
            <v>Musayev İlqar Aslan</v>
          </cell>
          <cell r="C2212" t="str">
            <v>Satış kanalları departamenti</v>
          </cell>
          <cell r="D2212" t="str">
            <v>Məsafədən satış və xidmət şöbəsi</v>
          </cell>
          <cell r="E2212" t="str">
            <v>Telesatış bölməsi</v>
          </cell>
          <cell r="F2212" t="str">
            <v>Kiçik mütəxəssis (müvəqqəti)</v>
          </cell>
          <cell r="G2212" t="str">
            <v>A</v>
          </cell>
          <cell r="H2212">
            <v>46083</v>
          </cell>
        </row>
        <row r="2213">
          <cell r="B2213" t="str">
            <v>Mikayılova Çinarə Yusubəli</v>
          </cell>
          <cell r="C2213" t="str">
            <v>Satış kanalları departamenti</v>
          </cell>
          <cell r="D2213" t="str">
            <v>Məsafədən satış və xidmət şöbəsi</v>
          </cell>
          <cell r="E2213" t="str">
            <v>Telesatış bölməsi</v>
          </cell>
          <cell r="F2213" t="str">
            <v>Mütəxəssis</v>
          </cell>
          <cell r="G2213" t="str">
            <v>A</v>
          </cell>
          <cell r="H2213">
            <v>44487</v>
          </cell>
        </row>
        <row r="2214">
          <cell r="B2214" t="str">
            <v>Fərəcli Murad Mirqasım</v>
          </cell>
          <cell r="C2214" t="str">
            <v>Satış kanalları departamenti</v>
          </cell>
          <cell r="D2214" t="str">
            <v>Məsafədən satış və xidmət şöbəsi</v>
          </cell>
          <cell r="E2214" t="str">
            <v>Telesatış bölməsi</v>
          </cell>
          <cell r="F2214" t="str">
            <v>Aparıcı mütəxəssis</v>
          </cell>
          <cell r="G2214" t="str">
            <v>A</v>
          </cell>
          <cell r="H2214">
            <v>44491</v>
          </cell>
        </row>
        <row r="2215">
          <cell r="B2215" t="str">
            <v>Zeynalov Əli Aydın</v>
          </cell>
          <cell r="C2215" t="str">
            <v>Satış kanalları departamenti</v>
          </cell>
          <cell r="D2215" t="str">
            <v>Məsafədən satış və xidmət şöbəsi</v>
          </cell>
          <cell r="E2215" t="str">
            <v>Telesatış bölməsi</v>
          </cell>
          <cell r="F2215" t="str">
            <v>Mütəxəssis</v>
          </cell>
          <cell r="G2215" t="str">
            <v>A</v>
          </cell>
          <cell r="H2215">
            <v>44501</v>
          </cell>
        </row>
        <row r="2216">
          <cell r="B2216" t="str">
            <v>Əliyev Fəqan Vaqif</v>
          </cell>
          <cell r="C2216" t="str">
            <v>Satış kanalları departamenti</v>
          </cell>
          <cell r="D2216" t="str">
            <v>Məsafədən satış və xidmət şöbəsi</v>
          </cell>
          <cell r="E2216" t="str">
            <v>Telesatış bölməsi</v>
          </cell>
          <cell r="F2216" t="str">
            <v>Mütəxəssis</v>
          </cell>
          <cell r="G2216" t="str">
            <v>A</v>
          </cell>
          <cell r="H2216">
            <v>44512</v>
          </cell>
        </row>
        <row r="2217">
          <cell r="B2217" t="str">
            <v>Hacıyev Savalan Famil</v>
          </cell>
          <cell r="C2217" t="str">
            <v>Satış kanalları departamenti</v>
          </cell>
          <cell r="D2217" t="str">
            <v>Məsafədən satış və xidmət şöbəsi</v>
          </cell>
          <cell r="E2217" t="str">
            <v>Telesatış bölməsi</v>
          </cell>
          <cell r="F2217" t="str">
            <v>Mütəxəssis</v>
          </cell>
          <cell r="G2217" t="str">
            <v>A</v>
          </cell>
          <cell r="H2217">
            <v>44512</v>
          </cell>
        </row>
        <row r="2218">
          <cell r="B2218" t="str">
            <v>Cənnətov Şöhrət Rafiq</v>
          </cell>
          <cell r="C2218" t="str">
            <v>Satış kanalları departamenti</v>
          </cell>
          <cell r="D2218" t="str">
            <v>Məsafədən satış və xidmət şöbəsi</v>
          </cell>
          <cell r="E2218" t="str">
            <v>Telesatış bölməsi</v>
          </cell>
          <cell r="F2218" t="str">
            <v>Mütəxəssis</v>
          </cell>
          <cell r="G2218" t="str">
            <v>A</v>
          </cell>
          <cell r="H2218">
            <v>44516</v>
          </cell>
        </row>
        <row r="2219">
          <cell r="B2219" t="str">
            <v>Quluzadə Cavid Tofiq</v>
          </cell>
          <cell r="C2219" t="str">
            <v>Satış kanalları departamenti</v>
          </cell>
          <cell r="D2219" t="str">
            <v>Məsafədən satış və xidmət şöbəsi</v>
          </cell>
          <cell r="E2219" t="str">
            <v>Telesatış bölməsi</v>
          </cell>
          <cell r="F2219" t="str">
            <v>Aparıcı mütəxəssis</v>
          </cell>
          <cell r="G2219" t="str">
            <v>A</v>
          </cell>
          <cell r="H2219">
            <v>44522</v>
          </cell>
        </row>
        <row r="2220">
          <cell r="B2220" t="str">
            <v>Rasulova İradə Rəfael</v>
          </cell>
          <cell r="C2220" t="str">
            <v>Satış kanalları departamenti</v>
          </cell>
          <cell r="D2220" t="str">
            <v>Məsafədən satış və xidmət şöbəsi</v>
          </cell>
          <cell r="E2220" t="str">
            <v>Telesatış bölməsi</v>
          </cell>
          <cell r="F2220" t="str">
            <v>Mütəxəssis</v>
          </cell>
          <cell r="G2220" t="str">
            <v>A</v>
          </cell>
          <cell r="H2220">
            <v>44522</v>
          </cell>
        </row>
        <row r="2221">
          <cell r="B2221" t="str">
            <v>Kərimova Türkanə Bayram</v>
          </cell>
          <cell r="C2221" t="str">
            <v>Satış kanalları departamenti</v>
          </cell>
          <cell r="D2221" t="str">
            <v>Məsafədən satış və xidmət şöbəsi</v>
          </cell>
          <cell r="E2221" t="str">
            <v>Telesatış bölməsi</v>
          </cell>
          <cell r="F2221" t="str">
            <v>Mütəxəssis</v>
          </cell>
          <cell r="G2221" t="str">
            <v>A</v>
          </cell>
          <cell r="H2221">
            <v>45826</v>
          </cell>
        </row>
        <row r="2222">
          <cell r="B2222" t="str">
            <v>Zülfüqarova Aysel Zülfüqar</v>
          </cell>
          <cell r="C2222" t="str">
            <v>Satış kanalları departamenti</v>
          </cell>
          <cell r="D2222" t="str">
            <v>Məsafədən satış və xidmət şöbəsi</v>
          </cell>
          <cell r="E2222" t="str">
            <v>Telesatış bölməsi</v>
          </cell>
          <cell r="F2222" t="str">
            <v>Mütəxəssis</v>
          </cell>
          <cell r="G2222" t="str">
            <v>SM</v>
          </cell>
          <cell r="H2222">
            <v>44537</v>
          </cell>
        </row>
        <row r="2223">
          <cell r="B2223" t="str">
            <v>Babayeva Aysel Şamil</v>
          </cell>
          <cell r="C2223" t="str">
            <v>Satış kanalları departamenti</v>
          </cell>
          <cell r="D2223" t="str">
            <v>Məsafədən satış və xidmət şöbəsi</v>
          </cell>
          <cell r="E2223" t="str">
            <v>Telesatış bölməsi</v>
          </cell>
          <cell r="F2223" t="str">
            <v>Mütəxəssis (müvəqqəti)</v>
          </cell>
          <cell r="G2223" t="str">
            <v>A</v>
          </cell>
          <cell r="H2223">
            <v>45826</v>
          </cell>
        </row>
        <row r="2224">
          <cell r="B2224" t="str">
            <v>İmanova Günel Yasin</v>
          </cell>
          <cell r="C2224" t="str">
            <v>Satış kanalları departamenti</v>
          </cell>
          <cell r="D2224" t="str">
            <v>Məsafədən satış və xidmət şöbəsi</v>
          </cell>
          <cell r="E2224" t="str">
            <v>Telesatış bölməsi</v>
          </cell>
          <cell r="F2224" t="str">
            <v>Mütəxəssis</v>
          </cell>
          <cell r="G2224" t="str">
            <v>A</v>
          </cell>
          <cell r="H2224">
            <v>44537</v>
          </cell>
        </row>
        <row r="2225">
          <cell r="B2225" t="str">
            <v>Ağayev Orxan Elxan</v>
          </cell>
          <cell r="C2225" t="str">
            <v>Satış kanalları departamenti</v>
          </cell>
          <cell r="D2225" t="str">
            <v>Məsafədən satış və xidmət şöbəsi</v>
          </cell>
          <cell r="E2225" t="str">
            <v>Telesatış bölməsi</v>
          </cell>
          <cell r="F2225" t="str">
            <v>Mütəxəssis</v>
          </cell>
          <cell r="G2225" t="str">
            <v>A</v>
          </cell>
          <cell r="H2225">
            <v>44537</v>
          </cell>
        </row>
        <row r="2226">
          <cell r="B2226" t="str">
            <v>Acalova Səbinə Mövlud</v>
          </cell>
          <cell r="C2226" t="str">
            <v>Satış kanalları departamenti</v>
          </cell>
          <cell r="D2226" t="str">
            <v>Məsafədən satış və xidmət şöbəsi</v>
          </cell>
          <cell r="E2226" t="str">
            <v>Telesatış bölməsi</v>
          </cell>
          <cell r="F2226" t="str">
            <v>Mütəxəssis</v>
          </cell>
          <cell r="G2226" t="str">
            <v>A</v>
          </cell>
          <cell r="H2226">
            <v>44552</v>
          </cell>
        </row>
        <row r="2227">
          <cell r="B2227" t="str">
            <v>Hüseynov Kamil Samir</v>
          </cell>
          <cell r="C2227" t="str">
            <v>Satış kanalları departamenti</v>
          </cell>
          <cell r="D2227" t="str">
            <v>Məsafədən satış və xidmət şöbəsi</v>
          </cell>
          <cell r="E2227" t="str">
            <v>Telesatış bölməsi</v>
          </cell>
          <cell r="F2227" t="str">
            <v>Mütəxəssis</v>
          </cell>
          <cell r="G2227" t="str">
            <v>A</v>
          </cell>
          <cell r="H2227">
            <v>44553</v>
          </cell>
        </row>
        <row r="2228">
          <cell r="B2228" t="str">
            <v>Ağaxanlı Məlik Əlövsət</v>
          </cell>
          <cell r="C2228" t="str">
            <v>Satış kanalları departamenti</v>
          </cell>
          <cell r="D2228" t="str">
            <v>Məsafədən satış və xidmət şöbəsi</v>
          </cell>
          <cell r="E2228" t="str">
            <v>Telesatış bölməsi</v>
          </cell>
          <cell r="F2228" t="str">
            <v>Mütəxəssis</v>
          </cell>
          <cell r="G2228" t="str">
            <v>A</v>
          </cell>
          <cell r="H2228">
            <v>44553</v>
          </cell>
        </row>
        <row r="2229">
          <cell r="B2229" t="str">
            <v>Həmidova Hədiyyə Musa</v>
          </cell>
          <cell r="C2229" t="str">
            <v>Satış kanalları departamenti</v>
          </cell>
          <cell r="D2229" t="str">
            <v>Məsafədən satış və xidmət şöbəsi</v>
          </cell>
          <cell r="E2229" t="str">
            <v>Telesatış bölməsi</v>
          </cell>
          <cell r="F2229" t="str">
            <v>Aparıcı mütəxəssis</v>
          </cell>
          <cell r="G2229" t="str">
            <v>A</v>
          </cell>
          <cell r="H2229">
            <v>44713</v>
          </cell>
        </row>
        <row r="2230">
          <cell r="B2230" t="str">
            <v>Qurbanzadə Mahid Qurban</v>
          </cell>
          <cell r="C2230" t="str">
            <v>Satış kanalları departamenti</v>
          </cell>
          <cell r="D2230" t="str">
            <v>Məsafədən satış və xidmət şöbəsi</v>
          </cell>
          <cell r="E2230" t="str">
            <v>Telesatış bölməsi</v>
          </cell>
          <cell r="F2230" t="str">
            <v>Mütəxəssis</v>
          </cell>
          <cell r="G2230" t="str">
            <v>A</v>
          </cell>
          <cell r="H2230">
            <v>44575</v>
          </cell>
        </row>
        <row r="2231">
          <cell r="B2231" t="str">
            <v>Cəbrayılov Nicat Kamran</v>
          </cell>
          <cell r="C2231" t="str">
            <v>Satış kanalları departamenti</v>
          </cell>
          <cell r="D2231" t="str">
            <v>Məsafədən satış və xidmət şöbəsi</v>
          </cell>
          <cell r="E2231" t="str">
            <v>Telesatış bölməsi</v>
          </cell>
          <cell r="F2231" t="str">
            <v>Mütəxəssis</v>
          </cell>
          <cell r="G2231" t="str">
            <v>A</v>
          </cell>
          <cell r="H2231">
            <v>44776</v>
          </cell>
        </row>
        <row r="2232">
          <cell r="B2232" t="str">
            <v>Quluzadə Əfsanə Vüqar</v>
          </cell>
          <cell r="C2232" t="str">
            <v>Satış kanalları departamenti</v>
          </cell>
          <cell r="D2232" t="str">
            <v>Məsafədən satış və xidmət şöbəsi</v>
          </cell>
          <cell r="E2232" t="str">
            <v>Telesatış bölməsi</v>
          </cell>
          <cell r="F2232" t="str">
            <v>Mütəxəssis</v>
          </cell>
          <cell r="G2232" t="str">
            <v>A</v>
          </cell>
          <cell r="H2232">
            <v>44512</v>
          </cell>
        </row>
        <row r="2233">
          <cell r="B2233" t="str">
            <v>Elləzov Bəxtiyar Səbuhi</v>
          </cell>
          <cell r="C2233" t="str">
            <v>Satış kanalları departamenti</v>
          </cell>
          <cell r="D2233" t="str">
            <v>Məsafədən satış və xidmət şöbəsi</v>
          </cell>
          <cell r="E2233" t="str">
            <v>Telesatış bölməsi</v>
          </cell>
          <cell r="F2233" t="str">
            <v>Mütəxəssis</v>
          </cell>
          <cell r="G2233" t="str">
            <v>A</v>
          </cell>
          <cell r="H2233">
            <v>44665</v>
          </cell>
        </row>
        <row r="2234">
          <cell r="B2234" t="str">
            <v>Cəfərova Zərifə İlham</v>
          </cell>
          <cell r="C2234" t="str">
            <v>Satış kanalları departamenti</v>
          </cell>
          <cell r="D2234" t="str">
            <v>Məsafədən satış və xidmət şöbəsi</v>
          </cell>
          <cell r="E2234" t="str">
            <v>Telesatış bölməsi</v>
          </cell>
          <cell r="F2234" t="str">
            <v>Mütəxəssis</v>
          </cell>
          <cell r="G2234" t="str">
            <v>A</v>
          </cell>
          <cell r="H2234">
            <v>44636</v>
          </cell>
        </row>
        <row r="2235">
          <cell r="B2235" t="str">
            <v>Əliyev Tural Rizvan</v>
          </cell>
          <cell r="C2235" t="str">
            <v>Satış kanalları departamenti</v>
          </cell>
          <cell r="D2235" t="str">
            <v>Məsafədən satış və xidmət şöbəsi</v>
          </cell>
          <cell r="E2235" t="str">
            <v>Telesatış bölməsi</v>
          </cell>
          <cell r="F2235" t="str">
            <v>Mütəxəssis</v>
          </cell>
          <cell r="G2235" t="str">
            <v>A</v>
          </cell>
          <cell r="H2235">
            <v>44903</v>
          </cell>
        </row>
        <row r="2236">
          <cell r="B2236" t="str">
            <v>Əliyev Fuad Faiq</v>
          </cell>
          <cell r="C2236" t="str">
            <v>Satış kanalları departamenti</v>
          </cell>
          <cell r="D2236" t="str">
            <v>Məsafədən satış və xidmət şöbəsi</v>
          </cell>
          <cell r="E2236" t="str">
            <v>Telesatış bölməsi</v>
          </cell>
          <cell r="F2236" t="str">
            <v>Aparıcı mütəxəssis</v>
          </cell>
          <cell r="G2236" t="str">
            <v>A</v>
          </cell>
          <cell r="H2236">
            <v>44914</v>
          </cell>
        </row>
        <row r="2237">
          <cell r="B2237" t="str">
            <v>Məmmədova Ləman Vüqar</v>
          </cell>
          <cell r="C2237" t="str">
            <v>Satış kanalları departamenti</v>
          </cell>
          <cell r="D2237" t="str">
            <v>Məsafədən satış və xidmət şöbəsi</v>
          </cell>
          <cell r="E2237" t="str">
            <v>Telesatış bölməsi</v>
          </cell>
          <cell r="F2237" t="str">
            <v>Mütəxəssis</v>
          </cell>
          <cell r="G2237" t="str">
            <v>A</v>
          </cell>
          <cell r="H2237">
            <v>44914</v>
          </cell>
        </row>
        <row r="2238">
          <cell r="B2238" t="str">
            <v>Ağazadə Fidan İsmayıl</v>
          </cell>
          <cell r="C2238" t="str">
            <v>Satış kanalları departamenti</v>
          </cell>
          <cell r="D2238" t="str">
            <v>Məsafədən satış və xidmət şöbəsi</v>
          </cell>
          <cell r="E2238" t="str">
            <v>Telesatış bölməsi</v>
          </cell>
          <cell r="F2238" t="str">
            <v>Mütəxəssis</v>
          </cell>
          <cell r="G2238" t="str">
            <v>SM</v>
          </cell>
          <cell r="H2238">
            <v>43004</v>
          </cell>
        </row>
        <row r="2239">
          <cell r="B2239" t="str">
            <v>Əliyeva Nərmin Arus</v>
          </cell>
          <cell r="C2239" t="str">
            <v>Satış kanalları departamenti</v>
          </cell>
          <cell r="D2239" t="str">
            <v>Məsafədən satış və xidmət şöbəsi</v>
          </cell>
          <cell r="E2239" t="str">
            <v>Telesatış bölməsi</v>
          </cell>
          <cell r="F2239" t="str">
            <v>Kiçik mütəxəssis (müvəqqəti)</v>
          </cell>
          <cell r="G2239" t="str">
            <v>A</v>
          </cell>
          <cell r="H2239">
            <v>45876</v>
          </cell>
        </row>
        <row r="2240">
          <cell r="B2240" t="str">
            <v>Hüseynli Aytac Qələndər</v>
          </cell>
          <cell r="C2240" t="str">
            <v>Satış kanalları departamenti</v>
          </cell>
          <cell r="D2240" t="str">
            <v>Məsafədən satış və xidmət şöbəsi</v>
          </cell>
          <cell r="E2240" t="str">
            <v>Telesatış bölməsi</v>
          </cell>
          <cell r="F2240" t="str">
            <v>Mütəxəssis</v>
          </cell>
          <cell r="G2240" t="str">
            <v>A</v>
          </cell>
          <cell r="H2240">
            <v>43004</v>
          </cell>
        </row>
        <row r="2241">
          <cell r="B2241" t="str">
            <v>Ələkbərova Könül Mütəllim</v>
          </cell>
          <cell r="C2241" t="str">
            <v>Satış kanalları departamenti</v>
          </cell>
          <cell r="D2241" t="str">
            <v>Məsafədən satış və xidmət şöbəsi</v>
          </cell>
          <cell r="E2241" t="str">
            <v>Telesatış bölməsi</v>
          </cell>
          <cell r="F2241" t="str">
            <v>Mütəxəssis</v>
          </cell>
          <cell r="G2241" t="str">
            <v>A</v>
          </cell>
          <cell r="H2241">
            <v>44743</v>
          </cell>
        </row>
        <row r="2242">
          <cell r="B2242" t="str">
            <v>Paşazadə Aytən Vüqar</v>
          </cell>
          <cell r="C2242" t="str">
            <v>Satış kanalları departamenti</v>
          </cell>
          <cell r="D2242" t="str">
            <v>Məsafədən satış və xidmət şöbəsi</v>
          </cell>
          <cell r="E2242" t="str">
            <v>Telesatış bölməsi</v>
          </cell>
          <cell r="F2242" t="str">
            <v>Mütəxəssis</v>
          </cell>
          <cell r="G2242" t="str">
            <v>A</v>
          </cell>
          <cell r="H2242">
            <v>44160</v>
          </cell>
        </row>
        <row r="2243">
          <cell r="B2243" t="str">
            <v>Süleymanova Fatimə Vidadi</v>
          </cell>
          <cell r="C2243" t="str">
            <v>Satış kanalları departamenti</v>
          </cell>
          <cell r="D2243" t="str">
            <v>Məsafədən satış və xidmət şöbəsi</v>
          </cell>
          <cell r="E2243" t="str">
            <v>Telesatış bölməsi</v>
          </cell>
          <cell r="F2243" t="str">
            <v>Mütəxəssis</v>
          </cell>
          <cell r="G2243" t="str">
            <v>A</v>
          </cell>
          <cell r="H2243">
            <v>44187</v>
          </cell>
        </row>
        <row r="2244">
          <cell r="B2244" t="str">
            <v>Rəhimova Təranə Vaqif</v>
          </cell>
          <cell r="C2244" t="str">
            <v>Satış kanalları departamenti</v>
          </cell>
          <cell r="D2244" t="str">
            <v>Məsafədən satış və xidmət şöbəsi</v>
          </cell>
          <cell r="E2244" t="str">
            <v>Telesatış bölməsi</v>
          </cell>
          <cell r="F2244" t="str">
            <v>Kiçik mütəxəssis</v>
          </cell>
          <cell r="G2244" t="str">
            <v>A</v>
          </cell>
          <cell r="H2244">
            <v>45845</v>
          </cell>
        </row>
        <row r="2245">
          <cell r="B2245" t="str">
            <v>Bağırova Turanə İsa</v>
          </cell>
          <cell r="C2245" t="str">
            <v>Satış kanalları departamenti</v>
          </cell>
          <cell r="D2245" t="str">
            <v>Məsafədən satış və xidmət şöbəsi</v>
          </cell>
          <cell r="E2245" t="str">
            <v>Telesatış bölməsi</v>
          </cell>
          <cell r="F2245" t="str">
            <v>Mütəxəssis</v>
          </cell>
          <cell r="G2245" t="str">
            <v>ÖM</v>
          </cell>
          <cell r="H2245">
            <v>44288</v>
          </cell>
        </row>
        <row r="2246">
          <cell r="B2246" t="str">
            <v>Salam-zadə Aygün Samir</v>
          </cell>
          <cell r="C2246" t="str">
            <v>Satış kanalları departamenti</v>
          </cell>
          <cell r="D2246" t="str">
            <v>Məsafədən satış və xidmət şöbəsi</v>
          </cell>
          <cell r="E2246" t="str">
            <v>Telesatış bölməsi</v>
          </cell>
          <cell r="F2246" t="str">
            <v>Mütəxəssis (müvəqqəti)</v>
          </cell>
          <cell r="G2246" t="str">
            <v>A</v>
          </cell>
          <cell r="H2246">
            <v>44937</v>
          </cell>
        </row>
        <row r="2247">
          <cell r="B2247" t="str">
            <v>Baxışlı Ramilə Vaqif</v>
          </cell>
          <cell r="C2247" t="str">
            <v>Satış kanalları departamenti</v>
          </cell>
          <cell r="D2247" t="str">
            <v>Məsafədən satış və xidmət şöbəsi</v>
          </cell>
          <cell r="E2247" t="str">
            <v>Telesatış bölməsi</v>
          </cell>
          <cell r="F2247" t="str">
            <v>Mütəxəssis</v>
          </cell>
          <cell r="G2247" t="str">
            <v>A</v>
          </cell>
          <cell r="H2247">
            <v>44537</v>
          </cell>
        </row>
        <row r="2248">
          <cell r="B2248" t="str">
            <v>Məmmədova Ləman Əmrah</v>
          </cell>
          <cell r="C2248" t="str">
            <v>Satış kanalları departamenti</v>
          </cell>
          <cell r="D2248" t="str">
            <v>Məsafədən satış və xidmət şöbəsi</v>
          </cell>
          <cell r="E2248" t="str">
            <v>Telesatış bölməsi</v>
          </cell>
          <cell r="F2248" t="str">
            <v>Mütəxəssis</v>
          </cell>
          <cell r="G2248" t="str">
            <v>SM</v>
          </cell>
          <cell r="H2248">
            <v>45042</v>
          </cell>
        </row>
        <row r="2249">
          <cell r="B2249" t="str">
            <v>Məhərrəmli Nərgiz Rövşən</v>
          </cell>
          <cell r="C2249" t="str">
            <v>Satış kanalları departamenti</v>
          </cell>
          <cell r="D2249" t="str">
            <v>Məsafədən satış və xidmət şöbəsi</v>
          </cell>
          <cell r="E2249" t="str">
            <v>Telesatış bölməsi</v>
          </cell>
          <cell r="F2249" t="str">
            <v>Kiçik mütəxəssis (müvəqqəti)</v>
          </cell>
          <cell r="G2249" t="str">
            <v>A</v>
          </cell>
          <cell r="H2249">
            <v>46280</v>
          </cell>
        </row>
        <row r="2250">
          <cell r="B2250" t="str">
            <v>Əbilov Xəyyam Ələskər</v>
          </cell>
          <cell r="C2250" t="str">
            <v>Satış kanalları departamenti</v>
          </cell>
          <cell r="D2250" t="str">
            <v>Məsafədən satış və xidmət şöbəsi</v>
          </cell>
          <cell r="E2250" t="str">
            <v>Telesatış bölməsi</v>
          </cell>
          <cell r="F2250" t="str">
            <v>Mütəxəssis</v>
          </cell>
          <cell r="G2250" t="str">
            <v>A</v>
          </cell>
          <cell r="H2250">
            <v>45876</v>
          </cell>
        </row>
        <row r="2251">
          <cell r="B2251" t="str">
            <v>Mirsalahova Samirə Samir</v>
          </cell>
          <cell r="C2251" t="str">
            <v>Satış kanalları departamenti</v>
          </cell>
          <cell r="D2251" t="str">
            <v>Məsafədən satış və xidmət şöbəsi</v>
          </cell>
          <cell r="E2251" t="str">
            <v>Telesatış bölməsi</v>
          </cell>
          <cell r="F2251" t="str">
            <v>Mütəxəssis</v>
          </cell>
          <cell r="G2251" t="str">
            <v>A</v>
          </cell>
          <cell r="H2251">
            <v>45078</v>
          </cell>
        </row>
        <row r="2252">
          <cell r="B2252" t="str">
            <v>Həsənova Nərgiz Famil</v>
          </cell>
          <cell r="C2252" t="str">
            <v>Satış kanalları departamenti</v>
          </cell>
          <cell r="D2252" t="str">
            <v>Məsafədən satış və xidmət şöbəsi</v>
          </cell>
          <cell r="E2252" t="str">
            <v>Telesatış bölməsi</v>
          </cell>
          <cell r="F2252" t="str">
            <v>Mütəxəssis</v>
          </cell>
          <cell r="G2252" t="str">
            <v>A</v>
          </cell>
          <cell r="H2252">
            <v>45086</v>
          </cell>
        </row>
        <row r="2253">
          <cell r="B2253" t="str">
            <v>Atakişiyeva Fidan İsgəndər</v>
          </cell>
          <cell r="C2253" t="str">
            <v>Satış kanalları departamenti</v>
          </cell>
          <cell r="D2253" t="str">
            <v>Məsafədən satış və xidmət şöbəsi</v>
          </cell>
          <cell r="E2253" t="str">
            <v>Telesatış bölməsi</v>
          </cell>
          <cell r="F2253" t="str">
            <v>Mütəxəssis</v>
          </cell>
          <cell r="G2253" t="str">
            <v>A</v>
          </cell>
          <cell r="H2253">
            <v>45126</v>
          </cell>
        </row>
        <row r="2254">
          <cell r="B2254" t="str">
            <v>Məmmədov Kənan Rövşən</v>
          </cell>
          <cell r="C2254" t="str">
            <v>Satış kanalları departamenti</v>
          </cell>
          <cell r="D2254" t="str">
            <v>Məsafədən satış və xidmət şöbəsi</v>
          </cell>
          <cell r="E2254" t="str">
            <v>Telesatış bölməsi</v>
          </cell>
          <cell r="F2254" t="str">
            <v>Mütəxəssis</v>
          </cell>
          <cell r="G2254" t="str">
            <v>A</v>
          </cell>
          <cell r="H2254">
            <v>45126</v>
          </cell>
        </row>
        <row r="2255">
          <cell r="B2255" t="str">
            <v>Həsənov Teymur Rövşən</v>
          </cell>
          <cell r="C2255" t="str">
            <v>Satış kanalları departamenti</v>
          </cell>
          <cell r="D2255" t="str">
            <v>Məsafədən satış və xidmət şöbəsi</v>
          </cell>
          <cell r="E2255" t="str">
            <v>Telesatış bölməsi</v>
          </cell>
          <cell r="F2255" t="str">
            <v>Mütəxəssis</v>
          </cell>
          <cell r="G2255" t="str">
            <v>A</v>
          </cell>
          <cell r="H2255">
            <v>45188</v>
          </cell>
        </row>
        <row r="2256">
          <cell r="B2256" t="str">
            <v>Bağırova Nəzrin Rəşad</v>
          </cell>
          <cell r="C2256" t="str">
            <v>Satış kanalları departamenti</v>
          </cell>
          <cell r="D2256" t="str">
            <v>Məsafədən satış və xidmət şöbəsi</v>
          </cell>
          <cell r="E2256" t="str">
            <v>Telesatış bölməsi</v>
          </cell>
          <cell r="F2256" t="str">
            <v>Mütəxəssis</v>
          </cell>
          <cell r="G2256" t="str">
            <v>A</v>
          </cell>
          <cell r="H2256">
            <v>45237</v>
          </cell>
        </row>
        <row r="2257">
          <cell r="B2257" t="str">
            <v>Həşimova Samirə Əlikömək</v>
          </cell>
          <cell r="C2257" t="str">
            <v>Satış kanalları departamenti</v>
          </cell>
          <cell r="D2257" t="str">
            <v>Məsafədən satış və xidmət şöbəsi</v>
          </cell>
          <cell r="E2257" t="str">
            <v>Telesatış bölməsi</v>
          </cell>
          <cell r="F2257" t="str">
            <v>Mütəxəssis</v>
          </cell>
          <cell r="G2257" t="str">
            <v>A</v>
          </cell>
          <cell r="H2257">
            <v>45287</v>
          </cell>
        </row>
        <row r="2258">
          <cell r="B2258" t="str">
            <v>Həbibullayeva Gözəl Bəhruz</v>
          </cell>
          <cell r="C2258" t="str">
            <v>Satış kanalları departamenti</v>
          </cell>
          <cell r="D2258" t="str">
            <v>Məsafədən satış və xidmət şöbəsi</v>
          </cell>
          <cell r="E2258" t="str">
            <v>Telesatış bölməsi</v>
          </cell>
          <cell r="F2258" t="str">
            <v>Mütəxəssis</v>
          </cell>
          <cell r="G2258" t="str">
            <v>A</v>
          </cell>
          <cell r="H2258">
            <v>45370</v>
          </cell>
        </row>
        <row r="2259">
          <cell r="B2259" t="str">
            <v>Muxtarova Gözəl Ağabala</v>
          </cell>
          <cell r="C2259" t="str">
            <v>Satış kanalları departamenti</v>
          </cell>
          <cell r="D2259" t="str">
            <v>Məsafədən satış və xidmət şöbəsi</v>
          </cell>
          <cell r="E2259" t="str">
            <v>Telesatış bölməsi</v>
          </cell>
          <cell r="F2259" t="str">
            <v>Mütəxəssis</v>
          </cell>
          <cell r="G2259" t="str">
            <v>A</v>
          </cell>
          <cell r="H2259">
            <v>45174</v>
          </cell>
        </row>
        <row r="2260">
          <cell r="B2260" t="str">
            <v>Xoçberov Həmzət Mübarizoviç</v>
          </cell>
          <cell r="C2260" t="str">
            <v>Satış kanalları departamenti</v>
          </cell>
          <cell r="D2260" t="str">
            <v>Məsafədən satış və xidmət şöbəsi</v>
          </cell>
          <cell r="E2260" t="str">
            <v>Telesatış bölməsi</v>
          </cell>
          <cell r="F2260" t="str">
            <v>Mütəxəssis</v>
          </cell>
          <cell r="G2260" t="str">
            <v>A</v>
          </cell>
          <cell r="H2260">
            <v>45415</v>
          </cell>
        </row>
        <row r="2261">
          <cell r="B2261" t="str">
            <v>Mehdiyeva Ləman Vilayət</v>
          </cell>
          <cell r="C2261" t="str">
            <v>Satış kanalları departamenti</v>
          </cell>
          <cell r="D2261" t="str">
            <v>Məsafədən satış və xidmət şöbəsi</v>
          </cell>
          <cell r="E2261" t="str">
            <v>Telesatış bölməsi</v>
          </cell>
          <cell r="F2261" t="str">
            <v>Mütəxəssis</v>
          </cell>
          <cell r="G2261" t="str">
            <v>A</v>
          </cell>
          <cell r="H2261">
            <v>45470</v>
          </cell>
        </row>
        <row r="2262">
          <cell r="B2262" t="str">
            <v>Yaqubova Günel Araz</v>
          </cell>
          <cell r="C2262" t="str">
            <v>Satış kanalları departamenti</v>
          </cell>
          <cell r="D2262" t="str">
            <v>Məsafədən satış və xidmət şöbəsi</v>
          </cell>
          <cell r="E2262" t="str">
            <v>Telesatış bölməsi</v>
          </cell>
          <cell r="F2262" t="str">
            <v>Mütəxəssis</v>
          </cell>
          <cell r="G2262" t="str">
            <v>A</v>
          </cell>
          <cell r="H2262">
            <v>45415</v>
          </cell>
        </row>
        <row r="2263">
          <cell r="B2263" t="str">
            <v>Məmmədova Aydan Rasim</v>
          </cell>
          <cell r="C2263" t="str">
            <v>Satış kanalları departamenti</v>
          </cell>
          <cell r="D2263" t="str">
            <v>Məsafədən satış və xidmət şöbəsi</v>
          </cell>
          <cell r="E2263" t="str">
            <v>Telesatış bölməsi</v>
          </cell>
          <cell r="F2263" t="str">
            <v>Mütəxəssis</v>
          </cell>
          <cell r="G2263" t="str">
            <v>A</v>
          </cell>
          <cell r="H2263">
            <v>44537</v>
          </cell>
        </row>
        <row r="2264">
          <cell r="B2264" t="str">
            <v>Axundova Həyat Bəxtiyar</v>
          </cell>
          <cell r="C2264" t="str">
            <v>Satış kanalları departamenti</v>
          </cell>
          <cell r="D2264" t="str">
            <v>Məsafədən satış və xidmət şöbəsi</v>
          </cell>
          <cell r="E2264" t="str">
            <v>Telesatış bölməsi</v>
          </cell>
          <cell r="F2264" t="str">
            <v>Kiçik mütəxəssis</v>
          </cell>
          <cell r="G2264" t="str">
            <v>A</v>
          </cell>
          <cell r="H2264">
            <v>45509</v>
          </cell>
        </row>
        <row r="2265">
          <cell r="B2265" t="str">
            <v>Əlizadə Məryəm Rövşən</v>
          </cell>
          <cell r="C2265" t="str">
            <v>Satış kanalları departamenti</v>
          </cell>
          <cell r="D2265" t="str">
            <v>Məsafədən satış və xidmət şöbəsi</v>
          </cell>
          <cell r="E2265" t="str">
            <v>Telesatış bölməsi</v>
          </cell>
          <cell r="F2265" t="str">
            <v>Mütəxəssis</v>
          </cell>
          <cell r="G2265" t="str">
            <v>A</v>
          </cell>
          <cell r="H2265">
            <v>45495</v>
          </cell>
        </row>
        <row r="2266">
          <cell r="B2266" t="str">
            <v>Hüseynova Aytac Qədir</v>
          </cell>
          <cell r="C2266" t="str">
            <v>Satış kanalları departamenti</v>
          </cell>
          <cell r="D2266" t="str">
            <v>Məsafədən satış və xidmət şöbəsi</v>
          </cell>
          <cell r="E2266" t="str">
            <v>Telesatış bölməsi</v>
          </cell>
          <cell r="F2266" t="str">
            <v>Mütəxəssis</v>
          </cell>
          <cell r="G2266" t="str">
            <v>A</v>
          </cell>
          <cell r="H2266">
            <v>45495</v>
          </cell>
        </row>
        <row r="2267">
          <cell r="B2267" t="str">
            <v>Rəhimli Nərminə Vüqar</v>
          </cell>
          <cell r="C2267" t="str">
            <v>Satış kanalları departamenti</v>
          </cell>
          <cell r="D2267" t="str">
            <v>Məsafədən satış və xidmət şöbəsi</v>
          </cell>
          <cell r="E2267" t="str">
            <v>Telesatış bölməsi</v>
          </cell>
          <cell r="F2267" t="str">
            <v>Mütəxəssis</v>
          </cell>
          <cell r="G2267" t="str">
            <v>A</v>
          </cell>
          <cell r="H2267">
            <v>45553</v>
          </cell>
        </row>
        <row r="2268">
          <cell r="B2268" t="str">
            <v>Məmmədova Ləman Abdulla</v>
          </cell>
          <cell r="C2268" t="str">
            <v>Satış kanalları departamenti</v>
          </cell>
          <cell r="D2268" t="str">
            <v>Məsafədən satış və xidmət şöbəsi</v>
          </cell>
          <cell r="E2268" t="str">
            <v>Telesatış bölməsi</v>
          </cell>
          <cell r="F2268" t="str">
            <v>Mütəxəssis</v>
          </cell>
          <cell r="G2268" t="str">
            <v>A</v>
          </cell>
          <cell r="H2268">
            <v>45512</v>
          </cell>
        </row>
        <row r="2269">
          <cell r="B2269" t="str">
            <v>Qənbərova Şəfa Ziyadxan</v>
          </cell>
          <cell r="C2269" t="str">
            <v>Satış kanalları departamenti</v>
          </cell>
          <cell r="D2269" t="str">
            <v>Məsafədən satış və xidmət şöbəsi</v>
          </cell>
          <cell r="E2269" t="str">
            <v>Telesatış bölməsi</v>
          </cell>
          <cell r="F2269" t="str">
            <v>Mütəxəssis</v>
          </cell>
          <cell r="G2269" t="str">
            <v>A</v>
          </cell>
          <cell r="H2269">
            <v>45568</v>
          </cell>
        </row>
        <row r="2270">
          <cell r="B2270" t="str">
            <v>Kərimova Lalə Cavanşir</v>
          </cell>
          <cell r="C2270" t="str">
            <v>Satış Kanalları Departamenti</v>
          </cell>
          <cell r="D2270" t="str">
            <v>Məsafədən satış və xidmət şöbəsi</v>
          </cell>
          <cell r="E2270" t="str">
            <v>Telesatış bölməsi</v>
          </cell>
          <cell r="F2270" t="str">
            <v>Mütəxəssis</v>
          </cell>
          <cell r="G2270" t="str">
            <v>A</v>
          </cell>
          <cell r="H2270">
            <v>45566</v>
          </cell>
        </row>
        <row r="2271">
          <cell r="B2271" t="str">
            <v>Əbilov Həzrət Rasim</v>
          </cell>
          <cell r="C2271" t="str">
            <v>Satış kanalları departamenti</v>
          </cell>
          <cell r="D2271" t="str">
            <v>Məsafədən satış və xidmət şöbəsi</v>
          </cell>
          <cell r="E2271" t="str">
            <v>Telesatış bölməsi</v>
          </cell>
          <cell r="F2271" t="str">
            <v>Mütəxəssis</v>
          </cell>
          <cell r="G2271" t="str">
            <v>A</v>
          </cell>
          <cell r="H2271">
            <v>45566</v>
          </cell>
        </row>
        <row r="2272">
          <cell r="B2272" t="str">
            <v>Qardaşov Elnur Elşad</v>
          </cell>
          <cell r="C2272" t="str">
            <v>Satış kanalları departamenti</v>
          </cell>
          <cell r="D2272" t="str">
            <v>Məsafədən satış və xidmət şöbəsi</v>
          </cell>
          <cell r="E2272" t="str">
            <v>Telesatış bölməsi</v>
          </cell>
          <cell r="F2272" t="str">
            <v>Mütəxəssis</v>
          </cell>
          <cell r="G2272" t="str">
            <v>A</v>
          </cell>
          <cell r="H2272">
            <v>45698</v>
          </cell>
        </row>
        <row r="2273">
          <cell r="B2273" t="str">
            <v>Hüseynzadə Kübra Nurəddin</v>
          </cell>
          <cell r="C2273" t="str">
            <v>Satış kanalları departamenti</v>
          </cell>
          <cell r="D2273" t="str">
            <v>Məsafədən satış və xidmət şöbəsi</v>
          </cell>
          <cell r="E2273" t="str">
            <v>Telesatış bölməsi</v>
          </cell>
          <cell r="F2273" t="str">
            <v>Mütəxəssis</v>
          </cell>
          <cell r="G2273" t="str">
            <v>A</v>
          </cell>
          <cell r="H2273">
            <v>45712</v>
          </cell>
        </row>
        <row r="2274">
          <cell r="B2274" t="str">
            <v>Həmzəyeva Zahidə Səyavuş</v>
          </cell>
          <cell r="C2274" t="str">
            <v>Satış kanalları departamenti</v>
          </cell>
          <cell r="D2274" t="str">
            <v>Məsafədən satış və xidmət şöbəsi</v>
          </cell>
          <cell r="E2274" t="str">
            <v>Telesatış bölməsi</v>
          </cell>
          <cell r="F2274" t="str">
            <v>Kiçik mütəxəssis</v>
          </cell>
          <cell r="G2274" t="str">
            <v>A</v>
          </cell>
          <cell r="H2274">
            <v>45712</v>
          </cell>
        </row>
        <row r="2275">
          <cell r="B2275" t="str">
            <v>ISMAILOVA SABINA</v>
          </cell>
          <cell r="C2275" t="str">
            <v>Satış kanalları departamenti</v>
          </cell>
          <cell r="D2275" t="str">
            <v>Məsafədən satış və xidmət şöbəsi</v>
          </cell>
          <cell r="E2275" t="str">
            <v>Telesatış bölməsi</v>
          </cell>
          <cell r="F2275" t="str">
            <v>Kiçik mütəxəssis</v>
          </cell>
          <cell r="G2275" t="str">
            <v>SM</v>
          </cell>
          <cell r="H2275">
            <v>45763</v>
          </cell>
        </row>
        <row r="2276">
          <cell r="B2276" t="str">
            <v>Abdullazadə Firidun Müşviq</v>
          </cell>
          <cell r="C2276" t="str">
            <v>Satış kanalları departamenti</v>
          </cell>
          <cell r="D2276" t="str">
            <v>Məsafədən satış və xidmət şöbəsi</v>
          </cell>
          <cell r="E2276" t="str">
            <v>Telesatış bölməsi</v>
          </cell>
          <cell r="F2276" t="str">
            <v>Kiçik mütəxəssis (müvəqqəti)</v>
          </cell>
          <cell r="G2276" t="str">
            <v>A</v>
          </cell>
          <cell r="H2276">
            <v>46177</v>
          </cell>
        </row>
        <row r="2277">
          <cell r="B2277" t="str">
            <v>Aydınova Zərqələm Tərlan</v>
          </cell>
          <cell r="C2277" t="str">
            <v>Satış kanalları departamenti</v>
          </cell>
          <cell r="D2277" t="str">
            <v>Məsafədən satış və xidmət şöbəsi</v>
          </cell>
          <cell r="E2277" t="str">
            <v>Telesatış bölməsi</v>
          </cell>
          <cell r="F2277" t="str">
            <v>Mütəxəssis</v>
          </cell>
          <cell r="G2277" t="str">
            <v>A</v>
          </cell>
          <cell r="H2277">
            <v>45785</v>
          </cell>
        </row>
        <row r="2278">
          <cell r="B2278" t="str">
            <v>Həsənov Cəlal Kənan</v>
          </cell>
          <cell r="C2278" t="str">
            <v>Satış kanalları departamenti</v>
          </cell>
          <cell r="D2278" t="str">
            <v>Məsafədən satış və xidmət şöbəsi</v>
          </cell>
          <cell r="E2278" t="str">
            <v>Telesatış bölməsi</v>
          </cell>
          <cell r="F2278" t="str">
            <v>Mütəxəssis</v>
          </cell>
          <cell r="G2278" t="str">
            <v>A</v>
          </cell>
          <cell r="H2278">
            <v>45789</v>
          </cell>
        </row>
        <row r="2279">
          <cell r="B2279" t="str">
            <v>Murğuzova Ülkər Nifdi</v>
          </cell>
          <cell r="C2279" t="str">
            <v>Satış kanalları departamenti</v>
          </cell>
          <cell r="D2279" t="str">
            <v>Məsafədən satış və xidmət şöbəsi</v>
          </cell>
          <cell r="E2279" t="str">
            <v>Telesatış bölməsi</v>
          </cell>
          <cell r="F2279" t="str">
            <v>Mütəxəssis</v>
          </cell>
          <cell r="G2279" t="str">
            <v>A</v>
          </cell>
          <cell r="H2279">
            <v>45793</v>
          </cell>
        </row>
        <row r="2280">
          <cell r="B2280" t="str">
            <v>Mustafayeva Gülhəyat Müşviq</v>
          </cell>
          <cell r="C2280" t="str">
            <v>Satış kanalları departamenti</v>
          </cell>
          <cell r="D2280" t="str">
            <v>Məsafədən satış və xidmət şöbəsi</v>
          </cell>
          <cell r="E2280" t="str">
            <v>Telesatış bölməsi</v>
          </cell>
          <cell r="F2280" t="str">
            <v>Mütəxəssis</v>
          </cell>
          <cell r="G2280" t="str">
            <v>A</v>
          </cell>
          <cell r="H2280">
            <v>45819</v>
          </cell>
        </row>
        <row r="2281">
          <cell r="B2281" t="str">
            <v>Şərifova Firəngiz Ceyhun</v>
          </cell>
          <cell r="C2281" t="str">
            <v>Satış Kanalları Departamenti</v>
          </cell>
          <cell r="D2281" t="str">
            <v>Məsafədən satış və xidmət şöbəsi</v>
          </cell>
          <cell r="E2281" t="str">
            <v>Telesatış bölməsi</v>
          </cell>
          <cell r="F2281" t="str">
            <v>Kiçik mütəxəssis</v>
          </cell>
          <cell r="G2281" t="str">
            <v>A</v>
          </cell>
          <cell r="H2281">
            <v>45566</v>
          </cell>
        </row>
        <row r="2282">
          <cell r="B2282" t="str">
            <v>Əhmədov Ceyhun Nizami</v>
          </cell>
          <cell r="C2282" t="str">
            <v>Satış Kanalları Departamenti</v>
          </cell>
          <cell r="D2282" t="str">
            <v>Məsafədən satış və xidmət şöbəsi</v>
          </cell>
          <cell r="E2282" t="str">
            <v>Telesatış bölməsi</v>
          </cell>
          <cell r="F2282" t="str">
            <v>Kiçik mütəxəssis</v>
          </cell>
          <cell r="G2282" t="str">
            <v>A</v>
          </cell>
          <cell r="H2282">
            <v>45566</v>
          </cell>
        </row>
        <row r="2283">
          <cell r="B2283" t="str">
            <v>Pənahova Nurcan Mustafa</v>
          </cell>
          <cell r="C2283" t="str">
            <v>Satış kanalları departamenti</v>
          </cell>
          <cell r="D2283" t="str">
            <v>Məsafədən satış və xidmət şöbəsi</v>
          </cell>
          <cell r="E2283" t="str">
            <v>Telesatış bölməsi</v>
          </cell>
          <cell r="F2283" t="str">
            <v>Kiçik mütəxəssis</v>
          </cell>
          <cell r="G2283" t="str">
            <v>A</v>
          </cell>
          <cell r="H2283">
            <v>45826</v>
          </cell>
        </row>
        <row r="2284">
          <cell r="B2284" t="str">
            <v>Əsədullayeva Ayşəgül Taleh</v>
          </cell>
          <cell r="C2284" t="str">
            <v>Satış kanalları departamenti</v>
          </cell>
          <cell r="D2284" t="str">
            <v>Məsafədən satış və xidmət şöbəsi</v>
          </cell>
          <cell r="E2284" t="str">
            <v>Telesatış bölməsi</v>
          </cell>
          <cell r="F2284" t="str">
            <v>Kiçik mütəxəssis</v>
          </cell>
          <cell r="G2284" t="str">
            <v>A</v>
          </cell>
          <cell r="H2284">
            <v>45862</v>
          </cell>
        </row>
        <row r="2285">
          <cell r="B2285" t="str">
            <v>Vəliyeva Nəzrin Fərid</v>
          </cell>
          <cell r="C2285" t="str">
            <v>Satış kanalları departamenti</v>
          </cell>
          <cell r="D2285" t="str">
            <v>Məsafədən satış və xidmət şöbəsi</v>
          </cell>
          <cell r="E2285" t="str">
            <v>Telesatış bölməsi</v>
          </cell>
          <cell r="F2285" t="str">
            <v>Kiçik mütəxəssis</v>
          </cell>
          <cell r="G2285" t="str">
            <v>A</v>
          </cell>
          <cell r="H2285">
            <v>45918</v>
          </cell>
        </row>
        <row r="2286">
          <cell r="B2286" t="str">
            <v>Quliyeva İlqarə Aqil</v>
          </cell>
          <cell r="C2286" t="str">
            <v>Satış Kanalları Departamenti</v>
          </cell>
          <cell r="D2286" t="str">
            <v>Məsafədən satış və xidmət şöbəsi</v>
          </cell>
          <cell r="E2286" t="str">
            <v>Telesatış bölməsi</v>
          </cell>
          <cell r="F2286" t="str">
            <v>Kiçik mütəxəssis</v>
          </cell>
          <cell r="G2286" t="str">
            <v>A</v>
          </cell>
          <cell r="H2286">
            <v>45951</v>
          </cell>
        </row>
        <row r="2287">
          <cell r="B2287" t="str">
            <v>Əzimov Murad Asif</v>
          </cell>
          <cell r="C2287" t="str">
            <v>Satış kanalları departamenti</v>
          </cell>
          <cell r="D2287" t="str">
            <v>Məsafədən satış və xidmət şöbəsi</v>
          </cell>
          <cell r="E2287" t="str">
            <v>Telesatış bölməsi</v>
          </cell>
          <cell r="F2287" t="str">
            <v>Kiçik mütəxəssis</v>
          </cell>
          <cell r="G2287" t="str">
            <v>A</v>
          </cell>
          <cell r="H2287">
            <v>45953</v>
          </cell>
        </row>
        <row r="2288">
          <cell r="B2288" t="str">
            <v>Alıyeva Aysu Surac</v>
          </cell>
          <cell r="C2288" t="str">
            <v>Satış kanalları departamenti</v>
          </cell>
          <cell r="D2288" t="str">
            <v>Məsafədən satış və xidmət şöbəsi</v>
          </cell>
          <cell r="E2288" t="str">
            <v>Telesatış bölməsi</v>
          </cell>
          <cell r="F2288" t="str">
            <v>Kiçik mütəxəssis</v>
          </cell>
          <cell r="G2288" t="str">
            <v>A</v>
          </cell>
          <cell r="H2288">
            <v>45965</v>
          </cell>
        </row>
        <row r="2289">
          <cell r="B2289" t="str">
            <v>Əsgərova Adilə İlham</v>
          </cell>
          <cell r="C2289" t="str">
            <v>Satış kanalları departamenti</v>
          </cell>
          <cell r="D2289" t="str">
            <v>Məsafədən satış və xidmət şöbəsi</v>
          </cell>
          <cell r="E2289" t="str">
            <v>Telesatış bölməsi</v>
          </cell>
          <cell r="F2289" t="str">
            <v>Kiçik mütəxəssis</v>
          </cell>
          <cell r="G2289" t="str">
            <v>A</v>
          </cell>
          <cell r="H2289">
            <v>45965</v>
          </cell>
        </row>
        <row r="2290">
          <cell r="B2290" t="str">
            <v>Mədətov İbrahim Samir</v>
          </cell>
          <cell r="C2290" t="str">
            <v>Satış kanalları departamenti</v>
          </cell>
          <cell r="D2290" t="str">
            <v>Məsafədən satış və xidmət şöbəsi</v>
          </cell>
          <cell r="E2290" t="str">
            <v>Telesatış bölməsi</v>
          </cell>
          <cell r="F2290" t="str">
            <v>Kiçik mütəxəssis</v>
          </cell>
          <cell r="G2290" t="str">
            <v>A</v>
          </cell>
          <cell r="H2290">
            <v>46223</v>
          </cell>
        </row>
        <row r="2291">
          <cell r="B2291" t="str">
            <v>Atakişiyev Hüseyn Malik</v>
          </cell>
          <cell r="C2291" t="str">
            <v>Satış kanalları departamenti</v>
          </cell>
          <cell r="D2291" t="str">
            <v>Məsafədən satış və xidmət şöbəsi</v>
          </cell>
          <cell r="E2291" t="str">
            <v>Telesatış bölməsi</v>
          </cell>
          <cell r="F2291" t="str">
            <v>Kiçik mütəxəssis</v>
          </cell>
          <cell r="G2291" t="str">
            <v>A</v>
          </cell>
          <cell r="H2291">
            <v>45975</v>
          </cell>
        </row>
        <row r="2292">
          <cell r="B2292" t="str">
            <v>Əsgərov Mövsüm Ələkbər</v>
          </cell>
          <cell r="C2292" t="str">
            <v>Satış kanalları departamenti</v>
          </cell>
          <cell r="D2292" t="str">
            <v>Məsafədən satış və xidmət şöbəsi</v>
          </cell>
          <cell r="E2292" t="str">
            <v>Telesatış bölməsi</v>
          </cell>
          <cell r="F2292" t="str">
            <v>Kiçik mütəxəssis (əvəzçilik qaydasında)</v>
          </cell>
          <cell r="G2292" t="str">
            <v>A</v>
          </cell>
          <cell r="H2292">
            <v>45142</v>
          </cell>
        </row>
        <row r="2293">
          <cell r="B2293" t="str">
            <v>Qarayeva Günay Vəli</v>
          </cell>
          <cell r="C2293" t="str">
            <v>Biznesə dəstək departamenti</v>
          </cell>
          <cell r="D2293" t="str">
            <v>#</v>
          </cell>
          <cell r="E2293" t="str">
            <v>Onlayn hesablar bölməsi</v>
          </cell>
          <cell r="F2293" t="str">
            <v>Bölmə rəhbəri</v>
          </cell>
          <cell r="G2293" t="str">
            <v>A</v>
          </cell>
          <cell r="H2293">
            <v>38274</v>
          </cell>
        </row>
        <row r="2294">
          <cell r="B2294" t="str">
            <v>Məmmədova İnarə Vidadi</v>
          </cell>
          <cell r="C2294" t="str">
            <v>Biznesə dəstək departamenti</v>
          </cell>
          <cell r="D2294" t="str">
            <v>#</v>
          </cell>
          <cell r="E2294" t="str">
            <v>Onlayn hesablar bölməsi</v>
          </cell>
          <cell r="F2294" t="str">
            <v>Baş mütəxəssis</v>
          </cell>
          <cell r="G2294" t="str">
            <v>A</v>
          </cell>
          <cell r="H2294">
            <v>41900</v>
          </cell>
        </row>
        <row r="2295">
          <cell r="B2295" t="str">
            <v>Həzərova Lima Nizamiyevna</v>
          </cell>
          <cell r="C2295" t="str">
            <v>Biznesə dəstək departamenti</v>
          </cell>
          <cell r="D2295" t="str">
            <v>#</v>
          </cell>
          <cell r="E2295" t="str">
            <v>Onlayn hesablar bölməsi</v>
          </cell>
          <cell r="F2295" t="str">
            <v>Baş mütəxəssis</v>
          </cell>
          <cell r="G2295" t="str">
            <v>A</v>
          </cell>
          <cell r="H2295">
            <v>42866</v>
          </cell>
        </row>
        <row r="2296">
          <cell r="B2296" t="str">
            <v>Məmmədova Maya Rafiq</v>
          </cell>
          <cell r="C2296" t="str">
            <v>Biznesə dəstək departamenti</v>
          </cell>
          <cell r="D2296" t="str">
            <v>#</v>
          </cell>
          <cell r="E2296" t="str">
            <v>Onlayn hesablar bölməsi</v>
          </cell>
          <cell r="F2296" t="str">
            <v>Baş mütəxəssis</v>
          </cell>
          <cell r="G2296" t="str">
            <v>A</v>
          </cell>
          <cell r="H2296">
            <v>43818</v>
          </cell>
        </row>
        <row r="2297">
          <cell r="B2297" t="str">
            <v>Maqsudova Əminə Etibar</v>
          </cell>
          <cell r="C2297" t="str">
            <v>Biznesə dəstək departamenti</v>
          </cell>
          <cell r="D2297" t="str">
            <v>#</v>
          </cell>
          <cell r="E2297" t="str">
            <v>Onlayn hesablar bölməsi</v>
          </cell>
          <cell r="F2297" t="str">
            <v>Baş mütəxəssis</v>
          </cell>
          <cell r="G2297" t="str">
            <v>A</v>
          </cell>
          <cell r="H2297">
            <v>43654</v>
          </cell>
        </row>
        <row r="2298">
          <cell r="B2298" t="str">
            <v>Həsənova Aysel Ruslan</v>
          </cell>
          <cell r="C2298" t="str">
            <v>Biznesə dəstək departamenti</v>
          </cell>
          <cell r="D2298" t="str">
            <v>#</v>
          </cell>
          <cell r="E2298" t="str">
            <v>Onlayn hesablar bölməsi</v>
          </cell>
          <cell r="F2298" t="str">
            <v>Mütəxəssis</v>
          </cell>
          <cell r="G2298" t="str">
            <v>A</v>
          </cell>
          <cell r="H2298">
            <v>45026</v>
          </cell>
        </row>
        <row r="2299">
          <cell r="B2299" t="str">
            <v>Səmədzadə Nərgiz Hamlet</v>
          </cell>
          <cell r="C2299" t="str">
            <v>Biznesə dəstək departamenti</v>
          </cell>
          <cell r="D2299" t="str">
            <v>#</v>
          </cell>
          <cell r="E2299" t="str">
            <v>Onlayn hesablar bölməsi</v>
          </cell>
          <cell r="F2299" t="str">
            <v>Mütəxəssis</v>
          </cell>
          <cell r="G2299" t="str">
            <v>A</v>
          </cell>
          <cell r="H2299">
            <v>45222</v>
          </cell>
        </row>
        <row r="2300">
          <cell r="B2300" t="str">
            <v>Qəribova Rəna Nazim</v>
          </cell>
          <cell r="C2300" t="str">
            <v>Biznesə dəstək departamenti</v>
          </cell>
          <cell r="D2300" t="str">
            <v>#</v>
          </cell>
          <cell r="E2300" t="str">
            <v>Onlayn hesablar bölməsi</v>
          </cell>
          <cell r="F2300" t="str">
            <v>Mütəxəssis</v>
          </cell>
          <cell r="G2300" t="str">
            <v>A</v>
          </cell>
          <cell r="H2300">
            <v>45309</v>
          </cell>
        </row>
        <row r="2301">
          <cell r="B2301" t="str">
            <v>Alpanayev Tural Yaşar</v>
          </cell>
          <cell r="C2301" t="str">
            <v>Satış Kanalları Departamenti</v>
          </cell>
          <cell r="D2301" t="str">
            <v>Məsafədən satış və xidmət şöbəsi</v>
          </cell>
          <cell r="E2301" t="str">
            <v>Telemarketinq bölməsi</v>
          </cell>
          <cell r="F2301" t="str">
            <v>Mütəxəssis</v>
          </cell>
          <cell r="G2301" t="str">
            <v>A</v>
          </cell>
          <cell r="H2301">
            <v>45566</v>
          </cell>
        </row>
        <row r="2302">
          <cell r="B2302" t="str">
            <v>Bəşirova Aygül Arif</v>
          </cell>
          <cell r="C2302" t="str">
            <v>Satış Kanalları Departamenti</v>
          </cell>
          <cell r="D2302" t="str">
            <v>Məsafədən satış və xidmət şöbəsi</v>
          </cell>
          <cell r="E2302" t="str">
            <v>Telemarketinq bölməsi</v>
          </cell>
          <cell r="F2302" t="str">
            <v>Mütəxəssis</v>
          </cell>
          <cell r="G2302" t="str">
            <v>A</v>
          </cell>
          <cell r="H2302">
            <v>45566</v>
          </cell>
        </row>
        <row r="2303">
          <cell r="B2303" t="str">
            <v>Əlizadə Nərgiz İslam</v>
          </cell>
          <cell r="C2303" t="str">
            <v>Satış Kanalları Departamenti</v>
          </cell>
          <cell r="D2303" t="str">
            <v>Məsafədən satış və xidmət şöbəsi</v>
          </cell>
          <cell r="E2303" t="str">
            <v>Telemarketinq bölməsi</v>
          </cell>
          <cell r="F2303" t="str">
            <v>Mütəxəssis</v>
          </cell>
          <cell r="G2303" t="str">
            <v>A</v>
          </cell>
          <cell r="H2303">
            <v>45566</v>
          </cell>
        </row>
        <row r="2304">
          <cell r="B2304" t="str">
            <v>Hüseynova Ayşən Vəfadar</v>
          </cell>
          <cell r="C2304" t="str">
            <v>Satış kanalları departamenti</v>
          </cell>
          <cell r="D2304" t="str">
            <v>Məsafədən satış və xidmət şöbəsi</v>
          </cell>
          <cell r="E2304" t="str">
            <v>Telesatış bölməsi</v>
          </cell>
          <cell r="F2304" t="str">
            <v>Kiçik mütəxəssis</v>
          </cell>
          <cell r="G2304" t="str">
            <v>SM</v>
          </cell>
          <cell r="H2304">
            <v>45566</v>
          </cell>
        </row>
        <row r="2305">
          <cell r="B2305" t="str">
            <v>Məmmədov Kazım Oqtay</v>
          </cell>
          <cell r="C2305" t="str">
            <v>Satış Kanalları Departamenti</v>
          </cell>
          <cell r="D2305" t="str">
            <v>Məsafədən satış və xidmət şöbəsi</v>
          </cell>
          <cell r="E2305" t="str">
            <v>Telesatış bölməsi</v>
          </cell>
          <cell r="F2305" t="str">
            <v>Kiçik mütəxəssis (müvəqqəti)</v>
          </cell>
          <cell r="G2305" t="str">
            <v>A</v>
          </cell>
          <cell r="H2305">
            <v>45566</v>
          </cell>
        </row>
        <row r="2306">
          <cell r="B2306" t="str">
            <v>Hüseynova İnci Akif</v>
          </cell>
          <cell r="C2306" t="str">
            <v>Satış Kanalları Departamenti</v>
          </cell>
          <cell r="D2306" t="str">
            <v>Məsafədən satış və xidmət şöbəsi</v>
          </cell>
          <cell r="E2306" t="str">
            <v>Telemarketinq bölməsi</v>
          </cell>
          <cell r="F2306" t="str">
            <v>Mütəxəssis</v>
          </cell>
          <cell r="G2306" t="str">
            <v>A</v>
          </cell>
          <cell r="H2306">
            <v>45566</v>
          </cell>
        </row>
        <row r="2307">
          <cell r="B2307" t="str">
            <v>Məmmədov Elvin Abbas</v>
          </cell>
          <cell r="C2307" t="str">
            <v>Satış Kanalları Departamenti</v>
          </cell>
          <cell r="D2307" t="str">
            <v>Məsafədən satış və xidmət şöbəsi</v>
          </cell>
          <cell r="E2307" t="str">
            <v>Telemarketinq bölməsi</v>
          </cell>
          <cell r="F2307" t="str">
            <v>Kiçik mütəxəssis</v>
          </cell>
          <cell r="G2307" t="str">
            <v>A</v>
          </cell>
          <cell r="H2307">
            <v>45566</v>
          </cell>
        </row>
        <row r="2308">
          <cell r="B2308" t="str">
            <v>Veysəlova Məhbubə Aydəmir</v>
          </cell>
          <cell r="C2308" t="str">
            <v>Satış Kanalları Departamenti</v>
          </cell>
          <cell r="D2308" t="str">
            <v>Məsafədən satış və xidmət şöbəsi</v>
          </cell>
          <cell r="E2308" t="str">
            <v>Telemarketinq bölməsi</v>
          </cell>
          <cell r="F2308" t="str">
            <v>Kiçik mütəxəssis</v>
          </cell>
          <cell r="G2308" t="str">
            <v>A</v>
          </cell>
          <cell r="H2308">
            <v>45566</v>
          </cell>
        </row>
        <row r="2309">
          <cell r="B2309" t="str">
            <v>Nədiyeva Günel Habil</v>
          </cell>
          <cell r="C2309" t="str">
            <v>Satış Kanalları Departamenti</v>
          </cell>
          <cell r="D2309" t="str">
            <v>Məsafədən satış və xidmət şöbəsi</v>
          </cell>
          <cell r="E2309" t="str">
            <v>Telemarketinq bölməsi</v>
          </cell>
          <cell r="F2309" t="str">
            <v>Kiçik mütəxəssis</v>
          </cell>
          <cell r="G2309" t="str">
            <v>A</v>
          </cell>
          <cell r="H2309">
            <v>45566</v>
          </cell>
        </row>
        <row r="2310">
          <cell r="B2310" t="str">
            <v>Rəhimova Gülnar Şəfaqət</v>
          </cell>
          <cell r="C2310" t="str">
            <v>Satış Kanalları Departamenti</v>
          </cell>
          <cell r="D2310" t="str">
            <v>Məsafədən satış və xidmət şöbəsi</v>
          </cell>
          <cell r="E2310" t="str">
            <v>Telemarketinq bölməsi</v>
          </cell>
          <cell r="F2310" t="str">
            <v>Mütəxəssis</v>
          </cell>
          <cell r="G2310" t="str">
            <v>A</v>
          </cell>
          <cell r="H2310">
            <v>45566</v>
          </cell>
        </row>
        <row r="2311">
          <cell r="B2311" t="str">
            <v>Abbasova Arzu Sadiq</v>
          </cell>
          <cell r="C2311" t="str">
            <v>Satış Kanalları Departamenti</v>
          </cell>
          <cell r="D2311" t="str">
            <v>Məsafədən satış və xidmət şöbəsi</v>
          </cell>
          <cell r="E2311" t="str">
            <v>Telemarketinq bölməsi</v>
          </cell>
          <cell r="F2311" t="str">
            <v>Kiçik mütəxəssis</v>
          </cell>
          <cell r="G2311" t="str">
            <v>A</v>
          </cell>
          <cell r="H2311">
            <v>45573</v>
          </cell>
        </row>
        <row r="2312">
          <cell r="B2312" t="str">
            <v>Qubadov Mirpaşa İbad</v>
          </cell>
          <cell r="C2312" t="str">
            <v>Xidmət keyfiyyətinin idarə edilməsi departamenti</v>
          </cell>
          <cell r="D2312" t="str">
            <v>#</v>
          </cell>
          <cell r="E2312" t="str">
            <v>#</v>
          </cell>
          <cell r="F2312" t="str">
            <v>Direktor müavini</v>
          </cell>
          <cell r="G2312" t="str">
            <v>A</v>
          </cell>
          <cell r="H2312">
            <v>44176</v>
          </cell>
        </row>
        <row r="2313">
          <cell r="B2313" t="str">
            <v>Abbasov Emin Aydın</v>
          </cell>
          <cell r="C2313" t="str">
            <v>Satış kanalları departamenti</v>
          </cell>
          <cell r="D2313" t="str">
            <v>YSB-lərdə satış və xidmət şöbəsi</v>
          </cell>
          <cell r="E2313" t="str">
            <v>#</v>
          </cell>
          <cell r="F2313" t="str">
            <v>Menecer</v>
          </cell>
          <cell r="G2313" t="str">
            <v>A</v>
          </cell>
          <cell r="H2313">
            <v>43313</v>
          </cell>
        </row>
        <row r="2314">
          <cell r="B2314" t="str">
            <v>Kərimov Orxan Ələkbər</v>
          </cell>
          <cell r="C2314" t="str">
            <v>Satış kanalları departamenti</v>
          </cell>
          <cell r="D2314" t="str">
            <v>YSB-lərdə satış və xidmət şöbəsi</v>
          </cell>
          <cell r="E2314" t="str">
            <v>Kredit məhsullarının satışının təşkili bölməsi</v>
          </cell>
          <cell r="F2314" t="str">
            <v>Baş mütəxəssis</v>
          </cell>
          <cell r="G2314" t="str">
            <v>A</v>
          </cell>
          <cell r="H2314">
            <v>43325</v>
          </cell>
        </row>
        <row r="2315">
          <cell r="B2315" t="str">
            <v>Tağıyev Elbəy Fikrət</v>
          </cell>
          <cell r="C2315" t="str">
            <v>Satış kanalları departamenti</v>
          </cell>
          <cell r="D2315" t="str">
            <v>YSB-lərdə satış və xidmət şöbəsi</v>
          </cell>
          <cell r="E2315" t="str">
            <v>Kredit məhsullarının satışının təşkili bölməsi</v>
          </cell>
          <cell r="F2315" t="str">
            <v>Baş mütəxəssis</v>
          </cell>
          <cell r="G2315" t="str">
            <v>A</v>
          </cell>
          <cell r="H2315">
            <v>42572</v>
          </cell>
        </row>
        <row r="2316">
          <cell r="B2316" t="str">
            <v>Vahabzadə Mirələm Mirsəid</v>
          </cell>
          <cell r="C2316" t="str">
            <v>Satış kanalları departamenti</v>
          </cell>
          <cell r="D2316" t="str">
            <v>YSB-lərdə satış və xidmət şöbəsi</v>
          </cell>
          <cell r="E2316" t="str">
            <v>Kredit məhsullarının satışının təşkili bölməsi</v>
          </cell>
          <cell r="F2316" t="str">
            <v>Baş mütəxəssis</v>
          </cell>
          <cell r="G2316" t="str">
            <v>A</v>
          </cell>
          <cell r="H2316">
            <v>42020</v>
          </cell>
        </row>
        <row r="2317">
          <cell r="B2317" t="str">
            <v>Musazadə Kamran Abdin</v>
          </cell>
          <cell r="C2317" t="str">
            <v>Satış kanalları departamenti</v>
          </cell>
          <cell r="D2317" t="str">
            <v>YSB-lərdə satış və xidmət şöbəsi</v>
          </cell>
          <cell r="E2317" t="str">
            <v>Kredit məhsullarının satışının təşkili bölməsi</v>
          </cell>
          <cell r="F2317" t="str">
            <v>Baş mütəxəssis</v>
          </cell>
          <cell r="G2317" t="str">
            <v>A</v>
          </cell>
          <cell r="H2317">
            <v>42809</v>
          </cell>
        </row>
        <row r="2318">
          <cell r="B2318" t="str">
            <v>Kazımov Orxan Sahib</v>
          </cell>
          <cell r="C2318" t="str">
            <v>Satış kanalları departamenti</v>
          </cell>
          <cell r="D2318" t="str">
            <v>YSB-lərdə satış və xidmət şöbəsi</v>
          </cell>
          <cell r="E2318" t="str">
            <v>Kredit məhsullarının satışının təşkili bölməsi</v>
          </cell>
          <cell r="F2318" t="str">
            <v>Baş mütəxəssis</v>
          </cell>
          <cell r="G2318" t="str">
            <v>A</v>
          </cell>
          <cell r="H2318">
            <v>43265</v>
          </cell>
        </row>
        <row r="2319">
          <cell r="B2319" t="str">
            <v>Hüseynzadə İmamverdi Lətif</v>
          </cell>
          <cell r="C2319" t="str">
            <v>Satış kanalları departamenti</v>
          </cell>
          <cell r="D2319" t="str">
            <v>YSB-lərdə satış və xidmət şöbəsi</v>
          </cell>
          <cell r="E2319" t="str">
            <v>Kredit məhsullarının satışının təşkili bölməsi</v>
          </cell>
          <cell r="F2319" t="str">
            <v>Baş mütəxəssis</v>
          </cell>
          <cell r="G2319" t="str">
            <v>A</v>
          </cell>
          <cell r="H2319">
            <v>43076</v>
          </cell>
        </row>
        <row r="2320">
          <cell r="B2320" t="str">
            <v>Məmmədov Murad Vəli</v>
          </cell>
          <cell r="C2320" t="str">
            <v>Satış kanalları departamenti</v>
          </cell>
          <cell r="D2320" t="str">
            <v>YSB-lərdə satış və xidmət şöbəsi</v>
          </cell>
          <cell r="E2320" t="str">
            <v>Kredit məhsullarının satışının təşkili bölməsi</v>
          </cell>
          <cell r="F2320" t="str">
            <v>Aparıcı mütəxəssis</v>
          </cell>
          <cell r="G2320" t="str">
            <v>A</v>
          </cell>
          <cell r="H2320">
            <v>44308</v>
          </cell>
        </row>
        <row r="2321">
          <cell r="B2321" t="str">
            <v>İsmayılzadə Adəm Seyyub</v>
          </cell>
          <cell r="C2321" t="str">
            <v>Satış kanalları departamenti</v>
          </cell>
          <cell r="D2321" t="str">
            <v>YSB-lərdə satış və xidmət şöbəsi</v>
          </cell>
          <cell r="E2321" t="str">
            <v>Kredit məhsullarının satışının təşkili bölməsi</v>
          </cell>
          <cell r="F2321" t="str">
            <v>Mütəxəssis</v>
          </cell>
          <cell r="G2321" t="str">
            <v>A</v>
          </cell>
          <cell r="H2321">
            <v>44202</v>
          </cell>
        </row>
        <row r="2322">
          <cell r="B2322" t="str">
            <v>Əfəndiyeva Nərgiz Adil</v>
          </cell>
          <cell r="C2322" t="str">
            <v>Satış kanalları departamenti</v>
          </cell>
          <cell r="D2322" t="str">
            <v>YSB-lərdə satış və xidmət şöbəsi</v>
          </cell>
          <cell r="E2322" t="str">
            <v>Qeyri kredit məhsullarının satışının təşkili bölməsi</v>
          </cell>
          <cell r="F2322" t="str">
            <v>Bölmə rəhbəri</v>
          </cell>
          <cell r="G2322" t="str">
            <v>A</v>
          </cell>
          <cell r="H2322">
            <v>42898</v>
          </cell>
        </row>
        <row r="2323">
          <cell r="B2323" t="str">
            <v>Həsənova Nərminə Teyyub</v>
          </cell>
          <cell r="C2323" t="str">
            <v>Satış kanalları departamenti</v>
          </cell>
          <cell r="D2323" t="str">
            <v>YSB-lərdə satış və xidmət şöbəsi</v>
          </cell>
          <cell r="E2323" t="str">
            <v>Qeyri kredit məhsullarının satışının təşkili bölməsi</v>
          </cell>
          <cell r="F2323" t="str">
            <v>Baş mütəxəssis</v>
          </cell>
          <cell r="G2323" t="str">
            <v>HX</v>
          </cell>
          <cell r="H2323">
            <v>42846</v>
          </cell>
        </row>
        <row r="2324">
          <cell r="B2324" t="str">
            <v>Nemətli Aydan Xəqani</v>
          </cell>
          <cell r="C2324" t="str">
            <v>Satış kanalları departamenti</v>
          </cell>
          <cell r="D2324" t="str">
            <v>YSB-lərdə satış və xidmət şöbəsi</v>
          </cell>
          <cell r="E2324" t="str">
            <v>Qeyri kredit məhsullarının satışının təşkili bölməsi</v>
          </cell>
          <cell r="F2324" t="str">
            <v>Mütəxəssis (müvəqqəti)</v>
          </cell>
          <cell r="G2324" t="str">
            <v>A</v>
          </cell>
          <cell r="H2324">
            <v>45182</v>
          </cell>
        </row>
        <row r="2325">
          <cell r="B2325" t="str">
            <v>Mamedov Anar Bəkir</v>
          </cell>
          <cell r="C2325" t="str">
            <v>Satış kanalları departamenti</v>
          </cell>
          <cell r="D2325" t="str">
            <v>YSB-lərdə satış və xidmət şöbəsi</v>
          </cell>
          <cell r="E2325" t="str">
            <v>Qeyri kredit məhsullarının satışının təşkili bölməsi</v>
          </cell>
          <cell r="F2325" t="str">
            <v>Aparıcı mütəxəssis</v>
          </cell>
          <cell r="G2325" t="str">
            <v>A</v>
          </cell>
          <cell r="H2325">
            <v>45042</v>
          </cell>
        </row>
        <row r="2326">
          <cell r="B2326" t="str">
            <v>Məmmədli Tural Naib</v>
          </cell>
          <cell r="C2326" t="str">
            <v>Satış kanalları departamenti</v>
          </cell>
          <cell r="D2326" t="str">
            <v>YSB-lərdə satış və xidmət şöbəsi</v>
          </cell>
          <cell r="E2326" t="str">
            <v>Təminatlı kreditlərin satışının təşkili bölməsi</v>
          </cell>
          <cell r="F2326" t="str">
            <v>Bölmə rəhbəri</v>
          </cell>
          <cell r="G2326" t="str">
            <v>A</v>
          </cell>
          <cell r="H2326">
            <v>44305</v>
          </cell>
        </row>
        <row r="2327">
          <cell r="B2327" t="str">
            <v>Yüzbaşov Murad Rasim</v>
          </cell>
          <cell r="C2327" t="str">
            <v>Satış kanalları departamenti</v>
          </cell>
          <cell r="D2327" t="str">
            <v>YSB-lərdə satış və xidmət şöbəsi</v>
          </cell>
          <cell r="E2327" t="str">
            <v>Təminatlı kreditlərin satışının təşkili bölməsi</v>
          </cell>
          <cell r="F2327" t="str">
            <v>Baş mütəxəssis</v>
          </cell>
          <cell r="G2327" t="str">
            <v>A</v>
          </cell>
          <cell r="H2327">
            <v>43994</v>
          </cell>
        </row>
        <row r="2328">
          <cell r="B2328" t="str">
            <v>Həsənova Səbinə Ələmdar</v>
          </cell>
          <cell r="C2328" t="str">
            <v>Satış kanalları departamenti</v>
          </cell>
          <cell r="D2328" t="str">
            <v>YSB-lərdə satış və xidmət şöbəsi</v>
          </cell>
          <cell r="E2328" t="str">
            <v>Təminatlı kreditlərin satışının təşkili bölməsi</v>
          </cell>
          <cell r="F2328" t="str">
            <v>Baş mütəxəssis</v>
          </cell>
          <cell r="G2328" t="str">
            <v>A</v>
          </cell>
          <cell r="H2328">
            <v>44459</v>
          </cell>
        </row>
        <row r="2329">
          <cell r="B2329" t="str">
            <v>Cəfərli Babək Məhəmmədəli</v>
          </cell>
          <cell r="C2329" t="str">
            <v>Satış kanalları departamenti</v>
          </cell>
          <cell r="D2329" t="str">
            <v>YSB-lərdə satış və xidmət şöbəsi</v>
          </cell>
          <cell r="E2329" t="str">
            <v>Təminatlı kreditlərin satışının təşkili bölməsi</v>
          </cell>
          <cell r="F2329" t="str">
            <v>Baş mütəxəssis</v>
          </cell>
          <cell r="G2329" t="str">
            <v>A</v>
          </cell>
          <cell r="H2329">
            <v>44461</v>
          </cell>
        </row>
        <row r="2330">
          <cell r="B2330" t="str">
            <v>Əliyeva Pərvinə Qeysud</v>
          </cell>
          <cell r="C2330" t="str">
            <v>Satış kanalları departamenti</v>
          </cell>
          <cell r="D2330" t="str">
            <v>YSB-lərdə satış və xidmət şöbəsi</v>
          </cell>
          <cell r="E2330" t="str">
            <v>Təminatlı kreditlərin satışının təşkili bölməsi</v>
          </cell>
          <cell r="F2330" t="str">
            <v>Baş mütəxəssis</v>
          </cell>
          <cell r="G2330" t="str">
            <v>A</v>
          </cell>
          <cell r="H2330">
            <v>44459</v>
          </cell>
        </row>
        <row r="2331">
          <cell r="B2331" t="str">
            <v>Qarayev Elcan Elçin</v>
          </cell>
          <cell r="C2331" t="str">
            <v>Satış kanalları departamenti</v>
          </cell>
          <cell r="D2331" t="str">
            <v>YSB-lərdə satış və xidmət şöbəsi</v>
          </cell>
          <cell r="E2331" t="str">
            <v>Təminatlı kreditlərin satışının təşkili bölməsi</v>
          </cell>
          <cell r="F2331" t="str">
            <v>Aparıcı mütəxəssis</v>
          </cell>
          <cell r="G2331" t="str">
            <v>A</v>
          </cell>
          <cell r="H2331">
            <v>44357</v>
          </cell>
        </row>
        <row r="2332">
          <cell r="B2332" t="str">
            <v>Cabbarova Nigar Seyidağa</v>
          </cell>
          <cell r="C2332" t="str">
            <v>BirApp sahəsi</v>
          </cell>
          <cell r="D2332" t="str">
            <v>#</v>
          </cell>
          <cell r="E2332" t="str">
            <v>#</v>
          </cell>
          <cell r="F2332" t="str">
            <v>Sahə lideri</v>
          </cell>
          <cell r="G2332" t="str">
            <v>A</v>
          </cell>
          <cell r="H2332">
            <v>45705</v>
          </cell>
        </row>
        <row r="2333">
          <cell r="B2333" t="str">
            <v>Şahbazova Kamilə Fərzulla</v>
          </cell>
          <cell r="C2333" t="str">
            <v>Kart məhsulları sahəsi</v>
          </cell>
          <cell r="D2333" t="str">
            <v>Birbank PFM</v>
          </cell>
          <cell r="E2333" t="str">
            <v>#</v>
          </cell>
          <cell r="F2333" t="str">
            <v>Məhsul sahibi</v>
          </cell>
          <cell r="G2333" t="str">
            <v>A</v>
          </cell>
          <cell r="H2333">
            <v>44678</v>
          </cell>
        </row>
        <row r="2334">
          <cell r="B2334" t="str">
            <v>Alıyeva Tahirə Mehman</v>
          </cell>
          <cell r="C2334" t="str">
            <v>BirApp sahəsi</v>
          </cell>
          <cell r="D2334" t="str">
            <v>Bir Enabler</v>
          </cell>
          <cell r="E2334" t="str">
            <v>#</v>
          </cell>
          <cell r="F2334" t="str">
            <v>Ekspert məhsul sahibi</v>
          </cell>
          <cell r="G2334" t="str">
            <v>A</v>
          </cell>
          <cell r="H2334">
            <v>45453</v>
          </cell>
        </row>
        <row r="2335">
          <cell r="B2335" t="str">
            <v>Əlili Ləman Ceyhun</v>
          </cell>
          <cell r="C2335" t="str">
            <v>BirApp sahəsi</v>
          </cell>
          <cell r="D2335" t="str">
            <v>travel</v>
          </cell>
          <cell r="E2335" t="str">
            <v>#</v>
          </cell>
          <cell r="F2335" t="str">
            <v>Məhsul sahibi</v>
          </cell>
          <cell r="G2335" t="str">
            <v>A</v>
          </cell>
          <cell r="H2335">
            <v>46261</v>
          </cell>
          <cell r="I2335" t="str">
            <v>Bir Payment</v>
          </cell>
        </row>
        <row r="2336">
          <cell r="B2336" t="str">
            <v>Tağızadə Səbinə Vidadi</v>
          </cell>
          <cell r="C2336" t="str">
            <v>BirApp sahəsi</v>
          </cell>
          <cell r="D2336" t="str">
            <v>Birbank Mainpage</v>
          </cell>
          <cell r="E2336" t="str">
            <v>#</v>
          </cell>
          <cell r="F2336" t="str">
            <v>Məhsul sahibi</v>
          </cell>
          <cell r="G2336" t="str">
            <v>A</v>
          </cell>
          <cell r="H2336">
            <v>45916</v>
          </cell>
        </row>
        <row r="2337">
          <cell r="B2337" t="str">
            <v>Kazımova Saidə Fuad</v>
          </cell>
          <cell r="C2337" t="str">
            <v>BirApp sahəsi</v>
          </cell>
          <cell r="D2337" t="str">
            <v>BirSearch</v>
          </cell>
          <cell r="E2337" t="str">
            <v>#</v>
          </cell>
          <cell r="F2337" t="str">
            <v>Məhsul sahibi</v>
          </cell>
          <cell r="G2337" t="str">
            <v>A</v>
          </cell>
          <cell r="H2337">
            <v>46275</v>
          </cell>
        </row>
        <row r="2338">
          <cell r="B2338" t="str">
            <v>Nəcəfov Nail Namiq</v>
          </cell>
          <cell r="C2338" t="str">
            <v>Fintech Analitika və Aİ ekspert mərkəzi</v>
          </cell>
          <cell r="D2338" t="str">
            <v>#</v>
          </cell>
          <cell r="E2338" t="str">
            <v>#</v>
          </cell>
          <cell r="F2338" t="str">
            <v>Ekspert Mərkəzinin lideri</v>
          </cell>
          <cell r="G2338" t="str">
            <v>A</v>
          </cell>
          <cell r="H2338">
            <v>44333</v>
          </cell>
        </row>
        <row r="2339">
          <cell r="B2339" t="str">
            <v>Ocaqov İlqar Zakir</v>
          </cell>
          <cell r="C2339" t="str">
            <v>Ödəniş biznesinin Analitika və Aİ ekspert mərkəzi</v>
          </cell>
          <cell r="D2339" t="str">
            <v>#</v>
          </cell>
          <cell r="E2339" t="str">
            <v>#</v>
          </cell>
          <cell r="F2339" t="str">
            <v>Ekspert funksional lider</v>
          </cell>
          <cell r="G2339" t="str">
            <v>A</v>
          </cell>
          <cell r="H2339">
            <v>43283</v>
          </cell>
        </row>
        <row r="2340">
          <cell r="B2340" t="str">
            <v>Abbaszadə Elçin Nazim</v>
          </cell>
          <cell r="C2340" t="str">
            <v>Ödəniş biznesinin Analitika və Aİ ekspert mərkəzi</v>
          </cell>
          <cell r="D2340" t="str">
            <v>Payment analytics chapter</v>
          </cell>
          <cell r="E2340" t="str">
            <v>#</v>
          </cell>
          <cell r="F2340" t="str">
            <v>Funksional lider (0,5 ştat vahidi üzrə əvəzçilik qaydasında)</v>
          </cell>
          <cell r="G2340" t="str">
            <v>A</v>
          </cell>
          <cell r="H2340">
            <v>46195</v>
          </cell>
          <cell r="I2340" t="str">
            <v>Bir Payment</v>
          </cell>
        </row>
        <row r="2341">
          <cell r="B2341" t="str">
            <v>Qaracayeva Fəridə Əlləz</v>
          </cell>
          <cell r="C2341" t="str">
            <v>Fintech Analitika və Aİ ekspert mərkəzi</v>
          </cell>
          <cell r="D2341" t="str">
            <v>Analytics chapter</v>
          </cell>
          <cell r="E2341" t="str">
            <v>#</v>
          </cell>
          <cell r="F2341" t="str">
            <v>Biznes analitik</v>
          </cell>
          <cell r="G2341" t="str">
            <v>A</v>
          </cell>
          <cell r="H2341">
            <v>45454</v>
          </cell>
        </row>
        <row r="2342">
          <cell r="B2342" t="str">
            <v>Əliyev Emil Eldar</v>
          </cell>
          <cell r="C2342" t="str">
            <v>Fintech Analitika və Aİ ekspert mərkəzi</v>
          </cell>
          <cell r="D2342" t="str">
            <v>Analytics chapter</v>
          </cell>
          <cell r="E2342" t="str">
            <v>#</v>
          </cell>
          <cell r="F2342" t="str">
            <v>Funksional lider</v>
          </cell>
          <cell r="G2342" t="str">
            <v>A</v>
          </cell>
          <cell r="H2342">
            <v>42577</v>
          </cell>
        </row>
        <row r="2343">
          <cell r="B2343" t="str">
            <v>Xəlilov Emin Aydin</v>
          </cell>
          <cell r="C2343" t="str">
            <v>Fintech Analitika və Aİ ekspert mərkəzi</v>
          </cell>
          <cell r="D2343" t="str">
            <v>Analytics chapter</v>
          </cell>
          <cell r="E2343" t="str">
            <v>#</v>
          </cell>
          <cell r="F2343" t="str">
            <v>Biznes analitik</v>
          </cell>
          <cell r="G2343" t="str">
            <v>A</v>
          </cell>
          <cell r="H2343">
            <v>45973</v>
          </cell>
        </row>
        <row r="2344">
          <cell r="B2344" t="str">
            <v>Məlikli Fərid Aydın</v>
          </cell>
          <cell r="C2344" t="str">
            <v>Fintech Analitika və Aİ ekspert mərkəzi</v>
          </cell>
          <cell r="D2344" t="str">
            <v>Analytics chapter</v>
          </cell>
          <cell r="E2344" t="str">
            <v>#</v>
          </cell>
          <cell r="F2344" t="str">
            <v>Biznes analitik</v>
          </cell>
          <cell r="G2344" t="str">
            <v>A</v>
          </cell>
          <cell r="H2344">
            <v>43931</v>
          </cell>
        </row>
        <row r="2345">
          <cell r="B2345" t="str">
            <v>Vəliyeva Əminə Ceyhun</v>
          </cell>
          <cell r="C2345" t="str">
            <v>Fintech Analitika və Aİ ekspert mərkəzi</v>
          </cell>
          <cell r="D2345" t="str">
            <v>Analytics chapter</v>
          </cell>
          <cell r="E2345" t="str">
            <v>#</v>
          </cell>
          <cell r="F2345" t="str">
            <v>Biznes analitik</v>
          </cell>
          <cell r="G2345" t="str">
            <v>A</v>
          </cell>
          <cell r="H2345">
            <v>46266</v>
          </cell>
        </row>
        <row r="2346">
          <cell r="B2346" t="str">
            <v>Əlizadə İlyas İbrahim</v>
          </cell>
          <cell r="C2346" t="str">
            <v>Fintech Analitika və Aİ ekspert mərkəzi</v>
          </cell>
          <cell r="D2346" t="str">
            <v>Analytics chapter</v>
          </cell>
          <cell r="E2346" t="str">
            <v>#</v>
          </cell>
          <cell r="F2346" t="str">
            <v>Biznes analitik</v>
          </cell>
          <cell r="G2346" t="str">
            <v>A</v>
          </cell>
          <cell r="H2346">
            <v>45026</v>
          </cell>
        </row>
        <row r="2347">
          <cell r="B2347" t="str">
            <v>Abdıyev Mübariz Azər</v>
          </cell>
          <cell r="C2347" t="str">
            <v>Fintech Analitika və Aİ ekspert mərkəzi</v>
          </cell>
          <cell r="D2347" t="str">
            <v>Analytics chapter</v>
          </cell>
          <cell r="E2347" t="str">
            <v>#</v>
          </cell>
          <cell r="F2347" t="str">
            <v>Biznes analitik</v>
          </cell>
          <cell r="G2347" t="str">
            <v>A</v>
          </cell>
          <cell r="H2347">
            <v>45324</v>
          </cell>
        </row>
        <row r="2348">
          <cell r="B2348" t="str">
            <v>Nuruyev Amid Amil</v>
          </cell>
          <cell r="C2348" t="str">
            <v>Fintech Analitika və Aİ ekspert mərkəzi</v>
          </cell>
          <cell r="D2348" t="str">
            <v>Analytics chapter</v>
          </cell>
          <cell r="E2348" t="str">
            <v>#</v>
          </cell>
          <cell r="F2348" t="str">
            <v>Biznes analitik</v>
          </cell>
          <cell r="G2348" t="str">
            <v>A</v>
          </cell>
          <cell r="H2348">
            <v>43742</v>
          </cell>
        </row>
        <row r="2349">
          <cell r="B2349" t="str">
            <v>Ağayev Yusif Famil</v>
          </cell>
          <cell r="C2349" t="str">
            <v>Fintech Analitika və Aİ ekspert mərkəzi</v>
          </cell>
          <cell r="D2349" t="str">
            <v>Analytics chapter</v>
          </cell>
          <cell r="E2349" t="str">
            <v>#</v>
          </cell>
          <cell r="F2349" t="str">
            <v>Biznes analitik</v>
          </cell>
          <cell r="G2349" t="str">
            <v>A</v>
          </cell>
          <cell r="H2349">
            <v>46279</v>
          </cell>
        </row>
        <row r="2350">
          <cell r="B2350" t="str">
            <v>Məmmədov Tahir Mətləb</v>
          </cell>
          <cell r="C2350" t="str">
            <v>Fintech Analitika və Aİ ekspert mərkəzi</v>
          </cell>
          <cell r="D2350" t="str">
            <v>Analytics chapter</v>
          </cell>
          <cell r="E2350" t="str">
            <v>#</v>
          </cell>
          <cell r="F2350" t="str">
            <v>Biznes analitik</v>
          </cell>
          <cell r="G2350" t="str">
            <v>A</v>
          </cell>
          <cell r="H2350">
            <v>46146</v>
          </cell>
        </row>
        <row r="2351">
          <cell r="B2351" t="str">
            <v>Bəxtiyarov Bəxtiyar Teymur</v>
          </cell>
          <cell r="C2351" t="str">
            <v>Fintech Analitika və Aİ ekspert mərkəzi</v>
          </cell>
          <cell r="D2351" t="str">
            <v>Analytics chapter</v>
          </cell>
          <cell r="E2351" t="str">
            <v>#</v>
          </cell>
          <cell r="F2351" t="str">
            <v>Biznes analitik</v>
          </cell>
          <cell r="G2351" t="str">
            <v>A</v>
          </cell>
          <cell r="H2351">
            <v>46204</v>
          </cell>
        </row>
        <row r="2352">
          <cell r="B2352" t="str">
            <v>Eyvazova Nur Hüseyn</v>
          </cell>
          <cell r="C2352" t="str">
            <v>Fintech Analitika və Aİ ekspert mərkəzi</v>
          </cell>
          <cell r="D2352" t="str">
            <v>Analytics chapter</v>
          </cell>
          <cell r="E2352" t="str">
            <v>#</v>
          </cell>
          <cell r="F2352" t="str">
            <v>Biznes analitik</v>
          </cell>
          <cell r="G2352" t="str">
            <v>A</v>
          </cell>
          <cell r="H2352">
            <v>46238</v>
          </cell>
        </row>
        <row r="2353">
          <cell r="B2353" t="str">
            <v>Qocayev Ayxan Ramiz</v>
          </cell>
          <cell r="C2353" t="str">
            <v>Fintech Analitika və Aİ ekspert mərkəzi</v>
          </cell>
          <cell r="D2353" t="str">
            <v>Analytics chapter</v>
          </cell>
          <cell r="E2353" t="str">
            <v>#</v>
          </cell>
          <cell r="F2353" t="str">
            <v>Biznes analitik</v>
          </cell>
          <cell r="G2353" t="str">
            <v>A</v>
          </cell>
          <cell r="H2353">
            <v>46217</v>
          </cell>
        </row>
        <row r="2354">
          <cell r="B2354" t="str">
            <v>Bağırlı Nicat Bəhruz</v>
          </cell>
          <cell r="C2354" t="str">
            <v>Fintech Analitika və Aİ ekspert mərkəzi</v>
          </cell>
          <cell r="D2354" t="str">
            <v>Analytics chapter</v>
          </cell>
          <cell r="E2354" t="str">
            <v>#</v>
          </cell>
          <cell r="F2354" t="str">
            <v>Biznes analitik</v>
          </cell>
          <cell r="G2354" t="str">
            <v>A</v>
          </cell>
          <cell r="H2354">
            <v>46225</v>
          </cell>
        </row>
        <row r="2355">
          <cell r="B2355" t="str">
            <v>Ağazadə Bəhmən Zeynal</v>
          </cell>
          <cell r="C2355" t="str">
            <v>Ödəniş biznesinin Analitika və Aİ ekspert mərkəzi</v>
          </cell>
          <cell r="D2355" t="str">
            <v>Payment analytics chapter</v>
          </cell>
          <cell r="E2355" t="str">
            <v>#</v>
          </cell>
          <cell r="F2355" t="str">
            <v>Funksional lider (0,5 ştat vahidi üzrə əvəzçilik qaydasında)</v>
          </cell>
          <cell r="G2355" t="str">
            <v>A</v>
          </cell>
          <cell r="H2355">
            <v>46205</v>
          </cell>
          <cell r="I2355" t="str">
            <v>Bir Payment</v>
          </cell>
        </row>
        <row r="2356">
          <cell r="B2356" t="str">
            <v>Məmmədov Rinat Mahir</v>
          </cell>
          <cell r="C2356" t="str">
            <v>Ödəniş biznesinin Analitika və Aİ ekspert mərkəzi</v>
          </cell>
          <cell r="D2356" t="str">
            <v>Payment analytics chapter</v>
          </cell>
          <cell r="E2356" t="str">
            <v>#</v>
          </cell>
          <cell r="F2356" t="str">
            <v>Biznes analitik (0,5 ştat vahidi üzrə əvəzçilik qaydasında)</v>
          </cell>
          <cell r="G2356" t="str">
            <v>A</v>
          </cell>
          <cell r="H2356">
            <v>46205</v>
          </cell>
          <cell r="I2356" t="str">
            <v>Bir Payment</v>
          </cell>
        </row>
        <row r="2357">
          <cell r="B2357" t="str">
            <v>Həsənli Aybəniz Fərhad</v>
          </cell>
          <cell r="C2357" t="str">
            <v>Fintech Analitika və Aİ ekspert mərkəzi</v>
          </cell>
          <cell r="D2357" t="str">
            <v>Analytics chapter</v>
          </cell>
          <cell r="E2357" t="str">
            <v>#</v>
          </cell>
          <cell r="F2357" t="str">
            <v>Biznes analitik</v>
          </cell>
          <cell r="G2357" t="str">
            <v>A</v>
          </cell>
          <cell r="H2357">
            <v>42471</v>
          </cell>
        </row>
        <row r="2358">
          <cell r="B2358" t="str">
            <v>Məmmədova Lətifə Vüqar</v>
          </cell>
          <cell r="C2358" t="str">
            <v>Fintech Analitika və Aİ ekspert mərkəzi</v>
          </cell>
          <cell r="D2358" t="str">
            <v>Analytics chapter</v>
          </cell>
          <cell r="E2358" t="str">
            <v>#</v>
          </cell>
          <cell r="F2358" t="str">
            <v>Biznes analitik</v>
          </cell>
          <cell r="G2358" t="str">
            <v>A</v>
          </cell>
          <cell r="H2358">
            <v>45894</v>
          </cell>
        </row>
        <row r="2359">
          <cell r="B2359" t="str">
            <v xml:space="preserve">	Hüseynova Şəbnəm Niyazi</v>
          </cell>
          <cell r="C2359" t="str">
            <v>Fintech Analitika və Aİ ekspert mərkəzi</v>
          </cell>
          <cell r="D2359" t="str">
            <v>Analytics chapter</v>
          </cell>
          <cell r="E2359" t="str">
            <v>#</v>
          </cell>
          <cell r="F2359" t="str">
            <v>Biznes analitik</v>
          </cell>
          <cell r="G2359" t="str">
            <v>A</v>
          </cell>
          <cell r="H2359">
            <v>46097</v>
          </cell>
        </row>
        <row r="2360">
          <cell r="B2360" t="str">
            <v>Qasımov Cavid Oqtay</v>
          </cell>
          <cell r="C2360" t="str">
            <v>Fintech Analitika və Aİ ekspert mərkəzi</v>
          </cell>
          <cell r="D2360" t="str">
            <v>Analytics chapter</v>
          </cell>
          <cell r="E2360" t="str">
            <v>#</v>
          </cell>
          <cell r="F2360" t="str">
            <v>Biznes analitik</v>
          </cell>
          <cell r="G2360" t="str">
            <v>A</v>
          </cell>
          <cell r="H2360">
            <v>46064</v>
          </cell>
          <cell r="I2360" t="str">
            <v>Paşa Holding</v>
          </cell>
        </row>
        <row r="2361">
          <cell r="B2361" t="str">
            <v>Abdullayev Hümbət Nəcəfqulu</v>
          </cell>
          <cell r="C2361" t="str">
            <v>Ödəniş biznesinin Analitika və Aİ ekspert mərkəzi</v>
          </cell>
          <cell r="D2361" t="str">
            <v>Payment analytics chapter</v>
          </cell>
          <cell r="E2361" t="str">
            <v>#</v>
          </cell>
          <cell r="F2361" t="str">
            <v>Biznes analitik</v>
          </cell>
          <cell r="G2361" t="str">
            <v>A</v>
          </cell>
          <cell r="H2361">
            <v>45890</v>
          </cell>
        </row>
        <row r="2362">
          <cell r="B2362" t="str">
            <v>Əliyev Tamerlan İlqar</v>
          </cell>
          <cell r="C2362" t="str">
            <v>Aİ governance ekspert mərkəzi</v>
          </cell>
          <cell r="D2362" t="str">
            <v>Ecosystem Analytics</v>
          </cell>
          <cell r="E2362" t="str">
            <v>#</v>
          </cell>
          <cell r="F2362" t="str">
            <v>Biznes analitik</v>
          </cell>
          <cell r="G2362" t="str">
            <v>A</v>
          </cell>
          <cell r="H2362">
            <v>45978</v>
          </cell>
        </row>
        <row r="2363">
          <cell r="B2363" t="str">
            <v>İbrahimov Tərlan Allahverdi</v>
          </cell>
          <cell r="C2363" t="str">
            <v>Ekosistemin inkişafı və analitikası departamenti</v>
          </cell>
          <cell r="D2363" t="str">
            <v>Ekosistemin analitikası şöbəsi</v>
          </cell>
          <cell r="E2363" t="str">
            <v>#</v>
          </cell>
          <cell r="F2363" t="str">
            <v>Biznes analitik</v>
          </cell>
          <cell r="G2363" t="str">
            <v>A</v>
          </cell>
          <cell r="H2363">
            <v>45384</v>
          </cell>
        </row>
        <row r="2364">
          <cell r="B2364" t="str">
            <v>Gülmalova Sabina Albertovna</v>
          </cell>
          <cell r="C2364" t="str">
            <v>Ödəniş biznesinin Analitika və Aİ ekspert mərkəzi</v>
          </cell>
          <cell r="D2364" t="str">
            <v>Payment analytics chapter</v>
          </cell>
          <cell r="E2364" t="str">
            <v>#</v>
          </cell>
          <cell r="F2364" t="str">
            <v>Biznes analitik</v>
          </cell>
          <cell r="G2364" t="str">
            <v>A</v>
          </cell>
          <cell r="H2364">
            <v>45566</v>
          </cell>
        </row>
        <row r="2365">
          <cell r="B2365" t="str">
            <v>Şükürov Vüsal Cavid</v>
          </cell>
          <cell r="C2365" t="str">
            <v>Analitika ekspert mərkəzi</v>
          </cell>
          <cell r="D2365" t="str">
            <v>Ecosystem BA and DS</v>
          </cell>
          <cell r="E2365" t="str">
            <v>#</v>
          </cell>
          <cell r="F2365" t="str">
            <v>Funksional lider</v>
          </cell>
          <cell r="G2365" t="str">
            <v>A</v>
          </cell>
          <cell r="H2365">
            <v>45212</v>
          </cell>
        </row>
        <row r="2366">
          <cell r="B2366" t="str">
            <v>Əzizli Yunis Adil</v>
          </cell>
          <cell r="C2366" t="str">
            <v>Analitika ekspert mərkəzi</v>
          </cell>
          <cell r="D2366" t="str">
            <v>Ecosystem BA and DS</v>
          </cell>
          <cell r="E2366" t="str">
            <v>#</v>
          </cell>
          <cell r="F2366" t="str">
            <v>Biznes analitik</v>
          </cell>
          <cell r="G2366" t="str">
            <v>A</v>
          </cell>
          <cell r="H2366">
            <v>44791</v>
          </cell>
        </row>
        <row r="2367">
          <cell r="B2367" t="str">
            <v>Quluzadə Aynur Seymur</v>
          </cell>
          <cell r="C2367" t="str">
            <v>Analitika ekspert mərkəzi</v>
          </cell>
          <cell r="D2367" t="str">
            <v>Ecosystem BA and DS</v>
          </cell>
          <cell r="E2367" t="str">
            <v>#</v>
          </cell>
          <cell r="F2367" t="str">
            <v>Biznes analitik</v>
          </cell>
          <cell r="G2367" t="str">
            <v>A</v>
          </cell>
          <cell r="H2367">
            <v>46000</v>
          </cell>
        </row>
        <row r="2368">
          <cell r="B2368" t="str">
            <v>Tağıyev Eyvaz Hafiz</v>
          </cell>
          <cell r="C2368" t="str">
            <v>Ödəniş biznesinin Analitika və Aİ ekspert mərkəzi</v>
          </cell>
          <cell r="D2368" t="str">
            <v>Payment analytics chapter</v>
          </cell>
          <cell r="E2368" t="str">
            <v>#</v>
          </cell>
          <cell r="F2368" t="str">
            <v>Biznes analitik</v>
          </cell>
          <cell r="G2368" t="str">
            <v>A</v>
          </cell>
          <cell r="H2368">
            <v>44951</v>
          </cell>
        </row>
        <row r="2369">
          <cell r="B2369" t="str">
            <v>Quliyev Ələkbər Rəşid</v>
          </cell>
          <cell r="C2369" t="str">
            <v>Ödəniş biznesinin Analitika və Aİ ekspert mərkəzi</v>
          </cell>
          <cell r="D2369" t="str">
            <v>Payment analytics chapter</v>
          </cell>
          <cell r="E2369" t="str">
            <v>#</v>
          </cell>
          <cell r="F2369" t="str">
            <v>Biznes analitik</v>
          </cell>
          <cell r="G2369" t="str">
            <v>A</v>
          </cell>
          <cell r="H2369">
            <v>46216</v>
          </cell>
          <cell r="I2369" t="str">
            <v>Bir Payment</v>
          </cell>
        </row>
        <row r="2370">
          <cell r="B2370" t="str">
            <v>Hüseynli Mətin Mətləb</v>
          </cell>
          <cell r="C2370" t="str">
            <v>Ödəniş biznesinin Analitika və Aİ ekspert mərkəzi</v>
          </cell>
          <cell r="D2370" t="str">
            <v>Payment analytics chapter</v>
          </cell>
          <cell r="E2370" t="str">
            <v>#</v>
          </cell>
          <cell r="F2370" t="str">
            <v>Biznes analitik</v>
          </cell>
          <cell r="G2370" t="str">
            <v>A</v>
          </cell>
          <cell r="H2370">
            <v>46216</v>
          </cell>
          <cell r="I2370" t="str">
            <v>Bir Payment</v>
          </cell>
        </row>
        <row r="2371">
          <cell r="B2371" t="str">
            <v>Bədirova Kazımova Ruqiyyə Rəsul</v>
          </cell>
          <cell r="C2371" t="str">
            <v>Ödəniş biznesinin Analitika və Aİ ekspert mərkəzi</v>
          </cell>
          <cell r="D2371" t="str">
            <v>Payment analytics chapter</v>
          </cell>
          <cell r="E2371" t="str">
            <v>#</v>
          </cell>
          <cell r="F2371" t="str">
            <v>Biznes analitik</v>
          </cell>
          <cell r="G2371" t="str">
            <v>A</v>
          </cell>
          <cell r="H2371">
            <v>46217</v>
          </cell>
          <cell r="I2371" t="str">
            <v>Bir Payment</v>
          </cell>
        </row>
        <row r="2372">
          <cell r="B2372" t="str">
            <v>Əzimova Nərmin Calal</v>
          </cell>
          <cell r="C2372" t="str">
            <v>Ödəniş biznesinin Analitika və Aİ ekspert mərkəzi</v>
          </cell>
          <cell r="D2372" t="str">
            <v>Payment analytics chapter</v>
          </cell>
          <cell r="E2372" t="str">
            <v>#</v>
          </cell>
          <cell r="F2372" t="str">
            <v>Biznes analitik</v>
          </cell>
          <cell r="G2372" t="str">
            <v>A</v>
          </cell>
          <cell r="H2372">
            <v>46224</v>
          </cell>
        </row>
        <row r="2373">
          <cell r="B2373" t="str">
            <v>Əhmədli Nicat Dadaş</v>
          </cell>
          <cell r="C2373" t="str">
            <v>Ödəniş biznesinin Analitika və Aİ ekspert mərkəzi</v>
          </cell>
          <cell r="D2373" t="str">
            <v>Payment analytics chapter</v>
          </cell>
          <cell r="E2373" t="str">
            <v>#</v>
          </cell>
          <cell r="F2373" t="str">
            <v>Biznes analitik</v>
          </cell>
          <cell r="G2373" t="str">
            <v>A</v>
          </cell>
          <cell r="H2373">
            <v>44655</v>
          </cell>
        </row>
        <row r="2374">
          <cell r="B2374" t="str">
            <v>Qarayev Teyyub Xəzər</v>
          </cell>
          <cell r="C2374" t="str">
            <v>Ödəniş biznesinin Analitika və Aİ ekspert mərkəzi</v>
          </cell>
          <cell r="D2374" t="str">
            <v>#</v>
          </cell>
          <cell r="E2374" t="str">
            <v>#</v>
          </cell>
          <cell r="F2374" t="str">
            <v>Biznes analitik</v>
          </cell>
          <cell r="G2374" t="str">
            <v>A</v>
          </cell>
          <cell r="H2374">
            <v>46161</v>
          </cell>
        </row>
        <row r="2375">
          <cell r="B2375" t="str">
            <v>Salayeva Nigar Araz</v>
          </cell>
          <cell r="C2375" t="str">
            <v>Ödəniş biznesinin Analitika və Aİ ekspert mərkəzi</v>
          </cell>
          <cell r="D2375" t="str">
            <v>Payment analytics chapter</v>
          </cell>
          <cell r="E2375" t="str">
            <v>#</v>
          </cell>
          <cell r="F2375" t="str">
            <v>Biznes analitik</v>
          </cell>
          <cell r="G2375" t="str">
            <v>A</v>
          </cell>
          <cell r="H2375">
            <v>46161</v>
          </cell>
        </row>
        <row r="2376">
          <cell r="B2376" t="str">
            <v>Mehralı Üzeyir Vidadi</v>
          </cell>
          <cell r="C2376" t="str">
            <v>Ödəniş biznesinin Analitika və Aİ ekspert mərkəzi</v>
          </cell>
          <cell r="D2376" t="str">
            <v>Payment analytics chapter</v>
          </cell>
          <cell r="E2376" t="str">
            <v>#</v>
          </cell>
          <cell r="F2376" t="str">
            <v>Biznes analitik</v>
          </cell>
          <cell r="G2376" t="str">
            <v>A</v>
          </cell>
          <cell r="H2376">
            <v>44335</v>
          </cell>
        </row>
        <row r="2377">
          <cell r="B2377" t="str">
            <v>Muradov Ramin Rayik</v>
          </cell>
          <cell r="C2377" t="str">
            <v>Ödəniş biznesinin Analitika və Aİ ekspert mərkəzi</v>
          </cell>
          <cell r="D2377" t="str">
            <v>Payment analytics chapter</v>
          </cell>
          <cell r="E2377" t="str">
            <v>#</v>
          </cell>
          <cell r="F2377" t="str">
            <v>Biznes analitik</v>
          </cell>
          <cell r="G2377" t="str">
            <v>A</v>
          </cell>
          <cell r="H2377">
            <v>46189</v>
          </cell>
          <cell r="I2377" t="str">
            <v>Bir Payment</v>
          </cell>
        </row>
        <row r="2378">
          <cell r="B2378" t="str">
            <v>Söhbətov Rəfail Elmar</v>
          </cell>
          <cell r="C2378" t="str">
            <v>Ödəniş biznesinin Analitika və Aİ ekspert mərkəzi</v>
          </cell>
          <cell r="D2378" t="str">
            <v>Payment analytics chapter</v>
          </cell>
          <cell r="E2378" t="str">
            <v>#</v>
          </cell>
          <cell r="F2378" t="str">
            <v>Biznes analitik</v>
          </cell>
          <cell r="G2378" t="str">
            <v>A</v>
          </cell>
          <cell r="H2378">
            <v>46239</v>
          </cell>
        </row>
        <row r="2379">
          <cell r="B2379" t="str">
            <v>Həsənov Xəlil Elsevər</v>
          </cell>
          <cell r="C2379" t="str">
            <v>Ödəniş biznesinin Analitika və Aİ ekspert mərkəzi</v>
          </cell>
          <cell r="D2379" t="str">
            <v>Payment analytics chapter</v>
          </cell>
          <cell r="E2379" t="str">
            <v>#</v>
          </cell>
          <cell r="F2379" t="str">
            <v>Biznes analitik</v>
          </cell>
          <cell r="G2379" t="str">
            <v>A</v>
          </cell>
          <cell r="H2379">
            <v>46189</v>
          </cell>
          <cell r="I2379" t="str">
            <v>Bir Payment</v>
          </cell>
        </row>
        <row r="2380">
          <cell r="B2380" t="str">
            <v>Kazımova Əminə Nizami</v>
          </cell>
          <cell r="C2380" t="str">
            <v>Ödəniş biznesinin Analitika və Aİ ekspert mərkəzi</v>
          </cell>
          <cell r="D2380" t="str">
            <v>Payment analytics chapter</v>
          </cell>
          <cell r="E2380" t="str">
            <v>#</v>
          </cell>
          <cell r="F2380" t="str">
            <v>Biznes analitik</v>
          </cell>
          <cell r="G2380" t="str">
            <v>A</v>
          </cell>
          <cell r="H2380">
            <v>46189</v>
          </cell>
          <cell r="I2380" t="str">
            <v>Bir Payment</v>
          </cell>
        </row>
        <row r="2381">
          <cell r="B2381" t="str">
            <v>Həsənzadə Nigar Əkbər</v>
          </cell>
          <cell r="C2381" t="str">
            <v>Ödəniş biznesinin Analitika və Aİ ekspert mərkəzi</v>
          </cell>
          <cell r="D2381" t="str">
            <v>Payment analytics chapter</v>
          </cell>
          <cell r="E2381" t="str">
            <v>#</v>
          </cell>
          <cell r="F2381" t="str">
            <v>Biznes analitik</v>
          </cell>
          <cell r="G2381" t="str">
            <v>A</v>
          </cell>
          <cell r="H2381">
            <v>46192</v>
          </cell>
        </row>
        <row r="2382">
          <cell r="B2382" t="str">
            <v>Bədəlov Əhməd Şöhrət</v>
          </cell>
          <cell r="C2382" t="str">
            <v>Ödəniş biznesinin Analitika və Aİ ekspert mərkəzi</v>
          </cell>
          <cell r="D2382" t="str">
            <v>Payment analytics chapter</v>
          </cell>
          <cell r="E2382" t="str">
            <v>#</v>
          </cell>
          <cell r="F2382" t="str">
            <v>Biznes analitik</v>
          </cell>
          <cell r="G2382" t="str">
            <v>A</v>
          </cell>
          <cell r="H2382">
            <v>46189</v>
          </cell>
          <cell r="I2382" t="str">
            <v>Bir Payment</v>
          </cell>
        </row>
        <row r="2383">
          <cell r="B2383" t="str">
            <v>Dadaşova Ülviyyə Fikrət</v>
          </cell>
          <cell r="C2383" t="str">
            <v>Ödəniş biznesinin Analitika və Aİ ekspert mərkəzi</v>
          </cell>
          <cell r="D2383" t="str">
            <v>Payment analytics chapter</v>
          </cell>
          <cell r="E2383" t="str">
            <v>#</v>
          </cell>
          <cell r="F2383" t="str">
            <v>Biznes analitik</v>
          </cell>
          <cell r="G2383" t="str">
            <v>A</v>
          </cell>
          <cell r="H2383">
            <v>46181</v>
          </cell>
        </row>
        <row r="2384">
          <cell r="B2384" t="str">
            <v>Məmmədov Naxid Nadir</v>
          </cell>
          <cell r="C2384" t="str">
            <v>Ödəniş biznesinin Analitika və Aİ ekspert mərkəzi</v>
          </cell>
          <cell r="D2384" t="str">
            <v>Payment analytics chapter</v>
          </cell>
          <cell r="E2384" t="str">
            <v>#</v>
          </cell>
          <cell r="F2384" t="str">
            <v>Biznes analitik</v>
          </cell>
          <cell r="G2384" t="str">
            <v>A</v>
          </cell>
          <cell r="H2384">
            <v>46196</v>
          </cell>
        </row>
        <row r="2385">
          <cell r="B2385" t="str">
            <v>Hüseynova Firəngiz Rauf</v>
          </cell>
          <cell r="C2385" t="str">
            <v>Ödəniş biznesinin Analitika və Aİ ekspert mərkəzi</v>
          </cell>
          <cell r="D2385" t="str">
            <v>Payment analytics chapter</v>
          </cell>
          <cell r="E2385" t="str">
            <v>#</v>
          </cell>
          <cell r="F2385" t="str">
            <v>Biznes analitik</v>
          </cell>
          <cell r="G2385" t="str">
            <v>A</v>
          </cell>
          <cell r="H2385">
            <v>43685</v>
          </cell>
        </row>
        <row r="2386">
          <cell r="B2386" t="str">
            <v>Rəsullu Xatirə Habil</v>
          </cell>
          <cell r="C2386" t="str">
            <v>Fintech Analitika və Aİ ekspert mərkəzi</v>
          </cell>
          <cell r="D2386" t="str">
            <v>Analytics chapter</v>
          </cell>
          <cell r="E2386" t="str">
            <v>#</v>
          </cell>
          <cell r="F2386" t="str">
            <v>Biznes analitik</v>
          </cell>
          <cell r="G2386" t="str">
            <v>A</v>
          </cell>
          <cell r="H2386">
            <v>45784</v>
          </cell>
        </row>
        <row r="2387">
          <cell r="B2387" t="str">
            <v>KOSHMAN DMİTRY</v>
          </cell>
          <cell r="C2387" t="str">
            <v>Mühəndislik və texnoloji platformalar ekspert mərkəzi</v>
          </cell>
          <cell r="D2387" t="str">
            <v>Data və Aİ platformaları funksional sahəsi</v>
          </cell>
          <cell r="E2387" t="str">
            <v>#</v>
          </cell>
          <cell r="F2387" t="str">
            <v>Data elmi üzrə ekspert</v>
          </cell>
          <cell r="G2387" t="str">
            <v>A</v>
          </cell>
          <cell r="H2387">
            <v>45551</v>
          </cell>
        </row>
        <row r="2388">
          <cell r="B2388" t="str">
            <v>Qurbanov Elvin Muzahim</v>
          </cell>
          <cell r="C2388" t="str">
            <v>Fintech Analitika və Aİ ekspert mərkəzi</v>
          </cell>
          <cell r="D2388" t="str">
            <v>Analytics chapter</v>
          </cell>
          <cell r="E2388" t="str">
            <v>#</v>
          </cell>
          <cell r="F2388" t="str">
            <v>Biznes analitik</v>
          </cell>
          <cell r="G2388" t="str">
            <v>A</v>
          </cell>
          <cell r="H2388">
            <v>44068</v>
          </cell>
        </row>
        <row r="2389">
          <cell r="B2389" t="str">
            <v>Məlikova Əhədli Könül Faiq</v>
          </cell>
          <cell r="C2389" t="str">
            <v>Aİ governance ekspert mərkəzi</v>
          </cell>
          <cell r="D2389" t="str">
            <v>Ecosystem Analytics</v>
          </cell>
          <cell r="E2389" t="str">
            <v>#</v>
          </cell>
          <cell r="F2389" t="str">
            <v>Biznes analitik</v>
          </cell>
          <cell r="G2389" t="str">
            <v>SM</v>
          </cell>
          <cell r="H2389">
            <v>45266</v>
          </cell>
        </row>
        <row r="2390">
          <cell r="B2390" t="str">
            <v>Şahbazova Şəbnəm Balabəy</v>
          </cell>
          <cell r="C2390" t="str">
            <v>Aİ governance ekspert mərkəzi</v>
          </cell>
          <cell r="D2390" t="str">
            <v>Ecosystem Analytics</v>
          </cell>
          <cell r="E2390" t="str">
            <v>#</v>
          </cell>
          <cell r="F2390" t="str">
            <v>Biznes analitik (müvəqqəti)</v>
          </cell>
          <cell r="G2390" t="str">
            <v>A</v>
          </cell>
          <cell r="H2390">
            <v>46076</v>
          </cell>
        </row>
        <row r="2391">
          <cell r="B2391" t="str">
            <v>Vahubova Adilə Vidadi</v>
          </cell>
          <cell r="C2391" t="str">
            <v>Aİ governance ekspert mərkəzi</v>
          </cell>
          <cell r="D2391" t="str">
            <v>Ecosystem Analytics</v>
          </cell>
          <cell r="E2391" t="str">
            <v>#</v>
          </cell>
          <cell r="F2391" t="str">
            <v>Biznes analitik</v>
          </cell>
          <cell r="G2391" t="str">
            <v>A</v>
          </cell>
          <cell r="H2391">
            <v>46076</v>
          </cell>
        </row>
        <row r="2392">
          <cell r="B2392" t="str">
            <v>Namazov Orxan İlham</v>
          </cell>
          <cell r="C2392" t="str">
            <v>Aİ governance ekspert mərkəzi</v>
          </cell>
          <cell r="D2392" t="str">
            <v>#</v>
          </cell>
          <cell r="E2392" t="str">
            <v>#</v>
          </cell>
          <cell r="F2392" t="str">
            <v>Ekspert Mərkəzinin lideri</v>
          </cell>
          <cell r="G2392" t="str">
            <v>A</v>
          </cell>
          <cell r="H2392">
            <v>46258</v>
          </cell>
        </row>
        <row r="2393">
          <cell r="B2393" t="str">
            <v>Mehdizadə Mirvahid Rövşən</v>
          </cell>
          <cell r="C2393" t="str">
            <v>Ödəniş biznesinin Analitika və Aİ ekspert mərkəzi</v>
          </cell>
          <cell r="D2393" t="str">
            <v>Payment analytics chapter</v>
          </cell>
          <cell r="E2393" t="str">
            <v>#</v>
          </cell>
          <cell r="F2393" t="str">
            <v>Biznes analitik</v>
          </cell>
          <cell r="G2393" t="str">
            <v>A</v>
          </cell>
          <cell r="H2393">
            <v>46132</v>
          </cell>
        </row>
        <row r="2394">
          <cell r="B2394" t="str">
            <v>Kərimov Kamran Şahmar</v>
          </cell>
          <cell r="C2394" t="str">
            <v>Fintech Analitika və Aİ ekspert mərkəzi</v>
          </cell>
          <cell r="D2394" t="str">
            <v>Analytics chapter</v>
          </cell>
          <cell r="E2394" t="str">
            <v>#</v>
          </cell>
          <cell r="F2394" t="str">
            <v>Biznes analitik</v>
          </cell>
          <cell r="G2394" t="str">
            <v>A</v>
          </cell>
          <cell r="H2394">
            <v>45679</v>
          </cell>
        </row>
        <row r="2395">
          <cell r="B2395" t="str">
            <v>Vəlizadə Hüseyn İsmayıl</v>
          </cell>
          <cell r="C2395" t="str">
            <v>Ödəniş biznesinin Analitika və Aİ ekspert mərkəzi</v>
          </cell>
          <cell r="D2395" t="str">
            <v>Payment analytics chapter</v>
          </cell>
          <cell r="E2395" t="str">
            <v>#</v>
          </cell>
          <cell r="F2395" t="str">
            <v>Biznes analitik</v>
          </cell>
          <cell r="G2395" t="str">
            <v>A</v>
          </cell>
          <cell r="H2395">
            <v>45664</v>
          </cell>
        </row>
        <row r="2396">
          <cell r="B2396" t="str">
            <v>Həmidli Nərmin Arif</v>
          </cell>
          <cell r="C2396" t="str">
            <v>Ödəniş biznesinin Analitika və Aİ ekspert mərkəzi</v>
          </cell>
          <cell r="D2396" t="str">
            <v>Payment analytics chapter</v>
          </cell>
          <cell r="E2396" t="str">
            <v>#</v>
          </cell>
          <cell r="F2396" t="str">
            <v>Biznes analitik</v>
          </cell>
          <cell r="G2396" t="str">
            <v>A</v>
          </cell>
          <cell r="H2396">
            <v>45684</v>
          </cell>
        </row>
        <row r="2397">
          <cell r="B2397" t="str">
            <v>Səmədova Nuranə Hüseyn</v>
          </cell>
          <cell r="C2397" t="str">
            <v>Aİ governance ekspert mərkəzi</v>
          </cell>
          <cell r="D2397" t="str">
            <v>Ecosystem Analytics</v>
          </cell>
          <cell r="E2397" t="str">
            <v>#</v>
          </cell>
          <cell r="F2397" t="str">
            <v>Biznes analitik</v>
          </cell>
          <cell r="G2397" t="str">
            <v>SM</v>
          </cell>
          <cell r="H2397">
            <v>44888</v>
          </cell>
        </row>
        <row r="2398">
          <cell r="B2398" t="str">
            <v>Ələkbərova Solmaz Bulud</v>
          </cell>
          <cell r="C2398" t="str">
            <v>Aİ governance ekspert mərkəzi</v>
          </cell>
          <cell r="D2398" t="str">
            <v>Ecosystem Analytics</v>
          </cell>
          <cell r="E2398" t="str">
            <v>#</v>
          </cell>
          <cell r="F2398" t="str">
            <v>Biznes analitik (müvəqqəti)</v>
          </cell>
          <cell r="G2398" t="str">
            <v>A</v>
          </cell>
          <cell r="H2398">
            <v>46035</v>
          </cell>
        </row>
        <row r="2399">
          <cell r="B2399" t="str">
            <v>İsgəndərova Rəna Famil</v>
          </cell>
          <cell r="C2399" t="str">
            <v>Fintech Analitika və Aİ ekspert mərkəzi</v>
          </cell>
          <cell r="D2399" t="str">
            <v>Analytics chapter</v>
          </cell>
          <cell r="E2399" t="str">
            <v>#</v>
          </cell>
          <cell r="F2399" t="str">
            <v>Biznes analitik</v>
          </cell>
          <cell r="G2399" t="str">
            <v>A</v>
          </cell>
          <cell r="H2399">
            <v>45855</v>
          </cell>
        </row>
        <row r="2400">
          <cell r="B2400" t="str">
            <v>Əsgərzadə Sevda Mübariz</v>
          </cell>
          <cell r="C2400" t="str">
            <v>Fintech Analitika və Aİ ekspert mərkəzi</v>
          </cell>
          <cell r="D2400" t="str">
            <v>Analytics chapter</v>
          </cell>
          <cell r="E2400" t="str">
            <v>#</v>
          </cell>
          <cell r="F2400" t="str">
            <v>Biznes analitik</v>
          </cell>
          <cell r="G2400" t="str">
            <v>A</v>
          </cell>
          <cell r="H2400">
            <v>44410</v>
          </cell>
        </row>
        <row r="2401">
          <cell r="B2401" t="str">
            <v>Şükürlü Nərmin Əmiraslan</v>
          </cell>
          <cell r="C2401" t="str">
            <v>Fintech Analitika və Aİ ekspert mərkəzi</v>
          </cell>
          <cell r="D2401" t="str">
            <v>Analytics chapter</v>
          </cell>
          <cell r="E2401" t="str">
            <v>#</v>
          </cell>
          <cell r="F2401" t="str">
            <v>Biznes analitik</v>
          </cell>
          <cell r="G2401" t="str">
            <v>A</v>
          </cell>
          <cell r="H2401">
            <v>45827</v>
          </cell>
        </row>
        <row r="2402">
          <cell r="B2402" t="str">
            <v>Qənbərova Nurgün Şaiq</v>
          </cell>
          <cell r="C2402" t="str">
            <v>Fintech Analitika və Aİ ekspert mərkəzi</v>
          </cell>
          <cell r="D2402" t="str">
            <v>Analytics chapter</v>
          </cell>
          <cell r="E2402" t="str">
            <v>#</v>
          </cell>
          <cell r="F2402" t="str">
            <v>Biznes analitik</v>
          </cell>
          <cell r="G2402" t="str">
            <v>A</v>
          </cell>
          <cell r="H2402">
            <v>45800</v>
          </cell>
        </row>
        <row r="2403">
          <cell r="B2403" t="str">
            <v>Məmmədov Seyfəddin Elman</v>
          </cell>
          <cell r="C2403" t="str">
            <v>Fintech Analitika və Aİ ekspert mərkəzi</v>
          </cell>
          <cell r="D2403" t="str">
            <v>Analytics chapter</v>
          </cell>
          <cell r="E2403" t="str">
            <v>#</v>
          </cell>
          <cell r="F2403" t="str">
            <v>Biznes analitik</v>
          </cell>
          <cell r="G2403" t="str">
            <v>A</v>
          </cell>
          <cell r="H2403">
            <v>43024</v>
          </cell>
        </row>
        <row r="2404">
          <cell r="B2404" t="str">
            <v>Sərdarov Elçin İsrayıl</v>
          </cell>
          <cell r="C2404" t="str">
            <v>Fintech Analitika və Aİ ekspert mərkəzi</v>
          </cell>
          <cell r="D2404" t="str">
            <v>Analytics chapter</v>
          </cell>
          <cell r="E2404" t="str">
            <v>#</v>
          </cell>
          <cell r="F2404" t="str">
            <v>Funksional lider</v>
          </cell>
          <cell r="G2404" t="str">
            <v>A</v>
          </cell>
          <cell r="H2404">
            <v>44324</v>
          </cell>
        </row>
        <row r="2405">
          <cell r="B2405" t="str">
            <v>Kazımova Ayxanə Əkbər</v>
          </cell>
          <cell r="C2405" t="str">
            <v>Fintech Analitika və Aİ ekspert mərkəzi</v>
          </cell>
          <cell r="D2405" t="str">
            <v>Analytics chapter</v>
          </cell>
          <cell r="E2405" t="str">
            <v>#</v>
          </cell>
          <cell r="F2405" t="str">
            <v>Biznes analitik</v>
          </cell>
          <cell r="G2405" t="str">
            <v>A</v>
          </cell>
          <cell r="H2405">
            <v>45551</v>
          </cell>
        </row>
        <row r="2406">
          <cell r="B2406" t="str">
            <v>İsmayılova Səidə Fuad</v>
          </cell>
          <cell r="C2406" t="str">
            <v>Fintech Analitika və Aİ ekspert mərkəzi</v>
          </cell>
          <cell r="D2406" t="str">
            <v>Analytics chapter</v>
          </cell>
          <cell r="E2406" t="str">
            <v>#</v>
          </cell>
          <cell r="F2406" t="str">
            <v>Biznes analitik</v>
          </cell>
          <cell r="G2406" t="str">
            <v>A</v>
          </cell>
          <cell r="H2406">
            <v>44796</v>
          </cell>
        </row>
        <row r="2407">
          <cell r="B2407" t="str">
            <v>Qaracayev Tuncay Hacıməmməd</v>
          </cell>
          <cell r="C2407" t="str">
            <v>Fintech Analitika və Aİ ekspert mərkəzi</v>
          </cell>
          <cell r="D2407" t="str">
            <v>Analytics chapter</v>
          </cell>
          <cell r="E2407" t="str">
            <v>#</v>
          </cell>
          <cell r="F2407" t="str">
            <v>Biznes analitik</v>
          </cell>
          <cell r="G2407" t="str">
            <v>A</v>
          </cell>
          <cell r="H2407">
            <v>45882</v>
          </cell>
        </row>
        <row r="2408">
          <cell r="B2408" t="str">
            <v>Hacıyev Sənan Babək</v>
          </cell>
          <cell r="C2408" t="str">
            <v>Fintech Analitika və Aİ ekspert mərkəzi</v>
          </cell>
          <cell r="D2408" t="str">
            <v>Analytics chapter</v>
          </cell>
          <cell r="E2408" t="str">
            <v>#</v>
          </cell>
          <cell r="F2408" t="str">
            <v>Biznes analitik</v>
          </cell>
          <cell r="G2408" t="str">
            <v>A</v>
          </cell>
          <cell r="H2408">
            <v>46211</v>
          </cell>
        </row>
        <row r="2409">
          <cell r="B2409" t="str">
            <v>Muradova Nigar Ələkbər</v>
          </cell>
          <cell r="C2409" t="str">
            <v>Aİ governance ekspert mərkəzi</v>
          </cell>
          <cell r="D2409" t="str">
            <v>#</v>
          </cell>
          <cell r="E2409" t="str">
            <v>#</v>
          </cell>
          <cell r="F2409" t="str">
            <v>Funksional lider</v>
          </cell>
          <cell r="G2409" t="str">
            <v>A</v>
          </cell>
          <cell r="H2409">
            <v>45267</v>
          </cell>
        </row>
        <row r="2410">
          <cell r="B2410" t="str">
            <v>İsayev İsa Hafiz</v>
          </cell>
          <cell r="C2410" t="str">
            <v>Aİ governance ekspert mərkəzi</v>
          </cell>
          <cell r="D2410" t="str">
            <v>#</v>
          </cell>
          <cell r="E2410" t="str">
            <v>#</v>
          </cell>
          <cell r="F2410" t="str">
            <v>Biznes analitik</v>
          </cell>
          <cell r="G2410" t="str">
            <v>A</v>
          </cell>
          <cell r="H2410">
            <v>45695</v>
          </cell>
        </row>
        <row r="2411">
          <cell r="B2411" t="str">
            <v>Məmmədzadə Elnarə Vüqar</v>
          </cell>
          <cell r="C2411" t="str">
            <v>Aİ governance ekspert mərkəzi</v>
          </cell>
          <cell r="D2411" t="str">
            <v>#</v>
          </cell>
          <cell r="E2411" t="str">
            <v>#</v>
          </cell>
          <cell r="F2411" t="str">
            <v>Aİ governance üzrə baş mütəxəssis</v>
          </cell>
          <cell r="G2411" t="str">
            <v>A</v>
          </cell>
          <cell r="H2411">
            <v>46252</v>
          </cell>
          <cell r="I2411" t="str">
            <v>Future lab</v>
          </cell>
        </row>
        <row r="2412">
          <cell r="B2412" t="str">
            <v>Süleymanova Lalə Baxış</v>
          </cell>
          <cell r="C2412" t="str">
            <v>Aİ governance ekspert mərkəzi</v>
          </cell>
          <cell r="D2412" t="str">
            <v>Ecosystem Analytics</v>
          </cell>
          <cell r="E2412" t="str">
            <v>#</v>
          </cell>
          <cell r="F2412" t="str">
            <v>Biznes analitik</v>
          </cell>
          <cell r="G2412" t="str">
            <v>SM</v>
          </cell>
          <cell r="H2412">
            <v>44963</v>
          </cell>
        </row>
        <row r="2413">
          <cell r="B2413" t="str">
            <v>XXX Aygül Fəxrəddin</v>
          </cell>
          <cell r="C2413" t="str">
            <v>Aİ governance ekspert mərkəzi</v>
          </cell>
          <cell r="D2413" t="str">
            <v>Ecosystem Analytics</v>
          </cell>
          <cell r="E2413" t="str">
            <v>#</v>
          </cell>
          <cell r="F2413" t="str">
            <v>Biznes analitik (müvəqqəti)</v>
          </cell>
          <cell r="G2413" t="str">
            <v>A</v>
          </cell>
          <cell r="H2413">
            <v>45763</v>
          </cell>
        </row>
        <row r="2414">
          <cell r="B2414" t="str">
            <v>Əliyev Tofiq Araz</v>
          </cell>
          <cell r="C2414" t="str">
            <v>Fintech Analitika və Aİ ekspert mərkəzi</v>
          </cell>
          <cell r="D2414" t="str">
            <v>Analytics chapter</v>
          </cell>
          <cell r="E2414" t="str">
            <v>#</v>
          </cell>
          <cell r="F2414" t="str">
            <v>Biznes analitik</v>
          </cell>
          <cell r="G2414" t="str">
            <v>A</v>
          </cell>
          <cell r="H2414">
            <v>45101</v>
          </cell>
        </row>
        <row r="2415">
          <cell r="B2415" t="str">
            <v>Abbasov Nahid Rauf</v>
          </cell>
          <cell r="C2415" t="str">
            <v>Fintech Analitika və Aİ ekspert mərkəzi</v>
          </cell>
          <cell r="D2415" t="str">
            <v>Analytics chapter</v>
          </cell>
          <cell r="E2415" t="str">
            <v>#</v>
          </cell>
          <cell r="F2415" t="str">
            <v>Biznes analitik</v>
          </cell>
          <cell r="G2415" t="str">
            <v>A</v>
          </cell>
          <cell r="H2415">
            <v>45029</v>
          </cell>
        </row>
        <row r="2416">
          <cell r="B2416" t="str">
            <v>Məmmədov Toğrul Məhərrəm</v>
          </cell>
          <cell r="C2416" t="str">
            <v>Fintech Analitika və Aİ ekspert mərkəzi</v>
          </cell>
          <cell r="D2416" t="str">
            <v>Analytics chapter</v>
          </cell>
          <cell r="E2416" t="str">
            <v>#</v>
          </cell>
          <cell r="F2416" t="str">
            <v>Biznes analitik</v>
          </cell>
          <cell r="G2416" t="str">
            <v>A</v>
          </cell>
          <cell r="H2416">
            <v>44068</v>
          </cell>
        </row>
        <row r="2417">
          <cell r="B2417" t="str">
            <v>Hüseynzadə Elvin Rzaqulu</v>
          </cell>
          <cell r="C2417" t="str">
            <v>Fintech Analitika və Aİ ekspert mərkəzi</v>
          </cell>
          <cell r="D2417" t="str">
            <v>Analytics chapter</v>
          </cell>
          <cell r="E2417" t="str">
            <v>#</v>
          </cell>
          <cell r="F2417" t="str">
            <v>Biznes analitik</v>
          </cell>
          <cell r="G2417" t="str">
            <v>A</v>
          </cell>
          <cell r="H2417">
            <v>44609</v>
          </cell>
        </row>
        <row r="2418">
          <cell r="B2418" t="str">
            <v>Ramazanova Faina Faiq</v>
          </cell>
          <cell r="C2418" t="str">
            <v>Aİ governance ekspert mərkəzi</v>
          </cell>
          <cell r="D2418" t="str">
            <v>#</v>
          </cell>
          <cell r="E2418" t="str">
            <v>#</v>
          </cell>
          <cell r="F2418" t="str">
            <v>Biznes analitik</v>
          </cell>
          <cell r="G2418" t="str">
            <v>A</v>
          </cell>
          <cell r="H2418">
            <v>44120</v>
          </cell>
        </row>
        <row r="2419">
          <cell r="B2419" t="str">
            <v>Məmmədova Nigar Əhməd</v>
          </cell>
          <cell r="C2419" t="str">
            <v>Fintech Analitika və Aİ ekspert mərkəzi</v>
          </cell>
          <cell r="D2419" t="str">
            <v>Analytics chapter</v>
          </cell>
          <cell r="E2419" t="str">
            <v>#</v>
          </cell>
          <cell r="F2419" t="str">
            <v>Biznes analitik</v>
          </cell>
          <cell r="G2419" t="str">
            <v>A</v>
          </cell>
          <cell r="H2419">
            <v>43742</v>
          </cell>
        </row>
        <row r="2420">
          <cell r="B2420" t="str">
            <v>Xəlilov Kənan Murtuz</v>
          </cell>
          <cell r="C2420" t="str">
            <v>Fintech Analitika və Aİ ekspert mərkəzi</v>
          </cell>
          <cell r="D2420" t="str">
            <v>Analytics chapter</v>
          </cell>
          <cell r="E2420" t="str">
            <v>#</v>
          </cell>
          <cell r="F2420" t="str">
            <v>Funksional lider</v>
          </cell>
          <cell r="G2420" t="str">
            <v>A</v>
          </cell>
          <cell r="H2420">
            <v>44914</v>
          </cell>
        </row>
        <row r="2421">
          <cell r="B2421" t="str">
            <v>İbrahimli Nigar Əfqan</v>
          </cell>
          <cell r="C2421" t="str">
            <v>Fintech Analitika və Aİ ekspert mərkəzi</v>
          </cell>
          <cell r="D2421" t="str">
            <v>Analytics chapter</v>
          </cell>
          <cell r="E2421" t="str">
            <v>#</v>
          </cell>
          <cell r="F2421" t="str">
            <v>Biznes analitik</v>
          </cell>
          <cell r="G2421" t="str">
            <v>A</v>
          </cell>
          <cell r="H2421">
            <v>43566</v>
          </cell>
        </row>
        <row r="2422">
          <cell r="B2422" t="str">
            <v>Əhmədzadə Cavidan Əli</v>
          </cell>
          <cell r="C2422" t="str">
            <v>Fintech Analitika və Aİ ekspert mərkəzi</v>
          </cell>
          <cell r="D2422" t="str">
            <v>Analytics chapter</v>
          </cell>
          <cell r="E2422" t="str">
            <v>#</v>
          </cell>
          <cell r="F2422" t="str">
            <v>Biznes analitik</v>
          </cell>
          <cell r="G2422" t="str">
            <v>A</v>
          </cell>
          <cell r="H2422">
            <v>45874</v>
          </cell>
        </row>
        <row r="2423">
          <cell r="B2423" t="str">
            <v>Aşırov Maarif Yusif</v>
          </cell>
          <cell r="C2423" t="str">
            <v>Fintech Analitika və Aİ ekspert mərkəzi</v>
          </cell>
          <cell r="D2423" t="str">
            <v>Analytics chapter</v>
          </cell>
          <cell r="E2423" t="str">
            <v>#</v>
          </cell>
          <cell r="F2423" t="str">
            <v>Biznes analitik</v>
          </cell>
          <cell r="G2423" t="str">
            <v>A</v>
          </cell>
          <cell r="H2423">
            <v>45797</v>
          </cell>
        </row>
        <row r="2424">
          <cell r="B2424" t="str">
            <v>Muradov Əli Müşfiq</v>
          </cell>
          <cell r="C2424" t="str">
            <v>Fintech Analitika və Aİ ekspert mərkəzi</v>
          </cell>
          <cell r="D2424" t="str">
            <v>Analytics chapter</v>
          </cell>
          <cell r="E2424" t="str">
            <v>#</v>
          </cell>
          <cell r="F2424" t="str">
            <v>Biznes analitik</v>
          </cell>
          <cell r="G2424" t="str">
            <v>A</v>
          </cell>
          <cell r="H2424">
            <v>45947</v>
          </cell>
        </row>
        <row r="2425">
          <cell r="B2425" t="str">
            <v>Əfəndiyeva Arifə Arif</v>
          </cell>
          <cell r="C2425" t="str">
            <v>Analitika ekspert mərkəzi</v>
          </cell>
          <cell r="D2425" t="str">
            <v>Ecosystem BA and DS</v>
          </cell>
          <cell r="E2425" t="str">
            <v>#</v>
          </cell>
          <cell r="F2425" t="str">
            <v>Biznes analitik</v>
          </cell>
          <cell r="G2425" t="str">
            <v>A</v>
          </cell>
          <cell r="H2425">
            <v>45785</v>
          </cell>
        </row>
        <row r="2426">
          <cell r="B2426" t="str">
            <v>Səmədov Namiq Asim</v>
          </cell>
          <cell r="C2426" t="str">
            <v>Fintech Analitika və Aİ ekspert mərkəzi</v>
          </cell>
          <cell r="D2426" t="str">
            <v>Analytics chapter</v>
          </cell>
          <cell r="E2426" t="str">
            <v>#</v>
          </cell>
          <cell r="F2426" t="str">
            <v>Biznes analitik</v>
          </cell>
          <cell r="G2426" t="str">
            <v>A</v>
          </cell>
          <cell r="H2426">
            <v>45811</v>
          </cell>
        </row>
        <row r="2427">
          <cell r="B2427" t="str">
            <v>Məhəmmədli Aqil Ramazan</v>
          </cell>
          <cell r="C2427" t="str">
            <v>Fintech Analitika və Aİ ekspert mərkəzi</v>
          </cell>
          <cell r="D2427" t="str">
            <v>Analytics chapter</v>
          </cell>
          <cell r="E2427" t="str">
            <v>#</v>
          </cell>
          <cell r="F2427" t="str">
            <v>Funksional lider</v>
          </cell>
          <cell r="G2427" t="str">
            <v>A</v>
          </cell>
          <cell r="H2427">
            <v>44075</v>
          </cell>
        </row>
        <row r="2428">
          <cell r="B2428" t="str">
            <v>Zeynalov Elvin Müşfiq</v>
          </cell>
          <cell r="C2428" t="str">
            <v>Fintech Analitika və Aİ ekspert mərkəzi</v>
          </cell>
          <cell r="D2428" t="str">
            <v>Analytics chapter</v>
          </cell>
          <cell r="E2428" t="str">
            <v>#</v>
          </cell>
          <cell r="F2428" t="str">
            <v>Biznes analitik</v>
          </cell>
          <cell r="G2428" t="str">
            <v>A</v>
          </cell>
          <cell r="H2428">
            <v>45446</v>
          </cell>
        </row>
        <row r="2429">
          <cell r="B2429" t="str">
            <v>Adışova Gülşən Nail</v>
          </cell>
          <cell r="C2429" t="str">
            <v>Fintech Analitika və Aİ ekspert mərkəzi</v>
          </cell>
          <cell r="D2429" t="str">
            <v>Analytics chapter</v>
          </cell>
          <cell r="E2429" t="str">
            <v>#</v>
          </cell>
          <cell r="F2429" t="str">
            <v>Biznes analitik</v>
          </cell>
          <cell r="G2429" t="str">
            <v>A</v>
          </cell>
          <cell r="H2429">
            <v>45812</v>
          </cell>
        </row>
        <row r="2430">
          <cell r="B2430" t="str">
            <v>Mirzəyeva Elmira Yaqub</v>
          </cell>
          <cell r="C2430" t="str">
            <v>Fintech Analitika və Aİ ekspert mərkəzi</v>
          </cell>
          <cell r="D2430" t="str">
            <v>Analytics chapter</v>
          </cell>
          <cell r="E2430" t="str">
            <v>#</v>
          </cell>
          <cell r="F2430" t="str">
            <v>Biznes analitik</v>
          </cell>
          <cell r="G2430" t="str">
            <v>A</v>
          </cell>
          <cell r="H2430">
            <v>44214</v>
          </cell>
        </row>
        <row r="2431">
          <cell r="B2431" t="str">
            <v>Asayeva Gülxanım Yaşar</v>
          </cell>
          <cell r="C2431" t="str">
            <v>Fintech Analitika və Aİ ekspert mərkəzi</v>
          </cell>
          <cell r="D2431" t="str">
            <v>Analytics chapter</v>
          </cell>
          <cell r="E2431" t="str">
            <v>#</v>
          </cell>
          <cell r="F2431" t="str">
            <v>Biznes analitik</v>
          </cell>
          <cell r="G2431" t="str">
            <v>A</v>
          </cell>
          <cell r="H2431">
            <v>44762</v>
          </cell>
        </row>
        <row r="2432">
          <cell r="B2432" t="str">
            <v>Məmmədli Türkan Elşən</v>
          </cell>
          <cell r="C2432" t="str">
            <v>Fintech Analitika və Aİ ekspert mərkəzi</v>
          </cell>
          <cell r="D2432" t="str">
            <v>Analytics chapter</v>
          </cell>
          <cell r="E2432" t="str">
            <v>#</v>
          </cell>
          <cell r="F2432" t="str">
            <v>Biznes analitik</v>
          </cell>
          <cell r="G2432" t="str">
            <v>A</v>
          </cell>
          <cell r="H2432">
            <v>45247</v>
          </cell>
        </row>
        <row r="2433">
          <cell r="B2433" t="str">
            <v>Mahmudova Nərmin Şıxəli</v>
          </cell>
          <cell r="C2433" t="str">
            <v>Fintech Analitika və Aİ ekspert mərkəzi</v>
          </cell>
          <cell r="D2433" t="str">
            <v>Analytics chapter</v>
          </cell>
          <cell r="E2433" t="str">
            <v>#</v>
          </cell>
          <cell r="F2433" t="str">
            <v>Biznes analitik</v>
          </cell>
          <cell r="G2433" t="str">
            <v>A</v>
          </cell>
          <cell r="H2433">
            <v>45397</v>
          </cell>
        </row>
        <row r="2434">
          <cell r="B2434" t="str">
            <v>Həsənov Fizuli Vidadi</v>
          </cell>
          <cell r="C2434" t="str">
            <v>Ödəniş biznesinin Analitika və Aİ ekspert mərkəzi</v>
          </cell>
          <cell r="D2434" t="str">
            <v>Payment analytics chapter</v>
          </cell>
          <cell r="E2434" t="str">
            <v>#</v>
          </cell>
          <cell r="F2434" t="str">
            <v>Funksional lider</v>
          </cell>
          <cell r="G2434" t="str">
            <v>A</v>
          </cell>
          <cell r="H2434">
            <v>44532</v>
          </cell>
        </row>
        <row r="2435">
          <cell r="B2435" t="str">
            <v>Ələkbərli Rüstəm Şahmalı</v>
          </cell>
          <cell r="C2435" t="str">
            <v>Ödəniş biznesinin Analitika və Aİ ekspert mərkəzi</v>
          </cell>
          <cell r="D2435" t="str">
            <v>Payment analytics chapter</v>
          </cell>
          <cell r="E2435" t="str">
            <v>#</v>
          </cell>
          <cell r="F2435" t="str">
            <v>Biznes analitik</v>
          </cell>
          <cell r="G2435" t="str">
            <v>A</v>
          </cell>
          <cell r="H2435">
            <v>42068</v>
          </cell>
        </row>
        <row r="2436">
          <cell r="B2436" t="str">
            <v>Zeynalov Nicat İlqar</v>
          </cell>
          <cell r="C2436" t="str">
            <v>Fintech Analitika və Aİ ekspert mərkəzi</v>
          </cell>
          <cell r="D2436" t="str">
            <v>Analytics chapter</v>
          </cell>
          <cell r="E2436" t="str">
            <v>#</v>
          </cell>
          <cell r="F2436" t="str">
            <v>Biznes analitik</v>
          </cell>
          <cell r="G2436" t="str">
            <v>A</v>
          </cell>
          <cell r="H2436">
            <v>45490</v>
          </cell>
        </row>
        <row r="2437">
          <cell r="B2437" t="str">
            <v>Əliyev Hüseyn Məqsud</v>
          </cell>
          <cell r="C2437" t="str">
            <v>Fintech Analitika və Aİ ekspert mərkəzi</v>
          </cell>
          <cell r="D2437" t="str">
            <v>Analytics chapter</v>
          </cell>
          <cell r="E2437" t="str">
            <v>#</v>
          </cell>
          <cell r="F2437" t="str">
            <v>Biznes analitik</v>
          </cell>
          <cell r="G2437" t="str">
            <v>A</v>
          </cell>
          <cell r="H2437">
            <v>46143</v>
          </cell>
        </row>
        <row r="2438">
          <cell r="B2438" t="str">
            <v>Babayev Elçin İlqar</v>
          </cell>
          <cell r="C2438" t="str">
            <v>Fintech Analitika və Aİ ekspert mərkəzi</v>
          </cell>
          <cell r="D2438" t="str">
            <v>Analytics chapter</v>
          </cell>
          <cell r="E2438" t="str">
            <v>#</v>
          </cell>
          <cell r="F2438" t="str">
            <v>Biznes analitik</v>
          </cell>
          <cell r="G2438" t="str">
            <v>A</v>
          </cell>
          <cell r="H2438">
            <v>45580</v>
          </cell>
        </row>
        <row r="2439">
          <cell r="B2439" t="str">
            <v>Dəmirova Aysel Şakir</v>
          </cell>
          <cell r="C2439" t="str">
            <v>Ödəniş biznesinin Analitika və Aİ ekspert mərkəzi</v>
          </cell>
          <cell r="D2439" t="str">
            <v>Payment analytics chapter</v>
          </cell>
          <cell r="E2439" t="str">
            <v>#</v>
          </cell>
          <cell r="F2439" t="str">
            <v>Funksional lider</v>
          </cell>
          <cell r="G2439" t="str">
            <v>HX</v>
          </cell>
          <cell r="H2439">
            <v>42503</v>
          </cell>
        </row>
        <row r="2440">
          <cell r="B2440" t="str">
            <v>Əlizadə Malik Məqsəd</v>
          </cell>
          <cell r="C2440" t="str">
            <v>Ödəniş biznesinin Analitika və Aİ ekspert mərkəzi</v>
          </cell>
          <cell r="D2440" t="str">
            <v>Payment analytics chapter</v>
          </cell>
          <cell r="E2440" t="str">
            <v>#</v>
          </cell>
          <cell r="F2440" t="str">
            <v>Biznes analitik</v>
          </cell>
          <cell r="G2440" t="str">
            <v>A</v>
          </cell>
          <cell r="H2440">
            <v>46078</v>
          </cell>
        </row>
        <row r="2441">
          <cell r="B2441" t="str">
            <v>Bağırova Ceyran Natiq</v>
          </cell>
          <cell r="C2441" t="str">
            <v>Ödəniş biznesinin Analitika və Aİ ekspert mərkəzi</v>
          </cell>
          <cell r="D2441" t="str">
            <v>Payment analytics chapter</v>
          </cell>
          <cell r="E2441" t="str">
            <v>#</v>
          </cell>
          <cell r="F2441" t="str">
            <v>Biznes analitik</v>
          </cell>
          <cell r="G2441" t="str">
            <v>A</v>
          </cell>
          <cell r="H2441">
            <v>45875</v>
          </cell>
        </row>
        <row r="2442">
          <cell r="B2442" t="str">
            <v>Zeynal Bayramova Aysel Mahir</v>
          </cell>
          <cell r="C2442" t="str">
            <v>Aİ governance ekspert mərkəzi</v>
          </cell>
          <cell r="D2442" t="str">
            <v>#</v>
          </cell>
          <cell r="E2442" t="str">
            <v>#</v>
          </cell>
          <cell r="F2442" t="str">
            <v>Biznes analitik</v>
          </cell>
          <cell r="G2442" t="str">
            <v>A</v>
          </cell>
          <cell r="H2442">
            <v>43838</v>
          </cell>
        </row>
        <row r="2443">
          <cell r="B2443" t="str">
            <v>Zakirov Nicat Azər</v>
          </cell>
          <cell r="C2443" t="str">
            <v>Ödəniş biznesinin Analitika və Aİ ekspert mərkəzi</v>
          </cell>
          <cell r="D2443" t="str">
            <v>Payment analytics chapter</v>
          </cell>
          <cell r="E2443" t="str">
            <v>#</v>
          </cell>
          <cell r="F2443" t="str">
            <v>Biznes analitik</v>
          </cell>
          <cell r="G2443" t="str">
            <v>A</v>
          </cell>
          <cell r="H2443">
            <v>45874</v>
          </cell>
        </row>
        <row r="2444">
          <cell r="B2444" t="str">
            <v>İsmayılzadə Ucar Surxay</v>
          </cell>
          <cell r="C2444" t="str">
            <v>Ödəniş biznesinin Analitika və Aİ ekspert mərkəzi</v>
          </cell>
          <cell r="D2444" t="str">
            <v>Payment analytics chapter</v>
          </cell>
          <cell r="E2444" t="str">
            <v>#</v>
          </cell>
          <cell r="F2444" t="str">
            <v>Biznes analitik</v>
          </cell>
          <cell r="G2444" t="str">
            <v>A</v>
          </cell>
          <cell r="H2444">
            <v>45875</v>
          </cell>
        </row>
        <row r="2445">
          <cell r="B2445" t="str">
            <v>Hüseynova Xumar Natiq</v>
          </cell>
          <cell r="C2445" t="str">
            <v>Ödəniş biznesinin Analitika və Aİ ekspert mərkəzi</v>
          </cell>
          <cell r="D2445" t="str">
            <v>Payment analytics chapter</v>
          </cell>
          <cell r="E2445" t="str">
            <v>#</v>
          </cell>
          <cell r="F2445" t="str">
            <v>Biznes analitik</v>
          </cell>
          <cell r="G2445" t="str">
            <v>A</v>
          </cell>
          <cell r="H2445">
            <v>45490</v>
          </cell>
        </row>
        <row r="2446">
          <cell r="B2446" t="str">
            <v>Mehdiyeva Samirə Osman</v>
          </cell>
          <cell r="C2446" t="str">
            <v>Ödəniş biznesinin Analitika və Aİ ekspert mərkəzi</v>
          </cell>
          <cell r="D2446" t="str">
            <v>Payment analytics chapter</v>
          </cell>
          <cell r="E2446" t="str">
            <v>#</v>
          </cell>
          <cell r="F2446" t="str">
            <v>Biznes analitik</v>
          </cell>
          <cell r="G2446" t="str">
            <v>A</v>
          </cell>
          <cell r="H2446">
            <v>45391</v>
          </cell>
        </row>
        <row r="2447">
          <cell r="B2447" t="str">
            <v>Nəbiyeva Nərmin Nail</v>
          </cell>
          <cell r="C2447" t="str">
            <v>Fintech Analitika və Aİ ekspert mərkəzi</v>
          </cell>
          <cell r="D2447" t="str">
            <v>Analytics chapter</v>
          </cell>
          <cell r="E2447" t="str">
            <v>#</v>
          </cell>
          <cell r="F2447" t="str">
            <v>Biznes analitik</v>
          </cell>
          <cell r="G2447" t="str">
            <v>SM</v>
          </cell>
          <cell r="H2447">
            <v>44743</v>
          </cell>
        </row>
        <row r="2448">
          <cell r="B2448" t="str">
            <v>Quluzadə Əkbər Camal</v>
          </cell>
          <cell r="C2448" t="str">
            <v>Fintech Analitika və Aİ ekspert mərkəzi</v>
          </cell>
          <cell r="D2448" t="str">
            <v>Analytics chapter</v>
          </cell>
          <cell r="E2448" t="str">
            <v>#</v>
          </cell>
          <cell r="F2448" t="str">
            <v>Biznes analitik (müvəqqəti)</v>
          </cell>
          <cell r="G2448" t="str">
            <v>A</v>
          </cell>
          <cell r="H2448">
            <v>46252</v>
          </cell>
        </row>
        <row r="2449">
          <cell r="B2449" t="str">
            <v>Əskərova Nigar Malikovna</v>
          </cell>
          <cell r="C2449" t="str">
            <v>Fintech Analitika və Aİ ekspert mərkəzi</v>
          </cell>
          <cell r="D2449" t="str">
            <v>Analytics chapter</v>
          </cell>
          <cell r="E2449" t="str">
            <v>#</v>
          </cell>
          <cell r="F2449" t="str">
            <v>Biznes analitik</v>
          </cell>
          <cell r="G2449" t="str">
            <v>A</v>
          </cell>
          <cell r="H2449">
            <v>45896</v>
          </cell>
        </row>
        <row r="2450">
          <cell r="B2450" t="str">
            <v>Kərimov Fərid Səmid</v>
          </cell>
          <cell r="C2450" t="str">
            <v>Fintech Analitika və Aİ ekspert mərkəzi</v>
          </cell>
          <cell r="D2450" t="str">
            <v>Analytics chapter</v>
          </cell>
          <cell r="E2450" t="str">
            <v>#</v>
          </cell>
          <cell r="F2450" t="str">
            <v>Funksional lider</v>
          </cell>
          <cell r="G2450" t="str">
            <v>A</v>
          </cell>
          <cell r="H2450">
            <v>44607</v>
          </cell>
        </row>
        <row r="2451">
          <cell r="B2451" t="str">
            <v>Əliyeva Nigarxanım Ələkbər</v>
          </cell>
          <cell r="C2451" t="str">
            <v>Fintech Analitika və Aİ ekspert mərkəzi</v>
          </cell>
          <cell r="D2451" t="str">
            <v>Analytics chapter</v>
          </cell>
          <cell r="E2451" t="str">
            <v>#</v>
          </cell>
          <cell r="F2451" t="str">
            <v>Biznes analitik</v>
          </cell>
          <cell r="G2451" t="str">
            <v>A</v>
          </cell>
          <cell r="H2451">
            <v>45569</v>
          </cell>
        </row>
        <row r="2452">
          <cell r="B2452" t="str">
            <v>Əliyeva Aslanə Əmiraslan</v>
          </cell>
          <cell r="C2452" t="str">
            <v>Fintech Analitika və Aİ ekspert mərkəzi</v>
          </cell>
          <cell r="D2452" t="str">
            <v>Analytics chapter</v>
          </cell>
          <cell r="E2452" t="str">
            <v>#</v>
          </cell>
          <cell r="F2452" t="str">
            <v>Biznes analitik</v>
          </cell>
          <cell r="G2452" t="str">
            <v>A</v>
          </cell>
          <cell r="H2452">
            <v>45933</v>
          </cell>
        </row>
        <row r="2453">
          <cell r="B2453" t="str">
            <v>Sahibli Nihad İdrak</v>
          </cell>
          <cell r="C2453" t="str">
            <v>Fintech Analitika və Aİ ekspert mərkəzi</v>
          </cell>
          <cell r="D2453" t="str">
            <v>Analytics chapter</v>
          </cell>
          <cell r="E2453" t="str">
            <v>#</v>
          </cell>
          <cell r="F2453" t="str">
            <v>Biznes analitik</v>
          </cell>
          <cell r="G2453" t="str">
            <v>A</v>
          </cell>
          <cell r="H2453">
            <v>44812</v>
          </cell>
        </row>
        <row r="2454">
          <cell r="B2454" t="str">
            <v>Məmmədəliyeva Tahirə Elxan</v>
          </cell>
          <cell r="C2454" t="str">
            <v>Fintech Analitika və Aİ ekspert mərkəzi</v>
          </cell>
          <cell r="D2454" t="str">
            <v>Analytics chapter</v>
          </cell>
          <cell r="E2454" t="str">
            <v>#</v>
          </cell>
          <cell r="F2454" t="str">
            <v>Biznes analitik</v>
          </cell>
          <cell r="G2454" t="str">
            <v>A</v>
          </cell>
          <cell r="H2454">
            <v>44740</v>
          </cell>
        </row>
        <row r="2455">
          <cell r="B2455" t="str">
            <v>Həmidova Aydan Elxan</v>
          </cell>
          <cell r="C2455" t="str">
            <v>Fintech Analitika və Aİ ekspert mərkəzi</v>
          </cell>
          <cell r="D2455" t="str">
            <v>Analytics chapter</v>
          </cell>
          <cell r="E2455" t="str">
            <v>#</v>
          </cell>
          <cell r="F2455" t="str">
            <v>Biznes analitik</v>
          </cell>
          <cell r="G2455" t="str">
            <v>A</v>
          </cell>
          <cell r="H2455">
            <v>43242</v>
          </cell>
        </row>
        <row r="2456">
          <cell r="B2456" t="str">
            <v>Əliyeva Aygün Nəbi</v>
          </cell>
          <cell r="C2456" t="str">
            <v>Fintech Analitika və Aİ ekspert mərkəzi</v>
          </cell>
          <cell r="D2456" t="str">
            <v>Analytics chapter</v>
          </cell>
          <cell r="E2456" t="str">
            <v>#</v>
          </cell>
          <cell r="F2456" t="str">
            <v>Biznes analitik</v>
          </cell>
          <cell r="G2456" t="str">
            <v>A</v>
          </cell>
          <cell r="H2456">
            <v>44126</v>
          </cell>
        </row>
        <row r="2457">
          <cell r="B2457" t="str">
            <v>Nəbiyeva Nigar Namiq</v>
          </cell>
          <cell r="C2457" t="str">
            <v>Fintech Analitika və Aİ ekspert mərkəzi</v>
          </cell>
          <cell r="D2457" t="str">
            <v>Analytics chapter</v>
          </cell>
          <cell r="E2457" t="str">
            <v>#</v>
          </cell>
          <cell r="F2457" t="str">
            <v>Biznes analitik</v>
          </cell>
          <cell r="G2457" t="str">
            <v>A</v>
          </cell>
          <cell r="H2457">
            <v>45860</v>
          </cell>
        </row>
        <row r="2458">
          <cell r="B2458" t="str">
            <v>Abbaslı Təbrik Rafail</v>
          </cell>
          <cell r="C2458" t="str">
            <v>Fintech Analitika və Aİ ekspert mərkəzi</v>
          </cell>
          <cell r="D2458" t="str">
            <v>Analytics chapter</v>
          </cell>
          <cell r="E2458" t="str">
            <v>#</v>
          </cell>
          <cell r="F2458" t="str">
            <v>Biznes analitik</v>
          </cell>
          <cell r="G2458" t="str">
            <v>A</v>
          </cell>
          <cell r="H2458">
            <v>45860</v>
          </cell>
        </row>
        <row r="2459">
          <cell r="B2459" t="str">
            <v>Yusifov Rəşad Elman</v>
          </cell>
          <cell r="C2459" t="str">
            <v>Fintech Analitika və Aİ ekspert mərkəzi</v>
          </cell>
          <cell r="D2459" t="str">
            <v>Analytics chapter</v>
          </cell>
          <cell r="E2459" t="str">
            <v>#</v>
          </cell>
          <cell r="F2459" t="str">
            <v>Biznes analitik</v>
          </cell>
          <cell r="G2459" t="str">
            <v>A</v>
          </cell>
          <cell r="H2459">
            <v>44743</v>
          </cell>
        </row>
        <row r="2460">
          <cell r="B2460" t="str">
            <v>Əliyev Kənan Asif</v>
          </cell>
          <cell r="C2460" t="str">
            <v>Fintech Analitika və Aİ ekspert mərkəzi</v>
          </cell>
          <cell r="D2460" t="str">
            <v>Analytics chapter</v>
          </cell>
          <cell r="E2460" t="str">
            <v>#</v>
          </cell>
          <cell r="F2460" t="str">
            <v>Biznes analitik</v>
          </cell>
          <cell r="G2460" t="str">
            <v>A</v>
          </cell>
          <cell r="H2460">
            <v>45733</v>
          </cell>
        </row>
        <row r="2461">
          <cell r="B2461" t="str">
            <v>Babayeva Afaq Yusif</v>
          </cell>
          <cell r="C2461" t="str">
            <v>Fintech Analitika və Aİ ekspert mərkəzi</v>
          </cell>
          <cell r="D2461" t="str">
            <v>Analytics chapter</v>
          </cell>
          <cell r="E2461" t="str">
            <v>#</v>
          </cell>
          <cell r="F2461" t="str">
            <v>Biznes analitik</v>
          </cell>
          <cell r="G2461" t="str">
            <v>A</v>
          </cell>
          <cell r="H2461">
            <v>43572</v>
          </cell>
        </row>
        <row r="2462">
          <cell r="B2462" t="str">
            <v>Həsənli Araz Rəfail</v>
          </cell>
          <cell r="C2462" t="str">
            <v>Fintech Analitika və Aİ ekspert mərkəzi</v>
          </cell>
          <cell r="D2462" t="str">
            <v>Analytics chapter</v>
          </cell>
          <cell r="E2462" t="str">
            <v>#</v>
          </cell>
          <cell r="F2462" t="str">
            <v>Biznes analitik</v>
          </cell>
          <cell r="G2462" t="str">
            <v>A</v>
          </cell>
          <cell r="H2462">
            <v>45161</v>
          </cell>
        </row>
        <row r="2463">
          <cell r="B2463" t="str">
            <v>Fərzəliyev Cavid Məzahir</v>
          </cell>
          <cell r="C2463" t="str">
            <v>Fintech Analitika və Aİ ekspert mərkəzi</v>
          </cell>
          <cell r="D2463" t="str">
            <v>Analytics chapter</v>
          </cell>
          <cell r="E2463" t="str">
            <v>#</v>
          </cell>
          <cell r="F2463" t="str">
            <v>Biznes analitik</v>
          </cell>
          <cell r="G2463" t="str">
            <v>A</v>
          </cell>
          <cell r="H2463">
            <v>45281</v>
          </cell>
        </row>
        <row r="2464">
          <cell r="B2464" t="str">
            <v>Babazadə Lamiyə İsrafil</v>
          </cell>
          <cell r="C2464" t="str">
            <v>Ödəniş biznesinin Analitika və Aİ ekspert mərkəzi</v>
          </cell>
          <cell r="D2464" t="str">
            <v>Payment analytics chapter</v>
          </cell>
          <cell r="E2464" t="str">
            <v>#</v>
          </cell>
          <cell r="F2464" t="str">
            <v>Biznes analitik</v>
          </cell>
          <cell r="G2464" t="str">
            <v>A</v>
          </cell>
          <cell r="H2464">
            <v>44427</v>
          </cell>
        </row>
        <row r="2465">
          <cell r="B2465" t="str">
            <v>Əlizadə Sərvi İsmayıl</v>
          </cell>
          <cell r="C2465" t="str">
            <v>Fintech Analitika və Aİ ekspert mərkəzi</v>
          </cell>
          <cell r="D2465" t="str">
            <v>Analytics chapter</v>
          </cell>
          <cell r="E2465" t="str">
            <v>#</v>
          </cell>
          <cell r="F2465" t="str">
            <v>Biznes analitik</v>
          </cell>
          <cell r="G2465" t="str">
            <v>A</v>
          </cell>
          <cell r="H2465">
            <v>44442</v>
          </cell>
        </row>
        <row r="2466">
          <cell r="B2466" t="str">
            <v>Qurbanov Toğrul Rasim</v>
          </cell>
          <cell r="C2466" t="str">
            <v>Fintech Analitika və Aİ ekspert mərkəzi</v>
          </cell>
          <cell r="D2466" t="str">
            <v>Analytics chapter</v>
          </cell>
          <cell r="E2466" t="str">
            <v>#</v>
          </cell>
          <cell r="F2466" t="str">
            <v>Funksional lider</v>
          </cell>
          <cell r="G2466" t="str">
            <v>A</v>
          </cell>
          <cell r="H2466">
            <v>44320</v>
          </cell>
        </row>
        <row r="2467">
          <cell r="B2467" t="str">
            <v>Qədirov Çingiz İsaq</v>
          </cell>
          <cell r="C2467" t="str">
            <v>Fintech Analitika və Aİ ekspert mərkəzi</v>
          </cell>
          <cell r="D2467" t="str">
            <v>#</v>
          </cell>
          <cell r="E2467" t="str">
            <v>#</v>
          </cell>
          <cell r="F2467" t="str">
            <v>Ekspert funksional lider</v>
          </cell>
          <cell r="G2467" t="str">
            <v>A</v>
          </cell>
          <cell r="H2467">
            <v>42900</v>
          </cell>
        </row>
        <row r="2468">
          <cell r="B2468" t="str">
            <v>Əhmədova Sara İlham</v>
          </cell>
          <cell r="C2468" t="str">
            <v>Fintech Analitika və Aİ ekspert mərkəzi</v>
          </cell>
          <cell r="D2468" t="str">
            <v>Analytics chapter</v>
          </cell>
          <cell r="E2468" t="str">
            <v>#</v>
          </cell>
          <cell r="F2468" t="str">
            <v>Biznes analitik</v>
          </cell>
          <cell r="G2468" t="str">
            <v>A</v>
          </cell>
          <cell r="H2468">
            <v>45537</v>
          </cell>
        </row>
        <row r="2469">
          <cell r="B2469" t="str">
            <v>Hüseynov Rəsul Vilayət</v>
          </cell>
          <cell r="C2469" t="str">
            <v>Fintech Analitika və Aİ ekspert mərkəzi</v>
          </cell>
          <cell r="D2469" t="str">
            <v>Analytics chapter</v>
          </cell>
          <cell r="E2469" t="str">
            <v>#</v>
          </cell>
          <cell r="F2469" t="str">
            <v>Biznes analitik</v>
          </cell>
          <cell r="G2469" t="str">
            <v>A</v>
          </cell>
          <cell r="H2469">
            <v>45771</v>
          </cell>
        </row>
        <row r="2470">
          <cell r="B2470" t="str">
            <v>Məmmədova Röya Pənah</v>
          </cell>
          <cell r="C2470" t="str">
            <v>Fintech Analitika və Aİ ekspert mərkəzi</v>
          </cell>
          <cell r="D2470" t="str">
            <v>Analytics chapter</v>
          </cell>
          <cell r="E2470" t="str">
            <v>#</v>
          </cell>
          <cell r="F2470" t="str">
            <v>Biznes analitik</v>
          </cell>
          <cell r="G2470" t="str">
            <v>A</v>
          </cell>
          <cell r="H2470">
            <v>45544</v>
          </cell>
        </row>
        <row r="2471">
          <cell r="B2471" t="str">
            <v>Qurbanlı Nəzrin Rəşad</v>
          </cell>
          <cell r="C2471" t="str">
            <v>Aİ governance ekspert mərkəzi</v>
          </cell>
          <cell r="D2471" t="str">
            <v>#</v>
          </cell>
          <cell r="E2471" t="str">
            <v>#</v>
          </cell>
          <cell r="F2471" t="str">
            <v>Biznes analitik</v>
          </cell>
          <cell r="G2471" t="str">
            <v>A</v>
          </cell>
          <cell r="H2471">
            <v>45387</v>
          </cell>
        </row>
        <row r="2472">
          <cell r="B2472" t="str">
            <v>Cəlilli Aysel Yusif</v>
          </cell>
          <cell r="C2472" t="str">
            <v>Fintech Analitika və Aİ ekspert mərkəzi</v>
          </cell>
          <cell r="D2472" t="str">
            <v>Analytics chapter</v>
          </cell>
          <cell r="E2472" t="str">
            <v>#</v>
          </cell>
          <cell r="F2472" t="str">
            <v>Funksional lider</v>
          </cell>
          <cell r="G2472" t="str">
            <v>A</v>
          </cell>
          <cell r="H2472">
            <v>42471</v>
          </cell>
        </row>
        <row r="2473">
          <cell r="B2473" t="str">
            <v>Şərifi Məmmədhüseyn Abbas</v>
          </cell>
          <cell r="C2473" t="str">
            <v>Fintech Analitika və Aİ ekspert mərkəzi</v>
          </cell>
          <cell r="D2473" t="str">
            <v>Analytics chapter</v>
          </cell>
          <cell r="E2473" t="str">
            <v>#</v>
          </cell>
          <cell r="F2473" t="str">
            <v>Biznes analitik</v>
          </cell>
          <cell r="G2473" t="str">
            <v>A</v>
          </cell>
          <cell r="H2473">
            <v>44580</v>
          </cell>
        </row>
        <row r="2474">
          <cell r="B2474" t="str">
            <v>İsmayılova Aynur Rafiq</v>
          </cell>
          <cell r="C2474" t="str">
            <v>Fintech Analitika və Aİ ekspert mərkəzi</v>
          </cell>
          <cell r="D2474" t="str">
            <v>Analytics chapter</v>
          </cell>
          <cell r="E2474" t="str">
            <v>#</v>
          </cell>
          <cell r="F2474" t="str">
            <v>Biznes analitik</v>
          </cell>
          <cell r="G2474" t="str">
            <v>A</v>
          </cell>
          <cell r="H2474">
            <v>44624</v>
          </cell>
        </row>
        <row r="2475">
          <cell r="B2475" t="str">
            <v>Həsənova Surahi Azad</v>
          </cell>
          <cell r="C2475" t="str">
            <v>Fintech Analitika və Aİ ekspert mərkəzi</v>
          </cell>
          <cell r="D2475" t="str">
            <v>Analytics chapter</v>
          </cell>
          <cell r="E2475" t="str">
            <v>#</v>
          </cell>
          <cell r="F2475" t="str">
            <v>Biznes analitik</v>
          </cell>
          <cell r="G2475" t="str">
            <v>A</v>
          </cell>
          <cell r="H2475">
            <v>44624</v>
          </cell>
        </row>
        <row r="2476">
          <cell r="B2476" t="str">
            <v>Yusifova Fəridə Yusif</v>
          </cell>
          <cell r="C2476" t="str">
            <v>Fintech Analitika və Aİ ekspert mərkəzi</v>
          </cell>
          <cell r="D2476" t="str">
            <v>Analytics chapter</v>
          </cell>
          <cell r="E2476" t="str">
            <v>#</v>
          </cell>
          <cell r="F2476" t="str">
            <v>Biznes analitik</v>
          </cell>
          <cell r="G2476" t="str">
            <v>A</v>
          </cell>
          <cell r="H2476">
            <v>44624</v>
          </cell>
        </row>
        <row r="2477">
          <cell r="B2477" t="str">
            <v>Belousova Viktoriya Yuryevna</v>
          </cell>
          <cell r="C2477" t="str">
            <v>Fintech Analitika və Aİ ekspert mərkəzi</v>
          </cell>
          <cell r="D2477" t="str">
            <v>Analytics chapter</v>
          </cell>
          <cell r="E2477" t="str">
            <v>#</v>
          </cell>
          <cell r="F2477" t="str">
            <v>Biznes analitik</v>
          </cell>
          <cell r="G2477" t="str">
            <v>A</v>
          </cell>
          <cell r="H2477">
            <v>43593</v>
          </cell>
        </row>
        <row r="2478">
          <cell r="B2478" t="str">
            <v>Şəfiyeva Nəzrin Bilal</v>
          </cell>
          <cell r="C2478" t="str">
            <v>Fintech Analitika və Aİ ekspert mərkəzi</v>
          </cell>
          <cell r="D2478" t="str">
            <v>Analytics chapter</v>
          </cell>
          <cell r="E2478" t="str">
            <v>#</v>
          </cell>
          <cell r="F2478" t="str">
            <v>Biznes analitik</v>
          </cell>
          <cell r="G2478" t="str">
            <v>A</v>
          </cell>
          <cell r="H2478">
            <v>45624</v>
          </cell>
        </row>
        <row r="2479">
          <cell r="B2479" t="str">
            <v>Əkbərov Fərid Məhəmməd</v>
          </cell>
          <cell r="C2479" t="str">
            <v>Fintech Analitika və Aİ ekspert mərkəzi</v>
          </cell>
          <cell r="D2479" t="str">
            <v>Analytics chapter</v>
          </cell>
          <cell r="E2479" t="str">
            <v>#</v>
          </cell>
          <cell r="F2479" t="str">
            <v>Funksional lider</v>
          </cell>
          <cell r="G2479" t="str">
            <v>A</v>
          </cell>
          <cell r="H2479">
            <v>43447</v>
          </cell>
        </row>
        <row r="2480">
          <cell r="B2480" t="str">
            <v>Məmmədli Aysu Yasin</v>
          </cell>
          <cell r="C2480" t="str">
            <v>Fintech Analitika və Aİ ekspert mərkəzi</v>
          </cell>
          <cell r="D2480" t="str">
            <v>Analytics chapter</v>
          </cell>
          <cell r="E2480" t="str">
            <v>#</v>
          </cell>
          <cell r="F2480" t="str">
            <v>Biznes analitik</v>
          </cell>
          <cell r="G2480" t="str">
            <v>A</v>
          </cell>
          <cell r="H2480">
            <v>45691</v>
          </cell>
        </row>
        <row r="2481">
          <cell r="B2481" t="str">
            <v>Şıxəliyev Hikmət Şıxəli</v>
          </cell>
          <cell r="C2481" t="str">
            <v>Fintech Analitika və Aİ ekspert mərkəzi</v>
          </cell>
          <cell r="D2481" t="str">
            <v>Analytics chapter</v>
          </cell>
          <cell r="E2481" t="str">
            <v>#</v>
          </cell>
          <cell r="F2481" t="str">
            <v>Biznes analitik</v>
          </cell>
          <cell r="G2481" t="str">
            <v>A</v>
          </cell>
          <cell r="H2481">
            <v>45979</v>
          </cell>
        </row>
        <row r="2482">
          <cell r="B2482" t="str">
            <v>Bayramzadə Xəyalə Elnur</v>
          </cell>
          <cell r="C2482" t="str">
            <v>Fintech Analitika və Aİ ekspert mərkəzi</v>
          </cell>
          <cell r="D2482" t="str">
            <v>Analytics chapter</v>
          </cell>
          <cell r="E2482" t="str">
            <v>#</v>
          </cell>
          <cell r="F2482" t="str">
            <v>Biznes analitik</v>
          </cell>
          <cell r="G2482" t="str">
            <v>A</v>
          </cell>
          <cell r="H2482">
            <v>46217</v>
          </cell>
        </row>
        <row r="2483">
          <cell r="B2483" t="str">
            <v>Quliyeva Dilarə İman</v>
          </cell>
          <cell r="C2483" t="str">
            <v>Fintech Analitika və Aİ ekspert mərkəzi</v>
          </cell>
          <cell r="D2483" t="str">
            <v>Analytics chapter</v>
          </cell>
          <cell r="E2483" t="str">
            <v>#</v>
          </cell>
          <cell r="F2483" t="str">
            <v>Biznes analitik</v>
          </cell>
          <cell r="G2483" t="str">
            <v>A</v>
          </cell>
          <cell r="H2483">
            <v>45636</v>
          </cell>
        </row>
        <row r="2484">
          <cell r="B2484" t="str">
            <v>Tağıyev Əli Baba</v>
          </cell>
          <cell r="C2484" t="str">
            <v>Aİ governance ekspert mərkəzi</v>
          </cell>
          <cell r="D2484" t="str">
            <v>#</v>
          </cell>
          <cell r="E2484" t="str">
            <v>#</v>
          </cell>
          <cell r="F2484" t="str">
            <v>Biznes analitik</v>
          </cell>
          <cell r="G2484" t="str">
            <v>A</v>
          </cell>
          <cell r="H2484">
            <v>45624</v>
          </cell>
        </row>
        <row r="2485">
          <cell r="B2485" t="str">
            <v>Nadirzadə Könül Cavid</v>
          </cell>
          <cell r="C2485" t="str">
            <v>Fintech Analitika və Aİ ekspert mərkəzi</v>
          </cell>
          <cell r="D2485" t="str">
            <v>Analytics chapter</v>
          </cell>
          <cell r="E2485" t="str">
            <v>#</v>
          </cell>
          <cell r="F2485" t="str">
            <v>Biznes analitik</v>
          </cell>
          <cell r="G2485" t="str">
            <v>A</v>
          </cell>
          <cell r="H2485">
            <v>43437</v>
          </cell>
        </row>
        <row r="2486">
          <cell r="B2486" t="str">
            <v>Təhməzov Abbasəli Ayaz</v>
          </cell>
          <cell r="C2486" t="str">
            <v>Fintech Analitika və Aİ ekspert mərkəzi</v>
          </cell>
          <cell r="D2486" t="str">
            <v>Analytics chapter</v>
          </cell>
          <cell r="E2486" t="str">
            <v>#</v>
          </cell>
          <cell r="F2486" t="str">
            <v>Biznes analitik</v>
          </cell>
          <cell r="G2486" t="str">
            <v>A</v>
          </cell>
          <cell r="H2486">
            <v>43892</v>
          </cell>
        </row>
        <row r="2487">
          <cell r="B2487" t="str">
            <v>Qaraxanlı Orxan Yusif</v>
          </cell>
          <cell r="C2487" t="str">
            <v>Fintech Analitika və Aİ ekspert mərkəzi</v>
          </cell>
          <cell r="D2487" t="str">
            <v>Analytics chapter</v>
          </cell>
          <cell r="E2487" t="str">
            <v>#</v>
          </cell>
          <cell r="F2487" t="str">
            <v>Funksional lider</v>
          </cell>
          <cell r="G2487" t="str">
            <v>A</v>
          </cell>
          <cell r="H2487">
            <v>43238</v>
          </cell>
        </row>
        <row r="2488">
          <cell r="B2488" t="str">
            <v>Yusifov Emil Fərrux</v>
          </cell>
          <cell r="C2488" t="str">
            <v>Fintech Analitika və Aİ ekspert mərkəzi</v>
          </cell>
          <cell r="D2488" t="str">
            <v>Analytics chapter</v>
          </cell>
          <cell r="E2488" t="str">
            <v>#</v>
          </cell>
          <cell r="F2488" t="str">
            <v>Biznes analitik</v>
          </cell>
          <cell r="G2488" t="str">
            <v>A</v>
          </cell>
          <cell r="H2488">
            <v>43160</v>
          </cell>
        </row>
        <row r="2489">
          <cell r="B2489" t="str">
            <v>Məmmədov Araz Ramiz</v>
          </cell>
          <cell r="C2489" t="str">
            <v>Fintech Analitika və Aİ ekspert mərkəzi</v>
          </cell>
          <cell r="D2489" t="str">
            <v>Analytics chapter</v>
          </cell>
          <cell r="E2489" t="str">
            <v>#</v>
          </cell>
          <cell r="F2489" t="str">
            <v>Biznes analitik</v>
          </cell>
          <cell r="G2489" t="str">
            <v>A</v>
          </cell>
          <cell r="H2489">
            <v>44400</v>
          </cell>
        </row>
        <row r="2490">
          <cell r="B2490" t="str">
            <v>Kərimli Məhəmməd Elşən</v>
          </cell>
          <cell r="C2490" t="str">
            <v>Fintech Analitika və Aİ ekspert mərkəzi</v>
          </cell>
          <cell r="D2490" t="str">
            <v>Analytics chapter</v>
          </cell>
          <cell r="E2490" t="str">
            <v>#</v>
          </cell>
          <cell r="F2490" t="str">
            <v>Biznes analitik</v>
          </cell>
          <cell r="G2490" t="str">
            <v>A</v>
          </cell>
          <cell r="H2490">
            <v>45155</v>
          </cell>
        </row>
        <row r="2491">
          <cell r="B2491" t="str">
            <v>Seyidli Dolunay Cavid</v>
          </cell>
          <cell r="C2491" t="str">
            <v>Fintech Analitika və Aİ ekspert mərkəzi</v>
          </cell>
          <cell r="D2491" t="str">
            <v>Analytics chapter</v>
          </cell>
          <cell r="E2491" t="str">
            <v>#</v>
          </cell>
          <cell r="F2491" t="str">
            <v>Biznes analitik</v>
          </cell>
          <cell r="G2491" t="str">
            <v>A</v>
          </cell>
          <cell r="H2491">
            <v>45387</v>
          </cell>
        </row>
        <row r="2492">
          <cell r="B2492" t="str">
            <v>Xəlilli Məhsəti Nemət</v>
          </cell>
          <cell r="C2492" t="str">
            <v>Fintech Analitika və Aİ ekspert mərkəzi</v>
          </cell>
          <cell r="D2492" t="str">
            <v>Analytics chapter</v>
          </cell>
          <cell r="E2492" t="str">
            <v>#</v>
          </cell>
          <cell r="F2492" t="str">
            <v>Biznes analitik</v>
          </cell>
          <cell r="G2492" t="str">
            <v>SM</v>
          </cell>
          <cell r="H2492">
            <v>42405</v>
          </cell>
        </row>
        <row r="2493">
          <cell r="B2493" t="str">
            <v>Abasova Səbinə Aydın</v>
          </cell>
          <cell r="C2493" t="str">
            <v>Fintech Analitika və Aİ ekspert mərkəzi</v>
          </cell>
          <cell r="D2493" t="str">
            <v>Analytics chapter</v>
          </cell>
          <cell r="E2493" t="str">
            <v>#</v>
          </cell>
          <cell r="F2493" t="str">
            <v>Biznes analitik (müvəqqəti)</v>
          </cell>
          <cell r="G2493" t="str">
            <v>A</v>
          </cell>
          <cell r="H2493">
            <v>45842</v>
          </cell>
        </row>
        <row r="2494">
          <cell r="B2494" t="str">
            <v>Bağırov Fərhad Rəhim</v>
          </cell>
          <cell r="C2494" t="str">
            <v>Fintech Analitika və Aİ ekspert mərkəzi</v>
          </cell>
          <cell r="D2494" t="str">
            <v>Analytics chapter</v>
          </cell>
          <cell r="E2494" t="str">
            <v>#</v>
          </cell>
          <cell r="F2494" t="str">
            <v>Biznes analitik</v>
          </cell>
          <cell r="G2494" t="str">
            <v>A</v>
          </cell>
          <cell r="H2494">
            <v>43648</v>
          </cell>
        </row>
        <row r="2495">
          <cell r="B2495" t="str">
            <v>Manafov Etibar İftixar</v>
          </cell>
          <cell r="C2495" t="str">
            <v>Fintech Analitika və Aİ ekspert mərkəzi</v>
          </cell>
          <cell r="D2495" t="str">
            <v>Analytics chapter</v>
          </cell>
          <cell r="E2495" t="str">
            <v>#</v>
          </cell>
          <cell r="F2495" t="str">
            <v>Biznes analitik</v>
          </cell>
          <cell r="G2495" t="str">
            <v>A</v>
          </cell>
          <cell r="H2495">
            <v>44413</v>
          </cell>
        </row>
        <row r="2496">
          <cell r="B2496" t="str">
            <v>Bağırov Tənzil Kazım</v>
          </cell>
          <cell r="C2496" t="str">
            <v>Fintech Analitika və Aİ ekspert mərkəzi</v>
          </cell>
          <cell r="D2496" t="str">
            <v>Analytics chapter</v>
          </cell>
          <cell r="E2496" t="str">
            <v>#</v>
          </cell>
          <cell r="F2496" t="str">
            <v>Funksional lider</v>
          </cell>
          <cell r="G2496" t="str">
            <v>A</v>
          </cell>
          <cell r="H2496">
            <v>43630</v>
          </cell>
        </row>
        <row r="2497">
          <cell r="B2497" t="str">
            <v>Hacımirzəyeva Aysel Hamlet</v>
          </cell>
          <cell r="C2497" t="str">
            <v>Fintech Analitika və Aİ ekspert mərkəzi</v>
          </cell>
          <cell r="D2497" t="str">
            <v>Analytics chapter</v>
          </cell>
          <cell r="E2497" t="str">
            <v>#</v>
          </cell>
          <cell r="F2497" t="str">
            <v>Biznes analitik</v>
          </cell>
          <cell r="G2497" t="str">
            <v>A</v>
          </cell>
          <cell r="H2497">
            <v>42471</v>
          </cell>
        </row>
        <row r="2498">
          <cell r="B2498" t="str">
            <v>Qazıyev İlkin Anar</v>
          </cell>
          <cell r="C2498" t="str">
            <v>Fintech Analitika və Aİ ekspert mərkəzi</v>
          </cell>
          <cell r="D2498" t="str">
            <v>Analytics chapter</v>
          </cell>
          <cell r="E2498" t="str">
            <v>#</v>
          </cell>
          <cell r="F2498" t="str">
            <v>Biznes analitik</v>
          </cell>
          <cell r="G2498" t="str">
            <v>A</v>
          </cell>
          <cell r="H2498">
            <v>44938</v>
          </cell>
        </row>
        <row r="2499">
          <cell r="B2499" t="str">
            <v>Orucov Ruslan Mayis</v>
          </cell>
          <cell r="C2499" t="str">
            <v>Fintech Analitika və Aİ ekspert mərkəzi</v>
          </cell>
          <cell r="D2499" t="str">
            <v>Analytics chapter</v>
          </cell>
          <cell r="E2499" t="str">
            <v>#</v>
          </cell>
          <cell r="F2499" t="str">
            <v>Biznes analitik</v>
          </cell>
          <cell r="G2499" t="str">
            <v>A</v>
          </cell>
          <cell r="H2499">
            <v>45324</v>
          </cell>
        </row>
        <row r="2500">
          <cell r="B2500" t="str">
            <v>Hüseynov Samir Əli</v>
          </cell>
          <cell r="C2500" t="str">
            <v>İT infrastruktur departamenti</v>
          </cell>
          <cell r="D2500" t="str">
            <v>#</v>
          </cell>
          <cell r="E2500" t="str">
            <v>#</v>
          </cell>
          <cell r="F2500" t="str">
            <v>Baş mütəxəssis</v>
          </cell>
          <cell r="G2500" t="str">
            <v>A</v>
          </cell>
          <cell r="H2500">
            <v>43868</v>
          </cell>
        </row>
        <row r="2501">
          <cell r="B2501" t="str">
            <v>SEN BUGRA</v>
          </cell>
          <cell r="C2501" t="str">
            <v>Aİ və Data elmi ekspert mərkəzi</v>
          </cell>
          <cell r="D2501" t="str">
            <v>#</v>
          </cell>
          <cell r="E2501" t="str">
            <v>#</v>
          </cell>
          <cell r="F2501" t="str">
            <v>Ekspert Mərkəzinin lideri</v>
          </cell>
          <cell r="G2501" t="str">
            <v>A</v>
          </cell>
          <cell r="H2501">
            <v>44937</v>
          </cell>
        </row>
        <row r="2502">
          <cell r="B2502" t="str">
            <v>Səlimov Qismət Hüseyn</v>
          </cell>
          <cell r="C2502" t="str">
            <v>Aİ və Data elmi ekspert mərkəzi</v>
          </cell>
          <cell r="D2502" t="str">
            <v>#</v>
          </cell>
          <cell r="E2502" t="str">
            <v>#</v>
          </cell>
          <cell r="F2502" t="str">
            <v>Data elmi üzrə ekspert</v>
          </cell>
          <cell r="G2502" t="str">
            <v>A</v>
          </cell>
          <cell r="H2502">
            <v>45100</v>
          </cell>
        </row>
        <row r="2503">
          <cell r="B2503" t="str">
            <v>Həsənzadə Azər Anar</v>
          </cell>
          <cell r="C2503" t="str">
            <v>Aİ və Data elmi ekspert mərkəzi</v>
          </cell>
          <cell r="D2503" t="str">
            <v>#</v>
          </cell>
          <cell r="E2503" t="str">
            <v>#</v>
          </cell>
          <cell r="F2503" t="str">
            <v>Data elmi üzrə ekspert</v>
          </cell>
          <cell r="G2503" t="str">
            <v>A</v>
          </cell>
          <cell r="H2503">
            <v>45876</v>
          </cell>
        </row>
        <row r="2504">
          <cell r="B2504" t="str">
            <v>Əliyeva Mehriban Malik</v>
          </cell>
          <cell r="C2504" t="str">
            <v>Fintech Analitika və Aİ ekspert mərkəzi</v>
          </cell>
          <cell r="D2504" t="str">
            <v>Aİ chapter</v>
          </cell>
          <cell r="E2504" t="str">
            <v>#</v>
          </cell>
          <cell r="F2504" t="str">
            <v>Data elmi üzrə ekspert</v>
          </cell>
          <cell r="G2504" t="str">
            <v>A</v>
          </cell>
          <cell r="H2504">
            <v>46063</v>
          </cell>
        </row>
        <row r="2505">
          <cell r="B2505" t="str">
            <v>Gözəlov Təbriz Eldar</v>
          </cell>
          <cell r="C2505" t="str">
            <v>Aİ və Data elmi ekspert mərkəzi</v>
          </cell>
          <cell r="D2505" t="str">
            <v>#</v>
          </cell>
          <cell r="E2505" t="str">
            <v>#</v>
          </cell>
          <cell r="F2505" t="str">
            <v>Data elmi üzrə ekspert</v>
          </cell>
          <cell r="G2505" t="str">
            <v>A</v>
          </cell>
          <cell r="H2505">
            <v>45491</v>
          </cell>
        </row>
        <row r="2506">
          <cell r="B2506" t="str">
            <v>Rəhimov Əmir Rafail</v>
          </cell>
          <cell r="C2506" t="str">
            <v>Fintech Analitika və Aİ ekspert mərkəzi</v>
          </cell>
          <cell r="D2506" t="str">
            <v>Aİ chapter</v>
          </cell>
          <cell r="E2506" t="str">
            <v>#</v>
          </cell>
          <cell r="F2506" t="str">
            <v>Data elmi üzrə ekspert</v>
          </cell>
          <cell r="G2506" t="str">
            <v>A</v>
          </cell>
          <cell r="H2506">
            <v>45491</v>
          </cell>
        </row>
        <row r="2507">
          <cell r="B2507" t="str">
            <v>Aslanova Firəngiz Musa</v>
          </cell>
          <cell r="C2507" t="str">
            <v>Fintech Analitika və Aİ ekspert mərkəzi</v>
          </cell>
          <cell r="D2507" t="str">
            <v>Aİ chapter</v>
          </cell>
          <cell r="E2507" t="str">
            <v>#</v>
          </cell>
          <cell r="F2507" t="str">
            <v>Data elmi üzrə ekspert</v>
          </cell>
          <cell r="G2507" t="str">
            <v>A</v>
          </cell>
          <cell r="H2507">
            <v>45100</v>
          </cell>
        </row>
        <row r="2508">
          <cell r="B2508" t="str">
            <v>Quliyev Cavid Müşviq</v>
          </cell>
          <cell r="C2508" t="str">
            <v>Fintech Analitika və Aİ ekspert mərkəzi</v>
          </cell>
          <cell r="D2508" t="str">
            <v>Aİ chapter</v>
          </cell>
          <cell r="E2508" t="str">
            <v>#</v>
          </cell>
          <cell r="F2508" t="str">
            <v>Data elmi üzrə ekspert</v>
          </cell>
          <cell r="G2508" t="str">
            <v>A</v>
          </cell>
          <cell r="H2508">
            <v>46163</v>
          </cell>
        </row>
        <row r="2509">
          <cell r="B2509" t="str">
            <v>Muradlı Kamil Anar</v>
          </cell>
          <cell r="C2509" t="str">
            <v>Fintech Analitika və Aİ ekspert mərkəzi</v>
          </cell>
          <cell r="D2509" t="str">
            <v>Aİ chapter</v>
          </cell>
          <cell r="E2509" t="str">
            <v>#</v>
          </cell>
          <cell r="F2509" t="str">
            <v>Data elmi üzrə ekspert</v>
          </cell>
          <cell r="G2509" t="str">
            <v>A</v>
          </cell>
          <cell r="H2509">
            <v>45756</v>
          </cell>
        </row>
        <row r="2510">
          <cell r="B2510" t="str">
            <v>Dadaşov Əhməd Əlihörmət</v>
          </cell>
          <cell r="C2510" t="str">
            <v>Fintech Analitika və Aİ ekspert mərkəzi</v>
          </cell>
          <cell r="D2510" t="str">
            <v>Aİ chapter</v>
          </cell>
          <cell r="E2510" t="str">
            <v>#</v>
          </cell>
          <cell r="F2510" t="str">
            <v>Data elmi üzrə ekspert</v>
          </cell>
          <cell r="G2510" t="str">
            <v>A</v>
          </cell>
          <cell r="H2510">
            <v>45758</v>
          </cell>
        </row>
        <row r="2511">
          <cell r="B2511" t="str">
            <v xml:space="preserve">	İskəndərov Rəvan Asif</v>
          </cell>
          <cell r="C2511" t="str">
            <v>Fintech Analitika və Aİ ekspert mərkəzi</v>
          </cell>
          <cell r="D2511" t="str">
            <v>Aİ chapter</v>
          </cell>
          <cell r="E2511" t="str">
            <v>#</v>
          </cell>
          <cell r="F2511" t="str">
            <v>Data elmi üzrə ekspert</v>
          </cell>
          <cell r="G2511" t="str">
            <v>A</v>
          </cell>
          <cell r="H2511">
            <v>46125</v>
          </cell>
        </row>
        <row r="2512">
          <cell r="B2512" t="str">
            <v>Abbasov Bəxtiyar Nazir</v>
          </cell>
          <cell r="C2512" t="str">
            <v>Fintech Analitika və Aİ ekspert mərkəzi</v>
          </cell>
          <cell r="D2512" t="str">
            <v>Aİ chapter</v>
          </cell>
          <cell r="E2512" t="str">
            <v>#</v>
          </cell>
          <cell r="F2512" t="str">
            <v>Data elmi üzrə ekspert</v>
          </cell>
          <cell r="G2512" t="str">
            <v>A</v>
          </cell>
          <cell r="H2512">
            <v>45730</v>
          </cell>
        </row>
        <row r="2513">
          <cell r="B2513" t="str">
            <v>İsmayıllı Ülvi Samir</v>
          </cell>
          <cell r="C2513" t="str">
            <v>Fintech Analitika və Aİ ekspert mərkəzi</v>
          </cell>
          <cell r="D2513" t="str">
            <v>Aİ chapter</v>
          </cell>
          <cell r="E2513" t="str">
            <v>#</v>
          </cell>
          <cell r="F2513" t="str">
            <v>Data elmi üzrə ekspert</v>
          </cell>
          <cell r="G2513" t="str">
            <v>A</v>
          </cell>
          <cell r="H2513">
            <v>45980</v>
          </cell>
        </row>
        <row r="2514">
          <cell r="B2514" t="str">
            <v>İsgəndərli Ülvi Maarif</v>
          </cell>
          <cell r="C2514" t="str">
            <v>Fintech Analitika və Aİ ekspert mərkəzi</v>
          </cell>
          <cell r="D2514" t="str">
            <v>Aİ chapter</v>
          </cell>
          <cell r="E2514" t="str">
            <v>#</v>
          </cell>
          <cell r="F2514" t="str">
            <v>Data elmi üzrə ekspert</v>
          </cell>
          <cell r="G2514" t="str">
            <v>A</v>
          </cell>
          <cell r="H2514">
            <v>46029</v>
          </cell>
        </row>
        <row r="2515">
          <cell r="B2515" t="str">
            <v>Nicat Şahin İlqar</v>
          </cell>
          <cell r="C2515" t="str">
            <v>Fintech Analitika və Aİ ekspert mərkəzi</v>
          </cell>
          <cell r="D2515" t="str">
            <v>Aİ chapter</v>
          </cell>
          <cell r="E2515" t="str">
            <v>#</v>
          </cell>
          <cell r="F2515" t="str">
            <v>Funksional lider</v>
          </cell>
          <cell r="G2515" t="str">
            <v>A</v>
          </cell>
          <cell r="H2515">
            <v>45987</v>
          </cell>
        </row>
        <row r="2516">
          <cell r="B2516" t="str">
            <v>Muradov Eltun Rövşən</v>
          </cell>
          <cell r="C2516" t="str">
            <v>Fintech Analitika və Aİ ekspert mərkəzi</v>
          </cell>
          <cell r="D2516" t="str">
            <v>Aİ chapter</v>
          </cell>
          <cell r="E2516" t="str">
            <v>#</v>
          </cell>
          <cell r="F2516" t="str">
            <v>Data elmi üzrə ekspert</v>
          </cell>
          <cell r="G2516" t="str">
            <v>A</v>
          </cell>
          <cell r="H2516">
            <v>45082</v>
          </cell>
        </row>
        <row r="2517">
          <cell r="B2517" t="str">
            <v>Səfərov Aslan Rahib</v>
          </cell>
          <cell r="C2517" t="str">
            <v>Fintech Analitika və Aİ ekspert mərkəzi</v>
          </cell>
          <cell r="D2517" t="str">
            <v>Aİ chapter</v>
          </cell>
          <cell r="E2517" t="str">
            <v>#</v>
          </cell>
          <cell r="F2517" t="str">
            <v>Funksional lider</v>
          </cell>
          <cell r="G2517" t="str">
            <v>A</v>
          </cell>
          <cell r="H2517">
            <v>44511</v>
          </cell>
        </row>
        <row r="2518">
          <cell r="B2518" t="str">
            <v>Haqverdiyev Ceyhun Nəzər</v>
          </cell>
          <cell r="C2518" t="str">
            <v>Fintech Analitika və Aİ ekspert mərkəzi</v>
          </cell>
          <cell r="D2518" t="str">
            <v>Aİ chapter</v>
          </cell>
          <cell r="E2518" t="str">
            <v>#</v>
          </cell>
          <cell r="F2518" t="str">
            <v>Data elmi üzrə ekspert</v>
          </cell>
          <cell r="G2518" t="str">
            <v>A</v>
          </cell>
          <cell r="H2518">
            <v>45345</v>
          </cell>
        </row>
        <row r="2519">
          <cell r="B2519" t="str">
            <v>Şahbəndəyeva Lalə Səhrad</v>
          </cell>
          <cell r="C2519" t="str">
            <v>Fintech Analitika və Aİ ekspert mərkəzi</v>
          </cell>
          <cell r="D2519" t="str">
            <v>Aİ chapter</v>
          </cell>
          <cell r="E2519" t="str">
            <v>#</v>
          </cell>
          <cell r="F2519" t="str">
            <v>Data elmi üzrə ekspert</v>
          </cell>
          <cell r="G2519" t="str">
            <v>A</v>
          </cell>
          <cell r="H2519">
            <v>45100</v>
          </cell>
        </row>
        <row r="2520">
          <cell r="B2520" t="str">
            <v>Vəliyev Qasım Adil</v>
          </cell>
          <cell r="C2520" t="str">
            <v>Fintech Analitika və Aİ ekspert mərkəzi</v>
          </cell>
          <cell r="D2520" t="str">
            <v>Aİ chapter</v>
          </cell>
          <cell r="E2520" t="str">
            <v>#</v>
          </cell>
          <cell r="F2520" t="str">
            <v>Data elmi üzrə ekspert</v>
          </cell>
          <cell r="G2520" t="str">
            <v>A</v>
          </cell>
          <cell r="H2520">
            <v>46217</v>
          </cell>
        </row>
        <row r="2521">
          <cell r="B2521" t="str">
            <v>JAFAROVA SEVIL</v>
          </cell>
          <cell r="C2521" t="str">
            <v>Ödəniş biznesinin Analitika və Aİ ekspert mərkəzi</v>
          </cell>
          <cell r="D2521" t="str">
            <v>Payment Aİ chapter</v>
          </cell>
          <cell r="E2521" t="str">
            <v>#</v>
          </cell>
          <cell r="F2521" t="str">
            <v>Data elmi üzrə ekspert</v>
          </cell>
          <cell r="G2521" t="str">
            <v>A</v>
          </cell>
          <cell r="H2521">
            <v>44866</v>
          </cell>
        </row>
        <row r="2522">
          <cell r="B2522" t="str">
            <v>Əhmədli Fərda Namiq</v>
          </cell>
          <cell r="C2522" t="str">
            <v>Fintech Analitika və Aİ ekspert mərkəzi</v>
          </cell>
          <cell r="D2522" t="str">
            <v>Aİ chapter</v>
          </cell>
          <cell r="E2522" t="str">
            <v>#</v>
          </cell>
          <cell r="F2522" t="str">
            <v>Data elmi üzrə ekspert</v>
          </cell>
          <cell r="G2522" t="str">
            <v>A</v>
          </cell>
          <cell r="H2522">
            <v>46064</v>
          </cell>
        </row>
        <row r="2523">
          <cell r="B2523" t="str">
            <v>Abasov Şahmar Vasif</v>
          </cell>
          <cell r="C2523" t="str">
            <v>Fintech Analitika və Aİ ekspert mərkəzi</v>
          </cell>
          <cell r="D2523" t="str">
            <v>Aİ chapter</v>
          </cell>
          <cell r="E2523" t="str">
            <v>#</v>
          </cell>
          <cell r="F2523" t="str">
            <v>Data elmi üzrə ekspert</v>
          </cell>
          <cell r="G2523" t="str">
            <v>A</v>
          </cell>
          <cell r="H2523">
            <v>46280</v>
          </cell>
        </row>
        <row r="2524">
          <cell r="B2524" t="str">
            <v>Rəhmanov Cəlal İlham</v>
          </cell>
          <cell r="C2524" t="str">
            <v>Fintech Analitika və Aİ ekspert mərkəzi</v>
          </cell>
          <cell r="D2524" t="str">
            <v>Aİ chapter</v>
          </cell>
          <cell r="E2524" t="str">
            <v>#</v>
          </cell>
          <cell r="F2524" t="str">
            <v>Data elmi üzrə ekspert</v>
          </cell>
          <cell r="G2524" t="str">
            <v>A</v>
          </cell>
          <cell r="H2524">
            <v>45530</v>
          </cell>
        </row>
        <row r="2525">
          <cell r="B2525" t="str">
            <v>Bağırov Elşən Oruc</v>
          </cell>
          <cell r="C2525" t="str">
            <v>Fintech Analitika və Aİ ekspert mərkəzi</v>
          </cell>
          <cell r="D2525" t="str">
            <v>Aİ chapter</v>
          </cell>
          <cell r="E2525" t="str">
            <v>#</v>
          </cell>
          <cell r="F2525" t="str">
            <v>Data elmi üzrə ekspert</v>
          </cell>
          <cell r="G2525" t="str">
            <v>A</v>
          </cell>
          <cell r="H2525">
            <v>44062</v>
          </cell>
        </row>
        <row r="2526">
          <cell r="B2526" t="str">
            <v>Əlibəyov Ənvər Eldar</v>
          </cell>
          <cell r="C2526" t="str">
            <v>Fintech Analitika və Aİ ekspert mərkəzi</v>
          </cell>
          <cell r="D2526" t="str">
            <v>Aİ chapter</v>
          </cell>
          <cell r="E2526" t="str">
            <v>#</v>
          </cell>
          <cell r="F2526" t="str">
            <v>Data elmi üzrə ekspert</v>
          </cell>
          <cell r="G2526" t="str">
            <v>A</v>
          </cell>
          <cell r="H2526">
            <v>44181</v>
          </cell>
        </row>
        <row r="2527">
          <cell r="B2527" t="str">
            <v>Hacısoy Çilənay Rövşən</v>
          </cell>
          <cell r="C2527" t="str">
            <v>Fintech Analitika və Aİ ekspert mərkəzi</v>
          </cell>
          <cell r="D2527" t="str">
            <v>Aİ chapter</v>
          </cell>
          <cell r="E2527" t="str">
            <v>#</v>
          </cell>
          <cell r="F2527" t="str">
            <v>Data elmi üzrə ekspert</v>
          </cell>
          <cell r="G2527" t="str">
            <v>A</v>
          </cell>
          <cell r="H2527">
            <v>46139</v>
          </cell>
        </row>
        <row r="2528">
          <cell r="B2528" t="str">
            <v>İbrahimova Vəfa Adgözəl</v>
          </cell>
          <cell r="C2528" t="str">
            <v>Fintech Analitika və Aİ ekspert mərkəzi</v>
          </cell>
          <cell r="D2528" t="str">
            <v>Aİ chapter</v>
          </cell>
          <cell r="E2528" t="str">
            <v>#</v>
          </cell>
          <cell r="F2528" t="str">
            <v>Data elmi üzrə ekspert</v>
          </cell>
          <cell r="G2528" t="str">
            <v>A</v>
          </cell>
          <cell r="H2528">
            <v>45763</v>
          </cell>
        </row>
        <row r="2529">
          <cell r="B2529" t="str">
            <v>Hüseynov Cavid Rəhman</v>
          </cell>
          <cell r="C2529" t="str">
            <v>Fintech Analitika və Aİ ekspert mərkəzi</v>
          </cell>
          <cell r="D2529" t="str">
            <v>Aİ chapter</v>
          </cell>
          <cell r="E2529" t="str">
            <v>#</v>
          </cell>
          <cell r="F2529" t="str">
            <v>Funksional lider</v>
          </cell>
          <cell r="G2529" t="str">
            <v>A</v>
          </cell>
          <cell r="H2529">
            <v>44670</v>
          </cell>
        </row>
        <row r="2530">
          <cell r="B2530" t="str">
            <v>Məmmədov Sənan Sərvər</v>
          </cell>
          <cell r="C2530" t="str">
            <v>Fintech Analitika və Aİ ekspert mərkəzi</v>
          </cell>
          <cell r="D2530" t="str">
            <v>Aİ chapter</v>
          </cell>
          <cell r="E2530" t="str">
            <v>#</v>
          </cell>
          <cell r="F2530" t="str">
            <v>Data elmi üzrə ekspert</v>
          </cell>
          <cell r="G2530" t="str">
            <v>A</v>
          </cell>
          <cell r="H2530">
            <v>44837</v>
          </cell>
        </row>
        <row r="2531">
          <cell r="B2531" t="str">
            <v>Zülfüqarov Heydər Elman</v>
          </cell>
          <cell r="C2531" t="str">
            <v>Fintech Analitika və Aİ ekspert mərkəzi</v>
          </cell>
          <cell r="D2531" t="str">
            <v>Aİ chapter</v>
          </cell>
          <cell r="E2531" t="str">
            <v>#</v>
          </cell>
          <cell r="F2531" t="str">
            <v>Data elmi üzrə ekspert</v>
          </cell>
          <cell r="G2531" t="str">
            <v>A</v>
          </cell>
          <cell r="H2531">
            <v>45789</v>
          </cell>
        </row>
        <row r="2532">
          <cell r="B2532" t="str">
            <v>İbazadə Müşfiq Əflatun</v>
          </cell>
          <cell r="C2532" t="str">
            <v>Fintech Analitika və Aİ ekspert mərkəzi</v>
          </cell>
          <cell r="D2532" t="str">
            <v>Aİ chapter</v>
          </cell>
          <cell r="E2532" t="str">
            <v>#</v>
          </cell>
          <cell r="F2532" t="str">
            <v>Data elmi üzrə ekspert</v>
          </cell>
          <cell r="G2532" t="str">
            <v>A</v>
          </cell>
          <cell r="H2532">
            <v>45330</v>
          </cell>
        </row>
        <row r="2533">
          <cell r="B2533" t="str">
            <v>Məmmədov Emil Elçin</v>
          </cell>
          <cell r="C2533" t="str">
            <v>Fintech Analitika və Aİ ekspert mərkəzi</v>
          </cell>
          <cell r="D2533" t="str">
            <v>Aİ chapter</v>
          </cell>
          <cell r="E2533" t="str">
            <v>#</v>
          </cell>
          <cell r="F2533" t="str">
            <v>Data elmi üzrə ekspert</v>
          </cell>
          <cell r="G2533" t="str">
            <v>A</v>
          </cell>
          <cell r="H2533">
            <v>43724</v>
          </cell>
        </row>
        <row r="2534">
          <cell r="B2534" t="str">
            <v>Cəfərli Qasım Əli</v>
          </cell>
          <cell r="C2534" t="str">
            <v>Fintech Analitika və Aİ ekspert mərkəzi</v>
          </cell>
          <cell r="D2534" t="str">
            <v>Aİ chapter</v>
          </cell>
          <cell r="E2534" t="str">
            <v>#</v>
          </cell>
          <cell r="F2534" t="str">
            <v>Data elmi üzrə ekspert</v>
          </cell>
          <cell r="G2534" t="str">
            <v>A</v>
          </cell>
          <cell r="H2534">
            <v>44270</v>
          </cell>
        </row>
        <row r="2535">
          <cell r="B2535" t="str">
            <v>Ramazanov Namin Fəqan</v>
          </cell>
          <cell r="C2535" t="str">
            <v>Fintech Analitika və Aİ ekspert mərkəzi</v>
          </cell>
          <cell r="D2535" t="str">
            <v>Aİ chapter</v>
          </cell>
          <cell r="E2535" t="str">
            <v>#</v>
          </cell>
          <cell r="F2535" t="str">
            <v>Data elmi üzrə ekspert</v>
          </cell>
          <cell r="G2535" t="str">
            <v>A</v>
          </cell>
          <cell r="H2535">
            <v>45602</v>
          </cell>
        </row>
        <row r="2536">
          <cell r="B2536" t="str">
            <v>Abdullayeva Xəyalə Rauf</v>
          </cell>
          <cell r="C2536" t="str">
            <v>Fintech Analitika və Aİ ekspert mərkəzi</v>
          </cell>
          <cell r="D2536" t="str">
            <v>Aİ chapter</v>
          </cell>
          <cell r="E2536" t="str">
            <v>#</v>
          </cell>
          <cell r="F2536" t="str">
            <v>Data elmi üzrə ekspert</v>
          </cell>
          <cell r="G2536" t="str">
            <v>A</v>
          </cell>
          <cell r="H2536">
            <v>43756</v>
          </cell>
        </row>
        <row r="2537">
          <cell r="B2537" t="str">
            <v>Zeynalov Rəhim Namiq</v>
          </cell>
          <cell r="C2537" t="str">
            <v>Fintech Analitika və Aİ ekspert mərkəzi</v>
          </cell>
          <cell r="D2537" t="str">
            <v>Aİ chapter</v>
          </cell>
          <cell r="E2537" t="str">
            <v>#</v>
          </cell>
          <cell r="F2537" t="str">
            <v>Data elmi üzrə ekspert</v>
          </cell>
          <cell r="G2537" t="str">
            <v>A</v>
          </cell>
          <cell r="H2537">
            <v>45611</v>
          </cell>
        </row>
        <row r="2538">
          <cell r="B2538" t="str">
            <v>Süleymanov Şamil Tofik</v>
          </cell>
          <cell r="C2538" t="str">
            <v>Fintech Analitika və Aİ ekspert mərkəzi</v>
          </cell>
          <cell r="D2538" t="str">
            <v>Aİ chapter</v>
          </cell>
          <cell r="E2538" t="str">
            <v>#</v>
          </cell>
          <cell r="F2538" t="str">
            <v>Ekspert funksional lider</v>
          </cell>
          <cell r="G2538" t="str">
            <v>A</v>
          </cell>
          <cell r="H2538">
            <v>43110</v>
          </cell>
        </row>
        <row r="2539">
          <cell r="B2539" t="str">
            <v>Kərimov Tural Məqsud</v>
          </cell>
          <cell r="C2539" t="str">
            <v>Fintech Analitika və Aİ ekspert mərkəzi</v>
          </cell>
          <cell r="D2539" t="str">
            <v>Aİ chapter</v>
          </cell>
          <cell r="E2539" t="str">
            <v>#</v>
          </cell>
          <cell r="F2539" t="str">
            <v>Data elmi üzrə ekspert</v>
          </cell>
          <cell r="G2539" t="str">
            <v>A</v>
          </cell>
          <cell r="H2539">
            <v>45488</v>
          </cell>
        </row>
        <row r="2540">
          <cell r="B2540" t="str">
            <v>Məmmədli Ləman Rafael</v>
          </cell>
          <cell r="C2540" t="str">
            <v>Fintech Analitika və Aİ ekspert mərkəzi</v>
          </cell>
          <cell r="D2540" t="str">
            <v>Aİ chapter</v>
          </cell>
          <cell r="E2540" t="str">
            <v>#</v>
          </cell>
          <cell r="F2540" t="str">
            <v>Data elmi üzrə ekspert</v>
          </cell>
          <cell r="G2540" t="str">
            <v>A</v>
          </cell>
          <cell r="H2540">
            <v>46216</v>
          </cell>
        </row>
        <row r="2541">
          <cell r="B2541" t="str">
            <v>Şükürov Şamil Barat</v>
          </cell>
          <cell r="C2541" t="str">
            <v>Fintech Analitika və Aİ ekspert mərkəzi</v>
          </cell>
          <cell r="D2541" t="str">
            <v>Aİ chapter</v>
          </cell>
          <cell r="E2541" t="str">
            <v>#</v>
          </cell>
          <cell r="F2541" t="str">
            <v>Funksional lider</v>
          </cell>
          <cell r="G2541" t="str">
            <v>A</v>
          </cell>
          <cell r="H2541">
            <v>44805</v>
          </cell>
        </row>
        <row r="2542">
          <cell r="B2542" t="str">
            <v>Haqverdiyev Ramiz Arif</v>
          </cell>
          <cell r="C2542" t="str">
            <v>Aİ və Data elmi ekspert mərkəzi</v>
          </cell>
          <cell r="D2542" t="str">
            <v>Data scientist 3</v>
          </cell>
          <cell r="E2542" t="str">
            <v>#</v>
          </cell>
          <cell r="F2542" t="str">
            <v>Data elmi üzrə ekspert</v>
          </cell>
          <cell r="G2542" t="str">
            <v>A</v>
          </cell>
          <cell r="H2542">
            <v>45839</v>
          </cell>
        </row>
        <row r="2543">
          <cell r="B2543" t="str">
            <v>Babayev Həmid Şahin</v>
          </cell>
          <cell r="C2543" t="str">
            <v>Data mühəndisliyi və texnologiyaları ekspert mərkəzi</v>
          </cell>
          <cell r="D2543" t="str">
            <v>Data Engineer 1</v>
          </cell>
          <cell r="E2543" t="str">
            <v>#</v>
          </cell>
          <cell r="F2543" t="str">
            <v>Ekspert funksional lider</v>
          </cell>
          <cell r="G2543" t="str">
            <v>A</v>
          </cell>
          <cell r="H2543">
            <v>43469</v>
          </cell>
        </row>
        <row r="2544">
          <cell r="B2544" t="str">
            <v>Quliyeva Nigar Kərəm</v>
          </cell>
          <cell r="C2544" t="str">
            <v>Data mühəndisliyi və texnologiyaları ekspert mərkəzi</v>
          </cell>
          <cell r="D2544" t="str">
            <v>Data Engineer 1</v>
          </cell>
          <cell r="E2544" t="str">
            <v>#</v>
          </cell>
          <cell r="F2544" t="str">
            <v>Data mühəndisi</v>
          </cell>
          <cell r="G2544" t="str">
            <v>A</v>
          </cell>
          <cell r="H2544">
            <v>44714</v>
          </cell>
        </row>
        <row r="2545">
          <cell r="B2545" t="str">
            <v>Cəfərov Mirzə Eldar</v>
          </cell>
          <cell r="C2545" t="str">
            <v>Data mühəndisliyi və texnologiyaları ekspert mərkəzi</v>
          </cell>
          <cell r="D2545" t="str">
            <v>Data Engineer 1</v>
          </cell>
          <cell r="E2545" t="str">
            <v>#</v>
          </cell>
          <cell r="F2545" t="str">
            <v>Data mühəndisi</v>
          </cell>
          <cell r="G2545" t="str">
            <v>A</v>
          </cell>
          <cell r="H2545">
            <v>45852</v>
          </cell>
        </row>
        <row r="2546">
          <cell r="B2546" t="str">
            <v>Qasımov Elmin Vahid</v>
          </cell>
          <cell r="C2546" t="str">
            <v>Data mühəndisliyi və texnologiyaları ekspert mərkəzi</v>
          </cell>
          <cell r="D2546" t="str">
            <v>Data Engineer 1</v>
          </cell>
          <cell r="E2546" t="str">
            <v>#</v>
          </cell>
          <cell r="F2546" t="str">
            <v>Data mühəndisi</v>
          </cell>
          <cell r="G2546" t="str">
            <v>A</v>
          </cell>
          <cell r="H2546">
            <v>45538</v>
          </cell>
        </row>
        <row r="2547">
          <cell r="B2547" t="str">
            <v>Məmmədli Yavər Elşən</v>
          </cell>
          <cell r="C2547" t="str">
            <v>Data mühəndisliyi və texnologiyaları ekspert mərkəzi</v>
          </cell>
          <cell r="D2547" t="str">
            <v>Data Engineer 3</v>
          </cell>
          <cell r="E2547" t="str">
            <v>BirBank data engineering</v>
          </cell>
          <cell r="F2547" t="str">
            <v>Data mühəndisi</v>
          </cell>
          <cell r="G2547" t="str">
            <v>A</v>
          </cell>
          <cell r="H2547">
            <v>45876</v>
          </cell>
        </row>
        <row r="2548">
          <cell r="B2548" t="str">
            <v>Mustafayeva Vəfa Bəhrəm</v>
          </cell>
          <cell r="C2548" t="str">
            <v>Data mühəndisliyi və texnologiyaları ekspert mərkəzi</v>
          </cell>
          <cell r="D2548" t="str">
            <v>Data Engineer 1</v>
          </cell>
          <cell r="E2548" t="str">
            <v>#</v>
          </cell>
          <cell r="F2548" t="str">
            <v>Data mühəndisi</v>
          </cell>
          <cell r="G2548" t="str">
            <v>A</v>
          </cell>
          <cell r="H2548">
            <v>43955</v>
          </cell>
        </row>
        <row r="2549">
          <cell r="B2549" t="str">
            <v>Rəhimli Ləman Əzəmət</v>
          </cell>
          <cell r="C2549" t="str">
            <v>Data mühəndisliyi və texnologiyaları ekspert mərkəzi</v>
          </cell>
          <cell r="D2549" t="str">
            <v>Data Engineer 1</v>
          </cell>
          <cell r="E2549" t="str">
            <v>#</v>
          </cell>
          <cell r="F2549" t="str">
            <v>Data mühəndisi</v>
          </cell>
          <cell r="G2549" t="str">
            <v>A</v>
          </cell>
          <cell r="H2549">
            <v>45156</v>
          </cell>
        </row>
        <row r="2550">
          <cell r="B2550" t="str">
            <v>Hüseynova Təhminə Namiq</v>
          </cell>
          <cell r="C2550" t="str">
            <v>Data mühəndisliyi və texnologiyaları ekspert mərkəzi</v>
          </cell>
          <cell r="D2550" t="str">
            <v>Data Engineer 1</v>
          </cell>
          <cell r="E2550" t="str">
            <v>#</v>
          </cell>
          <cell r="F2550" t="str">
            <v>Data mühəndisi</v>
          </cell>
          <cell r="G2550" t="str">
            <v>A</v>
          </cell>
          <cell r="H2550">
            <v>46281</v>
          </cell>
        </row>
        <row r="2551">
          <cell r="B2551" t="str">
            <v>Əliyev Nurhan Novruz</v>
          </cell>
          <cell r="C2551" t="str">
            <v>Data mühəndisliyi və texnologiyaları ekspert mərkəzi</v>
          </cell>
          <cell r="D2551" t="str">
            <v>Data Engineer 1</v>
          </cell>
          <cell r="E2551" t="str">
            <v>#</v>
          </cell>
          <cell r="F2551" t="str">
            <v>Data mühəndisi</v>
          </cell>
          <cell r="G2551" t="str">
            <v>A</v>
          </cell>
          <cell r="H2551">
            <v>46260</v>
          </cell>
        </row>
        <row r="2552">
          <cell r="B2552" t="str">
            <v>Həsənzadə Ülkər Nadir</v>
          </cell>
          <cell r="C2552" t="str">
            <v>Data mühəndisliyi və texnologiyaları ekspert mərkəzi</v>
          </cell>
          <cell r="D2552" t="str">
            <v>Data Engineer 2</v>
          </cell>
          <cell r="E2552" t="str">
            <v>#</v>
          </cell>
          <cell r="F2552" t="str">
            <v>Funksional lider</v>
          </cell>
          <cell r="G2552" t="str">
            <v>A</v>
          </cell>
          <cell r="H2552">
            <v>44202</v>
          </cell>
        </row>
        <row r="2553">
          <cell r="B2553" t="str">
            <v>Süleymanova Rübabə Azər</v>
          </cell>
          <cell r="C2553" t="str">
            <v>Data mühəndisliyi və texnologiyaları ekspert mərkəzi</v>
          </cell>
          <cell r="D2553" t="str">
            <v>Data Engineer 2</v>
          </cell>
          <cell r="E2553" t="str">
            <v>#</v>
          </cell>
          <cell r="F2553" t="str">
            <v>Data mühəndisi</v>
          </cell>
          <cell r="G2553" t="str">
            <v>A</v>
          </cell>
          <cell r="H2553">
            <v>44322</v>
          </cell>
        </row>
        <row r="2554">
          <cell r="B2554" t="str">
            <v>Cəbrayılov Orxan Tərxan</v>
          </cell>
          <cell r="C2554" t="str">
            <v>Data mühəndisliyi və texnologiyaları ekspert mərkəzi</v>
          </cell>
          <cell r="D2554" t="str">
            <v>Data Engineer 2</v>
          </cell>
          <cell r="E2554" t="str">
            <v>#</v>
          </cell>
          <cell r="F2554" t="str">
            <v>Data mühəndisi</v>
          </cell>
          <cell r="G2554" t="str">
            <v>A</v>
          </cell>
          <cell r="H2554">
            <v>45762</v>
          </cell>
        </row>
        <row r="2555">
          <cell r="B2555" t="str">
            <v>Hüseynli Minayə Arif</v>
          </cell>
          <cell r="C2555" t="str">
            <v>Data mühəndisliyi və texnologiyaları ekspert mərkəzi</v>
          </cell>
          <cell r="D2555" t="str">
            <v>Data Engineer 2</v>
          </cell>
          <cell r="E2555" t="str">
            <v>#</v>
          </cell>
          <cell r="F2555" t="str">
            <v>Data mühəndisi</v>
          </cell>
          <cell r="G2555" t="str">
            <v>A</v>
          </cell>
          <cell r="H2555">
            <v>45672</v>
          </cell>
        </row>
        <row r="2556">
          <cell r="B2556" t="str">
            <v>Məmmədov Hüseyn Cəfər</v>
          </cell>
          <cell r="C2556" t="str">
            <v>Data mühəndisliyi və texnologiyaları ekspert mərkəzi</v>
          </cell>
          <cell r="D2556" t="str">
            <v>Data Engineer 2</v>
          </cell>
          <cell r="E2556" t="str">
            <v>#</v>
          </cell>
          <cell r="F2556" t="str">
            <v>Data mühəndisi</v>
          </cell>
          <cell r="G2556" t="str">
            <v>A</v>
          </cell>
          <cell r="H2556">
            <v>46182</v>
          </cell>
        </row>
        <row r="2557">
          <cell r="B2557" t="str">
            <v>ISSABAYEV NURSULTAN</v>
          </cell>
          <cell r="C2557" t="str">
            <v>Data mühəndisliyi və texnologiyaları ekspert mərkəzi</v>
          </cell>
          <cell r="D2557" t="str">
            <v>Data Engineer 3</v>
          </cell>
          <cell r="E2557" t="str">
            <v>BirBank data engineering</v>
          </cell>
          <cell r="F2557" t="str">
            <v>Ekspert funksional lider</v>
          </cell>
          <cell r="G2557" t="str">
            <v>A</v>
          </cell>
          <cell r="H2557">
            <v>45646</v>
          </cell>
        </row>
        <row r="2558">
          <cell r="B2558" t="str">
            <v>Ələsgərov Emil Ramiz</v>
          </cell>
          <cell r="C2558" t="str">
            <v>Data mühəndisliyi və texnologiyaları ekspert mərkəzi</v>
          </cell>
          <cell r="D2558" t="str">
            <v>Data Engineer 3</v>
          </cell>
          <cell r="E2558" t="str">
            <v>#</v>
          </cell>
          <cell r="F2558" t="str">
            <v>Data mühəndisi</v>
          </cell>
          <cell r="G2558" t="str">
            <v>A</v>
          </cell>
          <cell r="H2558">
            <v>45509</v>
          </cell>
        </row>
        <row r="2559">
          <cell r="B2559" t="str">
            <v>Həsənov Asif Haxverdi</v>
          </cell>
          <cell r="C2559" t="str">
            <v>Data mühəndisliyi və texnologiyaları ekspert mərkəzi</v>
          </cell>
          <cell r="D2559" t="str">
            <v>Data Engineer 2</v>
          </cell>
          <cell r="E2559" t="str">
            <v>BirBank data engineering</v>
          </cell>
          <cell r="F2559" t="str">
            <v>Data mühəndisi</v>
          </cell>
          <cell r="G2559" t="str">
            <v>A</v>
          </cell>
          <cell r="H2559">
            <v>46113</v>
          </cell>
        </row>
        <row r="2560">
          <cell r="B2560" t="str">
            <v>VOLOZHANIN ROMAN</v>
          </cell>
          <cell r="C2560" t="str">
            <v>Data mühəndisliyi və texnologiyaları ekspert mərkəzi</v>
          </cell>
          <cell r="D2560" t="str">
            <v>Data Engineer 3</v>
          </cell>
          <cell r="E2560" t="str">
            <v>BirBank data engineering</v>
          </cell>
          <cell r="F2560" t="str">
            <v>Data mühəndisi</v>
          </cell>
          <cell r="G2560" t="str">
            <v>A</v>
          </cell>
          <cell r="H2560">
            <v>45126</v>
          </cell>
        </row>
        <row r="2561">
          <cell r="B2561" t="str">
            <v>Kərimli Leyla Qələmşah</v>
          </cell>
          <cell r="C2561" t="str">
            <v>Data mühəndisliyi və texnologiyaları ekspert mərkəzi</v>
          </cell>
          <cell r="D2561" t="str">
            <v>Data Engineer 3</v>
          </cell>
          <cell r="E2561" t="str">
            <v>BirBank data engineering</v>
          </cell>
          <cell r="F2561" t="str">
            <v>Data mühəndisi</v>
          </cell>
          <cell r="G2561" t="str">
            <v>SM</v>
          </cell>
          <cell r="H2561">
            <v>45628</v>
          </cell>
        </row>
        <row r="2562">
          <cell r="B2562" t="str">
            <v>Əliyev Rəsul Tofiq</v>
          </cell>
          <cell r="C2562" t="str">
            <v>Data mühəndisliyi və texnologiyaları ekspert mərkəzi</v>
          </cell>
          <cell r="D2562" t="str">
            <v>Data Engineer 3</v>
          </cell>
          <cell r="E2562" t="str">
            <v>BirPayment data engineering</v>
          </cell>
          <cell r="F2562" t="str">
            <v>Data mühəndisi</v>
          </cell>
          <cell r="G2562" t="str">
            <v>A</v>
          </cell>
          <cell r="H2562">
            <v>43955</v>
          </cell>
        </row>
        <row r="2563">
          <cell r="B2563" t="str">
            <v>Ələkbərova Aytən Mübariz</v>
          </cell>
          <cell r="C2563" t="str">
            <v>Data mühəndisliyi və texnologiyaları ekspert mərkəzi</v>
          </cell>
          <cell r="D2563" t="str">
            <v>Data Engineer 1</v>
          </cell>
          <cell r="E2563" t="str">
            <v>#</v>
          </cell>
          <cell r="F2563" t="str">
            <v>Data mühəndisi</v>
          </cell>
          <cell r="G2563" t="str">
            <v>A</v>
          </cell>
          <cell r="H2563">
            <v>46216</v>
          </cell>
          <cell r="I2563" t="str">
            <v>Bir Payment</v>
          </cell>
        </row>
        <row r="2564">
          <cell r="B2564" t="str">
            <v>Əsgərov Samir Abdulla</v>
          </cell>
          <cell r="C2564" t="str">
            <v>Data mühəndisliyi və texnologiyaları ekspert mərkəzi</v>
          </cell>
          <cell r="D2564" t="str">
            <v>Data Engineer 1</v>
          </cell>
          <cell r="E2564" t="str">
            <v>#</v>
          </cell>
          <cell r="F2564" t="str">
            <v>Data mühəndisi</v>
          </cell>
          <cell r="G2564" t="str">
            <v>A</v>
          </cell>
          <cell r="H2564">
            <v>46219</v>
          </cell>
          <cell r="I2564" t="str">
            <v>Bir Payment</v>
          </cell>
        </row>
        <row r="2565">
          <cell r="B2565" t="str">
            <v>Kərimli Musa İzzət</v>
          </cell>
          <cell r="C2565" t="str">
            <v>Data mühəndisliyi və texnologiyaları ekspert mərkəzi</v>
          </cell>
          <cell r="D2565" t="str">
            <v>Data Engineer 1</v>
          </cell>
          <cell r="E2565" t="str">
            <v>#</v>
          </cell>
          <cell r="F2565" t="str">
            <v>Data mühəndisi</v>
          </cell>
          <cell r="G2565" t="str">
            <v>A</v>
          </cell>
          <cell r="H2565">
            <v>46219</v>
          </cell>
          <cell r="I2565" t="str">
            <v>Bir Payment</v>
          </cell>
        </row>
        <row r="2566">
          <cell r="B2566" t="str">
            <v>Haciyev Rəşid Elmar</v>
          </cell>
          <cell r="C2566" t="str">
            <v>Data mühəndisliyi və texnologiyaları ekspert mərkəzi</v>
          </cell>
          <cell r="D2566" t="str">
            <v>Data Engineer 1</v>
          </cell>
          <cell r="E2566" t="str">
            <v>#</v>
          </cell>
          <cell r="F2566" t="str">
            <v>Data mühəndisi</v>
          </cell>
          <cell r="G2566" t="str">
            <v>A</v>
          </cell>
          <cell r="H2566">
            <v>46224</v>
          </cell>
          <cell r="I2566" t="str">
            <v>Bir Payment</v>
          </cell>
        </row>
        <row r="2567">
          <cell r="B2567" t="str">
            <v>Mehdiyeva Gülşən Vilayət</v>
          </cell>
          <cell r="C2567" t="str">
            <v>Data mühəndisliyi və texnologiyaları ekspert mərkəzi</v>
          </cell>
          <cell r="D2567" t="str">
            <v>Data Engineer 3</v>
          </cell>
          <cell r="E2567" t="str">
            <v>#</v>
          </cell>
          <cell r="F2567" t="str">
            <v>Data mühəndisi</v>
          </cell>
          <cell r="G2567" t="str">
            <v>A</v>
          </cell>
          <cell r="H2567">
            <v>44714</v>
          </cell>
        </row>
        <row r="2568">
          <cell r="B2568" t="str">
            <v>Cəfərov Renad Feyzulla</v>
          </cell>
          <cell r="C2568" t="str">
            <v>Data governance ekspert mərkəzi</v>
          </cell>
          <cell r="D2568" t="str">
            <v>#</v>
          </cell>
          <cell r="E2568" t="str">
            <v>#</v>
          </cell>
          <cell r="F2568" t="str">
            <v>Ekspert mərkəzinin lideri</v>
          </cell>
          <cell r="G2568" t="str">
            <v>A</v>
          </cell>
          <cell r="H2568">
            <v>43070</v>
          </cell>
        </row>
        <row r="2569">
          <cell r="B2569" t="str">
            <v>Lətifova Fidan Rüfət</v>
          </cell>
          <cell r="C2569" t="str">
            <v>Data governance ekspert mərkəzi</v>
          </cell>
          <cell r="D2569" t="str">
            <v>Data proseslərin idarə edilməsi</v>
          </cell>
          <cell r="E2569" t="str">
            <v>#</v>
          </cell>
          <cell r="F2569" t="str">
            <v>Data metodikası üzrə ekspert</v>
          </cell>
          <cell r="G2569" t="str">
            <v>A</v>
          </cell>
          <cell r="H2569">
            <v>44767</v>
          </cell>
        </row>
        <row r="2570">
          <cell r="B2570" t="str">
            <v>Hacıyeva Aytən Firdovsi</v>
          </cell>
          <cell r="C2570" t="str">
            <v>Data governance ekspert mərkəzi</v>
          </cell>
          <cell r="D2570" t="str">
            <v>Data proseslərin idarə edilməsi</v>
          </cell>
          <cell r="E2570" t="str">
            <v>#</v>
          </cell>
          <cell r="F2570" t="str">
            <v>Data metodikası üzrə ekspert</v>
          </cell>
          <cell r="G2570" t="str">
            <v>A</v>
          </cell>
          <cell r="H2570">
            <v>46056</v>
          </cell>
        </row>
        <row r="2571">
          <cell r="B2571" t="str">
            <v>Bağirov Azər Məzahir</v>
          </cell>
          <cell r="C2571" t="str">
            <v>Data governance ekspert mərkəzi</v>
          </cell>
          <cell r="D2571" t="str">
            <v>Data Quality</v>
          </cell>
          <cell r="E2571" t="str">
            <v>#</v>
          </cell>
          <cell r="F2571" t="str">
            <v>Funksional lider</v>
          </cell>
          <cell r="G2571" t="str">
            <v>A</v>
          </cell>
          <cell r="H2571">
            <v>46143</v>
          </cell>
          <cell r="I2571" t="str">
            <v>Paşa Holding</v>
          </cell>
        </row>
        <row r="2572">
          <cell r="B2572" t="str">
            <v>Qasımzadə Murad İlham</v>
          </cell>
          <cell r="C2572" t="str">
            <v>Data governance ekspert mərkəzi</v>
          </cell>
          <cell r="D2572" t="str">
            <v>Data Quality</v>
          </cell>
          <cell r="E2572" t="str">
            <v>#</v>
          </cell>
          <cell r="F2572" t="str">
            <v>Data keyfiyyəti üzrə mühəndis</v>
          </cell>
          <cell r="G2572" t="str">
            <v>A</v>
          </cell>
          <cell r="H2572">
            <v>44613</v>
          </cell>
        </row>
        <row r="2573">
          <cell r="B2573" t="str">
            <v>Müzəffərli Tural Zakir</v>
          </cell>
          <cell r="C2573" t="str">
            <v>Data governance ekspert mərkəzi</v>
          </cell>
          <cell r="D2573" t="str">
            <v>Data Quality</v>
          </cell>
          <cell r="E2573" t="str">
            <v>#</v>
          </cell>
          <cell r="F2573" t="str">
            <v>Data keyfiyyəti üzrə mühəndis</v>
          </cell>
          <cell r="G2573" t="str">
            <v>A</v>
          </cell>
          <cell r="H2573">
            <v>46122</v>
          </cell>
          <cell r="I2573" t="str">
            <v>BirMarket</v>
          </cell>
        </row>
        <row r="2574">
          <cell r="B2574" t="str">
            <v>Sərkarov Ayxan Məhəmməd</v>
          </cell>
          <cell r="C2574" t="str">
            <v>Data governance ekspert mərkəzi</v>
          </cell>
          <cell r="D2574" t="str">
            <v>Data Quality</v>
          </cell>
          <cell r="E2574" t="str">
            <v>#</v>
          </cell>
          <cell r="F2574" t="str">
            <v>Data keyfiyyəti üzrə mühəndis</v>
          </cell>
          <cell r="G2574" t="str">
            <v>A</v>
          </cell>
          <cell r="H2574">
            <v>46122</v>
          </cell>
          <cell r="I2574" t="str">
            <v>BirMarket</v>
          </cell>
        </row>
        <row r="2575">
          <cell r="B2575" t="str">
            <v>Ağayeva Möhtərəm Sədrəddin</v>
          </cell>
          <cell r="C2575" t="str">
            <v>Data governance ekspert mərkəzi</v>
          </cell>
          <cell r="D2575" t="str">
            <v>Data Quality</v>
          </cell>
          <cell r="E2575" t="str">
            <v>#</v>
          </cell>
          <cell r="F2575" t="str">
            <v>Data keyfiyyəti üzrə mühəndis</v>
          </cell>
          <cell r="G2575" t="str">
            <v>A</v>
          </cell>
          <cell r="H2575">
            <v>45491</v>
          </cell>
        </row>
        <row r="2576">
          <cell r="B2576" t="str">
            <v>Fərzali Güllər Sadiq</v>
          </cell>
          <cell r="C2576" t="str">
            <v>Data governance ekspert mərkəzi</v>
          </cell>
          <cell r="D2576" t="str">
            <v>Data Quality</v>
          </cell>
          <cell r="E2576" t="str">
            <v>#</v>
          </cell>
          <cell r="F2576" t="str">
            <v>Data keyfiyyəti üzrə mühəndis</v>
          </cell>
          <cell r="G2576" t="str">
            <v>A</v>
          </cell>
          <cell r="H2576">
            <v>46056</v>
          </cell>
        </row>
        <row r="2577">
          <cell r="B2577" t="str">
            <v>Eyvazlı Xavər İntiqam</v>
          </cell>
          <cell r="C2577" t="str">
            <v>Data governance ekspert mərkəzi</v>
          </cell>
          <cell r="D2577" t="str">
            <v>Data stevvard</v>
          </cell>
          <cell r="E2577" t="str">
            <v>#</v>
          </cell>
          <cell r="F2577" t="str">
            <v>Funksional lider</v>
          </cell>
          <cell r="G2577" t="str">
            <v>A</v>
          </cell>
          <cell r="H2577">
            <v>44755</v>
          </cell>
        </row>
        <row r="2578">
          <cell r="B2578" t="str">
            <v xml:space="preserve">ONYSHCHENKO ANASTASIIA </v>
          </cell>
          <cell r="C2578" t="str">
            <v>Data governance ekspert mərkəzi</v>
          </cell>
          <cell r="D2578" t="str">
            <v>Data stevvard</v>
          </cell>
          <cell r="E2578" t="str">
            <v>#</v>
          </cell>
          <cell r="F2578" t="str">
            <v>Funksional lider</v>
          </cell>
          <cell r="G2578" t="str">
            <v>A</v>
          </cell>
          <cell r="H2578">
            <v>46211</v>
          </cell>
          <cell r="I2578" t="str">
            <v>BirMarket</v>
          </cell>
        </row>
        <row r="2579">
          <cell r="B2579" t="str">
            <v xml:space="preserve">Panova Yekaterina Vladislavovna </v>
          </cell>
          <cell r="C2579" t="str">
            <v>Data governance ekspert mərkəzi</v>
          </cell>
          <cell r="D2579" t="str">
            <v>Data stevvard</v>
          </cell>
          <cell r="E2579" t="str">
            <v>#</v>
          </cell>
          <cell r="F2579" t="str">
            <v>Data idarəedilməsi üzrə analitik</v>
          </cell>
          <cell r="G2579" t="str">
            <v>A</v>
          </cell>
          <cell r="H2579">
            <v>46122</v>
          </cell>
          <cell r="I2579" t="str">
            <v>BirMarket</v>
          </cell>
        </row>
        <row r="2580">
          <cell r="B2580" t="str">
            <v>Zeynallı Rəisə Uğur</v>
          </cell>
          <cell r="C2580" t="str">
            <v>Data governance ekspert mərkəzi</v>
          </cell>
          <cell r="D2580" t="str">
            <v>Data stevvard</v>
          </cell>
          <cell r="E2580" t="str">
            <v>#</v>
          </cell>
          <cell r="F2580" t="str">
            <v>Data idarəedilməsi üzrə analitik</v>
          </cell>
          <cell r="G2580" t="str">
            <v>A</v>
          </cell>
          <cell r="H2580">
            <v>46254</v>
          </cell>
        </row>
        <row r="2581">
          <cell r="B2581" t="str">
            <v>Abbasov Devid Yavər</v>
          </cell>
          <cell r="C2581" t="str">
            <v>Data governance ekspert mərkəzi</v>
          </cell>
          <cell r="D2581" t="str">
            <v>Data stevvard</v>
          </cell>
          <cell r="E2581" t="str">
            <v>#</v>
          </cell>
          <cell r="F2581" t="str">
            <v>Data idarəedilməsi üzrə analitik</v>
          </cell>
          <cell r="G2581" t="str">
            <v>A</v>
          </cell>
          <cell r="H2581">
            <v>45796</v>
          </cell>
        </row>
        <row r="2582">
          <cell r="B2582" t="str">
            <v>Asayev Camal Artur</v>
          </cell>
          <cell r="C2582" t="str">
            <v>Data governance ekspert mərkəzi</v>
          </cell>
          <cell r="D2582" t="str">
            <v>Data proseslərin idarə edilməsi</v>
          </cell>
          <cell r="E2582" t="str">
            <v>#</v>
          </cell>
          <cell r="F2582" t="str">
            <v>Data idarəedilməsi üzrə analitik</v>
          </cell>
          <cell r="G2582" t="str">
            <v>A</v>
          </cell>
          <cell r="H2582">
            <v>46146</v>
          </cell>
          <cell r="I2582" t="str">
            <v>BirMarket</v>
          </cell>
        </row>
        <row r="2583">
          <cell r="B2583" t="str">
            <v>Qasımova Zülqadə Aslan</v>
          </cell>
          <cell r="C2583" t="str">
            <v>Data governance ekspert mərkəzi</v>
          </cell>
          <cell r="D2583" t="str">
            <v>Data stevvard</v>
          </cell>
          <cell r="E2583" t="str">
            <v>#</v>
          </cell>
          <cell r="F2583" t="str">
            <v>Data idarəedilməsi üzrə analitik</v>
          </cell>
          <cell r="G2583" t="str">
            <v>A</v>
          </cell>
          <cell r="H2583">
            <v>45719</v>
          </cell>
        </row>
        <row r="2584">
          <cell r="B2584" t="str">
            <v>Əsgərova Şəbnəm Ramil</v>
          </cell>
          <cell r="C2584" t="str">
            <v>Data governance ekspert mərkəzi</v>
          </cell>
          <cell r="D2584" t="str">
            <v>Data stevvard</v>
          </cell>
          <cell r="E2584" t="str">
            <v>#</v>
          </cell>
          <cell r="F2584" t="str">
            <v>Data idarəedilməsi üzrə analitik</v>
          </cell>
          <cell r="G2584" t="str">
            <v>A</v>
          </cell>
          <cell r="H2584">
            <v>45863</v>
          </cell>
        </row>
        <row r="2585">
          <cell r="B2585" t="str">
            <v>Süleymanova Nuranə Şikar</v>
          </cell>
          <cell r="C2585" t="str">
            <v>Data governance ekspert mərkəzi</v>
          </cell>
          <cell r="D2585" t="str">
            <v>Data stevvard</v>
          </cell>
          <cell r="E2585" t="str">
            <v>#</v>
          </cell>
          <cell r="F2585" t="str">
            <v>Data idarəedilməsi üzrə analitik</v>
          </cell>
          <cell r="G2585" t="str">
            <v>A</v>
          </cell>
          <cell r="H2585">
            <v>45491</v>
          </cell>
        </row>
        <row r="2586">
          <cell r="B2586" t="str">
            <v>Qurbanzadə Aysel Elçin</v>
          </cell>
          <cell r="C2586" t="str">
            <v>Data governance ekspert mərkəzi</v>
          </cell>
          <cell r="D2586" t="str">
            <v>Data stevvard</v>
          </cell>
          <cell r="E2586" t="str">
            <v>#</v>
          </cell>
          <cell r="F2586" t="str">
            <v>Data idarəedilməsi üzrə analitik</v>
          </cell>
          <cell r="G2586" t="str">
            <v>A</v>
          </cell>
          <cell r="H2586">
            <v>42538</v>
          </cell>
        </row>
        <row r="2587">
          <cell r="B2587" t="str">
            <v>Nurmətova Hənifə Nurmət</v>
          </cell>
          <cell r="C2587" t="str">
            <v>Data governance ekspert mərkəzi</v>
          </cell>
          <cell r="D2587" t="str">
            <v>Data stevvard</v>
          </cell>
          <cell r="E2587" t="str">
            <v>#</v>
          </cell>
          <cell r="F2587" t="str">
            <v>Data idarəedilməsi üzrə analitik</v>
          </cell>
          <cell r="G2587" t="str">
            <v>A</v>
          </cell>
          <cell r="H2587">
            <v>43117</v>
          </cell>
        </row>
        <row r="2588">
          <cell r="B2588" t="str">
            <v>Rüstəmova Xanım İlham</v>
          </cell>
          <cell r="C2588" t="str">
            <v>Rəqəmsal həllər sahəsi</v>
          </cell>
          <cell r="D2588" t="str">
            <v>#</v>
          </cell>
          <cell r="E2588" t="str">
            <v>#</v>
          </cell>
          <cell r="F2588" t="str">
            <v>Sahə lideri</v>
          </cell>
          <cell r="G2588" t="str">
            <v>A</v>
          </cell>
          <cell r="H2588">
            <v>45244</v>
          </cell>
        </row>
        <row r="2589">
          <cell r="B2589" t="str">
            <v>Misirli Təhminə Azər</v>
          </cell>
          <cell r="C2589" t="str">
            <v>Rəqəmsal həllər sahəsi</v>
          </cell>
          <cell r="D2589" t="str">
            <v>Unified VVorkStream</v>
          </cell>
          <cell r="E2589" t="str">
            <v>#</v>
          </cell>
          <cell r="F2589" t="str">
            <v>Məhsul sahibi</v>
          </cell>
          <cell r="G2589" t="str">
            <v>HX</v>
          </cell>
          <cell r="H2589">
            <v>45475</v>
          </cell>
        </row>
        <row r="2590">
          <cell r="B2590" t="str">
            <v>Misrixanov Raidin Əliağa</v>
          </cell>
          <cell r="C2590" t="str">
            <v>Rəqəmsal həllər sahəsi</v>
          </cell>
          <cell r="D2590" t="str">
            <v>Branch Optimization</v>
          </cell>
          <cell r="E2590" t="str">
            <v>#</v>
          </cell>
          <cell r="F2590" t="str">
            <v>Məhsul sahibi</v>
          </cell>
          <cell r="G2590" t="str">
            <v>A</v>
          </cell>
          <cell r="H2590">
            <v>46164</v>
          </cell>
        </row>
        <row r="2591">
          <cell r="B2591" t="str">
            <v>Səfquluzadə Sovet Nemət</v>
          </cell>
          <cell r="C2591" t="str">
            <v>Rəqəmsal həllər sahəsi</v>
          </cell>
          <cell r="D2591" t="str">
            <v>Smart service</v>
          </cell>
          <cell r="E2591" t="str">
            <v>#</v>
          </cell>
          <cell r="F2591" t="str">
            <v>Ekspert məhsul sahibi</v>
          </cell>
          <cell r="G2591" t="str">
            <v>A</v>
          </cell>
          <cell r="H2591">
            <v>45383</v>
          </cell>
        </row>
        <row r="2592">
          <cell r="B2592" t="str">
            <v>Şahnazarov Nurlan Nazim</v>
          </cell>
          <cell r="C2592" t="str">
            <v>Ödəniş əməliyyatları ofisi</v>
          </cell>
          <cell r="D2592" t="str">
            <v>RPA</v>
          </cell>
          <cell r="E2592" t="str">
            <v>#</v>
          </cell>
          <cell r="F2592" t="str">
            <v>Məhsul sahibi</v>
          </cell>
          <cell r="G2592" t="str">
            <v>A</v>
          </cell>
          <cell r="H2592">
            <v>43970</v>
          </cell>
        </row>
        <row r="2593">
          <cell r="B2593" t="str">
            <v>Babazadə Sabir Xanlar</v>
          </cell>
          <cell r="C2593" t="str">
            <v>Rəqəmsal həllər sahəsi</v>
          </cell>
          <cell r="D2593" t="str">
            <v>Operations Optimization</v>
          </cell>
          <cell r="E2593" t="str">
            <v>#</v>
          </cell>
          <cell r="F2593" t="str">
            <v>Məhsul sahibi</v>
          </cell>
          <cell r="G2593" t="str">
            <v>A</v>
          </cell>
          <cell r="H2593">
            <v>46135</v>
          </cell>
        </row>
        <row r="2594">
          <cell r="B2594" t="str">
            <v>Rəhimli Günel Kamran</v>
          </cell>
          <cell r="C2594" t="str">
            <v>Təşkilati inkişaf və HR texnologiyaları departamenti</v>
          </cell>
          <cell r="D2594" t="str">
            <v>HR TechOps, performans və data funksional sahəsi</v>
          </cell>
          <cell r="E2594" t="str">
            <v>Elma Docflovv</v>
          </cell>
          <cell r="F2594" t="str">
            <v>Məhsul sahibi</v>
          </cell>
          <cell r="G2594" t="str">
            <v>A</v>
          </cell>
          <cell r="H2594">
            <v>43154</v>
          </cell>
        </row>
        <row r="2595">
          <cell r="B2595" t="str">
            <v>Əkbərov Elçin Yaşar</v>
          </cell>
          <cell r="C2595" t="str">
            <v>Təşkilati inkişaf və HR texnologiyaları departamenti</v>
          </cell>
          <cell r="D2595" t="str">
            <v>HR TechOps, performans və data funksional sahəsi</v>
          </cell>
          <cell r="E2595" t="str">
            <v>İntranet 360</v>
          </cell>
          <cell r="F2595" t="str">
            <v>Məhsul sahibi</v>
          </cell>
          <cell r="G2595" t="str">
            <v>A</v>
          </cell>
          <cell r="H2595">
            <v>45383</v>
          </cell>
        </row>
        <row r="2596">
          <cell r="B2596" t="str">
            <v>TALANIN MIKHAIL</v>
          </cell>
          <cell r="C2596" t="str">
            <v>İT infrastruktur departamenti</v>
          </cell>
          <cell r="D2596" t="str">
            <v>#</v>
          </cell>
          <cell r="E2596" t="str">
            <v>#</v>
          </cell>
          <cell r="F2596" t="str">
            <v>Direktor</v>
          </cell>
          <cell r="G2596" t="str">
            <v>A</v>
          </cell>
          <cell r="H2596">
            <v>45408</v>
          </cell>
        </row>
        <row r="2597">
          <cell r="B2597" t="str">
            <v>Əliyeva Əminə Aslan</v>
          </cell>
          <cell r="C2597" t="str">
            <v>İT infrastruktur departamenti</v>
          </cell>
          <cell r="D2597" t="str">
            <v>İT hüquqlar və texniki dəstək şöbəsi</v>
          </cell>
          <cell r="E2597" t="str">
            <v>#</v>
          </cell>
          <cell r="F2597" t="str">
            <v>Şöbə müdiri</v>
          </cell>
          <cell r="G2597" t="str">
            <v>A</v>
          </cell>
          <cell r="H2597">
            <v>44501</v>
          </cell>
        </row>
        <row r="2598">
          <cell r="B2598" t="str">
            <v>BULGAKOV DENIS</v>
          </cell>
          <cell r="C2598" t="str">
            <v>İT infrastruktur departamenti</v>
          </cell>
          <cell r="D2598" t="str">
            <v>İT xidmətlərinin idarə edilməsi şöbəsi</v>
          </cell>
          <cell r="E2598" t="str">
            <v>#</v>
          </cell>
          <cell r="F2598" t="str">
            <v>Layihə rəhbəri</v>
          </cell>
          <cell r="G2598" t="str">
            <v>A</v>
          </cell>
          <cell r="H2598">
            <v>45561</v>
          </cell>
        </row>
        <row r="2599">
          <cell r="B2599" t="str">
            <v>USKOV MIKHAIL</v>
          </cell>
          <cell r="C2599" t="str">
            <v>İT infrastruktur departamenti</v>
          </cell>
          <cell r="D2599" t="str">
            <v>İT xidmətlərinin idarə edilməsi şöbəsi</v>
          </cell>
          <cell r="E2599" t="str">
            <v>#</v>
          </cell>
          <cell r="F2599" t="str">
            <v>Layihə rəhbəri</v>
          </cell>
          <cell r="G2599" t="str">
            <v>A</v>
          </cell>
          <cell r="H2599">
            <v>45569</v>
          </cell>
        </row>
        <row r="2600">
          <cell r="B2600" t="str">
            <v>KOSTENKO ILIA</v>
          </cell>
          <cell r="C2600" t="str">
            <v>İT infrastruktur departamenti</v>
          </cell>
          <cell r="D2600" t="str">
            <v>İT xidmətlərinin idarə edilməsi şöbəsi</v>
          </cell>
          <cell r="E2600" t="str">
            <v>#</v>
          </cell>
          <cell r="F2600" t="str">
            <v>Layihə rəhbəri</v>
          </cell>
          <cell r="G2600" t="str">
            <v>A</v>
          </cell>
          <cell r="H2600">
            <v>45344</v>
          </cell>
        </row>
        <row r="2601">
          <cell r="B2601" t="str">
            <v>NIKOLENKO TIMOFEI</v>
          </cell>
          <cell r="C2601" t="str">
            <v>İT infrastruktur departamenti</v>
          </cell>
          <cell r="D2601" t="str">
            <v>İT xidmətlərinin idarə edilməsi şöbəsi</v>
          </cell>
          <cell r="E2601" t="str">
            <v>#</v>
          </cell>
          <cell r="F2601" t="str">
            <v>Layihə rəhbəri</v>
          </cell>
          <cell r="G2601" t="str">
            <v>A</v>
          </cell>
          <cell r="H2601">
            <v>45733</v>
          </cell>
        </row>
        <row r="2602">
          <cell r="B2602" t="str">
            <v>Kərimova Nəzrin Eldəniz</v>
          </cell>
          <cell r="C2602" t="str">
            <v>İT infrastruktur departamenti</v>
          </cell>
          <cell r="D2602" t="str">
            <v>İT xidmətlərinin idarə edilməsi şöbəsi</v>
          </cell>
          <cell r="E2602" t="str">
            <v>#</v>
          </cell>
          <cell r="F2602" t="str">
            <v>Aparıcı mütəxəssis</v>
          </cell>
          <cell r="G2602" t="str">
            <v>A</v>
          </cell>
          <cell r="H2602">
            <v>44613</v>
          </cell>
        </row>
        <row r="2603">
          <cell r="B2603" t="str">
            <v>Məmmədli Elşən Mayıl</v>
          </cell>
          <cell r="C2603" t="str">
            <v>İnformasiya təhlükəsizliyi departamenti</v>
          </cell>
          <cell r="D2603" t="str">
            <v>#</v>
          </cell>
          <cell r="E2603" t="str">
            <v>#</v>
          </cell>
          <cell r="F2603" t="str">
            <v>Direktor müavini</v>
          </cell>
          <cell r="G2603" t="str">
            <v>A</v>
          </cell>
          <cell r="H2603">
            <v>43864</v>
          </cell>
        </row>
        <row r="2604">
          <cell r="B2604" t="str">
            <v>Şirinov Qorxmaz Əmrah</v>
          </cell>
          <cell r="C2604" t="str">
            <v>İnformasiya təhlükəsizliyi departamenti</v>
          </cell>
          <cell r="D2604" t="str">
            <v>Platforma təhlükəsizliyi şöbəsi</v>
          </cell>
          <cell r="E2604" t="str">
            <v>#</v>
          </cell>
          <cell r="F2604" t="str">
            <v>Menecer</v>
          </cell>
          <cell r="G2604" t="str">
            <v>A</v>
          </cell>
          <cell r="H2604">
            <v>44687</v>
          </cell>
        </row>
        <row r="2605">
          <cell r="B2605" t="str">
            <v>Bayramov Samir Talıb</v>
          </cell>
          <cell r="C2605" t="str">
            <v>İnformasiya təhlükəsizliyi departamenti</v>
          </cell>
          <cell r="D2605" t="str">
            <v>Platforma təhlükəsizliyi şöbəsi</v>
          </cell>
          <cell r="E2605" t="str">
            <v>#</v>
          </cell>
          <cell r="F2605" t="str">
            <v>Baş mütəxəssis (0,5 ştat vahidi üzrə)</v>
          </cell>
          <cell r="G2605" t="str">
            <v>A</v>
          </cell>
          <cell r="H2605">
            <v>42962</v>
          </cell>
        </row>
        <row r="2606">
          <cell r="B2606" t="str">
            <v>Xudaquliyev Hüseyn Arif</v>
          </cell>
          <cell r="C2606" t="str">
            <v>İnformasiya təhlükəsizliyi departamenti</v>
          </cell>
          <cell r="D2606" t="str">
            <v>Platforma təhlükəsizliyi şöbəsi</v>
          </cell>
          <cell r="E2606" t="str">
            <v>#</v>
          </cell>
          <cell r="F2606" t="str">
            <v>Baş mütəxəssis</v>
          </cell>
          <cell r="G2606" t="str">
            <v>A</v>
          </cell>
          <cell r="H2606">
            <v>45433</v>
          </cell>
        </row>
        <row r="2607">
          <cell r="B2607" t="str">
            <v>Əliyev Mehti Famil</v>
          </cell>
          <cell r="C2607" t="str">
            <v>İnformasiya təhlükəsizliyi departamenti</v>
          </cell>
          <cell r="D2607" t="str">
            <v>Platforma təhlükəsizliyi şöbəsi</v>
          </cell>
          <cell r="E2607" t="str">
            <v>#</v>
          </cell>
          <cell r="F2607" t="str">
            <v>Baş mütəxəssis</v>
          </cell>
          <cell r="G2607" t="str">
            <v>A</v>
          </cell>
          <cell r="H2607">
            <v>46195</v>
          </cell>
          <cell r="I2607" t="str">
            <v>Bir Payment</v>
          </cell>
        </row>
        <row r="2608">
          <cell r="B2608" t="str">
            <v>Süleymanlı Yusif Adgözəl</v>
          </cell>
          <cell r="C2608" t="str">
            <v>İnformasiya təhlükəsizliyi departamenti</v>
          </cell>
          <cell r="D2608" t="str">
            <v>Platforma təhlükəsizliyi şöbəsi</v>
          </cell>
          <cell r="E2608" t="str">
            <v>#</v>
          </cell>
          <cell r="F2608" t="str">
            <v>Aparıcı mütəxəssis</v>
          </cell>
          <cell r="G2608" t="str">
            <v>A</v>
          </cell>
          <cell r="H2608">
            <v>46195</v>
          </cell>
          <cell r="I2608" t="str">
            <v>Bir Payment</v>
          </cell>
        </row>
        <row r="2609">
          <cell r="B2609" t="str">
            <v>Həsənov Zaur Nəsir</v>
          </cell>
          <cell r="C2609" t="str">
            <v>İnformasiya təhlükəsizliyi departamenti</v>
          </cell>
          <cell r="D2609" t="str">
            <v>Platforma təhlükəsizliyi şöbəsi</v>
          </cell>
          <cell r="E2609" t="str">
            <v>#</v>
          </cell>
          <cell r="F2609" t="str">
            <v>Aparıcı mütəxəssis</v>
          </cell>
          <cell r="G2609" t="str">
            <v>A</v>
          </cell>
          <cell r="H2609">
            <v>46213</v>
          </cell>
          <cell r="I2609" t="str">
            <v>Bir Payment</v>
          </cell>
        </row>
        <row r="2610">
          <cell r="B2610" t="str">
            <v>Süleymanov Vaqif Elşən</v>
          </cell>
          <cell r="C2610" t="str">
            <v>İnformasiya təhlükəsizliyi departamenti</v>
          </cell>
          <cell r="D2610" t="str">
            <v>Platforma təhlükəsizliyi şöbəsi</v>
          </cell>
          <cell r="E2610" t="str">
            <v>#</v>
          </cell>
          <cell r="F2610" t="str">
            <v>Aparıcı mütəxəssis</v>
          </cell>
          <cell r="G2610" t="str">
            <v>A</v>
          </cell>
          <cell r="H2610">
            <v>46122</v>
          </cell>
          <cell r="I2610" t="str">
            <v>BirMarket</v>
          </cell>
        </row>
        <row r="2611">
          <cell r="B2611" t="str">
            <v>Aslanov Fərid Həsən</v>
          </cell>
          <cell r="C2611" t="str">
            <v>İT infrastruktur departamenti</v>
          </cell>
          <cell r="D2611" t="str">
            <v>Şəbəkə əməliyyatları şöbəsi</v>
          </cell>
          <cell r="E2611" t="str">
            <v>#</v>
          </cell>
          <cell r="F2611" t="str">
            <v>Menecer</v>
          </cell>
          <cell r="G2611" t="str">
            <v>A</v>
          </cell>
          <cell r="H2611">
            <v>42360</v>
          </cell>
        </row>
        <row r="2612">
          <cell r="B2612" t="str">
            <v>Əhmədov Eynar Eyvaz</v>
          </cell>
          <cell r="C2612" t="str">
            <v>İT infrastruktur departamenti</v>
          </cell>
          <cell r="D2612" t="str">
            <v>Şəbəkə əməliyyatları şöbəsi</v>
          </cell>
          <cell r="E2612" t="str">
            <v>#</v>
          </cell>
          <cell r="F2612" t="str">
            <v>Baş mütəxəssis</v>
          </cell>
          <cell r="G2612" t="str">
            <v>A</v>
          </cell>
          <cell r="H2612">
            <v>45632</v>
          </cell>
        </row>
        <row r="2613">
          <cell r="B2613" t="str">
            <v>Əhmədov Tamerlan Mehti</v>
          </cell>
          <cell r="C2613" t="str">
            <v>İT infrastruktur departamenti</v>
          </cell>
          <cell r="D2613" t="str">
            <v>Şəbəkə əməliyyatları şöbəsi</v>
          </cell>
          <cell r="E2613" t="str">
            <v>#</v>
          </cell>
          <cell r="F2613" t="str">
            <v>Aparıcı mütəxəssis</v>
          </cell>
          <cell r="G2613" t="str">
            <v>A</v>
          </cell>
          <cell r="H2613">
            <v>46213</v>
          </cell>
          <cell r="I2613" t="str">
            <v>Bir Payment</v>
          </cell>
        </row>
        <row r="2614">
          <cell r="B2614" t="str">
            <v>İsrafilov Racib Telman</v>
          </cell>
          <cell r="C2614" t="str">
            <v>İT infrastruktur departamenti</v>
          </cell>
          <cell r="D2614" t="str">
            <v>Şəbəkə əməliyyatları şöbəsi</v>
          </cell>
          <cell r="E2614" t="str">
            <v>#</v>
          </cell>
          <cell r="F2614" t="str">
            <v>Mütəxəssis</v>
          </cell>
          <cell r="G2614" t="str">
            <v>A</v>
          </cell>
          <cell r="H2614">
            <v>45586</v>
          </cell>
        </row>
        <row r="2615">
          <cell r="B2615" t="str">
            <v>Muradi Murad Ehtibar</v>
          </cell>
          <cell r="C2615" t="str">
            <v>İnformasiya təhlükəsizliyi departamenti</v>
          </cell>
          <cell r="D2615" t="str">
            <v>Platforma təhlükəsizliyi şöbəsi</v>
          </cell>
          <cell r="E2615" t="str">
            <v>#</v>
          </cell>
          <cell r="F2615" t="str">
            <v>Baş mütəxəssis</v>
          </cell>
          <cell r="G2615" t="str">
            <v>A</v>
          </cell>
          <cell r="H2615">
            <v>45916</v>
          </cell>
        </row>
        <row r="2616">
          <cell r="B2616" t="str">
            <v>Mustafayev Sahib Rövşən</v>
          </cell>
          <cell r="C2616" t="str">
            <v>İnformasiya təhlükəsizliyi departamenti</v>
          </cell>
          <cell r="D2616" t="str">
            <v>Platforma təhlükəsizliyi şöbəsi</v>
          </cell>
          <cell r="E2616" t="str">
            <v>#</v>
          </cell>
          <cell r="F2616" t="str">
            <v>Aparıcı mütəxəssis</v>
          </cell>
          <cell r="G2616" t="str">
            <v>A</v>
          </cell>
          <cell r="H2616">
            <v>45600</v>
          </cell>
        </row>
        <row r="2617">
          <cell r="B2617" t="str">
            <v>Qədirli Qədir Əfqan</v>
          </cell>
          <cell r="C2617" t="str">
            <v>İnformasiya təhlükəsizliyi departamenti</v>
          </cell>
          <cell r="D2617" t="str">
            <v>Platforma təhlükəsizliyi şöbəsi</v>
          </cell>
          <cell r="E2617" t="str">
            <v>#</v>
          </cell>
          <cell r="F2617" t="str">
            <v>Mütəxəssis</v>
          </cell>
          <cell r="G2617" t="str">
            <v>A</v>
          </cell>
          <cell r="H2617">
            <v>46183</v>
          </cell>
        </row>
        <row r="2618">
          <cell r="B2618" t="str">
            <v>Məmmədov Rəşad Oqtay</v>
          </cell>
          <cell r="C2618" t="str">
            <v>İT infrastruktur departamenti</v>
          </cell>
          <cell r="D2618" t="str">
            <v>Şəbəkə əməliyyatları şöbəsi</v>
          </cell>
          <cell r="E2618" t="str">
            <v>#</v>
          </cell>
          <cell r="F2618" t="str">
            <v>Aparıcı mütəxəssis</v>
          </cell>
          <cell r="G2618" t="str">
            <v>A</v>
          </cell>
          <cell r="H2618">
            <v>45344</v>
          </cell>
        </row>
        <row r="2619">
          <cell r="B2619" t="str">
            <v>Əhmədov Rəşad Ələkbər</v>
          </cell>
          <cell r="C2619" t="str">
            <v>İnformasiya təhlükəsizliyi departamenti</v>
          </cell>
          <cell r="D2619" t="str">
            <v>Şəbəkə təhlükəsizliyi şöbəsi</v>
          </cell>
          <cell r="E2619" t="str">
            <v>#</v>
          </cell>
          <cell r="F2619" t="str">
            <v>Menecer</v>
          </cell>
          <cell r="G2619" t="str">
            <v>A</v>
          </cell>
          <cell r="H2619">
            <v>44105</v>
          </cell>
        </row>
        <row r="2620">
          <cell r="B2620" t="str">
            <v>Seyidzadə Rəşadət Fazil</v>
          </cell>
          <cell r="C2620" t="str">
            <v>İnformasiya təhlükəsizliyi departamenti</v>
          </cell>
          <cell r="D2620" t="str">
            <v>Şəbəkə təhlükəsizliyi şöbəsi</v>
          </cell>
          <cell r="E2620" t="str">
            <v>#</v>
          </cell>
          <cell r="F2620" t="str">
            <v>aparıcı mütəxəssis</v>
          </cell>
          <cell r="G2620" t="str">
            <v>A</v>
          </cell>
          <cell r="H2620">
            <v>45342</v>
          </cell>
        </row>
        <row r="2621">
          <cell r="B2621" t="str">
            <v>Kiçibəyov Nahid Namiq</v>
          </cell>
          <cell r="C2621" t="str">
            <v>İnformasiya təhlükəsizliyi departamenti</v>
          </cell>
          <cell r="D2621" t="str">
            <v>Şəbəkə təhlükəsizliyi şöbəsi</v>
          </cell>
          <cell r="E2621" t="str">
            <v>#</v>
          </cell>
          <cell r="F2621" t="str">
            <v>Aparıcı mütəxəssis</v>
          </cell>
          <cell r="G2621" t="str">
            <v>A</v>
          </cell>
          <cell r="H2621">
            <v>43657</v>
          </cell>
        </row>
        <row r="2622">
          <cell r="B2622" t="str">
            <v>Haqverdiyev İlqar Habil</v>
          </cell>
          <cell r="C2622" t="str">
            <v>İnformasiya təhlükəsizliyi departamenti</v>
          </cell>
          <cell r="D2622" t="str">
            <v>Şəbəkə təhlükəsizliyi şöbəsi</v>
          </cell>
          <cell r="E2622" t="str">
            <v>#</v>
          </cell>
          <cell r="F2622" t="str">
            <v>Aparıcı mütəxəssis</v>
          </cell>
          <cell r="G2622" t="str">
            <v>A</v>
          </cell>
          <cell r="H2622">
            <v>45825</v>
          </cell>
        </row>
        <row r="2623">
          <cell r="B2623" t="str">
            <v>Nağdiyev Şahin Atabəy</v>
          </cell>
          <cell r="C2623" t="str">
            <v>İnformasiya təhlükəsizliyi departamenti</v>
          </cell>
          <cell r="D2623" t="str">
            <v>Şəbəkə təhlükəsizliyi şöbəsi</v>
          </cell>
          <cell r="E2623" t="str">
            <v>#</v>
          </cell>
          <cell r="F2623" t="str">
            <v>Mütəxəssis</v>
          </cell>
          <cell r="G2623" t="str">
            <v>A</v>
          </cell>
          <cell r="H2623">
            <v>45905</v>
          </cell>
        </row>
        <row r="2624">
          <cell r="B2624" t="str">
            <v>Yusibov Binnət Sadiq</v>
          </cell>
          <cell r="C2624" t="str">
            <v>İT infrastruktur departamenti</v>
          </cell>
          <cell r="D2624" t="str">
            <v>Şəbəkə əməliyyatları şöbəsi</v>
          </cell>
          <cell r="E2624" t="str">
            <v>#</v>
          </cell>
          <cell r="F2624" t="str">
            <v>Mütəxəssis</v>
          </cell>
          <cell r="G2624" t="str">
            <v>A</v>
          </cell>
          <cell r="H2624">
            <v>45908</v>
          </cell>
        </row>
        <row r="2625">
          <cell r="B2625" t="str">
            <v>Sadıqova Rəna İlqar</v>
          </cell>
          <cell r="C2625" t="str">
            <v>İnformasiya təhlükəsizliyi departamenti</v>
          </cell>
          <cell r="D2625" t="str">
            <v>Platforma təhlükəsizliyi şöbəsi</v>
          </cell>
          <cell r="E2625" t="str">
            <v>#</v>
          </cell>
          <cell r="F2625" t="str">
            <v>Mütəxəssis</v>
          </cell>
          <cell r="G2625" t="str">
            <v>A</v>
          </cell>
          <cell r="H2625">
            <v>45646</v>
          </cell>
        </row>
        <row r="2626">
          <cell r="B2626" t="str">
            <v>Rüstəmli Məsim Çingiz</v>
          </cell>
          <cell r="C2626" t="str">
            <v>İT infrastruktur departamenti</v>
          </cell>
          <cell r="D2626" t="str">
            <v>İT hüquqlar və texniki dəstək şöbəsi</v>
          </cell>
          <cell r="E2626" t="str">
            <v>İT hüquqlar bölməsi</v>
          </cell>
          <cell r="F2626" t="str">
            <v>Bölmə rəhbəri</v>
          </cell>
          <cell r="G2626" t="str">
            <v>A</v>
          </cell>
          <cell r="H2626">
            <v>43853</v>
          </cell>
        </row>
        <row r="2627">
          <cell r="B2627" t="str">
            <v>Yermolayev Dmitriy Vitalyeviç</v>
          </cell>
          <cell r="C2627" t="str">
            <v>İT infrastruktur departamenti</v>
          </cell>
          <cell r="D2627" t="str">
            <v>İT hüquqlar və texniki dəstək şöbəsi</v>
          </cell>
          <cell r="E2627" t="str">
            <v>İT hüquqlar bölməsi</v>
          </cell>
          <cell r="F2627" t="str">
            <v>Baş mütəxəssis</v>
          </cell>
          <cell r="G2627" t="str">
            <v>A</v>
          </cell>
          <cell r="H2627">
            <v>43502</v>
          </cell>
        </row>
        <row r="2628">
          <cell r="B2628" t="str">
            <v>Vəliyev Arzu Ülfət</v>
          </cell>
          <cell r="C2628" t="str">
            <v>İT infrastruktur departamenti</v>
          </cell>
          <cell r="D2628" t="str">
            <v>İT hüquqlar və texniki dəstək şöbəsi</v>
          </cell>
          <cell r="E2628" t="str">
            <v>İT hüquqlar bölməsi</v>
          </cell>
          <cell r="F2628" t="str">
            <v>Baş mütəxəssis</v>
          </cell>
          <cell r="G2628" t="str">
            <v>A</v>
          </cell>
          <cell r="H2628">
            <v>43509</v>
          </cell>
        </row>
        <row r="2629">
          <cell r="B2629" t="str">
            <v>İbrahimli Qoşqar Rövşən</v>
          </cell>
          <cell r="C2629" t="str">
            <v>İT infrastruktur departamenti</v>
          </cell>
          <cell r="D2629" t="str">
            <v>İT hüquqlar və texniki dəstək şöbəsi</v>
          </cell>
          <cell r="E2629" t="str">
            <v>İT hüquqlar bölməsi</v>
          </cell>
          <cell r="F2629" t="str">
            <v>Baş mütəxəssis</v>
          </cell>
          <cell r="G2629" t="str">
            <v>A</v>
          </cell>
          <cell r="H2629">
            <v>44613</v>
          </cell>
        </row>
        <row r="2630">
          <cell r="B2630" t="str">
            <v>Məmmədov Toğrul İbrahim</v>
          </cell>
          <cell r="C2630" t="str">
            <v>İT infrastruktur departamenti</v>
          </cell>
          <cell r="D2630" t="str">
            <v>İT hüquqlar və texniki dəstək şöbəsi</v>
          </cell>
          <cell r="E2630" t="str">
            <v>İT hüquqlar bölməsi</v>
          </cell>
          <cell r="F2630" t="str">
            <v>Aparıcı mütəxəssis</v>
          </cell>
          <cell r="G2630" t="str">
            <v>A</v>
          </cell>
          <cell r="H2630">
            <v>44543</v>
          </cell>
        </row>
        <row r="2631">
          <cell r="B2631" t="str">
            <v>Ramazanova Çinarə Elşad</v>
          </cell>
          <cell r="C2631" t="str">
            <v>İT infrastruktur departamenti</v>
          </cell>
          <cell r="D2631" t="str">
            <v>İT hüquqlar və texniki dəstək şöbəsi</v>
          </cell>
          <cell r="E2631" t="str">
            <v>İT hüquqlar bölməsi</v>
          </cell>
          <cell r="F2631" t="str">
            <v>Aparıcı mütəxəssis</v>
          </cell>
          <cell r="G2631" t="str">
            <v>A</v>
          </cell>
          <cell r="H2631">
            <v>44698</v>
          </cell>
        </row>
        <row r="2632">
          <cell r="B2632" t="str">
            <v>Məmmədli Sona Naseh</v>
          </cell>
          <cell r="C2632" t="str">
            <v>İT infrastruktur departamenti</v>
          </cell>
          <cell r="D2632" t="str">
            <v>İT hüquqlar və texniki dəstək şöbəsi</v>
          </cell>
          <cell r="E2632" t="str">
            <v>İT hüquqlar bölməsi</v>
          </cell>
          <cell r="F2632" t="str">
            <v>Aparıcı mütəxəssis</v>
          </cell>
          <cell r="G2632" t="str">
            <v>A</v>
          </cell>
          <cell r="H2632">
            <v>44614</v>
          </cell>
        </row>
        <row r="2633">
          <cell r="B2633" t="str">
            <v>Mehdiyev Elmir Niyazi</v>
          </cell>
          <cell r="C2633" t="str">
            <v>İT infrastruktur departamenti</v>
          </cell>
          <cell r="D2633" t="str">
            <v>İT hüquqlar və texniki dəstək şöbəsi</v>
          </cell>
          <cell r="E2633" t="str">
            <v>İT hüquqlar bölməsi</v>
          </cell>
          <cell r="F2633" t="str">
            <v>Aparıcı mütəxəssis</v>
          </cell>
          <cell r="G2633" t="str">
            <v>A</v>
          </cell>
          <cell r="H2633">
            <v>44655</v>
          </cell>
        </row>
        <row r="2634">
          <cell r="B2634" t="str">
            <v>Salamlı Şəms Şərif</v>
          </cell>
          <cell r="C2634" t="str">
            <v>İT infrastruktur departamenti</v>
          </cell>
          <cell r="D2634" t="str">
            <v>İT hüquqlar və texniki dəstək şöbəsi</v>
          </cell>
          <cell r="E2634" t="str">
            <v>İT hüquqlar bölməsi</v>
          </cell>
          <cell r="F2634" t="str">
            <v>Mütəxəssis</v>
          </cell>
          <cell r="G2634" t="str">
            <v>A</v>
          </cell>
          <cell r="H2634">
            <v>45173</v>
          </cell>
        </row>
        <row r="2635">
          <cell r="B2635" t="str">
            <v>Əhmədzadə Tehranə İsmayıl</v>
          </cell>
          <cell r="C2635" t="str">
            <v>İT infrastruktur departamenti</v>
          </cell>
          <cell r="D2635" t="str">
            <v>İT hüquqlar və texniki dəstək şöbəsi</v>
          </cell>
          <cell r="E2635" t="str">
            <v>İT hüquqlar bölməsi</v>
          </cell>
          <cell r="F2635" t="str">
            <v>Aparıcı mütəxəssis</v>
          </cell>
          <cell r="G2635" t="str">
            <v>A</v>
          </cell>
          <cell r="H2635">
            <v>45173</v>
          </cell>
        </row>
        <row r="2636">
          <cell r="B2636" t="str">
            <v>Səlimova Jalə Həsənağa</v>
          </cell>
          <cell r="C2636" t="str">
            <v>İT infrastruktur departamenti</v>
          </cell>
          <cell r="D2636" t="str">
            <v>İT hüquqlar və texniki dəstək şöbəsi</v>
          </cell>
          <cell r="E2636" t="str">
            <v>İT hüquqlar bölməsi</v>
          </cell>
          <cell r="F2636" t="str">
            <v>Mütəxəssis</v>
          </cell>
          <cell r="G2636" t="str">
            <v>A</v>
          </cell>
          <cell r="H2636">
            <v>45173</v>
          </cell>
        </row>
        <row r="2637">
          <cell r="B2637" t="str">
            <v>Nuriyev Aydın Məhərrəməli</v>
          </cell>
          <cell r="C2637" t="str">
            <v>İT infrastruktur departamenti</v>
          </cell>
          <cell r="D2637" t="str">
            <v>İT hüquqlar və texniki dəstək şöbəsi</v>
          </cell>
          <cell r="E2637" t="str">
            <v>Texniki dəstək bölməsi</v>
          </cell>
          <cell r="F2637" t="str">
            <v>Baş mütəxəssis</v>
          </cell>
          <cell r="G2637" t="str">
            <v>A</v>
          </cell>
          <cell r="H2637">
            <v>43301</v>
          </cell>
        </row>
        <row r="2638">
          <cell r="B2638" t="str">
            <v>Muradlı Lütviyyə Zavur</v>
          </cell>
          <cell r="C2638" t="str">
            <v>İT infrastruktur departamenti</v>
          </cell>
          <cell r="D2638" t="str">
            <v>İT hüquqlar və texniki dəstək şöbəsi</v>
          </cell>
          <cell r="E2638" t="str">
            <v>İlkin dəstək bölməsi</v>
          </cell>
          <cell r="F2638" t="str">
            <v>Bölmə rəhbəri</v>
          </cell>
          <cell r="G2638" t="str">
            <v>A</v>
          </cell>
          <cell r="H2638">
            <v>43440</v>
          </cell>
        </row>
        <row r="2639">
          <cell r="B2639" t="str">
            <v>Tağıyev Əli Vilayət</v>
          </cell>
          <cell r="C2639" t="str">
            <v>İT infrastruktur departamenti</v>
          </cell>
          <cell r="D2639" t="str">
            <v>İT hüquqlar və texniki dəstək şöbəsi</v>
          </cell>
          <cell r="E2639" t="str">
            <v>İT hüquqlar bölməsi</v>
          </cell>
          <cell r="F2639" t="str">
            <v xml:space="preserve">Kiçik mütəxəssis </v>
          </cell>
          <cell r="G2639" t="str">
            <v>A</v>
          </cell>
          <cell r="H2639">
            <v>46120</v>
          </cell>
        </row>
        <row r="2640">
          <cell r="B2640" t="str">
            <v>Zülfüqarov Tural Telman</v>
          </cell>
          <cell r="C2640" t="str">
            <v>İT infrastruktur departamenti</v>
          </cell>
          <cell r="D2640" t="str">
            <v>İT hüquqlar və texniki dəstək şöbəsi</v>
          </cell>
          <cell r="E2640" t="str">
            <v>Texniki dəstək bölməsi</v>
          </cell>
          <cell r="F2640" t="str">
            <v>Bölmə rəhbəri</v>
          </cell>
          <cell r="G2640" t="str">
            <v>A</v>
          </cell>
          <cell r="H2640">
            <v>43853</v>
          </cell>
        </row>
        <row r="2641">
          <cell r="B2641" t="str">
            <v>Məmmədov Azər Vidadi</v>
          </cell>
          <cell r="C2641" t="str">
            <v>İT infrastruktur departamenti</v>
          </cell>
          <cell r="D2641" t="str">
            <v>İT hüquqlar və texniki dəstək şöbəsi</v>
          </cell>
          <cell r="E2641" t="str">
            <v>Texniki dəstək bölməsi</v>
          </cell>
          <cell r="F2641" t="str">
            <v>Aparıcı mütəxəssis</v>
          </cell>
          <cell r="G2641" t="str">
            <v>A</v>
          </cell>
          <cell r="H2641">
            <v>44292</v>
          </cell>
        </row>
        <row r="2642">
          <cell r="B2642" t="str">
            <v>Vəliyeva Arzu Bilal</v>
          </cell>
          <cell r="C2642" t="str">
            <v>İT infrastruktur departamenti</v>
          </cell>
          <cell r="D2642" t="str">
            <v>İT hüquqlar və texniki dəstək şöbəsi</v>
          </cell>
          <cell r="E2642" t="str">
            <v>İlkin dəstək bölməsi</v>
          </cell>
          <cell r="F2642" t="str">
            <v>Aparıcı mütəxəssis</v>
          </cell>
          <cell r="G2642" t="str">
            <v>A</v>
          </cell>
          <cell r="H2642">
            <v>44503</v>
          </cell>
        </row>
        <row r="2643">
          <cell r="B2643" t="str">
            <v>İsmayılzadə Vüqar Rasim</v>
          </cell>
          <cell r="C2643" t="str">
            <v>İT infrastruktur departamenti</v>
          </cell>
          <cell r="D2643" t="str">
            <v>İT hüquqlar və texniki dəstək şöbəsi</v>
          </cell>
          <cell r="E2643" t="str">
            <v>Texniki dəstək bölməsi</v>
          </cell>
          <cell r="F2643" t="str">
            <v>Aparıcı mütəxəssis</v>
          </cell>
          <cell r="G2643" t="str">
            <v>A</v>
          </cell>
          <cell r="H2643">
            <v>45161</v>
          </cell>
        </row>
        <row r="2644">
          <cell r="B2644" t="str">
            <v>Vəliyev Süleyman Sabir</v>
          </cell>
          <cell r="C2644" t="str">
            <v>İT infrastruktur departamenti</v>
          </cell>
          <cell r="D2644" t="str">
            <v>İT hüquqlar və texniki dəstək şöbəsi</v>
          </cell>
          <cell r="E2644" t="str">
            <v>Texniki dəstək bölməsi</v>
          </cell>
          <cell r="F2644" t="str">
            <v>Aparıcı mütəxəssis</v>
          </cell>
          <cell r="G2644" t="str">
            <v>A</v>
          </cell>
          <cell r="H2644">
            <v>43657</v>
          </cell>
        </row>
        <row r="2645">
          <cell r="B2645" t="str">
            <v>Ağayev Rafiq Riad</v>
          </cell>
          <cell r="C2645" t="str">
            <v>İT infrastruktur departamenti</v>
          </cell>
          <cell r="D2645" t="str">
            <v>İT hüquqlar və texniki dəstək şöbəsi</v>
          </cell>
          <cell r="E2645" t="str">
            <v>İlkin dəstək bölməsi</v>
          </cell>
          <cell r="F2645" t="str">
            <v>Aparıcı mütəxəssis</v>
          </cell>
          <cell r="G2645" t="str">
            <v>A</v>
          </cell>
          <cell r="H2645">
            <v>43539</v>
          </cell>
        </row>
        <row r="2646">
          <cell r="B2646" t="str">
            <v>Cəfərov Əfqan Tağı</v>
          </cell>
          <cell r="C2646" t="str">
            <v>İT infrastruktur departamenti</v>
          </cell>
          <cell r="D2646" t="str">
            <v>İT hüquqlar və texniki dəstək şöbəsi</v>
          </cell>
          <cell r="E2646" t="str">
            <v>Texniki dəstək bölməsi</v>
          </cell>
          <cell r="F2646" t="str">
            <v>Baş mütəxəssis</v>
          </cell>
          <cell r="G2646" t="str">
            <v>A</v>
          </cell>
          <cell r="H2646">
            <v>45279</v>
          </cell>
        </row>
        <row r="2647">
          <cell r="B2647" t="str">
            <v>Kişiyev Arif Nadir</v>
          </cell>
          <cell r="C2647" t="str">
            <v>İT infrastruktur departamenti</v>
          </cell>
          <cell r="D2647" t="str">
            <v>İT hüquqlar və texniki dəstək şöbəsi</v>
          </cell>
          <cell r="E2647" t="str">
            <v>Texniki dəstək bölməsi</v>
          </cell>
          <cell r="F2647" t="str">
            <v>Aparıcı mütəxəssis</v>
          </cell>
          <cell r="G2647" t="str">
            <v>A</v>
          </cell>
          <cell r="H2647">
            <v>45125</v>
          </cell>
        </row>
        <row r="2648">
          <cell r="B2648" t="str">
            <v>Nəsirov Fərid Mirteyyub</v>
          </cell>
          <cell r="C2648" t="str">
            <v>İT infrastruktur departamenti</v>
          </cell>
          <cell r="D2648" t="str">
            <v>İT hüquqlar və texniki dəstək şöbəsi</v>
          </cell>
          <cell r="E2648" t="str">
            <v>Texniki dəstək bölməsi</v>
          </cell>
          <cell r="F2648" t="str">
            <v>Aparıcı mütəxəssis</v>
          </cell>
          <cell r="G2648" t="str">
            <v>A</v>
          </cell>
          <cell r="H2648">
            <v>43060</v>
          </cell>
        </row>
        <row r="2649">
          <cell r="B2649" t="str">
            <v>Həsənli Murad Əprayıl</v>
          </cell>
          <cell r="C2649" t="str">
            <v>İT infrastruktur departamenti</v>
          </cell>
          <cell r="D2649" t="str">
            <v>İT hüquqlar və texniki dəstək şöbəsi</v>
          </cell>
          <cell r="E2649" t="str">
            <v>Texniki dəstək bölməsi</v>
          </cell>
          <cell r="F2649" t="str">
            <v>Mütəxəssis</v>
          </cell>
          <cell r="G2649" t="str">
            <v>A</v>
          </cell>
          <cell r="H2649">
            <v>45125</v>
          </cell>
        </row>
        <row r="2650">
          <cell r="B2650" t="str">
            <v>İsayev Şamo Musa</v>
          </cell>
          <cell r="C2650" t="str">
            <v>İT infrastruktur departamenti</v>
          </cell>
          <cell r="D2650" t="str">
            <v>İT hüquqlar və texniki dəstək şöbəsi</v>
          </cell>
          <cell r="E2650" t="str">
            <v>Texniki dəstək bölməsi</v>
          </cell>
          <cell r="F2650" t="str">
            <v>Aparıcı mütəxəssis</v>
          </cell>
          <cell r="G2650" t="str">
            <v>A</v>
          </cell>
          <cell r="H2650">
            <v>45133</v>
          </cell>
        </row>
        <row r="2651">
          <cell r="B2651" t="str">
            <v>Həmidov Musa Səməd</v>
          </cell>
          <cell r="C2651" t="str">
            <v>İT infrastruktur departamenti</v>
          </cell>
          <cell r="D2651" t="str">
            <v>İT hüquqlar və texniki dəstək şöbəsi</v>
          </cell>
          <cell r="E2651" t="str">
            <v>Texniki dəstək bölməsi</v>
          </cell>
          <cell r="F2651" t="str">
            <v>Aparıcı mütəxəssis</v>
          </cell>
          <cell r="G2651" t="str">
            <v>A</v>
          </cell>
          <cell r="H2651">
            <v>45001</v>
          </cell>
        </row>
        <row r="2652">
          <cell r="B2652" t="str">
            <v>Ələkbərli Mirhüseyn Ehtibar</v>
          </cell>
          <cell r="C2652" t="str">
            <v>İT infrastruktur departamenti</v>
          </cell>
          <cell r="D2652" t="str">
            <v>İT hüquqlar və texniki dəstək şöbəsi</v>
          </cell>
          <cell r="E2652" t="str">
            <v>Texniki dəstək bölməsi</v>
          </cell>
          <cell r="F2652" t="str">
            <v>Mütəxəssis</v>
          </cell>
          <cell r="G2652" t="str">
            <v>A</v>
          </cell>
          <cell r="H2652">
            <v>45189</v>
          </cell>
        </row>
        <row r="2653">
          <cell r="B2653" t="str">
            <v>Quluzadə Emil Rza</v>
          </cell>
          <cell r="C2653" t="str">
            <v>İT infrastruktur departamenti</v>
          </cell>
          <cell r="D2653" t="str">
            <v>İT hüquqlar və texniki dəstək şöbəsi</v>
          </cell>
          <cell r="E2653" t="str">
            <v>Texniki dəstək bölməsi</v>
          </cell>
          <cell r="F2653" t="str">
            <v>Mütəxəssis</v>
          </cell>
          <cell r="G2653" t="str">
            <v>A</v>
          </cell>
          <cell r="H2653">
            <v>45132</v>
          </cell>
        </row>
        <row r="2654">
          <cell r="B2654" t="str">
            <v>Muradalı Kamandar Yaşar</v>
          </cell>
          <cell r="C2654" t="str">
            <v>İT infrastruktur departamenti</v>
          </cell>
          <cell r="D2654" t="str">
            <v>İT hüquqlar və texniki dəstək şöbəsi</v>
          </cell>
          <cell r="E2654" t="str">
            <v>Texniki dəstək bölməsi</v>
          </cell>
          <cell r="F2654" t="str">
            <v>Mütəxəssis</v>
          </cell>
          <cell r="G2654" t="str">
            <v>A</v>
          </cell>
          <cell r="H2654">
            <v>45531</v>
          </cell>
        </row>
        <row r="2655">
          <cell r="B2655" t="str">
            <v>Qəniyev Səid Səyavuş</v>
          </cell>
          <cell r="C2655" t="str">
            <v>İT infrastruktur departamenti</v>
          </cell>
          <cell r="D2655" t="str">
            <v>İT hüquqlar və texniki dəstək şöbəsi</v>
          </cell>
          <cell r="E2655" t="str">
            <v>İlkin dəstək bölməsi</v>
          </cell>
          <cell r="F2655" t="str">
            <v>Mütəxəssis</v>
          </cell>
          <cell r="G2655" t="str">
            <v>A</v>
          </cell>
          <cell r="H2655">
            <v>45566</v>
          </cell>
        </row>
        <row r="2656">
          <cell r="B2656" t="str">
            <v>Mehdiyev Anar Rza</v>
          </cell>
          <cell r="C2656" t="str">
            <v>İT infrastruktur departamenti</v>
          </cell>
          <cell r="D2656" t="str">
            <v>İT hüquqlar və texniki dəstək şöbəsi</v>
          </cell>
          <cell r="E2656" t="str">
            <v>Texniki dəstək bölməsi</v>
          </cell>
          <cell r="F2656" t="str">
            <v>Aparıcı mütəxəssis</v>
          </cell>
          <cell r="G2656" t="str">
            <v>A</v>
          </cell>
          <cell r="H2656">
            <v>45279</v>
          </cell>
        </row>
        <row r="2657">
          <cell r="B2657" t="str">
            <v>Məhəmmədli Nihad Ədalət</v>
          </cell>
          <cell r="C2657" t="str">
            <v>İT infrastruktur departamenti</v>
          </cell>
          <cell r="D2657" t="str">
            <v>İT hüquqlar və texniki dəstək şöbəsi</v>
          </cell>
          <cell r="E2657" t="str">
            <v>Texniki dəstək bölməsi</v>
          </cell>
          <cell r="F2657" t="str">
            <v>Kiçik mütəxəssis</v>
          </cell>
          <cell r="G2657" t="str">
            <v>A</v>
          </cell>
          <cell r="H2657">
            <v>46073</v>
          </cell>
        </row>
        <row r="2658">
          <cell r="B2658" t="str">
            <v>İsmayılova Nuray Fərid</v>
          </cell>
          <cell r="C2658" t="str">
            <v>İT infrastruktur departamenti</v>
          </cell>
          <cell r="D2658" t="str">
            <v>İT hüquqlar və texniki dəstək şöbəsi</v>
          </cell>
          <cell r="E2658" t="str">
            <v>Texniki dəstək bölməsi</v>
          </cell>
          <cell r="F2658" t="str">
            <v>Kiçik mütəxəssis</v>
          </cell>
          <cell r="G2658" t="str">
            <v>A</v>
          </cell>
          <cell r="H2658">
            <v>46125</v>
          </cell>
        </row>
        <row r="2659">
          <cell r="B2659" t="str">
            <v>Zeynallı Nurlan Halay</v>
          </cell>
          <cell r="C2659" t="str">
            <v>İT infrastruktur departamenti</v>
          </cell>
          <cell r="D2659" t="str">
            <v>İT hüquqlar və texniki dəstək şöbəsi</v>
          </cell>
          <cell r="E2659" t="str">
            <v>Texniki dəstək bölməsi</v>
          </cell>
          <cell r="F2659" t="str">
            <v>Kiçik mütəxəssis</v>
          </cell>
          <cell r="G2659" t="str">
            <v>A</v>
          </cell>
          <cell r="H2659">
            <v>46128</v>
          </cell>
        </row>
        <row r="2660">
          <cell r="B2660" t="str">
            <v>Zeynalov Fuad Qafar</v>
          </cell>
          <cell r="C2660" t="str">
            <v>İT infrastruktur departamenti</v>
          </cell>
          <cell r="D2660" t="str">
            <v>İT hüquqlar və texniki dəstək şöbəsi</v>
          </cell>
          <cell r="E2660" t="str">
            <v>Texniki dəstək bölməsi</v>
          </cell>
          <cell r="F2660" t="str">
            <v>Mütəxəssis</v>
          </cell>
          <cell r="G2660" t="str">
            <v>A</v>
          </cell>
          <cell r="H2660">
            <v>45719</v>
          </cell>
        </row>
        <row r="2661">
          <cell r="B2661" t="str">
            <v>Hacıyev Aydin Rüstəm</v>
          </cell>
          <cell r="C2661" t="str">
            <v>İT infrastruktur departamenti</v>
          </cell>
          <cell r="D2661" t="str">
            <v>İT hüquqlar və texniki dəstək şöbəsi</v>
          </cell>
          <cell r="E2661" t="str">
            <v>Texniki dəstək bölməsi</v>
          </cell>
          <cell r="F2661" t="str">
            <v>Mütəxəssis</v>
          </cell>
          <cell r="G2661" t="str">
            <v>A</v>
          </cell>
          <cell r="H2661">
            <v>45994</v>
          </cell>
        </row>
        <row r="2662">
          <cell r="B2662" t="str">
            <v>Fəttayev Aydın Rauf</v>
          </cell>
          <cell r="C2662" t="str">
            <v>İT infrastruktur departamenti</v>
          </cell>
          <cell r="D2662" t="str">
            <v>İT hüquqlar və texniki dəstək şöbəsi</v>
          </cell>
          <cell r="E2662" t="str">
            <v>İlkin dəstək bölməsi</v>
          </cell>
          <cell r="F2662" t="str">
            <v>Mütəxəssis</v>
          </cell>
          <cell r="G2662" t="str">
            <v>A</v>
          </cell>
          <cell r="H2662">
            <v>45488</v>
          </cell>
        </row>
        <row r="2663">
          <cell r="B2663" t="str">
            <v>Ocaqova Nuhran Əfqan</v>
          </cell>
          <cell r="C2663" t="str">
            <v>İT infrastruktur departamenti</v>
          </cell>
          <cell r="D2663" t="str">
            <v>İT hüquqlar və texniki dəstək şöbəsi</v>
          </cell>
          <cell r="E2663" t="str">
            <v>İlkin dəstək bölməsi</v>
          </cell>
          <cell r="F2663" t="str">
            <v>Mütəxəssis</v>
          </cell>
          <cell r="G2663" t="str">
            <v>A</v>
          </cell>
          <cell r="H2663">
            <v>45279</v>
          </cell>
        </row>
        <row r="2664">
          <cell r="B2664" t="str">
            <v>Kişiyeva Nərgiz Zamin</v>
          </cell>
          <cell r="C2664" t="str">
            <v>İT infrastruktur departamenti</v>
          </cell>
          <cell r="D2664" t="str">
            <v>İT hüquqlar və texniki dəstək şöbəsi</v>
          </cell>
          <cell r="E2664" t="str">
            <v>İlkin dəstək bölməsi</v>
          </cell>
          <cell r="F2664" t="str">
            <v>Mütəxəssis</v>
          </cell>
          <cell r="G2664" t="str">
            <v>A</v>
          </cell>
          <cell r="H2664">
            <v>45544</v>
          </cell>
        </row>
        <row r="2665">
          <cell r="B2665" t="str">
            <v>Cəfərov Sabir Məzahir</v>
          </cell>
          <cell r="C2665" t="str">
            <v>İT infrastruktur departamenti</v>
          </cell>
          <cell r="D2665" t="str">
            <v>İT hüquqlar və texniki dəstək şöbəsi</v>
          </cell>
          <cell r="E2665" t="str">
            <v>İlkin dəstək bölməsi</v>
          </cell>
          <cell r="F2665" t="str">
            <v>Mütəxəssis</v>
          </cell>
          <cell r="G2665" t="str">
            <v>A</v>
          </cell>
          <cell r="H2665">
            <v>45645</v>
          </cell>
        </row>
        <row r="2666">
          <cell r="B2666" t="str">
            <v>Süleymanova Fidan Mehman</v>
          </cell>
          <cell r="C2666" t="str">
            <v>İT infrastruktur departamenti</v>
          </cell>
          <cell r="D2666" t="str">
            <v>İT hüquqlar və texniki dəstək şöbəsi</v>
          </cell>
          <cell r="E2666" t="str">
            <v>İlkin dəstək bölməsi</v>
          </cell>
          <cell r="F2666" t="str">
            <v>Mütəxəssis</v>
          </cell>
          <cell r="G2666" t="str">
            <v>A</v>
          </cell>
          <cell r="H2666">
            <v>45645</v>
          </cell>
        </row>
        <row r="2667">
          <cell r="B2667" t="str">
            <v>Xudayarov Ağarza Vaqif</v>
          </cell>
          <cell r="C2667" t="str">
            <v>İT infrastruktur departamenti</v>
          </cell>
          <cell r="D2667" t="str">
            <v>Sistem və şəbəkənin idarə edilməsi şöbəsi</v>
          </cell>
          <cell r="E2667" t="str">
            <v>#</v>
          </cell>
          <cell r="F2667" t="str">
            <v>Şöbə müdiri</v>
          </cell>
          <cell r="G2667" t="str">
            <v>A</v>
          </cell>
          <cell r="H2667">
            <v>43440</v>
          </cell>
        </row>
        <row r="2668">
          <cell r="B2668" t="str">
            <v>Məhərrəmov Fərhad Vüqar</v>
          </cell>
          <cell r="C2668" t="str">
            <v>İT infrastruktur departamenti</v>
          </cell>
          <cell r="D2668" t="str">
            <v>Sistem və şəbəkənin idarə edilməsi şöbəsi</v>
          </cell>
          <cell r="E2668" t="str">
            <v>#</v>
          </cell>
          <cell r="F2668" t="str">
            <v>Baş mütəxəssis</v>
          </cell>
          <cell r="G2668" t="str">
            <v>A</v>
          </cell>
          <cell r="H2668">
            <v>46213</v>
          </cell>
          <cell r="I2668" t="str">
            <v>Bir Payment</v>
          </cell>
        </row>
        <row r="2669">
          <cell r="B2669" t="str">
            <v>Cerial Surac Bharat</v>
          </cell>
          <cell r="C2669" t="str">
            <v>İT infrastruktur departamenti</v>
          </cell>
          <cell r="D2669" t="str">
            <v>Sistem və şəbəkənin idarə edilməsi şöbəsi</v>
          </cell>
          <cell r="E2669" t="str">
            <v>#</v>
          </cell>
          <cell r="F2669" t="str">
            <v>Mütəxəssis</v>
          </cell>
          <cell r="G2669" t="str">
            <v>A</v>
          </cell>
          <cell r="H2669">
            <v>46220</v>
          </cell>
          <cell r="I2669" t="str">
            <v>BirMarket</v>
          </cell>
        </row>
        <row r="2670">
          <cell r="B2670" t="str">
            <v>Ağazadə Əmrah Nazim</v>
          </cell>
          <cell r="C2670" t="str">
            <v>İT infrastruktur departamenti</v>
          </cell>
          <cell r="D2670" t="str">
            <v>Sistem və şəbəkənin idarə edilməsi şöbəsi</v>
          </cell>
          <cell r="E2670" t="str">
            <v>Sistemlərin idarə edilməsi bölməsi</v>
          </cell>
          <cell r="F2670" t="str">
            <v>Bölmə rəhbəri</v>
          </cell>
          <cell r="G2670" t="str">
            <v>A</v>
          </cell>
          <cell r="H2670">
            <v>44777</v>
          </cell>
        </row>
        <row r="2671">
          <cell r="B2671" t="str">
            <v>Sultanov Ruslan Osman</v>
          </cell>
          <cell r="C2671" t="str">
            <v>İT infrastruktur departamenti</v>
          </cell>
          <cell r="D2671" t="str">
            <v>Sistem və şəbəkənin idarə edilməsi şöbəsi</v>
          </cell>
          <cell r="E2671" t="str">
            <v>Rabitə sistemlərinin idarə edilməsi bölməsi</v>
          </cell>
          <cell r="F2671" t="str">
            <v>Bölmə rəhbəri</v>
          </cell>
          <cell r="G2671" t="str">
            <v>A</v>
          </cell>
          <cell r="H2671">
            <v>41974</v>
          </cell>
        </row>
        <row r="2672">
          <cell r="B2672" t="str">
            <v>Mustafayev Kamran Vladimiroviç</v>
          </cell>
          <cell r="C2672" t="str">
            <v>İT infrastruktur departamenti</v>
          </cell>
          <cell r="D2672" t="str">
            <v>Sistem və şəbəkənin idarə edilməsi şöbəsi</v>
          </cell>
          <cell r="E2672" t="str">
            <v>Şəbəkənin idarə edilməsi bölməsi</v>
          </cell>
          <cell r="F2672" t="str">
            <v>Bölmə rəhbəri</v>
          </cell>
          <cell r="G2672" t="str">
            <v>A</v>
          </cell>
          <cell r="H2672">
            <v>45352</v>
          </cell>
        </row>
        <row r="2673">
          <cell r="B2673" t="str">
            <v>Mehdiyev Mehdi Namiq</v>
          </cell>
          <cell r="C2673" t="str">
            <v>İT infrastruktur departamenti</v>
          </cell>
          <cell r="D2673" t="str">
            <v>Sistem və şəbəkənin idarə edilməsi şöbəsi</v>
          </cell>
          <cell r="E2673" t="str">
            <v>Sistemlərin idarə edilməsi bölməsi</v>
          </cell>
          <cell r="F2673" t="str">
            <v>Baş mütəxəssis</v>
          </cell>
          <cell r="G2673" t="str">
            <v>A</v>
          </cell>
          <cell r="H2673">
            <v>44854</v>
          </cell>
        </row>
        <row r="2674">
          <cell r="B2674" t="str">
            <v>Namazov Nizami Namaz</v>
          </cell>
          <cell r="C2674" t="str">
            <v>İT infrastruktur departamenti</v>
          </cell>
          <cell r="D2674" t="str">
            <v>Şəbəkə əməliyyatları şöbəsi</v>
          </cell>
          <cell r="E2674" t="str">
            <v>#</v>
          </cell>
          <cell r="F2674" t="str">
            <v>Baş mütəxəssis</v>
          </cell>
          <cell r="G2674" t="str">
            <v>A</v>
          </cell>
          <cell r="H2674">
            <v>45597</v>
          </cell>
        </row>
        <row r="2675">
          <cell r="B2675" t="str">
            <v>İsazadə Hacı Bəhram</v>
          </cell>
          <cell r="C2675" t="str">
            <v>İT infrastruktur departamenti</v>
          </cell>
          <cell r="D2675" t="str">
            <v>Şəbəkə əməliyyatları şöbəsi</v>
          </cell>
          <cell r="E2675" t="str">
            <v>#</v>
          </cell>
          <cell r="F2675" t="str">
            <v>Baş mütəxəssis</v>
          </cell>
          <cell r="G2675" t="str">
            <v>A</v>
          </cell>
          <cell r="H2675">
            <v>45128</v>
          </cell>
        </row>
        <row r="2676">
          <cell r="B2676" t="str">
            <v>Qasımov Anar Hafiz</v>
          </cell>
          <cell r="C2676" t="str">
            <v>İT infrastruktur departamenti</v>
          </cell>
          <cell r="D2676" t="str">
            <v>Şəbəkə əməliyyatları şöbəsi</v>
          </cell>
          <cell r="E2676" t="str">
            <v>#</v>
          </cell>
          <cell r="F2676" t="str">
            <v>Aparıcı mütəxəssis</v>
          </cell>
          <cell r="G2676" t="str">
            <v>A</v>
          </cell>
          <cell r="H2676">
            <v>46213</v>
          </cell>
          <cell r="I2676" t="str">
            <v>Bir Payment</v>
          </cell>
        </row>
        <row r="2677">
          <cell r="B2677" t="str">
            <v>Ataxanov Vüsal Elxan</v>
          </cell>
          <cell r="C2677" t="str">
            <v>İT infrastruktur departamenti</v>
          </cell>
          <cell r="D2677" t="str">
            <v>Şəbəkə əməliyyatları şöbəsi</v>
          </cell>
          <cell r="E2677" t="str">
            <v>#</v>
          </cell>
          <cell r="F2677" t="str">
            <v>Aparıcı mütəxəssis</v>
          </cell>
          <cell r="G2677" t="str">
            <v>A</v>
          </cell>
          <cell r="H2677">
            <v>43670</v>
          </cell>
        </row>
        <row r="2678">
          <cell r="B2678" t="str">
            <v>Məmmədzadə Cəlal Elxan</v>
          </cell>
          <cell r="C2678" t="str">
            <v>İT infrastruktur departamenti</v>
          </cell>
          <cell r="D2678" t="str">
            <v>Şəbəkə əməliyyatları şöbəsi</v>
          </cell>
          <cell r="E2678" t="str">
            <v>#</v>
          </cell>
          <cell r="F2678" t="str">
            <v>Mütəxəssis</v>
          </cell>
          <cell r="G2678" t="str">
            <v>A</v>
          </cell>
          <cell r="H2678">
            <v>45344</v>
          </cell>
        </row>
        <row r="2679">
          <cell r="B2679" t="str">
            <v>Geyuşova Fidan Fazil</v>
          </cell>
          <cell r="C2679" t="str">
            <v>İT infrastruktur departamenti</v>
          </cell>
          <cell r="D2679" t="str">
            <v>Şəbəkə əməliyyatları şöbəsi</v>
          </cell>
          <cell r="E2679" t="str">
            <v>#</v>
          </cell>
          <cell r="F2679" t="str">
            <v>Mütəxəssis</v>
          </cell>
          <cell r="G2679" t="str">
            <v>A</v>
          </cell>
          <cell r="H2679">
            <v>45576</v>
          </cell>
        </row>
        <row r="2680">
          <cell r="B2680" t="str">
            <v>Mustafazadə Fərid Xalid</v>
          </cell>
          <cell r="C2680" t="str">
            <v>İT infrastruktur departamenti</v>
          </cell>
          <cell r="D2680" t="str">
            <v>Sistem və şəbəkənin idarə edilməsi şöbəsi</v>
          </cell>
          <cell r="E2680" t="str">
            <v>Rabitə sistemlərinin idarə edilməsi bölməsi</v>
          </cell>
          <cell r="F2680" t="str">
            <v>Baş mütəxəssis</v>
          </cell>
          <cell r="G2680" t="str">
            <v>A</v>
          </cell>
          <cell r="H2680">
            <v>43440</v>
          </cell>
        </row>
        <row r="2681">
          <cell r="B2681" t="str">
            <v>Daşdəmirov Asim Simran</v>
          </cell>
          <cell r="C2681" t="str">
            <v>İT infrastruktur departamenti</v>
          </cell>
          <cell r="D2681" t="str">
            <v>Sistem və şəbəkənin idarə edilməsi şöbəsi</v>
          </cell>
          <cell r="E2681" t="str">
            <v>Sistemlərin idarə edilməsi bölməsi</v>
          </cell>
          <cell r="F2681" t="str">
            <v>Aparıcı mütəxəssis</v>
          </cell>
          <cell r="G2681" t="str">
            <v>A</v>
          </cell>
          <cell r="H2681">
            <v>44312</v>
          </cell>
        </row>
        <row r="2682">
          <cell r="B2682" t="str">
            <v>Babayev Elmar Elyar</v>
          </cell>
          <cell r="C2682" t="str">
            <v>İT infrastruktur departamenti</v>
          </cell>
          <cell r="D2682" t="str">
            <v>Sistem və şəbəkənin idarə edilməsi şöbəsi</v>
          </cell>
          <cell r="E2682" t="str">
            <v>Sistemlərin idarə edilməsi bölməsi</v>
          </cell>
          <cell r="F2682" t="str">
            <v>Aparıcı mütəxəssis</v>
          </cell>
          <cell r="G2682" t="str">
            <v>A</v>
          </cell>
          <cell r="H2682">
            <v>43650</v>
          </cell>
        </row>
        <row r="2683">
          <cell r="B2683" t="str">
            <v>Vəliyev Adil Vəli</v>
          </cell>
          <cell r="C2683" t="str">
            <v>İT infrastruktur departamenti</v>
          </cell>
          <cell r="D2683" t="str">
            <v>Sistem və şəbəkənin idarə edilməsi şöbəsi</v>
          </cell>
          <cell r="E2683" t="str">
            <v>Sistemlərin idarə edilməsi bölməsi</v>
          </cell>
          <cell r="F2683" t="str">
            <v>Aparıcı mütəxəssis</v>
          </cell>
          <cell r="G2683" t="str">
            <v>A</v>
          </cell>
          <cell r="H2683">
            <v>45866</v>
          </cell>
        </row>
        <row r="2684">
          <cell r="B2684" t="str">
            <v>Elifov Məhəmməd İbramoviç</v>
          </cell>
          <cell r="C2684" t="str">
            <v>İT infrastruktur departamenti</v>
          </cell>
          <cell r="D2684" t="str">
            <v>Sistem və şəbəkənin idarə edilməsi şöbəsi</v>
          </cell>
          <cell r="E2684" t="str">
            <v>Sistemlərin idarə edilməsi bölməsi</v>
          </cell>
          <cell r="F2684" t="str">
            <v>Aparıcı mütəxəssis</v>
          </cell>
          <cell r="G2684" t="str">
            <v>A</v>
          </cell>
          <cell r="H2684">
            <v>45999</v>
          </cell>
        </row>
        <row r="2685">
          <cell r="B2685" t="str">
            <v>Dadayev Ruslan Abdulla</v>
          </cell>
          <cell r="C2685" t="str">
            <v>İT infrastruktur departamenti</v>
          </cell>
          <cell r="D2685" t="str">
            <v>Sistem və şəbəkənin idarə edilməsi şöbəsi</v>
          </cell>
          <cell r="E2685" t="str">
            <v>Sistemlərin idarə edilməsi bölməsi</v>
          </cell>
          <cell r="F2685" t="str">
            <v>Aparıcı mütəxəssis</v>
          </cell>
          <cell r="G2685" t="str">
            <v>A</v>
          </cell>
          <cell r="H2685">
            <v>45527</v>
          </cell>
        </row>
        <row r="2686">
          <cell r="B2686" t="str">
            <v>ZIIADKHANLY ZAUR</v>
          </cell>
          <cell r="C2686" t="str">
            <v>İT infrastruktur departamenti</v>
          </cell>
          <cell r="D2686" t="str">
            <v>Sistem və şəbəkənin idarə edilməsi şöbəsi</v>
          </cell>
          <cell r="E2686" t="str">
            <v>Rabitə sistemlərinin idarə edilməsi bölməsi</v>
          </cell>
          <cell r="F2686" t="str">
            <v>Mütəxəssis</v>
          </cell>
          <cell r="G2686" t="str">
            <v>A</v>
          </cell>
          <cell r="H2686">
            <v>44853</v>
          </cell>
        </row>
        <row r="2687">
          <cell r="B2687" t="str">
            <v>Əliyev Sərxan Zahid</v>
          </cell>
          <cell r="C2687" t="str">
            <v>İT infrastruktur departamenti</v>
          </cell>
          <cell r="D2687" t="str">
            <v>Sistem və şəbəkənin idarə edilməsi şöbəsi</v>
          </cell>
          <cell r="E2687" t="str">
            <v>#</v>
          </cell>
          <cell r="F2687" t="str">
            <v>Aparıcı mütəxəssis</v>
          </cell>
          <cell r="G2687" t="str">
            <v>A</v>
          </cell>
          <cell r="H2687">
            <v>46237</v>
          </cell>
          <cell r="I2687" t="str">
            <v>Bir Payment</v>
          </cell>
        </row>
        <row r="2688">
          <cell r="B2688" t="str">
            <v>Qreçnev Vadim Aleksandroviç</v>
          </cell>
          <cell r="C2688" t="str">
            <v>İT infrastruktur departamenti</v>
          </cell>
          <cell r="D2688" t="str">
            <v>İT xidmətlərinin monitorinqi və hadisələrin idarə edilməsi şöbəsi</v>
          </cell>
          <cell r="E2688" t="str">
            <v>#</v>
          </cell>
          <cell r="F2688" t="str">
            <v>Şöbə müdiri</v>
          </cell>
          <cell r="G2688" t="str">
            <v>A</v>
          </cell>
          <cell r="H2688">
            <v>45316</v>
          </cell>
        </row>
        <row r="2689">
          <cell r="B2689" t="str">
            <v>Əkbərov Əli Rauf</v>
          </cell>
          <cell r="C2689" t="str">
            <v>İT infrastruktur departamenti</v>
          </cell>
          <cell r="D2689" t="str">
            <v>İT xidmətlərinin monitorinqi və hadisələrin idarə edilməsi şöbəsi</v>
          </cell>
          <cell r="E2689" t="str">
            <v>#</v>
          </cell>
          <cell r="F2689" t="str">
            <v>Baş mütəxəssis</v>
          </cell>
          <cell r="G2689" t="str">
            <v>A</v>
          </cell>
          <cell r="H2689">
            <v>43483</v>
          </cell>
        </row>
        <row r="2690">
          <cell r="B2690" t="str">
            <v>Əzimov Emil Yalçın</v>
          </cell>
          <cell r="C2690" t="str">
            <v>İT infrastruktur departamenti</v>
          </cell>
          <cell r="D2690" t="str">
            <v>İT xidmətlərinin monitorinqi və hadisələrin idarə edilməsi şöbəsi</v>
          </cell>
          <cell r="E2690" t="str">
            <v>#</v>
          </cell>
          <cell r="F2690" t="str">
            <v>Mütəxəssis</v>
          </cell>
          <cell r="G2690" t="str">
            <v>A</v>
          </cell>
          <cell r="H2690">
            <v>43640</v>
          </cell>
        </row>
        <row r="2691">
          <cell r="B2691" t="str">
            <v>Həsənov Zamin İlham</v>
          </cell>
          <cell r="C2691" t="str">
            <v>İT infrastruktur departamenti</v>
          </cell>
          <cell r="D2691" t="str">
            <v>İT xidmətlərinin monitorinqi və hadisələrin idarə edilməsi şöbəsi</v>
          </cell>
          <cell r="E2691" t="str">
            <v>#</v>
          </cell>
          <cell r="F2691" t="str">
            <v>Mütəxəssis</v>
          </cell>
          <cell r="G2691" t="str">
            <v>A</v>
          </cell>
          <cell r="H2691">
            <v>45316</v>
          </cell>
        </row>
        <row r="2692">
          <cell r="B2692" t="str">
            <v>Əliyev Zamiq Əliağa</v>
          </cell>
          <cell r="C2692" t="str">
            <v>İT infrastruktur departamenti</v>
          </cell>
          <cell r="D2692" t="str">
            <v>İT xidmətlərinin monitorinqi və hadisələrin idarə edilməsi şöbəsi</v>
          </cell>
          <cell r="E2692" t="str">
            <v>#</v>
          </cell>
          <cell r="F2692" t="str">
            <v>Mütəxəssis</v>
          </cell>
          <cell r="G2692" t="str">
            <v>A</v>
          </cell>
          <cell r="H2692">
            <v>44181</v>
          </cell>
        </row>
        <row r="2693">
          <cell r="B2693" t="str">
            <v>Qasımov Kamran Bəxtiyar</v>
          </cell>
          <cell r="C2693" t="str">
            <v>İT infrastruktur departamenti</v>
          </cell>
          <cell r="D2693" t="str">
            <v>İT xidmətlərinin monitorinqi və hadisələrin idarə edilməsi şöbəsi</v>
          </cell>
          <cell r="E2693" t="str">
            <v>#</v>
          </cell>
          <cell r="F2693" t="str">
            <v>Mütəxəssis</v>
          </cell>
          <cell r="G2693" t="str">
            <v>A</v>
          </cell>
          <cell r="H2693">
            <v>45449</v>
          </cell>
        </row>
        <row r="2694">
          <cell r="B2694" t="str">
            <v>İsrafilov Aqşin Ramiz</v>
          </cell>
          <cell r="C2694" t="str">
            <v>İT infrastruktur departamenti</v>
          </cell>
          <cell r="D2694" t="str">
            <v>İT xidmətlərinin monitorinqi və hadisələrin idarə edilməsi şöbəsi</v>
          </cell>
          <cell r="E2694" t="str">
            <v>#</v>
          </cell>
          <cell r="F2694" t="str">
            <v>Mütəxəssis</v>
          </cell>
          <cell r="G2694" t="str">
            <v>A</v>
          </cell>
          <cell r="H2694">
            <v>45544</v>
          </cell>
        </row>
        <row r="2695">
          <cell r="B2695" t="str">
            <v>Quliyev Əli Raquf</v>
          </cell>
          <cell r="C2695" t="str">
            <v>Ekosistem platforma və İD sahəsi</v>
          </cell>
          <cell r="D2695" t="str">
            <v>#</v>
          </cell>
          <cell r="E2695" t="str">
            <v>#</v>
          </cell>
          <cell r="F2695" t="str">
            <v>Sahə lideri</v>
          </cell>
          <cell r="G2695" t="str">
            <v>A</v>
          </cell>
          <cell r="H2695">
            <v>45915</v>
          </cell>
        </row>
        <row r="2696">
          <cell r="B2696" t="str">
            <v>ZHASLAN BAYGASKIN</v>
          </cell>
          <cell r="C2696" t="str">
            <v>Ekosistem platforma və İD sahəsi</v>
          </cell>
          <cell r="D2696" t="str">
            <v>BirİD</v>
          </cell>
          <cell r="E2696" t="str">
            <v>#</v>
          </cell>
          <cell r="F2696" t="str">
            <v>Məhsul sahibi</v>
          </cell>
          <cell r="G2696" t="str">
            <v>A</v>
          </cell>
          <cell r="H2696">
            <v>46064</v>
          </cell>
        </row>
        <row r="2697">
          <cell r="B2697" t="str">
            <v>Hüseynzadə Emin İlqar</v>
          </cell>
          <cell r="C2697" t="str">
            <v>Ekosistem platforma və İD sahəsi</v>
          </cell>
          <cell r="D2697" t="str">
            <v>Business İD</v>
          </cell>
          <cell r="E2697" t="str">
            <v>#</v>
          </cell>
          <cell r="F2697" t="str">
            <v>Məhsul sahibi</v>
          </cell>
          <cell r="G2697" t="str">
            <v>A</v>
          </cell>
          <cell r="H2697">
            <v>46149</v>
          </cell>
        </row>
        <row r="2698">
          <cell r="B2698" t="str">
            <v>Quliyev Elçin Xosrov</v>
          </cell>
          <cell r="C2698" t="str">
            <v>Ekosistem platforma və İD sahəsi</v>
          </cell>
          <cell r="D2698" t="str">
            <v>DVS</v>
          </cell>
          <cell r="E2698" t="str">
            <v>#</v>
          </cell>
          <cell r="F2698" t="str">
            <v>Məhsul sahibi</v>
          </cell>
          <cell r="G2698" t="str">
            <v>A</v>
          </cell>
          <cell r="H2698">
            <v>44818</v>
          </cell>
        </row>
        <row r="2699">
          <cell r="B2699" t="str">
            <v>Haşımzadə Ramin Rasim</v>
          </cell>
          <cell r="C2699" t="str">
            <v>FinTech platformalar sahəsi</v>
          </cell>
          <cell r="D2699" t="str">
            <v>#</v>
          </cell>
          <cell r="E2699" t="str">
            <v>#</v>
          </cell>
          <cell r="F2699" t="str">
            <v>Sahə lideri</v>
          </cell>
          <cell r="G2699" t="str">
            <v>A</v>
          </cell>
          <cell r="H2699">
            <v>45398</v>
          </cell>
        </row>
        <row r="2700">
          <cell r="B2700" t="str">
            <v>Alyasov Əşrəf Tofiq</v>
          </cell>
          <cell r="C2700" t="str">
            <v>FinTech platformalar sahəsi</v>
          </cell>
          <cell r="D2700" t="str">
            <v>BPM</v>
          </cell>
          <cell r="E2700" t="str">
            <v>#</v>
          </cell>
          <cell r="F2700" t="str">
            <v>Ekspert məhsul sahibi</v>
          </cell>
          <cell r="G2700" t="str">
            <v>A</v>
          </cell>
          <cell r="H2700">
            <v>42646</v>
          </cell>
        </row>
        <row r="2701">
          <cell r="B2701" t="str">
            <v>Yeroşin Anton Mixayloviç</v>
          </cell>
          <cell r="C2701" t="str">
            <v>FinTech platformalar sahəsi</v>
          </cell>
          <cell r="D2701" t="str">
            <v>ZEUS</v>
          </cell>
          <cell r="E2701" t="str">
            <v>#</v>
          </cell>
          <cell r="F2701" t="str">
            <v>Məhsul sahibi</v>
          </cell>
          <cell r="G2701" t="str">
            <v>A</v>
          </cell>
          <cell r="H2701">
            <v>45567</v>
          </cell>
        </row>
        <row r="2702">
          <cell r="B2702" t="str">
            <v>Məmmədov Babək Qalib</v>
          </cell>
          <cell r="C2702" t="str">
            <v>Mühəndislik və texnoloji platformalar ekspert mərkəzi</v>
          </cell>
          <cell r="D2702" t="str">
            <v>#</v>
          </cell>
          <cell r="E2702" t="str">
            <v>#</v>
          </cell>
          <cell r="F2702" t="str">
            <v>Ekspert Mərkəzinin lideri</v>
          </cell>
          <cell r="G2702" t="str">
            <v>A</v>
          </cell>
          <cell r="H2702">
            <v>44896</v>
          </cell>
        </row>
        <row r="2703">
          <cell r="B2703" t="str">
            <v>Əfəndiyev Rəşad Məhəmməd</v>
          </cell>
          <cell r="C2703" t="str">
            <v>Mühəndislik və texnoloji platformalar ekspert mərkəzi</v>
          </cell>
          <cell r="D2703" t="str">
            <v>DevOps və SRE funksional sahəsi</v>
          </cell>
          <cell r="E2703" t="str">
            <v>#</v>
          </cell>
          <cell r="F2703" t="str">
            <v>Funksional sahə lideri</v>
          </cell>
          <cell r="G2703" t="str">
            <v>A</v>
          </cell>
          <cell r="H2703">
            <v>45267</v>
          </cell>
        </row>
        <row r="2704">
          <cell r="B2704" t="str">
            <v>Qurbanov Elnur Tofiq</v>
          </cell>
          <cell r="C2704" t="str">
            <v>Mühəndislik və texnoloji platformalar ekspert mərkəzi</v>
          </cell>
          <cell r="D2704" t="str">
            <v>DevOps və SRE funksional sahəsi</v>
          </cell>
          <cell r="E2704" t="str">
            <v>#</v>
          </cell>
          <cell r="F2704" t="str">
            <v>Servis dayanıqlığı üzrə mühəndis</v>
          </cell>
          <cell r="G2704" t="str">
            <v>A</v>
          </cell>
          <cell r="H2704">
            <v>44991</v>
          </cell>
        </row>
        <row r="2705">
          <cell r="B2705" t="str">
            <v>Səlimli Asim Muxtar</v>
          </cell>
          <cell r="C2705" t="str">
            <v>Mühəndislik və texnoloji platformalar ekspert mərkəzi</v>
          </cell>
          <cell r="D2705" t="str">
            <v>DevOps və SRE funksional sahəsi</v>
          </cell>
          <cell r="E2705" t="str">
            <v>#</v>
          </cell>
          <cell r="F2705" t="str">
            <v>Platform mühəndisi</v>
          </cell>
          <cell r="G2705" t="str">
            <v>A</v>
          </cell>
          <cell r="H2705">
            <v>46059</v>
          </cell>
        </row>
        <row r="2706">
          <cell r="B2706" t="str">
            <v>Əsgərov Əsgər Səməd</v>
          </cell>
          <cell r="C2706" t="str">
            <v>Mühəndislik və texnoloji platformalar ekspert mərkəzi</v>
          </cell>
          <cell r="D2706" t="str">
            <v>DevOps və SRE funksional sahəsi</v>
          </cell>
          <cell r="E2706" t="str">
            <v>#</v>
          </cell>
          <cell r="F2706" t="str">
            <v>Platform mühəndisi</v>
          </cell>
          <cell r="G2706" t="str">
            <v>A</v>
          </cell>
          <cell r="H2706">
            <v>44417</v>
          </cell>
        </row>
        <row r="2707">
          <cell r="B2707" t="str">
            <v>Bayramov İlham Nəriman</v>
          </cell>
          <cell r="C2707" t="str">
            <v>Mühəndislik və texnoloji platformalar ekspert mərkəzi</v>
          </cell>
          <cell r="D2707" t="str">
            <v>DevOps və SRE funksional sahəsi</v>
          </cell>
          <cell r="E2707" t="str">
            <v>#</v>
          </cell>
          <cell r="F2707" t="str">
            <v>Platform mühəndisi</v>
          </cell>
          <cell r="G2707" t="str">
            <v>A</v>
          </cell>
          <cell r="H2707">
            <v>44952</v>
          </cell>
        </row>
        <row r="2708">
          <cell r="B2708" t="str">
            <v>Qabullu Murad Səməd</v>
          </cell>
          <cell r="C2708" t="str">
            <v>Mühəndislik və texnoloji platformalar ekspert mərkəzi</v>
          </cell>
          <cell r="D2708" t="str">
            <v>DevOps və SRE funksional sahəsi</v>
          </cell>
          <cell r="E2708" t="str">
            <v>#</v>
          </cell>
          <cell r="F2708" t="str">
            <v>Platform mühəndisi</v>
          </cell>
          <cell r="G2708" t="str">
            <v>A</v>
          </cell>
          <cell r="H2708">
            <v>44544</v>
          </cell>
        </row>
        <row r="2709">
          <cell r="B2709" t="str">
            <v>Dəmirov Nicat İmran</v>
          </cell>
          <cell r="C2709" t="str">
            <v>Mühəndislik və texnoloji platformalar ekspert mərkəzi</v>
          </cell>
          <cell r="D2709" t="str">
            <v>DevOps və SRE funksional sahəsi</v>
          </cell>
          <cell r="E2709" t="str">
            <v>#</v>
          </cell>
          <cell r="F2709" t="str">
            <v>Platform mühəndisi</v>
          </cell>
          <cell r="G2709" t="str">
            <v>A</v>
          </cell>
          <cell r="H2709">
            <v>45453</v>
          </cell>
        </row>
        <row r="2710">
          <cell r="B2710" t="str">
            <v>Məmmədov İnad Sahib</v>
          </cell>
          <cell r="C2710" t="str">
            <v>Mühəndislik və texnoloji platformalar ekspert mərkəzi</v>
          </cell>
          <cell r="D2710" t="str">
            <v>DevOps və SRE funksional sahəsi</v>
          </cell>
          <cell r="E2710" t="str">
            <v>#</v>
          </cell>
          <cell r="F2710" t="str">
            <v>Platform mühəndisi</v>
          </cell>
          <cell r="G2710" t="str">
            <v>A</v>
          </cell>
          <cell r="H2710">
            <v>45982</v>
          </cell>
        </row>
        <row r="2711">
          <cell r="B2711" t="str">
            <v>Teymurov Ərşad Etibar</v>
          </cell>
          <cell r="C2711" t="str">
            <v>Mühəndislik və texnoloji platformalar ekspert mərkəzi</v>
          </cell>
          <cell r="D2711" t="str">
            <v>Proqram mühəndisliyi funksional sahəsi</v>
          </cell>
          <cell r="E2711" t="str">
            <v>#</v>
          </cell>
          <cell r="F2711" t="str">
            <v>Tech lead</v>
          </cell>
          <cell r="G2711" t="str">
            <v>A</v>
          </cell>
          <cell r="H2711">
            <v>45876</v>
          </cell>
        </row>
        <row r="2712">
          <cell r="B2712" t="str">
            <v>Əliyev Elvin Elçin</v>
          </cell>
          <cell r="C2712" t="str">
            <v>Mühəndislik və texnoloji platformalar ekspert mərkəzi</v>
          </cell>
          <cell r="D2712" t="str">
            <v>Data və Aİ platformaları funksional sahəsi</v>
          </cell>
          <cell r="E2712" t="str">
            <v>#</v>
          </cell>
          <cell r="F2712" t="str">
            <v>Data platformaları üzrə mühəndis</v>
          </cell>
          <cell r="G2712" t="str">
            <v>A</v>
          </cell>
          <cell r="H2712">
            <v>45888</v>
          </cell>
        </row>
        <row r="2713">
          <cell r="B2713" t="str">
            <v>Qazıyev Həmid Samir</v>
          </cell>
          <cell r="C2713" t="str">
            <v>Mühəndislik və texnoloji platformalar ekspert mərkəzi</v>
          </cell>
          <cell r="D2713" t="str">
            <v>Data və Aİ platformaları funksional sahəsi</v>
          </cell>
          <cell r="E2713" t="str">
            <v>#</v>
          </cell>
          <cell r="F2713" t="str">
            <v>Data platformaları üzrə mühəndis</v>
          </cell>
          <cell r="G2713" t="str">
            <v>A</v>
          </cell>
          <cell r="H2713">
            <v>45212</v>
          </cell>
        </row>
        <row r="2714">
          <cell r="B2714" t="str">
            <v>Köçərli Fərhad Nazim</v>
          </cell>
          <cell r="C2714" t="str">
            <v>Mühəndislik və texnoloji platformalar ekspert mərkəzi</v>
          </cell>
          <cell r="D2714" t="str">
            <v>Data və Aİ platformaları funksional sahəsi</v>
          </cell>
          <cell r="E2714" t="str">
            <v>#</v>
          </cell>
          <cell r="F2714" t="str">
            <v>Data platformaları üzrə mühəndis</v>
          </cell>
          <cell r="G2714" t="str">
            <v>A</v>
          </cell>
          <cell r="H2714">
            <v>45826</v>
          </cell>
        </row>
        <row r="2715">
          <cell r="B2715" t="str">
            <v>Nurəliyev Fərid Kamran</v>
          </cell>
          <cell r="C2715" t="str">
            <v>Mühəndislik və texnoloji platformalar ekspert mərkəzi</v>
          </cell>
          <cell r="D2715" t="str">
            <v>Data və Aİ platformaları funksional sahəsi</v>
          </cell>
          <cell r="E2715" t="str">
            <v>#</v>
          </cell>
          <cell r="F2715" t="str">
            <v>Data platformaları üzrə mühəndis</v>
          </cell>
          <cell r="G2715" t="str">
            <v>A</v>
          </cell>
          <cell r="H2715">
            <v>45511</v>
          </cell>
        </row>
        <row r="2716">
          <cell r="B2716" t="str">
            <v>Əliyev İbrahim Hüseyn</v>
          </cell>
          <cell r="C2716" t="str">
            <v>Mühəndislik və texnoloji platformalar ekspert mərkəzi</v>
          </cell>
          <cell r="D2716" t="str">
            <v>Data və Aİ platformaları funksional sahəsi</v>
          </cell>
          <cell r="E2716" t="str">
            <v>#</v>
          </cell>
          <cell r="F2716" t="str">
            <v>Aİ platformaları üzrə mühəndis</v>
          </cell>
          <cell r="G2716" t="str">
            <v>A</v>
          </cell>
          <cell r="H2716">
            <v>45586</v>
          </cell>
        </row>
        <row r="2717">
          <cell r="B2717" t="str">
            <v>Kərimli Məmmədrza Aslan</v>
          </cell>
          <cell r="C2717" t="str">
            <v>Mühəndislik və texnoloji platformalar ekspert mərkəzi</v>
          </cell>
          <cell r="D2717" t="str">
            <v>Data və Aİ platformaları funksional sahəsi</v>
          </cell>
          <cell r="E2717" t="str">
            <v>#</v>
          </cell>
          <cell r="F2717" t="str">
            <v>Data platformaları üzrə mühəndis</v>
          </cell>
          <cell r="G2717" t="str">
            <v>A</v>
          </cell>
          <cell r="H2717">
            <v>45287</v>
          </cell>
        </row>
        <row r="2718">
          <cell r="B2718" t="str">
            <v>FEDOROVA OLGA</v>
          </cell>
          <cell r="C2718" t="str">
            <v>Mühəndislik və texnoloji platformalar ekspert mərkəzi</v>
          </cell>
          <cell r="D2718" t="str">
            <v>Data və Aİ platformaları funksional sahəsi</v>
          </cell>
          <cell r="E2718" t="str">
            <v>#</v>
          </cell>
          <cell r="F2718" t="str">
            <v>Data platformaları üzrə mühəndis</v>
          </cell>
          <cell r="G2718" t="str">
            <v>A</v>
          </cell>
          <cell r="H2718">
            <v>45912</v>
          </cell>
        </row>
        <row r="2719">
          <cell r="B2719" t="str">
            <v>Həmidzadə Qəşəm Rövşən</v>
          </cell>
          <cell r="C2719" t="str">
            <v>Mühəndislik və texnoloji platformalar ekspert mərkəzi</v>
          </cell>
          <cell r="D2719" t="str">
            <v>Data və Aİ platformaları funksional sahəsi</v>
          </cell>
          <cell r="E2719" t="str">
            <v>#</v>
          </cell>
          <cell r="F2719" t="str">
            <v>Data platformaları üzrə mühəndis</v>
          </cell>
          <cell r="G2719" t="str">
            <v>A</v>
          </cell>
          <cell r="H2719">
            <v>44076</v>
          </cell>
        </row>
        <row r="2720">
          <cell r="B2720" t="str">
            <v>Əmrahlı Tərlan Bəxtəvər</v>
          </cell>
          <cell r="C2720" t="str">
            <v>FinTech TechOps funksional sahəsi</v>
          </cell>
          <cell r="D2720" t="str">
            <v>#</v>
          </cell>
          <cell r="E2720" t="str">
            <v>#</v>
          </cell>
          <cell r="F2720" t="str">
            <v>Funksional Lider</v>
          </cell>
          <cell r="G2720" t="str">
            <v>A</v>
          </cell>
          <cell r="H2720">
            <v>45237</v>
          </cell>
        </row>
        <row r="2721">
          <cell r="B2721" t="str">
            <v>Əliyev Ruslan Novruzəli</v>
          </cell>
          <cell r="C2721" t="str">
            <v>Mühəndislik və texnoloji platformalar ekspert mərkəzi</v>
          </cell>
          <cell r="D2721" t="str">
            <v>DevOps və SRE funksional sahəsi</v>
          </cell>
          <cell r="E2721" t="str">
            <v>#</v>
          </cell>
          <cell r="F2721" t="str">
            <v>Servis dayanıqlığı üzrə mühəndis</v>
          </cell>
          <cell r="G2721" t="str">
            <v>A</v>
          </cell>
          <cell r="H2721">
            <v>45355</v>
          </cell>
        </row>
        <row r="2722">
          <cell r="B2722" t="str">
            <v>Bağırov İsmi Qabil</v>
          </cell>
          <cell r="C2722" t="str">
            <v>Ödəniş biznesinin TechOps funksional sahəsi</v>
          </cell>
          <cell r="D2722" t="str">
            <v>#</v>
          </cell>
          <cell r="E2722" t="str">
            <v>#</v>
          </cell>
          <cell r="F2722" t="str">
            <v>Devops mühəndisi</v>
          </cell>
          <cell r="G2722" t="str">
            <v>A</v>
          </cell>
          <cell r="H2722">
            <v>44952</v>
          </cell>
        </row>
        <row r="2723">
          <cell r="B2723" t="str">
            <v>İsayev Nicat Elşən</v>
          </cell>
          <cell r="C2723" t="str">
            <v>Ödəniş biznesinin TechOps funksional sahəsi</v>
          </cell>
          <cell r="D2723" t="str">
            <v>#</v>
          </cell>
          <cell r="E2723" t="str">
            <v>#</v>
          </cell>
          <cell r="F2723" t="str">
            <v>Devops mühəndisi</v>
          </cell>
          <cell r="G2723" t="str">
            <v>A</v>
          </cell>
          <cell r="H2723">
            <v>46192</v>
          </cell>
          <cell r="I2723" t="str">
            <v>Bir Payment</v>
          </cell>
        </row>
        <row r="2724">
          <cell r="B2724" t="str">
            <v>Piriyev Azər Lətif</v>
          </cell>
          <cell r="C2724" t="str">
            <v>Ödəniş biznesinin TechOps funksional sahəsi</v>
          </cell>
          <cell r="D2724" t="str">
            <v>#</v>
          </cell>
          <cell r="E2724" t="str">
            <v>#</v>
          </cell>
          <cell r="F2724" t="str">
            <v>Devops mühəndisi</v>
          </cell>
          <cell r="G2724" t="str">
            <v>A</v>
          </cell>
          <cell r="H2724">
            <v>46239</v>
          </cell>
        </row>
        <row r="2725">
          <cell r="B2725" t="str">
            <v>Umudov Həsən Hafiz</v>
          </cell>
          <cell r="C2725" t="str">
            <v>Ödəniş biznesinin TechOps funksional sahəsi</v>
          </cell>
          <cell r="D2725" t="str">
            <v>#</v>
          </cell>
          <cell r="E2725" t="str">
            <v>#</v>
          </cell>
          <cell r="F2725" t="str">
            <v>Devops mühəndisi</v>
          </cell>
          <cell r="G2725" t="str">
            <v>A</v>
          </cell>
          <cell r="H2725">
            <v>44991</v>
          </cell>
        </row>
        <row r="2726">
          <cell r="B2726" t="str">
            <v>LUGAMANOV ROMAN</v>
          </cell>
          <cell r="C2726" t="str">
            <v>Ödəniş biznesinin TechOps funksional sahəsi</v>
          </cell>
          <cell r="D2726" t="str">
            <v>#</v>
          </cell>
          <cell r="E2726" t="str">
            <v>#</v>
          </cell>
          <cell r="F2726" t="str">
            <v>Devops mühəndisi</v>
          </cell>
          <cell r="G2726" t="str">
            <v>A</v>
          </cell>
          <cell r="H2726">
            <v>46272</v>
          </cell>
          <cell r="I2726" t="str">
            <v>Bir Payment</v>
          </cell>
        </row>
        <row r="2727">
          <cell r="B2727" t="str">
            <v>Qədirov Ceyhun Çərkəz</v>
          </cell>
          <cell r="C2727" t="str">
            <v>Ödəniş biznesinin TechOps funksional sahəsi</v>
          </cell>
          <cell r="D2727" t="str">
            <v>#</v>
          </cell>
          <cell r="E2727" t="str">
            <v>#</v>
          </cell>
          <cell r="F2727" t="str">
            <v>Devops mühəndisi</v>
          </cell>
          <cell r="G2727" t="str">
            <v>A</v>
          </cell>
          <cell r="H2727">
            <v>46192</v>
          </cell>
          <cell r="I2727" t="str">
            <v>Bir Payment</v>
          </cell>
        </row>
        <row r="2728">
          <cell r="B2728" t="str">
            <v>Əfrasiyab Hüseyn Xaqani</v>
          </cell>
          <cell r="C2728" t="str">
            <v>FinTech TechOps funksional sahəsi</v>
          </cell>
          <cell r="D2728" t="str">
            <v>#</v>
          </cell>
          <cell r="E2728" t="str">
            <v>#</v>
          </cell>
          <cell r="F2728" t="str">
            <v>Devops mühəndisi</v>
          </cell>
          <cell r="G2728" t="str">
            <v>A</v>
          </cell>
          <cell r="H2728">
            <v>45278</v>
          </cell>
        </row>
        <row r="2729">
          <cell r="B2729" t="str">
            <v>Panyuşev Sergey Borisoviç</v>
          </cell>
          <cell r="C2729" t="str">
            <v>FinTech TechOps funksional sahəsi</v>
          </cell>
          <cell r="D2729" t="str">
            <v>#</v>
          </cell>
          <cell r="E2729" t="str">
            <v>#</v>
          </cell>
          <cell r="F2729" t="str">
            <v>Devops mühəndisi</v>
          </cell>
          <cell r="G2729" t="str">
            <v>A</v>
          </cell>
          <cell r="H2729">
            <v>44571</v>
          </cell>
        </row>
        <row r="2730">
          <cell r="B2730" t="str">
            <v>Paşayev Fərid Qabil</v>
          </cell>
          <cell r="C2730" t="str">
            <v>Ödəniş biznesinin TechOps funksional sahəsi</v>
          </cell>
          <cell r="D2730" t="str">
            <v>#</v>
          </cell>
          <cell r="E2730" t="str">
            <v>#</v>
          </cell>
          <cell r="F2730" t="str">
            <v>Devops mühəndisi</v>
          </cell>
          <cell r="G2730" t="str">
            <v>A</v>
          </cell>
          <cell r="H2730">
            <v>45642</v>
          </cell>
        </row>
        <row r="2731">
          <cell r="B2731" t="str">
            <v>Süleymanov Qurban Şaban</v>
          </cell>
          <cell r="C2731" t="str">
            <v>Ödəniş biznesinin TechOps funksional sahəsi</v>
          </cell>
          <cell r="D2731" t="str">
            <v>#</v>
          </cell>
          <cell r="E2731" t="str">
            <v>#</v>
          </cell>
          <cell r="F2731" t="str">
            <v>Devops mühəndisi</v>
          </cell>
          <cell r="G2731" t="str">
            <v>A</v>
          </cell>
          <cell r="H2731">
            <v>46204</v>
          </cell>
        </row>
        <row r="2732">
          <cell r="B2732" t="str">
            <v>İsmayılova Məryəm Faiq</v>
          </cell>
          <cell r="C2732" t="str">
            <v>Ödəniş biznesinin TechOps funksional sahəsi</v>
          </cell>
          <cell r="D2732" t="str">
            <v>#</v>
          </cell>
          <cell r="E2732" t="str">
            <v>#</v>
          </cell>
          <cell r="F2732" t="str">
            <v>Devops mühəndisi</v>
          </cell>
          <cell r="G2732" t="str">
            <v>A</v>
          </cell>
          <cell r="H2732">
            <v>46213</v>
          </cell>
          <cell r="I2732" t="str">
            <v>Bir Payment</v>
          </cell>
        </row>
        <row r="2733">
          <cell r="B2733" t="str">
            <v>Əliyev Aslan Asif</v>
          </cell>
          <cell r="C2733" t="str">
            <v>Mühəndislik və texnoloji platformalar ekspert mərkəzi</v>
          </cell>
          <cell r="D2733" t="str">
            <v>DevOps və SRE funksional sahəsi</v>
          </cell>
          <cell r="E2733" t="str">
            <v>#</v>
          </cell>
          <cell r="F2733" t="str">
            <v>Platform mühəndisi</v>
          </cell>
          <cell r="G2733" t="str">
            <v>A</v>
          </cell>
          <cell r="H2733">
            <v>45029</v>
          </cell>
        </row>
        <row r="2734">
          <cell r="B2734" t="str">
            <v>Dursunova Səidə Əfqan</v>
          </cell>
          <cell r="C2734" t="str">
            <v>Mühəndislik və texnoloji platformalar ekspert mərkəzi</v>
          </cell>
          <cell r="D2734" t="str">
            <v>DevOps və SRE funksional sahəsi</v>
          </cell>
          <cell r="E2734" t="str">
            <v>#</v>
          </cell>
          <cell r="F2734" t="str">
            <v>Platform mühəndisi</v>
          </cell>
          <cell r="G2734" t="str">
            <v>A</v>
          </cell>
          <cell r="H2734">
            <v>43794</v>
          </cell>
        </row>
        <row r="2735">
          <cell r="B2735" t="str">
            <v>Vəliyev Məharət Ələddin</v>
          </cell>
          <cell r="C2735" t="str">
            <v>FinTech TechOps funksional sahəsi</v>
          </cell>
          <cell r="D2735" t="str">
            <v>#</v>
          </cell>
          <cell r="E2735" t="str">
            <v>#</v>
          </cell>
          <cell r="F2735" t="str">
            <v>Devops mühəndisi</v>
          </cell>
          <cell r="G2735" t="str">
            <v>A</v>
          </cell>
          <cell r="H2735">
            <v>44858</v>
          </cell>
        </row>
        <row r="2736">
          <cell r="B2736" t="str">
            <v>Zeynalov Səməd Rövşən</v>
          </cell>
          <cell r="C2736" t="str">
            <v>FinTech TechOps funksional sahəsi</v>
          </cell>
          <cell r="D2736" t="str">
            <v>#</v>
          </cell>
          <cell r="E2736" t="str">
            <v>#</v>
          </cell>
          <cell r="F2736" t="str">
            <v>Devops mühəndisi</v>
          </cell>
          <cell r="G2736" t="str">
            <v>A</v>
          </cell>
          <cell r="H2736">
            <v>45029</v>
          </cell>
        </row>
        <row r="2737">
          <cell r="B2737" t="str">
            <v>Səmədov Murad Zahir</v>
          </cell>
          <cell r="C2737" t="str">
            <v>Mühəndislik və texnoloji platformalar ekspert mərkəzi</v>
          </cell>
          <cell r="D2737" t="str">
            <v>DevOps və SRE funksional sahəsi</v>
          </cell>
          <cell r="E2737" t="str">
            <v>#</v>
          </cell>
          <cell r="F2737" t="str">
            <v>Servis dayanıqlığı üzrə mühəndis</v>
          </cell>
          <cell r="G2737" t="str">
            <v>A</v>
          </cell>
          <cell r="H2737">
            <v>45050</v>
          </cell>
        </row>
        <row r="2738">
          <cell r="B2738" t="str">
            <v>Xəlilov Ceyhun Cəsarət</v>
          </cell>
          <cell r="C2738" t="str">
            <v>FinTech TechOps funksional sahəsi</v>
          </cell>
          <cell r="D2738" t="str">
            <v>#</v>
          </cell>
          <cell r="E2738" t="str">
            <v>#</v>
          </cell>
          <cell r="F2738" t="str">
            <v>Devops mühəndisi</v>
          </cell>
          <cell r="G2738" t="str">
            <v>A</v>
          </cell>
          <cell r="H2738">
            <v>45254</v>
          </cell>
        </row>
        <row r="2739">
          <cell r="B2739" t="str">
            <v>Babayev Saiq Səyavuş</v>
          </cell>
          <cell r="C2739" t="str">
            <v>Mühəndislik və texnoloji platformalar ekspert mərkəzi</v>
          </cell>
          <cell r="D2739" t="str">
            <v>DevOps və SRE funksional sahəsi</v>
          </cell>
          <cell r="E2739" t="str">
            <v>#</v>
          </cell>
          <cell r="F2739" t="str">
            <v>Platform mühəndisi</v>
          </cell>
          <cell r="G2739" t="str">
            <v>A</v>
          </cell>
          <cell r="H2739">
            <v>45268</v>
          </cell>
        </row>
        <row r="2740">
          <cell r="B2740" t="str">
            <v>Bayramov Fərid Telman</v>
          </cell>
          <cell r="C2740" t="str">
            <v>Mühəndislik və texnoloji platformalar ekspert mərkəzi</v>
          </cell>
          <cell r="D2740" t="str">
            <v>DevOps və SRE funksional sahəsi</v>
          </cell>
          <cell r="E2740" t="str">
            <v>#</v>
          </cell>
          <cell r="F2740" t="str">
            <v>Servis dayanıqlığı üzrə mühəndis</v>
          </cell>
          <cell r="G2740" t="str">
            <v>A</v>
          </cell>
          <cell r="H2740">
            <v>45545</v>
          </cell>
        </row>
        <row r="2741">
          <cell r="B2741" t="str">
            <v>Hüseynov Etibar Vüqar</v>
          </cell>
          <cell r="C2741" t="str">
            <v>FinTech TechOps funksional sahəsi</v>
          </cell>
          <cell r="D2741" t="str">
            <v>#</v>
          </cell>
          <cell r="E2741" t="str">
            <v>#</v>
          </cell>
          <cell r="F2741" t="str">
            <v>Devops mühəndisi</v>
          </cell>
          <cell r="G2741" t="str">
            <v>A</v>
          </cell>
          <cell r="H2741">
            <v>45560</v>
          </cell>
        </row>
        <row r="2742">
          <cell r="B2742" t="str">
            <v>Ələkbərov Vüsal Eldar</v>
          </cell>
          <cell r="C2742" t="str">
            <v>Mühəndislik və texnoloji platformalar ekspert mərkəzi</v>
          </cell>
          <cell r="D2742" t="str">
            <v>DevOps və SRE funksional sahəsi</v>
          </cell>
          <cell r="E2742" t="str">
            <v>#</v>
          </cell>
          <cell r="F2742" t="str">
            <v>Platform mühəndisi</v>
          </cell>
          <cell r="G2742" t="str">
            <v>A</v>
          </cell>
          <cell r="H2742">
            <v>45982</v>
          </cell>
        </row>
        <row r="2743">
          <cell r="B2743" t="str">
            <v>Məmmədov Kənan Mahur</v>
          </cell>
          <cell r="C2743" t="str">
            <v>Ödəniş biznesinin TechOps funksional sahəsi</v>
          </cell>
          <cell r="D2743" t="str">
            <v>#</v>
          </cell>
          <cell r="E2743" t="str">
            <v>#</v>
          </cell>
          <cell r="F2743" t="str">
            <v>Funksional Sahə lideri</v>
          </cell>
          <cell r="G2743" t="str">
            <v>A</v>
          </cell>
          <cell r="H2743">
            <v>46028</v>
          </cell>
        </row>
        <row r="2744">
          <cell r="B2744" t="str">
            <v>Heydərov Murad Cəfər</v>
          </cell>
          <cell r="C2744" t="str">
            <v>Mühəndislik və texnoloji platformalar ekspert mərkəzi</v>
          </cell>
          <cell r="D2744" t="str">
            <v>DevOps və SRE funksional sahəsi</v>
          </cell>
          <cell r="E2744" t="str">
            <v>#</v>
          </cell>
          <cell r="F2744" t="str">
            <v>Funksional lider</v>
          </cell>
          <cell r="G2744" t="str">
            <v>A</v>
          </cell>
          <cell r="H2744">
            <v>45204</v>
          </cell>
        </row>
        <row r="2745">
          <cell r="B2745" t="str">
            <v>Əliyev Çinar Adil</v>
          </cell>
          <cell r="C2745" t="str">
            <v>İT infrastruktur departamenti</v>
          </cell>
          <cell r="D2745" t="str">
            <v>Sistem və şəbəkənin idarə edilməsi şöbəsi</v>
          </cell>
          <cell r="E2745" t="str">
            <v>Verilənlər bazalarının idarə edilməsi bölməsi</v>
          </cell>
          <cell r="F2745" t="str">
            <v>Baş mütəxəssis</v>
          </cell>
          <cell r="G2745" t="str">
            <v>A</v>
          </cell>
          <cell r="H2745">
            <v>45205</v>
          </cell>
        </row>
        <row r="2746">
          <cell r="B2746" t="str">
            <v>Mahmudov Elvin Mədəd</v>
          </cell>
          <cell r="C2746" t="str">
            <v>Mühəndislik və texnoloji platformalar ekspert mərkəzi</v>
          </cell>
          <cell r="D2746" t="str">
            <v>DevOps və SRE funksional sahəsi</v>
          </cell>
          <cell r="E2746" t="str">
            <v>#</v>
          </cell>
          <cell r="F2746" t="str">
            <v>Servis dayanıqlığı üzrə mühəndis</v>
          </cell>
          <cell r="G2746" t="str">
            <v>A</v>
          </cell>
          <cell r="H2746">
            <v>43647</v>
          </cell>
        </row>
        <row r="2747">
          <cell r="B2747" t="str">
            <v>Seyidli Səyyad Oktay</v>
          </cell>
          <cell r="C2747" t="str">
            <v>Mühəndislik və texnoloji platformalar ekspert mərkəzi</v>
          </cell>
          <cell r="D2747" t="str">
            <v>DevOps və SRE funksional sahəsi</v>
          </cell>
          <cell r="E2747" t="str">
            <v>#</v>
          </cell>
          <cell r="F2747" t="str">
            <v>Servis dayanıqlığı üzrə mühəndis</v>
          </cell>
          <cell r="G2747" t="str">
            <v>A</v>
          </cell>
          <cell r="H2747">
            <v>44600</v>
          </cell>
        </row>
        <row r="2748">
          <cell r="B2748" t="str">
            <v>Ağalarlı Yusif Elmar</v>
          </cell>
          <cell r="C2748" t="str">
            <v>Mühəndislik və texnoloji platformalar ekspert mərkəzi</v>
          </cell>
          <cell r="D2748" t="str">
            <v>DevOps və SRE funksional sahəsi</v>
          </cell>
          <cell r="E2748" t="str">
            <v>#</v>
          </cell>
          <cell r="F2748" t="str">
            <v>Servis dayanıqlığı üzrə mühəndis</v>
          </cell>
          <cell r="G2748" t="str">
            <v>A</v>
          </cell>
          <cell r="H2748">
            <v>45435</v>
          </cell>
        </row>
        <row r="2749">
          <cell r="B2749" t="str">
            <v>Qurbanlı Şamil Mətləb</v>
          </cell>
          <cell r="C2749" t="str">
            <v>Mühəndislik və texnoloji platformalar ekspert mərkəzi</v>
          </cell>
          <cell r="D2749" t="str">
            <v>DevOps və SRE funksional sahəsi</v>
          </cell>
          <cell r="E2749" t="str">
            <v>#</v>
          </cell>
          <cell r="F2749" t="str">
            <v>Servis dayanıqlığı üzrə mühəndis</v>
          </cell>
          <cell r="G2749" t="str">
            <v>A</v>
          </cell>
          <cell r="H2749">
            <v>45593</v>
          </cell>
        </row>
        <row r="2750">
          <cell r="B2750" t="str">
            <v>AKHMETSHİN FARKHAD</v>
          </cell>
          <cell r="C2750" t="str">
            <v>Mühəndislik və texnoloji platformalar ekspert mərkəzi</v>
          </cell>
          <cell r="D2750" t="str">
            <v>DevOps və SRE funksional sahəsi</v>
          </cell>
          <cell r="E2750" t="str">
            <v>#</v>
          </cell>
          <cell r="F2750" t="str">
            <v>Tech Lead</v>
          </cell>
          <cell r="G2750" t="str">
            <v>A</v>
          </cell>
          <cell r="H2750">
            <v>45912</v>
          </cell>
        </row>
        <row r="2751">
          <cell r="B2751" t="str">
            <v>Abdullayev Fəxrəddin Səttar</v>
          </cell>
          <cell r="C2751" t="str">
            <v>Mühəndislik və texnoloji platformalar ekspert mərkəzi</v>
          </cell>
          <cell r="D2751" t="str">
            <v>DevOps və SRE funksional sahəsi</v>
          </cell>
          <cell r="E2751" t="str">
            <v>#</v>
          </cell>
          <cell r="F2751" t="str">
            <v>Servis dayanıqlığı üzrə mühəndis</v>
          </cell>
          <cell r="G2751" t="str">
            <v>A</v>
          </cell>
          <cell r="H2751">
            <v>45967</v>
          </cell>
        </row>
        <row r="2752">
          <cell r="B2752" t="str">
            <v>Abdullayev Abdulla Rafiq</v>
          </cell>
          <cell r="C2752" t="str">
            <v>Ödəniş biznesinin TechOps funksional sahəsi</v>
          </cell>
          <cell r="D2752" t="str">
            <v>#</v>
          </cell>
          <cell r="E2752" t="str">
            <v>#</v>
          </cell>
          <cell r="F2752" t="str">
            <v>Servis dayanıqlığı üzrə mühəndis</v>
          </cell>
          <cell r="G2752" t="str">
            <v>A</v>
          </cell>
          <cell r="H2752">
            <v>46055</v>
          </cell>
        </row>
        <row r="2753">
          <cell r="B2753" t="str">
            <v>Cəfərli Saleh Ayaz</v>
          </cell>
          <cell r="C2753" t="str">
            <v>Ödəniş biznesinin TechOps funksional sahəsi</v>
          </cell>
          <cell r="D2753" t="str">
            <v>#</v>
          </cell>
          <cell r="E2753" t="str">
            <v>#</v>
          </cell>
          <cell r="F2753" t="str">
            <v>Servis dayanıqlığı üzrə mühəndis</v>
          </cell>
          <cell r="G2753" t="str">
            <v>A</v>
          </cell>
          <cell r="H2753">
            <v>46245</v>
          </cell>
        </row>
        <row r="2754">
          <cell r="B2754" t="str">
            <v>Saruxanov Polad Əliyar</v>
          </cell>
          <cell r="C2754" t="str">
            <v>FinTech TechOps funksional sahəsi</v>
          </cell>
          <cell r="D2754" t="str">
            <v>#</v>
          </cell>
          <cell r="E2754" t="str">
            <v>#</v>
          </cell>
          <cell r="F2754" t="str">
            <v>Servis dayanıqlığı üzrə mühəndis</v>
          </cell>
          <cell r="G2754" t="str">
            <v>A</v>
          </cell>
          <cell r="H2754">
            <v>45980</v>
          </cell>
        </row>
        <row r="2755">
          <cell r="B2755" t="str">
            <v>Süleymanov Murad Eldəniz</v>
          </cell>
          <cell r="C2755" t="str">
            <v>FinTech TechOps funksional sahəsi</v>
          </cell>
          <cell r="D2755" t="str">
            <v>#</v>
          </cell>
          <cell r="E2755" t="str">
            <v>#</v>
          </cell>
          <cell r="F2755" t="str">
            <v>Servis dayanıqlığı üzrə mühəndis</v>
          </cell>
          <cell r="G2755" t="str">
            <v>A</v>
          </cell>
          <cell r="H2755">
            <v>46028</v>
          </cell>
        </row>
        <row r="2756">
          <cell r="B2756" t="str">
            <v>Məmmədrzayeva Arzu Alyar</v>
          </cell>
          <cell r="C2756" t="str">
            <v>Ödəniş biznesinin TechOps funksional sahəsi</v>
          </cell>
          <cell r="D2756" t="str">
            <v>#</v>
          </cell>
          <cell r="E2756" t="str">
            <v>#</v>
          </cell>
          <cell r="F2756" t="str">
            <v>Verilənlər bazası üzrə mühəndis</v>
          </cell>
          <cell r="G2756" t="str">
            <v>A</v>
          </cell>
          <cell r="H2756">
            <v>45642</v>
          </cell>
        </row>
        <row r="2757">
          <cell r="B2757" t="str">
            <v>İsmayılov Samir Səbuhi</v>
          </cell>
          <cell r="C2757" t="str">
            <v>FinTech TechOps funksional sahəsi</v>
          </cell>
          <cell r="D2757" t="str">
            <v>#</v>
          </cell>
          <cell r="E2757" t="str">
            <v>#</v>
          </cell>
          <cell r="F2757" t="str">
            <v>Verilənlər bazası üzrə mühəndis</v>
          </cell>
          <cell r="G2757" t="str">
            <v>A</v>
          </cell>
          <cell r="H2757">
            <v>45875</v>
          </cell>
        </row>
        <row r="2758">
          <cell r="B2758" t="str">
            <v>Babayev Əkbər Əlvan</v>
          </cell>
          <cell r="C2758" t="str">
            <v>FinTech TechOps funksional sahəsi</v>
          </cell>
          <cell r="D2758" t="str">
            <v>#</v>
          </cell>
          <cell r="E2758" t="str">
            <v>#</v>
          </cell>
          <cell r="F2758" t="str">
            <v>Verilənlər bazası üzrə mühəndis</v>
          </cell>
          <cell r="G2758" t="str">
            <v>A</v>
          </cell>
          <cell r="H2758">
            <v>46085</v>
          </cell>
        </row>
        <row r="2759">
          <cell r="B2759" t="str">
            <v>Adıgözəlov Orxan İlqar</v>
          </cell>
          <cell r="C2759" t="str">
            <v>Mühəndislik və texnoloji platformalar ekspert mərkəzi</v>
          </cell>
          <cell r="D2759" t="str">
            <v>Data və Aİ platformaları funksional sahəsi</v>
          </cell>
          <cell r="E2759" t="str">
            <v>#</v>
          </cell>
          <cell r="F2759" t="str">
            <v>Verilənlər bazası üzrə mühəndis</v>
          </cell>
          <cell r="G2759" t="str">
            <v>A</v>
          </cell>
          <cell r="H2759">
            <v>44701</v>
          </cell>
        </row>
        <row r="2760">
          <cell r="B2760" t="str">
            <v>Mustafayeva Elnarə Elxan</v>
          </cell>
          <cell r="C2760" t="str">
            <v>İT infrastruktur departamenti</v>
          </cell>
          <cell r="D2760" t="str">
            <v>Sistem və şəbəkənin idarə edilməsi şöbəsi</v>
          </cell>
          <cell r="E2760" t="str">
            <v>Verilənlər bazalarının idarə edilməsi bölməsi</v>
          </cell>
          <cell r="F2760" t="str">
            <v>Aparıcı mütəxəssis</v>
          </cell>
          <cell r="G2760" t="str">
            <v>A</v>
          </cell>
          <cell r="H2760">
            <v>44725</v>
          </cell>
        </row>
        <row r="2761">
          <cell r="B2761" t="str">
            <v>Məmmədli Şəhriyar Həmid</v>
          </cell>
          <cell r="C2761" t="str">
            <v>FinTech TechOps funksional sahəsi</v>
          </cell>
          <cell r="D2761" t="str">
            <v>#</v>
          </cell>
          <cell r="E2761" t="str">
            <v>#</v>
          </cell>
          <cell r="F2761" t="str">
            <v>Verilənlər bazası üzrə mühəndis</v>
          </cell>
          <cell r="G2761" t="str">
            <v>A</v>
          </cell>
          <cell r="H2761">
            <v>43395</v>
          </cell>
        </row>
        <row r="2762">
          <cell r="B2762" t="str">
            <v>Xəlilbəyli Nizami Cəmil</v>
          </cell>
          <cell r="C2762" t="str">
            <v>Mühəndislik və texnoloji platformalar ekspert mərkəzi</v>
          </cell>
          <cell r="D2762" t="str">
            <v>Data və Aİ platformaları funksional sahəsi</v>
          </cell>
          <cell r="E2762" t="str">
            <v>#</v>
          </cell>
          <cell r="F2762" t="str">
            <v>Verilənlər bazası üzrə mühəndis</v>
          </cell>
          <cell r="G2762" t="str">
            <v>A</v>
          </cell>
          <cell r="H2762">
            <v>45993</v>
          </cell>
        </row>
        <row r="2763">
          <cell r="B2763" t="str">
            <v>Rəhmanova Zümrüd İmran</v>
          </cell>
          <cell r="C2763" t="str">
            <v>FinTech TechOps funksional sahəsi</v>
          </cell>
          <cell r="D2763" t="str">
            <v>#</v>
          </cell>
          <cell r="E2763" t="str">
            <v>#</v>
          </cell>
          <cell r="F2763" t="str">
            <v>Verilənlər bazası üzrə mühəndis</v>
          </cell>
          <cell r="G2763" t="str">
            <v>A</v>
          </cell>
          <cell r="H2763">
            <v>43878</v>
          </cell>
        </row>
        <row r="2764">
          <cell r="B2764" t="str">
            <v>Səmədzadə Səməd Süleyman</v>
          </cell>
          <cell r="C2764" t="str">
            <v>FinTech TechOps funksional sahəsi</v>
          </cell>
          <cell r="D2764" t="str">
            <v>#</v>
          </cell>
          <cell r="E2764" t="str">
            <v>#</v>
          </cell>
          <cell r="F2764" t="str">
            <v>Verilənlər bazası üzrə mühəndis</v>
          </cell>
          <cell r="G2764" t="str">
            <v>A</v>
          </cell>
          <cell r="H2764">
            <v>44503</v>
          </cell>
        </row>
        <row r="2765">
          <cell r="B2765" t="str">
            <v>Hüseynova Gülzar Rizvan</v>
          </cell>
          <cell r="C2765" t="str">
            <v>Ödəniş biznesinin TechOps funksional sahəsi</v>
          </cell>
          <cell r="D2765" t="str">
            <v>#</v>
          </cell>
          <cell r="E2765" t="str">
            <v>#</v>
          </cell>
          <cell r="F2765" t="str">
            <v>Verilənlər bazası üzrə mühəndis</v>
          </cell>
          <cell r="G2765" t="str">
            <v>A</v>
          </cell>
          <cell r="H2765">
            <v>44896</v>
          </cell>
        </row>
        <row r="2766">
          <cell r="B2766" t="str">
            <v>İbrahimov Yusif Samir</v>
          </cell>
          <cell r="C2766" t="str">
            <v>Ödəniş biznesinin TechOps funksional sahəsi</v>
          </cell>
          <cell r="D2766" t="str">
            <v>#</v>
          </cell>
          <cell r="E2766" t="str">
            <v>#</v>
          </cell>
          <cell r="F2766" t="str">
            <v>Verilənlər bazası üzrə mühəndis</v>
          </cell>
          <cell r="G2766" t="str">
            <v>A</v>
          </cell>
          <cell r="H2766">
            <v>45247</v>
          </cell>
        </row>
        <row r="2767">
          <cell r="B2767" t="str">
            <v>Məhərrəmli Günay Əkrəm</v>
          </cell>
          <cell r="C2767" t="str">
            <v>Ödəniş biznesinin TechOps funksional sahəsi</v>
          </cell>
          <cell r="D2767" t="str">
            <v>#</v>
          </cell>
          <cell r="E2767" t="str">
            <v>#</v>
          </cell>
          <cell r="F2767" t="str">
            <v>Verilənlər bazası üzrə mühəndis</v>
          </cell>
          <cell r="G2767" t="str">
            <v>A</v>
          </cell>
          <cell r="H2767">
            <v>45331</v>
          </cell>
        </row>
        <row r="2768">
          <cell r="B2768" t="str">
            <v>Əliyeva Məryəm Pəhlivan</v>
          </cell>
          <cell r="C2768" t="str">
            <v>İT infrastruktur departamenti</v>
          </cell>
          <cell r="D2768" t="str">
            <v>Sistem və şəbəkənin idarə edilməsi şöbəsi</v>
          </cell>
          <cell r="E2768" t="str">
            <v>Verilənlər bazalarının idarə edilməsi bölməsi</v>
          </cell>
          <cell r="F2768" t="str">
            <v>Mütəxəssis</v>
          </cell>
          <cell r="G2768" t="str">
            <v>A</v>
          </cell>
          <cell r="H2768">
            <v>45485</v>
          </cell>
        </row>
        <row r="2769">
          <cell r="B2769" t="str">
            <v>DAVYDOV GEORGIY</v>
          </cell>
          <cell r="C2769" t="str">
            <v>Arxitektura ekspert mərkəzi</v>
          </cell>
          <cell r="D2769" t="str">
            <v>#</v>
          </cell>
          <cell r="E2769" t="str">
            <v>#</v>
          </cell>
          <cell r="F2769" t="str">
            <v>Ekspert mərkəzinin lideri</v>
          </cell>
          <cell r="G2769" t="str">
            <v>A</v>
          </cell>
          <cell r="H2769">
            <v>45163</v>
          </cell>
        </row>
        <row r="2770">
          <cell r="B2770" t="str">
            <v>Şirinov Rövşən Nizami</v>
          </cell>
          <cell r="C2770" t="str">
            <v>Ödəniş biznesinin arxitektura və İT idarəetmə prosesi</v>
          </cell>
          <cell r="D2770" t="str">
            <v>#</v>
          </cell>
          <cell r="E2770" t="str">
            <v>#</v>
          </cell>
          <cell r="F2770" t="str">
            <v>İT proseslərinin idarə edilməsi üzrə ekspert</v>
          </cell>
          <cell r="G2770" t="str">
            <v>A</v>
          </cell>
          <cell r="H2770">
            <v>43955</v>
          </cell>
        </row>
        <row r="2771">
          <cell r="B2771" t="str">
            <v>Ağazadə Aidə İbrahim</v>
          </cell>
          <cell r="C2771" t="str">
            <v>İT proseslərinin idarə edilməsi funksional sahəsi</v>
          </cell>
          <cell r="D2771" t="str">
            <v>#</v>
          </cell>
          <cell r="E2771" t="str">
            <v>#</v>
          </cell>
          <cell r="F2771" t="str">
            <v>İT proseslərinin idarə edilməsi üzrə ekspert</v>
          </cell>
          <cell r="G2771" t="str">
            <v>A</v>
          </cell>
          <cell r="H2771">
            <v>45036</v>
          </cell>
        </row>
        <row r="2772">
          <cell r="B2772" t="str">
            <v>IAREMCHENKO ALEKSANDR</v>
          </cell>
          <cell r="C2772" t="str">
            <v>Ödəniş biznesinin arxitektura və İT idarəetmə prosesi</v>
          </cell>
          <cell r="D2772" t="str">
            <v>#</v>
          </cell>
          <cell r="E2772" t="str">
            <v>#</v>
          </cell>
          <cell r="F2772" t="str">
            <v>İT proseslərinin idarə edilməsi üzrə ekspert</v>
          </cell>
          <cell r="G2772" t="str">
            <v>A</v>
          </cell>
          <cell r="H2772">
            <v>45902</v>
          </cell>
        </row>
        <row r="2773">
          <cell r="B2773" t="str">
            <v>Əfəndiyev Camaləddin Vasif</v>
          </cell>
          <cell r="C2773" t="str">
            <v>İT proseslərinin idarə edilməsi funksional sahəsi</v>
          </cell>
          <cell r="D2773" t="str">
            <v>#</v>
          </cell>
          <cell r="E2773" t="str">
            <v>#</v>
          </cell>
          <cell r="F2773" t="str">
            <v>İT proseslərinin idarə edilməsi üzrə ekspert</v>
          </cell>
          <cell r="G2773" t="str">
            <v>A</v>
          </cell>
          <cell r="H2773">
            <v>45100</v>
          </cell>
        </row>
        <row r="2774">
          <cell r="B2774" t="str">
            <v>İsmayılova Fidan İlkin</v>
          </cell>
          <cell r="C2774" t="str">
            <v>İT proseslərinin idarə edilməsi funksional sahəsi</v>
          </cell>
          <cell r="D2774" t="str">
            <v>#</v>
          </cell>
          <cell r="E2774" t="str">
            <v>#</v>
          </cell>
          <cell r="F2774" t="str">
            <v>İT proseslərinin idarə edilməsi üzrə ekspert</v>
          </cell>
          <cell r="G2774" t="str">
            <v>A</v>
          </cell>
          <cell r="H2774">
            <v>46231</v>
          </cell>
        </row>
        <row r="2775">
          <cell r="B2775" t="str">
            <v>Şükürov Zaur Məhəmməd</v>
          </cell>
          <cell r="C2775" t="str">
            <v>İT proseslərinin idarə edilməsi funksional sahəsi</v>
          </cell>
          <cell r="D2775" t="str">
            <v>#</v>
          </cell>
          <cell r="E2775" t="str">
            <v>#</v>
          </cell>
          <cell r="F2775" t="str">
            <v>İT proseslərinin idarə edilməsi üzrə ekspert</v>
          </cell>
          <cell r="G2775" t="str">
            <v>A</v>
          </cell>
          <cell r="H2775">
            <v>45385</v>
          </cell>
        </row>
        <row r="2776">
          <cell r="B2776" t="str">
            <v>Nağıyev Həsən Vahid</v>
          </cell>
          <cell r="C2776" t="str">
            <v>Ödəniş biznesinin mühəndislik ekspert mərkəzi</v>
          </cell>
          <cell r="D2776" t="str">
            <v>#</v>
          </cell>
          <cell r="E2776" t="str">
            <v>#</v>
          </cell>
          <cell r="F2776" t="str">
            <v>Funksional lider</v>
          </cell>
          <cell r="G2776" t="str">
            <v>A</v>
          </cell>
          <cell r="H2776">
            <v>45540</v>
          </cell>
        </row>
        <row r="2777">
          <cell r="B2777" t="str">
            <v>Əmrahov Ayxan Azər</v>
          </cell>
          <cell r="C2777" t="str">
            <v>Ödəniş biznesinin mühəndislik ekspert mərkəzi</v>
          </cell>
          <cell r="D2777" t="str">
            <v>Softvvare chapter</v>
          </cell>
          <cell r="E2777" t="str">
            <v>#</v>
          </cell>
          <cell r="F2777" t="str">
            <v>Funksional lider</v>
          </cell>
          <cell r="G2777" t="str">
            <v>A</v>
          </cell>
          <cell r="H2777">
            <v>46223</v>
          </cell>
          <cell r="I2777" t="str">
            <v>Bir Payment</v>
          </cell>
        </row>
        <row r="2778">
          <cell r="B2778" t="str">
            <v>KULIKOV ANDREI</v>
          </cell>
          <cell r="C2778" t="str">
            <v>Arxitektura ekspert mərkəzi</v>
          </cell>
          <cell r="D2778" t="str">
            <v>#</v>
          </cell>
          <cell r="E2778" t="str">
            <v>#</v>
          </cell>
          <cell r="F2778" t="str">
            <v>Korporativ arxitektor</v>
          </cell>
          <cell r="G2778" t="str">
            <v>A</v>
          </cell>
          <cell r="H2778">
            <v>45664</v>
          </cell>
        </row>
        <row r="2779">
          <cell r="B2779" t="str">
            <v>PEROV IVAN</v>
          </cell>
          <cell r="C2779" t="str">
            <v>Arxitektura ekspert mərkəzi</v>
          </cell>
          <cell r="D2779" t="str">
            <v>#</v>
          </cell>
          <cell r="E2779" t="str">
            <v>#</v>
          </cell>
          <cell r="F2779" t="str">
            <v>Korporativ arxitektor</v>
          </cell>
          <cell r="G2779" t="str">
            <v>A</v>
          </cell>
          <cell r="H2779">
            <v>45729</v>
          </cell>
        </row>
        <row r="2780">
          <cell r="B2780" t="str">
            <v>MUMINOV TIMUR MARATOVICH</v>
          </cell>
          <cell r="C2780" t="str">
            <v>Arxitektura ekspert mərkəzi</v>
          </cell>
          <cell r="D2780" t="str">
            <v>#</v>
          </cell>
          <cell r="E2780" t="str">
            <v>#</v>
          </cell>
          <cell r="F2780" t="str">
            <v>Korporativ arxitektor</v>
          </cell>
          <cell r="G2780" t="str">
            <v>A</v>
          </cell>
          <cell r="H2780">
            <v>46014</v>
          </cell>
        </row>
        <row r="2781">
          <cell r="B2781" t="str">
            <v xml:space="preserve">MURZIN SVIATOSLAV </v>
          </cell>
          <cell r="C2781" t="str">
            <v>Arxitektura ekspert mərkəzi</v>
          </cell>
          <cell r="D2781" t="str">
            <v>#</v>
          </cell>
          <cell r="E2781" t="str">
            <v>#</v>
          </cell>
          <cell r="F2781" t="str">
            <v>Korporativ arxitektor</v>
          </cell>
          <cell r="G2781" t="str">
            <v>A</v>
          </cell>
          <cell r="H2781">
            <v>46113</v>
          </cell>
        </row>
        <row r="2782">
          <cell r="B2782" t="str">
            <v>Qasımov Elçin Yusif</v>
          </cell>
          <cell r="C2782" t="str">
            <v>Arxitektura ekspert mərkəzi</v>
          </cell>
          <cell r="D2782" t="str">
            <v>#</v>
          </cell>
          <cell r="E2782" t="str">
            <v>#</v>
          </cell>
          <cell r="F2782" t="str">
            <v>Korporativ arxitektor</v>
          </cell>
          <cell r="G2782" t="str">
            <v>A</v>
          </cell>
          <cell r="H2782">
            <v>45967</v>
          </cell>
        </row>
        <row r="2783">
          <cell r="B2783" t="str">
            <v>Süleymanlı Elşad Süleyman</v>
          </cell>
          <cell r="C2783" t="str">
            <v>Ödəniş biznesinin arxitektura və İT idarəetmə prosesi</v>
          </cell>
          <cell r="D2783" t="str">
            <v>#</v>
          </cell>
          <cell r="E2783" t="str">
            <v>#</v>
          </cell>
          <cell r="F2783" t="str">
            <v>İT proseslərinin idarə edilməsi üzrə ekspert</v>
          </cell>
          <cell r="G2783" t="str">
            <v>A</v>
          </cell>
          <cell r="H2783">
            <v>46150</v>
          </cell>
        </row>
        <row r="2784">
          <cell r="B2784" t="str">
            <v>Paşayev Hüseyn Gündüz</v>
          </cell>
          <cell r="C2784" t="str">
            <v>Mühəndislik və texnoloji platformalar ekspert mərkəzi</v>
          </cell>
          <cell r="D2784" t="str">
            <v>Data və Aİ platformaları funksional sahəsi</v>
          </cell>
          <cell r="E2784" t="str">
            <v>#</v>
          </cell>
          <cell r="F2784" t="str">
            <v>Korporativ arxitektor</v>
          </cell>
          <cell r="G2784" t="str">
            <v>A</v>
          </cell>
          <cell r="H2784">
            <v>43199</v>
          </cell>
        </row>
        <row r="2785">
          <cell r="B2785" t="str">
            <v>Quliyev Həbib Şahin</v>
          </cell>
          <cell r="C2785" t="str">
            <v>Mühəndislik və texnoloji platformalar ekspert mərkəzi</v>
          </cell>
          <cell r="D2785" t="str">
            <v>Data və Aİ platformaları funksional sahəsi</v>
          </cell>
          <cell r="E2785" t="str">
            <v>#</v>
          </cell>
          <cell r="F2785" t="str">
            <v>Aİ platformaları üzrə mühəndis</v>
          </cell>
          <cell r="G2785" t="str">
            <v>A</v>
          </cell>
          <cell r="H2785">
            <v>44921</v>
          </cell>
        </row>
        <row r="2786">
          <cell r="B2786" t="str">
            <v>Şirinov İbrahim Şeyix</v>
          </cell>
          <cell r="C2786" t="str">
            <v>Mühəndislik və texnoloji platformalar ekspert mərkəzi</v>
          </cell>
          <cell r="D2786" t="str">
            <v>Data və Aİ platformaları funksional sahəsi</v>
          </cell>
          <cell r="E2786" t="str">
            <v>#</v>
          </cell>
          <cell r="F2786" t="str">
            <v>Aİ platformaları üzrə mühəndis</v>
          </cell>
          <cell r="G2786" t="str">
            <v>A</v>
          </cell>
          <cell r="H2786">
            <v>44844</v>
          </cell>
        </row>
        <row r="2787">
          <cell r="B2787" t="str">
            <v>Ağakişiyeva Günel Samir</v>
          </cell>
          <cell r="C2787" t="str">
            <v>Mühəndislik və texnoloji platformalar ekspert mərkəzi</v>
          </cell>
          <cell r="D2787" t="str">
            <v>Data və Aİ platformaları funksional sahəsi</v>
          </cell>
          <cell r="E2787" t="str">
            <v>#</v>
          </cell>
          <cell r="F2787" t="str">
            <v>Aİ platformaları üzrə mühəndis</v>
          </cell>
          <cell r="G2787" t="str">
            <v>A</v>
          </cell>
          <cell r="H2787">
            <v>46266</v>
          </cell>
        </row>
        <row r="2788">
          <cell r="B2788" t="str">
            <v>Rəhimov Rəfi Zakir</v>
          </cell>
          <cell r="C2788" t="str">
            <v>Arxitektura ekspert mərkəzi</v>
          </cell>
          <cell r="D2788" t="str">
            <v>#</v>
          </cell>
          <cell r="E2788" t="str">
            <v>#</v>
          </cell>
          <cell r="F2788" t="str">
            <v>Korporativ arxitektor</v>
          </cell>
          <cell r="G2788" t="str">
            <v>A</v>
          </cell>
          <cell r="H2788">
            <v>45331</v>
          </cell>
        </row>
        <row r="2789">
          <cell r="B2789" t="str">
            <v>Nəzərov Cavid Mehman</v>
          </cell>
          <cell r="C2789" t="str">
            <v>Ödəniş biznesinin mühəndislik ekspert mərkəzi</v>
          </cell>
          <cell r="D2789" t="str">
            <v>Softvvare chapter</v>
          </cell>
          <cell r="E2789" t="str">
            <v>#</v>
          </cell>
          <cell r="F2789" t="str">
            <v>Tech lead</v>
          </cell>
          <cell r="G2789" t="str">
            <v>A</v>
          </cell>
          <cell r="H2789">
            <v>45101</v>
          </cell>
        </row>
        <row r="2790">
          <cell r="B2790" t="str">
            <v>Cəlilzadə Hafisə Natiq</v>
          </cell>
          <cell r="C2790" t="str">
            <v>Ödəniş biznesinin mühəndislik ekspert mərkəzi</v>
          </cell>
          <cell r="D2790" t="str">
            <v>Softvvare chapter</v>
          </cell>
          <cell r="E2790" t="str">
            <v>#</v>
          </cell>
          <cell r="F2790" t="str">
            <v>Sistem developer</v>
          </cell>
          <cell r="G2790" t="str">
            <v>A</v>
          </cell>
          <cell r="H2790">
            <v>45664</v>
          </cell>
        </row>
        <row r="2791">
          <cell r="B2791" t="str">
            <v>Hüseynəliyev Əli Nazim</v>
          </cell>
          <cell r="C2791" t="str">
            <v>Ödəniş biznesinin mühəndislik ekspert mərkəzi</v>
          </cell>
          <cell r="D2791" t="str">
            <v>Softvvare chapter</v>
          </cell>
          <cell r="E2791" t="str">
            <v>#</v>
          </cell>
          <cell r="F2791" t="str">
            <v>Backend developer</v>
          </cell>
          <cell r="G2791" t="str">
            <v>A</v>
          </cell>
          <cell r="H2791">
            <v>45247</v>
          </cell>
        </row>
        <row r="2792">
          <cell r="B2792" t="str">
            <v>Hüseynov Vildan Yaşar</v>
          </cell>
          <cell r="C2792" t="str">
            <v>Ödəniş biznesinin mühəndislik ekspert mərkəzi</v>
          </cell>
          <cell r="D2792" t="str">
            <v>Softvvare chapter</v>
          </cell>
          <cell r="E2792" t="str">
            <v>#</v>
          </cell>
          <cell r="F2792" t="str">
            <v>Backend developer</v>
          </cell>
          <cell r="G2792" t="str">
            <v>A</v>
          </cell>
          <cell r="H2792">
            <v>46224</v>
          </cell>
          <cell r="I2792" t="str">
            <v>Bir Payment</v>
          </cell>
        </row>
        <row r="2793">
          <cell r="B2793" t="str">
            <v>Rəsulzadə İmran Telman</v>
          </cell>
          <cell r="C2793" t="str">
            <v>Ödəniş biznesinin mühəndislik ekspert mərkəzi</v>
          </cell>
          <cell r="D2793" t="str">
            <v>Software chapter</v>
          </cell>
          <cell r="E2793" t="str">
            <v>#</v>
          </cell>
          <cell r="F2793" t="str">
            <v>Backend developer</v>
          </cell>
          <cell r="G2793" t="str">
            <v>A</v>
          </cell>
          <cell r="H2793">
            <v>46241</v>
          </cell>
        </row>
        <row r="2794">
          <cell r="B2794" t="str">
            <v>Hacımuradov Üzeyir Nazim</v>
          </cell>
          <cell r="C2794" t="str">
            <v>Ödəniş biznesinin mühəndislik ekspert mərkəzi</v>
          </cell>
          <cell r="D2794" t="str">
            <v>Software chapter</v>
          </cell>
          <cell r="E2794" t="str">
            <v>#</v>
          </cell>
          <cell r="F2794" t="str">
            <v>Backend developer</v>
          </cell>
          <cell r="G2794" t="str">
            <v>A</v>
          </cell>
          <cell r="H2794">
            <v>46266</v>
          </cell>
        </row>
        <row r="2795">
          <cell r="B2795" t="str">
            <v>Təhmasib Şəfiq Məmmədhüseyn</v>
          </cell>
          <cell r="C2795" t="str">
            <v>Ödəniş biznesinin mühəndislik ekspert mərkəzi</v>
          </cell>
          <cell r="D2795" t="str">
            <v>Software chapter</v>
          </cell>
          <cell r="E2795" t="str">
            <v>#</v>
          </cell>
          <cell r="F2795" t="str">
            <v>Backend developer</v>
          </cell>
          <cell r="G2795" t="str">
            <v>A</v>
          </cell>
          <cell r="H2795">
            <v>46267</v>
          </cell>
        </row>
        <row r="2796">
          <cell r="B2796" t="str">
            <v>Əliyev Samir Vüsal</v>
          </cell>
          <cell r="C2796" t="str">
            <v>Ödəniş biznesinin mühəndislik ekspert mərkəzi</v>
          </cell>
          <cell r="D2796" t="str">
            <v>Software chapter</v>
          </cell>
          <cell r="E2796" t="str">
            <v>#</v>
          </cell>
          <cell r="F2796" t="str">
            <v>Backend developer</v>
          </cell>
          <cell r="G2796" t="str">
            <v>A</v>
          </cell>
          <cell r="H2796">
            <v>46276</v>
          </cell>
        </row>
        <row r="2797">
          <cell r="B2797" t="str">
            <v>Balabəyli Həmid Balabəy</v>
          </cell>
          <cell r="C2797" t="str">
            <v>Ödəniş biznesinin mühəndislik ekspert mərkəzi</v>
          </cell>
          <cell r="D2797" t="str">
            <v>Software chapter</v>
          </cell>
          <cell r="E2797" t="str">
            <v>#</v>
          </cell>
          <cell r="F2797" t="str">
            <v>Sistem developer</v>
          </cell>
          <cell r="G2797" t="str">
            <v>A</v>
          </cell>
          <cell r="H2797">
            <v>45783</v>
          </cell>
        </row>
        <row r="2798">
          <cell r="B2798" t="str">
            <v>Əliyev Zülfüqar Tofiq</v>
          </cell>
          <cell r="C2798" t="str">
            <v>Ödəniş biznesinin mühəndislik ekspert mərkəzi</v>
          </cell>
          <cell r="D2798" t="str">
            <v>Softvvare chapter</v>
          </cell>
          <cell r="E2798" t="str">
            <v>#</v>
          </cell>
          <cell r="F2798" t="str">
            <v>Backend developer</v>
          </cell>
          <cell r="G2798" t="str">
            <v>A</v>
          </cell>
          <cell r="H2798">
            <v>45854</v>
          </cell>
        </row>
        <row r="2799">
          <cell r="B2799" t="str">
            <v>Mikayılova Nərgiz Rövşən</v>
          </cell>
          <cell r="C2799" t="str">
            <v>Ödəniş biznesinin mühəndislik ekspert mərkəzi</v>
          </cell>
          <cell r="D2799" t="str">
            <v>Softvvare chapter</v>
          </cell>
          <cell r="E2799" t="str">
            <v>#</v>
          </cell>
          <cell r="F2799" t="str">
            <v>Backend developer</v>
          </cell>
          <cell r="G2799" t="str">
            <v>A</v>
          </cell>
          <cell r="H2799">
            <v>45540</v>
          </cell>
        </row>
        <row r="2800">
          <cell r="B2800" t="str">
            <v>Quluzadə Namiq Müvəkkil</v>
          </cell>
          <cell r="C2800" t="str">
            <v>FinTech mühəndislik ekspert mərkəzi</v>
          </cell>
          <cell r="D2800" t="str">
            <v>Softvvare chapter</v>
          </cell>
          <cell r="E2800" t="str">
            <v>#</v>
          </cell>
          <cell r="F2800" t="str">
            <v>Backend developer</v>
          </cell>
          <cell r="G2800" t="str">
            <v>A</v>
          </cell>
          <cell r="H2800">
            <v>45966</v>
          </cell>
        </row>
        <row r="2801">
          <cell r="B2801" t="str">
            <v>Həsənov Tahir Nazim</v>
          </cell>
          <cell r="C2801" t="str">
            <v>FinTech mühəndislik ekspert mərkəzi</v>
          </cell>
          <cell r="D2801" t="str">
            <v>Softvvare chapter</v>
          </cell>
          <cell r="E2801" t="str">
            <v>#</v>
          </cell>
          <cell r="F2801" t="str">
            <v>Backend developer</v>
          </cell>
          <cell r="G2801" t="str">
            <v>A</v>
          </cell>
          <cell r="H2801">
            <v>46084</v>
          </cell>
        </row>
        <row r="2802">
          <cell r="B2802" t="str">
            <v>Süleymanlı Nəzrin Niyazi</v>
          </cell>
          <cell r="C2802" t="str">
            <v>FinTech mühəndislik ekspert mərkəzi</v>
          </cell>
          <cell r="D2802" t="str">
            <v>Softvvare chapter</v>
          </cell>
          <cell r="E2802" t="str">
            <v>#</v>
          </cell>
          <cell r="F2802" t="str">
            <v>Backend developer</v>
          </cell>
          <cell r="G2802" t="str">
            <v>A</v>
          </cell>
          <cell r="H2802">
            <v>43515</v>
          </cell>
        </row>
        <row r="2803">
          <cell r="B2803" t="str">
            <v>Zeynallı Şəfa İbrahim</v>
          </cell>
          <cell r="C2803" t="str">
            <v>FinTech mühəndislik ekspert mərkəzi</v>
          </cell>
          <cell r="D2803" t="str">
            <v>Softvvare chapter</v>
          </cell>
          <cell r="E2803" t="str">
            <v>#</v>
          </cell>
          <cell r="F2803" t="str">
            <v>Backend developer</v>
          </cell>
          <cell r="G2803" t="str">
            <v>A</v>
          </cell>
          <cell r="H2803">
            <v>46274</v>
          </cell>
        </row>
        <row r="2804">
          <cell r="B2804" t="str">
            <v>Məmmədli Şəhriyar Ələsgər</v>
          </cell>
          <cell r="C2804" t="str">
            <v>FinTech mühəndislik ekspert mərkəzi</v>
          </cell>
          <cell r="D2804" t="str">
            <v>Softvvare chapter</v>
          </cell>
          <cell r="E2804" t="str">
            <v>#</v>
          </cell>
          <cell r="F2804" t="str">
            <v>Backend developer</v>
          </cell>
          <cell r="G2804" t="str">
            <v>A</v>
          </cell>
          <cell r="H2804">
            <v>46015</v>
          </cell>
        </row>
        <row r="2805">
          <cell r="B2805" t="str">
            <v>SADIGOV AKHMED</v>
          </cell>
          <cell r="C2805" t="str">
            <v>FinTech mühəndislik ekspert mərkəzi</v>
          </cell>
          <cell r="D2805" t="str">
            <v>Softvvare chapter</v>
          </cell>
          <cell r="E2805" t="str">
            <v>#</v>
          </cell>
          <cell r="F2805" t="str">
            <v>Backend developer</v>
          </cell>
          <cell r="G2805" t="str">
            <v>A</v>
          </cell>
          <cell r="H2805">
            <v>45540</v>
          </cell>
        </row>
        <row r="2806">
          <cell r="B2806" t="str">
            <v>İbrahimov Fuad Ziya</v>
          </cell>
          <cell r="C2806" t="str">
            <v>Mühəndislik və texnoloji platformalar ekspert mərkəzi</v>
          </cell>
          <cell r="D2806" t="str">
            <v>Proqram mühəndisliyi funksional sahəsi</v>
          </cell>
          <cell r="E2806" t="str">
            <v>#</v>
          </cell>
          <cell r="F2806" t="str">
            <v>Backend developer</v>
          </cell>
          <cell r="G2806" t="str">
            <v>A</v>
          </cell>
          <cell r="H2806">
            <v>45540</v>
          </cell>
        </row>
        <row r="2807">
          <cell r="B2807" t="str">
            <v>Bəşirzadə Ömər Arif</v>
          </cell>
          <cell r="C2807" t="str">
            <v>Ödəniş biznesinin mühəndislik ekspert mərkəzi</v>
          </cell>
          <cell r="D2807" t="str">
            <v>Softvvare chapter</v>
          </cell>
          <cell r="E2807" t="str">
            <v>#</v>
          </cell>
          <cell r="F2807" t="str">
            <v>Backend developer</v>
          </cell>
          <cell r="G2807" t="str">
            <v>A</v>
          </cell>
          <cell r="H2807">
            <v>45531</v>
          </cell>
        </row>
        <row r="2808">
          <cell r="B2808" t="str">
            <v>İsmayılov İsmayıl Həsənağa</v>
          </cell>
          <cell r="C2808" t="str">
            <v>Ödəniş biznesinin mühəndislik ekspert mərkəzi</v>
          </cell>
          <cell r="D2808" t="str">
            <v>Softvvare chapter</v>
          </cell>
          <cell r="E2808" t="str">
            <v>#</v>
          </cell>
          <cell r="F2808" t="str">
            <v>Backend developer</v>
          </cell>
          <cell r="G2808" t="str">
            <v>A</v>
          </cell>
          <cell r="H2808">
            <v>45810</v>
          </cell>
        </row>
        <row r="2809">
          <cell r="B2809" t="str">
            <v>Ağayev Ağa Polad</v>
          </cell>
          <cell r="C2809" t="str">
            <v>Mühəndislik və texnoloji platformalar ekspert mərkəzi</v>
          </cell>
          <cell r="D2809" t="str">
            <v>Proqram mühəndisliyi funksional sahəsi</v>
          </cell>
          <cell r="E2809" t="str">
            <v>#</v>
          </cell>
          <cell r="F2809" t="str">
            <v>Backend developer</v>
          </cell>
          <cell r="G2809" t="str">
            <v>A</v>
          </cell>
          <cell r="H2809">
            <v>45947</v>
          </cell>
        </row>
        <row r="2810">
          <cell r="B2810" t="str">
            <v>İsmayılov Adil Qabil</v>
          </cell>
          <cell r="C2810" t="str">
            <v>FinTech mühəndislik ekspert mərkəzi</v>
          </cell>
          <cell r="D2810" t="str">
            <v>Softvvare chapter</v>
          </cell>
          <cell r="E2810" t="str">
            <v>#</v>
          </cell>
          <cell r="F2810" t="str">
            <v>Backend developer</v>
          </cell>
          <cell r="G2810" t="str">
            <v>A</v>
          </cell>
          <cell r="H2810">
            <v>46218</v>
          </cell>
        </row>
        <row r="2811">
          <cell r="B2811" t="str">
            <v xml:space="preserve">Hüseynzadə Aytən Rufatovna </v>
          </cell>
          <cell r="C2811" t="str">
            <v>FinTech mühəndislik ekspert mərkəzi</v>
          </cell>
          <cell r="D2811" t="str">
            <v>Softvvare chapter</v>
          </cell>
          <cell r="E2811" t="str">
            <v>#</v>
          </cell>
          <cell r="F2811" t="str">
            <v>Backend developer</v>
          </cell>
          <cell r="G2811" t="str">
            <v>A</v>
          </cell>
          <cell r="H2811">
            <v>46220</v>
          </cell>
        </row>
        <row r="2812">
          <cell r="B2812" t="str">
            <v>Babayev Əsgər Salman</v>
          </cell>
          <cell r="C2812" t="str">
            <v>FinTech mühəndislik ekspert mərkəzi</v>
          </cell>
          <cell r="D2812" t="str">
            <v>Softvvare chapter</v>
          </cell>
          <cell r="E2812" t="str">
            <v>#</v>
          </cell>
          <cell r="F2812" t="str">
            <v>Backend developer</v>
          </cell>
          <cell r="G2812" t="str">
            <v>A</v>
          </cell>
          <cell r="H2812">
            <v>46231</v>
          </cell>
        </row>
        <row r="2813">
          <cell r="B2813" t="str">
            <v>Abdullayev Xaqani Bəkulla</v>
          </cell>
          <cell r="C2813" t="str">
            <v>FinTech mühəndislik ekspert mərkəzi</v>
          </cell>
          <cell r="D2813" t="str">
            <v>Softvvare chapter</v>
          </cell>
          <cell r="E2813" t="str">
            <v>#</v>
          </cell>
          <cell r="F2813" t="str">
            <v>Backend developer</v>
          </cell>
          <cell r="G2813" t="str">
            <v>A</v>
          </cell>
          <cell r="H2813">
            <v>46237</v>
          </cell>
        </row>
        <row r="2814">
          <cell r="B2814" t="str">
            <v>Rəhimov Vüsal Mahir</v>
          </cell>
          <cell r="C2814" t="str">
            <v>FinTech mühəndislik ekspert mərkəzi</v>
          </cell>
          <cell r="D2814" t="str">
            <v>Softvvare chapter</v>
          </cell>
          <cell r="E2814" t="str">
            <v>#</v>
          </cell>
          <cell r="F2814" t="str">
            <v>Backend developer</v>
          </cell>
          <cell r="G2814" t="str">
            <v>A</v>
          </cell>
          <cell r="H2814">
            <v>46232</v>
          </cell>
        </row>
        <row r="2815">
          <cell r="B2815" t="str">
            <v>Fərəcli Şəms Ziyafət</v>
          </cell>
          <cell r="C2815" t="str">
            <v>Ödəniş biznesinin mühəndislik ekspert mərkəzi</v>
          </cell>
          <cell r="D2815" t="str">
            <v>Softvvare chapter</v>
          </cell>
          <cell r="E2815" t="str">
            <v>#</v>
          </cell>
          <cell r="F2815" t="str">
            <v>Tech Lead</v>
          </cell>
          <cell r="G2815" t="str">
            <v>A</v>
          </cell>
          <cell r="H2815">
            <v>45965</v>
          </cell>
        </row>
        <row r="2816">
          <cell r="B2816" t="str">
            <v>İskəndərov İsrafil Fikrət</v>
          </cell>
          <cell r="C2816" t="str">
            <v>Ödəniş biznesinin mühəndislik ekspert mərkəzi</v>
          </cell>
          <cell r="D2816" t="str">
            <v>Softvvare chapter</v>
          </cell>
          <cell r="E2816" t="str">
            <v>#</v>
          </cell>
          <cell r="F2816" t="str">
            <v>Tech lead</v>
          </cell>
          <cell r="G2816" t="str">
            <v>A</v>
          </cell>
          <cell r="H2816">
            <v>44813</v>
          </cell>
        </row>
        <row r="2817">
          <cell r="B2817" t="str">
            <v>Abdullayev Murad Dadaş</v>
          </cell>
          <cell r="C2817" t="str">
            <v>FinTech mühəndislik ekspert mərkəzi</v>
          </cell>
          <cell r="D2817" t="str">
            <v>Softvvare chapter</v>
          </cell>
          <cell r="E2817" t="str">
            <v>#</v>
          </cell>
          <cell r="F2817" t="str">
            <v>Backend developer</v>
          </cell>
          <cell r="G2817" t="str">
            <v>A</v>
          </cell>
          <cell r="H2817">
            <v>45127</v>
          </cell>
        </row>
        <row r="2818">
          <cell r="B2818" t="str">
            <v>Qədirov Murad Kamran</v>
          </cell>
          <cell r="C2818" t="str">
            <v>Ödəniş biznesinin mühəndislik ekspert mərkəzi</v>
          </cell>
          <cell r="D2818" t="str">
            <v>Softvvare chapter</v>
          </cell>
          <cell r="E2818" t="str">
            <v>#</v>
          </cell>
          <cell r="F2818" t="str">
            <v>Backend developer</v>
          </cell>
          <cell r="G2818" t="str">
            <v>A</v>
          </cell>
          <cell r="H2818">
            <v>45268</v>
          </cell>
        </row>
        <row r="2819">
          <cell r="B2819" t="str">
            <v>Əliyev Murad Rza</v>
          </cell>
          <cell r="C2819" t="str">
            <v>Ödəniş biznesinin mühəndislik ekspert mərkəzi</v>
          </cell>
          <cell r="D2819" t="str">
            <v>Softvvare chapter</v>
          </cell>
          <cell r="E2819" t="str">
            <v>#</v>
          </cell>
          <cell r="F2819" t="str">
            <v>Backend developer</v>
          </cell>
          <cell r="G2819" t="str">
            <v>A</v>
          </cell>
          <cell r="H2819">
            <v>46189</v>
          </cell>
          <cell r="I2819" t="str">
            <v>Bir Payment</v>
          </cell>
        </row>
        <row r="2820">
          <cell r="B2820" t="str">
            <v>İsmayılova Nərminə Elxan</v>
          </cell>
          <cell r="C2820" t="str">
            <v>FinTech mühəndislik ekspert mərkəzi</v>
          </cell>
          <cell r="D2820" t="str">
            <v>Softvvare chapter</v>
          </cell>
          <cell r="E2820" t="str">
            <v>#</v>
          </cell>
          <cell r="F2820" t="str">
            <v>Sistem developer</v>
          </cell>
          <cell r="G2820" t="str">
            <v>SM</v>
          </cell>
          <cell r="H2820">
            <v>44260</v>
          </cell>
        </row>
        <row r="2821">
          <cell r="B2821" t="str">
            <v>Xan-zadə Aynurə Əsədağa</v>
          </cell>
          <cell r="C2821" t="str">
            <v>Ödəniş biznesinin mühəndislik ekspert mərkəzi</v>
          </cell>
          <cell r="D2821" t="str">
            <v>Softvvare chapter</v>
          </cell>
          <cell r="E2821" t="str">
            <v>#</v>
          </cell>
          <cell r="F2821" t="str">
            <v>Sistem developer</v>
          </cell>
          <cell r="G2821" t="str">
            <v>A</v>
          </cell>
          <cell r="H2821">
            <v>44207</v>
          </cell>
        </row>
        <row r="2822">
          <cell r="B2822" t="str">
            <v>Hümbətova Bahar Fəxrəddin</v>
          </cell>
          <cell r="C2822" t="str">
            <v>Ödəniş biznesinin mühəndislik ekspert mərkəzi</v>
          </cell>
          <cell r="D2822" t="str">
            <v>Softvvare chapter</v>
          </cell>
          <cell r="E2822" t="str">
            <v>#</v>
          </cell>
          <cell r="F2822" t="str">
            <v>Sistem developer</v>
          </cell>
          <cell r="G2822" t="str">
            <v>A</v>
          </cell>
          <cell r="H2822">
            <v>44288</v>
          </cell>
        </row>
        <row r="2823">
          <cell r="B2823" t="str">
            <v>Həsənov Rəşad Əlövsət</v>
          </cell>
          <cell r="C2823" t="str">
            <v>Ödəniş biznesinin mühəndislik ekspert mərkəzi</v>
          </cell>
          <cell r="D2823" t="str">
            <v>Softvvare chapter</v>
          </cell>
          <cell r="E2823" t="str">
            <v>#</v>
          </cell>
          <cell r="F2823" t="str">
            <v>Sistem developer</v>
          </cell>
          <cell r="G2823" t="str">
            <v>A</v>
          </cell>
          <cell r="H2823">
            <v>45309</v>
          </cell>
        </row>
        <row r="2824">
          <cell r="B2824" t="str">
            <v>İsmayılov İlkin Fuad</v>
          </cell>
          <cell r="C2824" t="str">
            <v>Ödəniş biznesinin mühəndislik ekspert mərkəzi</v>
          </cell>
          <cell r="D2824" t="str">
            <v>Softvvare chapter</v>
          </cell>
          <cell r="E2824" t="str">
            <v>#</v>
          </cell>
          <cell r="F2824" t="str">
            <v>Sistem developer</v>
          </cell>
          <cell r="G2824" t="str">
            <v>A</v>
          </cell>
          <cell r="H2824">
            <v>43811</v>
          </cell>
        </row>
        <row r="2825">
          <cell r="B2825" t="str">
            <v>Nəcəfov Fərhad İlham</v>
          </cell>
          <cell r="C2825" t="str">
            <v>Ödəniş biznesinin mühəndislik ekspert mərkəzi</v>
          </cell>
          <cell r="D2825" t="str">
            <v>Softvvare chapter</v>
          </cell>
          <cell r="E2825" t="str">
            <v>#</v>
          </cell>
          <cell r="F2825" t="str">
            <v>Sistem developer</v>
          </cell>
          <cell r="G2825" t="str">
            <v>A</v>
          </cell>
          <cell r="H2825">
            <v>45306</v>
          </cell>
        </row>
        <row r="2826">
          <cell r="B2826" t="str">
            <v>Bayramova Nübar Faiq</v>
          </cell>
          <cell r="C2826" t="str">
            <v>Ödəniş biznesinin mühəndislik ekspert mərkəzi</v>
          </cell>
          <cell r="D2826" t="str">
            <v>Softvvare chapter</v>
          </cell>
          <cell r="E2826" t="str">
            <v>#</v>
          </cell>
          <cell r="F2826" t="str">
            <v>Sistem developer</v>
          </cell>
          <cell r="G2826" t="str">
            <v>A</v>
          </cell>
          <cell r="H2826">
            <v>45936</v>
          </cell>
        </row>
        <row r="2827">
          <cell r="B2827" t="str">
            <v>Kərimli Məmməd İzzət</v>
          </cell>
          <cell r="C2827" t="str">
            <v>Ödəniş biznesinin mühəndislik ekspert mərkəzi</v>
          </cell>
          <cell r="D2827" t="str">
            <v>Softvvare chapter</v>
          </cell>
          <cell r="E2827" t="str">
            <v>#</v>
          </cell>
          <cell r="F2827" t="str">
            <v>Sistem developer</v>
          </cell>
          <cell r="G2827" t="str">
            <v>A</v>
          </cell>
          <cell r="H2827">
            <v>45246</v>
          </cell>
        </row>
        <row r="2828">
          <cell r="B2828" t="str">
            <v>Əliyev Sahib Arif</v>
          </cell>
          <cell r="C2828" t="str">
            <v>Ödəniş biznesinin mühəndislik ekspert mərkəzi</v>
          </cell>
          <cell r="D2828" t="str">
            <v>Softvvare chapter</v>
          </cell>
          <cell r="E2828" t="str">
            <v>#</v>
          </cell>
          <cell r="F2828" t="str">
            <v>Sistem developer</v>
          </cell>
          <cell r="G2828" t="str">
            <v>A</v>
          </cell>
          <cell r="H2828">
            <v>46192</v>
          </cell>
          <cell r="I2828" t="str">
            <v>Bir Payment</v>
          </cell>
        </row>
        <row r="2829">
          <cell r="B2829" t="str">
            <v>Axundova Ləman Ramin</v>
          </cell>
          <cell r="C2829" t="str">
            <v>Ödəniş biznesinin mühəndislik ekspert mərkəzi</v>
          </cell>
          <cell r="D2829" t="str">
            <v>Softvvare chapter</v>
          </cell>
          <cell r="E2829" t="str">
            <v>#</v>
          </cell>
          <cell r="F2829" t="str">
            <v>Sistem developer</v>
          </cell>
          <cell r="G2829" t="str">
            <v>A</v>
          </cell>
          <cell r="H2829">
            <v>46192</v>
          </cell>
          <cell r="I2829" t="str">
            <v>Bir Payment</v>
          </cell>
        </row>
        <row r="2830">
          <cell r="B2830" t="str">
            <v>Təhməzli Təhmasib Təhməz</v>
          </cell>
          <cell r="C2830" t="str">
            <v>Ödəniş biznesinin mühəndislik ekspert mərkəzi</v>
          </cell>
          <cell r="D2830" t="str">
            <v>Softvvare chapter</v>
          </cell>
          <cell r="E2830" t="str">
            <v>#</v>
          </cell>
          <cell r="F2830" t="str">
            <v>Sistem developer</v>
          </cell>
          <cell r="G2830" t="str">
            <v>A</v>
          </cell>
          <cell r="H2830">
            <v>44973</v>
          </cell>
        </row>
        <row r="2831">
          <cell r="B2831" t="str">
            <v>Qeybullayev Murad Qiyaməddin</v>
          </cell>
          <cell r="C2831" t="str">
            <v>Ödəniş biznesinin mühəndislik ekspert mərkəzi</v>
          </cell>
          <cell r="D2831" t="str">
            <v>Softvvare chapter</v>
          </cell>
          <cell r="E2831" t="str">
            <v>#</v>
          </cell>
          <cell r="F2831" t="str">
            <v>Sistem developer</v>
          </cell>
          <cell r="G2831" t="str">
            <v>A</v>
          </cell>
          <cell r="H2831">
            <v>44487</v>
          </cell>
        </row>
        <row r="2832">
          <cell r="B2832" t="str">
            <v>Qədiməliyev Yusif Sahib</v>
          </cell>
          <cell r="C2832" t="str">
            <v>Ödəniş biznesinin mühəndislik ekspert mərkəzi</v>
          </cell>
          <cell r="D2832" t="str">
            <v>Softvvare chapter</v>
          </cell>
          <cell r="E2832" t="str">
            <v>#</v>
          </cell>
          <cell r="F2832" t="str">
            <v>Sistem developer</v>
          </cell>
          <cell r="G2832" t="str">
            <v>A</v>
          </cell>
          <cell r="H2832">
            <v>44613</v>
          </cell>
        </row>
        <row r="2833">
          <cell r="B2833" t="str">
            <v>Yusibov Nadir Bəxtiyar</v>
          </cell>
          <cell r="C2833" t="str">
            <v>Ödəniş biznesinin mühəndislik ekspert mərkəzi</v>
          </cell>
          <cell r="D2833" t="str">
            <v>Softvvare chapter</v>
          </cell>
          <cell r="E2833" t="str">
            <v>#</v>
          </cell>
          <cell r="F2833" t="str">
            <v>Sistem developer</v>
          </cell>
          <cell r="G2833" t="str">
            <v>A</v>
          </cell>
          <cell r="H2833">
            <v>44613</v>
          </cell>
        </row>
        <row r="2834">
          <cell r="B2834" t="str">
            <v>Manafov Nicat Elçin</v>
          </cell>
          <cell r="C2834" t="str">
            <v>FinTech mühəndislik ekspert mərkəzi</v>
          </cell>
          <cell r="D2834" t="str">
            <v>Softvvare chapter</v>
          </cell>
          <cell r="E2834" t="str">
            <v>#</v>
          </cell>
          <cell r="F2834" t="str">
            <v>Funksional Lider</v>
          </cell>
          <cell r="G2834" t="str">
            <v>A</v>
          </cell>
          <cell r="H2834">
            <v>45546</v>
          </cell>
        </row>
        <row r="2835">
          <cell r="B2835" t="str">
            <v>Saçkov Ruslan Vitalyeviç</v>
          </cell>
          <cell r="C2835" t="str">
            <v>FinTech mühəndislik ekspert mərkəzi</v>
          </cell>
          <cell r="D2835" t="str">
            <v>Softvvare chapter</v>
          </cell>
          <cell r="E2835" t="str">
            <v>#</v>
          </cell>
          <cell r="F2835" t="str">
            <v>Sistem developer</v>
          </cell>
          <cell r="G2835" t="str">
            <v>A</v>
          </cell>
          <cell r="H2835">
            <v>44847</v>
          </cell>
        </row>
        <row r="2836">
          <cell r="B2836" t="str">
            <v>Əliyev Tural Fikrət</v>
          </cell>
          <cell r="C2836" t="str">
            <v>FinTech mühəndislik ekspert mərkəzi</v>
          </cell>
          <cell r="D2836" t="str">
            <v>Softvvare chapter</v>
          </cell>
          <cell r="E2836" t="str">
            <v>#</v>
          </cell>
          <cell r="F2836" t="str">
            <v>Sistem developer</v>
          </cell>
          <cell r="G2836" t="str">
            <v>A</v>
          </cell>
          <cell r="H2836">
            <v>45323</v>
          </cell>
        </row>
        <row r="2837">
          <cell r="B2837" t="str">
            <v>Tağıyeva Aysu Habil</v>
          </cell>
          <cell r="C2837" t="str">
            <v>FinTech mühəndislik ekspert mərkəzi</v>
          </cell>
          <cell r="D2837" t="str">
            <v>Softvvare chapter</v>
          </cell>
          <cell r="E2837" t="str">
            <v>#</v>
          </cell>
          <cell r="F2837" t="str">
            <v>Sistem developer (0,5 ştat vahidi üzrə)</v>
          </cell>
          <cell r="G2837" t="str">
            <v>A</v>
          </cell>
          <cell r="H2837">
            <v>46223</v>
          </cell>
        </row>
        <row r="2838">
          <cell r="B2838" t="str">
            <v>Bəkirova Vüsalə Hamlet</v>
          </cell>
          <cell r="C2838" t="str">
            <v>FinTech mühəndislik ekspert mərkəzi</v>
          </cell>
          <cell r="D2838" t="str">
            <v>Softvvare chapter</v>
          </cell>
          <cell r="E2838" t="str">
            <v>#</v>
          </cell>
          <cell r="F2838" t="str">
            <v>Sistem developer</v>
          </cell>
          <cell r="G2838" t="str">
            <v>A</v>
          </cell>
          <cell r="H2838">
            <v>36711</v>
          </cell>
        </row>
        <row r="2839">
          <cell r="B2839" t="str">
            <v>RADZEVIL ANDRII</v>
          </cell>
          <cell r="C2839" t="str">
            <v>FinTech mühəndislik ekspert mərkəzi</v>
          </cell>
          <cell r="D2839" t="str">
            <v>Softvvare chapter</v>
          </cell>
          <cell r="E2839" t="str">
            <v>#</v>
          </cell>
          <cell r="F2839" t="str">
            <v>Sistem developer</v>
          </cell>
          <cell r="G2839" t="str">
            <v>A</v>
          </cell>
          <cell r="H2839">
            <v>42751</v>
          </cell>
        </row>
        <row r="2840">
          <cell r="B2840" t="str">
            <v>Xalıqov Rəşad Mayıl</v>
          </cell>
          <cell r="C2840" t="str">
            <v>FinTech mühəndislik ekspert mərkəzi</v>
          </cell>
          <cell r="D2840" t="str">
            <v>Softvvare chapter</v>
          </cell>
          <cell r="E2840" t="str">
            <v>#</v>
          </cell>
          <cell r="F2840" t="str">
            <v>Sistem developer</v>
          </cell>
          <cell r="G2840" t="str">
            <v>A</v>
          </cell>
          <cell r="H2840">
            <v>45666</v>
          </cell>
        </row>
        <row r="2841">
          <cell r="B2841" t="str">
            <v>İbrahimov Elxan Səfər</v>
          </cell>
          <cell r="C2841" t="str">
            <v>FinTech mühəndislik ekspert mərkəzi</v>
          </cell>
          <cell r="D2841" t="str">
            <v>Softvvare chapter</v>
          </cell>
          <cell r="E2841" t="str">
            <v>#</v>
          </cell>
          <cell r="F2841" t="str">
            <v>Tribe tech Lead</v>
          </cell>
          <cell r="G2841" t="str">
            <v>A</v>
          </cell>
          <cell r="H2841">
            <v>45113</v>
          </cell>
        </row>
        <row r="2842">
          <cell r="B2842" t="str">
            <v>Zeynalov Ümid Rafət</v>
          </cell>
          <cell r="C2842" t="str">
            <v>FinTech mühəndislik ekspert mərkəzi</v>
          </cell>
          <cell r="D2842" t="str">
            <v>Softvvare chapter</v>
          </cell>
          <cell r="E2842" t="str">
            <v>#</v>
          </cell>
          <cell r="F2842" t="str">
            <v>Sistem developer</v>
          </cell>
          <cell r="G2842" t="str">
            <v>A</v>
          </cell>
          <cell r="H2842">
            <v>45678</v>
          </cell>
        </row>
        <row r="2843">
          <cell r="B2843" t="str">
            <v>Hüseynov Fərid Kamil</v>
          </cell>
          <cell r="C2843" t="str">
            <v>FinTech mühəndislik ekspert mərkəzi</v>
          </cell>
          <cell r="D2843" t="str">
            <v>Softvvare chapter</v>
          </cell>
          <cell r="E2843" t="str">
            <v>#</v>
          </cell>
          <cell r="F2843" t="str">
            <v>Sistem developer</v>
          </cell>
          <cell r="G2843" t="str">
            <v>A</v>
          </cell>
          <cell r="H2843">
            <v>45678</v>
          </cell>
        </row>
        <row r="2844">
          <cell r="B2844" t="str">
            <v>Ağayeva Fidan Sabir</v>
          </cell>
          <cell r="C2844" t="str">
            <v>FinTech mühəndislik ekspert mərkəzi</v>
          </cell>
          <cell r="D2844" t="str">
            <v>Softvvare chapter</v>
          </cell>
          <cell r="E2844" t="str">
            <v>#</v>
          </cell>
          <cell r="F2844" t="str">
            <v>Sistem developer</v>
          </cell>
          <cell r="G2844" t="str">
            <v>A</v>
          </cell>
          <cell r="H2844">
            <v>45261</v>
          </cell>
        </row>
        <row r="2845">
          <cell r="B2845" t="str">
            <v>Bəbirov Emin Allahyar</v>
          </cell>
          <cell r="C2845" t="str">
            <v>FinTech mühəndislik ekspert mərkəzi</v>
          </cell>
          <cell r="D2845" t="str">
            <v>Softvvare chapter</v>
          </cell>
          <cell r="E2845" t="str">
            <v>#</v>
          </cell>
          <cell r="F2845" t="str">
            <v>Sistem developer</v>
          </cell>
          <cell r="G2845" t="str">
            <v>A</v>
          </cell>
          <cell r="H2845">
            <v>45938</v>
          </cell>
        </row>
        <row r="2846">
          <cell r="B2846" t="str">
            <v>Əliyeva Leyla Sabutay</v>
          </cell>
          <cell r="C2846" t="str">
            <v>Ödəniş biznesinin mühəndislik ekspert mərkəzi</v>
          </cell>
          <cell r="D2846" t="str">
            <v>Softvvare chapter</v>
          </cell>
          <cell r="E2846" t="str">
            <v>#</v>
          </cell>
          <cell r="F2846" t="str">
            <v>Sistem developer</v>
          </cell>
          <cell r="G2846" t="str">
            <v>A</v>
          </cell>
          <cell r="H2846">
            <v>45261</v>
          </cell>
        </row>
        <row r="2847">
          <cell r="B2847" t="str">
            <v>Rüstəmov Elvin Bahadır</v>
          </cell>
          <cell r="C2847" t="str">
            <v>FinTech mühəndislik ekspert mərkəzi</v>
          </cell>
          <cell r="D2847" t="str">
            <v>Softvvare chapter</v>
          </cell>
          <cell r="E2847" t="str">
            <v>#</v>
          </cell>
          <cell r="F2847" t="str">
            <v>Sistem developer</v>
          </cell>
          <cell r="G2847" t="str">
            <v>A</v>
          </cell>
          <cell r="H2847">
            <v>45583</v>
          </cell>
        </row>
        <row r="2848">
          <cell r="B2848" t="str">
            <v>Vəliyeva Solmaz Həsən</v>
          </cell>
          <cell r="C2848" t="str">
            <v>FinTech mühəndislik ekspert mərkəzi</v>
          </cell>
          <cell r="D2848" t="str">
            <v>Softvvare chapter</v>
          </cell>
          <cell r="E2848" t="str">
            <v>#</v>
          </cell>
          <cell r="F2848" t="str">
            <v>Sistem developer</v>
          </cell>
          <cell r="G2848" t="str">
            <v>A</v>
          </cell>
          <cell r="H2848">
            <v>45630</v>
          </cell>
        </row>
        <row r="2849">
          <cell r="B2849" t="str">
            <v>Orucov Oruc Müslüm</v>
          </cell>
          <cell r="C2849" t="str">
            <v>FinTech mühəndislik ekspert mərkəzi</v>
          </cell>
          <cell r="D2849" t="str">
            <v>Softvvare chapter</v>
          </cell>
          <cell r="E2849" t="str">
            <v>#</v>
          </cell>
          <cell r="F2849" t="str">
            <v>Sistem developer (0,5 ştat vahidi üzrə)</v>
          </cell>
          <cell r="G2849" t="str">
            <v>A</v>
          </cell>
          <cell r="H2849">
            <v>43774</v>
          </cell>
        </row>
        <row r="2850">
          <cell r="B2850" t="str">
            <v>Məhərrəmov Samir Babəli</v>
          </cell>
          <cell r="C2850" t="str">
            <v>FinTech mühəndislik ekspert mərkəzi</v>
          </cell>
          <cell r="D2850" t="str">
            <v>Softvvare chapter</v>
          </cell>
          <cell r="E2850" t="str">
            <v>#</v>
          </cell>
          <cell r="F2850" t="str">
            <v>Tech lead</v>
          </cell>
          <cell r="G2850" t="str">
            <v>A</v>
          </cell>
          <cell r="H2850">
            <v>44250</v>
          </cell>
        </row>
        <row r="2851">
          <cell r="B2851" t="str">
            <v>Yarəhmədov Vüqar Vüqar</v>
          </cell>
          <cell r="C2851" t="str">
            <v>FinTech mühəndislik ekspert mərkəzi</v>
          </cell>
          <cell r="D2851" t="str">
            <v>Softvvare chapter</v>
          </cell>
          <cell r="E2851" t="str">
            <v>#</v>
          </cell>
          <cell r="F2851" t="str">
            <v>Sistem developer</v>
          </cell>
          <cell r="G2851" t="str">
            <v>A</v>
          </cell>
          <cell r="H2851">
            <v>44190</v>
          </cell>
        </row>
        <row r="2852">
          <cell r="B2852" t="str">
            <v>Hüseynov İlqar Xanlar</v>
          </cell>
          <cell r="C2852" t="str">
            <v>FinTech mühəndislik ekspert mərkəzi</v>
          </cell>
          <cell r="D2852" t="str">
            <v>Software chapter</v>
          </cell>
          <cell r="E2852" t="str">
            <v>#</v>
          </cell>
          <cell r="F2852" t="str">
            <v>Sistem developer</v>
          </cell>
          <cell r="G2852" t="str">
            <v>A</v>
          </cell>
          <cell r="H2852">
            <v>46237</v>
          </cell>
          <cell r="I2852" t="str">
            <v>Bir Payment</v>
          </cell>
        </row>
        <row r="2853">
          <cell r="B2853" t="str">
            <v>Tahirov Məhərrəm Dövlət</v>
          </cell>
          <cell r="C2853" t="str">
            <v>FinTech mühəndislik ekspert mərkəzi</v>
          </cell>
          <cell r="D2853" t="str">
            <v>Softvvare chapter</v>
          </cell>
          <cell r="E2853" t="str">
            <v>#</v>
          </cell>
          <cell r="F2853" t="str">
            <v>Sistem developer</v>
          </cell>
          <cell r="G2853" t="str">
            <v>A</v>
          </cell>
          <cell r="H2853">
            <v>44190</v>
          </cell>
        </row>
        <row r="2854">
          <cell r="B2854" t="str">
            <v>Cavadov Vüsal Roman</v>
          </cell>
          <cell r="C2854" t="str">
            <v>FinTech mühəndislik ekspert mərkəzi</v>
          </cell>
          <cell r="D2854" t="str">
            <v>Softvvare chapter</v>
          </cell>
          <cell r="E2854" t="str">
            <v>#</v>
          </cell>
          <cell r="F2854" t="str">
            <v>Sistem developer</v>
          </cell>
          <cell r="G2854" t="str">
            <v>A</v>
          </cell>
          <cell r="H2854">
            <v>44204</v>
          </cell>
        </row>
        <row r="2855">
          <cell r="B2855" t="str">
            <v>Nəbiyev İlqar Vaqif</v>
          </cell>
          <cell r="C2855" t="str">
            <v>Ödəniş biznesinin mühəndislik ekspert mərkəzi</v>
          </cell>
          <cell r="D2855" t="str">
            <v>Softvvare chapter</v>
          </cell>
          <cell r="E2855" t="str">
            <v>#</v>
          </cell>
          <cell r="F2855" t="str">
            <v>Sistem developer</v>
          </cell>
          <cell r="G2855" t="str">
            <v>A</v>
          </cell>
          <cell r="H2855">
            <v>45327</v>
          </cell>
        </row>
        <row r="2856">
          <cell r="B2856" t="str">
            <v>Tariquliyev Aqşin Asəf</v>
          </cell>
          <cell r="C2856" t="str">
            <v>Ödəniş biznesinin mühəndislik ekspert mərkəzi</v>
          </cell>
          <cell r="D2856" t="str">
            <v>Softvvare chapter</v>
          </cell>
          <cell r="E2856" t="str">
            <v>#</v>
          </cell>
          <cell r="F2856" t="str">
            <v>Funksional lider</v>
          </cell>
          <cell r="G2856" t="str">
            <v>A</v>
          </cell>
          <cell r="H2856">
            <v>42506</v>
          </cell>
        </row>
        <row r="2857">
          <cell r="B2857" t="str">
            <v>Klimaşev Aleksandr Sergeyeviç</v>
          </cell>
          <cell r="C2857" t="str">
            <v>Ödəniş biznesinin mühəndislik ekspert mərkəzi</v>
          </cell>
          <cell r="D2857" t="str">
            <v>Softvvare chapter</v>
          </cell>
          <cell r="E2857" t="str">
            <v>#</v>
          </cell>
          <cell r="F2857" t="str">
            <v>Sistem developer</v>
          </cell>
          <cell r="G2857" t="str">
            <v>A</v>
          </cell>
          <cell r="H2857">
            <v>45839</v>
          </cell>
        </row>
        <row r="2858">
          <cell r="B2858" t="str">
            <v>Yermolayev Mixail Konstantinoviç</v>
          </cell>
          <cell r="C2858" t="str">
            <v>Rəqəmsal dələduzluğa qarşı mübarizə departamenti</v>
          </cell>
          <cell r="D2858" t="str">
            <v>#</v>
          </cell>
          <cell r="E2858" t="str">
            <v>#</v>
          </cell>
          <cell r="F2858" t="str">
            <v>Baş mütəxəssis</v>
          </cell>
          <cell r="G2858" t="str">
            <v>A</v>
          </cell>
          <cell r="H2858">
            <v>42949</v>
          </cell>
        </row>
        <row r="2859">
          <cell r="B2859" t="str">
            <v xml:space="preserve">Zeynalova Violetta Tofikovna </v>
          </cell>
          <cell r="C2859" t="str">
            <v>Ödəniş biznesinin mühəndislik ekspert mərkəzi</v>
          </cell>
          <cell r="D2859" t="str">
            <v>Softvvare chapter</v>
          </cell>
          <cell r="E2859" t="str">
            <v>#</v>
          </cell>
          <cell r="F2859" t="str">
            <v>Sistem developer</v>
          </cell>
          <cell r="G2859" t="str">
            <v>A</v>
          </cell>
          <cell r="H2859">
            <v>45974</v>
          </cell>
        </row>
        <row r="2860">
          <cell r="B2860" t="str">
            <v>Hüseynli İsaq Ramiz</v>
          </cell>
          <cell r="C2860" t="str">
            <v>Ödəniş biznesinin mühəndislik ekspert mərkəzi</v>
          </cell>
          <cell r="D2860" t="str">
            <v>Softvvare chapter</v>
          </cell>
          <cell r="E2860" t="str">
            <v>#</v>
          </cell>
          <cell r="F2860" t="str">
            <v>Sistem developer</v>
          </cell>
          <cell r="G2860" t="str">
            <v>A</v>
          </cell>
          <cell r="H2860">
            <v>45975</v>
          </cell>
        </row>
        <row r="2861">
          <cell r="B2861" t="str">
            <v>Burlov İqor Andreyeviç</v>
          </cell>
          <cell r="C2861" t="str">
            <v>Ödəniş biznesinin mühəndislik ekspert mərkəzi</v>
          </cell>
          <cell r="D2861" t="str">
            <v>Softvvare chapter</v>
          </cell>
          <cell r="E2861" t="str">
            <v>#</v>
          </cell>
          <cell r="F2861" t="str">
            <v>Sistem developer</v>
          </cell>
          <cell r="G2861" t="str">
            <v>A</v>
          </cell>
          <cell r="H2861">
            <v>43230</v>
          </cell>
        </row>
        <row r="2862">
          <cell r="B2862" t="str">
            <v>Xəlilov Fərid Fəxrəddin</v>
          </cell>
          <cell r="C2862" t="str">
            <v>Ödəniş biznesinin mühəndislik ekspert mərkəzi</v>
          </cell>
          <cell r="D2862" t="str">
            <v>Softvvare chapter</v>
          </cell>
          <cell r="E2862" t="str">
            <v>#</v>
          </cell>
          <cell r="F2862" t="str">
            <v>Sistem developer</v>
          </cell>
          <cell r="G2862" t="str">
            <v>A</v>
          </cell>
          <cell r="H2862">
            <v>43391</v>
          </cell>
        </row>
        <row r="2863">
          <cell r="B2863" t="str">
            <v>Əsədullayeva Firəngiz Kamran</v>
          </cell>
          <cell r="C2863" t="str">
            <v>Ödəniş biznesinin mühəndislik ekspert mərkəzi</v>
          </cell>
          <cell r="D2863" t="str">
            <v>Softvvare chapter</v>
          </cell>
          <cell r="E2863" t="str">
            <v>#</v>
          </cell>
          <cell r="F2863" t="str">
            <v>Sistem developer</v>
          </cell>
          <cell r="G2863" t="str">
            <v>A</v>
          </cell>
          <cell r="H2863">
            <v>41975</v>
          </cell>
        </row>
        <row r="2864">
          <cell r="B2864" t="str">
            <v>Annenko Vadim Mixayloviç</v>
          </cell>
          <cell r="C2864" t="str">
            <v>Ödəniş biznesinin mühəndislik ekspert mərkəzi</v>
          </cell>
          <cell r="D2864" t="str">
            <v>Softvvare chapter</v>
          </cell>
          <cell r="E2864" t="str">
            <v>#</v>
          </cell>
          <cell r="F2864" t="str">
            <v>Sistem developer</v>
          </cell>
          <cell r="G2864" t="str">
            <v>A</v>
          </cell>
          <cell r="H2864">
            <v>44322</v>
          </cell>
        </row>
        <row r="2865">
          <cell r="B2865" t="str">
            <v>Süleymanzadə Sara Əli</v>
          </cell>
          <cell r="C2865" t="str">
            <v>Ödəniş biznesinin mühəndislik ekspert mərkəzi</v>
          </cell>
          <cell r="D2865" t="str">
            <v>Softvvare chapter</v>
          </cell>
          <cell r="E2865" t="str">
            <v>#</v>
          </cell>
          <cell r="F2865" t="str">
            <v>Sistem developer</v>
          </cell>
          <cell r="G2865" t="str">
            <v>A</v>
          </cell>
          <cell r="H2865">
            <v>46177</v>
          </cell>
        </row>
        <row r="2866">
          <cell r="B2866" t="str">
            <v>Əliyev Xasay Niftalı</v>
          </cell>
          <cell r="C2866" t="str">
            <v>Ödəniş biznesinin mühəndislik ekspert mərkəzi</v>
          </cell>
          <cell r="D2866" t="str">
            <v>Softvvare chapter</v>
          </cell>
          <cell r="E2866" t="str">
            <v>#</v>
          </cell>
          <cell r="F2866" t="str">
            <v>Sistem developer</v>
          </cell>
          <cell r="G2866" t="str">
            <v>A</v>
          </cell>
          <cell r="H2866">
            <v>43353</v>
          </cell>
        </row>
        <row r="2867">
          <cell r="B2867" t="str">
            <v>Xankişiyeva Gülnar Əliqismət</v>
          </cell>
          <cell r="C2867" t="str">
            <v>Ödəniş biznesinin mühəndislik ekspert mərkəzi</v>
          </cell>
          <cell r="D2867" t="str">
            <v>Softvvare chapter</v>
          </cell>
          <cell r="E2867" t="str">
            <v>#</v>
          </cell>
          <cell r="F2867" t="str">
            <v>Sistem developer</v>
          </cell>
          <cell r="G2867" t="str">
            <v>A</v>
          </cell>
          <cell r="H2867">
            <v>44139</v>
          </cell>
        </row>
        <row r="2868">
          <cell r="B2868" t="str">
            <v>Kərimova Sona Ələddin</v>
          </cell>
          <cell r="C2868" t="str">
            <v>Ödəniş biznesinin mühəndislik ekspert mərkəzi</v>
          </cell>
          <cell r="D2868" t="str">
            <v>Softvvare chapter</v>
          </cell>
          <cell r="E2868" t="str">
            <v>#</v>
          </cell>
          <cell r="F2868" t="str">
            <v>Sistem developer</v>
          </cell>
          <cell r="G2868" t="str">
            <v>A</v>
          </cell>
          <cell r="H2868">
            <v>44293</v>
          </cell>
        </row>
        <row r="2869">
          <cell r="B2869" t="str">
            <v>Jinaidov Rüfət Rüstəm</v>
          </cell>
          <cell r="C2869" t="str">
            <v>Ödəniş biznesinin mühəndislik ekspert mərkəzi</v>
          </cell>
          <cell r="D2869" t="str">
            <v>Softvvare chapter</v>
          </cell>
          <cell r="E2869" t="str">
            <v>#</v>
          </cell>
          <cell r="F2869" t="str">
            <v>Funksional lider</v>
          </cell>
          <cell r="G2869" t="str">
            <v>A</v>
          </cell>
          <cell r="H2869">
            <v>42590</v>
          </cell>
        </row>
        <row r="2870">
          <cell r="B2870" t="str">
            <v>Mustafayev Natiq Hamlet</v>
          </cell>
          <cell r="C2870" t="str">
            <v>Ödəniş biznesinin mühəndislik ekspert mərkəzi</v>
          </cell>
          <cell r="D2870" t="str">
            <v>Softvvare chapter</v>
          </cell>
          <cell r="E2870" t="str">
            <v>#</v>
          </cell>
          <cell r="F2870" t="str">
            <v>Sistem developer</v>
          </cell>
          <cell r="G2870" t="str">
            <v>A</v>
          </cell>
          <cell r="H2870">
            <v>43508</v>
          </cell>
        </row>
        <row r="2871">
          <cell r="B2871" t="str">
            <v>Əlili Kamran Niyaməddin</v>
          </cell>
          <cell r="C2871" t="str">
            <v>Ödəniş biznesinin mühəndislik ekspert mərkəzi</v>
          </cell>
          <cell r="D2871" t="str">
            <v>Softvvare chapter</v>
          </cell>
          <cell r="E2871" t="str">
            <v>#</v>
          </cell>
          <cell r="F2871" t="str">
            <v>Sistem developer</v>
          </cell>
          <cell r="G2871" t="str">
            <v>A</v>
          </cell>
          <cell r="H2871">
            <v>45789</v>
          </cell>
        </row>
        <row r="2872">
          <cell r="B2872" t="str">
            <v>Mehtizadə Nurlan Yaşar</v>
          </cell>
          <cell r="C2872" t="str">
            <v>Ödəniş biznesinin mühəndislik ekspert mərkəzi</v>
          </cell>
          <cell r="D2872" t="str">
            <v>Softvvare chapter</v>
          </cell>
          <cell r="E2872" t="str">
            <v>#</v>
          </cell>
          <cell r="F2872" t="str">
            <v>Sistem developer</v>
          </cell>
          <cell r="G2872" t="str">
            <v>A</v>
          </cell>
          <cell r="H2872">
            <v>44214</v>
          </cell>
        </row>
        <row r="2873">
          <cell r="B2873" t="str">
            <v>Sadıqov Mirsadiq Yasər</v>
          </cell>
          <cell r="C2873" t="str">
            <v>Ödəniş biznesinin mühəndislik ekspert mərkəzi</v>
          </cell>
          <cell r="D2873" t="str">
            <v>Softvvare chapter</v>
          </cell>
          <cell r="E2873" t="str">
            <v>#</v>
          </cell>
          <cell r="F2873" t="str">
            <v>Sistem developer</v>
          </cell>
          <cell r="G2873" t="str">
            <v>A</v>
          </cell>
          <cell r="H2873">
            <v>44425</v>
          </cell>
        </row>
        <row r="2874">
          <cell r="B2874" t="str">
            <v>Əliyev Fuad Rüstəm</v>
          </cell>
          <cell r="C2874" t="str">
            <v>Ödəniş biznesinin mühəndislik ekspert mərkəzi</v>
          </cell>
          <cell r="D2874" t="str">
            <v>Softvvare chapter</v>
          </cell>
          <cell r="E2874" t="str">
            <v>#</v>
          </cell>
          <cell r="F2874" t="str">
            <v>Sistem developer</v>
          </cell>
          <cell r="G2874" t="str">
            <v>A</v>
          </cell>
          <cell r="H2874">
            <v>45057</v>
          </cell>
        </row>
        <row r="2875">
          <cell r="B2875" t="str">
            <v>TROSHİN SERGEİ</v>
          </cell>
          <cell r="C2875" t="str">
            <v>Mühəndislik və texnoloji platformalar ekspert mərkəzi</v>
          </cell>
          <cell r="D2875" t="str">
            <v>Proqram mühəndisliyi funksional sahəsi</v>
          </cell>
          <cell r="E2875" t="str">
            <v>#</v>
          </cell>
          <cell r="F2875" t="str">
            <v>Sistem developer</v>
          </cell>
          <cell r="G2875" t="str">
            <v>A</v>
          </cell>
          <cell r="H2875">
            <v>45719</v>
          </cell>
        </row>
        <row r="2876">
          <cell r="B2876" t="str">
            <v>Bədəlov Qulu Rauf</v>
          </cell>
          <cell r="C2876" t="str">
            <v>Mühəndislik və texnoloji platformalar ekspert mərkəzi</v>
          </cell>
          <cell r="D2876" t="str">
            <v>Proqram mühəndisliyi funksional sahəsi</v>
          </cell>
          <cell r="E2876" t="str">
            <v>#</v>
          </cell>
          <cell r="F2876" t="str">
            <v>Backend developer</v>
          </cell>
          <cell r="G2876" t="str">
            <v>A</v>
          </cell>
          <cell r="H2876">
            <v>45546</v>
          </cell>
        </row>
        <row r="2877">
          <cell r="B2877" t="str">
            <v>Rəsulzadə Rəsul Elman</v>
          </cell>
          <cell r="C2877" t="str">
            <v>Mühəndislik və texnoloji platformalar ekspert mərkəzi</v>
          </cell>
          <cell r="D2877" t="str">
            <v>Proqram mühəndisliyi funksional sahəsi</v>
          </cell>
          <cell r="E2877" t="str">
            <v>#</v>
          </cell>
          <cell r="F2877" t="str">
            <v>Backend developer</v>
          </cell>
          <cell r="G2877" t="str">
            <v>A</v>
          </cell>
          <cell r="H2877">
            <v>45964</v>
          </cell>
        </row>
        <row r="2878">
          <cell r="B2878" t="str">
            <v>Hacızadə Rüfət Zaur</v>
          </cell>
          <cell r="C2878" t="str">
            <v>FinTech mühəndislik ekspert mərkəzi</v>
          </cell>
          <cell r="D2878" t="str">
            <v>Softvvare chapter</v>
          </cell>
          <cell r="E2878" t="str">
            <v>#</v>
          </cell>
          <cell r="F2878" t="str">
            <v>Backend developer</v>
          </cell>
          <cell r="G2878" t="str">
            <v>A</v>
          </cell>
          <cell r="H2878">
            <v>45995</v>
          </cell>
        </row>
        <row r="2879">
          <cell r="B2879" t="str">
            <v>Əhmədli Səməd Fikrət</v>
          </cell>
          <cell r="C2879" t="str">
            <v>Mühəndislik və texnoloji platformalar ekspert mərkəzi</v>
          </cell>
          <cell r="D2879" t="str">
            <v>Proqram mühəndisliyi funksional sahəsi</v>
          </cell>
          <cell r="E2879" t="str">
            <v>#</v>
          </cell>
          <cell r="F2879" t="str">
            <v>Tech lead</v>
          </cell>
          <cell r="G2879" t="str">
            <v>A</v>
          </cell>
          <cell r="H2879">
            <v>45825</v>
          </cell>
        </row>
        <row r="2880">
          <cell r="B2880" t="str">
            <v>Mirzəzadə Allahşükür Ələsgər</v>
          </cell>
          <cell r="C2880" t="str">
            <v>Mühəndislik və texnoloji platformalar ekspert mərkəzi</v>
          </cell>
          <cell r="D2880" t="str">
            <v>Proqram mühəndisliyi funksional sahəsi</v>
          </cell>
          <cell r="E2880" t="str">
            <v>#</v>
          </cell>
          <cell r="F2880" t="str">
            <v>Backend developer</v>
          </cell>
          <cell r="G2880" t="str">
            <v>A</v>
          </cell>
          <cell r="H2880">
            <v>46097</v>
          </cell>
        </row>
        <row r="2881">
          <cell r="B2881" t="str">
            <v>Məmmədli Vüqar Sahib</v>
          </cell>
          <cell r="C2881" t="str">
            <v>Mühəndislik və texnoloji platformalar ekspert mərkəzi</v>
          </cell>
          <cell r="D2881" t="str">
            <v>Proqram mühəndisliyi funksional sahəsi</v>
          </cell>
          <cell r="E2881" t="str">
            <v>#</v>
          </cell>
          <cell r="F2881" t="str">
            <v>Tech lead</v>
          </cell>
          <cell r="G2881" t="str">
            <v>A</v>
          </cell>
          <cell r="H2881">
            <v>45810</v>
          </cell>
        </row>
        <row r="2882">
          <cell r="B2882" t="str">
            <v>Hüseynli Orxan Kazım</v>
          </cell>
          <cell r="C2882" t="str">
            <v>Ödəniş biznesinin mühəndislik ekspert mərkəzi</v>
          </cell>
          <cell r="D2882" t="str">
            <v>Softvvare chapter</v>
          </cell>
          <cell r="E2882" t="str">
            <v>#</v>
          </cell>
          <cell r="F2882" t="str">
            <v>Backend developer</v>
          </cell>
          <cell r="G2882" t="str">
            <v>A</v>
          </cell>
          <cell r="H2882">
            <v>45446</v>
          </cell>
        </row>
        <row r="2883">
          <cell r="B2883" t="str">
            <v>Vəliyev Teymur Əzizağa</v>
          </cell>
          <cell r="C2883" t="str">
            <v>Mühəndislik və texnoloji platformalar ekspert mərkəzi</v>
          </cell>
          <cell r="D2883" t="str">
            <v>Proqram mühəndisliyi funksional sahəsi</v>
          </cell>
          <cell r="E2883" t="str">
            <v>#</v>
          </cell>
          <cell r="F2883" t="str">
            <v>Backend developer</v>
          </cell>
          <cell r="G2883" t="str">
            <v>A</v>
          </cell>
          <cell r="H2883">
            <v>45965</v>
          </cell>
        </row>
        <row r="2884">
          <cell r="B2884" t="str">
            <v>Hacıəliyev Aleksey Aleksandroviç</v>
          </cell>
          <cell r="C2884" t="str">
            <v>Mühəndislik və texnoloji platformalar ekspert mərkəzi</v>
          </cell>
          <cell r="D2884" t="str">
            <v>Proqram mühəndisliyi funksional sahəsi</v>
          </cell>
          <cell r="E2884" t="str">
            <v>#</v>
          </cell>
          <cell r="F2884" t="str">
            <v>Backend developer</v>
          </cell>
          <cell r="G2884" t="str">
            <v>A</v>
          </cell>
          <cell r="H2884">
            <v>46119</v>
          </cell>
        </row>
        <row r="2885">
          <cell r="B2885" t="str">
            <v>Əhədov Hüseyn Elman</v>
          </cell>
          <cell r="C2885" t="str">
            <v>Ödəniş biznesinin mühəndislik ekspert mərkəzi</v>
          </cell>
          <cell r="D2885" t="str">
            <v>Softvvare chapter</v>
          </cell>
          <cell r="E2885" t="str">
            <v>#</v>
          </cell>
          <cell r="F2885" t="str">
            <v>Backend developer</v>
          </cell>
          <cell r="G2885" t="str">
            <v>A</v>
          </cell>
          <cell r="H2885">
            <v>45944</v>
          </cell>
        </row>
        <row r="2886">
          <cell r="B2886" t="str">
            <v>Bəylərli Babək Hüseyn</v>
          </cell>
          <cell r="C2886" t="str">
            <v>Ödəniş biznesinin mühəndislik ekspert mərkəzi</v>
          </cell>
          <cell r="D2886" t="str">
            <v>Softvvare chapter</v>
          </cell>
          <cell r="E2886" t="str">
            <v>#</v>
          </cell>
          <cell r="F2886" t="str">
            <v>Backend developer</v>
          </cell>
          <cell r="G2886" t="str">
            <v>A</v>
          </cell>
          <cell r="H2886">
            <v>45798</v>
          </cell>
        </row>
        <row r="2887">
          <cell r="B2887" t="str">
            <v>Məmmədov Ramil Elxan</v>
          </cell>
          <cell r="C2887" t="str">
            <v>FinTech mühəndislik ekspert mərkəzi</v>
          </cell>
          <cell r="D2887" t="str">
            <v>Softvvare chapter</v>
          </cell>
          <cell r="E2887" t="str">
            <v>#</v>
          </cell>
          <cell r="F2887" t="str">
            <v>Tech lead</v>
          </cell>
          <cell r="G2887" t="str">
            <v>A</v>
          </cell>
          <cell r="H2887">
            <v>44368</v>
          </cell>
        </row>
        <row r="2888">
          <cell r="B2888" t="str">
            <v>Yusifov Məhəmməd Azər</v>
          </cell>
          <cell r="C2888" t="str">
            <v>FinTech mühəndislik ekspert mərkəzi</v>
          </cell>
          <cell r="D2888" t="str">
            <v>Softvvare chapter</v>
          </cell>
          <cell r="E2888" t="str">
            <v>#</v>
          </cell>
          <cell r="F2888" t="str">
            <v>Backend developer</v>
          </cell>
          <cell r="G2888" t="str">
            <v>A</v>
          </cell>
          <cell r="H2888">
            <v>45770</v>
          </cell>
        </row>
        <row r="2889">
          <cell r="B2889" t="str">
            <v>Qasımzadə Elgün Əli</v>
          </cell>
          <cell r="C2889" t="str">
            <v>Mühəndislik və texnoloji platformalar ekspert mərkəzi</v>
          </cell>
          <cell r="D2889" t="str">
            <v>Proqram mühəndisliyi funksional sahəsi</v>
          </cell>
          <cell r="E2889" t="str">
            <v>#</v>
          </cell>
          <cell r="F2889" t="str">
            <v>Tech lead</v>
          </cell>
          <cell r="G2889" t="str">
            <v>A</v>
          </cell>
          <cell r="H2889">
            <v>44575</v>
          </cell>
        </row>
        <row r="2890">
          <cell r="B2890" t="str">
            <v>Fəsadov Rəşid Rəhim</v>
          </cell>
          <cell r="C2890" t="str">
            <v>FinTech mühəndislik ekspert mərkəzi</v>
          </cell>
          <cell r="D2890" t="str">
            <v>Softvvare chapter</v>
          </cell>
          <cell r="E2890" t="str">
            <v>#</v>
          </cell>
          <cell r="F2890" t="str">
            <v>Backend developer</v>
          </cell>
          <cell r="G2890" t="str">
            <v>A</v>
          </cell>
          <cell r="H2890">
            <v>44368</v>
          </cell>
        </row>
        <row r="2891">
          <cell r="B2891" t="str">
            <v>Gülməmmədli Füzuli Rüfət</v>
          </cell>
          <cell r="C2891" t="str">
            <v>Ödəniş biznesinin mühəndislik ekspert mərkəzi</v>
          </cell>
          <cell r="D2891" t="str">
            <v>Softvvare chapter</v>
          </cell>
          <cell r="E2891" t="str">
            <v>#</v>
          </cell>
          <cell r="F2891" t="str">
            <v>Backend developer</v>
          </cell>
          <cell r="G2891" t="str">
            <v>A</v>
          </cell>
          <cell r="H2891">
            <v>45384</v>
          </cell>
        </row>
        <row r="2892">
          <cell r="B2892" t="str">
            <v>Zeynalov Sabir Xalıq</v>
          </cell>
          <cell r="C2892" t="str">
            <v>Ödəniş biznesinin mühəndislik ekspert mərkəzi</v>
          </cell>
          <cell r="D2892" t="str">
            <v>Softvvare chapter</v>
          </cell>
          <cell r="E2892" t="str">
            <v>#</v>
          </cell>
          <cell r="F2892" t="str">
            <v>Funksional lider</v>
          </cell>
          <cell r="G2892" t="str">
            <v>A</v>
          </cell>
          <cell r="H2892">
            <v>43161</v>
          </cell>
        </row>
        <row r="2893">
          <cell r="B2893" t="str">
            <v>Şükürov Valeh Pənah</v>
          </cell>
          <cell r="C2893" t="str">
            <v>Ödəniş biznesinin mühəndislik ekspert mərkəzi</v>
          </cell>
          <cell r="D2893" t="str">
            <v>Softvvare chapter</v>
          </cell>
          <cell r="E2893" t="str">
            <v>#</v>
          </cell>
          <cell r="F2893" t="str">
            <v>Sistem developer</v>
          </cell>
          <cell r="G2893" t="str">
            <v>A</v>
          </cell>
          <cell r="H2893">
            <v>43650</v>
          </cell>
        </row>
        <row r="2894">
          <cell r="B2894" t="str">
            <v>Musayev Samir Mayıl</v>
          </cell>
          <cell r="C2894" t="str">
            <v>Ödəniş biznesinin mühəndislik ekspert mərkəzi</v>
          </cell>
          <cell r="D2894" t="str">
            <v>Softvvare chapter</v>
          </cell>
          <cell r="E2894" t="str">
            <v>#</v>
          </cell>
          <cell r="F2894" t="str">
            <v>Sistem developer</v>
          </cell>
          <cell r="G2894" t="str">
            <v>A</v>
          </cell>
          <cell r="H2894">
            <v>43777</v>
          </cell>
        </row>
        <row r="2895">
          <cell r="B2895" t="str">
            <v>Sucayev Şahin Mehman</v>
          </cell>
          <cell r="C2895" t="str">
            <v>FinTech mühəndislik ekspert mərkəzi</v>
          </cell>
          <cell r="D2895" t="str">
            <v>Softvvare chapter</v>
          </cell>
          <cell r="E2895" t="str">
            <v>#</v>
          </cell>
          <cell r="F2895" t="str">
            <v>Sistem developer</v>
          </cell>
          <cell r="G2895" t="str">
            <v>A</v>
          </cell>
          <cell r="H2895">
            <v>45811</v>
          </cell>
        </row>
        <row r="2896">
          <cell r="B2896" t="str">
            <v>Abasov Tərlan Eldar</v>
          </cell>
          <cell r="C2896" t="str">
            <v>FinTech mühəndislik ekspert mərkəzi</v>
          </cell>
          <cell r="D2896" t="str">
            <v>Softvvare chapter</v>
          </cell>
          <cell r="E2896" t="str">
            <v>#</v>
          </cell>
          <cell r="F2896" t="str">
            <v>Tribe tech Lead</v>
          </cell>
          <cell r="G2896" t="str">
            <v>A</v>
          </cell>
          <cell r="H2896">
            <v>44091</v>
          </cell>
        </row>
        <row r="2897">
          <cell r="B2897" t="str">
            <v>Mahmudova Şəhanə Natiq</v>
          </cell>
          <cell r="C2897" t="str">
            <v>FinTech mühəndislik ekspert mərkəzi</v>
          </cell>
          <cell r="D2897" t="str">
            <v>Softvvare chapter</v>
          </cell>
          <cell r="E2897" t="str">
            <v>#</v>
          </cell>
          <cell r="F2897" t="str">
            <v>Backend developer</v>
          </cell>
          <cell r="G2897" t="str">
            <v>A</v>
          </cell>
          <cell r="H2897">
            <v>43347</v>
          </cell>
        </row>
        <row r="2898">
          <cell r="B2898" t="str">
            <v>DRESVIANNIKOV IGOR</v>
          </cell>
          <cell r="C2898" t="str">
            <v>FinTech mühəndislik ekspert mərkəzi</v>
          </cell>
          <cell r="D2898" t="str">
            <v>Softvvare chapter</v>
          </cell>
          <cell r="E2898" t="str">
            <v>#</v>
          </cell>
          <cell r="F2898" t="str">
            <v>Backend developer</v>
          </cell>
          <cell r="G2898" t="str">
            <v>A</v>
          </cell>
          <cell r="H2898">
            <v>44852</v>
          </cell>
        </row>
        <row r="2899">
          <cell r="B2899" t="str">
            <v>Eminov Nihad İlqar</v>
          </cell>
          <cell r="C2899" t="str">
            <v>FinTech mühəndislik ekspert mərkəzi</v>
          </cell>
          <cell r="D2899" t="str">
            <v>Softvvare chapter</v>
          </cell>
          <cell r="E2899" t="str">
            <v>#</v>
          </cell>
          <cell r="F2899" t="str">
            <v>Backend developer</v>
          </cell>
          <cell r="G2899" t="str">
            <v>A</v>
          </cell>
          <cell r="H2899">
            <v>45931</v>
          </cell>
        </row>
        <row r="2900">
          <cell r="B2900" t="str">
            <v>Nəbi Elsun İlqar</v>
          </cell>
          <cell r="C2900" t="str">
            <v>FinTech mühəndislik ekspert mərkəzi</v>
          </cell>
          <cell r="D2900" t="str">
            <v>Softvvare chapter</v>
          </cell>
          <cell r="E2900" t="str">
            <v>#</v>
          </cell>
          <cell r="F2900" t="str">
            <v>Sistem developer</v>
          </cell>
          <cell r="G2900" t="str">
            <v>A</v>
          </cell>
          <cell r="H2900">
            <v>45023</v>
          </cell>
        </row>
        <row r="2901">
          <cell r="B2901" t="str">
            <v>JAMALOV SHAMIL</v>
          </cell>
          <cell r="C2901" t="str">
            <v>BirApp sahəsi</v>
          </cell>
          <cell r="D2901" t="str">
            <v>#</v>
          </cell>
          <cell r="E2901" t="str">
            <v>#</v>
          </cell>
          <cell r="F2901" t="str">
            <v>Tribe tech Lead</v>
          </cell>
          <cell r="G2901" t="str">
            <v>A</v>
          </cell>
          <cell r="H2901">
            <v>44616</v>
          </cell>
        </row>
        <row r="2902">
          <cell r="B2902" t="str">
            <v>Zodorova Aytən Məhəmməd</v>
          </cell>
          <cell r="C2902" t="str">
            <v>Ödəniş biznesinin mühəndislik ekspert mərkəzi</v>
          </cell>
          <cell r="D2902" t="str">
            <v>Softvvare chapter</v>
          </cell>
          <cell r="E2902" t="str">
            <v>#</v>
          </cell>
          <cell r="F2902" t="str">
            <v>Backend developer</v>
          </cell>
          <cell r="G2902" t="str">
            <v>A</v>
          </cell>
          <cell r="H2902">
            <v>45047</v>
          </cell>
        </row>
        <row r="2903">
          <cell r="B2903" t="str">
            <v>Mustafayev Mustafa Ceyhun</v>
          </cell>
          <cell r="C2903" t="str">
            <v>Ödəniş biznesinin mühəndislik ekspert mərkəzi</v>
          </cell>
          <cell r="D2903" t="str">
            <v>Softvvare chapter</v>
          </cell>
          <cell r="E2903" t="str">
            <v>#</v>
          </cell>
          <cell r="F2903" t="str">
            <v>Tech Lead</v>
          </cell>
          <cell r="G2903" t="str">
            <v>A</v>
          </cell>
          <cell r="H2903">
            <v>45796</v>
          </cell>
        </row>
        <row r="2904">
          <cell r="B2904" t="str">
            <v>Kərimli Sadiq Şahin</v>
          </cell>
          <cell r="C2904" t="str">
            <v>Mühəndislik və texnoloji platformalar ekspert mərkəzi</v>
          </cell>
          <cell r="D2904" t="str">
            <v>Proqram mühəndisliyi funksional sahəsi</v>
          </cell>
          <cell r="E2904" t="str">
            <v>#</v>
          </cell>
          <cell r="F2904" t="str">
            <v>Backend developer</v>
          </cell>
          <cell r="G2904" t="str">
            <v>A</v>
          </cell>
          <cell r="H2904">
            <v>44575</v>
          </cell>
        </row>
        <row r="2905">
          <cell r="B2905" t="str">
            <v>Quliyev Turqud Firudun</v>
          </cell>
          <cell r="C2905" t="str">
            <v>Ödəniş biznesinin mühəndislik ekspert mərkəzi</v>
          </cell>
          <cell r="D2905" t="str">
            <v>Softvvare chapter</v>
          </cell>
          <cell r="E2905" t="str">
            <v>#</v>
          </cell>
          <cell r="F2905" t="str">
            <v>Backend developer</v>
          </cell>
          <cell r="G2905" t="str">
            <v>A</v>
          </cell>
          <cell r="H2905">
            <v>46114</v>
          </cell>
        </row>
        <row r="2906">
          <cell r="B2906" t="str">
            <v>Baxşızadə Nicat Elşad</v>
          </cell>
          <cell r="C2906" t="str">
            <v>Ödəniş biznesinin mühəndislik ekspert mərkəzi</v>
          </cell>
          <cell r="D2906" t="str">
            <v>Softvvare chapter</v>
          </cell>
          <cell r="E2906" t="str">
            <v>#</v>
          </cell>
          <cell r="F2906" t="str">
            <v>Backend developer</v>
          </cell>
          <cell r="G2906" t="str">
            <v>A</v>
          </cell>
          <cell r="H2906">
            <v>44575</v>
          </cell>
        </row>
        <row r="2907">
          <cell r="B2907" t="str">
            <v>Mehtiyev Cəfər Laçın</v>
          </cell>
          <cell r="C2907" t="str">
            <v>FinTech mühəndislik ekspert mərkəzi</v>
          </cell>
          <cell r="D2907" t="str">
            <v>Softvvare chapter</v>
          </cell>
          <cell r="E2907" t="str">
            <v>#</v>
          </cell>
          <cell r="F2907" t="str">
            <v>Backend developer</v>
          </cell>
          <cell r="G2907" t="str">
            <v>A</v>
          </cell>
          <cell r="H2907">
            <v>45943</v>
          </cell>
        </row>
        <row r="2908">
          <cell r="B2908" t="str">
            <v>Şibliyev Murad Əliyar</v>
          </cell>
          <cell r="C2908" t="str">
            <v>Mühəndislik və texnoloji platformalar ekspert mərkəzi</v>
          </cell>
          <cell r="D2908" t="str">
            <v>Proqram mühəndisliyi funksional sahəsi</v>
          </cell>
          <cell r="E2908" t="str">
            <v>#</v>
          </cell>
          <cell r="F2908" t="str">
            <v>Backend developer</v>
          </cell>
          <cell r="G2908" t="str">
            <v>A</v>
          </cell>
          <cell r="H2908">
            <v>44575</v>
          </cell>
        </row>
        <row r="2909">
          <cell r="B2909" t="str">
            <v>Lətifli Rəvan Ənvər</v>
          </cell>
          <cell r="C2909" t="str">
            <v>Mühəndislik və texnoloji platformalar ekspert mərkəzi</v>
          </cell>
          <cell r="D2909" t="str">
            <v>Proqram mühəndisliyi funksional sahəsi</v>
          </cell>
          <cell r="E2909" t="str">
            <v>#</v>
          </cell>
          <cell r="F2909" t="str">
            <v>Funksional lider</v>
          </cell>
          <cell r="G2909" t="str">
            <v>A</v>
          </cell>
          <cell r="H2909">
            <v>44721</v>
          </cell>
        </row>
        <row r="2910">
          <cell r="B2910" t="str">
            <v>Ağayev Asiman Arzu</v>
          </cell>
          <cell r="C2910" t="str">
            <v>Mühəndislik və texnoloji platformalar ekspert mərkəzi</v>
          </cell>
          <cell r="D2910" t="str">
            <v>Proqram mühəndisliyi funksional sahəsi</v>
          </cell>
          <cell r="E2910" t="str">
            <v>#</v>
          </cell>
          <cell r="F2910" t="str">
            <v>Tech Lead</v>
          </cell>
          <cell r="G2910" t="str">
            <v>A</v>
          </cell>
          <cell r="H2910">
            <v>43740</v>
          </cell>
        </row>
        <row r="2911">
          <cell r="B2911" t="str">
            <v>Hacı Sənan Eldar</v>
          </cell>
          <cell r="C2911" t="str">
            <v>Mühəndislik və texnoloji platformalar ekspert mərkəzi</v>
          </cell>
          <cell r="D2911" t="str">
            <v>Proqram mühəndisliyi funksional sahəsi</v>
          </cell>
          <cell r="E2911" t="str">
            <v>#</v>
          </cell>
          <cell r="F2911" t="str">
            <v>Mobile developer</v>
          </cell>
          <cell r="G2911" t="str">
            <v>A</v>
          </cell>
          <cell r="H2911">
            <v>45133</v>
          </cell>
        </row>
        <row r="2912">
          <cell r="B2912" t="str">
            <v>Hüseynli Elvin Arif</v>
          </cell>
          <cell r="C2912" t="str">
            <v>Mühəndislik və texnoloji platformalar ekspert mərkəzi</v>
          </cell>
          <cell r="D2912" t="str">
            <v>Proqram mühəndisliyi funksional sahəsi</v>
          </cell>
          <cell r="E2912" t="str">
            <v>#</v>
          </cell>
          <cell r="F2912" t="str">
            <v>Mobile developer</v>
          </cell>
          <cell r="G2912" t="str">
            <v>A</v>
          </cell>
          <cell r="H2912">
            <v>45527</v>
          </cell>
        </row>
        <row r="2913">
          <cell r="B2913" t="str">
            <v>Cəfərli İsmət Natiq</v>
          </cell>
          <cell r="C2913" t="str">
            <v>FinTech mühəndislik ekspert mərkəzi</v>
          </cell>
          <cell r="D2913" t="str">
            <v>Softvvare chapter</v>
          </cell>
          <cell r="E2913" t="str">
            <v>#</v>
          </cell>
          <cell r="F2913" t="str">
            <v>Mobile developer</v>
          </cell>
          <cell r="G2913" t="str">
            <v>A</v>
          </cell>
          <cell r="H2913">
            <v>46136</v>
          </cell>
        </row>
        <row r="2914">
          <cell r="B2914" t="str">
            <v>Həsənov Seymur Xəqani</v>
          </cell>
          <cell r="C2914" t="str">
            <v>FinTech mühəndislik ekspert mərkəzi</v>
          </cell>
          <cell r="D2914" t="str">
            <v>Softvvare chapter</v>
          </cell>
          <cell r="E2914" t="str">
            <v>#</v>
          </cell>
          <cell r="F2914" t="str">
            <v>Sistem developer</v>
          </cell>
          <cell r="G2914" t="str">
            <v>A</v>
          </cell>
          <cell r="H2914">
            <v>46143</v>
          </cell>
        </row>
        <row r="2915">
          <cell r="B2915" t="str">
            <v>İbrahimzadə Samir Nemət</v>
          </cell>
          <cell r="C2915" t="str">
            <v>Mühəndislik və texnoloji platformalar ekspert mərkəzi</v>
          </cell>
          <cell r="D2915" t="str">
            <v>Proqram mühəndisliyi funksional sahəsi</v>
          </cell>
          <cell r="E2915" t="str">
            <v>#</v>
          </cell>
          <cell r="F2915" t="str">
            <v>Mobile developer</v>
          </cell>
          <cell r="G2915" t="str">
            <v>A</v>
          </cell>
          <cell r="H2915">
            <v>44579</v>
          </cell>
        </row>
        <row r="2916">
          <cell r="B2916" t="str">
            <v>Eyyubov Nəsib Qürbət</v>
          </cell>
          <cell r="C2916" t="str">
            <v>Ödəniş biznesinin mühəndislik ekspert mərkəzi</v>
          </cell>
          <cell r="D2916" t="str">
            <v>Softvvare chapter</v>
          </cell>
          <cell r="E2916" t="str">
            <v>#</v>
          </cell>
          <cell r="F2916" t="str">
            <v>Mobile developer</v>
          </cell>
          <cell r="G2916" t="str">
            <v>A</v>
          </cell>
          <cell r="H2916">
            <v>44575</v>
          </cell>
        </row>
        <row r="2917">
          <cell r="B2917" t="str">
            <v>Əliyev Murad Rəşad</v>
          </cell>
          <cell r="C2917" t="str">
            <v>Mühəndislik və texnoloji platformalar ekspert mərkəzi</v>
          </cell>
          <cell r="D2917" t="str">
            <v>Proqram mühəndisliyi funksional sahəsi</v>
          </cell>
          <cell r="E2917" t="str">
            <v>#</v>
          </cell>
          <cell r="F2917" t="str">
            <v>Mobile developer</v>
          </cell>
          <cell r="G2917" t="str">
            <v>A</v>
          </cell>
          <cell r="H2917">
            <v>45497</v>
          </cell>
        </row>
        <row r="2918">
          <cell r="B2918" t="str">
            <v>Seyidzadə Miribrahim Mirzəli</v>
          </cell>
          <cell r="C2918" t="str">
            <v>Ödəniş biznesinin mühəndislik ekspert mərkəzi</v>
          </cell>
          <cell r="D2918" t="str">
            <v>Softvvare chapter</v>
          </cell>
          <cell r="E2918" t="str">
            <v>#</v>
          </cell>
          <cell r="F2918" t="str">
            <v>Mobile developer</v>
          </cell>
          <cell r="G2918" t="str">
            <v>A</v>
          </cell>
          <cell r="H2918">
            <v>45310</v>
          </cell>
        </row>
        <row r="2919">
          <cell r="B2919" t="str">
            <v>Rəsulzadə Yunis Rəsul</v>
          </cell>
          <cell r="C2919" t="str">
            <v>FinTech mühəndislik ekspert mərkəzi</v>
          </cell>
          <cell r="D2919" t="str">
            <v>Softvvare chapter</v>
          </cell>
          <cell r="E2919" t="str">
            <v>#</v>
          </cell>
          <cell r="F2919" t="str">
            <v>Funksional Lider</v>
          </cell>
          <cell r="G2919" t="str">
            <v>A</v>
          </cell>
          <cell r="H2919">
            <v>45050</v>
          </cell>
        </row>
        <row r="2920">
          <cell r="B2920" t="str">
            <v>Hacıyeva Rübabə Bəxtiyar</v>
          </cell>
          <cell r="C2920" t="str">
            <v>FinTech mühəndislik ekspert mərkəzi</v>
          </cell>
          <cell r="D2920" t="str">
            <v>Softvvare chapter</v>
          </cell>
          <cell r="E2920" t="str">
            <v>#</v>
          </cell>
          <cell r="F2920" t="str">
            <v>Mobile developer</v>
          </cell>
          <cell r="G2920" t="str">
            <v>A</v>
          </cell>
          <cell r="H2920">
            <v>45987</v>
          </cell>
        </row>
        <row r="2921">
          <cell r="B2921" t="str">
            <v>Abaszadə Tərlan Səməd</v>
          </cell>
          <cell r="C2921" t="str">
            <v>Ödəniş biznesinin mühəndislik ekspert mərkəzi</v>
          </cell>
          <cell r="D2921" t="str">
            <v>Softvvare chapter</v>
          </cell>
          <cell r="E2921" t="str">
            <v>#</v>
          </cell>
          <cell r="F2921" t="str">
            <v>Mobile developer</v>
          </cell>
          <cell r="G2921" t="str">
            <v>A</v>
          </cell>
          <cell r="H2921">
            <v>46010</v>
          </cell>
        </row>
        <row r="2922">
          <cell r="B2922" t="str">
            <v>Dadaşov Əli Etibar</v>
          </cell>
          <cell r="C2922" t="str">
            <v>Mühəndislik və texnoloji platformalar ekspert mərkəzi</v>
          </cell>
          <cell r="D2922" t="str">
            <v>Proqram mühəndisliyi funksional sahəsi</v>
          </cell>
          <cell r="E2922" t="str">
            <v>#</v>
          </cell>
          <cell r="F2922" t="str">
            <v>Mobile developer</v>
          </cell>
          <cell r="G2922" t="str">
            <v>A</v>
          </cell>
          <cell r="H2922">
            <v>44202</v>
          </cell>
        </row>
        <row r="2923">
          <cell r="B2923" t="str">
            <v>Əliyev Murad Azər</v>
          </cell>
          <cell r="C2923" t="str">
            <v>FinTech mühəndislik ekspert mərkəzi</v>
          </cell>
          <cell r="D2923" t="str">
            <v>Softvvare chapter</v>
          </cell>
          <cell r="E2923" t="str">
            <v>#</v>
          </cell>
          <cell r="F2923" t="str">
            <v>Mobile developer</v>
          </cell>
          <cell r="G2923" t="str">
            <v>A</v>
          </cell>
          <cell r="H2923">
            <v>45720</v>
          </cell>
        </row>
        <row r="2924">
          <cell r="B2924" t="str">
            <v>Səlimli Orxan Xəqani</v>
          </cell>
          <cell r="C2924" t="str">
            <v>Ödəniş biznesinin mühəndislik ekspert mərkəzi</v>
          </cell>
          <cell r="D2924" t="str">
            <v>Softvvare chapter</v>
          </cell>
          <cell r="E2924" t="str">
            <v>#</v>
          </cell>
          <cell r="F2924" t="str">
            <v>Mobile developer</v>
          </cell>
          <cell r="G2924" t="str">
            <v>A</v>
          </cell>
          <cell r="H2924">
            <v>45964</v>
          </cell>
        </row>
        <row r="2925">
          <cell r="B2925" t="str">
            <v>Yunuslu Miryunus Anar</v>
          </cell>
          <cell r="C2925" t="str">
            <v>Mühəndislik və texnoloji platformalar ekspert mərkəzi</v>
          </cell>
          <cell r="D2925" t="str">
            <v>Proqram mühəndisliyi funksional sahəsi</v>
          </cell>
          <cell r="E2925" t="str">
            <v>#</v>
          </cell>
          <cell r="F2925" t="str">
            <v>Mobile developer</v>
          </cell>
          <cell r="G2925" t="str">
            <v>A</v>
          </cell>
          <cell r="H2925">
            <v>44743</v>
          </cell>
        </row>
        <row r="2926">
          <cell r="B2926" t="str">
            <v>İslamzadə İsmayıl Fuad</v>
          </cell>
          <cell r="C2926" t="str">
            <v>FinTech mühəndislik ekspert mərkəzi</v>
          </cell>
          <cell r="D2926" t="str">
            <v>Softvvare chapter</v>
          </cell>
          <cell r="E2926" t="str">
            <v>#</v>
          </cell>
          <cell r="F2926" t="str">
            <v>Mobile developer</v>
          </cell>
          <cell r="G2926" t="str">
            <v>A</v>
          </cell>
          <cell r="H2926">
            <v>46086</v>
          </cell>
        </row>
        <row r="2927">
          <cell r="B2927" t="str">
            <v>İbrahimli Kənan Vidadi</v>
          </cell>
          <cell r="C2927" t="str">
            <v>Ödəniş biznesinin mühəndislik ekspert mərkəzi</v>
          </cell>
          <cell r="D2927" t="str">
            <v>Softvvare chapter</v>
          </cell>
          <cell r="E2927" t="str">
            <v>#</v>
          </cell>
          <cell r="F2927" t="str">
            <v>Mobile developer</v>
          </cell>
          <cell r="G2927" t="str">
            <v>A</v>
          </cell>
          <cell r="H2927">
            <v>45552</v>
          </cell>
        </row>
        <row r="2928">
          <cell r="B2928" t="str">
            <v>İsrafilov Mehdi Müşviq</v>
          </cell>
          <cell r="C2928" t="str">
            <v>FinTech mühəndislik ekspert mərkəzi</v>
          </cell>
          <cell r="D2928" t="str">
            <v>Softvvare chapter</v>
          </cell>
          <cell r="E2928" t="str">
            <v>#</v>
          </cell>
          <cell r="F2928" t="str">
            <v>Mobile developer</v>
          </cell>
          <cell r="G2928" t="str">
            <v>A</v>
          </cell>
          <cell r="H2928">
            <v>45560</v>
          </cell>
        </row>
        <row r="2929">
          <cell r="B2929" t="str">
            <v>Xan-zadə Hacıbala Şirxan</v>
          </cell>
          <cell r="C2929" t="str">
            <v>FinTech mühəndislik ekspert mərkəzi</v>
          </cell>
          <cell r="D2929" t="str">
            <v>Softvvare chapter</v>
          </cell>
          <cell r="E2929" t="str">
            <v>#</v>
          </cell>
          <cell r="F2929" t="str">
            <v>Mobile developer</v>
          </cell>
          <cell r="G2929" t="str">
            <v>A</v>
          </cell>
          <cell r="H2929">
            <v>44238</v>
          </cell>
        </row>
        <row r="2930">
          <cell r="B2930" t="str">
            <v>Əhməd-zadə İnam Gəray</v>
          </cell>
          <cell r="C2930" t="str">
            <v>FinTech mühəndislik ekspert mərkəzi</v>
          </cell>
          <cell r="D2930" t="str">
            <v>Softvvare chapter</v>
          </cell>
          <cell r="E2930" t="str">
            <v>#</v>
          </cell>
          <cell r="F2930" t="str">
            <v>Funksional Lider</v>
          </cell>
          <cell r="G2930" t="str">
            <v>A</v>
          </cell>
          <cell r="H2930">
            <v>44202</v>
          </cell>
        </row>
        <row r="2931">
          <cell r="B2931" t="str">
            <v>Cəfərov Əli Tələt</v>
          </cell>
          <cell r="C2931" t="str">
            <v>FinTech mühəndislik ekspert mərkəzi</v>
          </cell>
          <cell r="D2931" t="str">
            <v>Softvvare chapter</v>
          </cell>
          <cell r="E2931" t="str">
            <v>#</v>
          </cell>
          <cell r="F2931" t="str">
            <v>Mobile developer</v>
          </cell>
          <cell r="G2931" t="str">
            <v>A</v>
          </cell>
          <cell r="H2931">
            <v>44869</v>
          </cell>
        </row>
        <row r="2932">
          <cell r="B2932" t="str">
            <v>Qurbanova Natavan Əhməd</v>
          </cell>
          <cell r="C2932" t="str">
            <v>FinTech mühəndislik ekspert mərkəzi</v>
          </cell>
          <cell r="D2932" t="str">
            <v>Softvvare chapter</v>
          </cell>
          <cell r="E2932" t="str">
            <v>#</v>
          </cell>
          <cell r="F2932" t="str">
            <v>Mobile developer</v>
          </cell>
          <cell r="G2932" t="str">
            <v>A</v>
          </cell>
          <cell r="H2932">
            <v>45987</v>
          </cell>
        </row>
        <row r="2933">
          <cell r="B2933" t="str">
            <v>İbrahimli Elmar Nəriman</v>
          </cell>
          <cell r="C2933" t="str">
            <v>FinTech mühəndislik ekspert mərkəzi</v>
          </cell>
          <cell r="D2933" t="str">
            <v>Softvvare chapter</v>
          </cell>
          <cell r="E2933" t="str">
            <v>#</v>
          </cell>
          <cell r="F2933" t="str">
            <v>Mobile developer</v>
          </cell>
          <cell r="G2933" t="str">
            <v>A</v>
          </cell>
          <cell r="H2933">
            <v>44399</v>
          </cell>
        </row>
        <row r="2934">
          <cell r="B2934" t="str">
            <v>Məmmədova Nəzrin Tahir</v>
          </cell>
          <cell r="C2934" t="str">
            <v>FinTech mühəndislik ekspert mərkəzi</v>
          </cell>
          <cell r="D2934" t="str">
            <v>Softvvare chapter</v>
          </cell>
          <cell r="E2934" t="str">
            <v>#</v>
          </cell>
          <cell r="F2934" t="str">
            <v>Mobile developer</v>
          </cell>
          <cell r="G2934" t="str">
            <v>A</v>
          </cell>
          <cell r="H2934">
            <v>46196</v>
          </cell>
        </row>
        <row r="2935">
          <cell r="B2935" t="str">
            <v>Dəvrişov Roman Saqif</v>
          </cell>
          <cell r="C2935" t="str">
            <v>Mühəndislik və texnoloji platformalar ekspert mərkəzi</v>
          </cell>
          <cell r="D2935" t="str">
            <v>Proqram mühəndisliyi funksional sahəsi</v>
          </cell>
          <cell r="E2935" t="str">
            <v>#</v>
          </cell>
          <cell r="F2935" t="str">
            <v>Mobile developer</v>
          </cell>
          <cell r="G2935" t="str">
            <v>A</v>
          </cell>
          <cell r="H2935">
            <v>45954</v>
          </cell>
        </row>
        <row r="2936">
          <cell r="B2936" t="str">
            <v>Seyidov Əliağa Əliağa</v>
          </cell>
          <cell r="C2936" t="str">
            <v>Mühəndislik və texnoloji platformalar ekspert mərkəzi</v>
          </cell>
          <cell r="D2936" t="str">
            <v>Proqram mühəndisliyi funksional sahəsi</v>
          </cell>
          <cell r="E2936" t="str">
            <v>#</v>
          </cell>
          <cell r="F2936" t="str">
            <v>Mobile developer</v>
          </cell>
          <cell r="G2936" t="str">
            <v>A</v>
          </cell>
          <cell r="H2936">
            <v>45779</v>
          </cell>
        </row>
        <row r="2937">
          <cell r="B2937" t="str">
            <v>Dolxanova Nəzrin İmamverdi</v>
          </cell>
          <cell r="C2937" t="str">
            <v>Ödəniş biznesinin mühəndislik ekspert mərkəzi</v>
          </cell>
          <cell r="D2937" t="str">
            <v>Softvvare chapter</v>
          </cell>
          <cell r="E2937" t="str">
            <v>#</v>
          </cell>
          <cell r="F2937" t="str">
            <v>Mobile developer</v>
          </cell>
          <cell r="G2937" t="str">
            <v>SM</v>
          </cell>
          <cell r="H2937">
            <v>45729</v>
          </cell>
        </row>
        <row r="2938">
          <cell r="B2938" t="str">
            <v>Rzazadə Zəhra Elşad</v>
          </cell>
          <cell r="C2938" t="str">
            <v>Ödəniş biznesinin mühəndislik ekspert mərkəzi</v>
          </cell>
          <cell r="D2938" t="str">
            <v>Softvvare chapter</v>
          </cell>
          <cell r="E2938" t="str">
            <v>#</v>
          </cell>
          <cell r="F2938" t="str">
            <v>Mobile developer (müvəqqəti)</v>
          </cell>
          <cell r="G2938" t="str">
            <v>A</v>
          </cell>
          <cell r="H2938">
            <v>46034</v>
          </cell>
        </row>
        <row r="2939">
          <cell r="B2939" t="str">
            <v>Abbasəliyev Cavid Anar</v>
          </cell>
          <cell r="C2939" t="str">
            <v>Mühəndislik və texnoloji platformalar ekspert mərkəzi</v>
          </cell>
          <cell r="D2939" t="str">
            <v>Proqram mühəndisliyi funksional sahəsi</v>
          </cell>
          <cell r="E2939" t="str">
            <v>#</v>
          </cell>
          <cell r="F2939" t="str">
            <v>Mobile developer</v>
          </cell>
          <cell r="G2939" t="str">
            <v>A</v>
          </cell>
          <cell r="H2939">
            <v>45498</v>
          </cell>
        </row>
        <row r="2940">
          <cell r="B2940" t="str">
            <v>Qədirli Babək İlham</v>
          </cell>
          <cell r="C2940" t="str">
            <v>Ödəniş biznesinin mühəndislik ekspert mərkəzi</v>
          </cell>
          <cell r="D2940" t="str">
            <v>Softvvare chapter</v>
          </cell>
          <cell r="E2940" t="str">
            <v>#</v>
          </cell>
          <cell r="F2940" t="str">
            <v>Mobile developer</v>
          </cell>
          <cell r="G2940" t="str">
            <v>A</v>
          </cell>
          <cell r="H2940">
            <v>45527</v>
          </cell>
        </row>
        <row r="2941">
          <cell r="B2941" t="str">
            <v>Əmrahov Əsgər Faiq</v>
          </cell>
          <cell r="C2941" t="str">
            <v>Ödəniş biznesinin mühəndislik ekspert mərkəzi</v>
          </cell>
          <cell r="D2941" t="str">
            <v>Softvvare chapter</v>
          </cell>
          <cell r="E2941" t="str">
            <v>#</v>
          </cell>
          <cell r="F2941" t="str">
            <v>Funksional lider</v>
          </cell>
          <cell r="G2941" t="str">
            <v>A</v>
          </cell>
          <cell r="H2941">
            <v>45201</v>
          </cell>
        </row>
        <row r="2942">
          <cell r="B2942" t="str">
            <v>Babazadə Elnur İslam</v>
          </cell>
          <cell r="C2942" t="str">
            <v>Ödəniş biznesinin mühəndislik ekspert mərkəzi</v>
          </cell>
          <cell r="D2942" t="str">
            <v>Softvvare chapter</v>
          </cell>
          <cell r="E2942" t="str">
            <v>#</v>
          </cell>
          <cell r="F2942" t="str">
            <v>Mobile developer</v>
          </cell>
          <cell r="G2942" t="str">
            <v>A</v>
          </cell>
          <cell r="H2942">
            <v>45341</v>
          </cell>
        </row>
        <row r="2943">
          <cell r="B2943" t="str">
            <v>Pirizadə Bəxtiyar İmamxan</v>
          </cell>
          <cell r="C2943" t="str">
            <v>Ödəniş biznesinin mühəndislik ekspert mərkəzi</v>
          </cell>
          <cell r="D2943" t="str">
            <v>Softvvare chapter</v>
          </cell>
          <cell r="E2943" t="str">
            <v>#</v>
          </cell>
          <cell r="F2943" t="str">
            <v>Mobile developer</v>
          </cell>
          <cell r="G2943" t="str">
            <v>A</v>
          </cell>
          <cell r="H2943">
            <v>45985</v>
          </cell>
        </row>
        <row r="2944">
          <cell r="B2944" t="str">
            <v>Kərimli Orxan Namiq</v>
          </cell>
          <cell r="C2944" t="str">
            <v>Mühəndislik və texnoloji platformalar ekspert mərkəzi</v>
          </cell>
          <cell r="D2944" t="str">
            <v>Proqram mühəndisliyi funksional sahəsi</v>
          </cell>
          <cell r="E2944" t="str">
            <v>#</v>
          </cell>
          <cell r="F2944" t="str">
            <v>Mobile developer</v>
          </cell>
          <cell r="G2944" t="str">
            <v>A</v>
          </cell>
          <cell r="H2944">
            <v>45212</v>
          </cell>
        </row>
        <row r="2945">
          <cell r="B2945" t="str">
            <v>Əlizadə Kənan Nəsimi</v>
          </cell>
          <cell r="C2945" t="str">
            <v>Ödəniş biznesinin mühəndislik ekspert mərkəzi</v>
          </cell>
          <cell r="D2945" t="str">
            <v>Softvvare chapter</v>
          </cell>
          <cell r="E2945" t="str">
            <v>#</v>
          </cell>
          <cell r="F2945" t="str">
            <v>Mobile developer</v>
          </cell>
          <cell r="G2945" t="str">
            <v>A</v>
          </cell>
          <cell r="H2945">
            <v>45314</v>
          </cell>
        </row>
        <row r="2946">
          <cell r="B2946" t="str">
            <v>Vəliyeva Natəvan Qismət</v>
          </cell>
          <cell r="C2946" t="str">
            <v>Ödəniş biznesinin mühəndislik ekspert mərkəzi</v>
          </cell>
          <cell r="D2946" t="str">
            <v>Softvvare chapter</v>
          </cell>
          <cell r="E2946" t="str">
            <v>#</v>
          </cell>
          <cell r="F2946" t="str">
            <v>Mobile developer</v>
          </cell>
          <cell r="G2946" t="str">
            <v>A</v>
          </cell>
          <cell r="H2946">
            <v>45951</v>
          </cell>
        </row>
        <row r="2947">
          <cell r="B2947" t="str">
            <v>Qafarov Kənan Emin</v>
          </cell>
          <cell r="C2947" t="str">
            <v>Ödəniş biznesinin mühəndislik ekspert mərkəzi</v>
          </cell>
          <cell r="D2947" t="str">
            <v>Softvvare chapter</v>
          </cell>
          <cell r="E2947" t="str">
            <v>#</v>
          </cell>
          <cell r="F2947" t="str">
            <v>Mobile developer</v>
          </cell>
          <cell r="G2947" t="str">
            <v>A</v>
          </cell>
          <cell r="H2947">
            <v>45967</v>
          </cell>
        </row>
        <row r="2948">
          <cell r="B2948" t="str">
            <v>Şirizadə Rəşad Mehman</v>
          </cell>
          <cell r="C2948" t="str">
            <v>Mühəndislik və texnoloji platformalar ekspert mərkəzi</v>
          </cell>
          <cell r="D2948" t="str">
            <v>Proqram mühəndisliyi funksional sahəsi</v>
          </cell>
          <cell r="E2948" t="str">
            <v>#</v>
          </cell>
          <cell r="F2948" t="str">
            <v>Mobile developer</v>
          </cell>
          <cell r="G2948" t="str">
            <v>A</v>
          </cell>
          <cell r="H2948">
            <v>45966</v>
          </cell>
        </row>
        <row r="2949">
          <cell r="B2949" t="str">
            <v>YATMAZ SAMET</v>
          </cell>
          <cell r="C2949" t="str">
            <v>FinTech mühəndislik ekspert mərkəzi</v>
          </cell>
          <cell r="D2949" t="str">
            <v>Softvvare chapter</v>
          </cell>
          <cell r="E2949" t="str">
            <v>#</v>
          </cell>
          <cell r="F2949" t="str">
            <v>Mobile developer</v>
          </cell>
          <cell r="G2949" t="str">
            <v>A</v>
          </cell>
          <cell r="H2949">
            <v>44830</v>
          </cell>
        </row>
        <row r="2950">
          <cell r="B2950" t="str">
            <v>Ağayev Aydın Adilşah</v>
          </cell>
          <cell r="C2950" t="str">
            <v>Mühəndislik və texnoloji platformalar ekspert mərkəzi</v>
          </cell>
          <cell r="D2950" t="str">
            <v>Proqram mühəndisliyi funksional sahəsi</v>
          </cell>
          <cell r="E2950" t="str">
            <v>#</v>
          </cell>
          <cell r="F2950" t="str">
            <v>Mobile developer</v>
          </cell>
          <cell r="G2950" t="str">
            <v>A</v>
          </cell>
          <cell r="H2950">
            <v>45316</v>
          </cell>
        </row>
        <row r="2951">
          <cell r="B2951" t="str">
            <v>Cəfərli Məhəmməd Lütviyar</v>
          </cell>
          <cell r="C2951" t="str">
            <v>Ödəniş biznesinin mühəndislik ekspert mərkəzi</v>
          </cell>
          <cell r="D2951" t="str">
            <v>Softvvare chapter</v>
          </cell>
          <cell r="E2951" t="str">
            <v>#</v>
          </cell>
          <cell r="F2951" t="str">
            <v>Mobile developer</v>
          </cell>
          <cell r="G2951" t="str">
            <v>A</v>
          </cell>
          <cell r="H2951">
            <v>44238</v>
          </cell>
        </row>
        <row r="2952">
          <cell r="B2952" t="str">
            <v>Əmiraslanlı Ərkan Fərhad</v>
          </cell>
          <cell r="C2952" t="str">
            <v>Ödəniş biznesinin mühəndislik ekspert mərkəzi</v>
          </cell>
          <cell r="D2952" t="str">
            <v>Softvvare chapter</v>
          </cell>
          <cell r="E2952" t="str">
            <v>#</v>
          </cell>
          <cell r="F2952" t="str">
            <v>Mobile developer</v>
          </cell>
          <cell r="G2952" t="str">
            <v>A</v>
          </cell>
          <cell r="H2952">
            <v>45286</v>
          </cell>
        </row>
        <row r="2953">
          <cell r="B2953" t="str">
            <v>Bəşirov Ülvi Samir</v>
          </cell>
          <cell r="C2953" t="str">
            <v>Ödəniş biznesinin mühəndislik ekspert mərkəzi</v>
          </cell>
          <cell r="D2953" t="str">
            <v>Softvvare chapter</v>
          </cell>
          <cell r="E2953" t="str">
            <v>#</v>
          </cell>
          <cell r="F2953" t="str">
            <v>Mobile developer</v>
          </cell>
          <cell r="G2953" t="str">
            <v>A</v>
          </cell>
          <cell r="H2953">
            <v>45568</v>
          </cell>
        </row>
        <row r="2954">
          <cell r="B2954" t="str">
            <v>Qasımov Bayram Sübhanoviç</v>
          </cell>
          <cell r="C2954" t="str">
            <v>FinTech mühəndislik ekspert mərkəzi</v>
          </cell>
          <cell r="D2954" t="str">
            <v>Softvvare chapter</v>
          </cell>
          <cell r="E2954" t="str">
            <v>#</v>
          </cell>
          <cell r="F2954" t="str">
            <v>Sistem developer</v>
          </cell>
          <cell r="G2954" t="str">
            <v>A</v>
          </cell>
          <cell r="H2954">
            <v>45064</v>
          </cell>
        </row>
        <row r="2955">
          <cell r="B2955" t="str">
            <v>Vəliyev Tərxan Mahir</v>
          </cell>
          <cell r="C2955" t="str">
            <v>Mühəndislik və texnoloji platformalar ekspert mərkəzi</v>
          </cell>
          <cell r="D2955" t="str">
            <v>Proqram mühəndisliyi funksional sahəsi</v>
          </cell>
          <cell r="E2955" t="str">
            <v>#</v>
          </cell>
          <cell r="F2955" t="str">
            <v>Tech lead</v>
          </cell>
          <cell r="G2955" t="str">
            <v>A</v>
          </cell>
          <cell r="H2955">
            <v>44302</v>
          </cell>
        </row>
        <row r="2956">
          <cell r="B2956" t="str">
            <v>Ayvazova Aytən Elmar</v>
          </cell>
          <cell r="C2956" t="str">
            <v>Mühəndislik və texnoloji platformalar ekspert mərkəzi</v>
          </cell>
          <cell r="D2956" t="str">
            <v>Proqram mühəndisliyi funksional sahəsi</v>
          </cell>
          <cell r="E2956" t="str">
            <v>#</v>
          </cell>
          <cell r="F2956" t="str">
            <v>Sistem developer</v>
          </cell>
          <cell r="G2956" t="str">
            <v>A</v>
          </cell>
          <cell r="H2956">
            <v>44582</v>
          </cell>
        </row>
        <row r="2957">
          <cell r="B2957" t="str">
            <v>Əlişov Məhəmməd Vüqar</v>
          </cell>
          <cell r="C2957" t="str">
            <v>Mühəndislik və texnoloji platformalar ekspert mərkəzi</v>
          </cell>
          <cell r="D2957" t="str">
            <v>Proqram mühəndisliyi funksional sahəsi</v>
          </cell>
          <cell r="E2957" t="str">
            <v>#</v>
          </cell>
          <cell r="F2957" t="str">
            <v>Tech lead</v>
          </cell>
          <cell r="G2957" t="str">
            <v>A</v>
          </cell>
          <cell r="H2957">
            <v>45317</v>
          </cell>
        </row>
        <row r="2958">
          <cell r="B2958" t="str">
            <v>Xəlilov Murad Azər</v>
          </cell>
          <cell r="C2958" t="str">
            <v>FinTech mühəndislik ekspert mərkəzi</v>
          </cell>
          <cell r="D2958" t="str">
            <v>Softvvare chapter</v>
          </cell>
          <cell r="E2958" t="str">
            <v>#</v>
          </cell>
          <cell r="F2958" t="str">
            <v>Funksional Lider</v>
          </cell>
          <cell r="G2958" t="str">
            <v>A</v>
          </cell>
          <cell r="H2958">
            <v>43333</v>
          </cell>
        </row>
        <row r="2959">
          <cell r="B2959" t="str">
            <v>Qəhrəmanov Araz Sultan</v>
          </cell>
          <cell r="C2959" t="str">
            <v>FinTech mühəndislik ekspert mərkəzi</v>
          </cell>
          <cell r="D2959" t="str">
            <v>Softvvare chapter</v>
          </cell>
          <cell r="E2959" t="str">
            <v>#</v>
          </cell>
          <cell r="F2959" t="str">
            <v>Backend developer</v>
          </cell>
          <cell r="G2959" t="str">
            <v>A</v>
          </cell>
          <cell r="H2959">
            <v>43678</v>
          </cell>
        </row>
        <row r="2960">
          <cell r="B2960" t="str">
            <v>ERMOLAEV MIKHAIL</v>
          </cell>
          <cell r="C2960" t="str">
            <v>FinTech mühəndislik ekspert mərkəzi</v>
          </cell>
          <cell r="D2960" t="str">
            <v>Softvvare chapter</v>
          </cell>
          <cell r="E2960" t="str">
            <v>#</v>
          </cell>
          <cell r="F2960" t="str">
            <v>Sistem developer</v>
          </cell>
          <cell r="G2960" t="str">
            <v>A</v>
          </cell>
          <cell r="H2960">
            <v>45176</v>
          </cell>
        </row>
        <row r="2961">
          <cell r="B2961" t="str">
            <v>Əzizov Elnur Rövşən</v>
          </cell>
          <cell r="C2961" t="str">
            <v>FinTech mühəndislik ekspert mərkəzi</v>
          </cell>
          <cell r="D2961" t="str">
            <v>Softvvare chapter</v>
          </cell>
          <cell r="E2961" t="str">
            <v>#</v>
          </cell>
          <cell r="F2961" t="str">
            <v>Sistem developer</v>
          </cell>
          <cell r="G2961" t="str">
            <v>A</v>
          </cell>
          <cell r="H2961">
            <v>45874</v>
          </cell>
        </row>
        <row r="2962">
          <cell r="B2962" t="str">
            <v>Tahirli Tahir Elşad</v>
          </cell>
          <cell r="C2962" t="str">
            <v>Mühəndislik və texnoloji platformalar ekspert mərkəzi</v>
          </cell>
          <cell r="D2962" t="str">
            <v>Proqram mühəndisliyi funksional sahəsi</v>
          </cell>
          <cell r="E2962" t="str">
            <v>#</v>
          </cell>
          <cell r="F2962" t="str">
            <v>Backend developer</v>
          </cell>
          <cell r="G2962" t="str">
            <v>A</v>
          </cell>
          <cell r="H2962">
            <v>45877</v>
          </cell>
        </row>
        <row r="2963">
          <cell r="B2963" t="str">
            <v>Şıxəliyev Anar Səfaqəddin</v>
          </cell>
          <cell r="C2963" t="str">
            <v>Mühəndislik və texnoloji platformalar ekspert mərkəzi</v>
          </cell>
          <cell r="D2963" t="str">
            <v>Proqram mühəndisliyi funksional sahəsi</v>
          </cell>
          <cell r="E2963" t="str">
            <v>#</v>
          </cell>
          <cell r="F2963" t="str">
            <v>Backend developer</v>
          </cell>
          <cell r="G2963" t="str">
            <v>A</v>
          </cell>
          <cell r="H2963">
            <v>46244</v>
          </cell>
        </row>
        <row r="2964">
          <cell r="B2964" t="str">
            <v>Yusifova Aysel Mübariz</v>
          </cell>
          <cell r="C2964" t="str">
            <v>FinTech mühəndislik ekspert mərkəzi</v>
          </cell>
          <cell r="D2964" t="str">
            <v>Softvvare chapter</v>
          </cell>
          <cell r="E2964" t="str">
            <v>#</v>
          </cell>
          <cell r="F2964" t="str">
            <v>Sistem developer</v>
          </cell>
          <cell r="G2964" t="str">
            <v>A</v>
          </cell>
          <cell r="H2964">
            <v>44805</v>
          </cell>
        </row>
        <row r="2965">
          <cell r="B2965" t="str">
            <v>Mirzəyev Murad Vüqar</v>
          </cell>
          <cell r="C2965" t="str">
            <v>FinTech mühəndislik ekspert mərkəzi</v>
          </cell>
          <cell r="D2965" t="str">
            <v>Softvvare chapter</v>
          </cell>
          <cell r="E2965" t="str">
            <v>#</v>
          </cell>
          <cell r="F2965" t="str">
            <v>Sistem developer</v>
          </cell>
          <cell r="G2965" t="str">
            <v>A</v>
          </cell>
          <cell r="H2965">
            <v>44634</v>
          </cell>
        </row>
        <row r="2966">
          <cell r="B2966" t="str">
            <v>Əliyeva Nərmin Xəyyam</v>
          </cell>
          <cell r="C2966" t="str">
            <v>FinTech mühəndislik ekspert mərkəzi</v>
          </cell>
          <cell r="D2966" t="str">
            <v>Softvvare chapter</v>
          </cell>
          <cell r="E2966" t="str">
            <v>#</v>
          </cell>
          <cell r="F2966" t="str">
            <v>Sistem developer</v>
          </cell>
          <cell r="G2966" t="str">
            <v>A</v>
          </cell>
          <cell r="H2966">
            <v>44994</v>
          </cell>
        </row>
        <row r="2967">
          <cell r="B2967" t="str">
            <v>İsmayılov Vüsal Arif</v>
          </cell>
          <cell r="C2967" t="str">
            <v>FinTech mühəndislik ekspert mərkəzi</v>
          </cell>
          <cell r="D2967" t="str">
            <v>Softvvare chapter</v>
          </cell>
          <cell r="E2967" t="str">
            <v>#</v>
          </cell>
          <cell r="F2967" t="str">
            <v>Sistem developer</v>
          </cell>
          <cell r="G2967" t="str">
            <v>A</v>
          </cell>
          <cell r="H2967">
            <v>44994</v>
          </cell>
        </row>
        <row r="2968">
          <cell r="B2968" t="str">
            <v>İsmayılova Gülər Salman</v>
          </cell>
          <cell r="C2968" t="str">
            <v>FinTech mühəndislik ekspert mərkəzi</v>
          </cell>
          <cell r="D2968" t="str">
            <v>Softvvare chapter</v>
          </cell>
          <cell r="E2968" t="str">
            <v>#</v>
          </cell>
          <cell r="F2968" t="str">
            <v>Sistem developer</v>
          </cell>
          <cell r="G2968" t="str">
            <v>A</v>
          </cell>
          <cell r="H2968">
            <v>44658</v>
          </cell>
        </row>
        <row r="2969">
          <cell r="B2969" t="str">
            <v>Əhmədov Məhəmməd Azəroviç</v>
          </cell>
          <cell r="C2969" t="str">
            <v>FinTech mühəndislik ekspert mərkəzi</v>
          </cell>
          <cell r="D2969" t="str">
            <v>Softvvare chapter</v>
          </cell>
          <cell r="E2969" t="str">
            <v>#</v>
          </cell>
          <cell r="F2969" t="str">
            <v>Sistem developer</v>
          </cell>
          <cell r="G2969" t="str">
            <v>A</v>
          </cell>
          <cell r="H2969">
            <v>44634</v>
          </cell>
        </row>
        <row r="2970">
          <cell r="B2970" t="str">
            <v>Babayev İlkin Şahin</v>
          </cell>
          <cell r="C2970" t="str">
            <v>Mühəndislik və texnoloji platformalar ekspert mərkəzi</v>
          </cell>
          <cell r="D2970" t="str">
            <v>Proqram mühəndisliyi funksional sahəsi</v>
          </cell>
          <cell r="E2970" t="str">
            <v>#</v>
          </cell>
          <cell r="F2970" t="str">
            <v>Sistem developer(0,5 ştat vahidi üzrə)</v>
          </cell>
          <cell r="G2970" t="str">
            <v>A</v>
          </cell>
          <cell r="H2970">
            <v>45302</v>
          </cell>
        </row>
        <row r="2971">
          <cell r="B2971" t="str">
            <v>Hüseynli Nərmin Vasif</v>
          </cell>
          <cell r="C2971" t="str">
            <v>Ödəniş biznesinin mühəndislik ekspert mərkəzi</v>
          </cell>
          <cell r="D2971" t="str">
            <v>Softvvare chapter</v>
          </cell>
          <cell r="E2971" t="str">
            <v>#</v>
          </cell>
          <cell r="F2971" t="str">
            <v>Tech lead</v>
          </cell>
          <cell r="G2971" t="str">
            <v>A</v>
          </cell>
          <cell r="H2971">
            <v>43028</v>
          </cell>
        </row>
        <row r="2972">
          <cell r="B2972" t="str">
            <v>Salayev İlyaz Mahir</v>
          </cell>
          <cell r="C2972" t="str">
            <v>Ödəniş biznesinin mühəndislik ekspert mərkəzi</v>
          </cell>
          <cell r="D2972" t="str">
            <v>Softvvare chapter</v>
          </cell>
          <cell r="E2972" t="str">
            <v>#</v>
          </cell>
          <cell r="F2972" t="str">
            <v>Funksional lider</v>
          </cell>
          <cell r="G2972" t="str">
            <v>A</v>
          </cell>
          <cell r="H2972">
            <v>45446</v>
          </cell>
        </row>
        <row r="2973">
          <cell r="B2973" t="str">
            <v>Qəzvini Fərid Talıb</v>
          </cell>
          <cell r="C2973" t="str">
            <v>Ödəniş biznesinin mühəndislik ekspert mərkəzi</v>
          </cell>
          <cell r="D2973" t="str">
            <v>Softvvare chapter</v>
          </cell>
          <cell r="E2973" t="str">
            <v>#</v>
          </cell>
          <cell r="F2973" t="str">
            <v>Sistem developer</v>
          </cell>
          <cell r="G2973" t="str">
            <v>A</v>
          </cell>
          <cell r="H2973">
            <v>45093</v>
          </cell>
        </row>
        <row r="2974">
          <cell r="B2974" t="str">
            <v>Kərimov Bəxtiyar Vahid</v>
          </cell>
          <cell r="C2974" t="str">
            <v>Ödəniş biznesinin mühəndislik ekspert mərkəzi</v>
          </cell>
          <cell r="D2974" t="str">
            <v>Softvvare chapter</v>
          </cell>
          <cell r="E2974" t="str">
            <v>#</v>
          </cell>
          <cell r="F2974" t="str">
            <v>Backend developer</v>
          </cell>
          <cell r="G2974" t="str">
            <v>A</v>
          </cell>
          <cell r="H2974">
            <v>45826</v>
          </cell>
        </row>
        <row r="2975">
          <cell r="B2975" t="str">
            <v>Popov Vladislav Sergeyeviç</v>
          </cell>
          <cell r="C2975" t="str">
            <v>Ödəniş biznesinin mühəndislik ekspert mərkəzi</v>
          </cell>
          <cell r="D2975" t="str">
            <v>Softvvare chapter</v>
          </cell>
          <cell r="E2975" t="str">
            <v>#</v>
          </cell>
          <cell r="F2975" t="str">
            <v>Backend developer</v>
          </cell>
          <cell r="G2975" t="str">
            <v>A</v>
          </cell>
          <cell r="H2975">
            <v>45792</v>
          </cell>
        </row>
        <row r="2976">
          <cell r="B2976" t="str">
            <v>Quluzadə Ülvi Yalçın</v>
          </cell>
          <cell r="C2976" t="str">
            <v>Ödəniş biznesinin mühəndislik ekspert mərkəzi</v>
          </cell>
          <cell r="D2976" t="str">
            <v>Softvvare chapter</v>
          </cell>
          <cell r="E2976" t="str">
            <v>#</v>
          </cell>
          <cell r="F2976" t="str">
            <v>Backend developer</v>
          </cell>
          <cell r="G2976" t="str">
            <v>A</v>
          </cell>
          <cell r="H2976">
            <v>46136</v>
          </cell>
        </row>
        <row r="2977">
          <cell r="B2977" t="str">
            <v>Allahverdiyev Elmin Rafiq</v>
          </cell>
          <cell r="C2977" t="str">
            <v>Ödəniş biznesinin mühəndislik ekspert mərkəzi</v>
          </cell>
          <cell r="D2977" t="str">
            <v>Softvvare chapter</v>
          </cell>
          <cell r="E2977" t="str">
            <v>#</v>
          </cell>
          <cell r="F2977" t="str">
            <v>Tech lead</v>
          </cell>
          <cell r="G2977" t="str">
            <v>A</v>
          </cell>
          <cell r="H2977">
            <v>44147</v>
          </cell>
        </row>
        <row r="2978">
          <cell r="B2978" t="str">
            <v>Novruzov Eldar Rafiq</v>
          </cell>
          <cell r="C2978" t="str">
            <v>Ödəniş biznesinin mühəndislik ekspert mərkəzi</v>
          </cell>
          <cell r="D2978" t="str">
            <v>Softvvare chapter</v>
          </cell>
          <cell r="E2978" t="str">
            <v>#</v>
          </cell>
          <cell r="F2978" t="str">
            <v>Tech lead</v>
          </cell>
          <cell r="G2978" t="str">
            <v>A</v>
          </cell>
          <cell r="H2978">
            <v>44230</v>
          </cell>
        </row>
        <row r="2979">
          <cell r="B2979" t="str">
            <v>Hüseynov Nurlan Ədalət</v>
          </cell>
          <cell r="C2979" t="str">
            <v>Mühəndislik və texnoloji platformalar ekspert mərkəzi</v>
          </cell>
          <cell r="D2979" t="str">
            <v>Proqram mühəndisliyi funksional sahəsi</v>
          </cell>
          <cell r="E2979" t="str">
            <v>#</v>
          </cell>
          <cell r="F2979" t="str">
            <v>Backend developer</v>
          </cell>
          <cell r="G2979" t="str">
            <v>A</v>
          </cell>
          <cell r="H2979">
            <v>44718</v>
          </cell>
        </row>
        <row r="2980">
          <cell r="B2980" t="str">
            <v>Məmmədov Nurlan Əli</v>
          </cell>
          <cell r="C2980" t="str">
            <v>Mühəndislik və texnoloji platformalar ekspert mərkəzi</v>
          </cell>
          <cell r="D2980" t="str">
            <v>Proqram mühəndisliyi funksional sahəsi</v>
          </cell>
          <cell r="E2980" t="str">
            <v>#</v>
          </cell>
          <cell r="F2980" t="str">
            <v>Tech lead</v>
          </cell>
          <cell r="G2980" t="str">
            <v>A</v>
          </cell>
          <cell r="H2980">
            <v>46065</v>
          </cell>
        </row>
        <row r="2981">
          <cell r="B2981" t="str">
            <v>Alqayev Taleh Tahir</v>
          </cell>
          <cell r="C2981" t="str">
            <v>Ödəniş biznesinin mühəndislik ekspert mərkəzi</v>
          </cell>
          <cell r="D2981" t="str">
            <v>Softvvare chapter</v>
          </cell>
          <cell r="E2981" t="str">
            <v>#</v>
          </cell>
          <cell r="F2981" t="str">
            <v>Tech lead</v>
          </cell>
          <cell r="G2981" t="str">
            <v>A</v>
          </cell>
          <cell r="H2981">
            <v>45593</v>
          </cell>
        </row>
        <row r="2982">
          <cell r="B2982" t="str">
            <v>Qazıxanov Ceyhun Gülməhəmməd</v>
          </cell>
          <cell r="C2982" t="str">
            <v>Ödəniş biznesinin mühəndislik ekspert mərkəzi</v>
          </cell>
          <cell r="D2982" t="str">
            <v>Softvvare chapter</v>
          </cell>
          <cell r="E2982" t="str">
            <v>#</v>
          </cell>
          <cell r="F2982" t="str">
            <v>Tech lead</v>
          </cell>
          <cell r="G2982" t="str">
            <v>A</v>
          </cell>
          <cell r="H2982">
            <v>45722</v>
          </cell>
        </row>
        <row r="2983">
          <cell r="B2983" t="str">
            <v>Şükürov Elgün Saleh</v>
          </cell>
          <cell r="C2983" t="str">
            <v>Ödəniş biznesinin mühəndislik ekspert mərkəzi</v>
          </cell>
          <cell r="D2983" t="str">
            <v>Softvvare chapter</v>
          </cell>
          <cell r="E2983" t="str">
            <v>#</v>
          </cell>
          <cell r="F2983" t="str">
            <v>Backend developer</v>
          </cell>
          <cell r="G2983" t="str">
            <v>A</v>
          </cell>
          <cell r="H2983">
            <v>46063</v>
          </cell>
        </row>
        <row r="2984">
          <cell r="B2984" t="str">
            <v>Zeynalov Elgiz Hafiz</v>
          </cell>
          <cell r="C2984" t="str">
            <v>Ödəniş biznesinin mühəndislik ekspert mərkəzi</v>
          </cell>
          <cell r="D2984" t="str">
            <v>Softvvare chapter</v>
          </cell>
          <cell r="E2984" t="str">
            <v>#</v>
          </cell>
          <cell r="F2984" t="str">
            <v>Backend developer</v>
          </cell>
          <cell r="G2984" t="str">
            <v>A</v>
          </cell>
          <cell r="H2984">
            <v>46133</v>
          </cell>
        </row>
        <row r="2985">
          <cell r="B2985" t="str">
            <v>Cəfərov Rəsul Şahin</v>
          </cell>
          <cell r="C2985" t="str">
            <v>Ödəniş biznesinin mühəndislik ekspert mərkəzi</v>
          </cell>
          <cell r="D2985" t="str">
            <v>Softvvare chapter</v>
          </cell>
          <cell r="E2985" t="str">
            <v>#</v>
          </cell>
          <cell r="F2985" t="str">
            <v>Funksional lider</v>
          </cell>
          <cell r="G2985" t="str">
            <v>A</v>
          </cell>
          <cell r="H2985">
            <v>46136</v>
          </cell>
          <cell r="I2985" t="str">
            <v>Bir Payment</v>
          </cell>
        </row>
        <row r="2986">
          <cell r="B2986" t="str">
            <v>Nəsirov İlqar Rəsul</v>
          </cell>
          <cell r="C2986" t="str">
            <v>Ödəniş biznesinin mühəndislik ekspert mərkəzi</v>
          </cell>
          <cell r="D2986" t="str">
            <v>Softvvare chapter</v>
          </cell>
          <cell r="E2986" t="str">
            <v>#</v>
          </cell>
          <cell r="F2986" t="str">
            <v>Backend developer</v>
          </cell>
          <cell r="G2986" t="str">
            <v>A</v>
          </cell>
          <cell r="H2986">
            <v>45496</v>
          </cell>
        </row>
        <row r="2987">
          <cell r="B2987" t="str">
            <v>Həsənli Musa Böyükağa</v>
          </cell>
          <cell r="C2987" t="str">
            <v>Ödəniş biznesinin mühəndislik ekspert mərkəzi</v>
          </cell>
          <cell r="D2987" t="str">
            <v>Softvvare chapter</v>
          </cell>
          <cell r="E2987" t="str">
            <v>#</v>
          </cell>
          <cell r="F2987" t="str">
            <v>Backend developer</v>
          </cell>
          <cell r="G2987" t="str">
            <v>A</v>
          </cell>
          <cell r="H2987">
            <v>45931</v>
          </cell>
        </row>
        <row r="2988">
          <cell r="B2988" t="str">
            <v>Vəlibəyli İdris Firdovsi</v>
          </cell>
          <cell r="C2988" t="str">
            <v>Ödəniş biznesinin mühəndislik ekspert mərkəzi</v>
          </cell>
          <cell r="D2988" t="str">
            <v>Softvvare chapter</v>
          </cell>
          <cell r="E2988" t="str">
            <v>#</v>
          </cell>
          <cell r="F2988" t="str">
            <v>Backend developer</v>
          </cell>
          <cell r="G2988" t="str">
            <v>A</v>
          </cell>
          <cell r="H2988">
            <v>46029</v>
          </cell>
        </row>
        <row r="2989">
          <cell r="B2989" t="str">
            <v>Qəhrəmanov Rüstəm Zalış</v>
          </cell>
          <cell r="C2989" t="str">
            <v>Ödəniş biznesinin mühəndislik ekspert mərkəzi</v>
          </cell>
          <cell r="D2989" t="str">
            <v>Softvvare chapter</v>
          </cell>
          <cell r="E2989" t="str">
            <v>#</v>
          </cell>
          <cell r="F2989" t="str">
            <v>Tech lead</v>
          </cell>
          <cell r="G2989" t="str">
            <v>A</v>
          </cell>
          <cell r="H2989">
            <v>45755</v>
          </cell>
        </row>
        <row r="2990">
          <cell r="B2990" t="str">
            <v>Xəlilov Elnur Hakim</v>
          </cell>
          <cell r="C2990" t="str">
            <v>Ödəniş biznesinin mühəndislik ekspert mərkəzi</v>
          </cell>
          <cell r="D2990" t="str">
            <v>Softvvare chapter</v>
          </cell>
          <cell r="E2990" t="str">
            <v>#</v>
          </cell>
          <cell r="F2990" t="str">
            <v>Tech lead</v>
          </cell>
          <cell r="G2990" t="str">
            <v>A</v>
          </cell>
          <cell r="H2990">
            <v>45973</v>
          </cell>
        </row>
        <row r="2991">
          <cell r="B2991" t="str">
            <v>Hüseynova Aytac İmam</v>
          </cell>
          <cell r="C2991" t="str">
            <v>Ödəniş biznesinin mühəndislik ekspert mərkəzi</v>
          </cell>
          <cell r="D2991" t="str">
            <v>Softvvare chapter</v>
          </cell>
          <cell r="E2991" t="str">
            <v>#</v>
          </cell>
          <cell r="F2991" t="str">
            <v>Backend developer</v>
          </cell>
          <cell r="G2991" t="str">
            <v>A</v>
          </cell>
          <cell r="H2991">
            <v>43349</v>
          </cell>
        </row>
        <row r="2992">
          <cell r="B2992" t="str">
            <v>İsaxanlı Kənan İsaxan</v>
          </cell>
          <cell r="C2992" t="str">
            <v>Ödəniş biznesinin mühəndislik ekspert mərkəzi</v>
          </cell>
          <cell r="D2992" t="str">
            <v>Softvvare chapter</v>
          </cell>
          <cell r="E2992" t="str">
            <v>#</v>
          </cell>
          <cell r="F2992" t="str">
            <v>Backend developer</v>
          </cell>
          <cell r="G2992" t="str">
            <v>A</v>
          </cell>
          <cell r="H2992">
            <v>45901</v>
          </cell>
        </row>
        <row r="2993">
          <cell r="B2993" t="str">
            <v>Mehdiyev Süleyman Elxan</v>
          </cell>
          <cell r="C2993" t="str">
            <v>Ödəniş biznesinin mühəndislik ekspert mərkəzi</v>
          </cell>
          <cell r="D2993" t="str">
            <v>Softvvare chapter</v>
          </cell>
          <cell r="E2993" t="str">
            <v>#</v>
          </cell>
          <cell r="F2993" t="str">
            <v>Backend developer</v>
          </cell>
          <cell r="G2993" t="str">
            <v>A</v>
          </cell>
          <cell r="H2993">
            <v>45866</v>
          </cell>
        </row>
        <row r="2994">
          <cell r="B2994" t="str">
            <v>Kərimzadə Abuzər Əbülfət</v>
          </cell>
          <cell r="C2994" t="str">
            <v>Ödəniş biznesinin mühəndislik ekspert mərkəzi</v>
          </cell>
          <cell r="D2994" t="str">
            <v>Softvvare chapter</v>
          </cell>
          <cell r="E2994" t="str">
            <v>#</v>
          </cell>
          <cell r="F2994" t="str">
            <v>Tech Lead</v>
          </cell>
          <cell r="G2994" t="str">
            <v>A</v>
          </cell>
          <cell r="H2994">
            <v>45726</v>
          </cell>
        </row>
        <row r="2995">
          <cell r="B2995" t="str">
            <v>Abbasov Mirəli Elman</v>
          </cell>
          <cell r="C2995" t="str">
            <v>Ödəniş biznesinin mühəndislik ekspert mərkəzi</v>
          </cell>
          <cell r="D2995" t="str">
            <v>Softvvare chapter</v>
          </cell>
          <cell r="E2995" t="str">
            <v>#</v>
          </cell>
          <cell r="F2995" t="str">
            <v>Backend developer</v>
          </cell>
          <cell r="G2995" t="str">
            <v>A</v>
          </cell>
          <cell r="H2995">
            <v>45761</v>
          </cell>
        </row>
        <row r="2996">
          <cell r="B2996" t="str">
            <v>Hüseynzadə Əlşan Əlizamin</v>
          </cell>
          <cell r="C2996" t="str">
            <v>FinTech mühəndislik ekspert mərkəzi</v>
          </cell>
          <cell r="D2996" t="str">
            <v>Softvvare chapter</v>
          </cell>
          <cell r="E2996" t="str">
            <v>#</v>
          </cell>
          <cell r="F2996" t="str">
            <v>Backend developer</v>
          </cell>
          <cell r="G2996" t="str">
            <v>A</v>
          </cell>
          <cell r="H2996">
            <v>44139</v>
          </cell>
        </row>
        <row r="2997">
          <cell r="B2997" t="str">
            <v>Əliağayev Rahil Rahim</v>
          </cell>
          <cell r="C2997" t="str">
            <v>Ödəniş biznesinin mühəndislik ekspert mərkəzi</v>
          </cell>
          <cell r="D2997" t="str">
            <v>Softvvare chapter</v>
          </cell>
          <cell r="E2997" t="str">
            <v>#</v>
          </cell>
          <cell r="F2997" t="str">
            <v>Backend developer</v>
          </cell>
          <cell r="G2997" t="str">
            <v>A</v>
          </cell>
          <cell r="H2997">
            <v>43516</v>
          </cell>
        </row>
        <row r="2998">
          <cell r="B2998" t="str">
            <v>Mahmudov Hikmət Lətif</v>
          </cell>
          <cell r="C2998" t="str">
            <v>Ödəniş biznesinin mühəndislik ekspert mərkəzi</v>
          </cell>
          <cell r="D2998" t="str">
            <v>Softvvare chapter</v>
          </cell>
          <cell r="E2998" t="str">
            <v>#</v>
          </cell>
          <cell r="F2998" t="str">
            <v>Backend developer</v>
          </cell>
          <cell r="G2998" t="str">
            <v>A</v>
          </cell>
          <cell r="H2998">
            <v>45516</v>
          </cell>
        </row>
        <row r="2999">
          <cell r="B2999" t="str">
            <v>Süleymanlı Emil Qəhrəman</v>
          </cell>
          <cell r="C2999" t="str">
            <v>Ödəniş biznesinin mühəndislik ekspert mərkəzi</v>
          </cell>
          <cell r="D2999" t="str">
            <v>Softvvare chapter</v>
          </cell>
          <cell r="E2999" t="str">
            <v>#</v>
          </cell>
          <cell r="F2999" t="str">
            <v>Tech lead</v>
          </cell>
          <cell r="G2999" t="str">
            <v>A</v>
          </cell>
          <cell r="H2999">
            <v>44854</v>
          </cell>
        </row>
        <row r="3000">
          <cell r="B3000" t="str">
            <v>Süleymanov Asiman Zakir</v>
          </cell>
          <cell r="C3000" t="str">
            <v>FinTech arxitektura və İT idarəetmə prosesi</v>
          </cell>
          <cell r="D3000" t="str">
            <v>#</v>
          </cell>
          <cell r="E3000" t="str">
            <v>#</v>
          </cell>
          <cell r="F3000" t="str">
            <v>Funksional Lider</v>
          </cell>
          <cell r="G3000" t="str">
            <v>A</v>
          </cell>
          <cell r="H3000">
            <v>45624</v>
          </cell>
        </row>
        <row r="3001">
          <cell r="B3001" t="str">
            <v>Ağayeva Nərgiz Vüqar</v>
          </cell>
          <cell r="C3001" t="str">
            <v>FinTech arxitektura və İT idarəetmə prosesi</v>
          </cell>
          <cell r="D3001" t="str">
            <v>#</v>
          </cell>
          <cell r="E3001" t="str">
            <v>#</v>
          </cell>
          <cell r="F3001" t="str">
            <v>İT proseslərinin idarə edilməsi üzrə ekspert</v>
          </cell>
          <cell r="G3001" t="str">
            <v>A</v>
          </cell>
          <cell r="H3001">
            <v>46178</v>
          </cell>
        </row>
        <row r="3002">
          <cell r="B3002" t="str">
            <v>Rəhmanov Həsən Zahir</v>
          </cell>
          <cell r="C3002" t="str">
            <v>FinTech arxitektura və İT idarəetmə prosesi</v>
          </cell>
          <cell r="D3002" t="str">
            <v>#</v>
          </cell>
          <cell r="E3002" t="str">
            <v>#</v>
          </cell>
          <cell r="F3002" t="str">
            <v>Korporativ arxitektor</v>
          </cell>
          <cell r="G3002" t="str">
            <v>A</v>
          </cell>
          <cell r="H3002">
            <v>46212</v>
          </cell>
        </row>
        <row r="3003">
          <cell r="B3003" t="str">
            <v>Quluzadə Fərid Arif</v>
          </cell>
          <cell r="C3003" t="str">
            <v>Ödəniş biznesinin mühəndislik ekspert mərkəzi</v>
          </cell>
          <cell r="D3003" t="str">
            <v>Softvvare chapter</v>
          </cell>
          <cell r="E3003" t="str">
            <v>#</v>
          </cell>
          <cell r="F3003" t="str">
            <v>Tech lead</v>
          </cell>
          <cell r="G3003" t="str">
            <v>A</v>
          </cell>
          <cell r="H3003">
            <v>44578</v>
          </cell>
        </row>
        <row r="3004">
          <cell r="B3004" t="str">
            <v>Eminov Pərviz İman</v>
          </cell>
          <cell r="C3004" t="str">
            <v>Ödəniş biznesinin mühəndislik ekspert mərkəzi</v>
          </cell>
          <cell r="D3004" t="str">
            <v>Softvvare chapter</v>
          </cell>
          <cell r="E3004" t="str">
            <v>#</v>
          </cell>
          <cell r="F3004" t="str">
            <v>Tech lead</v>
          </cell>
          <cell r="G3004" t="str">
            <v>A</v>
          </cell>
          <cell r="H3004">
            <v>46245</v>
          </cell>
        </row>
        <row r="3005">
          <cell r="B3005" t="str">
            <v>Əsədzadə Cümşüd Məhəbbət</v>
          </cell>
          <cell r="C3005" t="str">
            <v>Ödəniş biznesinin mühəndislik ekspert mərkəzi</v>
          </cell>
          <cell r="D3005" t="str">
            <v>Softvvare chapter</v>
          </cell>
          <cell r="E3005" t="str">
            <v>#</v>
          </cell>
          <cell r="F3005" t="str">
            <v>Backend developer</v>
          </cell>
          <cell r="G3005" t="str">
            <v>A</v>
          </cell>
          <cell r="H3005">
            <v>45888</v>
          </cell>
        </row>
        <row r="3006">
          <cell r="B3006" t="str">
            <v>Mahmudov Elgün Mədəd</v>
          </cell>
          <cell r="C3006" t="str">
            <v>Ödəniş biznesinin mühəndislik ekspert mərkəzi</v>
          </cell>
          <cell r="D3006" t="str">
            <v>Softvvare chapter</v>
          </cell>
          <cell r="E3006" t="str">
            <v>#</v>
          </cell>
          <cell r="F3006" t="str">
            <v>Backend developer</v>
          </cell>
          <cell r="G3006" t="str">
            <v>A</v>
          </cell>
          <cell r="H3006">
            <v>45827</v>
          </cell>
        </row>
        <row r="3007">
          <cell r="B3007" t="str">
            <v>Əhmədli Kənan Fazil</v>
          </cell>
          <cell r="C3007" t="str">
            <v>Ödəniş biznesinin mühəndislik ekspert mərkəzi</v>
          </cell>
          <cell r="D3007" t="str">
            <v>Softvvare chapter</v>
          </cell>
          <cell r="E3007" t="str">
            <v>#</v>
          </cell>
          <cell r="F3007" t="str">
            <v>Backend developer</v>
          </cell>
          <cell r="G3007" t="str">
            <v>A</v>
          </cell>
          <cell r="H3007">
            <v>44582</v>
          </cell>
        </row>
        <row r="3008">
          <cell r="B3008" t="str">
            <v>İsgəndərov Nadir Rüfət</v>
          </cell>
          <cell r="C3008" t="str">
            <v>Mühəndislik və texnoloji platformalar ekspert mərkəzi</v>
          </cell>
          <cell r="D3008" t="str">
            <v>Proqram mühəndisliyi funksional sahəsi</v>
          </cell>
          <cell r="E3008" t="str">
            <v>#</v>
          </cell>
          <cell r="F3008" t="str">
            <v>Backend developer</v>
          </cell>
          <cell r="G3008" t="str">
            <v>A</v>
          </cell>
          <cell r="H3008">
            <v>44854</v>
          </cell>
        </row>
        <row r="3009">
          <cell r="B3009" t="str">
            <v>Abbaslı Əli İlham</v>
          </cell>
          <cell r="C3009" t="str">
            <v>Mühəndislik və texnoloji platformalar ekspert mərkəzi</v>
          </cell>
          <cell r="D3009" t="str">
            <v>Proqram mühəndisliyi funksional sahəsi</v>
          </cell>
          <cell r="E3009" t="str">
            <v>#</v>
          </cell>
          <cell r="F3009" t="str">
            <v>Backend developer</v>
          </cell>
          <cell r="G3009" t="str">
            <v>A</v>
          </cell>
          <cell r="H3009">
            <v>45936</v>
          </cell>
        </row>
        <row r="3010">
          <cell r="B3010" t="str">
            <v>Nəsirli Əbülfət Faiq</v>
          </cell>
          <cell r="C3010" t="str">
            <v>FinTech mühəndislik ekspert mərkəzi</v>
          </cell>
          <cell r="D3010" t="str">
            <v>Softvvare chapter</v>
          </cell>
          <cell r="E3010" t="str">
            <v>#</v>
          </cell>
          <cell r="F3010" t="str">
            <v>Tech lead</v>
          </cell>
          <cell r="G3010" t="str">
            <v>A</v>
          </cell>
          <cell r="H3010">
            <v>44908</v>
          </cell>
        </row>
        <row r="3011">
          <cell r="B3011" t="str">
            <v>Ələkbərov Ələkbər Saqif</v>
          </cell>
          <cell r="C3011" t="str">
            <v>FinTech mühəndislik ekspert mərkəzi</v>
          </cell>
          <cell r="D3011" t="str">
            <v>Softvvare chapter</v>
          </cell>
          <cell r="E3011" t="str">
            <v>#</v>
          </cell>
          <cell r="F3011" t="str">
            <v>Frontend developer</v>
          </cell>
          <cell r="G3011" t="str">
            <v>A</v>
          </cell>
          <cell r="H3011">
            <v>45548</v>
          </cell>
        </row>
        <row r="3012">
          <cell r="B3012" t="str">
            <v>Seyfullayev Emin Şəmsəddin</v>
          </cell>
          <cell r="C3012" t="str">
            <v>FinTech mühəndislik ekspert mərkəzi</v>
          </cell>
          <cell r="D3012" t="str">
            <v>Softvvare chapter</v>
          </cell>
          <cell r="E3012" t="str">
            <v>#</v>
          </cell>
          <cell r="F3012" t="str">
            <v>Sistem developer</v>
          </cell>
          <cell r="G3012" t="str">
            <v>A</v>
          </cell>
          <cell r="H3012">
            <v>45324</v>
          </cell>
        </row>
        <row r="3013">
          <cell r="B3013" t="str">
            <v>Siracov Ümid Aydın</v>
          </cell>
          <cell r="C3013" t="str">
            <v>FinTech mühəndislik ekspert mərkəzi</v>
          </cell>
          <cell r="D3013" t="str">
            <v>Softvvare chapter</v>
          </cell>
          <cell r="E3013" t="str">
            <v>#</v>
          </cell>
          <cell r="F3013" t="str">
            <v>Funksional Lider</v>
          </cell>
          <cell r="G3013" t="str">
            <v>A</v>
          </cell>
          <cell r="H3013">
            <v>44124</v>
          </cell>
        </row>
        <row r="3014">
          <cell r="B3014" t="str">
            <v>Rəhimli Pərvin Vaqif</v>
          </cell>
          <cell r="C3014" t="str">
            <v>FinTech mühəndislik ekspert mərkəzi</v>
          </cell>
          <cell r="D3014" t="str">
            <v>Softvvare chapter</v>
          </cell>
          <cell r="E3014" t="str">
            <v>#</v>
          </cell>
          <cell r="F3014" t="str">
            <v>Sistem developer</v>
          </cell>
          <cell r="G3014" t="str">
            <v>A</v>
          </cell>
          <cell r="H3014">
            <v>45495</v>
          </cell>
        </row>
        <row r="3015">
          <cell r="B3015" t="str">
            <v>İsmayılov Bahad Niyazi</v>
          </cell>
          <cell r="C3015" t="str">
            <v>FinTech mühəndislik ekspert mərkəzi</v>
          </cell>
          <cell r="D3015" t="str">
            <v>Softvvare chapter</v>
          </cell>
          <cell r="E3015" t="str">
            <v>#</v>
          </cell>
          <cell r="F3015" t="str">
            <v>Sistem developer</v>
          </cell>
          <cell r="G3015" t="str">
            <v>A</v>
          </cell>
          <cell r="H3015">
            <v>45881</v>
          </cell>
        </row>
        <row r="3016">
          <cell r="B3016" t="str">
            <v>Əhmədov Musa Tərlan</v>
          </cell>
          <cell r="C3016" t="str">
            <v>FinTech mühəndislik ekspert mərkəzi</v>
          </cell>
          <cell r="D3016" t="str">
            <v>Softvvare chapter</v>
          </cell>
          <cell r="E3016" t="str">
            <v>#</v>
          </cell>
          <cell r="F3016" t="str">
            <v>Sistem developer</v>
          </cell>
          <cell r="G3016" t="str">
            <v>A</v>
          </cell>
          <cell r="H3016">
            <v>45896</v>
          </cell>
        </row>
        <row r="3017">
          <cell r="B3017" t="str">
            <v>Mahmudova Nigar Elxan</v>
          </cell>
          <cell r="C3017" t="str">
            <v>FinTech mühəndislik ekspert mərkəzi</v>
          </cell>
          <cell r="D3017" t="str">
            <v>Softvvare chapter</v>
          </cell>
          <cell r="E3017" t="str">
            <v>#</v>
          </cell>
          <cell r="F3017" t="str">
            <v>Sistem developer</v>
          </cell>
          <cell r="G3017" t="str">
            <v>A</v>
          </cell>
          <cell r="H3017">
            <v>45497</v>
          </cell>
        </row>
        <row r="3018">
          <cell r="B3018" t="str">
            <v>Abdullayev Yunis Vidadi</v>
          </cell>
          <cell r="C3018" t="str">
            <v>Ödəniş biznesinin mühəndislik ekspert mərkəzi</v>
          </cell>
          <cell r="D3018" t="str">
            <v>Softvvare chapter</v>
          </cell>
          <cell r="E3018" t="str">
            <v>#</v>
          </cell>
          <cell r="F3018" t="str">
            <v>Sistem developer</v>
          </cell>
          <cell r="G3018" t="str">
            <v>A</v>
          </cell>
          <cell r="H3018">
            <v>44321</v>
          </cell>
        </row>
        <row r="3019">
          <cell r="B3019" t="str">
            <v>Yunusov Etibar Bəxtiyar</v>
          </cell>
          <cell r="C3019" t="str">
            <v>FinTech mühəndislik ekspert mərkəzi</v>
          </cell>
          <cell r="D3019" t="str">
            <v>Softvvare chapter</v>
          </cell>
          <cell r="E3019" t="str">
            <v>#</v>
          </cell>
          <cell r="F3019" t="str">
            <v>Sistem developer</v>
          </cell>
          <cell r="G3019" t="str">
            <v>A</v>
          </cell>
          <cell r="H3019">
            <v>44321</v>
          </cell>
        </row>
        <row r="3020">
          <cell r="B3020" t="str">
            <v>Orucov Asif Arif</v>
          </cell>
          <cell r="C3020" t="str">
            <v>FinTech mühəndislik ekspert mərkəzi</v>
          </cell>
          <cell r="D3020" t="str">
            <v>Softvvare chapter</v>
          </cell>
          <cell r="E3020" t="str">
            <v>#</v>
          </cell>
          <cell r="F3020" t="str">
            <v>Sistem developer</v>
          </cell>
          <cell r="G3020" t="str">
            <v>A</v>
          </cell>
          <cell r="H3020">
            <v>45251</v>
          </cell>
        </row>
        <row r="3021">
          <cell r="B3021" t="str">
            <v>Şahbazov Məmmədəli Azad</v>
          </cell>
          <cell r="C3021" t="str">
            <v>FinTech mühəndislik ekspert mərkəzi</v>
          </cell>
          <cell r="D3021" t="str">
            <v>Softvvare chapter</v>
          </cell>
          <cell r="E3021" t="str">
            <v>#</v>
          </cell>
          <cell r="F3021" t="str">
            <v>Funksional Lider</v>
          </cell>
          <cell r="G3021" t="str">
            <v>A</v>
          </cell>
          <cell r="H3021">
            <v>43692</v>
          </cell>
        </row>
        <row r="3022">
          <cell r="B3022" t="str">
            <v>Abdullayeva Ülviyyə Dilqəm</v>
          </cell>
          <cell r="C3022" t="str">
            <v>FinTech mühəndislik ekspert mərkəzi</v>
          </cell>
          <cell r="D3022" t="str">
            <v>Softvvare chapter</v>
          </cell>
          <cell r="E3022" t="str">
            <v>#</v>
          </cell>
          <cell r="F3022" t="str">
            <v>Backend developer</v>
          </cell>
          <cell r="G3022" t="str">
            <v>A</v>
          </cell>
          <cell r="H3022">
            <v>43816</v>
          </cell>
        </row>
        <row r="3023">
          <cell r="B3023" t="str">
            <v>Hacıyev Elnur Elçin</v>
          </cell>
          <cell r="C3023" t="str">
            <v>FinTech mühəndislik ekspert mərkəzi</v>
          </cell>
          <cell r="D3023" t="str">
            <v>Softvvare chapter</v>
          </cell>
          <cell r="E3023" t="str">
            <v>#</v>
          </cell>
          <cell r="F3023" t="str">
            <v>Backend developer</v>
          </cell>
          <cell r="G3023" t="str">
            <v>A</v>
          </cell>
          <cell r="H3023">
            <v>45936</v>
          </cell>
        </row>
        <row r="3024">
          <cell r="B3024" t="str">
            <v>Məhərrəmov Rövşən Vaqif</v>
          </cell>
          <cell r="C3024" t="str">
            <v>FinTech mühəndislik ekspert mərkəzi</v>
          </cell>
          <cell r="D3024" t="str">
            <v>Softvvare chapter</v>
          </cell>
          <cell r="E3024" t="str">
            <v>#</v>
          </cell>
          <cell r="F3024" t="str">
            <v>Backend developer</v>
          </cell>
          <cell r="G3024" t="str">
            <v>A</v>
          </cell>
          <cell r="H3024">
            <v>45789</v>
          </cell>
        </row>
        <row r="3025">
          <cell r="B3025" t="str">
            <v>Balıyev Fərid Telman</v>
          </cell>
          <cell r="C3025" t="str">
            <v>FinTech mühəndislik ekspert mərkəzi</v>
          </cell>
          <cell r="D3025" t="str">
            <v>Softvvare chapter</v>
          </cell>
          <cell r="E3025" t="str">
            <v>#</v>
          </cell>
          <cell r="F3025" t="str">
            <v>Backend developer</v>
          </cell>
          <cell r="G3025" t="str">
            <v>A</v>
          </cell>
          <cell r="H3025">
            <v>45912</v>
          </cell>
        </row>
        <row r="3026">
          <cell r="B3026" t="str">
            <v>Hacıyev Yusif Cavanşir</v>
          </cell>
          <cell r="C3026" t="str">
            <v>FinTech mühəndislik ekspert mərkəzi</v>
          </cell>
          <cell r="D3026" t="str">
            <v>Softvvare chapter</v>
          </cell>
          <cell r="E3026" t="str">
            <v>#</v>
          </cell>
          <cell r="F3026" t="str">
            <v>Tech Lead</v>
          </cell>
          <cell r="G3026" t="str">
            <v>A</v>
          </cell>
          <cell r="H3026">
            <v>45163</v>
          </cell>
        </row>
        <row r="3027">
          <cell r="B3027" t="str">
            <v>Səlimzadə Natiq Xurşud</v>
          </cell>
          <cell r="C3027" t="str">
            <v>Ödəniş biznesinin mühəndislik ekspert mərkəzi</v>
          </cell>
          <cell r="D3027" t="str">
            <v>Softvvare chapter</v>
          </cell>
          <cell r="E3027" t="str">
            <v>#</v>
          </cell>
          <cell r="F3027" t="str">
            <v>Tech lead</v>
          </cell>
          <cell r="G3027" t="str">
            <v>A</v>
          </cell>
          <cell r="H3027">
            <v>44229</v>
          </cell>
        </row>
        <row r="3028">
          <cell r="B3028" t="str">
            <v>Kazımov Yunus Şahin</v>
          </cell>
          <cell r="C3028" t="str">
            <v>FinTech mühəndislik ekspert mərkəzi</v>
          </cell>
          <cell r="D3028" t="str">
            <v>Softvvare chapter</v>
          </cell>
          <cell r="E3028" t="str">
            <v>#</v>
          </cell>
          <cell r="F3028" t="str">
            <v>Backend developer</v>
          </cell>
          <cell r="G3028" t="str">
            <v>A</v>
          </cell>
          <cell r="H3028">
            <v>45335</v>
          </cell>
        </row>
        <row r="3029">
          <cell r="B3029" t="str">
            <v>Abdullayev Rüfan İsmayıl</v>
          </cell>
          <cell r="C3029" t="str">
            <v>FinTech mühəndislik ekspert mərkəzi</v>
          </cell>
          <cell r="D3029" t="str">
            <v>Softvvare chapter</v>
          </cell>
          <cell r="E3029" t="str">
            <v>#</v>
          </cell>
          <cell r="F3029" t="str">
            <v>Backend developer</v>
          </cell>
          <cell r="G3029" t="str">
            <v>A</v>
          </cell>
          <cell r="H3029">
            <v>45089</v>
          </cell>
        </row>
        <row r="3030">
          <cell r="B3030" t="str">
            <v>Təhməzov Əsgər Vüqar</v>
          </cell>
          <cell r="C3030" t="str">
            <v>FinTech mühəndislik ekspert mərkəzi</v>
          </cell>
          <cell r="D3030" t="str">
            <v>Softvvare chapter</v>
          </cell>
          <cell r="E3030" t="str">
            <v>#</v>
          </cell>
          <cell r="F3030" t="str">
            <v>Backend developer</v>
          </cell>
          <cell r="G3030" t="str">
            <v>A</v>
          </cell>
          <cell r="H3030">
            <v>45482</v>
          </cell>
        </row>
        <row r="3031">
          <cell r="B3031" t="str">
            <v>Məmmədov Xətai Qalib</v>
          </cell>
          <cell r="C3031" t="str">
            <v>FinTech mühəndislik ekspert mərkəzi</v>
          </cell>
          <cell r="D3031" t="str">
            <v>Softvvare chapter</v>
          </cell>
          <cell r="E3031" t="str">
            <v>#</v>
          </cell>
          <cell r="F3031" t="str">
            <v>Backend developer</v>
          </cell>
          <cell r="G3031" t="str">
            <v>A</v>
          </cell>
          <cell r="H3031">
            <v>44740</v>
          </cell>
        </row>
        <row r="3032">
          <cell r="B3032" t="str">
            <v>Əhmədov Anar Nasir</v>
          </cell>
          <cell r="C3032" t="str">
            <v>FinTech mühəndislik ekspert mərkəzi</v>
          </cell>
          <cell r="D3032" t="str">
            <v>Softvvare chapter</v>
          </cell>
          <cell r="E3032" t="str">
            <v>#</v>
          </cell>
          <cell r="F3032" t="str">
            <v>Backend developer</v>
          </cell>
          <cell r="G3032" t="str">
            <v>A</v>
          </cell>
          <cell r="H3032">
            <v>43853</v>
          </cell>
        </row>
        <row r="3033">
          <cell r="B3033" t="str">
            <v>Zeynallı İlkin Tehran</v>
          </cell>
          <cell r="C3033" t="str">
            <v>FinTech mühəndislik ekspert mərkəzi</v>
          </cell>
          <cell r="D3033" t="str">
            <v>Softvvare chapter</v>
          </cell>
          <cell r="E3033" t="str">
            <v>#</v>
          </cell>
          <cell r="F3033" t="str">
            <v>Backend developer</v>
          </cell>
          <cell r="G3033" t="str">
            <v>A</v>
          </cell>
          <cell r="H3033">
            <v>44473</v>
          </cell>
        </row>
        <row r="3034">
          <cell r="B3034" t="str">
            <v>Novruzov Məlik Rüfət</v>
          </cell>
          <cell r="C3034" t="str">
            <v>FinTech mühəndislik ekspert mərkəzi</v>
          </cell>
          <cell r="D3034" t="str">
            <v>Softvvare chapter</v>
          </cell>
          <cell r="E3034" t="str">
            <v>#</v>
          </cell>
          <cell r="F3034" t="str">
            <v>Backend developer</v>
          </cell>
          <cell r="G3034" t="str">
            <v>A</v>
          </cell>
          <cell r="H3034">
            <v>45446</v>
          </cell>
        </row>
        <row r="3035">
          <cell r="B3035" t="str">
            <v>Əliyev Əli Cavanşir</v>
          </cell>
          <cell r="C3035" t="str">
            <v>FinTech mühəndislik ekspert mərkəzi</v>
          </cell>
          <cell r="D3035" t="str">
            <v>Softvvare chapter</v>
          </cell>
          <cell r="E3035" t="str">
            <v>#</v>
          </cell>
          <cell r="F3035" t="str">
            <v>Backend developer</v>
          </cell>
          <cell r="G3035" t="str">
            <v>A</v>
          </cell>
          <cell r="H3035">
            <v>45426</v>
          </cell>
        </row>
        <row r="3036">
          <cell r="B3036" t="str">
            <v>GULIEV GUSEIN</v>
          </cell>
          <cell r="C3036" t="str">
            <v>FinTech mühəndislik ekspert mərkəzi</v>
          </cell>
          <cell r="D3036" t="str">
            <v>Softvvare chapter</v>
          </cell>
          <cell r="E3036" t="str">
            <v>#</v>
          </cell>
          <cell r="F3036" t="str">
            <v>Tech lead</v>
          </cell>
          <cell r="G3036" t="str">
            <v>A</v>
          </cell>
          <cell r="H3036">
            <v>45558</v>
          </cell>
        </row>
        <row r="3037">
          <cell r="B3037" t="str">
            <v>Sabitov Rauf Faikoviç</v>
          </cell>
          <cell r="C3037" t="str">
            <v>Ödəniş biznesinin mühəndislik ekspert mərkəzi</v>
          </cell>
          <cell r="D3037" t="str">
            <v>Softvvare chapter</v>
          </cell>
          <cell r="E3037" t="str">
            <v>#</v>
          </cell>
          <cell r="F3037" t="str">
            <v>Backend developer</v>
          </cell>
          <cell r="G3037" t="str">
            <v>A</v>
          </cell>
          <cell r="H3037">
            <v>43028</v>
          </cell>
        </row>
        <row r="3038">
          <cell r="B3038" t="str">
            <v>İsayev Aydın İlqar</v>
          </cell>
          <cell r="C3038" t="str">
            <v>Ödəniş biznesinin mühəndislik ekspert mərkəzi</v>
          </cell>
          <cell r="D3038" t="str">
            <v>Softvvare chapter</v>
          </cell>
          <cell r="E3038" t="str">
            <v>#</v>
          </cell>
          <cell r="F3038" t="str">
            <v>Backend developer</v>
          </cell>
          <cell r="G3038" t="str">
            <v>A</v>
          </cell>
          <cell r="H3038">
            <v>46192</v>
          </cell>
          <cell r="I3038" t="str">
            <v>Bir Payment</v>
          </cell>
        </row>
        <row r="3039">
          <cell r="B3039" t="str">
            <v>Süleymanov Ülvü Pərviz</v>
          </cell>
          <cell r="C3039" t="str">
            <v>FinTech mühəndislik ekspert mərkəzi</v>
          </cell>
          <cell r="D3039" t="str">
            <v>Softvvare chapter</v>
          </cell>
          <cell r="E3039" t="str">
            <v>#</v>
          </cell>
          <cell r="F3039" t="str">
            <v>Backend developer</v>
          </cell>
          <cell r="G3039" t="str">
            <v>A</v>
          </cell>
          <cell r="H3039">
            <v>45866</v>
          </cell>
        </row>
        <row r="3040">
          <cell r="B3040" t="str">
            <v>Misirli Müslüm Yaqub</v>
          </cell>
          <cell r="C3040" t="str">
            <v>FinTech mühəndislik ekspert mərkəzi</v>
          </cell>
          <cell r="D3040" t="str">
            <v>Softvvare chapter</v>
          </cell>
          <cell r="E3040" t="str">
            <v>#</v>
          </cell>
          <cell r="F3040" t="str">
            <v>Backend developer</v>
          </cell>
          <cell r="G3040" t="str">
            <v>A</v>
          </cell>
          <cell r="H3040">
            <v>45602</v>
          </cell>
        </row>
        <row r="3041">
          <cell r="B3041" t="str">
            <v>Salahov Cavid Adil</v>
          </cell>
          <cell r="C3041" t="str">
            <v>Ödəniş biznesinin mühəndislik ekspert mərkəzi</v>
          </cell>
          <cell r="D3041" t="str">
            <v>Softvvare chapter</v>
          </cell>
          <cell r="E3041" t="str">
            <v>#</v>
          </cell>
          <cell r="F3041" t="str">
            <v>Backend developer</v>
          </cell>
          <cell r="G3041" t="str">
            <v>A</v>
          </cell>
          <cell r="H3041">
            <v>45756</v>
          </cell>
        </row>
        <row r="3042">
          <cell r="B3042" t="str">
            <v>Bayramov Namiq Vaqif</v>
          </cell>
          <cell r="C3042" t="str">
            <v>FinTech mühəndislik ekspert mərkəzi</v>
          </cell>
          <cell r="D3042" t="str">
            <v>Softvvare chapter</v>
          </cell>
          <cell r="E3042" t="str">
            <v>#</v>
          </cell>
          <cell r="F3042" t="str">
            <v>Backend developer</v>
          </cell>
          <cell r="G3042" t="str">
            <v>A</v>
          </cell>
          <cell r="H3042">
            <v>45768</v>
          </cell>
        </row>
        <row r="3043">
          <cell r="B3043" t="str">
            <v>Məmmədli Nigar Utarid</v>
          </cell>
          <cell r="C3043" t="str">
            <v>FinTech mühəndislik ekspert mərkəzi</v>
          </cell>
          <cell r="D3043" t="str">
            <v>Softvvare chapter</v>
          </cell>
          <cell r="E3043" t="str">
            <v>#</v>
          </cell>
          <cell r="F3043" t="str">
            <v>Backend developer</v>
          </cell>
          <cell r="G3043" t="str">
            <v>A</v>
          </cell>
          <cell r="H3043">
            <v>44882</v>
          </cell>
        </row>
        <row r="3044">
          <cell r="B3044" t="str">
            <v>Fərəcov Xəyal Mübariz</v>
          </cell>
          <cell r="C3044" t="str">
            <v>FinTech mühəndislik ekspert mərkəzi</v>
          </cell>
          <cell r="D3044" t="str">
            <v>Softvvare chapter</v>
          </cell>
          <cell r="E3044" t="str">
            <v>#</v>
          </cell>
          <cell r="F3044" t="str">
            <v>Backend developer</v>
          </cell>
          <cell r="G3044" t="str">
            <v>A</v>
          </cell>
          <cell r="H3044">
            <v>46114</v>
          </cell>
        </row>
        <row r="3045">
          <cell r="B3045" t="str">
            <v>Hacıyev Pənah Rəhman</v>
          </cell>
          <cell r="C3045" t="str">
            <v>FinTech mühəndislik ekspert mərkəzi</v>
          </cell>
          <cell r="D3045" t="str">
            <v>Softvvare chapter</v>
          </cell>
          <cell r="E3045" t="str">
            <v>#</v>
          </cell>
          <cell r="F3045" t="str">
            <v>Backend developer</v>
          </cell>
          <cell r="G3045" t="str">
            <v>A</v>
          </cell>
          <cell r="H3045">
            <v>45537</v>
          </cell>
        </row>
        <row r="3046">
          <cell r="B3046" t="str">
            <v>Səmədov Orxan Telman</v>
          </cell>
          <cell r="C3046" t="str">
            <v>FinTech mühəndislik ekspert mərkəzi</v>
          </cell>
          <cell r="D3046" t="str">
            <v>Softvvare chapter</v>
          </cell>
          <cell r="E3046" t="str">
            <v>#</v>
          </cell>
          <cell r="F3046" t="str">
            <v>Backend developer</v>
          </cell>
          <cell r="G3046" t="str">
            <v>A</v>
          </cell>
          <cell r="H3046">
            <v>45163</v>
          </cell>
        </row>
        <row r="3047">
          <cell r="B3047" t="str">
            <v>Əsədzadə Rahəddin Natiq</v>
          </cell>
          <cell r="C3047" t="str">
            <v>FinTech mühəndislik ekspert mərkəzi</v>
          </cell>
          <cell r="D3047" t="str">
            <v>Softvvare chapter</v>
          </cell>
          <cell r="E3047" t="str">
            <v>#</v>
          </cell>
          <cell r="F3047" t="str">
            <v>Funksional Lider</v>
          </cell>
          <cell r="G3047" t="str">
            <v>A</v>
          </cell>
          <cell r="H3047">
            <v>43692</v>
          </cell>
        </row>
        <row r="3048">
          <cell r="B3048" t="str">
            <v>Bağırov Murad Rasim</v>
          </cell>
          <cell r="C3048" t="str">
            <v>FinTech mühəndislik ekspert mərkəzi</v>
          </cell>
          <cell r="D3048" t="str">
            <v>Softvvare chapter</v>
          </cell>
          <cell r="E3048" t="str">
            <v>#</v>
          </cell>
          <cell r="F3048" t="str">
            <v>Backend developer</v>
          </cell>
          <cell r="G3048" t="str">
            <v>A</v>
          </cell>
          <cell r="H3048">
            <v>45306</v>
          </cell>
        </row>
        <row r="3049">
          <cell r="B3049" t="str">
            <v>Kərimov Emil Mahir</v>
          </cell>
          <cell r="C3049" t="str">
            <v>FinTech mühəndislik ekspert mərkəzi</v>
          </cell>
          <cell r="D3049" t="str">
            <v>Softvvare chapter</v>
          </cell>
          <cell r="E3049" t="str">
            <v>#</v>
          </cell>
          <cell r="F3049" t="str">
            <v>Backend developer</v>
          </cell>
          <cell r="G3049" t="str">
            <v>A</v>
          </cell>
          <cell r="H3049">
            <v>46014</v>
          </cell>
        </row>
        <row r="3050">
          <cell r="B3050" t="str">
            <v>Quluzadə Şahmar Elmar</v>
          </cell>
          <cell r="C3050" t="str">
            <v>FinTech mühəndislik ekspert mərkəzi</v>
          </cell>
          <cell r="D3050" t="str">
            <v>Softvvare chapter</v>
          </cell>
          <cell r="E3050" t="str">
            <v>#</v>
          </cell>
          <cell r="F3050" t="str">
            <v>Backend developer</v>
          </cell>
          <cell r="G3050" t="str">
            <v>A</v>
          </cell>
          <cell r="H3050">
            <v>45845</v>
          </cell>
        </row>
        <row r="3051">
          <cell r="B3051" t="str">
            <v>Ələkbərli Əli Həsən</v>
          </cell>
          <cell r="C3051" t="str">
            <v>FinTech mühəndislik ekspert mərkəzi</v>
          </cell>
          <cell r="D3051" t="str">
            <v>Softvvare chapter</v>
          </cell>
          <cell r="E3051" t="str">
            <v>#</v>
          </cell>
          <cell r="F3051" t="str">
            <v>Backend developer</v>
          </cell>
          <cell r="G3051" t="str">
            <v>A</v>
          </cell>
          <cell r="H3051">
            <v>45733</v>
          </cell>
        </row>
        <row r="3052">
          <cell r="B3052" t="str">
            <v>Yunusova Pərvanə Rahib</v>
          </cell>
          <cell r="C3052" t="str">
            <v>FinTech mühəndislik ekspert mərkəzi</v>
          </cell>
          <cell r="D3052" t="str">
            <v>Softvvare chapter</v>
          </cell>
          <cell r="E3052" t="str">
            <v>#</v>
          </cell>
          <cell r="F3052" t="str">
            <v>Backend developer</v>
          </cell>
          <cell r="G3052" t="str">
            <v>A</v>
          </cell>
          <cell r="H3052">
            <v>45664</v>
          </cell>
        </row>
        <row r="3053">
          <cell r="B3053" t="str">
            <v>Heydəroğlu İsa Heydər</v>
          </cell>
          <cell r="C3053" t="str">
            <v>FinTech mühəndislik ekspert mərkəzi</v>
          </cell>
          <cell r="D3053" t="str">
            <v>Softvvare chapter</v>
          </cell>
          <cell r="E3053" t="str">
            <v>#</v>
          </cell>
          <cell r="F3053" t="str">
            <v>Backend developer</v>
          </cell>
          <cell r="G3053" t="str">
            <v>A</v>
          </cell>
          <cell r="H3053">
            <v>45300</v>
          </cell>
        </row>
        <row r="3054">
          <cell r="B3054" t="str">
            <v>Həsənov Vüqar Laçın</v>
          </cell>
          <cell r="C3054" t="str">
            <v>FinTech mühəndislik ekspert mərkəzi</v>
          </cell>
          <cell r="D3054" t="str">
            <v>Softvvare chapter</v>
          </cell>
          <cell r="E3054" t="str">
            <v>#</v>
          </cell>
          <cell r="F3054" t="str">
            <v>Backend developer</v>
          </cell>
          <cell r="G3054" t="str">
            <v>A</v>
          </cell>
          <cell r="H3054">
            <v>46206</v>
          </cell>
        </row>
        <row r="3055">
          <cell r="B3055" t="str">
            <v>Məmmədov Cavid İlqar</v>
          </cell>
          <cell r="C3055" t="str">
            <v>FinTech mühəndislik ekspert mərkəzi</v>
          </cell>
          <cell r="D3055" t="str">
            <v>Softvvare chapter</v>
          </cell>
          <cell r="E3055" t="str">
            <v>#</v>
          </cell>
          <cell r="F3055" t="str">
            <v>Tech Lead</v>
          </cell>
          <cell r="G3055" t="str">
            <v>A</v>
          </cell>
          <cell r="H3055">
            <v>44868</v>
          </cell>
        </row>
        <row r="3056">
          <cell r="B3056" t="str">
            <v>Cavadov Cavad Aydın</v>
          </cell>
          <cell r="C3056" t="str">
            <v>FinTech mühəndislik ekspert mərkəzi</v>
          </cell>
          <cell r="D3056" t="str">
            <v>Softvvare chapter</v>
          </cell>
          <cell r="E3056" t="str">
            <v>#</v>
          </cell>
          <cell r="F3056" t="str">
            <v>Backend developer</v>
          </cell>
          <cell r="G3056" t="str">
            <v>A</v>
          </cell>
          <cell r="H3056">
            <v>45191</v>
          </cell>
        </row>
        <row r="3057">
          <cell r="B3057" t="str">
            <v>Xəlilova Zəhraxanım Zahir</v>
          </cell>
          <cell r="C3057" t="str">
            <v>FinTech mühəndislik ekspert mərkəzi</v>
          </cell>
          <cell r="D3057" t="str">
            <v>Softvvare chapter</v>
          </cell>
          <cell r="E3057" t="str">
            <v>#</v>
          </cell>
          <cell r="F3057" t="str">
            <v>Backend developer</v>
          </cell>
          <cell r="G3057" t="str">
            <v>SM</v>
          </cell>
          <cell r="H3057">
            <v>44139</v>
          </cell>
        </row>
        <row r="3058">
          <cell r="B3058" t="str">
            <v>CAGLAYAN AHMET</v>
          </cell>
          <cell r="C3058" t="str">
            <v>FinTech mühəndislik ekspert mərkəzi</v>
          </cell>
          <cell r="D3058" t="str">
            <v>Softvvare chapter</v>
          </cell>
          <cell r="E3058" t="str">
            <v>#</v>
          </cell>
          <cell r="F3058" t="str">
            <v>Funksional Lider</v>
          </cell>
          <cell r="G3058" t="str">
            <v>A</v>
          </cell>
          <cell r="H3058">
            <v>44694</v>
          </cell>
        </row>
        <row r="3059">
          <cell r="B3059" t="str">
            <v>Məmmədov Elmin Nizami</v>
          </cell>
          <cell r="C3059" t="str">
            <v>FinTech mühəndislik ekspert mərkəzi</v>
          </cell>
          <cell r="D3059" t="str">
            <v>Softvvare chapter</v>
          </cell>
          <cell r="E3059" t="str">
            <v>#</v>
          </cell>
          <cell r="F3059" t="str">
            <v>Frontend developer</v>
          </cell>
          <cell r="G3059" t="str">
            <v>A</v>
          </cell>
          <cell r="H3059">
            <v>45233</v>
          </cell>
        </row>
        <row r="3060">
          <cell r="B3060" t="str">
            <v>Qədirli Cavidan İlham</v>
          </cell>
          <cell r="C3060" t="str">
            <v>FinTech mühəndislik ekspert mərkəzi</v>
          </cell>
          <cell r="D3060" t="str">
            <v>Softvvare chapter</v>
          </cell>
          <cell r="E3060" t="str">
            <v>#</v>
          </cell>
          <cell r="F3060" t="str">
            <v>Frontend developer</v>
          </cell>
          <cell r="G3060" t="str">
            <v>A</v>
          </cell>
          <cell r="H3060">
            <v>45901</v>
          </cell>
        </row>
        <row r="3061">
          <cell r="B3061" t="str">
            <v>Əliyev Pərviz Həsən</v>
          </cell>
          <cell r="C3061" t="str">
            <v>Ödəniş biznesinin mühəndislik ekspert mərkəzi</v>
          </cell>
          <cell r="D3061" t="str">
            <v>Softvvare chapter</v>
          </cell>
          <cell r="E3061" t="str">
            <v>#</v>
          </cell>
          <cell r="F3061" t="str">
            <v>Frontend developer</v>
          </cell>
          <cell r="G3061" t="str">
            <v>A</v>
          </cell>
          <cell r="H3061">
            <v>45783</v>
          </cell>
        </row>
        <row r="3062">
          <cell r="B3062" t="str">
            <v>Məmmədova Səfixanova Sevinc Şəfali</v>
          </cell>
          <cell r="C3062" t="str">
            <v>Ödəniş biznesinin mühəndislik ekspert mərkəzi</v>
          </cell>
          <cell r="D3062" t="str">
            <v>Softvvare chapter</v>
          </cell>
          <cell r="E3062" t="str">
            <v>#</v>
          </cell>
          <cell r="F3062" t="str">
            <v>Frontend developer</v>
          </cell>
          <cell r="G3062" t="str">
            <v>A</v>
          </cell>
          <cell r="H3062">
            <v>46192</v>
          </cell>
          <cell r="I3062" t="str">
            <v>Bir Payment</v>
          </cell>
        </row>
        <row r="3063">
          <cell r="B3063" t="str">
            <v>Məmmədov Aslan Maarif</v>
          </cell>
          <cell r="C3063" t="str">
            <v>Ödəniş biznesinin mühəndislik ekspert mərkəzi</v>
          </cell>
          <cell r="D3063" t="str">
            <v>Softvvare chapter</v>
          </cell>
          <cell r="E3063" t="str">
            <v>#</v>
          </cell>
          <cell r="F3063" t="str">
            <v>Frontend developer</v>
          </cell>
          <cell r="G3063" t="str">
            <v>A</v>
          </cell>
          <cell r="H3063">
            <v>46213</v>
          </cell>
          <cell r="I3063" t="str">
            <v>Bir Payment</v>
          </cell>
        </row>
        <row r="3064">
          <cell r="B3064" t="str">
            <v>Nəsrullayev Əli Çingiz</v>
          </cell>
          <cell r="C3064" t="str">
            <v>FinTech mühəndislik ekspert mərkəzi</v>
          </cell>
          <cell r="D3064" t="str">
            <v>Softvvare chapter</v>
          </cell>
          <cell r="E3064" t="str">
            <v>#</v>
          </cell>
          <cell r="F3064" t="str">
            <v>Frontend developer</v>
          </cell>
          <cell r="G3064" t="str">
            <v>A</v>
          </cell>
          <cell r="H3064">
            <v>45754</v>
          </cell>
        </row>
        <row r="3065">
          <cell r="B3065" t="str">
            <v>Əliyev Kamran Zöhrab</v>
          </cell>
          <cell r="C3065" t="str">
            <v>FinTech mühəndislik ekspert mərkəzi</v>
          </cell>
          <cell r="D3065" t="str">
            <v>Softvvare chapter</v>
          </cell>
          <cell r="E3065" t="str">
            <v>#</v>
          </cell>
          <cell r="F3065" t="str">
            <v>Frontend developer</v>
          </cell>
          <cell r="G3065" t="str">
            <v>A</v>
          </cell>
          <cell r="H3065">
            <v>45727</v>
          </cell>
        </row>
        <row r="3066">
          <cell r="B3066" t="str">
            <v>Babazadə İbrahim Malik</v>
          </cell>
          <cell r="C3066" t="str">
            <v>FinTech mühəndislik ekspert mərkəzi</v>
          </cell>
          <cell r="D3066" t="str">
            <v>Softvvare chapter</v>
          </cell>
          <cell r="E3066" t="str">
            <v>#</v>
          </cell>
          <cell r="F3066" t="str">
            <v>Frontend developer</v>
          </cell>
          <cell r="G3066" t="str">
            <v>A</v>
          </cell>
          <cell r="H3066">
            <v>45653</v>
          </cell>
        </row>
        <row r="3067">
          <cell r="B3067" t="str">
            <v>Həmzəyev Fərid Davudoviç</v>
          </cell>
          <cell r="C3067" t="str">
            <v>FinTech mühəndislik ekspert mərkəzi</v>
          </cell>
          <cell r="D3067" t="str">
            <v>Softvvare chapter</v>
          </cell>
          <cell r="E3067" t="str">
            <v>#</v>
          </cell>
          <cell r="F3067" t="str">
            <v>Frontend developer</v>
          </cell>
          <cell r="G3067" t="str">
            <v>A</v>
          </cell>
          <cell r="H3067">
            <v>44489</v>
          </cell>
        </row>
        <row r="3068">
          <cell r="B3068" t="str">
            <v>Quliyev Orxan Vilayət</v>
          </cell>
          <cell r="C3068" t="str">
            <v>FinTech mühəndislik ekspert mərkəzi</v>
          </cell>
          <cell r="D3068" t="str">
            <v>Softvvare chapter</v>
          </cell>
          <cell r="E3068" t="str">
            <v>#</v>
          </cell>
          <cell r="F3068" t="str">
            <v>Frontend developer</v>
          </cell>
          <cell r="G3068" t="str">
            <v>A</v>
          </cell>
          <cell r="H3068">
            <v>43875</v>
          </cell>
        </row>
        <row r="3069">
          <cell r="B3069" t="str">
            <v>Şirinov Cahangir Etibar</v>
          </cell>
          <cell r="C3069" t="str">
            <v>FinTech mühəndislik ekspert mərkəzi</v>
          </cell>
          <cell r="D3069" t="str">
            <v>Softvvare chapter</v>
          </cell>
          <cell r="E3069" t="str">
            <v>#</v>
          </cell>
          <cell r="F3069" t="str">
            <v>Frontend developer</v>
          </cell>
          <cell r="G3069" t="str">
            <v>A</v>
          </cell>
          <cell r="H3069">
            <v>45267</v>
          </cell>
        </row>
        <row r="3070">
          <cell r="B3070" t="str">
            <v>Əliyev Rahil Ədalət</v>
          </cell>
          <cell r="C3070" t="str">
            <v>Ödəniş biznesinin mühəndislik ekspert mərkəzi</v>
          </cell>
          <cell r="D3070" t="str">
            <v>Softvvare chapter</v>
          </cell>
          <cell r="E3070" t="str">
            <v>#</v>
          </cell>
          <cell r="F3070" t="str">
            <v>Frontend developer</v>
          </cell>
          <cell r="G3070" t="str">
            <v>A</v>
          </cell>
          <cell r="H3070">
            <v>45316</v>
          </cell>
        </row>
        <row r="3071">
          <cell r="B3071" t="str">
            <v>Hüseynov Anar Ceyhun</v>
          </cell>
          <cell r="C3071" t="str">
            <v>FinTech mühəndislik ekspert mərkəzi</v>
          </cell>
          <cell r="D3071" t="str">
            <v>Softvvare chapter</v>
          </cell>
          <cell r="E3071" t="str">
            <v>#</v>
          </cell>
          <cell r="F3071" t="str">
            <v>Frontend developer</v>
          </cell>
          <cell r="G3071" t="str">
            <v>A</v>
          </cell>
          <cell r="H3071">
            <v>45940</v>
          </cell>
        </row>
        <row r="3072">
          <cell r="B3072" t="str">
            <v>Bağırov Seyid-Kənan Mir Kamal</v>
          </cell>
          <cell r="C3072" t="str">
            <v>FinTech mühəndislik ekspert mərkəzi</v>
          </cell>
          <cell r="D3072" t="str">
            <v>Softvvare chapter</v>
          </cell>
          <cell r="E3072" t="str">
            <v>#</v>
          </cell>
          <cell r="F3072" t="str">
            <v>Mobile developer</v>
          </cell>
          <cell r="G3072" t="str">
            <v>A</v>
          </cell>
          <cell r="H3072">
            <v>45705</v>
          </cell>
        </row>
        <row r="3073">
          <cell r="B3073" t="str">
            <v>Bədirxanlı Cavad Zahid</v>
          </cell>
          <cell r="C3073" t="str">
            <v>FinTech mühəndislik ekspert mərkəzi</v>
          </cell>
          <cell r="D3073" t="str">
            <v>Softvvare chapter</v>
          </cell>
          <cell r="E3073" t="str">
            <v>#</v>
          </cell>
          <cell r="F3073" t="str">
            <v>Tech lead</v>
          </cell>
          <cell r="G3073" t="str">
            <v>A</v>
          </cell>
          <cell r="H3073">
            <v>44256</v>
          </cell>
        </row>
        <row r="3074">
          <cell r="B3074" t="str">
            <v>Yusifli Tural Nazim</v>
          </cell>
          <cell r="C3074" t="str">
            <v>FinTech mühəndislik ekspert mərkəzi</v>
          </cell>
          <cell r="D3074" t="str">
            <v>Softvvare chapter</v>
          </cell>
          <cell r="E3074" t="str">
            <v>#</v>
          </cell>
          <cell r="F3074" t="str">
            <v>Mobile developer</v>
          </cell>
          <cell r="G3074" t="str">
            <v>A</v>
          </cell>
          <cell r="H3074">
            <v>45343</v>
          </cell>
        </row>
        <row r="3075">
          <cell r="B3075" t="str">
            <v>Həsənov Zaur Saleh</v>
          </cell>
          <cell r="C3075" t="str">
            <v>FinTech mühəndislik ekspert mərkəzi</v>
          </cell>
          <cell r="D3075" t="str">
            <v>Softvvare chapter</v>
          </cell>
          <cell r="E3075" t="str">
            <v>#</v>
          </cell>
          <cell r="F3075" t="str">
            <v>Mobile developer</v>
          </cell>
          <cell r="G3075" t="str">
            <v>A</v>
          </cell>
          <cell r="H3075">
            <v>45904</v>
          </cell>
        </row>
        <row r="3076">
          <cell r="B3076" t="str">
            <v>Məmmədzadə Kərim Xəliyəddin</v>
          </cell>
          <cell r="C3076" t="str">
            <v>FinTech mühəndislik ekspert mərkəzi</v>
          </cell>
          <cell r="D3076" t="str">
            <v>Softvvare chapter</v>
          </cell>
          <cell r="E3076" t="str">
            <v>#</v>
          </cell>
          <cell r="F3076" t="str">
            <v>Mobile developer</v>
          </cell>
          <cell r="G3076" t="str">
            <v>A</v>
          </cell>
          <cell r="H3076">
            <v>45881</v>
          </cell>
        </row>
        <row r="3077">
          <cell r="B3077" t="str">
            <v>Həbibov Nahid Fikrət</v>
          </cell>
          <cell r="C3077" t="str">
            <v>FinTech mühəndislik ekspert mərkəzi</v>
          </cell>
          <cell r="D3077" t="str">
            <v>Softvvare chapter</v>
          </cell>
          <cell r="E3077" t="str">
            <v>#</v>
          </cell>
          <cell r="F3077" t="str">
            <v>Mobile developer</v>
          </cell>
          <cell r="G3077" t="str">
            <v>A</v>
          </cell>
          <cell r="H3077">
            <v>46259</v>
          </cell>
        </row>
        <row r="3078">
          <cell r="B3078" t="str">
            <v>Əşrəfov Tağı Məzahir</v>
          </cell>
          <cell r="C3078" t="str">
            <v>FinTech mühəndislik ekspert mərkəzi</v>
          </cell>
          <cell r="D3078" t="str">
            <v>Softvvare chapter</v>
          </cell>
          <cell r="E3078" t="str">
            <v>#</v>
          </cell>
          <cell r="F3078" t="str">
            <v>Tech Lead</v>
          </cell>
          <cell r="G3078" t="str">
            <v>A</v>
          </cell>
          <cell r="H3078">
            <v>44054</v>
          </cell>
        </row>
        <row r="3079">
          <cell r="B3079" t="str">
            <v>Ağayev Aydın Zöhrab</v>
          </cell>
          <cell r="C3079" t="str">
            <v>Ödəniş biznesinin mühəndislik ekspert mərkəzi</v>
          </cell>
          <cell r="D3079" t="str">
            <v>Softvvare chapter</v>
          </cell>
          <cell r="E3079" t="str">
            <v>#</v>
          </cell>
          <cell r="F3079" t="str">
            <v>Mobile developer</v>
          </cell>
          <cell r="G3079" t="str">
            <v>A</v>
          </cell>
          <cell r="H3079">
            <v>45365</v>
          </cell>
        </row>
        <row r="3080">
          <cell r="B3080" t="str">
            <v>Adaşov Fərid Zeynal</v>
          </cell>
          <cell r="C3080" t="str">
            <v>FinTech mühəndislik ekspert mərkəzi</v>
          </cell>
          <cell r="D3080" t="str">
            <v>Softvvare chapter</v>
          </cell>
          <cell r="E3080" t="str">
            <v>#</v>
          </cell>
          <cell r="F3080" t="str">
            <v>Mobile developer</v>
          </cell>
          <cell r="G3080" t="str">
            <v>A</v>
          </cell>
          <cell r="H3080">
            <v>45383</v>
          </cell>
        </row>
        <row r="3081">
          <cell r="B3081" t="str">
            <v>İslamzadə Vüsal Sabit</v>
          </cell>
          <cell r="C3081" t="str">
            <v>FinTech mühəndislik ekspert mərkəzi</v>
          </cell>
          <cell r="D3081" t="str">
            <v>Softvvare chapter</v>
          </cell>
          <cell r="E3081" t="str">
            <v>#</v>
          </cell>
          <cell r="F3081" t="str">
            <v>Mobile developer</v>
          </cell>
          <cell r="G3081" t="str">
            <v>A</v>
          </cell>
          <cell r="H3081">
            <v>46211</v>
          </cell>
        </row>
        <row r="3082">
          <cell r="B3082" t="str">
            <v>Məmmədli Həmzə Tofik</v>
          </cell>
          <cell r="C3082" t="str">
            <v>FinTech mühəndislik ekspert mərkəzi</v>
          </cell>
          <cell r="D3082" t="str">
            <v>Softvvare chapter</v>
          </cell>
          <cell r="E3082" t="str">
            <v>#</v>
          </cell>
          <cell r="F3082" t="str">
            <v>Mobile developer</v>
          </cell>
          <cell r="G3082" t="str">
            <v>A</v>
          </cell>
          <cell r="H3082">
            <v>45646</v>
          </cell>
        </row>
        <row r="3083">
          <cell r="B3083" t="str">
            <v>Kərimli Şahmar Fəxrəddin</v>
          </cell>
          <cell r="C3083" t="str">
            <v>FinTech mühəndislik ekspert mərkəzi</v>
          </cell>
          <cell r="D3083" t="str">
            <v>Softvvare chapter</v>
          </cell>
          <cell r="E3083" t="str">
            <v>#</v>
          </cell>
          <cell r="F3083" t="str">
            <v>Mobile developer</v>
          </cell>
          <cell r="G3083" t="str">
            <v>A</v>
          </cell>
          <cell r="H3083">
            <v>46120</v>
          </cell>
        </row>
        <row r="3084">
          <cell r="B3084" t="str">
            <v>Aslanlı Fəqan Ərəstun</v>
          </cell>
          <cell r="C3084" t="str">
            <v>FinTech mühəndislik ekspert mərkəzi</v>
          </cell>
          <cell r="D3084" t="str">
            <v>Softvvare chapter</v>
          </cell>
          <cell r="E3084" t="str">
            <v>#</v>
          </cell>
          <cell r="F3084" t="str">
            <v>Funksional Lider</v>
          </cell>
          <cell r="G3084" t="str">
            <v>A</v>
          </cell>
          <cell r="H3084">
            <v>45418</v>
          </cell>
        </row>
        <row r="3085">
          <cell r="B3085" t="str">
            <v>Quliyeva Ləman Rüfət</v>
          </cell>
          <cell r="C3085" t="str">
            <v>FinTech mühəndislik ekspert mərkəzi</v>
          </cell>
          <cell r="D3085" t="str">
            <v>Softvvare chapter</v>
          </cell>
          <cell r="E3085" t="str">
            <v>#</v>
          </cell>
          <cell r="F3085" t="str">
            <v>Mobile developer</v>
          </cell>
          <cell r="G3085" t="str">
            <v>A</v>
          </cell>
          <cell r="H3085">
            <v>44236</v>
          </cell>
        </row>
        <row r="3086">
          <cell r="B3086" t="str">
            <v>Məmmədov Elnur Firudin</v>
          </cell>
          <cell r="C3086" t="str">
            <v>FinTech mühəndislik ekspert mərkəzi</v>
          </cell>
          <cell r="D3086" t="str">
            <v>Softvvare chapter</v>
          </cell>
          <cell r="E3086" t="str">
            <v>#</v>
          </cell>
          <cell r="F3086" t="str">
            <v>Mobile developer</v>
          </cell>
          <cell r="G3086" t="str">
            <v>A</v>
          </cell>
          <cell r="H3086">
            <v>45891</v>
          </cell>
        </row>
        <row r="3087">
          <cell r="B3087" t="str">
            <v>Həsənli Xəyalə Asəf</v>
          </cell>
          <cell r="C3087" t="str">
            <v>Ödəniş biznesinin mühəndislik ekspert mərkəzi</v>
          </cell>
          <cell r="D3087" t="str">
            <v>Softvvare chapter</v>
          </cell>
          <cell r="E3087" t="str">
            <v>#</v>
          </cell>
          <cell r="F3087" t="str">
            <v>Mobile developer</v>
          </cell>
          <cell r="G3087" t="str">
            <v>A</v>
          </cell>
          <cell r="H3087">
            <v>45894</v>
          </cell>
        </row>
        <row r="3088">
          <cell r="B3088" t="str">
            <v>Rəsulzadə Cavidan Kazım</v>
          </cell>
          <cell r="C3088" t="str">
            <v>FinTech mühəndislik ekspert mərkəzi</v>
          </cell>
          <cell r="D3088" t="str">
            <v>Softvvare chapter</v>
          </cell>
          <cell r="E3088" t="str">
            <v>#</v>
          </cell>
          <cell r="F3088" t="str">
            <v>Mobile developer</v>
          </cell>
          <cell r="G3088" t="str">
            <v>A</v>
          </cell>
          <cell r="H3088">
            <v>45721</v>
          </cell>
        </row>
        <row r="3089">
          <cell r="B3089" t="str">
            <v>Mustafayev Cavidan Elçin</v>
          </cell>
          <cell r="C3089" t="str">
            <v>FinTech mühəndislik ekspert mərkəzi</v>
          </cell>
          <cell r="D3089" t="str">
            <v>Softvvare chapter</v>
          </cell>
          <cell r="E3089" t="str">
            <v>#</v>
          </cell>
          <cell r="F3089" t="str">
            <v>Mobile developer</v>
          </cell>
          <cell r="G3089" t="str">
            <v>A</v>
          </cell>
          <cell r="H3089">
            <v>46056</v>
          </cell>
        </row>
        <row r="3090">
          <cell r="B3090" t="str">
            <v>Mədinəli Aqil İlqar</v>
          </cell>
          <cell r="C3090" t="str">
            <v>FinTech mühəndislik ekspert mərkəzi</v>
          </cell>
          <cell r="D3090" t="str">
            <v>Softvvare chapter</v>
          </cell>
          <cell r="E3090" t="str">
            <v>#</v>
          </cell>
          <cell r="F3090" t="str">
            <v>Mobile developer</v>
          </cell>
          <cell r="G3090" t="str">
            <v>A</v>
          </cell>
          <cell r="H3090">
            <v>45848</v>
          </cell>
        </row>
        <row r="3091">
          <cell r="B3091" t="str">
            <v>Babayev Ramil Eldar</v>
          </cell>
          <cell r="C3091" t="str">
            <v>Mühəndislik və texnoloji platformalar ekspert mərkəzi</v>
          </cell>
          <cell r="D3091" t="str">
            <v>Proqram mühəndisliyi funksional sahəsi</v>
          </cell>
          <cell r="E3091" t="str">
            <v>#</v>
          </cell>
          <cell r="F3091" t="str">
            <v>Funksional lider</v>
          </cell>
          <cell r="G3091" t="str">
            <v>A</v>
          </cell>
          <cell r="H3091">
            <v>44238</v>
          </cell>
        </row>
        <row r="3092">
          <cell r="B3092" t="str">
            <v>İsmayılov Murad Arzu</v>
          </cell>
          <cell r="C3092" t="str">
            <v>FinTech mühəndislik ekspert mərkəzi</v>
          </cell>
          <cell r="D3092" t="str">
            <v>Softvvare chapter</v>
          </cell>
          <cell r="E3092" t="str">
            <v>#</v>
          </cell>
          <cell r="F3092" t="str">
            <v>Mobile developer</v>
          </cell>
          <cell r="G3092" t="str">
            <v>A</v>
          </cell>
          <cell r="H3092">
            <v>45691</v>
          </cell>
        </row>
        <row r="3093">
          <cell r="B3093" t="str">
            <v>Əsədov Nazim Babək</v>
          </cell>
          <cell r="C3093" t="str">
            <v>Ödəniş biznesinin mühəndislik ekspert mərkəzi</v>
          </cell>
          <cell r="D3093" t="str">
            <v>Softvvare chapter</v>
          </cell>
          <cell r="E3093" t="str">
            <v>#</v>
          </cell>
          <cell r="F3093" t="str">
            <v>Mobile developer</v>
          </cell>
          <cell r="G3093" t="str">
            <v>A</v>
          </cell>
          <cell r="H3093">
            <v>45790</v>
          </cell>
        </row>
        <row r="3094">
          <cell r="B3094" t="str">
            <v>Babayev Kamran Vüqar</v>
          </cell>
          <cell r="C3094" t="str">
            <v>FinTech mühəndislik ekspert mərkəzi</v>
          </cell>
          <cell r="D3094" t="str">
            <v>Softvvare chapter</v>
          </cell>
          <cell r="E3094" t="str">
            <v>#</v>
          </cell>
          <cell r="F3094" t="str">
            <v>Mobile developer</v>
          </cell>
          <cell r="G3094" t="str">
            <v>A</v>
          </cell>
          <cell r="H3094">
            <v>45524</v>
          </cell>
        </row>
        <row r="3095">
          <cell r="B3095" t="str">
            <v>Mustafayev Üzeyir Hidayət</v>
          </cell>
          <cell r="C3095" t="str">
            <v>FinTech mühəndislik ekspert mərkəzi</v>
          </cell>
          <cell r="D3095" t="str">
            <v>Softvvare chapter</v>
          </cell>
          <cell r="E3095" t="str">
            <v>#</v>
          </cell>
          <cell r="F3095" t="str">
            <v>Mobile developer</v>
          </cell>
          <cell r="G3095" t="str">
            <v>A</v>
          </cell>
          <cell r="H3095">
            <v>45539</v>
          </cell>
        </row>
        <row r="3096">
          <cell r="B3096" t="str">
            <v>Tağıyev Ziyadxan Bektur</v>
          </cell>
          <cell r="C3096" t="str">
            <v>Mühəndislik və texnoloji platformalar ekspert mərkəzi</v>
          </cell>
          <cell r="D3096" t="str">
            <v>Proqram mühəndisliyi funksional sahəsi</v>
          </cell>
          <cell r="E3096" t="str">
            <v>#</v>
          </cell>
          <cell r="F3096" t="str">
            <v>Mobile developer</v>
          </cell>
          <cell r="G3096" t="str">
            <v>A</v>
          </cell>
          <cell r="H3096">
            <v>45524</v>
          </cell>
        </row>
        <row r="3097">
          <cell r="B3097" t="str">
            <v>Paşazadə Müzəffər Azər</v>
          </cell>
          <cell r="C3097" t="str">
            <v>Mühəndislik və texnoloji platformalar ekspert mərkəzi</v>
          </cell>
          <cell r="D3097" t="str">
            <v>Proqram mühəndisliyi funksional sahəsi</v>
          </cell>
          <cell r="E3097" t="str">
            <v>#</v>
          </cell>
          <cell r="F3097" t="str">
            <v>Mobile developer</v>
          </cell>
          <cell r="G3097" t="str">
            <v>A</v>
          </cell>
          <cell r="H3097">
            <v>46184</v>
          </cell>
        </row>
        <row r="3098">
          <cell r="B3098" t="str">
            <v>Abdullayev İlkin Teyfur</v>
          </cell>
          <cell r="C3098" t="str">
            <v>Mühəndislik və texnoloji platformalar ekspert mərkəzi</v>
          </cell>
          <cell r="D3098" t="str">
            <v>Proqram mühəndisliyi funksional sahəsi</v>
          </cell>
          <cell r="E3098" t="str">
            <v>#</v>
          </cell>
          <cell r="F3098" t="str">
            <v>Sistem developer</v>
          </cell>
          <cell r="G3098" t="str">
            <v>A</v>
          </cell>
          <cell r="H3098">
            <v>43805</v>
          </cell>
        </row>
        <row r="3099">
          <cell r="B3099" t="str">
            <v>BAKHTIAROV NOVRUZ</v>
          </cell>
          <cell r="C3099" t="str">
            <v>FinTech mühəndislik ekspert mərkəzi</v>
          </cell>
          <cell r="D3099" t="str">
            <v>Softvvare chapter</v>
          </cell>
          <cell r="E3099" t="str">
            <v>#</v>
          </cell>
          <cell r="F3099" t="str">
            <v>Mobile developer</v>
          </cell>
          <cell r="G3099" t="str">
            <v>A</v>
          </cell>
          <cell r="H3099">
            <v>45492</v>
          </cell>
        </row>
        <row r="3100">
          <cell r="B3100" t="str">
            <v>Göyüşov Zaur Kamran</v>
          </cell>
          <cell r="C3100" t="str">
            <v>FinTech mühəndislik ekspert mərkəzi</v>
          </cell>
          <cell r="D3100" t="str">
            <v>Softvvare chapter</v>
          </cell>
          <cell r="E3100" t="str">
            <v>#</v>
          </cell>
          <cell r="F3100" t="str">
            <v>Sistem developer</v>
          </cell>
          <cell r="G3100" t="str">
            <v>A</v>
          </cell>
          <cell r="H3100">
            <v>43175</v>
          </cell>
        </row>
        <row r="3101">
          <cell r="B3101" t="str">
            <v>SAFARLI LALA</v>
          </cell>
          <cell r="C3101" t="str">
            <v>FinTech mühəndislik ekspert mərkəzi</v>
          </cell>
          <cell r="D3101" t="str">
            <v>Softvvare chapter</v>
          </cell>
          <cell r="E3101" t="str">
            <v>#</v>
          </cell>
          <cell r="F3101" t="str">
            <v>Sistem developer</v>
          </cell>
          <cell r="G3101" t="str">
            <v>A</v>
          </cell>
          <cell r="H3101">
            <v>45548</v>
          </cell>
        </row>
        <row r="3102">
          <cell r="B3102" t="str">
            <v>Səfərov Asim Gülməmməd</v>
          </cell>
          <cell r="C3102" t="str">
            <v>FinTech mühəndislik ekspert mərkəzi</v>
          </cell>
          <cell r="D3102" t="str">
            <v>Softvvare chapter</v>
          </cell>
          <cell r="E3102" t="str">
            <v>#</v>
          </cell>
          <cell r="F3102" t="str">
            <v>Funksional Lider</v>
          </cell>
          <cell r="G3102" t="str">
            <v>A</v>
          </cell>
          <cell r="H3102">
            <v>43391</v>
          </cell>
        </row>
        <row r="3103">
          <cell r="B3103" t="str">
            <v>Xəlilova Şəbnəm Daməd</v>
          </cell>
          <cell r="C3103" t="str">
            <v>Ödəniş biznesinin mühəndislik ekspert mərkəzi</v>
          </cell>
          <cell r="D3103" t="str">
            <v>Softvvare chapter</v>
          </cell>
          <cell r="E3103" t="str">
            <v>#</v>
          </cell>
          <cell r="F3103" t="str">
            <v>Backend developer</v>
          </cell>
          <cell r="G3103" t="str">
            <v>A</v>
          </cell>
          <cell r="H3103">
            <v>43728</v>
          </cell>
        </row>
        <row r="3104">
          <cell r="B3104" t="str">
            <v>Hüseynli Əkbər Mülatif</v>
          </cell>
          <cell r="C3104" t="str">
            <v>FinTech mühəndislik ekspert mərkəzi</v>
          </cell>
          <cell r="D3104" t="str">
            <v>Softvvare chapter</v>
          </cell>
          <cell r="E3104" t="str">
            <v>#</v>
          </cell>
          <cell r="F3104" t="str">
            <v>Backend developer</v>
          </cell>
          <cell r="G3104" t="str">
            <v>A</v>
          </cell>
          <cell r="H3104">
            <v>45901</v>
          </cell>
        </row>
        <row r="3105">
          <cell r="B3105" t="str">
            <v>Şirməmmədli Əlisahib Quzeir</v>
          </cell>
          <cell r="C3105" t="str">
            <v>FinTech mühəndislik ekspert mərkəzi</v>
          </cell>
          <cell r="D3105" t="str">
            <v>Softvvare chapter</v>
          </cell>
          <cell r="E3105" t="str">
            <v>#</v>
          </cell>
          <cell r="F3105" t="str">
            <v>Tech lead</v>
          </cell>
          <cell r="G3105" t="str">
            <v>A</v>
          </cell>
          <cell r="H3105">
            <v>45170</v>
          </cell>
        </row>
        <row r="3106">
          <cell r="B3106" t="str">
            <v>Vəliyev Pərviz Feruz</v>
          </cell>
          <cell r="C3106" t="str">
            <v>FinTech mühəndislik ekspert mərkəzi</v>
          </cell>
          <cell r="D3106" t="str">
            <v>Softvvare chapter</v>
          </cell>
          <cell r="E3106" t="str">
            <v>#</v>
          </cell>
          <cell r="F3106" t="str">
            <v>Tech lead</v>
          </cell>
          <cell r="G3106" t="str">
            <v>A</v>
          </cell>
          <cell r="H3106">
            <v>45693</v>
          </cell>
        </row>
        <row r="3107">
          <cell r="B3107" t="str">
            <v>Qədirli Qismət Əliağa</v>
          </cell>
          <cell r="C3107" t="str">
            <v>FinTech mühəndislik ekspert mərkəzi</v>
          </cell>
          <cell r="D3107" t="str">
            <v>Softvvare chapter</v>
          </cell>
          <cell r="E3107" t="str">
            <v>#</v>
          </cell>
          <cell r="F3107" t="str">
            <v>Backend developer</v>
          </cell>
          <cell r="G3107" t="str">
            <v>A</v>
          </cell>
          <cell r="H3107">
            <v>45567</v>
          </cell>
        </row>
        <row r="3108">
          <cell r="B3108" t="str">
            <v>Əşrəfov Ülvi Mirkazım</v>
          </cell>
          <cell r="C3108" t="str">
            <v>FinTech mühəndislik ekspert mərkəzi</v>
          </cell>
          <cell r="D3108" t="str">
            <v>Softvvare chapter</v>
          </cell>
          <cell r="E3108" t="str">
            <v>#</v>
          </cell>
          <cell r="F3108" t="str">
            <v>Tech lead</v>
          </cell>
          <cell r="G3108" t="str">
            <v>A</v>
          </cell>
          <cell r="H3108">
            <v>44368</v>
          </cell>
        </row>
        <row r="3109">
          <cell r="B3109" t="str">
            <v>Mikayılov Orxan Etibar</v>
          </cell>
          <cell r="C3109" t="str">
            <v>FinTech mühəndislik ekspert mərkəzi</v>
          </cell>
          <cell r="D3109" t="str">
            <v>Softvvare chapter</v>
          </cell>
          <cell r="E3109" t="str">
            <v>#</v>
          </cell>
          <cell r="F3109" t="str">
            <v>Backend developer</v>
          </cell>
          <cell r="G3109" t="str">
            <v>A</v>
          </cell>
          <cell r="H3109">
            <v>44579</v>
          </cell>
        </row>
        <row r="3110">
          <cell r="B3110" t="str">
            <v>İbrahimzadə İbrahim Mayis</v>
          </cell>
          <cell r="C3110" t="str">
            <v>FinTech mühəndislik ekspert mərkəzi</v>
          </cell>
          <cell r="D3110" t="str">
            <v>Softvvare chapter</v>
          </cell>
          <cell r="E3110" t="str">
            <v>#</v>
          </cell>
          <cell r="F3110" t="str">
            <v>Backend developer</v>
          </cell>
          <cell r="G3110" t="str">
            <v>A</v>
          </cell>
          <cell r="H3110">
            <v>44578</v>
          </cell>
        </row>
        <row r="3111">
          <cell r="B3111" t="str">
            <v>Əsədzadə Vüqar Afət</v>
          </cell>
          <cell r="C3111" t="str">
            <v>FinTech mühəndislik ekspert mərkəzi</v>
          </cell>
          <cell r="D3111" t="str">
            <v>Softvvare chapter</v>
          </cell>
          <cell r="E3111" t="str">
            <v>#</v>
          </cell>
          <cell r="F3111" t="str">
            <v>Funksional Lider</v>
          </cell>
          <cell r="G3111" t="str">
            <v>A</v>
          </cell>
          <cell r="H3111">
            <v>43906</v>
          </cell>
        </row>
        <row r="3112">
          <cell r="B3112" t="str">
            <v>Vəlizadə Kamran Nazim</v>
          </cell>
          <cell r="C3112" t="str">
            <v>FinTech mühəndislik ekspert mərkəzi</v>
          </cell>
          <cell r="D3112" t="str">
            <v>Softvvare chapter</v>
          </cell>
          <cell r="E3112" t="str">
            <v>#</v>
          </cell>
          <cell r="F3112" t="str">
            <v>Backend developer</v>
          </cell>
          <cell r="G3112" t="str">
            <v>A</v>
          </cell>
          <cell r="H3112">
            <v>45237</v>
          </cell>
        </row>
        <row r="3113">
          <cell r="B3113" t="str">
            <v>Məmmədov Amin Güloğlan</v>
          </cell>
          <cell r="C3113" t="str">
            <v>FinTech mühəndislik ekspert mərkəzi</v>
          </cell>
          <cell r="D3113" t="str">
            <v>Softvvare chapter</v>
          </cell>
          <cell r="E3113" t="str">
            <v>#</v>
          </cell>
          <cell r="F3113" t="str">
            <v>Backend developer</v>
          </cell>
          <cell r="G3113" t="str">
            <v>A</v>
          </cell>
          <cell r="H3113">
            <v>45978</v>
          </cell>
        </row>
        <row r="3114">
          <cell r="B3114" t="str">
            <v>Vəliyev Murad Mirzə</v>
          </cell>
          <cell r="C3114" t="str">
            <v>Ödəniş biznesinin mühəndislik ekspert mərkəzi</v>
          </cell>
          <cell r="D3114" t="str">
            <v>Softvvare chapter</v>
          </cell>
          <cell r="E3114" t="str">
            <v>#</v>
          </cell>
          <cell r="F3114" t="str">
            <v>Backend developer</v>
          </cell>
          <cell r="G3114" t="str">
            <v>A</v>
          </cell>
          <cell r="H3114">
            <v>45874</v>
          </cell>
        </row>
        <row r="3115">
          <cell r="B3115" t="str">
            <v>Əlizadə Qurban Elxan</v>
          </cell>
          <cell r="C3115" t="str">
            <v>FinTech mühəndislik ekspert mərkəzi</v>
          </cell>
          <cell r="D3115" t="str">
            <v>Softvvare chapter</v>
          </cell>
          <cell r="E3115" t="str">
            <v>#</v>
          </cell>
          <cell r="F3115" t="str">
            <v>Backend developer</v>
          </cell>
          <cell r="G3115" t="str">
            <v>A</v>
          </cell>
          <cell r="H3115">
            <v>45778</v>
          </cell>
        </row>
        <row r="3116">
          <cell r="B3116" t="str">
            <v>Nəcəfov Ülvi Eldəniz</v>
          </cell>
          <cell r="C3116" t="str">
            <v>FinTech mühəndislik ekspert mərkəzi</v>
          </cell>
          <cell r="D3116" t="str">
            <v>Softvvare chapter</v>
          </cell>
          <cell r="E3116" t="str">
            <v>#</v>
          </cell>
          <cell r="F3116" t="str">
            <v>Backend developer</v>
          </cell>
          <cell r="G3116" t="str">
            <v>A</v>
          </cell>
          <cell r="H3116">
            <v>45719</v>
          </cell>
        </row>
        <row r="3117">
          <cell r="B3117" t="str">
            <v>Əliyev Qismət Mehman</v>
          </cell>
          <cell r="C3117" t="str">
            <v>FinTech mühəndislik ekspert mərkəzi</v>
          </cell>
          <cell r="D3117" t="str">
            <v>Softvvare chapter</v>
          </cell>
          <cell r="E3117" t="str">
            <v>#</v>
          </cell>
          <cell r="F3117" t="str">
            <v>Tech lead</v>
          </cell>
          <cell r="G3117" t="str">
            <v>A</v>
          </cell>
          <cell r="H3117">
            <v>44743</v>
          </cell>
        </row>
        <row r="3118">
          <cell r="B3118" t="str">
            <v>Nağıyev Dərya Tofiq</v>
          </cell>
          <cell r="C3118" t="str">
            <v>FinTech mühəndislik ekspert mərkəzi</v>
          </cell>
          <cell r="D3118" t="str">
            <v>Softvvare chapter</v>
          </cell>
          <cell r="E3118" t="str">
            <v>#</v>
          </cell>
          <cell r="F3118" t="str">
            <v>Tech lead</v>
          </cell>
          <cell r="G3118" t="str">
            <v>A</v>
          </cell>
          <cell r="H3118">
            <v>43710</v>
          </cell>
        </row>
        <row r="3119">
          <cell r="B3119" t="str">
            <v>Şixiyev İlqar Həbib</v>
          </cell>
          <cell r="C3119" t="str">
            <v>Ödəniş biznesinin mühəndislik ekspert mərkəzi</v>
          </cell>
          <cell r="D3119" t="str">
            <v>Softvvare chapter</v>
          </cell>
          <cell r="E3119" t="str">
            <v>#</v>
          </cell>
          <cell r="F3119" t="str">
            <v>Backend developer</v>
          </cell>
          <cell r="G3119" t="str">
            <v>A</v>
          </cell>
          <cell r="H3119">
            <v>44743</v>
          </cell>
        </row>
        <row r="3120">
          <cell r="B3120" t="str">
            <v>Hacıxanov Ehtiram Hacıxan</v>
          </cell>
          <cell r="C3120" t="str">
            <v>Ödəniş biznesinin mühəndislik ekspert mərkəzi</v>
          </cell>
          <cell r="D3120" t="str">
            <v>Softvvare chapter</v>
          </cell>
          <cell r="E3120" t="str">
            <v>#</v>
          </cell>
          <cell r="F3120" t="str">
            <v>Funksional lider</v>
          </cell>
          <cell r="G3120" t="str">
            <v>A</v>
          </cell>
          <cell r="H3120">
            <v>42573</v>
          </cell>
        </row>
        <row r="3121">
          <cell r="B3121" t="str">
            <v>Hüseynov Ülvi Vüqar</v>
          </cell>
          <cell r="C3121" t="str">
            <v>Ödəniş biznesinin mühəndislik ekspert mərkəzi</v>
          </cell>
          <cell r="D3121" t="str">
            <v>Softvvare chapter</v>
          </cell>
          <cell r="E3121" t="str">
            <v>#</v>
          </cell>
          <cell r="F3121" t="str">
            <v>Backend developer</v>
          </cell>
          <cell r="G3121" t="str">
            <v>A</v>
          </cell>
          <cell r="H3121">
            <v>45992</v>
          </cell>
        </row>
        <row r="3122">
          <cell r="B3122" t="str">
            <v>Məmmədli Əbdülrəhman Süleyman</v>
          </cell>
          <cell r="C3122" t="str">
            <v>Ödəniş biznesinin mühəndislik ekspert mərkəzi</v>
          </cell>
          <cell r="D3122" t="str">
            <v>Softvvare chapter</v>
          </cell>
          <cell r="E3122" t="str">
            <v>#</v>
          </cell>
          <cell r="F3122" t="str">
            <v>Backend developer</v>
          </cell>
          <cell r="G3122" t="str">
            <v>A</v>
          </cell>
          <cell r="H3122">
            <v>46223</v>
          </cell>
          <cell r="I3122" t="str">
            <v>Bir Payment</v>
          </cell>
        </row>
        <row r="3123">
          <cell r="B3123" t="str">
            <v>Əhmədov Kamil Bəxtiyar</v>
          </cell>
          <cell r="C3123" t="str">
            <v>Ödəniş biznesinin mühəndislik ekspert mərkəzi</v>
          </cell>
          <cell r="D3123" t="str">
            <v>Softvvare chapter</v>
          </cell>
          <cell r="E3123" t="str">
            <v>#</v>
          </cell>
          <cell r="F3123" t="str">
            <v>Backend developer</v>
          </cell>
          <cell r="G3123" t="str">
            <v>A</v>
          </cell>
          <cell r="H3123">
            <v>46238</v>
          </cell>
        </row>
        <row r="3124">
          <cell r="B3124" t="str">
            <v>Məmmədəliyev Elfaq Kərim</v>
          </cell>
          <cell r="C3124" t="str">
            <v>Ödəniş biznesinin mühəndislik ekspert mərkəzi</v>
          </cell>
          <cell r="D3124" t="str">
            <v>Softvvare chapter</v>
          </cell>
          <cell r="E3124" t="str">
            <v>#</v>
          </cell>
          <cell r="F3124" t="str">
            <v>Backend developer</v>
          </cell>
          <cell r="G3124" t="str">
            <v>A</v>
          </cell>
          <cell r="H3124">
            <v>46259</v>
          </cell>
        </row>
        <row r="3125">
          <cell r="B3125" t="str">
            <v>Appayev Sahil Təhməz</v>
          </cell>
          <cell r="C3125" t="str">
            <v>FinTech mühəndislik ekspert mərkəzi</v>
          </cell>
          <cell r="D3125" t="str">
            <v>Softvvare chapter</v>
          </cell>
          <cell r="E3125" t="str">
            <v>#</v>
          </cell>
          <cell r="F3125" t="str">
            <v>Tech lead</v>
          </cell>
          <cell r="G3125" t="str">
            <v>A</v>
          </cell>
          <cell r="H3125">
            <v>44202</v>
          </cell>
        </row>
        <row r="3126">
          <cell r="B3126" t="str">
            <v>İslamov Rüstəm Niyazi</v>
          </cell>
          <cell r="C3126" t="str">
            <v>FinTech mühəndislik ekspert mərkəzi</v>
          </cell>
          <cell r="D3126" t="str">
            <v>Softvvare chapter</v>
          </cell>
          <cell r="E3126" t="str">
            <v>#</v>
          </cell>
          <cell r="F3126" t="str">
            <v>Backend developer</v>
          </cell>
          <cell r="G3126" t="str">
            <v>A</v>
          </cell>
          <cell r="H3126">
            <v>43803</v>
          </cell>
        </row>
        <row r="3127">
          <cell r="B3127" t="str">
            <v>Əhmədova Arzu Hüseyn</v>
          </cell>
          <cell r="C3127" t="str">
            <v>FinTech mühəndislik ekspert mərkəzi</v>
          </cell>
          <cell r="D3127" t="str">
            <v>Softvvare chapter</v>
          </cell>
          <cell r="E3127" t="str">
            <v>#</v>
          </cell>
          <cell r="F3127" t="str">
            <v>Backend developer</v>
          </cell>
          <cell r="G3127" t="str">
            <v>A</v>
          </cell>
          <cell r="H3127">
            <v>46195</v>
          </cell>
        </row>
        <row r="3128">
          <cell r="B3128" t="str">
            <v>Rəhimova Aydan Aydın</v>
          </cell>
          <cell r="C3128" t="str">
            <v>Mühəndislik və texnoloji platformalar ekspert mərkəzi</v>
          </cell>
          <cell r="D3128" t="str">
            <v>Proqram mühəndisliyi funksional sahəsi</v>
          </cell>
          <cell r="E3128" t="str">
            <v>#</v>
          </cell>
          <cell r="F3128" t="str">
            <v>Backend developer</v>
          </cell>
          <cell r="G3128" t="str">
            <v>A</v>
          </cell>
          <cell r="H3128">
            <v>45902</v>
          </cell>
        </row>
        <row r="3129">
          <cell r="B3129" t="str">
            <v>Süleymanova Nərminə Behruz</v>
          </cell>
          <cell r="C3129" t="str">
            <v>Ödəniş biznesinin mühəndislik ekspert mərkəzi</v>
          </cell>
          <cell r="D3129" t="str">
            <v>Softvvare chapter</v>
          </cell>
          <cell r="E3129" t="str">
            <v>#</v>
          </cell>
          <cell r="F3129" t="str">
            <v>Backend developer</v>
          </cell>
          <cell r="G3129" t="str">
            <v>A</v>
          </cell>
          <cell r="H3129">
            <v>45902</v>
          </cell>
        </row>
        <row r="3130">
          <cell r="B3130" t="str">
            <v>Bəkirzadə Nicat Seyfəddin</v>
          </cell>
          <cell r="C3130" t="str">
            <v>Ödəniş biznesinin mühəndislik ekspert mərkəzi</v>
          </cell>
          <cell r="D3130" t="str">
            <v>Softvvare chapter</v>
          </cell>
          <cell r="E3130" t="str">
            <v>#</v>
          </cell>
          <cell r="F3130" t="str">
            <v>Backend developer</v>
          </cell>
          <cell r="G3130" t="str">
            <v>A</v>
          </cell>
          <cell r="H3130">
            <v>45887</v>
          </cell>
        </row>
        <row r="3131">
          <cell r="B3131" t="str">
            <v>Qənbərov Eltunc Qulu</v>
          </cell>
          <cell r="C3131" t="str">
            <v>FinTech mühəndislik ekspert mərkəzi</v>
          </cell>
          <cell r="D3131" t="str">
            <v>Softvvare chapter</v>
          </cell>
          <cell r="E3131" t="str">
            <v>#</v>
          </cell>
          <cell r="F3131" t="str">
            <v>Backend developer</v>
          </cell>
          <cell r="G3131" t="str">
            <v>A</v>
          </cell>
          <cell r="H3131">
            <v>45629</v>
          </cell>
        </row>
        <row r="3132">
          <cell r="B3132" t="str">
            <v>Şükür-zadə Azər Məclum</v>
          </cell>
          <cell r="C3132" t="str">
            <v>Ödəniş biznesinin mühəndislik ekspert mərkəzi</v>
          </cell>
          <cell r="D3132" t="str">
            <v>Softvvare chapter</v>
          </cell>
          <cell r="E3132" t="str">
            <v>#</v>
          </cell>
          <cell r="F3132" t="str">
            <v>Backend developer</v>
          </cell>
          <cell r="G3132" t="str">
            <v>A</v>
          </cell>
          <cell r="H3132">
            <v>43437</v>
          </cell>
        </row>
        <row r="3133">
          <cell r="B3133" t="str">
            <v>Paşayev Rauf Ramazan</v>
          </cell>
          <cell r="C3133" t="str">
            <v>Mühəndislik və texnoloji platformalar ekspert mərkəzi</v>
          </cell>
          <cell r="D3133" t="str">
            <v>Proqram mühəndisliyi funksional sahəsi</v>
          </cell>
          <cell r="E3133" t="str">
            <v>#</v>
          </cell>
          <cell r="F3133" t="str">
            <v>Tech Lead</v>
          </cell>
          <cell r="G3133" t="str">
            <v>A</v>
          </cell>
          <cell r="H3133">
            <v>45149</v>
          </cell>
        </row>
        <row r="3134">
          <cell r="B3134" t="str">
            <v>Nəbizadə Natavan Cəmil</v>
          </cell>
          <cell r="C3134" t="str">
            <v>FinTech mühəndislik ekspert mərkəzi</v>
          </cell>
          <cell r="D3134" t="str">
            <v>Softvvare chapter</v>
          </cell>
          <cell r="E3134" t="str">
            <v>#</v>
          </cell>
          <cell r="F3134" t="str">
            <v>Backend developer</v>
          </cell>
          <cell r="G3134" t="str">
            <v>A</v>
          </cell>
          <cell r="H3134">
            <v>44379</v>
          </cell>
        </row>
        <row r="3135">
          <cell r="B3135" t="str">
            <v>Sədirxanova Nəzrin Aqşin</v>
          </cell>
          <cell r="C3135" t="str">
            <v>FinTech mühəndislik ekspert mərkəzi</v>
          </cell>
          <cell r="D3135" t="str">
            <v>Softvvare chapter</v>
          </cell>
          <cell r="E3135" t="str">
            <v>#</v>
          </cell>
          <cell r="F3135" t="str">
            <v>Backend developer</v>
          </cell>
          <cell r="G3135" t="str">
            <v>A</v>
          </cell>
          <cell r="H3135">
            <v>44743</v>
          </cell>
        </row>
        <row r="3136">
          <cell r="B3136" t="str">
            <v>GRİGOREV PAVEL</v>
          </cell>
          <cell r="C3136" t="str">
            <v>Mühəndislik və texnoloji platformalar ekspert mərkəzi</v>
          </cell>
          <cell r="D3136" t="str">
            <v>Proqram mühəndisliyi funksional sahəsi</v>
          </cell>
          <cell r="E3136" t="str">
            <v>#</v>
          </cell>
          <cell r="F3136" t="str">
            <v>Funksional lider</v>
          </cell>
          <cell r="G3136" t="str">
            <v>A</v>
          </cell>
          <cell r="H3136">
            <v>44819</v>
          </cell>
        </row>
        <row r="3137">
          <cell r="B3137" t="str">
            <v>Ağamalıyeva Nahidə Elçin</v>
          </cell>
          <cell r="C3137" t="str">
            <v>Mühəndislik və texnoloji platformalar ekspert mərkəzi</v>
          </cell>
          <cell r="D3137" t="str">
            <v>Proqram mühəndisliyi funksional sahəsi</v>
          </cell>
          <cell r="E3137" t="str">
            <v>#</v>
          </cell>
          <cell r="F3137" t="str">
            <v>QA mühəndis</v>
          </cell>
          <cell r="G3137" t="str">
            <v>A</v>
          </cell>
          <cell r="H3137">
            <v>46216</v>
          </cell>
        </row>
        <row r="3138">
          <cell r="B3138" t="str">
            <v>Quluzadə Nəzrin Ceyhun</v>
          </cell>
          <cell r="C3138" t="str">
            <v>Mühəndislik və texnoloji platformalar ekspert mərkəzi</v>
          </cell>
          <cell r="D3138" t="str">
            <v>Proqram mühəndisliyi funksional sahəsi</v>
          </cell>
          <cell r="E3138" t="str">
            <v>#</v>
          </cell>
          <cell r="F3138" t="str">
            <v>Frontend developer</v>
          </cell>
          <cell r="G3138" t="str">
            <v>A</v>
          </cell>
          <cell r="H3138">
            <v>45622</v>
          </cell>
        </row>
        <row r="3139">
          <cell r="B3139" t="str">
            <v>Həsənli Mədinə Hikmət</v>
          </cell>
          <cell r="C3139" t="str">
            <v>Mühəndislik və texnoloji platformalar ekspert mərkəzi</v>
          </cell>
          <cell r="D3139" t="str">
            <v>Proqram mühəndisliyi funksional sahəsi</v>
          </cell>
          <cell r="E3139" t="str">
            <v>#</v>
          </cell>
          <cell r="F3139" t="str">
            <v>Frontend developer</v>
          </cell>
          <cell r="G3139" t="str">
            <v>A</v>
          </cell>
          <cell r="H3139">
            <v>43879</v>
          </cell>
        </row>
        <row r="3140">
          <cell r="B3140" t="str">
            <v>Əhmədov Əli İlham</v>
          </cell>
          <cell r="C3140" t="str">
            <v>Mühəndislik və texnoloji platformalar ekspert mərkəzi</v>
          </cell>
          <cell r="D3140" t="str">
            <v>Proqram mühəndisliyi funksional sahəsi</v>
          </cell>
          <cell r="E3140" t="str">
            <v>#</v>
          </cell>
          <cell r="F3140" t="str">
            <v>Backend developer</v>
          </cell>
          <cell r="G3140" t="str">
            <v>A</v>
          </cell>
          <cell r="H3140">
            <v>46134</v>
          </cell>
        </row>
        <row r="3141">
          <cell r="B3141" t="str">
            <v>Abbaslı Təhminə Mahir</v>
          </cell>
          <cell r="C3141" t="str">
            <v>Mühəndislik və texnoloji platformalar ekspert mərkəzi</v>
          </cell>
          <cell r="D3141" t="str">
            <v>Proqram mühəndisliyi funksional sahəsi</v>
          </cell>
          <cell r="E3141" t="str">
            <v>#</v>
          </cell>
          <cell r="F3141" t="str">
            <v>Frontend developer</v>
          </cell>
          <cell r="G3141" t="str">
            <v>A</v>
          </cell>
          <cell r="H3141">
            <v>43878</v>
          </cell>
        </row>
        <row r="3142">
          <cell r="B3142" t="str">
            <v>Məmmədrzayev Aslan Elçin</v>
          </cell>
          <cell r="C3142" t="str">
            <v>Mühəndislik və texnoloji platformalar ekspert mərkəzi</v>
          </cell>
          <cell r="D3142" t="str">
            <v>Proqram mühəndisliyi funksional sahəsi</v>
          </cell>
          <cell r="E3142" t="str">
            <v>#</v>
          </cell>
          <cell r="F3142" t="str">
            <v>Frontend developer</v>
          </cell>
          <cell r="G3142" t="str">
            <v>A</v>
          </cell>
          <cell r="H3142">
            <v>43657</v>
          </cell>
        </row>
        <row r="3143">
          <cell r="B3143" t="str">
            <v>Həşimov Rəşad Ramazan</v>
          </cell>
          <cell r="C3143" t="str">
            <v>Mühəndislik və texnoloji platformalar ekspert mərkəzi</v>
          </cell>
          <cell r="D3143" t="str">
            <v>Proqram mühəndisliyi funksional sahəsi</v>
          </cell>
          <cell r="E3143" t="str">
            <v>#</v>
          </cell>
          <cell r="F3143" t="str">
            <v>Frontend developer</v>
          </cell>
          <cell r="G3143" t="str">
            <v>A</v>
          </cell>
          <cell r="H3143">
            <v>43671</v>
          </cell>
        </row>
        <row r="3144">
          <cell r="B3144" t="str">
            <v>Emçiyev Abdulla Hacımurad</v>
          </cell>
          <cell r="C3144" t="str">
            <v>Ödəniş biznesinin mühəndislik ekspert mərkəzi</v>
          </cell>
          <cell r="D3144" t="str">
            <v>Softvvare chapter</v>
          </cell>
          <cell r="E3144" t="str">
            <v>#</v>
          </cell>
          <cell r="F3144" t="str">
            <v>Frontend developer</v>
          </cell>
          <cell r="G3144" t="str">
            <v>A</v>
          </cell>
          <cell r="H3144">
            <v>43801</v>
          </cell>
        </row>
        <row r="3145">
          <cell r="B3145" t="str">
            <v>Xəlilova Sürayyə Mais</v>
          </cell>
          <cell r="C3145" t="str">
            <v>Ödəniş biznesinin mühəndislik ekspert mərkəzi</v>
          </cell>
          <cell r="D3145" t="str">
            <v>Softvvare chapter</v>
          </cell>
          <cell r="E3145" t="str">
            <v>#</v>
          </cell>
          <cell r="F3145" t="str">
            <v>Frontend developer</v>
          </cell>
          <cell r="G3145" t="str">
            <v>A</v>
          </cell>
          <cell r="H3145">
            <v>44084</v>
          </cell>
        </row>
        <row r="3146">
          <cell r="B3146" t="str">
            <v>Kərimli Gülnisə Şahin</v>
          </cell>
          <cell r="C3146" t="str">
            <v>FinTech mühəndislik ekspert mərkəzi</v>
          </cell>
          <cell r="D3146" t="str">
            <v>Softvvare chapter</v>
          </cell>
          <cell r="E3146" t="str">
            <v>#</v>
          </cell>
          <cell r="F3146" t="str">
            <v>Frontend developer</v>
          </cell>
          <cell r="G3146" t="str">
            <v>SM</v>
          </cell>
          <cell r="H3146">
            <v>43879</v>
          </cell>
        </row>
        <row r="3147">
          <cell r="B3147" t="str">
            <v>Səfərəli Aysu Vüqar</v>
          </cell>
          <cell r="C3147" t="str">
            <v>Mühəndislik və texnoloji platformalar ekspert mərkəzi</v>
          </cell>
          <cell r="D3147" t="str">
            <v>Proqram mühəndisliyi funksional sahəsi</v>
          </cell>
          <cell r="E3147" t="str">
            <v>#</v>
          </cell>
          <cell r="F3147" t="str">
            <v>Frontend developer</v>
          </cell>
          <cell r="G3147" t="str">
            <v>A</v>
          </cell>
          <cell r="H3147">
            <v>45790</v>
          </cell>
        </row>
        <row r="3148">
          <cell r="B3148" t="str">
            <v>Əliyev Eldar Şirəli</v>
          </cell>
          <cell r="C3148" t="str">
            <v>Mühəndislik və texnoloji platformalar ekspert mərkəzi</v>
          </cell>
          <cell r="D3148" t="str">
            <v>Proqram mühəndisliyi funksional sahəsi</v>
          </cell>
          <cell r="E3148" t="str">
            <v>#</v>
          </cell>
          <cell r="F3148" t="str">
            <v>Frontend developer</v>
          </cell>
          <cell r="G3148" t="str">
            <v>A</v>
          </cell>
          <cell r="H3148">
            <v>46220</v>
          </cell>
          <cell r="I3148" t="str">
            <v>BirMarket</v>
          </cell>
        </row>
        <row r="3149">
          <cell r="B3149" t="str">
            <v>Mazayev Timur Robertoviç</v>
          </cell>
          <cell r="C3149" t="str">
            <v>FinTech mühəndislik ekspert mərkəzi</v>
          </cell>
          <cell r="D3149" t="str">
            <v>Softvvare chapter</v>
          </cell>
          <cell r="E3149" t="str">
            <v>#</v>
          </cell>
          <cell r="F3149" t="str">
            <v>Frontend developer</v>
          </cell>
          <cell r="G3149" t="str">
            <v>A</v>
          </cell>
          <cell r="H3149">
            <v>45540</v>
          </cell>
        </row>
        <row r="3150">
          <cell r="B3150" t="str">
            <v>Məmmədov Natiq Zülfüqar</v>
          </cell>
          <cell r="C3150" t="str">
            <v>FinTech mühəndislik ekspert mərkəzi</v>
          </cell>
          <cell r="D3150" t="str">
            <v>Softvvare chapter</v>
          </cell>
          <cell r="E3150" t="str">
            <v>#</v>
          </cell>
          <cell r="F3150" t="str">
            <v>Backend developer</v>
          </cell>
          <cell r="G3150" t="str">
            <v>A</v>
          </cell>
          <cell r="H3150">
            <v>45516</v>
          </cell>
        </row>
        <row r="3151">
          <cell r="B3151" t="str">
            <v>Nəsibli Murad İlqar</v>
          </cell>
          <cell r="C3151" t="str">
            <v>FinTech mühəndislik ekspert mərkəzi</v>
          </cell>
          <cell r="D3151" t="str">
            <v>Softvvare chapter</v>
          </cell>
          <cell r="E3151" t="str">
            <v>#</v>
          </cell>
          <cell r="F3151" t="str">
            <v>Tech lead</v>
          </cell>
          <cell r="G3151" t="str">
            <v>A</v>
          </cell>
          <cell r="H3151">
            <v>44228</v>
          </cell>
        </row>
        <row r="3152">
          <cell r="B3152" t="str">
            <v>Məmmədov Kərim Marks</v>
          </cell>
          <cell r="C3152" t="str">
            <v>FinTech mühəndislik ekspert mərkəzi</v>
          </cell>
          <cell r="D3152" t="str">
            <v>Softvvare chapter</v>
          </cell>
          <cell r="E3152" t="str">
            <v>#</v>
          </cell>
          <cell r="F3152" t="str">
            <v>Backend developer</v>
          </cell>
          <cell r="G3152" t="str">
            <v>A</v>
          </cell>
          <cell r="H3152">
            <v>43728</v>
          </cell>
        </row>
        <row r="3153">
          <cell r="B3153" t="str">
            <v>İbrahimzadə Aysel İlqar</v>
          </cell>
          <cell r="C3153" t="str">
            <v>Ödəniş biznesinin mühəndislik ekspert mərkəzi</v>
          </cell>
          <cell r="D3153" t="str">
            <v>Softvvare chapter</v>
          </cell>
          <cell r="E3153" t="str">
            <v>#</v>
          </cell>
          <cell r="F3153" t="str">
            <v>Backend developer</v>
          </cell>
          <cell r="G3153" t="str">
            <v>A</v>
          </cell>
          <cell r="H3153">
            <v>44250</v>
          </cell>
        </row>
        <row r="3154">
          <cell r="B3154" t="str">
            <v>Kalujnikov Vladimir İvanoviç</v>
          </cell>
          <cell r="C3154" t="str">
            <v>FinTech mühəndislik ekspert mərkəzi</v>
          </cell>
          <cell r="D3154" t="str">
            <v>Softvvare chapter</v>
          </cell>
          <cell r="E3154" t="str">
            <v>#</v>
          </cell>
          <cell r="F3154" t="str">
            <v>Tech lead</v>
          </cell>
          <cell r="G3154" t="str">
            <v>A</v>
          </cell>
          <cell r="H3154">
            <v>43587</v>
          </cell>
        </row>
        <row r="3155">
          <cell r="B3155" t="str">
            <v>Həsənov Cavid Müşfiq</v>
          </cell>
          <cell r="C3155" t="str">
            <v>FinTech mühəndislik ekspert mərkəzi</v>
          </cell>
          <cell r="D3155" t="str">
            <v>Softvvare chapter</v>
          </cell>
          <cell r="E3155" t="str">
            <v>#</v>
          </cell>
          <cell r="F3155" t="str">
            <v>Tech Lead</v>
          </cell>
          <cell r="G3155" t="str">
            <v>A</v>
          </cell>
          <cell r="H3155">
            <v>43385</v>
          </cell>
        </row>
        <row r="3156">
          <cell r="B3156" t="str">
            <v>Əliyev Rauf Arif</v>
          </cell>
          <cell r="C3156" t="str">
            <v>Mühəndislik və texnoloji platformalar ekspert mərkəzi</v>
          </cell>
          <cell r="D3156" t="str">
            <v>Proqram mühəndisliyi funksional sahəsi</v>
          </cell>
          <cell r="E3156" t="str">
            <v>#</v>
          </cell>
          <cell r="F3156" t="str">
            <v>Funksional Lider</v>
          </cell>
          <cell r="G3156" t="str">
            <v>A</v>
          </cell>
          <cell r="H3156">
            <v>45323</v>
          </cell>
        </row>
        <row r="3157">
          <cell r="B3157" t="str">
            <v>Məmmədli Cümşüd Mais</v>
          </cell>
          <cell r="C3157" t="str">
            <v>FinTech mühəndislik ekspert mərkəzi</v>
          </cell>
          <cell r="D3157" t="str">
            <v>Softvvare chapter</v>
          </cell>
          <cell r="E3157" t="str">
            <v>#</v>
          </cell>
          <cell r="F3157" t="str">
            <v>Tech lead</v>
          </cell>
          <cell r="G3157" t="str">
            <v>A</v>
          </cell>
          <cell r="H3157">
            <v>43672</v>
          </cell>
        </row>
        <row r="3158">
          <cell r="B3158" t="str">
            <v>Rzayeva Ayşən Şakir</v>
          </cell>
          <cell r="C3158" t="str">
            <v>FinTech mühəndislik ekspert mərkəzi</v>
          </cell>
          <cell r="D3158" t="str">
            <v>Softvvare chapter</v>
          </cell>
          <cell r="E3158" t="str">
            <v>#</v>
          </cell>
          <cell r="F3158" t="str">
            <v>Backend developer</v>
          </cell>
          <cell r="G3158" t="str">
            <v>A</v>
          </cell>
          <cell r="H3158">
            <v>45099</v>
          </cell>
        </row>
        <row r="3159">
          <cell r="B3159" t="str">
            <v>Əliyev Ramil Elçin</v>
          </cell>
          <cell r="C3159" t="str">
            <v>FinTech mühəndislik ekspert mərkəzi</v>
          </cell>
          <cell r="D3159" t="str">
            <v>Softvvare chapter</v>
          </cell>
          <cell r="E3159" t="str">
            <v>#</v>
          </cell>
          <cell r="F3159" t="str">
            <v>Backend developer (0,5 ştat vahidi üzrə)</v>
          </cell>
          <cell r="G3159" t="str">
            <v>A</v>
          </cell>
          <cell r="H3159">
            <v>45758</v>
          </cell>
        </row>
        <row r="3160">
          <cell r="B3160" t="str">
            <v>Həşimova Günay Mübariz</v>
          </cell>
          <cell r="C3160" t="str">
            <v>Mühəndislik və texnoloji platformalar ekspert mərkəzi</v>
          </cell>
          <cell r="D3160" t="str">
            <v>Proqram mühəndisliyi funksional sahəsi</v>
          </cell>
          <cell r="E3160" t="str">
            <v>#</v>
          </cell>
          <cell r="F3160" t="str">
            <v>Backend developer</v>
          </cell>
          <cell r="G3160" t="str">
            <v>A</v>
          </cell>
          <cell r="H3160">
            <v>44791</v>
          </cell>
        </row>
        <row r="3161">
          <cell r="B3161" t="str">
            <v>Cəbiyev Cavid Sabit</v>
          </cell>
          <cell r="C3161" t="str">
            <v>Mühəndislik və texnoloji platformalar ekspert mərkəzi</v>
          </cell>
          <cell r="D3161" t="str">
            <v>Proqram mühəndisliyi funksional sahəsi</v>
          </cell>
          <cell r="E3161" t="str">
            <v>#</v>
          </cell>
          <cell r="F3161" t="str">
            <v>Backend developer</v>
          </cell>
          <cell r="G3161" t="str">
            <v>A</v>
          </cell>
          <cell r="H3161">
            <v>45947</v>
          </cell>
        </row>
        <row r="3162">
          <cell r="B3162" t="str">
            <v>Şıxəlizadə Amin Hamil</v>
          </cell>
          <cell r="C3162" t="str">
            <v>Ödəniş biznesinin mühəndislik ekspert mərkəzi</v>
          </cell>
          <cell r="D3162" t="str">
            <v>Softvvare chapter</v>
          </cell>
          <cell r="E3162" t="str">
            <v>#</v>
          </cell>
          <cell r="F3162" t="str">
            <v>Tech lead</v>
          </cell>
          <cell r="G3162" t="str">
            <v>A</v>
          </cell>
          <cell r="H3162">
            <v>45516</v>
          </cell>
        </row>
        <row r="3163">
          <cell r="B3163" t="str">
            <v>Hüseynov Səbuhi Samir</v>
          </cell>
          <cell r="C3163" t="str">
            <v>FinTech mühəndislik ekspert mərkəzi</v>
          </cell>
          <cell r="D3163" t="str">
            <v>Softvvare chapter</v>
          </cell>
          <cell r="E3163" t="str">
            <v>#</v>
          </cell>
          <cell r="F3163" t="str">
            <v>Backend developer</v>
          </cell>
          <cell r="G3163" t="str">
            <v>A</v>
          </cell>
          <cell r="H3163">
            <v>46174</v>
          </cell>
        </row>
        <row r="3164">
          <cell r="B3164" t="str">
            <v>Məsiyev Anar Araz</v>
          </cell>
          <cell r="C3164" t="str">
            <v>FinTech mühəndislik ekspert mərkəzi</v>
          </cell>
          <cell r="D3164" t="str">
            <v>Softvvare chapter</v>
          </cell>
          <cell r="E3164" t="str">
            <v>#</v>
          </cell>
          <cell r="F3164" t="str">
            <v>Backend developer</v>
          </cell>
          <cell r="G3164" t="str">
            <v>A</v>
          </cell>
          <cell r="H3164">
            <v>46198</v>
          </cell>
        </row>
        <row r="3165">
          <cell r="B3165" t="str">
            <v>Camalov Elvin Aqil</v>
          </cell>
          <cell r="C3165" t="str">
            <v>FinTech mühəndislik ekspert mərkəzi</v>
          </cell>
          <cell r="D3165" t="str">
            <v>Softvvare chapter</v>
          </cell>
          <cell r="E3165" t="str">
            <v>#</v>
          </cell>
          <cell r="F3165" t="str">
            <v>Funksional Lider</v>
          </cell>
          <cell r="G3165" t="str">
            <v>A</v>
          </cell>
          <cell r="H3165">
            <v>42768</v>
          </cell>
        </row>
        <row r="3166">
          <cell r="B3166" t="str">
            <v>Əliəsgərli Ələkbər İsmayıl</v>
          </cell>
          <cell r="C3166" t="str">
            <v>Mühəndislik və texnoloji platformalar ekspert mərkəzi</v>
          </cell>
          <cell r="D3166" t="str">
            <v>Proqram mühəndisliyi funksional sahəsi</v>
          </cell>
          <cell r="E3166" t="str">
            <v>#</v>
          </cell>
          <cell r="F3166" t="str">
            <v>Backend developer</v>
          </cell>
          <cell r="G3166" t="str">
            <v>A</v>
          </cell>
          <cell r="H3166">
            <v>43936</v>
          </cell>
        </row>
        <row r="3167">
          <cell r="B3167" t="str">
            <v>Şükürbəyli Turan Mövlan</v>
          </cell>
          <cell r="C3167" t="str">
            <v>FinTech mühəndislik ekspert mərkəzi</v>
          </cell>
          <cell r="D3167" t="str">
            <v>Softvvare chapter</v>
          </cell>
          <cell r="E3167" t="str">
            <v>#</v>
          </cell>
          <cell r="F3167" t="str">
            <v>Backend developer</v>
          </cell>
          <cell r="G3167" t="str">
            <v>A</v>
          </cell>
          <cell r="H3167">
            <v>45233</v>
          </cell>
        </row>
        <row r="3168">
          <cell r="B3168" t="str">
            <v>Həmidbəyli Həmid Sərxan</v>
          </cell>
          <cell r="C3168" t="str">
            <v>FinTech mühəndislik ekspert mərkəzi</v>
          </cell>
          <cell r="D3168" t="str">
            <v>Softvvare chapter</v>
          </cell>
          <cell r="E3168" t="str">
            <v>#</v>
          </cell>
          <cell r="F3168" t="str">
            <v>Backend developer</v>
          </cell>
          <cell r="G3168" t="str">
            <v>A</v>
          </cell>
          <cell r="H3168">
            <v>45945</v>
          </cell>
        </row>
        <row r="3169">
          <cell r="B3169" t="str">
            <v>Xələfov Elvin Şəfaqət</v>
          </cell>
          <cell r="C3169" t="str">
            <v>FinTech mühəndislik ekspert mərkəzi</v>
          </cell>
          <cell r="D3169" t="str">
            <v>Softvvare chapter</v>
          </cell>
          <cell r="E3169" t="str">
            <v>#</v>
          </cell>
          <cell r="F3169" t="str">
            <v>Backend developer</v>
          </cell>
          <cell r="G3169" t="str">
            <v>A</v>
          </cell>
          <cell r="H3169">
            <v>45789</v>
          </cell>
        </row>
        <row r="3170">
          <cell r="B3170" t="str">
            <v>Dəmirli Zəka Zahid</v>
          </cell>
          <cell r="C3170" t="str">
            <v>FinTech mühəndislik ekspert mərkəzi</v>
          </cell>
          <cell r="D3170" t="str">
            <v>Softvvare chapter</v>
          </cell>
          <cell r="E3170" t="str">
            <v>#</v>
          </cell>
          <cell r="F3170" t="str">
            <v>Backend developer</v>
          </cell>
          <cell r="G3170" t="str">
            <v>A</v>
          </cell>
          <cell r="H3170">
            <v>46164</v>
          </cell>
        </row>
        <row r="3171">
          <cell r="B3171" t="str">
            <v>Qasımov Rəşad Elburus</v>
          </cell>
          <cell r="C3171" t="str">
            <v>FinTech mühəndislik ekspert mərkəzi</v>
          </cell>
          <cell r="D3171" t="str">
            <v>Softvvare chapter</v>
          </cell>
          <cell r="E3171" t="str">
            <v>#</v>
          </cell>
          <cell r="F3171" t="str">
            <v>Backend developer</v>
          </cell>
          <cell r="G3171" t="str">
            <v>A</v>
          </cell>
          <cell r="H3171">
            <v>45750</v>
          </cell>
        </row>
        <row r="3172">
          <cell r="B3172" t="str">
            <v>Əmirov Amil Araz</v>
          </cell>
          <cell r="C3172" t="str">
            <v>FinTech mühəndislik ekspert mərkəzi</v>
          </cell>
          <cell r="D3172" t="str">
            <v>Softvvare chapter</v>
          </cell>
          <cell r="E3172" t="str">
            <v>#</v>
          </cell>
          <cell r="F3172" t="str">
            <v>Backend developer</v>
          </cell>
          <cell r="G3172" t="str">
            <v>A</v>
          </cell>
          <cell r="H3172">
            <v>45751</v>
          </cell>
        </row>
        <row r="3173">
          <cell r="B3173" t="str">
            <v>Əmirov Cəsarət Tahir</v>
          </cell>
          <cell r="C3173" t="str">
            <v>FinTech mühəndislik ekspert mərkəzi</v>
          </cell>
          <cell r="D3173" t="str">
            <v>Softvvare chapter</v>
          </cell>
          <cell r="E3173" t="str">
            <v>#</v>
          </cell>
          <cell r="F3173" t="str">
            <v>Backend developer</v>
          </cell>
          <cell r="G3173" t="str">
            <v>A</v>
          </cell>
          <cell r="H3173">
            <v>43619</v>
          </cell>
        </row>
        <row r="3174">
          <cell r="B3174" t="str">
            <v>Teymurlu Rəşid Rafiq</v>
          </cell>
          <cell r="C3174" t="str">
            <v>Mühəndislik və texnoloji platformalar ekspert mərkəzi</v>
          </cell>
          <cell r="D3174" t="str">
            <v>Proqram mühəndisliyi funksional sahəsi</v>
          </cell>
          <cell r="E3174" t="str">
            <v>#</v>
          </cell>
          <cell r="F3174" t="str">
            <v>Backend developer</v>
          </cell>
          <cell r="G3174" t="str">
            <v>A</v>
          </cell>
          <cell r="H3174">
            <v>45531</v>
          </cell>
        </row>
        <row r="3175">
          <cell r="B3175" t="str">
            <v>Hacıyev Asif Bəxtiyar</v>
          </cell>
          <cell r="C3175" t="str">
            <v>FinTech mühəndislik ekspert mərkəzi</v>
          </cell>
          <cell r="D3175" t="str">
            <v>Softvvare chapter</v>
          </cell>
          <cell r="E3175" t="str">
            <v>#</v>
          </cell>
          <cell r="F3175" t="str">
            <v>Tech lead</v>
          </cell>
          <cell r="G3175" t="str">
            <v>A</v>
          </cell>
          <cell r="H3175">
            <v>44246</v>
          </cell>
        </row>
        <row r="3176">
          <cell r="B3176" t="str">
            <v>Əliyev Novruz Fikrət</v>
          </cell>
          <cell r="C3176" t="str">
            <v>FinTech mühəndislik ekspert mərkəzi</v>
          </cell>
          <cell r="D3176" t="str">
            <v>Softvvare chapter</v>
          </cell>
          <cell r="E3176" t="str">
            <v>#</v>
          </cell>
          <cell r="F3176" t="str">
            <v>Backend developer</v>
          </cell>
          <cell r="G3176" t="str">
            <v>A</v>
          </cell>
          <cell r="H3176">
            <v>44299</v>
          </cell>
        </row>
        <row r="3177">
          <cell r="B3177" t="str">
            <v>Məmmədəliyev Nadir Niyar</v>
          </cell>
          <cell r="C3177" t="str">
            <v>FinTech mühəndislik ekspert mərkəzi</v>
          </cell>
          <cell r="D3177" t="str">
            <v>Softvvare chapter</v>
          </cell>
          <cell r="E3177" t="str">
            <v>#</v>
          </cell>
          <cell r="F3177" t="str">
            <v>Backend developer</v>
          </cell>
          <cell r="G3177" t="str">
            <v>A</v>
          </cell>
          <cell r="H3177">
            <v>44743</v>
          </cell>
        </row>
        <row r="3178">
          <cell r="B3178" t="str">
            <v>Əhmədova Nigar Vüqar</v>
          </cell>
          <cell r="C3178" t="str">
            <v>FinTech mühəndislik ekspert mərkəzi</v>
          </cell>
          <cell r="D3178" t="str">
            <v>Softvvare chapter</v>
          </cell>
          <cell r="E3178" t="str">
            <v>#</v>
          </cell>
          <cell r="F3178" t="str">
            <v>Frontend developer</v>
          </cell>
          <cell r="G3178" t="str">
            <v>SM</v>
          </cell>
          <cell r="H3178">
            <v>43864</v>
          </cell>
        </row>
        <row r="3179">
          <cell r="B3179" t="str">
            <v>Lixmanova Kamila Tahir</v>
          </cell>
          <cell r="C3179" t="str">
            <v>FinTech mühəndislik ekspert mərkəzi</v>
          </cell>
          <cell r="D3179" t="str">
            <v>Softvvare chapter</v>
          </cell>
          <cell r="E3179" t="str">
            <v>#</v>
          </cell>
          <cell r="F3179" t="str">
            <v>Frontend developer (müvəqqəti)</v>
          </cell>
          <cell r="G3179" t="str">
            <v>A</v>
          </cell>
          <cell r="H3179">
            <v>45639</v>
          </cell>
        </row>
        <row r="3180">
          <cell r="B3180" t="str">
            <v>Qurbanzadə Fidan Cövdət</v>
          </cell>
          <cell r="C3180" t="str">
            <v>FinTech mühəndislik ekspert mərkəzi</v>
          </cell>
          <cell r="D3180" t="str">
            <v>Softvvare chapter</v>
          </cell>
          <cell r="E3180" t="str">
            <v>#</v>
          </cell>
          <cell r="F3180" t="str">
            <v>Frontend developer</v>
          </cell>
          <cell r="G3180" t="str">
            <v>A</v>
          </cell>
          <cell r="H3180">
            <v>44537</v>
          </cell>
        </row>
        <row r="3181">
          <cell r="B3181" t="str">
            <v>Mahmudov Emil Zakir</v>
          </cell>
          <cell r="C3181" t="str">
            <v>FinTech mühəndislik ekspert mərkəzi</v>
          </cell>
          <cell r="D3181" t="str">
            <v>Softvvare chapter</v>
          </cell>
          <cell r="E3181" t="str">
            <v>#</v>
          </cell>
          <cell r="F3181" t="str">
            <v>Frontend developer</v>
          </cell>
          <cell r="G3181" t="str">
            <v>A</v>
          </cell>
          <cell r="H3181">
            <v>46086</v>
          </cell>
        </row>
        <row r="3182">
          <cell r="B3182" t="str">
            <v>Həşimov Rauf Malik</v>
          </cell>
          <cell r="C3182" t="str">
            <v>FinTech mühəndislik ekspert mərkəzi</v>
          </cell>
          <cell r="D3182" t="str">
            <v>Softvvare chapter</v>
          </cell>
          <cell r="E3182" t="str">
            <v>#</v>
          </cell>
          <cell r="F3182" t="str">
            <v>Funksional Lider</v>
          </cell>
          <cell r="G3182" t="str">
            <v>A</v>
          </cell>
          <cell r="H3182">
            <v>44718</v>
          </cell>
        </row>
        <row r="3183">
          <cell r="B3183" t="str">
            <v>Kərimli Tərlan Abdulxalıq</v>
          </cell>
          <cell r="C3183" t="str">
            <v>Mühəndislik və texnoloji platformalar ekspert mərkəzi</v>
          </cell>
          <cell r="D3183" t="str">
            <v>Proqram mühəndisliyi funksional sahəsi</v>
          </cell>
          <cell r="E3183" t="str">
            <v>#</v>
          </cell>
          <cell r="F3183" t="str">
            <v>Frontend developer</v>
          </cell>
          <cell r="G3183" t="str">
            <v>A</v>
          </cell>
          <cell r="H3183">
            <v>44207</v>
          </cell>
        </row>
        <row r="3184">
          <cell r="B3184" t="str">
            <v>Hüseynova Sürəyya Həzrətbulud</v>
          </cell>
          <cell r="C3184" t="str">
            <v>FinTech mühəndislik ekspert mərkəzi</v>
          </cell>
          <cell r="D3184" t="str">
            <v>Softvvare chapter</v>
          </cell>
          <cell r="E3184" t="str">
            <v>#</v>
          </cell>
          <cell r="F3184" t="str">
            <v>Frontend developer</v>
          </cell>
          <cell r="G3184" t="str">
            <v>A</v>
          </cell>
          <cell r="H3184">
            <v>44238</v>
          </cell>
        </row>
        <row r="3185">
          <cell r="B3185" t="str">
            <v>İslamlı Tural İslam</v>
          </cell>
          <cell r="C3185" t="str">
            <v>FinTech mühəndislik ekspert mərkəzi</v>
          </cell>
          <cell r="D3185" t="str">
            <v>Softvvare chapter</v>
          </cell>
          <cell r="E3185" t="str">
            <v>#</v>
          </cell>
          <cell r="F3185" t="str">
            <v>Frontend developer</v>
          </cell>
          <cell r="G3185" t="str">
            <v>A</v>
          </cell>
          <cell r="H3185">
            <v>45176</v>
          </cell>
        </row>
        <row r="3186">
          <cell r="B3186" t="str">
            <v>Kərimli Rüfət Fazil</v>
          </cell>
          <cell r="C3186" t="str">
            <v>FinTech mühəndislik ekspert mərkəzi</v>
          </cell>
          <cell r="D3186" t="str">
            <v>Softvvare chapter</v>
          </cell>
          <cell r="E3186" t="str">
            <v>#</v>
          </cell>
          <cell r="F3186" t="str">
            <v>Frontend developer</v>
          </cell>
          <cell r="G3186" t="str">
            <v>A</v>
          </cell>
          <cell r="H3186">
            <v>44743</v>
          </cell>
        </row>
        <row r="3187">
          <cell r="B3187" t="str">
            <v>Quliyev Aydın Kazım</v>
          </cell>
          <cell r="C3187" t="str">
            <v>FinTech mühəndislik ekspert mərkəzi</v>
          </cell>
          <cell r="D3187" t="str">
            <v>Softvvare chapter</v>
          </cell>
          <cell r="E3187" t="str">
            <v>#</v>
          </cell>
          <cell r="F3187" t="str">
            <v>Frontend developer</v>
          </cell>
          <cell r="G3187" t="str">
            <v>A</v>
          </cell>
          <cell r="H3187">
            <v>44238</v>
          </cell>
        </row>
        <row r="3188">
          <cell r="B3188" t="str">
            <v>Əsədov Valeh Oqtay</v>
          </cell>
          <cell r="C3188" t="str">
            <v>Ödəniş biznesinin mühəndislik ekspert mərkəzi</v>
          </cell>
          <cell r="D3188" t="str">
            <v>Softvvare chapter</v>
          </cell>
          <cell r="E3188" t="str">
            <v>#</v>
          </cell>
          <cell r="F3188" t="str">
            <v>Funksional lider</v>
          </cell>
          <cell r="G3188" t="str">
            <v>A</v>
          </cell>
          <cell r="H3188">
            <v>45159</v>
          </cell>
        </row>
        <row r="3189">
          <cell r="B3189" t="str">
            <v>Ağayev Əşrəf Azər</v>
          </cell>
          <cell r="C3189" t="str">
            <v>Ödəniş biznesinin mühəndislik ekspert mərkəzi</v>
          </cell>
          <cell r="D3189" t="str">
            <v>Softvvare chapter</v>
          </cell>
          <cell r="E3189" t="str">
            <v>#</v>
          </cell>
          <cell r="F3189" t="str">
            <v>Mobile developer</v>
          </cell>
          <cell r="G3189" t="str">
            <v>A</v>
          </cell>
          <cell r="H3189">
            <v>44942</v>
          </cell>
        </row>
        <row r="3190">
          <cell r="B3190" t="str">
            <v>Mürsəliyeva Şəlalə Eldəniz</v>
          </cell>
          <cell r="C3190" t="str">
            <v>Ödəniş biznesinin mühəndislik ekspert mərkəzi</v>
          </cell>
          <cell r="D3190" t="str">
            <v>Softvvare chapter</v>
          </cell>
          <cell r="E3190" t="str">
            <v>#</v>
          </cell>
          <cell r="F3190" t="str">
            <v>Mobile developer</v>
          </cell>
          <cell r="G3190" t="str">
            <v>A</v>
          </cell>
          <cell r="H3190">
            <v>46057</v>
          </cell>
        </row>
        <row r="3191">
          <cell r="B3191" t="str">
            <v>Kərimov Eldar Valeh</v>
          </cell>
          <cell r="C3191" t="str">
            <v>Ödəniş biznesinin mühəndislik ekspert mərkəzi</v>
          </cell>
          <cell r="D3191" t="str">
            <v>Softvvare chapter</v>
          </cell>
          <cell r="E3191" t="str">
            <v>#</v>
          </cell>
          <cell r="F3191" t="str">
            <v>Mobile developer</v>
          </cell>
          <cell r="G3191" t="str">
            <v>A</v>
          </cell>
          <cell r="H3191">
            <v>46038</v>
          </cell>
        </row>
        <row r="3192">
          <cell r="B3192" t="str">
            <v>Umuxanov Şahin Tağı</v>
          </cell>
          <cell r="C3192" t="str">
            <v>Ödəniş biznesinin mühəndislik ekspert mərkəzi</v>
          </cell>
          <cell r="D3192" t="str">
            <v>Softvvare chapter</v>
          </cell>
          <cell r="E3192" t="str">
            <v>#</v>
          </cell>
          <cell r="F3192" t="str">
            <v>Mobile developer</v>
          </cell>
          <cell r="G3192" t="str">
            <v>A</v>
          </cell>
          <cell r="H3192">
            <v>45861</v>
          </cell>
        </row>
        <row r="3193">
          <cell r="B3193" t="str">
            <v>Məmmədov Məhəmməd Şahin</v>
          </cell>
          <cell r="C3193" t="str">
            <v>FinTech mühəndislik ekspert mərkəzi</v>
          </cell>
          <cell r="D3193" t="str">
            <v>Softvvare chapter</v>
          </cell>
          <cell r="E3193" t="str">
            <v>#</v>
          </cell>
          <cell r="F3193" t="str">
            <v>Mobile developer</v>
          </cell>
          <cell r="G3193" t="str">
            <v>A</v>
          </cell>
          <cell r="H3193">
            <v>45796</v>
          </cell>
        </row>
        <row r="3194">
          <cell r="B3194" t="str">
            <v>Mehdiyev Elşad Sərvər</v>
          </cell>
          <cell r="C3194" t="str">
            <v>Ödəniş biznesinin mühəndislik ekspert mərkəzi</v>
          </cell>
          <cell r="D3194" t="str">
            <v>Softvvare chapter</v>
          </cell>
          <cell r="E3194" t="str">
            <v>#</v>
          </cell>
          <cell r="F3194" t="str">
            <v>Mobile developer</v>
          </cell>
          <cell r="G3194" t="str">
            <v>A</v>
          </cell>
          <cell r="H3194">
            <v>45698</v>
          </cell>
        </row>
        <row r="3195">
          <cell r="B3195" t="str">
            <v>Məmmədli Gürşad Məhəmməd</v>
          </cell>
          <cell r="C3195" t="str">
            <v>Ödəniş biznesinin mühəndislik ekspert mərkəzi</v>
          </cell>
          <cell r="D3195" t="str">
            <v>Softvvare chapter</v>
          </cell>
          <cell r="E3195" t="str">
            <v>#</v>
          </cell>
          <cell r="F3195" t="str">
            <v>Mobile developer</v>
          </cell>
          <cell r="G3195" t="str">
            <v>A</v>
          </cell>
          <cell r="H3195">
            <v>45384</v>
          </cell>
        </row>
        <row r="3196">
          <cell r="B3196" t="str">
            <v>Abasov Səxavət Nəcasil</v>
          </cell>
          <cell r="C3196" t="str">
            <v>Ödəniş biznesinin mühəndislik ekspert mərkəzi</v>
          </cell>
          <cell r="D3196" t="str">
            <v>Softvvare chapter</v>
          </cell>
          <cell r="E3196" t="str">
            <v>#</v>
          </cell>
          <cell r="F3196" t="str">
            <v>Mobile developer</v>
          </cell>
          <cell r="G3196" t="str">
            <v>A</v>
          </cell>
          <cell r="H3196">
            <v>45482</v>
          </cell>
        </row>
        <row r="3197">
          <cell r="B3197" t="str">
            <v>Mehmandarova Nərmin Azər</v>
          </cell>
          <cell r="C3197" t="str">
            <v>FinTech mühəndislik ekspert mərkəzi</v>
          </cell>
          <cell r="D3197" t="str">
            <v>Softvvare chapter</v>
          </cell>
          <cell r="E3197" t="str">
            <v>#</v>
          </cell>
          <cell r="F3197" t="str">
            <v>Funksional Lider</v>
          </cell>
          <cell r="G3197" t="str">
            <v>A</v>
          </cell>
          <cell r="H3197">
            <v>44032</v>
          </cell>
        </row>
        <row r="3198">
          <cell r="B3198" t="str">
            <v>Qurbanlı Aysu Azər</v>
          </cell>
          <cell r="C3198" t="str">
            <v>FinTech mühəndislik ekspert mərkəzi</v>
          </cell>
          <cell r="D3198" t="str">
            <v>Softvvare chapter</v>
          </cell>
          <cell r="E3198" t="str">
            <v>#</v>
          </cell>
          <cell r="F3198" t="str">
            <v>Sistem developer</v>
          </cell>
          <cell r="G3198" t="str">
            <v>A</v>
          </cell>
          <cell r="H3198">
            <v>45621</v>
          </cell>
        </row>
        <row r="3199">
          <cell r="B3199" t="str">
            <v>Əsədova Ləman Sərkar</v>
          </cell>
          <cell r="C3199" t="str">
            <v>FinTech mühəndislik ekspert mərkəzi</v>
          </cell>
          <cell r="D3199" t="str">
            <v>Softvvare chapter</v>
          </cell>
          <cell r="E3199" t="str">
            <v>#</v>
          </cell>
          <cell r="F3199" t="str">
            <v>Sistem developer</v>
          </cell>
          <cell r="G3199" t="str">
            <v>A</v>
          </cell>
          <cell r="H3199">
            <v>44992</v>
          </cell>
        </row>
        <row r="3200">
          <cell r="B3200" t="str">
            <v>Ağayeva Vüsalə Tərlan</v>
          </cell>
          <cell r="C3200" t="str">
            <v>FinTech mühəndislik ekspert mərkəzi</v>
          </cell>
          <cell r="D3200" t="str">
            <v>Softvvare chapter</v>
          </cell>
          <cell r="E3200" t="str">
            <v>#</v>
          </cell>
          <cell r="F3200" t="str">
            <v>Sistem developer</v>
          </cell>
          <cell r="G3200" t="str">
            <v>A</v>
          </cell>
          <cell r="H3200">
            <v>45196</v>
          </cell>
        </row>
        <row r="3201">
          <cell r="B3201" t="str">
            <v>MURADOV RUSLAN XXX</v>
          </cell>
          <cell r="C3201" t="str">
            <v>Mühəndislik və texnoloji platformalar ekspert mərkəzi</v>
          </cell>
          <cell r="D3201" t="str">
            <v>Proqram mühəndisliyi funksional sahəsi</v>
          </cell>
          <cell r="E3201" t="str">
            <v>#</v>
          </cell>
          <cell r="F3201" t="str">
            <v>Funksional sahə lideri</v>
          </cell>
          <cell r="G3201" t="str">
            <v>A</v>
          </cell>
          <cell r="H3201">
            <v>45567</v>
          </cell>
        </row>
        <row r="3202">
          <cell r="B3202" t="str">
            <v>Cəfərov Vüqar Qəzənfər</v>
          </cell>
          <cell r="C3202" t="str">
            <v>Ödəniş biznesinin mühəndislik ekspert mərkəzi</v>
          </cell>
          <cell r="D3202" t="str">
            <v>QA chapter</v>
          </cell>
          <cell r="E3202" t="str">
            <v>#</v>
          </cell>
          <cell r="F3202" t="str">
            <v>Funksional lider</v>
          </cell>
          <cell r="G3202" t="str">
            <v>A</v>
          </cell>
          <cell r="H3202">
            <v>45748</v>
          </cell>
        </row>
        <row r="3203">
          <cell r="B3203" t="str">
            <v>Əliyev Elmdar Yadigar</v>
          </cell>
          <cell r="C3203" t="str">
            <v>Mühəndislik və texnoloji platformalar ekspert mərkəzi</v>
          </cell>
          <cell r="D3203" t="str">
            <v>Proqram mühəndisliyi funksional sahəsi</v>
          </cell>
          <cell r="E3203" t="str">
            <v>#</v>
          </cell>
          <cell r="F3203" t="str">
            <v>Funksional lider</v>
          </cell>
          <cell r="G3203" t="str">
            <v>A</v>
          </cell>
          <cell r="H3203">
            <v>45070</v>
          </cell>
        </row>
        <row r="3204">
          <cell r="B3204" t="str">
            <v>Hüseynzadə Qalib Nicat</v>
          </cell>
          <cell r="C3204" t="str">
            <v>Mühəndislik və texnoloji platformalar ekspert mərkəzi</v>
          </cell>
          <cell r="D3204" t="str">
            <v>Proqram mühəndisliyi funksional sahəsi</v>
          </cell>
          <cell r="E3204" t="str">
            <v>#</v>
          </cell>
          <cell r="F3204" t="str">
            <v>SDET mühəndis</v>
          </cell>
          <cell r="G3204" t="str">
            <v>A</v>
          </cell>
          <cell r="H3204">
            <v>46029</v>
          </cell>
        </row>
        <row r="3205">
          <cell r="B3205" t="str">
            <v>GRİGOREV ALEKSANDR</v>
          </cell>
          <cell r="C3205" t="str">
            <v>Mühəndislik və texnoloji platformalar ekspert mərkəzi</v>
          </cell>
          <cell r="D3205" t="str">
            <v>Proqram mühəndisliyi funksional sahəsi</v>
          </cell>
          <cell r="E3205" t="str">
            <v>#</v>
          </cell>
          <cell r="F3205" t="str">
            <v>Load mühəndis</v>
          </cell>
          <cell r="G3205" t="str">
            <v>A</v>
          </cell>
          <cell r="H3205">
            <v>45870</v>
          </cell>
        </row>
        <row r="3206">
          <cell r="B3206" t="str">
            <v>Kərimov Ülvi Söhbət</v>
          </cell>
          <cell r="C3206" t="str">
            <v>Mühəndislik və texnoloji platformalar ekspert mərkəzi</v>
          </cell>
          <cell r="D3206" t="str">
            <v>Proqram mühəndisliyi funksional sahəsi</v>
          </cell>
          <cell r="E3206" t="str">
            <v>#</v>
          </cell>
          <cell r="F3206" t="str">
            <v>Load mühəndis</v>
          </cell>
          <cell r="G3206" t="str">
            <v>A</v>
          </cell>
          <cell r="H3206">
            <v>46010</v>
          </cell>
        </row>
        <row r="3207">
          <cell r="B3207" t="str">
            <v>Ağayev Kamal Şahin</v>
          </cell>
          <cell r="C3207" t="str">
            <v>Mühəndislik və texnoloji platformalar ekspert mərkəzi</v>
          </cell>
          <cell r="D3207" t="str">
            <v>Proqram mühəndisliyi funksional sahəsi</v>
          </cell>
          <cell r="E3207" t="str">
            <v>#</v>
          </cell>
          <cell r="F3207" t="str">
            <v>Load mühəndis</v>
          </cell>
          <cell r="G3207" t="str">
            <v>A</v>
          </cell>
          <cell r="H3207">
            <v>46125</v>
          </cell>
        </row>
        <row r="3208">
          <cell r="B3208" t="str">
            <v>Yusifli Mahmud Yusif</v>
          </cell>
          <cell r="C3208" t="str">
            <v>Mühəndislik və texnoloji platformalar ekspert mərkəzi</v>
          </cell>
          <cell r="D3208" t="str">
            <v>Proqram mühəndisliyi funksional sahəsi</v>
          </cell>
          <cell r="E3208" t="str">
            <v>#</v>
          </cell>
          <cell r="F3208" t="str">
            <v>Load mühəndis</v>
          </cell>
          <cell r="G3208" t="str">
            <v>A</v>
          </cell>
          <cell r="H3208">
            <v>46097</v>
          </cell>
        </row>
        <row r="3209">
          <cell r="B3209" t="str">
            <v>MIRZOYEV RAUF</v>
          </cell>
          <cell r="C3209" t="str">
            <v>Ödəniş biznesinin mühəndislik ekspert mərkəzi</v>
          </cell>
          <cell r="D3209" t="str">
            <v>QA chapter</v>
          </cell>
          <cell r="E3209" t="str">
            <v>#</v>
          </cell>
          <cell r="F3209" t="str">
            <v>Funksional lider</v>
          </cell>
          <cell r="G3209" t="str">
            <v>A</v>
          </cell>
          <cell r="H3209">
            <v>45644</v>
          </cell>
        </row>
        <row r="3210">
          <cell r="B3210" t="str">
            <v>Cavadov Ayxan Nofəl</v>
          </cell>
          <cell r="C3210" t="str">
            <v>Ödəniş biznesinin mühəndislik ekspert mərkəzi</v>
          </cell>
          <cell r="D3210" t="str">
            <v>QA chapter</v>
          </cell>
          <cell r="E3210" t="str">
            <v>#</v>
          </cell>
          <cell r="F3210" t="str">
            <v>QA mühəndis</v>
          </cell>
          <cell r="G3210" t="str">
            <v>A</v>
          </cell>
          <cell r="H3210">
            <v>46016</v>
          </cell>
        </row>
        <row r="3211">
          <cell r="B3211" t="str">
            <v>Qurbanbəyov Tələt Ehtibar</v>
          </cell>
          <cell r="C3211" t="str">
            <v>Ödəniş biznesinin mühəndislik ekspert mərkəzi</v>
          </cell>
          <cell r="D3211" t="str">
            <v>QA chapter</v>
          </cell>
          <cell r="E3211" t="str">
            <v>#</v>
          </cell>
          <cell r="F3211" t="str">
            <v>QA mühəndis</v>
          </cell>
          <cell r="G3211" t="str">
            <v>A</v>
          </cell>
          <cell r="H3211">
            <v>45708</v>
          </cell>
        </row>
        <row r="3212">
          <cell r="B3212" t="str">
            <v>Yusifli Pərvin Bəhruz</v>
          </cell>
          <cell r="C3212" t="str">
            <v>Mühəndislik və texnoloji platformalar ekspert mərkəzi</v>
          </cell>
          <cell r="D3212" t="str">
            <v>Proqram mühəndisliyi funksional sahəsi</v>
          </cell>
          <cell r="E3212" t="str">
            <v>#</v>
          </cell>
          <cell r="F3212" t="str">
            <v>Funksional lider</v>
          </cell>
          <cell r="G3212" t="str">
            <v>A</v>
          </cell>
          <cell r="H3212">
            <v>45866</v>
          </cell>
        </row>
        <row r="3213">
          <cell r="B3213" t="str">
            <v>SAPHAROVA LAMIA</v>
          </cell>
          <cell r="C3213" t="str">
            <v>Ödəniş biznesinin mühəndislik ekspert mərkəzi</v>
          </cell>
          <cell r="D3213" t="str">
            <v>QA chapter</v>
          </cell>
          <cell r="E3213" t="str">
            <v>#</v>
          </cell>
          <cell r="F3213" t="str">
            <v>QA mühəndis</v>
          </cell>
          <cell r="G3213" t="str">
            <v>A</v>
          </cell>
          <cell r="H3213">
            <v>45624</v>
          </cell>
        </row>
        <row r="3214">
          <cell r="B3214" t="str">
            <v>İsgəndərli Rəsul Qabil</v>
          </cell>
          <cell r="C3214" t="str">
            <v>Ödəniş biznesinin mühəndislik ekspert mərkəzi</v>
          </cell>
          <cell r="D3214" t="str">
            <v>QA chapter</v>
          </cell>
          <cell r="E3214" t="str">
            <v>#</v>
          </cell>
          <cell r="F3214" t="str">
            <v>QA mühəndis</v>
          </cell>
          <cell r="G3214" t="str">
            <v>A</v>
          </cell>
          <cell r="H3214">
            <v>45845</v>
          </cell>
        </row>
        <row r="3215">
          <cell r="B3215" t="str">
            <v>Novruzova Samirə Ceyhun</v>
          </cell>
          <cell r="C3215" t="str">
            <v>FinTech mühəndislik ekspert mərkəzi</v>
          </cell>
          <cell r="D3215" t="str">
            <v>QA chapter</v>
          </cell>
          <cell r="E3215" t="str">
            <v>#</v>
          </cell>
          <cell r="F3215" t="str">
            <v>QA mühəndis</v>
          </cell>
          <cell r="G3215" t="str">
            <v>A</v>
          </cell>
          <cell r="H3215">
            <v>46031</v>
          </cell>
        </row>
        <row r="3216">
          <cell r="B3216" t="str">
            <v>Zeynalabdinov Mikayıl Elman</v>
          </cell>
          <cell r="C3216" t="str">
            <v>Ödəniş biznesinin mühəndislik ekspert mərkəzi</v>
          </cell>
          <cell r="D3216" t="str">
            <v>QA chapter</v>
          </cell>
          <cell r="E3216" t="str">
            <v>#</v>
          </cell>
          <cell r="F3216" t="str">
            <v>QA mühəndis</v>
          </cell>
          <cell r="G3216" t="str">
            <v>A</v>
          </cell>
          <cell r="H3216">
            <v>45992</v>
          </cell>
        </row>
        <row r="3217">
          <cell r="B3217" t="str">
            <v>Əliağayeva Türkan Sadiq</v>
          </cell>
          <cell r="C3217" t="str">
            <v>Ödəniş biznesinin mühəndislik ekspert mərkəzi</v>
          </cell>
          <cell r="D3217" t="str">
            <v>QA chapter</v>
          </cell>
          <cell r="E3217" t="str">
            <v>#</v>
          </cell>
          <cell r="F3217" t="str">
            <v>QA mühəndis</v>
          </cell>
          <cell r="G3217" t="str">
            <v>A</v>
          </cell>
          <cell r="H3217">
            <v>46273</v>
          </cell>
        </row>
        <row r="3218">
          <cell r="B3218" t="str">
            <v>Məmmədova Qumral Hamlet</v>
          </cell>
          <cell r="C3218" t="str">
            <v>Ödəniş biznesinin mühəndislik ekspert mərkəzi</v>
          </cell>
          <cell r="D3218" t="str">
            <v>QA chapter</v>
          </cell>
          <cell r="E3218" t="str">
            <v>#</v>
          </cell>
          <cell r="F3218" t="str">
            <v>QA mühəndis</v>
          </cell>
          <cell r="G3218" t="str">
            <v>A</v>
          </cell>
          <cell r="H3218">
            <v>46274</v>
          </cell>
        </row>
        <row r="3219">
          <cell r="B3219" t="str">
            <v>Zeynallı Zöhrab Zeynal</v>
          </cell>
          <cell r="C3219" t="str">
            <v>Mühəndislik və texnoloji platformalar ekspert mərkəzi</v>
          </cell>
          <cell r="D3219" t="str">
            <v>Proqram mühəndisliyi funksional sahəsi</v>
          </cell>
          <cell r="E3219" t="str">
            <v>#</v>
          </cell>
          <cell r="F3219" t="str">
            <v>QA mühəndis</v>
          </cell>
          <cell r="G3219" t="str">
            <v>A</v>
          </cell>
          <cell r="H3219">
            <v>46007</v>
          </cell>
        </row>
        <row r="3220">
          <cell r="B3220" t="str">
            <v>İbrahimova Aytac Ramiz</v>
          </cell>
          <cell r="C3220" t="str">
            <v>Mühəndislik və texnoloji platformalar ekspert mərkəzi</v>
          </cell>
          <cell r="D3220" t="str">
            <v>Proqram mühəndisliyi funksional sahəsi</v>
          </cell>
          <cell r="E3220" t="str">
            <v>#</v>
          </cell>
          <cell r="F3220" t="str">
            <v>QA mühəndis</v>
          </cell>
          <cell r="G3220" t="str">
            <v>A</v>
          </cell>
          <cell r="H3220">
            <v>46259</v>
          </cell>
        </row>
        <row r="3221">
          <cell r="B3221" t="str">
            <v>Güləliyev Elnur Füzuli</v>
          </cell>
          <cell r="C3221" t="str">
            <v>Mühəndislik və texnoloji platformalar ekspert mərkəzi</v>
          </cell>
          <cell r="D3221" t="str">
            <v>Proqram mühəndisliyi funksional sahəsi</v>
          </cell>
          <cell r="E3221" t="str">
            <v>#</v>
          </cell>
          <cell r="F3221" t="str">
            <v>QA mühəndis</v>
          </cell>
          <cell r="G3221" t="str">
            <v>A</v>
          </cell>
          <cell r="H3221">
            <v>46260</v>
          </cell>
        </row>
        <row r="3222">
          <cell r="B3222" t="str">
            <v>Asdanlı Vüqar Mərdan</v>
          </cell>
          <cell r="C3222" t="str">
            <v>Mühəndislik və texnoloji platformalar ekspert mərkəzi</v>
          </cell>
          <cell r="D3222" t="str">
            <v>Proqram mühəndisliyi funksional sahəsi</v>
          </cell>
          <cell r="E3222" t="str">
            <v>#</v>
          </cell>
          <cell r="F3222" t="str">
            <v>QA mühəndis</v>
          </cell>
          <cell r="G3222" t="str">
            <v>A</v>
          </cell>
          <cell r="H3222">
            <v>46154</v>
          </cell>
        </row>
        <row r="3223">
          <cell r="B3223" t="str">
            <v>Tağıyev İsmayıl Qurban</v>
          </cell>
          <cell r="C3223" t="str">
            <v>Mühəndislik və texnoloji platformalar ekspert mərkəzi</v>
          </cell>
          <cell r="D3223" t="str">
            <v>Proqram mühəndisliyi funksional sahəsi</v>
          </cell>
          <cell r="E3223" t="str">
            <v>#</v>
          </cell>
          <cell r="F3223" t="str">
            <v>QA mühəndis</v>
          </cell>
          <cell r="G3223" t="str">
            <v>A</v>
          </cell>
          <cell r="H3223">
            <v>46220</v>
          </cell>
          <cell r="I3223" t="str">
            <v>BirMarket</v>
          </cell>
        </row>
        <row r="3224">
          <cell r="B3224" t="str">
            <v>Eyvazov Teymur Dəmir</v>
          </cell>
          <cell r="C3224" t="str">
            <v>Ödəniş biznesinin mühəndislik ekspert mərkəzi</v>
          </cell>
          <cell r="D3224" t="str">
            <v>QA chapter</v>
          </cell>
          <cell r="E3224" t="str">
            <v>#</v>
          </cell>
          <cell r="F3224" t="str">
            <v>QA mühəndis</v>
          </cell>
          <cell r="G3224" t="str">
            <v>A</v>
          </cell>
          <cell r="H3224">
            <v>46084</v>
          </cell>
        </row>
        <row r="3225">
          <cell r="B3225" t="str">
            <v>Alverdiyev Nicat Saleh</v>
          </cell>
          <cell r="C3225" t="str">
            <v>Ödəniş biznesinin mühəndislik ekspert mərkəzi</v>
          </cell>
          <cell r="D3225" t="str">
            <v>QA chapter</v>
          </cell>
          <cell r="E3225" t="str">
            <v>#</v>
          </cell>
          <cell r="F3225" t="str">
            <v>QA mühəndis</v>
          </cell>
          <cell r="G3225" t="str">
            <v>A</v>
          </cell>
          <cell r="H3225">
            <v>46272</v>
          </cell>
        </row>
        <row r="3226">
          <cell r="B3226" t="str">
            <v>Vahidli Ceyran Xanım Mehman</v>
          </cell>
          <cell r="C3226" t="str">
            <v>Ödəniş biznesinin mühəndislik ekspert mərkəzi</v>
          </cell>
          <cell r="D3226" t="str">
            <v>QA chapter</v>
          </cell>
          <cell r="E3226" t="str">
            <v>#</v>
          </cell>
          <cell r="F3226" t="str">
            <v>QA mühəndis</v>
          </cell>
          <cell r="G3226" t="str">
            <v>A</v>
          </cell>
          <cell r="H3226">
            <v>46272</v>
          </cell>
        </row>
        <row r="3227">
          <cell r="B3227" t="str">
            <v>Qasımov İskəndər Marif</v>
          </cell>
          <cell r="C3227" t="str">
            <v>Ödəniş biznesinin mühəndislik ekspert mərkəzi</v>
          </cell>
          <cell r="D3227" t="str">
            <v>QA chapter</v>
          </cell>
          <cell r="E3227" t="str">
            <v>#</v>
          </cell>
          <cell r="F3227" t="str">
            <v>QA mühəndis</v>
          </cell>
          <cell r="G3227" t="str">
            <v>A</v>
          </cell>
          <cell r="H3227">
            <v>46281</v>
          </cell>
        </row>
        <row r="3228">
          <cell r="B3228" t="str">
            <v>Gülüşov Xəyal Kifayət</v>
          </cell>
          <cell r="C3228" t="str">
            <v>Ödəniş biznesinin mühəndislik ekspert mərkəzi</v>
          </cell>
          <cell r="D3228" t="str">
            <v>QA chapter</v>
          </cell>
          <cell r="E3228" t="str">
            <v>#</v>
          </cell>
          <cell r="F3228" t="str">
            <v>QA mühəndis</v>
          </cell>
          <cell r="G3228" t="str">
            <v>A</v>
          </cell>
          <cell r="H3228">
            <v>46174</v>
          </cell>
        </row>
        <row r="3229">
          <cell r="B3229" t="str">
            <v>Məmmədov Rafail Fariz</v>
          </cell>
          <cell r="C3229" t="str">
            <v>Ödəniş biznesinin mühəndislik ekspert mərkəzi</v>
          </cell>
          <cell r="D3229" t="str">
            <v>QA chapter</v>
          </cell>
          <cell r="E3229" t="str">
            <v>#</v>
          </cell>
          <cell r="F3229" t="str">
            <v>QA mühəndis</v>
          </cell>
          <cell r="G3229" t="str">
            <v>A</v>
          </cell>
          <cell r="H3229">
            <v>46190</v>
          </cell>
        </row>
        <row r="3230">
          <cell r="B3230" t="str">
            <v>Sazonov Denis Dmitriyeviç</v>
          </cell>
          <cell r="C3230" t="str">
            <v>Ödəniş biznesinin mühəndislik ekspert mərkəzi</v>
          </cell>
          <cell r="D3230" t="str">
            <v>QA chapter</v>
          </cell>
          <cell r="E3230" t="str">
            <v>#</v>
          </cell>
          <cell r="F3230" t="str">
            <v>QA mühəndis</v>
          </cell>
          <cell r="G3230" t="str">
            <v>A</v>
          </cell>
          <cell r="H3230">
            <v>46192</v>
          </cell>
          <cell r="I3230" t="str">
            <v>Bir Payment</v>
          </cell>
        </row>
        <row r="3231">
          <cell r="B3231" t="str">
            <v>Həşimov Əlvan Tərlan</v>
          </cell>
          <cell r="C3231" t="str">
            <v>FinTech mühəndislik ekspert mərkəzi</v>
          </cell>
          <cell r="D3231" t="str">
            <v>QA chapter</v>
          </cell>
          <cell r="E3231" t="str">
            <v>#</v>
          </cell>
          <cell r="F3231" t="str">
            <v>QA mühəndis</v>
          </cell>
          <cell r="G3231" t="str">
            <v>A</v>
          </cell>
          <cell r="H3231">
            <v>46136</v>
          </cell>
        </row>
        <row r="3232">
          <cell r="B3232" t="str">
            <v>Rəhimova Sahilə Çapay</v>
          </cell>
          <cell r="C3232" t="str">
            <v>Ödəniş biznesinin mühəndislik ekspert mərkəzi</v>
          </cell>
          <cell r="D3232" t="str">
            <v>QA chapter</v>
          </cell>
          <cell r="E3232" t="str">
            <v>#</v>
          </cell>
          <cell r="F3232" t="str">
            <v>QA mühəndis</v>
          </cell>
          <cell r="G3232" t="str">
            <v>A</v>
          </cell>
          <cell r="H3232">
            <v>45980</v>
          </cell>
        </row>
        <row r="3233">
          <cell r="B3233" t="str">
            <v>Həşimzadə Şəbnəm Rza</v>
          </cell>
          <cell r="C3233" t="str">
            <v>FinTech mühəndislik ekspert mərkəzi</v>
          </cell>
          <cell r="D3233" t="str">
            <v>QA chapter</v>
          </cell>
          <cell r="E3233" t="str">
            <v>#</v>
          </cell>
          <cell r="F3233" t="str">
            <v>QA mühəndis</v>
          </cell>
          <cell r="G3233" t="str">
            <v>SM</v>
          </cell>
          <cell r="H3233">
            <v>45825</v>
          </cell>
        </row>
        <row r="3234">
          <cell r="B3234" t="str">
            <v>Şirəli Şəms Şirin</v>
          </cell>
          <cell r="C3234" t="str">
            <v>FinTech mühəndislik ekspert mərkəzi</v>
          </cell>
          <cell r="D3234" t="str">
            <v>QA chapter</v>
          </cell>
          <cell r="E3234" t="str">
            <v>#</v>
          </cell>
          <cell r="F3234" t="str">
            <v>QA mühəndis (müvəqqəti)</v>
          </cell>
          <cell r="G3234" t="str">
            <v>A</v>
          </cell>
          <cell r="H3234">
            <v>46036</v>
          </cell>
        </row>
        <row r="3235">
          <cell r="B3235" t="str">
            <v>Həbibova Elnarə İlqar</v>
          </cell>
          <cell r="C3235" t="str">
            <v>Ödəniş biznesinin mühəndislik ekspert mərkəzi</v>
          </cell>
          <cell r="D3235" t="str">
            <v>QA chapter</v>
          </cell>
          <cell r="E3235" t="str">
            <v>#</v>
          </cell>
          <cell r="F3235" t="str">
            <v>QA mühəndis</v>
          </cell>
          <cell r="G3235" t="str">
            <v>A</v>
          </cell>
          <cell r="H3235">
            <v>45783</v>
          </cell>
        </row>
        <row r="3236">
          <cell r="B3236" t="str">
            <v>Mirzəyev İdrak Müslüm</v>
          </cell>
          <cell r="C3236" t="str">
            <v>FinTech mühəndislik ekspert mərkəzi</v>
          </cell>
          <cell r="D3236" t="str">
            <v>QA chapter</v>
          </cell>
          <cell r="E3236" t="str">
            <v>#</v>
          </cell>
          <cell r="F3236" t="str">
            <v>QA mühəndis</v>
          </cell>
          <cell r="G3236" t="str">
            <v>A</v>
          </cell>
          <cell r="H3236">
            <v>45754</v>
          </cell>
        </row>
        <row r="3237">
          <cell r="B3237" t="str">
            <v>Alıyev Yusif Adil</v>
          </cell>
          <cell r="C3237" t="str">
            <v>Ödəniş biznesinin mühəndislik ekspert mərkəzi</v>
          </cell>
          <cell r="D3237" t="str">
            <v>QA chapter</v>
          </cell>
          <cell r="E3237" t="str">
            <v>#</v>
          </cell>
          <cell r="F3237" t="str">
            <v>QA mühəndis</v>
          </cell>
          <cell r="G3237" t="str">
            <v>A</v>
          </cell>
          <cell r="H3237">
            <v>45757</v>
          </cell>
        </row>
        <row r="3238">
          <cell r="B3238" t="str">
            <v>Paşayev Ümidadil Ceyhun</v>
          </cell>
          <cell r="C3238" t="str">
            <v>Ödəniş biznesinin mühəndislik ekspert mərkəzi</v>
          </cell>
          <cell r="D3238" t="str">
            <v>QA chapter</v>
          </cell>
          <cell r="E3238" t="str">
            <v>#</v>
          </cell>
          <cell r="F3238" t="str">
            <v>QA mühəndis</v>
          </cell>
          <cell r="G3238" t="str">
            <v>A</v>
          </cell>
          <cell r="H3238">
            <v>45757</v>
          </cell>
        </row>
        <row r="3239">
          <cell r="B3239" t="str">
            <v>Ağayev Aydın Nasir</v>
          </cell>
          <cell r="C3239" t="str">
            <v>Ödəniş biznesinin mühəndislik ekspert mərkəzi</v>
          </cell>
          <cell r="D3239" t="str">
            <v>QA chapter</v>
          </cell>
          <cell r="E3239" t="str">
            <v>#</v>
          </cell>
          <cell r="F3239" t="str">
            <v>QA mühəndis</v>
          </cell>
          <cell r="G3239" t="str">
            <v>A</v>
          </cell>
          <cell r="H3239">
            <v>46182</v>
          </cell>
        </row>
        <row r="3240">
          <cell r="B3240" t="str">
            <v>Xəlilzadə Valeh Tahir</v>
          </cell>
          <cell r="C3240" t="str">
            <v>FinTech mühəndislik ekspert mərkəzi</v>
          </cell>
          <cell r="D3240" t="str">
            <v>QA chapter</v>
          </cell>
          <cell r="E3240" t="str">
            <v>#</v>
          </cell>
          <cell r="F3240" t="str">
            <v>QA mühəndis</v>
          </cell>
          <cell r="G3240" t="str">
            <v>A</v>
          </cell>
          <cell r="H3240">
            <v>45770</v>
          </cell>
        </row>
        <row r="3241">
          <cell r="B3241" t="str">
            <v>Abbasov Qəhrəman Zahid</v>
          </cell>
          <cell r="C3241" t="str">
            <v>Ödəniş biznesinin mühəndislik ekspert mərkəzi</v>
          </cell>
          <cell r="D3241" t="str">
            <v>QA chapter</v>
          </cell>
          <cell r="E3241" t="str">
            <v>#</v>
          </cell>
          <cell r="F3241" t="str">
            <v>QA mühəndis</v>
          </cell>
          <cell r="G3241" t="str">
            <v>A</v>
          </cell>
          <cell r="H3241">
            <v>45719</v>
          </cell>
        </row>
        <row r="3242">
          <cell r="B3242" t="str">
            <v>Hacızadə Nərmin Əlövsəd</v>
          </cell>
          <cell r="C3242" t="str">
            <v>Ödəniş biznesinin mühəndislik ekspert mərkəzi</v>
          </cell>
          <cell r="D3242" t="str">
            <v>QA chapter</v>
          </cell>
          <cell r="E3242" t="str">
            <v>#</v>
          </cell>
          <cell r="F3242" t="str">
            <v>QA mühəndis</v>
          </cell>
          <cell r="G3242" t="str">
            <v>A</v>
          </cell>
          <cell r="H3242">
            <v>45765</v>
          </cell>
        </row>
        <row r="3243">
          <cell r="B3243" t="str">
            <v>MAMEDOV SHAKHRIARI</v>
          </cell>
          <cell r="C3243" t="str">
            <v>FinTech mühəndislik ekspert mərkəzi</v>
          </cell>
          <cell r="D3243" t="str">
            <v>QA chapter</v>
          </cell>
          <cell r="E3243" t="str">
            <v>#</v>
          </cell>
          <cell r="F3243" t="str">
            <v>QA mühəndis</v>
          </cell>
          <cell r="G3243" t="str">
            <v>A</v>
          </cell>
          <cell r="H3243">
            <v>45418</v>
          </cell>
        </row>
        <row r="3244">
          <cell r="B3244" t="str">
            <v>Şərifzadə Yaqut Rəcəb</v>
          </cell>
          <cell r="C3244" t="str">
            <v>FinTech mühəndislik ekspert mərkəzi</v>
          </cell>
          <cell r="D3244" t="str">
            <v>QA chapter</v>
          </cell>
          <cell r="E3244" t="str">
            <v>#</v>
          </cell>
          <cell r="F3244" t="str">
            <v>QA mühəndis</v>
          </cell>
          <cell r="G3244" t="str">
            <v>A</v>
          </cell>
          <cell r="H3244">
            <v>46212</v>
          </cell>
        </row>
        <row r="3245">
          <cell r="B3245" t="str">
            <v>Əhmədova Kəmalə Vüqar</v>
          </cell>
          <cell r="C3245" t="str">
            <v>FinTech mühəndislik ekspert mərkəzi</v>
          </cell>
          <cell r="D3245" t="str">
            <v>QA chapter</v>
          </cell>
          <cell r="E3245" t="str">
            <v>#</v>
          </cell>
          <cell r="F3245" t="str">
            <v>QA mühəndis</v>
          </cell>
          <cell r="G3245" t="str">
            <v>A</v>
          </cell>
          <cell r="H3245">
            <v>46218</v>
          </cell>
        </row>
        <row r="3246">
          <cell r="B3246" t="str">
            <v>Babayeva Məryam Ağabəy</v>
          </cell>
          <cell r="C3246" t="str">
            <v>Ödəniş biznesinin mühəndislik ekspert mərkəzi</v>
          </cell>
          <cell r="D3246" t="str">
            <v>QA chapter</v>
          </cell>
          <cell r="E3246" t="str">
            <v>#</v>
          </cell>
          <cell r="F3246" t="str">
            <v>QA mühəndis</v>
          </cell>
          <cell r="G3246" t="str">
            <v>A</v>
          </cell>
          <cell r="H3246">
            <v>44301</v>
          </cell>
        </row>
        <row r="3247">
          <cell r="B3247" t="str">
            <v>Əliyev Aqil Həsən</v>
          </cell>
          <cell r="C3247" t="str">
            <v>Ödəniş biznesinin mühəndislik ekspert mərkəzi</v>
          </cell>
          <cell r="D3247" t="str">
            <v>QA chapter</v>
          </cell>
          <cell r="E3247" t="str">
            <v>#</v>
          </cell>
          <cell r="F3247" t="str">
            <v>QA mühəndis</v>
          </cell>
          <cell r="G3247" t="str">
            <v>A</v>
          </cell>
          <cell r="H3247">
            <v>45622</v>
          </cell>
        </row>
        <row r="3248">
          <cell r="B3248" t="str">
            <v xml:space="preserve">ZEYNALOV RUSLAN </v>
          </cell>
          <cell r="C3248" t="str">
            <v>Ödəniş biznesinin mühəndislik ekspert mərkəzi</v>
          </cell>
          <cell r="D3248" t="str">
            <v>QA chapter</v>
          </cell>
          <cell r="E3248" t="str">
            <v>#</v>
          </cell>
          <cell r="F3248" t="str">
            <v>QA mühəndis</v>
          </cell>
          <cell r="G3248" t="str">
            <v>A</v>
          </cell>
          <cell r="H3248">
            <v>46253</v>
          </cell>
        </row>
        <row r="3249">
          <cell r="B3249" t="str">
            <v>Məmmədov Emil Məmməd</v>
          </cell>
          <cell r="C3249" t="str">
            <v>FinTech mühəndislik ekspert mərkəzi</v>
          </cell>
          <cell r="D3249" t="str">
            <v>QA chapter</v>
          </cell>
          <cell r="E3249" t="str">
            <v>#</v>
          </cell>
          <cell r="F3249" t="str">
            <v>QA mühəndis</v>
          </cell>
          <cell r="G3249" t="str">
            <v>A</v>
          </cell>
          <cell r="H3249">
            <v>45749</v>
          </cell>
        </row>
        <row r="3250">
          <cell r="B3250" t="str">
            <v>Qurbanlı Elçin Fezulla</v>
          </cell>
          <cell r="C3250" t="str">
            <v>FinTech mühəndislik ekspert mərkəzi</v>
          </cell>
          <cell r="D3250" t="str">
            <v>QA chapter</v>
          </cell>
          <cell r="E3250" t="str">
            <v>#</v>
          </cell>
          <cell r="F3250" t="str">
            <v>QA mühəndis</v>
          </cell>
          <cell r="G3250" t="str">
            <v>A</v>
          </cell>
          <cell r="H3250">
            <v>45384</v>
          </cell>
        </row>
        <row r="3251">
          <cell r="B3251" t="str">
            <v>Gülməmmədova Nərmin Bəxtiyar</v>
          </cell>
          <cell r="C3251" t="str">
            <v>FinTech mühəndislik ekspert mərkəzi</v>
          </cell>
          <cell r="D3251" t="str">
            <v>QA chapter</v>
          </cell>
          <cell r="E3251" t="str">
            <v>#</v>
          </cell>
          <cell r="F3251" t="str">
            <v>QA mühəndis</v>
          </cell>
          <cell r="G3251" t="str">
            <v>A</v>
          </cell>
          <cell r="H3251">
            <v>46146</v>
          </cell>
        </row>
        <row r="3252">
          <cell r="B3252" t="str">
            <v>İsmayılov Ehtimad Ehtiram</v>
          </cell>
          <cell r="C3252" t="str">
            <v>FinTech mühəndislik ekspert mərkəzi</v>
          </cell>
          <cell r="D3252" t="str">
            <v>QA chapter</v>
          </cell>
          <cell r="E3252" t="str">
            <v>#</v>
          </cell>
          <cell r="F3252" t="str">
            <v>QA mühəndis</v>
          </cell>
          <cell r="G3252" t="str">
            <v>A</v>
          </cell>
          <cell r="H3252">
            <v>46160</v>
          </cell>
        </row>
        <row r="3253">
          <cell r="B3253" t="str">
            <v>Gözəlova Leyla Rasim</v>
          </cell>
          <cell r="C3253" t="str">
            <v>FinTech mühəndislik ekspert mərkəzi</v>
          </cell>
          <cell r="D3253" t="str">
            <v>QA chapter</v>
          </cell>
          <cell r="E3253" t="str">
            <v>#</v>
          </cell>
          <cell r="F3253" t="str">
            <v>QA mühəndis</v>
          </cell>
          <cell r="G3253" t="str">
            <v>A</v>
          </cell>
          <cell r="H3253">
            <v>45383</v>
          </cell>
        </row>
        <row r="3254">
          <cell r="B3254" t="str">
            <v>Abdullayev Murad Sabit</v>
          </cell>
          <cell r="C3254" t="str">
            <v>Ödəniş biznesinin mühəndislik ekspert mərkəzi</v>
          </cell>
          <cell r="D3254" t="str">
            <v>QA chapter</v>
          </cell>
          <cell r="E3254" t="str">
            <v>#</v>
          </cell>
          <cell r="F3254" t="str">
            <v>QA mühəndis</v>
          </cell>
          <cell r="G3254" t="str">
            <v>A</v>
          </cell>
          <cell r="H3254">
            <v>44840</v>
          </cell>
        </row>
        <row r="3255">
          <cell r="B3255" t="str">
            <v xml:space="preserve">	Əliyeva Nəzrin Elsevər</v>
          </cell>
          <cell r="C3255" t="str">
            <v>Ödəniş biznesinin mühəndislik ekspert mərkəzi</v>
          </cell>
          <cell r="D3255" t="str">
            <v>QA chapter</v>
          </cell>
          <cell r="E3255" t="str">
            <v>#</v>
          </cell>
          <cell r="F3255" t="str">
            <v>QA mühəndis</v>
          </cell>
          <cell r="G3255" t="str">
            <v>A</v>
          </cell>
          <cell r="H3255">
            <v>46098</v>
          </cell>
        </row>
        <row r="3256">
          <cell r="B3256" t="str">
            <v>Hümmətov Asif Asəf</v>
          </cell>
          <cell r="C3256" t="str">
            <v>Mühəndislik və texnoloji platformalar ekspert mərkəzi</v>
          </cell>
          <cell r="D3256" t="str">
            <v>Proqram mühəndisliyi funksional sahəsi</v>
          </cell>
          <cell r="E3256" t="str">
            <v>#</v>
          </cell>
          <cell r="F3256" t="str">
            <v>SDET mühəndis</v>
          </cell>
          <cell r="G3256" t="str">
            <v>A</v>
          </cell>
          <cell r="H3256">
            <v>45349</v>
          </cell>
        </row>
        <row r="3257">
          <cell r="B3257" t="str">
            <v>Mehdizadə Afiq Nazim</v>
          </cell>
          <cell r="C3257" t="str">
            <v>Mühəndislik və texnoloji platformalar ekspert mərkəzi</v>
          </cell>
          <cell r="D3257" t="str">
            <v>Proqram mühəndisliyi funksional sahəsi</v>
          </cell>
          <cell r="E3257" t="str">
            <v>#</v>
          </cell>
          <cell r="F3257" t="str">
            <v>SDET mühəndis</v>
          </cell>
          <cell r="G3257" t="str">
            <v>A</v>
          </cell>
          <cell r="H3257">
            <v>45335</v>
          </cell>
        </row>
        <row r="3258">
          <cell r="B3258" t="str">
            <v>Quliyeva Fatma Natiq</v>
          </cell>
          <cell r="C3258" t="str">
            <v>FinTech mühəndislik ekspert mərkəzi</v>
          </cell>
          <cell r="D3258" t="str">
            <v>QA chapter</v>
          </cell>
          <cell r="E3258" t="str">
            <v>#</v>
          </cell>
          <cell r="F3258" t="str">
            <v>QA mühəndis</v>
          </cell>
          <cell r="G3258" t="str">
            <v>A</v>
          </cell>
          <cell r="H3258">
            <v>46055</v>
          </cell>
        </row>
        <row r="3259">
          <cell r="B3259" t="str">
            <v>Ələkbərli Nihad Nəsimi</v>
          </cell>
          <cell r="C3259" t="str">
            <v>Ödəniş biznesinin mühəndislik ekspert mərkəzi</v>
          </cell>
          <cell r="D3259" t="str">
            <v>QA chapter</v>
          </cell>
          <cell r="E3259" t="str">
            <v>#</v>
          </cell>
          <cell r="F3259" t="str">
            <v>QA mühəndis</v>
          </cell>
          <cell r="G3259" t="str">
            <v>A</v>
          </cell>
          <cell r="H3259">
            <v>44952</v>
          </cell>
        </row>
        <row r="3260">
          <cell r="B3260" t="str">
            <v>Ərəbov Əhməd İlham</v>
          </cell>
          <cell r="C3260" t="str">
            <v>Ödəniş biznesinin mühəndislik ekspert mərkəzi</v>
          </cell>
          <cell r="D3260" t="str">
            <v>QA chapter</v>
          </cell>
          <cell r="E3260" t="str">
            <v>#</v>
          </cell>
          <cell r="F3260" t="str">
            <v>QA mühəndis</v>
          </cell>
          <cell r="G3260" t="str">
            <v>A</v>
          </cell>
          <cell r="H3260">
            <v>44655</v>
          </cell>
        </row>
        <row r="3261">
          <cell r="B3261" t="str">
            <v>Məmmədova Səidə Fərman</v>
          </cell>
          <cell r="C3261" t="str">
            <v>FinTech mühəndislik ekspert mərkəzi</v>
          </cell>
          <cell r="D3261" t="str">
            <v>QA chapter</v>
          </cell>
          <cell r="E3261" t="str">
            <v>#</v>
          </cell>
          <cell r="F3261" t="str">
            <v>Funksional Lider</v>
          </cell>
          <cell r="G3261" t="str">
            <v>A</v>
          </cell>
          <cell r="H3261">
            <v>45267</v>
          </cell>
        </row>
        <row r="3262">
          <cell r="B3262" t="str">
            <v>Hüseynzadə Türkan Hikmət</v>
          </cell>
          <cell r="C3262" t="str">
            <v>Mühəndislik və texnoloji platformalar ekspert mərkəzi</v>
          </cell>
          <cell r="D3262" t="str">
            <v>Proqram mühəndisliyi funksional sahəsi</v>
          </cell>
          <cell r="E3262" t="str">
            <v>#</v>
          </cell>
          <cell r="F3262" t="str">
            <v>QA mühəndis</v>
          </cell>
          <cell r="G3262" t="str">
            <v>A</v>
          </cell>
          <cell r="H3262">
            <v>45729</v>
          </cell>
        </row>
        <row r="3263">
          <cell r="B3263" t="str">
            <v>AGAEV KİAMRAN</v>
          </cell>
          <cell r="C3263" t="str">
            <v>Mühəndislik və texnoloji platformalar ekspert mərkəzi</v>
          </cell>
          <cell r="D3263" t="str">
            <v>Proqram mühəndisliyi funksional sahəsi</v>
          </cell>
          <cell r="E3263" t="str">
            <v>#</v>
          </cell>
          <cell r="F3263" t="str">
            <v>QA mühəndis</v>
          </cell>
          <cell r="G3263" t="str">
            <v>A</v>
          </cell>
          <cell r="H3263">
            <v>46226</v>
          </cell>
        </row>
        <row r="3264">
          <cell r="B3264" t="str">
            <v>İsmayıl-Həsən-zadə Səma Tofiq</v>
          </cell>
          <cell r="C3264" t="str">
            <v>Mühəndislik və texnoloji platformalar ekspert mərkəzi</v>
          </cell>
          <cell r="D3264" t="str">
            <v>Proqram mühəndisliyi funksional sahəsi</v>
          </cell>
          <cell r="E3264" t="str">
            <v>#</v>
          </cell>
          <cell r="F3264" t="str">
            <v>QA mühəndis</v>
          </cell>
          <cell r="G3264" t="str">
            <v>A</v>
          </cell>
          <cell r="H3264">
            <v>46163</v>
          </cell>
        </row>
        <row r="3265">
          <cell r="B3265" t="str">
            <v>Qarayeva Ülviyyə Valeh</v>
          </cell>
          <cell r="C3265" t="str">
            <v>FinTech mühəndislik ekspert mərkəzi</v>
          </cell>
          <cell r="D3265" t="str">
            <v>QA chapter</v>
          </cell>
          <cell r="E3265" t="str">
            <v>#</v>
          </cell>
          <cell r="F3265" t="str">
            <v>QA mühəndis</v>
          </cell>
          <cell r="G3265" t="str">
            <v>A</v>
          </cell>
          <cell r="H3265">
            <v>45873</v>
          </cell>
        </row>
        <row r="3266">
          <cell r="B3266" t="str">
            <v>Bəkirova Elmira Rasim</v>
          </cell>
          <cell r="C3266" t="str">
            <v>FinTech mühəndislik ekspert mərkəzi</v>
          </cell>
          <cell r="D3266" t="str">
            <v>QA chapter</v>
          </cell>
          <cell r="E3266" t="str">
            <v>#</v>
          </cell>
          <cell r="F3266" t="str">
            <v>QA mühəndis</v>
          </cell>
          <cell r="G3266" t="str">
            <v>A</v>
          </cell>
          <cell r="H3266">
            <v>45873</v>
          </cell>
        </row>
        <row r="3267">
          <cell r="B3267" t="str">
            <v>Abbasova Günay Cəlil</v>
          </cell>
          <cell r="C3267" t="str">
            <v>FinTech mühəndislik ekspert mərkəzi</v>
          </cell>
          <cell r="D3267" t="str">
            <v>QA chapter</v>
          </cell>
          <cell r="E3267" t="str">
            <v>#</v>
          </cell>
          <cell r="F3267" t="str">
            <v>QA mühəndis</v>
          </cell>
          <cell r="G3267" t="str">
            <v>A</v>
          </cell>
          <cell r="H3267">
            <v>46224</v>
          </cell>
        </row>
        <row r="3268">
          <cell r="B3268" t="str">
            <v>Əli-zadə Aidə Ulduz</v>
          </cell>
          <cell r="C3268" t="str">
            <v>Mühəndislik və texnoloji platformalar ekspert mərkəzi</v>
          </cell>
          <cell r="D3268" t="str">
            <v>Proqram mühəndisliyi funksional sahəsi</v>
          </cell>
          <cell r="E3268" t="str">
            <v>#</v>
          </cell>
          <cell r="F3268" t="str">
            <v>QA mühəndis</v>
          </cell>
          <cell r="G3268" t="str">
            <v>SM</v>
          </cell>
          <cell r="H3268">
            <v>43623</v>
          </cell>
        </row>
        <row r="3269">
          <cell r="B3269" t="str">
            <v>Quliyeva Səbinə Ülfət</v>
          </cell>
          <cell r="C3269" t="str">
            <v>Mühəndislik və texnoloji platformalar ekspert mərkəzi</v>
          </cell>
          <cell r="D3269" t="str">
            <v>Proqram mühəndisliyi funksional sahəsi</v>
          </cell>
          <cell r="E3269" t="str">
            <v>#</v>
          </cell>
          <cell r="F3269" t="str">
            <v>QA mühəndis (müvəqqəti)</v>
          </cell>
          <cell r="G3269" t="str">
            <v>A</v>
          </cell>
          <cell r="H3269">
            <v>46113</v>
          </cell>
        </row>
        <row r="3270">
          <cell r="B3270" t="str">
            <v>Süleymanov Azər Abbas</v>
          </cell>
          <cell r="C3270" t="str">
            <v>Mühəndislik və texnoloji platformalar ekspert mərkəzi</v>
          </cell>
          <cell r="D3270" t="str">
            <v>Proqram mühəndisliyi funksional sahəsi</v>
          </cell>
          <cell r="E3270" t="str">
            <v>#</v>
          </cell>
          <cell r="F3270" t="str">
            <v>QA mühəndis</v>
          </cell>
          <cell r="G3270" t="str">
            <v>A</v>
          </cell>
          <cell r="H3270">
            <v>45839</v>
          </cell>
        </row>
        <row r="3271">
          <cell r="B3271" t="str">
            <v>GAMİDOV İLGAR</v>
          </cell>
          <cell r="C3271" t="str">
            <v>Mühəndislik və texnoloji platformalar ekspert mərkəzi</v>
          </cell>
          <cell r="D3271" t="str">
            <v>Proqram mühəndisliyi funksional sahəsi</v>
          </cell>
          <cell r="E3271" t="str">
            <v>#</v>
          </cell>
          <cell r="F3271" t="str">
            <v>QA mühəndis</v>
          </cell>
          <cell r="G3271" t="str">
            <v>A</v>
          </cell>
          <cell r="H3271">
            <v>45839</v>
          </cell>
        </row>
        <row r="3272">
          <cell r="B3272" t="str">
            <v>Güləhmədzadə Bayram Rasim</v>
          </cell>
          <cell r="C3272" t="str">
            <v>Mühəndislik və texnoloji platformalar ekspert mərkəzi</v>
          </cell>
          <cell r="D3272" t="str">
            <v>Proqram mühəndisliyi funksional sahəsi</v>
          </cell>
          <cell r="E3272" t="str">
            <v>#</v>
          </cell>
          <cell r="F3272" t="str">
            <v>QA mühəndis</v>
          </cell>
          <cell r="G3272" t="str">
            <v>A</v>
          </cell>
          <cell r="H3272">
            <v>45840</v>
          </cell>
        </row>
        <row r="3273">
          <cell r="B3273" t="str">
            <v>Səlimov Murad Pərviz</v>
          </cell>
          <cell r="C3273" t="str">
            <v>FinTech mühəndislik ekspert mərkəzi</v>
          </cell>
          <cell r="D3273" t="str">
            <v>QA chapter</v>
          </cell>
          <cell r="E3273" t="str">
            <v>#</v>
          </cell>
          <cell r="F3273" t="str">
            <v>QA mühəndis</v>
          </cell>
          <cell r="G3273" t="str">
            <v>A</v>
          </cell>
          <cell r="H3273">
            <v>45855</v>
          </cell>
        </row>
        <row r="3274">
          <cell r="B3274" t="str">
            <v>Süleymanov Orxan Rəfail</v>
          </cell>
          <cell r="C3274" t="str">
            <v>FinTech mühəndislik ekspert mərkəzi</v>
          </cell>
          <cell r="D3274" t="str">
            <v>QA chapter</v>
          </cell>
          <cell r="E3274" t="str">
            <v>#</v>
          </cell>
          <cell r="F3274" t="str">
            <v>QA mühəndis</v>
          </cell>
          <cell r="G3274" t="str">
            <v>A</v>
          </cell>
          <cell r="H3274">
            <v>45211</v>
          </cell>
        </row>
        <row r="3275">
          <cell r="B3275" t="str">
            <v>Nəcəfov Vedat Sadiq</v>
          </cell>
          <cell r="C3275" t="str">
            <v>FinTech mühəndislik ekspert mərkəzi</v>
          </cell>
          <cell r="D3275" t="str">
            <v>QA chapter</v>
          </cell>
          <cell r="E3275" t="str">
            <v>#</v>
          </cell>
          <cell r="F3275" t="str">
            <v>QA mühəndis</v>
          </cell>
          <cell r="G3275" t="str">
            <v>A</v>
          </cell>
          <cell r="H3275">
            <v>46245</v>
          </cell>
        </row>
        <row r="3276">
          <cell r="B3276" t="str">
            <v>Gülməmmədli Elvin Çingiz</v>
          </cell>
          <cell r="C3276" t="str">
            <v>FinTech mühəndislik ekspert mərkəzi</v>
          </cell>
          <cell r="D3276" t="str">
            <v>QA chapter</v>
          </cell>
          <cell r="E3276" t="str">
            <v>#</v>
          </cell>
          <cell r="F3276" t="str">
            <v>QA mühəndis</v>
          </cell>
          <cell r="G3276" t="str">
            <v>A</v>
          </cell>
          <cell r="H3276">
            <v>45782</v>
          </cell>
        </row>
        <row r="3277">
          <cell r="B3277" t="str">
            <v>Əhmədzadə Nuray Rasim</v>
          </cell>
          <cell r="C3277" t="str">
            <v>FinTech mühəndislik ekspert mərkəzi</v>
          </cell>
          <cell r="D3277" t="str">
            <v>QA chapter</v>
          </cell>
          <cell r="E3277" t="str">
            <v>#</v>
          </cell>
          <cell r="F3277" t="str">
            <v>QA mühəndis</v>
          </cell>
          <cell r="G3277" t="str">
            <v>A</v>
          </cell>
          <cell r="H3277">
            <v>46279</v>
          </cell>
        </row>
        <row r="3278">
          <cell r="B3278" t="str">
            <v>Mirzəyev Murad Ramiz</v>
          </cell>
          <cell r="C3278" t="str">
            <v>FinTech mühəndislik ekspert mərkəzi</v>
          </cell>
          <cell r="D3278" t="str">
            <v>QA chapter</v>
          </cell>
          <cell r="E3278" t="str">
            <v>#</v>
          </cell>
          <cell r="F3278" t="str">
            <v>QA mühəndis</v>
          </cell>
          <cell r="G3278" t="str">
            <v>A</v>
          </cell>
          <cell r="H3278">
            <v>46254</v>
          </cell>
        </row>
        <row r="3279">
          <cell r="B3279" t="str">
            <v>Muradov Cavad Arzu</v>
          </cell>
          <cell r="C3279" t="str">
            <v>Ödəniş biznesinin mühəndislik ekspert mərkəzi</v>
          </cell>
          <cell r="D3279" t="str">
            <v>QA chapter</v>
          </cell>
          <cell r="E3279" t="str">
            <v>#</v>
          </cell>
          <cell r="F3279" t="str">
            <v>QA mühəndis</v>
          </cell>
          <cell r="G3279" t="str">
            <v>A</v>
          </cell>
          <cell r="H3279">
            <v>46128</v>
          </cell>
        </row>
        <row r="3280">
          <cell r="B3280" t="str">
            <v>Novruzova Nərmin Sahib</v>
          </cell>
          <cell r="C3280" t="str">
            <v>Ödəniş biznesinin mühəndislik ekspert mərkəzi</v>
          </cell>
          <cell r="D3280" t="str">
            <v>QA chapter</v>
          </cell>
          <cell r="E3280" t="str">
            <v>#</v>
          </cell>
          <cell r="F3280" t="str">
            <v>QA mühəndis</v>
          </cell>
          <cell r="G3280" t="str">
            <v>A</v>
          </cell>
          <cell r="H3280">
            <v>46213</v>
          </cell>
        </row>
        <row r="3281">
          <cell r="B3281" t="str">
            <v>Məmmədova Elnarə Eldar</v>
          </cell>
          <cell r="C3281" t="str">
            <v>Mühəndislik və texnoloji platformalar ekspert mərkəzi</v>
          </cell>
          <cell r="D3281" t="str">
            <v>Proqram mühəndisliyi funksional sahəsi</v>
          </cell>
          <cell r="E3281" t="str">
            <v>#</v>
          </cell>
          <cell r="F3281" t="str">
            <v>QA mühəndis</v>
          </cell>
          <cell r="G3281" t="str">
            <v>A</v>
          </cell>
          <cell r="H3281">
            <v>43759</v>
          </cell>
        </row>
        <row r="3282">
          <cell r="B3282" t="str">
            <v>Əliyev Tərlan Tofiq</v>
          </cell>
          <cell r="C3282" t="str">
            <v>Ödəniş biznesinin mühəndislik ekspert mərkəzi</v>
          </cell>
          <cell r="D3282" t="str">
            <v>QA chapter</v>
          </cell>
          <cell r="E3282" t="str">
            <v>#</v>
          </cell>
          <cell r="F3282" t="str">
            <v>QA mühəndis</v>
          </cell>
          <cell r="G3282" t="str">
            <v>A</v>
          </cell>
          <cell r="H3282">
            <v>45952</v>
          </cell>
        </row>
        <row r="3283">
          <cell r="B3283" t="str">
            <v>Məmmədova Şəhla Elşən</v>
          </cell>
          <cell r="C3283" t="str">
            <v>Ödəniş biznesinin mühəndislik ekspert mərkəzi</v>
          </cell>
          <cell r="D3283" t="str">
            <v>QA chapter</v>
          </cell>
          <cell r="E3283" t="str">
            <v>#</v>
          </cell>
          <cell r="F3283" t="str">
            <v>QA mühəndis</v>
          </cell>
          <cell r="G3283" t="str">
            <v>A</v>
          </cell>
          <cell r="H3283">
            <v>45678</v>
          </cell>
        </row>
        <row r="3284">
          <cell r="B3284" t="str">
            <v>Əlizadə Zaur Nazim</v>
          </cell>
          <cell r="C3284" t="str">
            <v>FinTech mühəndislik ekspert mərkəzi</v>
          </cell>
          <cell r="D3284" t="str">
            <v>QA chapter</v>
          </cell>
          <cell r="E3284" t="str">
            <v>#</v>
          </cell>
          <cell r="F3284" t="str">
            <v>QA mühəndis</v>
          </cell>
          <cell r="G3284" t="str">
            <v>A</v>
          </cell>
          <cell r="H3284">
            <v>45783</v>
          </cell>
        </row>
        <row r="3285">
          <cell r="B3285" t="str">
            <v>Mahmudova Aynur Xaqani</v>
          </cell>
          <cell r="C3285" t="str">
            <v>FinTech mühəndislik ekspert mərkəzi</v>
          </cell>
          <cell r="D3285" t="str">
            <v>QA chapter</v>
          </cell>
          <cell r="E3285" t="str">
            <v>#</v>
          </cell>
          <cell r="F3285" t="str">
            <v>QA mühəndis</v>
          </cell>
          <cell r="G3285" t="str">
            <v>A</v>
          </cell>
          <cell r="H3285">
            <v>46092</v>
          </cell>
        </row>
        <row r="3286">
          <cell r="B3286" t="str">
            <v>Rzayev Mahir Orucəli</v>
          </cell>
          <cell r="C3286" t="str">
            <v>Mühəndislik və texnoloji platformalar ekspert mərkəzi</v>
          </cell>
          <cell r="D3286" t="str">
            <v>Proqram mühəndisliyi funksional sahəsi</v>
          </cell>
          <cell r="E3286" t="str">
            <v>#</v>
          </cell>
          <cell r="F3286" t="str">
            <v>QA mühəndis</v>
          </cell>
          <cell r="G3286" t="str">
            <v>A</v>
          </cell>
          <cell r="H3286">
            <v>45244</v>
          </cell>
        </row>
        <row r="3287">
          <cell r="B3287" t="str">
            <v>Hümbətova Aynur Tərlan</v>
          </cell>
          <cell r="C3287" t="str">
            <v>FinTech mühəndislik ekspert mərkəzi</v>
          </cell>
          <cell r="D3287" t="str">
            <v>QA chapter</v>
          </cell>
          <cell r="E3287" t="str">
            <v>#</v>
          </cell>
          <cell r="F3287" t="str">
            <v>QA mühəndis</v>
          </cell>
          <cell r="G3287" t="str">
            <v>A</v>
          </cell>
          <cell r="H3287">
            <v>42506</v>
          </cell>
        </row>
        <row r="3288">
          <cell r="B3288" t="str">
            <v>Orucova Nigar Elşad</v>
          </cell>
          <cell r="C3288" t="str">
            <v>FinTech mühəndislik ekspert mərkəzi</v>
          </cell>
          <cell r="D3288" t="str">
            <v>QA chapter</v>
          </cell>
          <cell r="E3288" t="str">
            <v>#</v>
          </cell>
          <cell r="F3288" t="str">
            <v>QA mühəndis</v>
          </cell>
          <cell r="G3288" t="str">
            <v>A</v>
          </cell>
          <cell r="H3288">
            <v>45397</v>
          </cell>
        </row>
        <row r="3289">
          <cell r="B3289" t="str">
            <v>Səlimov Tural Şahin</v>
          </cell>
          <cell r="C3289" t="str">
            <v>Mühəndislik və texnoloji platformalar ekspert mərkəzi</v>
          </cell>
          <cell r="D3289" t="str">
            <v>Proqram mühəndisliyi funksional sahəsi</v>
          </cell>
          <cell r="E3289" t="str">
            <v>#</v>
          </cell>
          <cell r="F3289" t="str">
            <v>QA mühəndis</v>
          </cell>
          <cell r="G3289" t="str">
            <v>A</v>
          </cell>
          <cell r="H3289">
            <v>45317</v>
          </cell>
        </row>
        <row r="3290">
          <cell r="B3290" t="str">
            <v>Əliyeva Aynur Sədaqət</v>
          </cell>
          <cell r="C3290" t="str">
            <v>Ödəniş biznesinin mühəndislik ekspert mərkəzi</v>
          </cell>
          <cell r="D3290" t="str">
            <v>QA chapter</v>
          </cell>
          <cell r="E3290" t="str">
            <v>#</v>
          </cell>
          <cell r="F3290" t="str">
            <v>QA mühəndis</v>
          </cell>
          <cell r="G3290" t="str">
            <v>A</v>
          </cell>
          <cell r="H3290">
            <v>45328</v>
          </cell>
        </row>
        <row r="3291">
          <cell r="B3291" t="str">
            <v>Rəsulzadə Şəms Müzəffər</v>
          </cell>
          <cell r="C3291" t="str">
            <v>FinTech mühəndislik ekspert mərkəzi</v>
          </cell>
          <cell r="D3291" t="str">
            <v>QA chapter</v>
          </cell>
          <cell r="E3291" t="str">
            <v>#</v>
          </cell>
          <cell r="F3291" t="str">
            <v>QA mühəndis</v>
          </cell>
          <cell r="G3291" t="str">
            <v>A</v>
          </cell>
          <cell r="H3291">
            <v>45342</v>
          </cell>
        </row>
        <row r="3292">
          <cell r="B3292" t="str">
            <v>Axundova Mədinə Nizami</v>
          </cell>
          <cell r="C3292" t="str">
            <v>Ödəniş biznesinin mühəndislik ekspert mərkəzi</v>
          </cell>
          <cell r="D3292" t="str">
            <v>QA chapter</v>
          </cell>
          <cell r="E3292" t="str">
            <v>#</v>
          </cell>
          <cell r="F3292" t="str">
            <v>QA mühəndis</v>
          </cell>
          <cell r="G3292" t="str">
            <v>HX</v>
          </cell>
          <cell r="H3292">
            <v>45345</v>
          </cell>
        </row>
        <row r="3293">
          <cell r="B3293" t="str">
            <v>Əbdülrəhmanova Aytac Mərahim</v>
          </cell>
          <cell r="C3293" t="str">
            <v>FinTech mühəndislik ekspert mərkəzi</v>
          </cell>
          <cell r="D3293" t="str">
            <v>QA chapter</v>
          </cell>
          <cell r="E3293" t="str">
            <v>#</v>
          </cell>
          <cell r="F3293" t="str">
            <v>QA mühəndis</v>
          </cell>
          <cell r="G3293" t="str">
            <v>A</v>
          </cell>
          <cell r="H3293">
            <v>45279</v>
          </cell>
        </row>
        <row r="3294">
          <cell r="B3294" t="str">
            <v>Məmmədova Ləman Afik</v>
          </cell>
          <cell r="C3294" t="str">
            <v>Ödəniş biznesinin mühəndislik ekspert mərkəzi</v>
          </cell>
          <cell r="D3294" t="str">
            <v>QA chapter</v>
          </cell>
          <cell r="E3294" t="str">
            <v>#</v>
          </cell>
          <cell r="F3294" t="str">
            <v>QA mühəndis</v>
          </cell>
          <cell r="G3294" t="str">
            <v>A</v>
          </cell>
          <cell r="H3294">
            <v>45279</v>
          </cell>
        </row>
        <row r="3295">
          <cell r="B3295" t="str">
            <v>Paşazadə Natəvan Toğrul</v>
          </cell>
          <cell r="C3295" t="str">
            <v>Ödəniş biznesinin mühəndislik ekspert mərkəzi</v>
          </cell>
          <cell r="D3295" t="str">
            <v>QA chapter</v>
          </cell>
          <cell r="E3295" t="str">
            <v>#</v>
          </cell>
          <cell r="F3295" t="str">
            <v>QA mühəndis</v>
          </cell>
          <cell r="G3295" t="str">
            <v>A</v>
          </cell>
          <cell r="H3295">
            <v>45279</v>
          </cell>
        </row>
        <row r="3296">
          <cell r="B3296" t="str">
            <v>Novruzova Günay Altay</v>
          </cell>
          <cell r="C3296" t="str">
            <v>FinTech mühəndislik ekspert mərkəzi</v>
          </cell>
          <cell r="D3296" t="str">
            <v>QA chapter</v>
          </cell>
          <cell r="E3296" t="str">
            <v>#</v>
          </cell>
          <cell r="F3296" t="str">
            <v>QA mühəndis</v>
          </cell>
          <cell r="G3296" t="str">
            <v>A</v>
          </cell>
          <cell r="H3296">
            <v>45812</v>
          </cell>
        </row>
        <row r="3297">
          <cell r="B3297" t="str">
            <v>Əlizadə Ayşə Xəlil</v>
          </cell>
          <cell r="C3297" t="str">
            <v>FinTech mühəndislik ekspert mərkəzi</v>
          </cell>
          <cell r="D3297" t="str">
            <v>QA chapter</v>
          </cell>
          <cell r="E3297" t="str">
            <v>#</v>
          </cell>
          <cell r="F3297" t="str">
            <v>Funksional Lider</v>
          </cell>
          <cell r="G3297" t="str">
            <v>A</v>
          </cell>
          <cell r="H3297">
            <v>43385</v>
          </cell>
        </row>
        <row r="3298">
          <cell r="B3298" t="str">
            <v>Aslanlı Arzu Zülfüqar</v>
          </cell>
          <cell r="C3298" t="str">
            <v>FinTech mühəndislik ekspert mərkəzi</v>
          </cell>
          <cell r="D3298" t="str">
            <v>QA chapter</v>
          </cell>
          <cell r="E3298" t="str">
            <v>#</v>
          </cell>
          <cell r="F3298" t="str">
            <v>QA mühəndis</v>
          </cell>
          <cell r="G3298" t="str">
            <v>A</v>
          </cell>
          <cell r="H3298">
            <v>45915</v>
          </cell>
        </row>
        <row r="3299">
          <cell r="B3299" t="str">
            <v>Babayev Ayaz Gündüz</v>
          </cell>
          <cell r="C3299" t="str">
            <v>FinTech mühəndislik ekspert mərkəzi</v>
          </cell>
          <cell r="D3299" t="str">
            <v>QA chapter</v>
          </cell>
          <cell r="E3299" t="str">
            <v>#</v>
          </cell>
          <cell r="F3299" t="str">
            <v>QA mühəndis</v>
          </cell>
          <cell r="G3299" t="str">
            <v>A</v>
          </cell>
          <cell r="H3299">
            <v>46028</v>
          </cell>
        </row>
        <row r="3300">
          <cell r="B3300" t="str">
            <v>Hacıyev Elmin Qurban</v>
          </cell>
          <cell r="C3300" t="str">
            <v>FinTech mühəndislik ekspert mərkəzi</v>
          </cell>
          <cell r="D3300" t="str">
            <v>QA chapter</v>
          </cell>
          <cell r="E3300" t="str">
            <v>#</v>
          </cell>
          <cell r="F3300" t="str">
            <v>Funksional Lider</v>
          </cell>
          <cell r="G3300" t="str">
            <v>A</v>
          </cell>
          <cell r="H3300">
            <v>45069</v>
          </cell>
        </row>
        <row r="3301">
          <cell r="B3301" t="str">
            <v>Abbaszadə Nicat Arzuman</v>
          </cell>
          <cell r="C3301" t="str">
            <v>FinTech mühəndislik ekspert mərkəzi</v>
          </cell>
          <cell r="D3301" t="str">
            <v>QA chapter</v>
          </cell>
          <cell r="E3301" t="str">
            <v>#</v>
          </cell>
          <cell r="F3301" t="str">
            <v>QA mühəndis</v>
          </cell>
          <cell r="G3301" t="str">
            <v>A</v>
          </cell>
          <cell r="H3301">
            <v>45506</v>
          </cell>
        </row>
        <row r="3302">
          <cell r="B3302" t="str">
            <v>Bayramov Asif Yusif</v>
          </cell>
          <cell r="C3302" t="str">
            <v>FinTech mühəndislik ekspert mərkəzi</v>
          </cell>
          <cell r="D3302" t="str">
            <v>QA chapter</v>
          </cell>
          <cell r="E3302" t="str">
            <v>#</v>
          </cell>
          <cell r="F3302" t="str">
            <v>QA mühəndis</v>
          </cell>
          <cell r="G3302" t="str">
            <v>A</v>
          </cell>
          <cell r="H3302">
            <v>45902</v>
          </cell>
        </row>
        <row r="3303">
          <cell r="B3303" t="str">
            <v>Daşdəmirova Nərmin Simran</v>
          </cell>
          <cell r="C3303" t="str">
            <v>FinTech mühəndislik ekspert mərkəzi</v>
          </cell>
          <cell r="D3303" t="str">
            <v>QA chapter</v>
          </cell>
          <cell r="E3303" t="str">
            <v>#</v>
          </cell>
          <cell r="F3303" t="str">
            <v>QA mühəndis</v>
          </cell>
          <cell r="G3303" t="str">
            <v>A</v>
          </cell>
          <cell r="H3303">
            <v>46176</v>
          </cell>
        </row>
        <row r="3304">
          <cell r="B3304" t="str">
            <v>Qasımova Çinarə Xəyal</v>
          </cell>
          <cell r="C3304" t="str">
            <v>FinTech mühəndislik ekspert mərkəzi</v>
          </cell>
          <cell r="D3304" t="str">
            <v>QA chapter</v>
          </cell>
          <cell r="E3304" t="str">
            <v>#</v>
          </cell>
          <cell r="F3304" t="str">
            <v>QA mühəndis</v>
          </cell>
          <cell r="G3304" t="str">
            <v>A</v>
          </cell>
          <cell r="H3304">
            <v>45870</v>
          </cell>
        </row>
        <row r="3305">
          <cell r="B3305" t="str">
            <v>Ağayev Məhəmməd Ramiz</v>
          </cell>
          <cell r="C3305" t="str">
            <v>Mühəndislik və texnoloji platformalar ekspert mərkəzi</v>
          </cell>
          <cell r="D3305" t="str">
            <v>Proqram mühəndisliyi funksional sahəsi</v>
          </cell>
          <cell r="E3305" t="str">
            <v>#</v>
          </cell>
          <cell r="F3305" t="str">
            <v>SDET mühəndis (0,5 ştat vahidi üzrə)</v>
          </cell>
          <cell r="G3305" t="str">
            <v>A</v>
          </cell>
          <cell r="H3305">
            <v>45882</v>
          </cell>
        </row>
        <row r="3306">
          <cell r="B3306" t="str">
            <v>Arıxov Cuma Abdulla</v>
          </cell>
          <cell r="C3306" t="str">
            <v>Mühəndislik və texnoloji platformalar ekspert mərkəzi</v>
          </cell>
          <cell r="D3306" t="str">
            <v>Proqram mühəndisliyi funksional sahəsi</v>
          </cell>
          <cell r="E3306" t="str">
            <v>#</v>
          </cell>
          <cell r="F3306" t="str">
            <v>SDET mühəndis</v>
          </cell>
          <cell r="G3306" t="str">
            <v>A</v>
          </cell>
          <cell r="H3306">
            <v>46255</v>
          </cell>
        </row>
        <row r="3307">
          <cell r="B3307" t="str">
            <v>Mehtizadə Səfurə Aqşin</v>
          </cell>
          <cell r="C3307" t="str">
            <v>FinTech mühəndislik ekspert mərkəzi</v>
          </cell>
          <cell r="D3307" t="str">
            <v>QA chapter</v>
          </cell>
          <cell r="E3307" t="str">
            <v>#</v>
          </cell>
          <cell r="F3307" t="str">
            <v>QA mühəndis</v>
          </cell>
          <cell r="G3307" t="str">
            <v>A</v>
          </cell>
          <cell r="H3307">
            <v>45852</v>
          </cell>
        </row>
        <row r="3308">
          <cell r="B3308" t="str">
            <v>Zeynalov Nicat Elçin</v>
          </cell>
          <cell r="C3308" t="str">
            <v>FinTech mühəndislik ekspert mərkəzi</v>
          </cell>
          <cell r="D3308" t="str">
            <v>QA chapter</v>
          </cell>
          <cell r="E3308" t="str">
            <v>#</v>
          </cell>
          <cell r="F3308" t="str">
            <v>QA mühəndis</v>
          </cell>
          <cell r="G3308" t="str">
            <v>A</v>
          </cell>
          <cell r="H3308">
            <v>45953</v>
          </cell>
        </row>
        <row r="3309">
          <cell r="B3309" t="str">
            <v>Rəhimli Fikrət Məhərrəm</v>
          </cell>
          <cell r="C3309" t="str">
            <v>FinTech mühəndislik ekspert mərkəzi</v>
          </cell>
          <cell r="D3309" t="str">
            <v>QA chapter</v>
          </cell>
          <cell r="E3309" t="str">
            <v>#</v>
          </cell>
          <cell r="F3309" t="str">
            <v>QA mühəndis</v>
          </cell>
          <cell r="G3309" t="str">
            <v>A</v>
          </cell>
          <cell r="H3309">
            <v>45818</v>
          </cell>
        </row>
        <row r="3310">
          <cell r="B3310" t="str">
            <v>Mahmudlu Mirzə Etibar</v>
          </cell>
          <cell r="C3310" t="str">
            <v>FinTech mühəndislik ekspert mərkəzi</v>
          </cell>
          <cell r="D3310" t="str">
            <v>QA chapter</v>
          </cell>
          <cell r="E3310" t="str">
            <v>#</v>
          </cell>
          <cell r="F3310" t="str">
            <v>QA mühəndis</v>
          </cell>
          <cell r="G3310" t="str">
            <v>A</v>
          </cell>
          <cell r="H3310">
            <v>44218</v>
          </cell>
        </row>
        <row r="3311">
          <cell r="B3311" t="str">
            <v>Ağazadə Azər Şahin</v>
          </cell>
          <cell r="C3311" t="str">
            <v>FinTech mühəndislik ekspert mərkəzi</v>
          </cell>
          <cell r="D3311" t="str">
            <v>QA chapter</v>
          </cell>
          <cell r="E3311" t="str">
            <v>#</v>
          </cell>
          <cell r="F3311" t="str">
            <v>QA mühəndis</v>
          </cell>
          <cell r="G3311" t="str">
            <v>A</v>
          </cell>
          <cell r="H3311">
            <v>45298</v>
          </cell>
        </row>
        <row r="3312">
          <cell r="B3312" t="str">
            <v>Abdullayeva Əminə Ramin</v>
          </cell>
          <cell r="C3312" t="str">
            <v>FinTech mühəndislik ekspert mərkəzi</v>
          </cell>
          <cell r="D3312" t="str">
            <v>QA chapter</v>
          </cell>
          <cell r="E3312" t="str">
            <v>#</v>
          </cell>
          <cell r="F3312" t="str">
            <v>QA mühəndis</v>
          </cell>
          <cell r="G3312" t="str">
            <v>A</v>
          </cell>
          <cell r="H3312">
            <v>46190</v>
          </cell>
        </row>
        <row r="3313">
          <cell r="B3313" t="str">
            <v>Məmmədova Aytac Seymur</v>
          </cell>
          <cell r="C3313" t="str">
            <v>FinTech mühəndislik ekspert mərkəzi</v>
          </cell>
          <cell r="D3313" t="str">
            <v>QA chapter</v>
          </cell>
          <cell r="E3313" t="str">
            <v>#</v>
          </cell>
          <cell r="F3313" t="str">
            <v>QA mühəndis</v>
          </cell>
          <cell r="G3313" t="str">
            <v>A</v>
          </cell>
          <cell r="H3313">
            <v>44266</v>
          </cell>
        </row>
        <row r="3314">
          <cell r="B3314" t="str">
            <v>Əliyev Orxan Vüqar</v>
          </cell>
          <cell r="C3314" t="str">
            <v>FinTech mühəndislik ekspert mərkəzi</v>
          </cell>
          <cell r="D3314" t="str">
            <v>QA chapter</v>
          </cell>
          <cell r="E3314" t="str">
            <v>#</v>
          </cell>
          <cell r="F3314" t="str">
            <v>QA mühəndis</v>
          </cell>
          <cell r="G3314" t="str">
            <v>A</v>
          </cell>
          <cell r="H3314">
            <v>45652</v>
          </cell>
        </row>
        <row r="3315">
          <cell r="B3315" t="str">
            <v>Babayev Nicat Vüqar</v>
          </cell>
          <cell r="C3315" t="str">
            <v>FinTech mühəndislik ekspert mərkəzi</v>
          </cell>
          <cell r="D3315" t="str">
            <v>QA chapter</v>
          </cell>
          <cell r="E3315" t="str">
            <v>#</v>
          </cell>
          <cell r="F3315" t="str">
            <v>QA mühəndis</v>
          </cell>
          <cell r="G3315" t="str">
            <v>A</v>
          </cell>
          <cell r="H3315">
            <v>45505</v>
          </cell>
        </row>
        <row r="3316">
          <cell r="B3316" t="str">
            <v>Əli-zadə Səbinə Surxay</v>
          </cell>
          <cell r="C3316" t="str">
            <v>FinTech mühəndislik ekspert mərkəzi</v>
          </cell>
          <cell r="D3316" t="str">
            <v>QA chapter</v>
          </cell>
          <cell r="E3316" t="str">
            <v>#</v>
          </cell>
          <cell r="F3316" t="str">
            <v>QA mühəndis</v>
          </cell>
          <cell r="G3316" t="str">
            <v>A</v>
          </cell>
          <cell r="H3316">
            <v>45517</v>
          </cell>
        </row>
        <row r="3317">
          <cell r="B3317" t="str">
            <v>Qəhrəmanova Gülüzü Məsim</v>
          </cell>
          <cell r="C3317" t="str">
            <v>FinTech mühəndislik ekspert mərkəzi</v>
          </cell>
          <cell r="D3317" t="str">
            <v>QA chapter</v>
          </cell>
          <cell r="E3317" t="str">
            <v>#</v>
          </cell>
          <cell r="F3317" t="str">
            <v>QA mühəndis</v>
          </cell>
          <cell r="G3317" t="str">
            <v>A</v>
          </cell>
          <cell r="H3317">
            <v>45681</v>
          </cell>
        </row>
        <row r="3318">
          <cell r="B3318" t="str">
            <v>Həsənova Aytac Fədai</v>
          </cell>
          <cell r="C3318" t="str">
            <v>FinTech mühəndislik ekspert mərkəzi</v>
          </cell>
          <cell r="D3318" t="str">
            <v>QA chapter</v>
          </cell>
          <cell r="E3318" t="str">
            <v>#</v>
          </cell>
          <cell r="F3318" t="str">
            <v>QA mühəndis</v>
          </cell>
          <cell r="G3318" t="str">
            <v>A</v>
          </cell>
          <cell r="H3318">
            <v>45237</v>
          </cell>
        </row>
        <row r="3319">
          <cell r="B3319" t="str">
            <v>Nəsirli Günay Faiq</v>
          </cell>
          <cell r="C3319" t="str">
            <v>FinTech mühəndislik ekspert mərkəzi</v>
          </cell>
          <cell r="D3319" t="str">
            <v>QA chapter</v>
          </cell>
          <cell r="E3319" t="str">
            <v>#</v>
          </cell>
          <cell r="F3319" t="str">
            <v>QA mühəndis</v>
          </cell>
          <cell r="G3319" t="str">
            <v>A</v>
          </cell>
          <cell r="H3319">
            <v>46065</v>
          </cell>
        </row>
        <row r="3320">
          <cell r="B3320" t="str">
            <v>İbrahimli Valeh Əli</v>
          </cell>
          <cell r="C3320" t="str">
            <v>FinTech mühəndislik ekspert mərkəzi</v>
          </cell>
          <cell r="D3320" t="str">
            <v>QA chapter</v>
          </cell>
          <cell r="E3320" t="str">
            <v>#</v>
          </cell>
          <cell r="F3320" t="str">
            <v>QA mühəndis</v>
          </cell>
          <cell r="G3320" t="str">
            <v>A</v>
          </cell>
          <cell r="H3320">
            <v>45279</v>
          </cell>
        </row>
        <row r="3321">
          <cell r="B3321" t="str">
            <v>Cabbarlı Ülviyyə Cavanşir</v>
          </cell>
          <cell r="C3321" t="str">
            <v>Mühəndislik və texnoloji platformalar ekspert mərkəzi</v>
          </cell>
          <cell r="D3321" t="str">
            <v>Proqram mühəndisliyi funksional sahəsi</v>
          </cell>
          <cell r="E3321" t="str">
            <v>#</v>
          </cell>
          <cell r="F3321" t="str">
            <v>SDET mühəndis</v>
          </cell>
          <cell r="G3321" t="str">
            <v>A</v>
          </cell>
          <cell r="H3321">
            <v>45237</v>
          </cell>
        </row>
        <row r="3322">
          <cell r="B3322" t="str">
            <v>Ələkbərov Rəşid Bulud</v>
          </cell>
          <cell r="C3322" t="str">
            <v>FinTech mühəndislik ekspert mərkəzi</v>
          </cell>
          <cell r="D3322" t="str">
            <v>QA chapter</v>
          </cell>
          <cell r="E3322" t="str">
            <v>#</v>
          </cell>
          <cell r="F3322" t="str">
            <v>QA mühəndis</v>
          </cell>
          <cell r="G3322" t="str">
            <v>A</v>
          </cell>
          <cell r="H3322">
            <v>45576</v>
          </cell>
        </row>
        <row r="3323">
          <cell r="B3323" t="str">
            <v>Bayramova Elnarə Vilayət</v>
          </cell>
          <cell r="C3323" t="str">
            <v>Ödəniş biznesinin mühəndislik ekspert mərkəzi</v>
          </cell>
          <cell r="D3323" t="str">
            <v>QA chapter</v>
          </cell>
          <cell r="E3323" t="str">
            <v>#</v>
          </cell>
          <cell r="F3323" t="str">
            <v>QA mühəndis</v>
          </cell>
          <cell r="G3323" t="str">
            <v>A</v>
          </cell>
          <cell r="H3323">
            <v>45316</v>
          </cell>
        </row>
        <row r="3324">
          <cell r="B3324" t="str">
            <v>Canbaxşiyev Teymur Əbil</v>
          </cell>
          <cell r="C3324" t="str">
            <v>Mühəndislik və texnoloji platformalar ekspert mərkəzi</v>
          </cell>
          <cell r="D3324" t="str">
            <v>Proqram mühəndisliyi funksional sahəsi</v>
          </cell>
          <cell r="E3324" t="str">
            <v>#</v>
          </cell>
          <cell r="F3324" t="str">
            <v>SDET mühəndis</v>
          </cell>
          <cell r="G3324" t="str">
            <v>A</v>
          </cell>
          <cell r="H3324">
            <v>45748</v>
          </cell>
        </row>
        <row r="3325">
          <cell r="B3325" t="str">
            <v>Talıbzadə Toğrul Mirzə Ağa</v>
          </cell>
          <cell r="C3325" t="str">
            <v>Ödəniş biznesinin mühəndislik ekspert mərkəzi</v>
          </cell>
          <cell r="D3325" t="str">
            <v>İT BA chapter</v>
          </cell>
          <cell r="E3325" t="str">
            <v>#</v>
          </cell>
          <cell r="F3325" t="str">
            <v>Ekspert funksional lider</v>
          </cell>
          <cell r="G3325" t="str">
            <v>A</v>
          </cell>
          <cell r="H3325">
            <v>45719</v>
          </cell>
        </row>
        <row r="3326">
          <cell r="B3326" t="str">
            <v>Novruzova Aysel Aydın</v>
          </cell>
          <cell r="C3326" t="str">
            <v>Mühəndislik və texnoloji platformalar ekspert mərkəzi</v>
          </cell>
          <cell r="D3326" t="str">
            <v>Proqram mühəndisliyi funksional sahəsi</v>
          </cell>
          <cell r="E3326" t="str">
            <v>#</v>
          </cell>
          <cell r="F3326" t="str">
            <v>İT biznes analitik</v>
          </cell>
          <cell r="G3326" t="str">
            <v>A</v>
          </cell>
          <cell r="H3326">
            <v>45664</v>
          </cell>
        </row>
        <row r="3327">
          <cell r="B3327" t="str">
            <v>Əliyeva Kamila Nailovna</v>
          </cell>
          <cell r="C3327" t="str">
            <v>Mühəndislik və texnoloji platformalar ekspert mərkəzi</v>
          </cell>
          <cell r="D3327" t="str">
            <v>Proqram mühəndisliyi funksional sahəsi</v>
          </cell>
          <cell r="E3327" t="str">
            <v>#</v>
          </cell>
          <cell r="F3327" t="str">
            <v>İT biznes analitik</v>
          </cell>
          <cell r="G3327" t="str">
            <v>A</v>
          </cell>
          <cell r="H3327">
            <v>42667</v>
          </cell>
        </row>
        <row r="3328">
          <cell r="B3328" t="str">
            <v>Məmmədli Kərəm Lətif</v>
          </cell>
          <cell r="C3328" t="str">
            <v>Mühəndislik və texnoloji platformalar ekspert mərkəzi</v>
          </cell>
          <cell r="D3328" t="str">
            <v>Proqram mühəndisliyi funksional sahəsi</v>
          </cell>
          <cell r="E3328" t="str">
            <v>#</v>
          </cell>
          <cell r="F3328" t="str">
            <v>İT biznes analitik</v>
          </cell>
          <cell r="G3328" t="str">
            <v>A</v>
          </cell>
          <cell r="H3328">
            <v>46227</v>
          </cell>
        </row>
        <row r="3329">
          <cell r="B3329" t="str">
            <v>Paşayeva Şəhla Nuraf</v>
          </cell>
          <cell r="C3329" t="str">
            <v>Rəqəmsal həllər sahəsi</v>
          </cell>
          <cell r="D3329" t="str">
            <v>Service Quality&amp;Platforms</v>
          </cell>
          <cell r="E3329" t="str">
            <v>#</v>
          </cell>
          <cell r="F3329" t="str">
            <v>Məhsul sahibi</v>
          </cell>
          <cell r="G3329" t="str">
            <v>A</v>
          </cell>
          <cell r="H3329">
            <v>43535</v>
          </cell>
        </row>
        <row r="3330">
          <cell r="B3330" t="str">
            <v>Allahverdiyeva Nərmin Azər</v>
          </cell>
          <cell r="C3330" t="str">
            <v>Mühəndislik və texnoloji platformalar ekspert mərkəzi</v>
          </cell>
          <cell r="D3330" t="str">
            <v>Proqram mühəndisliyi funksional sahəsi</v>
          </cell>
          <cell r="E3330" t="str">
            <v>#</v>
          </cell>
          <cell r="F3330" t="str">
            <v>İT biznes analitik</v>
          </cell>
          <cell r="G3330" t="str">
            <v>A</v>
          </cell>
          <cell r="H3330">
            <v>43839</v>
          </cell>
        </row>
        <row r="3331">
          <cell r="B3331" t="str">
            <v>Feyzullazadə İbrahim Ziyad</v>
          </cell>
          <cell r="C3331" t="str">
            <v>FinTech mühəndislik ekspert mərkəzi</v>
          </cell>
          <cell r="D3331" t="str">
            <v>İT BA chapter</v>
          </cell>
          <cell r="E3331" t="str">
            <v>#</v>
          </cell>
          <cell r="F3331" t="str">
            <v>İT biznes analitik</v>
          </cell>
          <cell r="G3331" t="str">
            <v>A</v>
          </cell>
          <cell r="H3331">
            <v>45910</v>
          </cell>
        </row>
        <row r="3332">
          <cell r="B3332" t="str">
            <v>Fərzullasoy Tengiz Qəyyum</v>
          </cell>
          <cell r="C3332" t="str">
            <v>Biznesə dəstək departamenti</v>
          </cell>
          <cell r="D3332" t="str">
            <v>Əməliyyatların icrası və dəstək şöbəsi</v>
          </cell>
          <cell r="E3332" t="str">
            <v>#</v>
          </cell>
          <cell r="F3332" t="str">
            <v>Mütəxəssis</v>
          </cell>
          <cell r="G3332" t="str">
            <v>A</v>
          </cell>
          <cell r="H3332">
            <v>44337</v>
          </cell>
        </row>
        <row r="3333">
          <cell r="B3333" t="str">
            <v>Vahidov Vahid Ağamustafa</v>
          </cell>
          <cell r="C3333" t="str">
            <v>FinTech mühəndislik ekspert mərkəzi</v>
          </cell>
          <cell r="D3333" t="str">
            <v>İT BA chapter</v>
          </cell>
          <cell r="E3333" t="str">
            <v>#</v>
          </cell>
          <cell r="F3333" t="str">
            <v>İT biznes analitik</v>
          </cell>
          <cell r="G3333" t="str">
            <v>A</v>
          </cell>
          <cell r="H3333">
            <v>45748</v>
          </cell>
        </row>
        <row r="3334">
          <cell r="B3334" t="str">
            <v>Vəliyev Rüfət Rahim</v>
          </cell>
          <cell r="C3334" t="str">
            <v>FinTech mühəndislik ekspert mərkəzi</v>
          </cell>
          <cell r="D3334" t="str">
            <v>İT BA chapter</v>
          </cell>
          <cell r="E3334" t="str">
            <v>#</v>
          </cell>
          <cell r="F3334" t="str">
            <v>İT biznes analitik</v>
          </cell>
          <cell r="G3334" t="str">
            <v>A</v>
          </cell>
          <cell r="H3334">
            <v>45749</v>
          </cell>
        </row>
        <row r="3335">
          <cell r="B3335" t="str">
            <v>Hümmətli Vəfa Əfrayıl</v>
          </cell>
          <cell r="C3335" t="str">
            <v>Ödəniş biznesinin mühəndislik ekspert mərkəzi</v>
          </cell>
          <cell r="D3335" t="str">
            <v>İT BA chapter</v>
          </cell>
          <cell r="E3335" t="str">
            <v>#</v>
          </cell>
          <cell r="F3335" t="str">
            <v>İT biznes analitik</v>
          </cell>
          <cell r="G3335" t="str">
            <v>A</v>
          </cell>
          <cell r="H3335">
            <v>45749</v>
          </cell>
        </row>
        <row r="3336">
          <cell r="B3336" t="str">
            <v>İbrahimov İbrahim Rəfail</v>
          </cell>
          <cell r="C3336" t="str">
            <v>Mühəndislik və texnoloji platformalar ekspert mərkəzi</v>
          </cell>
          <cell r="D3336" t="str">
            <v>Proqram mühəndisliyi funksional sahəsi</v>
          </cell>
          <cell r="E3336" t="str">
            <v>#</v>
          </cell>
          <cell r="F3336" t="str">
            <v>İT biznes analitik</v>
          </cell>
          <cell r="G3336" t="str">
            <v>A</v>
          </cell>
          <cell r="H3336">
            <v>44324</v>
          </cell>
        </row>
        <row r="3337">
          <cell r="B3337" t="str">
            <v>Eyubova Aynur Arzuman</v>
          </cell>
          <cell r="C3337" t="str">
            <v>Ödəniş biznesinin mühəndislik ekspert mərkəzi</v>
          </cell>
          <cell r="D3337" t="str">
            <v>İT BA chapter</v>
          </cell>
          <cell r="E3337" t="str">
            <v>#</v>
          </cell>
          <cell r="F3337" t="str">
            <v>İT biznes analitik</v>
          </cell>
          <cell r="G3337" t="str">
            <v>A</v>
          </cell>
          <cell r="H3337">
            <v>45383</v>
          </cell>
        </row>
        <row r="3338">
          <cell r="B3338" t="str">
            <v>Əhmədzadə Murad Talibzadə</v>
          </cell>
          <cell r="C3338" t="str">
            <v>Ödəniş biznesinin mühəndislik ekspert mərkəzi</v>
          </cell>
          <cell r="D3338" t="str">
            <v>İT BA chapter</v>
          </cell>
          <cell r="E3338" t="str">
            <v>#</v>
          </cell>
          <cell r="F3338" t="str">
            <v>İT biznes analitik (0,5 ştat vahidi üzrə əvəzçilik qaydasında)</v>
          </cell>
          <cell r="G3338" t="str">
            <v>A</v>
          </cell>
          <cell r="H3338">
            <v>46267</v>
          </cell>
          <cell r="I3338" t="str">
            <v>Bir Payment</v>
          </cell>
        </row>
        <row r="3339">
          <cell r="B3339" t="str">
            <v>İbrahimova Günel İsrəfil</v>
          </cell>
          <cell r="C3339" t="str">
            <v>FinTech mühəndislik ekspert mərkəzi</v>
          </cell>
          <cell r="D3339" t="str">
            <v>İT BA chapter</v>
          </cell>
          <cell r="E3339" t="str">
            <v>#</v>
          </cell>
          <cell r="F3339" t="str">
            <v>İT biznes analitik</v>
          </cell>
          <cell r="G3339" t="str">
            <v>A</v>
          </cell>
          <cell r="H3339">
            <v>42597</v>
          </cell>
        </row>
        <row r="3340">
          <cell r="B3340" t="str">
            <v>Cəbiyeva Aytəkin Valeh</v>
          </cell>
          <cell r="C3340" t="str">
            <v>FinTech mühəndislik ekspert mərkəzi</v>
          </cell>
          <cell r="D3340" t="str">
            <v>İT BA chapter</v>
          </cell>
          <cell r="E3340" t="str">
            <v>#</v>
          </cell>
          <cell r="F3340" t="str">
            <v>İT biznes analitik</v>
          </cell>
          <cell r="G3340" t="str">
            <v>A</v>
          </cell>
          <cell r="H3340">
            <v>43063</v>
          </cell>
        </row>
        <row r="3341">
          <cell r="B3341" t="str">
            <v>Mehdiyeva Gülnar Mənsurlı İdris</v>
          </cell>
          <cell r="C3341" t="str">
            <v>Ödəniş biznesinin mühəndislik ekspert mərkəzi</v>
          </cell>
          <cell r="D3341" t="str">
            <v>İT BA chapter</v>
          </cell>
          <cell r="E3341" t="str">
            <v>#</v>
          </cell>
          <cell r="F3341" t="str">
            <v>İT biznes analitik</v>
          </cell>
          <cell r="G3341" t="str">
            <v>SM</v>
          </cell>
          <cell r="H3341">
            <v>42597</v>
          </cell>
        </row>
        <row r="3342">
          <cell r="B3342" t="str">
            <v>Bəşirova Sona Saleh</v>
          </cell>
          <cell r="C3342" t="str">
            <v>Nağd pulların idarə edilməsi departamenti</v>
          </cell>
          <cell r="D3342" t="str">
            <v>Nağd əməliyyatlara dəstək şöbəsi</v>
          </cell>
          <cell r="E3342" t="str">
            <v>#</v>
          </cell>
          <cell r="F3342" t="str">
            <v>Aparıcı mütəxəssis</v>
          </cell>
          <cell r="G3342" t="str">
            <v>A</v>
          </cell>
          <cell r="H3342">
            <v>42839</v>
          </cell>
        </row>
        <row r="3343">
          <cell r="B3343" t="str">
            <v>İsmayılova Ləman İlqar</v>
          </cell>
          <cell r="C3343" t="str">
            <v>FinTech mühəndislik ekspert mərkəzi</v>
          </cell>
          <cell r="D3343" t="str">
            <v>İT BA chapter</v>
          </cell>
          <cell r="E3343" t="str">
            <v>#</v>
          </cell>
          <cell r="F3343" t="str">
            <v>İT biznes analitik</v>
          </cell>
          <cell r="G3343" t="str">
            <v>A</v>
          </cell>
          <cell r="H3343">
            <v>45101</v>
          </cell>
        </row>
        <row r="3344">
          <cell r="B3344" t="str">
            <v>Kərimov Rauf Azər</v>
          </cell>
          <cell r="C3344" t="str">
            <v>Ödəniş biznesinin mühəndislik ekspert mərkəzi</v>
          </cell>
          <cell r="D3344" t="str">
            <v>İT BA chapter</v>
          </cell>
          <cell r="E3344" t="str">
            <v>#</v>
          </cell>
          <cell r="F3344" t="str">
            <v>Funksional lider</v>
          </cell>
          <cell r="G3344" t="str">
            <v>A</v>
          </cell>
          <cell r="H3344">
            <v>43455</v>
          </cell>
        </row>
        <row r="3345">
          <cell r="B3345" t="str">
            <v>Məmmədzadə Cəmilə Fədail</v>
          </cell>
          <cell r="C3345" t="str">
            <v>Ödəniş biznesinin mühəndislik ekspert mərkəzi</v>
          </cell>
          <cell r="D3345" t="str">
            <v>İT BA chapter</v>
          </cell>
          <cell r="E3345" t="str">
            <v>#</v>
          </cell>
          <cell r="F3345" t="str">
            <v>İT biznes analitik</v>
          </cell>
          <cell r="G3345" t="str">
            <v>A</v>
          </cell>
          <cell r="H3345">
            <v>43866</v>
          </cell>
        </row>
        <row r="3346">
          <cell r="B3346" t="str">
            <v>Ağayev Ənvər Samir</v>
          </cell>
          <cell r="C3346" t="str">
            <v>Mühəndislik və texnoloji platformalar ekspert mərkəzi</v>
          </cell>
          <cell r="D3346" t="str">
            <v>Proqram mühəndisliyi funksional sahəsi</v>
          </cell>
          <cell r="E3346" t="str">
            <v>#</v>
          </cell>
          <cell r="F3346" t="str">
            <v>İT biznes analitik</v>
          </cell>
          <cell r="G3346" t="str">
            <v>A</v>
          </cell>
          <cell r="H3346">
            <v>43242</v>
          </cell>
        </row>
        <row r="3347">
          <cell r="B3347" t="str">
            <v>Mirzəyeva İnara Ruslan</v>
          </cell>
          <cell r="C3347" t="str">
            <v>Ödəniş biznesinin mühəndislik ekspert mərkəzi</v>
          </cell>
          <cell r="D3347" t="str">
            <v>İT BA chapter</v>
          </cell>
          <cell r="E3347" t="str">
            <v>#</v>
          </cell>
          <cell r="F3347" t="str">
            <v>İT biznes analitik</v>
          </cell>
          <cell r="G3347" t="str">
            <v>A</v>
          </cell>
          <cell r="H3347">
            <v>45908</v>
          </cell>
        </row>
        <row r="3348">
          <cell r="B3348" t="str">
            <v>Rəhimli Gülnar Mübariz</v>
          </cell>
          <cell r="C3348" t="str">
            <v>Ödəniş biznesinin mühəndislik ekspert mərkəzi</v>
          </cell>
          <cell r="D3348" t="str">
            <v>İT BA chapter</v>
          </cell>
          <cell r="E3348" t="str">
            <v>#</v>
          </cell>
          <cell r="F3348" t="str">
            <v>İT biznes analitik</v>
          </cell>
          <cell r="G3348" t="str">
            <v>A</v>
          </cell>
          <cell r="H3348">
            <v>46252</v>
          </cell>
        </row>
        <row r="3349">
          <cell r="B3349" t="str">
            <v>Qayıbov Nicat Samir</v>
          </cell>
          <cell r="C3349" t="str">
            <v>Ödəniş biznesinin mühəndislik ekspert mərkəzi</v>
          </cell>
          <cell r="D3349" t="str">
            <v>İT BA chapter</v>
          </cell>
          <cell r="E3349" t="str">
            <v>#</v>
          </cell>
          <cell r="F3349" t="str">
            <v>İT biznes analitik</v>
          </cell>
          <cell r="G3349" t="str">
            <v>A</v>
          </cell>
          <cell r="H3349">
            <v>46255</v>
          </cell>
        </row>
        <row r="3350">
          <cell r="B3350" t="str">
            <v>Eminbəyli Süleyman Şakir</v>
          </cell>
          <cell r="C3350" t="str">
            <v>Ödəniş biznesinin mühəndislik ekspert mərkəzi</v>
          </cell>
          <cell r="D3350" t="str">
            <v>İT BA chapter</v>
          </cell>
          <cell r="E3350" t="str">
            <v>#</v>
          </cell>
          <cell r="F3350" t="str">
            <v>İT biznes analitik</v>
          </cell>
          <cell r="G3350" t="str">
            <v>A</v>
          </cell>
          <cell r="H3350">
            <v>46259</v>
          </cell>
        </row>
        <row r="3351">
          <cell r="B3351" t="str">
            <v>Rəhmanova Rəşidə Əbülfət</v>
          </cell>
          <cell r="C3351" t="str">
            <v>Ödəniş biznesinin mühəndislik ekspert mərkəzi</v>
          </cell>
          <cell r="D3351" t="str">
            <v>İT BA chapter</v>
          </cell>
          <cell r="E3351" t="str">
            <v>#</v>
          </cell>
          <cell r="F3351" t="str">
            <v>İT biznes analitik</v>
          </cell>
          <cell r="G3351" t="str">
            <v>A</v>
          </cell>
          <cell r="H3351">
            <v>46127</v>
          </cell>
        </row>
        <row r="3352">
          <cell r="B3352" t="str">
            <v>Sadıqova Nilufər İzzət</v>
          </cell>
          <cell r="C3352" t="str">
            <v>Ödəniş biznesinin mühəndislik ekspert mərkəzi</v>
          </cell>
          <cell r="D3352" t="str">
            <v>İT BA chapter</v>
          </cell>
          <cell r="E3352" t="str">
            <v>#</v>
          </cell>
          <cell r="F3352" t="str">
            <v>İT biznes analitik</v>
          </cell>
          <cell r="G3352" t="str">
            <v>SM</v>
          </cell>
          <cell r="H3352">
            <v>43777</v>
          </cell>
        </row>
        <row r="3353">
          <cell r="B3353" t="str">
            <v>Ağayev Qulam Ağa</v>
          </cell>
          <cell r="C3353" t="str">
            <v>FinTech mühəndislik ekspert mərkəzi</v>
          </cell>
          <cell r="D3353" t="str">
            <v>İT BA chapter</v>
          </cell>
          <cell r="E3353" t="str">
            <v>#</v>
          </cell>
          <cell r="F3353" t="str">
            <v>İT biznes analitik</v>
          </cell>
          <cell r="G3353" t="str">
            <v>A</v>
          </cell>
          <cell r="H3353">
            <v>45692</v>
          </cell>
        </row>
        <row r="3354">
          <cell r="B3354" t="str">
            <v>Əlizadə Sürayyə Şəmsi</v>
          </cell>
          <cell r="C3354" t="str">
            <v>FinTech mühəndislik ekspert mərkəzi</v>
          </cell>
          <cell r="D3354" t="str">
            <v>İT BA chapter</v>
          </cell>
          <cell r="E3354" t="str">
            <v>#</v>
          </cell>
          <cell r="F3354" t="str">
            <v>İT biznes analitik</v>
          </cell>
          <cell r="G3354" t="str">
            <v>A</v>
          </cell>
          <cell r="H3354">
            <v>46211</v>
          </cell>
        </row>
        <row r="3355">
          <cell r="B3355" t="str">
            <v>Əsgərli Azadə Araz</v>
          </cell>
          <cell r="C3355" t="str">
            <v>FinTech mühəndislik ekspert mərkəzi</v>
          </cell>
          <cell r="D3355" t="str">
            <v>İT BA chapter</v>
          </cell>
          <cell r="E3355" t="str">
            <v>#</v>
          </cell>
          <cell r="F3355" t="str">
            <v>İT biznes analitik</v>
          </cell>
          <cell r="G3355" t="str">
            <v>A</v>
          </cell>
          <cell r="H3355">
            <v>46216</v>
          </cell>
        </row>
        <row r="3356">
          <cell r="B3356" t="str">
            <v>Məhərrəmli Aynurə Nazim</v>
          </cell>
          <cell r="C3356" t="str">
            <v>Ödəniş biznesinin mühəndislik ekspert mərkəzi</v>
          </cell>
          <cell r="D3356" t="str">
            <v>İT BA chapter</v>
          </cell>
          <cell r="E3356" t="str">
            <v>#</v>
          </cell>
          <cell r="F3356" t="str">
            <v>İT biznes analitik</v>
          </cell>
          <cell r="G3356" t="str">
            <v>A</v>
          </cell>
          <cell r="H3356">
            <v>44483</v>
          </cell>
        </row>
        <row r="3357">
          <cell r="B3357" t="str">
            <v>KASAVETS NATALIYA</v>
          </cell>
          <cell r="C3357" t="str">
            <v>Ödəniş biznesinin mühəndislik ekspert mərkəzi</v>
          </cell>
          <cell r="D3357" t="str">
            <v>İT BA chapter</v>
          </cell>
          <cell r="E3357" t="str">
            <v>#</v>
          </cell>
          <cell r="F3357" t="str">
            <v>İT biznes analitik</v>
          </cell>
          <cell r="G3357" t="str">
            <v>A</v>
          </cell>
          <cell r="H3357">
            <v>45730</v>
          </cell>
        </row>
        <row r="3358">
          <cell r="B3358" t="str">
            <v>Fərzəliyeva Nərgiz Azər</v>
          </cell>
          <cell r="C3358" t="str">
            <v>Ödəniş biznesinin mühəndislik ekspert mərkəzi</v>
          </cell>
          <cell r="D3358" t="str">
            <v>İT BA chapter</v>
          </cell>
          <cell r="E3358" t="str">
            <v>#</v>
          </cell>
          <cell r="F3358" t="str">
            <v>İT biznes analitik</v>
          </cell>
          <cell r="G3358" t="str">
            <v>A</v>
          </cell>
          <cell r="H3358">
            <v>43777</v>
          </cell>
        </row>
        <row r="3359">
          <cell r="B3359" t="str">
            <v>Abbasova Əsmər Vaqif</v>
          </cell>
          <cell r="C3359" t="str">
            <v>Ödəniş biznesinin mühəndislik ekspert mərkəzi</v>
          </cell>
          <cell r="D3359" t="str">
            <v>İT BA Chapter</v>
          </cell>
          <cell r="E3359" t="str">
            <v>#</v>
          </cell>
          <cell r="F3359" t="str">
            <v>İT biznes analitik</v>
          </cell>
          <cell r="G3359" t="str">
            <v>A</v>
          </cell>
          <cell r="H3359">
            <v>43816</v>
          </cell>
        </row>
        <row r="3360">
          <cell r="B3360" t="str">
            <v>Səməndər-Zadə Nigar-Xanım Mir-Məhəmməd</v>
          </cell>
          <cell r="C3360" t="str">
            <v>FinTech mühəndislik ekspert mərkəzi</v>
          </cell>
          <cell r="D3360" t="str">
            <v>İT BA chapter</v>
          </cell>
          <cell r="E3360" t="str">
            <v>#</v>
          </cell>
          <cell r="F3360" t="str">
            <v>İT biznes analitik</v>
          </cell>
          <cell r="G3360" t="str">
            <v>A</v>
          </cell>
          <cell r="H3360">
            <v>40093</v>
          </cell>
        </row>
        <row r="3361">
          <cell r="B3361" t="str">
            <v>Əliyeva Fəridə Məmməd</v>
          </cell>
          <cell r="C3361" t="str">
            <v>FinTech mühəndislik ekspert mərkəzi</v>
          </cell>
          <cell r="D3361" t="str">
            <v>İT BA chapter</v>
          </cell>
          <cell r="E3361" t="str">
            <v>#</v>
          </cell>
          <cell r="F3361" t="str">
            <v>İT biznes analitik</v>
          </cell>
          <cell r="G3361" t="str">
            <v>A</v>
          </cell>
          <cell r="H3361">
            <v>41061</v>
          </cell>
        </row>
        <row r="3362">
          <cell r="B3362" t="str">
            <v>Xankişiyeva Vüsalə Rüstəm</v>
          </cell>
          <cell r="C3362" t="str">
            <v>FinTech mühəndislik ekspert mərkəzi</v>
          </cell>
          <cell r="D3362" t="str">
            <v>İT BA chapter</v>
          </cell>
          <cell r="E3362" t="str">
            <v>#</v>
          </cell>
          <cell r="F3362" t="str">
            <v>İT biznes analitik</v>
          </cell>
          <cell r="G3362" t="str">
            <v>A</v>
          </cell>
          <cell r="H3362">
            <v>40813</v>
          </cell>
        </row>
        <row r="3363">
          <cell r="B3363" t="str">
            <v>Quliyev Nurlan Dadaş</v>
          </cell>
          <cell r="C3363" t="str">
            <v>Ödəniş biznesinin mühəndislik ekspert mərkəzi</v>
          </cell>
          <cell r="D3363" t="str">
            <v>İT BA chapter</v>
          </cell>
          <cell r="E3363" t="str">
            <v>#</v>
          </cell>
          <cell r="F3363" t="str">
            <v>İT biznes analitik</v>
          </cell>
          <cell r="G3363" t="str">
            <v>A</v>
          </cell>
          <cell r="H3363">
            <v>44846</v>
          </cell>
        </row>
        <row r="3364">
          <cell r="B3364" t="str">
            <v>Məmmədzadə Kənan Hacı</v>
          </cell>
          <cell r="C3364" t="str">
            <v>FinTech mühəndislik ekspert mərkəzi</v>
          </cell>
          <cell r="D3364" t="str">
            <v>İT BA chapter</v>
          </cell>
          <cell r="E3364" t="str">
            <v>#</v>
          </cell>
          <cell r="F3364" t="str">
            <v>İT biznes analitik</v>
          </cell>
          <cell r="G3364" t="str">
            <v>A</v>
          </cell>
          <cell r="H3364">
            <v>44302</v>
          </cell>
        </row>
        <row r="3365">
          <cell r="B3365" t="str">
            <v>Tağıyev Ceyhun Allahverdi</v>
          </cell>
          <cell r="C3365" t="str">
            <v>FinTech mühəndislik ekspert mərkəzi</v>
          </cell>
          <cell r="D3365" t="str">
            <v>İT BA chapter</v>
          </cell>
          <cell r="E3365" t="str">
            <v>#</v>
          </cell>
          <cell r="F3365" t="str">
            <v>Funksional Lider</v>
          </cell>
          <cell r="G3365" t="str">
            <v>A</v>
          </cell>
          <cell r="H3365">
            <v>42832</v>
          </cell>
        </row>
        <row r="3366">
          <cell r="B3366" t="str">
            <v>Mirzəli Fidan Ramis</v>
          </cell>
          <cell r="C3366" t="str">
            <v>FinTech mühəndislik ekspert mərkəzi</v>
          </cell>
          <cell r="D3366" t="str">
            <v>İT BA chapter</v>
          </cell>
          <cell r="E3366" t="str">
            <v>#</v>
          </cell>
          <cell r="F3366" t="str">
            <v>İT biznes analitik</v>
          </cell>
          <cell r="G3366" t="str">
            <v>A</v>
          </cell>
          <cell r="H3366">
            <v>43577</v>
          </cell>
        </row>
        <row r="3367">
          <cell r="B3367" t="str">
            <v>Əlfidatlı Aynur Teyyub</v>
          </cell>
          <cell r="C3367" t="str">
            <v>Ödəniş biznesinin mühəndislik ekspert mərkəzi</v>
          </cell>
          <cell r="D3367" t="str">
            <v>İT BA chapter</v>
          </cell>
          <cell r="E3367" t="str">
            <v>#</v>
          </cell>
          <cell r="F3367" t="str">
            <v>İT biznes analitik</v>
          </cell>
          <cell r="G3367" t="str">
            <v>A</v>
          </cell>
          <cell r="H3367">
            <v>42500</v>
          </cell>
        </row>
        <row r="3368">
          <cell r="B3368" t="str">
            <v xml:space="preserve">Gülməhəmmədov Nurlan Ələddinoviç </v>
          </cell>
          <cell r="C3368" t="str">
            <v>Ödəniş biznesinin mühəndislik ekspert mərkəzi</v>
          </cell>
          <cell r="D3368" t="str">
            <v>İT BA chapter</v>
          </cell>
          <cell r="E3368" t="str">
            <v>#</v>
          </cell>
          <cell r="F3368" t="str">
            <v>İT biznes analitik (0,5 ştat vahidi üzrə əvəzçilik qaydasında)</v>
          </cell>
          <cell r="G3368" t="str">
            <v>A</v>
          </cell>
          <cell r="H3368">
            <v>46213</v>
          </cell>
          <cell r="I3368" t="str">
            <v>Bir Payment</v>
          </cell>
        </row>
        <row r="3369">
          <cell r="B3369" t="str">
            <v>Məmmədov Hafiz Müşviq</v>
          </cell>
          <cell r="C3369" t="str">
            <v>Ödəniş biznesinin mühəndislik ekspert mərkəzi</v>
          </cell>
          <cell r="D3369" t="str">
            <v>İT BA chapter</v>
          </cell>
          <cell r="E3369" t="str">
            <v>#</v>
          </cell>
          <cell r="F3369" t="str">
            <v>İT biznes analitik (0,5 ştat vahidi üzrə əvəzçilik qaydasında)</v>
          </cell>
          <cell r="G3369" t="str">
            <v>A</v>
          </cell>
          <cell r="H3369">
            <v>46213</v>
          </cell>
          <cell r="I3369" t="str">
            <v>Bir Payment</v>
          </cell>
        </row>
        <row r="3370">
          <cell r="B3370" t="str">
            <v>İsmayılova Şövkət Qabil</v>
          </cell>
          <cell r="C3370" t="str">
            <v>FinTech mühəndislik ekspert mərkəzi</v>
          </cell>
          <cell r="D3370" t="str">
            <v>İT BA chapter</v>
          </cell>
          <cell r="E3370" t="str">
            <v>#</v>
          </cell>
          <cell r="F3370" t="str">
            <v>İT biznes analitik</v>
          </cell>
          <cell r="G3370" t="str">
            <v>A</v>
          </cell>
          <cell r="H3370">
            <v>46014</v>
          </cell>
        </row>
        <row r="3371">
          <cell r="B3371" t="str">
            <v>Məmmədova Nərmin Sabir</v>
          </cell>
          <cell r="C3371" t="str">
            <v>Ödəniş biznesinin mühəndislik ekspert mərkəzi</v>
          </cell>
          <cell r="D3371" t="str">
            <v>İT BA chapter</v>
          </cell>
          <cell r="E3371" t="str">
            <v>#</v>
          </cell>
          <cell r="F3371" t="str">
            <v>İT biznes analitik</v>
          </cell>
          <cell r="G3371" t="str">
            <v>A</v>
          </cell>
          <cell r="H3371">
            <v>41061</v>
          </cell>
        </row>
        <row r="3372">
          <cell r="B3372" t="str">
            <v>Əlişova Gülşən Kərim</v>
          </cell>
          <cell r="C3372" t="str">
            <v>FinTech mühəndislik ekspert mərkəzi</v>
          </cell>
          <cell r="D3372" t="str">
            <v>İT BA chapter</v>
          </cell>
          <cell r="E3372" t="str">
            <v>#</v>
          </cell>
          <cell r="F3372" t="str">
            <v>İT biznes analitik</v>
          </cell>
          <cell r="G3372" t="str">
            <v>A</v>
          </cell>
          <cell r="H3372">
            <v>44700</v>
          </cell>
        </row>
        <row r="3373">
          <cell r="B3373" t="str">
            <v>Rəisli Ülvi Həsən</v>
          </cell>
          <cell r="C3373" t="str">
            <v>FinTech mühəndislik ekspert mərkəzi</v>
          </cell>
          <cell r="D3373" t="str">
            <v>İT BA chapter</v>
          </cell>
          <cell r="E3373" t="str">
            <v>#</v>
          </cell>
          <cell r="F3373" t="str">
            <v>İT biznes analitik</v>
          </cell>
          <cell r="G3373" t="str">
            <v>A</v>
          </cell>
          <cell r="H3373">
            <v>44399</v>
          </cell>
        </row>
        <row r="3374">
          <cell r="B3374" t="str">
            <v>Mustafayev Haqverdi Azər</v>
          </cell>
          <cell r="C3374" t="str">
            <v>FinTech mühəndislik ekspert mərkəzi</v>
          </cell>
          <cell r="D3374" t="str">
            <v>İT BA chapter</v>
          </cell>
          <cell r="E3374" t="str">
            <v>#</v>
          </cell>
          <cell r="F3374" t="str">
            <v>İT biznes analitik</v>
          </cell>
          <cell r="G3374" t="str">
            <v>A</v>
          </cell>
          <cell r="H3374">
            <v>46055</v>
          </cell>
        </row>
        <row r="3375">
          <cell r="B3375" t="str">
            <v>Nəsirov Babək Ənvər</v>
          </cell>
          <cell r="C3375" t="str">
            <v>Mühəndislik və texnoloji platformalar ekspert mərkəzi</v>
          </cell>
          <cell r="D3375" t="str">
            <v>Proqram mühəndisliyi funksional sahəsi</v>
          </cell>
          <cell r="E3375" t="str">
            <v>#</v>
          </cell>
          <cell r="F3375" t="str">
            <v>İT biznes analitik</v>
          </cell>
          <cell r="G3375" t="str">
            <v>A</v>
          </cell>
          <cell r="H3375">
            <v>46084</v>
          </cell>
        </row>
        <row r="3376">
          <cell r="B3376" t="str">
            <v>Kərimli Kərim Qalib</v>
          </cell>
          <cell r="C3376" t="str">
            <v>FinTech mühəndislik ekspert mərkəzi</v>
          </cell>
          <cell r="D3376" t="str">
            <v>İT BA chapter</v>
          </cell>
          <cell r="E3376" t="str">
            <v>#</v>
          </cell>
          <cell r="F3376" t="str">
            <v>İT biznes analitik</v>
          </cell>
          <cell r="G3376" t="str">
            <v>A</v>
          </cell>
          <cell r="H3376">
            <v>42970</v>
          </cell>
        </row>
        <row r="3377">
          <cell r="B3377" t="str">
            <v>Qasımxanova Səidə Xanlar</v>
          </cell>
          <cell r="C3377" t="str">
            <v>Mühəndislik və texnoloji platformalar ekspert mərkəzi</v>
          </cell>
          <cell r="D3377" t="str">
            <v>Proqram mühəndisliyi funksional sahəsi</v>
          </cell>
          <cell r="E3377" t="str">
            <v>#</v>
          </cell>
          <cell r="F3377" t="str">
            <v>İT biznes analitik</v>
          </cell>
          <cell r="G3377" t="str">
            <v>A</v>
          </cell>
          <cell r="H3377">
            <v>46238</v>
          </cell>
        </row>
        <row r="3378">
          <cell r="B3378" t="str">
            <v>Ağayeva Aysel Şərafət</v>
          </cell>
          <cell r="C3378" t="str">
            <v>FinTech mühəndislik ekspert mərkəzi</v>
          </cell>
          <cell r="D3378" t="str">
            <v>İT BA chapter</v>
          </cell>
          <cell r="E3378" t="str">
            <v>#</v>
          </cell>
          <cell r="F3378" t="str">
            <v>İT biznes analitik</v>
          </cell>
          <cell r="G3378" t="str">
            <v>A</v>
          </cell>
          <cell r="H3378">
            <v>46097</v>
          </cell>
        </row>
        <row r="3379">
          <cell r="B3379" t="str">
            <v>Bayramova Pərişan İlham</v>
          </cell>
          <cell r="C3379" t="str">
            <v>FinTech mühəndislik ekspert mərkəzi</v>
          </cell>
          <cell r="D3379" t="str">
            <v>İT BA chapter</v>
          </cell>
          <cell r="E3379" t="str">
            <v>#</v>
          </cell>
          <cell r="F3379" t="str">
            <v>İT biznes analitik</v>
          </cell>
          <cell r="G3379" t="str">
            <v>A</v>
          </cell>
          <cell r="H3379">
            <v>46094</v>
          </cell>
        </row>
        <row r="3380">
          <cell r="B3380" t="str">
            <v>Məlikzadə Bahar Bəybala</v>
          </cell>
          <cell r="C3380" t="str">
            <v>FinTech mühəndislik ekspert mərkəzi</v>
          </cell>
          <cell r="D3380" t="str">
            <v>İT BA chapter</v>
          </cell>
          <cell r="E3380" t="str">
            <v>#</v>
          </cell>
          <cell r="F3380" t="str">
            <v>Funksional Lider</v>
          </cell>
          <cell r="G3380" t="str">
            <v>A</v>
          </cell>
          <cell r="H3380">
            <v>42502</v>
          </cell>
        </row>
        <row r="3381">
          <cell r="B3381" t="str">
            <v>Paşayev Yusif Bəxtiyar</v>
          </cell>
          <cell r="C3381" t="str">
            <v>FinTech mühəndislik ekspert mərkəzi</v>
          </cell>
          <cell r="D3381" t="str">
            <v>İT BA chapter</v>
          </cell>
          <cell r="E3381" t="str">
            <v>#</v>
          </cell>
          <cell r="F3381" t="str">
            <v>İT biznes analitik</v>
          </cell>
          <cell r="G3381" t="str">
            <v>A</v>
          </cell>
          <cell r="H3381">
            <v>43075</v>
          </cell>
        </row>
        <row r="3382">
          <cell r="B3382" t="str">
            <v>Nağıyeva Lamiyə Gündüz</v>
          </cell>
          <cell r="C3382" t="str">
            <v>FinTech mühəndislik ekspert mərkəzi</v>
          </cell>
          <cell r="D3382" t="str">
            <v>İT BA chapter</v>
          </cell>
          <cell r="E3382" t="str">
            <v>#</v>
          </cell>
          <cell r="F3382" t="str">
            <v>İT biznes analitik</v>
          </cell>
          <cell r="G3382" t="str">
            <v>A</v>
          </cell>
          <cell r="H3382">
            <v>45888</v>
          </cell>
        </row>
        <row r="3383">
          <cell r="B3383" t="str">
            <v>Rəhimova Leyla Cəfər</v>
          </cell>
          <cell r="C3383" t="str">
            <v>FinTech mühəndislik ekspert mərkəzi</v>
          </cell>
          <cell r="D3383" t="str">
            <v>İT BA chapter</v>
          </cell>
          <cell r="E3383" t="str">
            <v>#</v>
          </cell>
          <cell r="F3383" t="str">
            <v>İT biznes analitik</v>
          </cell>
          <cell r="G3383" t="str">
            <v>A</v>
          </cell>
          <cell r="H3383">
            <v>43901</v>
          </cell>
        </row>
        <row r="3384">
          <cell r="B3384" t="str">
            <v>Şabanov Kamran Fizuli</v>
          </cell>
          <cell r="C3384" t="str">
            <v>FinTech mühəndislik ekspert mərkəzi</v>
          </cell>
          <cell r="D3384" t="str">
            <v>İT BA chapter</v>
          </cell>
          <cell r="E3384" t="str">
            <v>#</v>
          </cell>
          <cell r="F3384" t="str">
            <v>İT biznes analitik</v>
          </cell>
          <cell r="G3384" t="str">
            <v>A</v>
          </cell>
          <cell r="H3384">
            <v>41989</v>
          </cell>
        </row>
        <row r="3385">
          <cell r="B3385" t="str">
            <v>Hacıyeva Nigar Nəvai</v>
          </cell>
          <cell r="C3385" t="str">
            <v>FinTech mühəndislik ekspert mərkəzi</v>
          </cell>
          <cell r="D3385" t="str">
            <v>İT BA chapter</v>
          </cell>
          <cell r="E3385" t="str">
            <v>#</v>
          </cell>
          <cell r="F3385" t="str">
            <v>İT biznes analitik</v>
          </cell>
          <cell r="G3385" t="str">
            <v>SM</v>
          </cell>
          <cell r="H3385">
            <v>45266</v>
          </cell>
        </row>
        <row r="3386">
          <cell r="B3386" t="str">
            <v>Əhmədov Nəriman Ayaz</v>
          </cell>
          <cell r="C3386" t="str">
            <v>FinTech mühəndislik ekspert mərkəzi</v>
          </cell>
          <cell r="D3386" t="str">
            <v>İT BA chapter</v>
          </cell>
          <cell r="E3386" t="str">
            <v>#</v>
          </cell>
          <cell r="F3386" t="str">
            <v>İT biznes analitik</v>
          </cell>
          <cell r="G3386" t="str">
            <v>A</v>
          </cell>
          <cell r="H3386">
            <v>45727</v>
          </cell>
        </row>
        <row r="3387">
          <cell r="B3387" t="str">
            <v>Əliyev Emin Təmkin</v>
          </cell>
          <cell r="C3387" t="str">
            <v>FinTech mühəndislik ekspert mərkəzi</v>
          </cell>
          <cell r="D3387" t="str">
            <v>İT BA chapter</v>
          </cell>
          <cell r="E3387" t="str">
            <v>#</v>
          </cell>
          <cell r="F3387" t="str">
            <v>İT biznes analitik</v>
          </cell>
          <cell r="G3387" t="str">
            <v>A</v>
          </cell>
          <cell r="H3387">
            <v>45524</v>
          </cell>
        </row>
        <row r="3388">
          <cell r="B3388" t="str">
            <v>Şirinov Fariz Malik</v>
          </cell>
          <cell r="C3388" t="str">
            <v>FinTech mühəndislik ekspert mərkəzi</v>
          </cell>
          <cell r="D3388" t="str">
            <v>İT BA chapter</v>
          </cell>
          <cell r="E3388" t="str">
            <v>#</v>
          </cell>
          <cell r="F3388" t="str">
            <v>İT biznes analitik</v>
          </cell>
          <cell r="G3388" t="str">
            <v>A</v>
          </cell>
          <cell r="H3388">
            <v>45446</v>
          </cell>
        </row>
        <row r="3389">
          <cell r="B3389" t="str">
            <v>Rzayeva Günay Rauf</v>
          </cell>
          <cell r="C3389" t="str">
            <v>FinTech mühəndislik ekspert mərkəzi</v>
          </cell>
          <cell r="D3389" t="str">
            <v>İT BA chapter</v>
          </cell>
          <cell r="E3389" t="str">
            <v>#</v>
          </cell>
          <cell r="F3389" t="str">
            <v>İT biznes analitik</v>
          </cell>
          <cell r="G3389" t="str">
            <v>A</v>
          </cell>
          <cell r="H3389">
            <v>39026</v>
          </cell>
        </row>
        <row r="3390">
          <cell r="B3390" t="str">
            <v>Ağayeva Aysel Teymur</v>
          </cell>
          <cell r="C3390" t="str">
            <v>FinTech mühəndislik ekspert mərkəzi</v>
          </cell>
          <cell r="D3390" t="str">
            <v>İT BA chapter</v>
          </cell>
          <cell r="E3390" t="str">
            <v>#</v>
          </cell>
          <cell r="F3390" t="str">
            <v>İT biznes analitik</v>
          </cell>
          <cell r="G3390" t="str">
            <v>A</v>
          </cell>
          <cell r="H3390">
            <v>42331</v>
          </cell>
        </row>
        <row r="3391">
          <cell r="B3391" t="str">
            <v>Cəfərov Emil Habil</v>
          </cell>
          <cell r="C3391" t="str">
            <v>Ödəniş biznesinin mühəndislik ekspert mərkəzi</v>
          </cell>
          <cell r="D3391" t="str">
            <v>İT BA chapter</v>
          </cell>
          <cell r="E3391" t="str">
            <v>#</v>
          </cell>
          <cell r="F3391" t="str">
            <v>İT biznes analitik</v>
          </cell>
          <cell r="G3391" t="str">
            <v>A</v>
          </cell>
          <cell r="H3391">
            <v>43658</v>
          </cell>
        </row>
        <row r="3392">
          <cell r="B3392" t="str">
            <v>Məmmədov Fuad Bəxtiyar</v>
          </cell>
          <cell r="C3392" t="str">
            <v>FinTech mühəndislik ekspert mərkəzi</v>
          </cell>
          <cell r="D3392" t="str">
            <v>İT BA chapter</v>
          </cell>
          <cell r="E3392" t="str">
            <v>#</v>
          </cell>
          <cell r="F3392" t="str">
            <v>İT biznes analitik</v>
          </cell>
          <cell r="G3392" t="str">
            <v>A</v>
          </cell>
          <cell r="H3392">
            <v>42753</v>
          </cell>
        </row>
        <row r="3393">
          <cell r="B3393" t="str">
            <v>Cabbarov Murad Tofiq</v>
          </cell>
          <cell r="C3393" t="str">
            <v>FinTech mühəndislik ekspert mərkəzi</v>
          </cell>
          <cell r="D3393" t="str">
            <v>İT BA chapter</v>
          </cell>
          <cell r="E3393" t="str">
            <v>#</v>
          </cell>
          <cell r="F3393" t="str">
            <v>İT biznes analitik</v>
          </cell>
          <cell r="G3393" t="str">
            <v>A</v>
          </cell>
          <cell r="H3393">
            <v>43090</v>
          </cell>
        </row>
        <row r="3394">
          <cell r="B3394" t="str">
            <v>Vəlizadə Fəridə Zahid</v>
          </cell>
          <cell r="C3394" t="str">
            <v>Xidmət keyfiyyətinin idarə edilməsi departamenti</v>
          </cell>
          <cell r="D3394" t="str">
            <v>Müştəri müraciətlərinin araşdırılması şöbəsi</v>
          </cell>
          <cell r="E3394" t="str">
            <v>#</v>
          </cell>
          <cell r="F3394" t="str">
            <v>Aparıcı mütəxəssis</v>
          </cell>
          <cell r="G3394" t="str">
            <v>A</v>
          </cell>
          <cell r="H3394">
            <v>43367</v>
          </cell>
        </row>
        <row r="3395">
          <cell r="B3395" t="str">
            <v>Musayev Rüstəm Rüfət</v>
          </cell>
          <cell r="C3395" t="str">
            <v>Pərakəndə biznes platformaları sahəsi</v>
          </cell>
          <cell r="D3395" t="str">
            <v>Secured Lending</v>
          </cell>
          <cell r="E3395" t="str">
            <v>#</v>
          </cell>
          <cell r="F3395" t="str">
            <v>Məhsul sahibi</v>
          </cell>
          <cell r="G3395" t="str">
            <v>A</v>
          </cell>
          <cell r="H3395">
            <v>44574</v>
          </cell>
        </row>
        <row r="3396">
          <cell r="B3396" t="str">
            <v>Məmmədov Qoşqar Hamlet</v>
          </cell>
          <cell r="C3396" t="str">
            <v>FinTech mühəndislik ekspert mərkəzi</v>
          </cell>
          <cell r="D3396" t="str">
            <v>İT BA chapter</v>
          </cell>
          <cell r="E3396" t="str">
            <v>#</v>
          </cell>
          <cell r="F3396" t="str">
            <v>Funksional Lider</v>
          </cell>
          <cell r="G3396" t="str">
            <v>A</v>
          </cell>
          <cell r="H3396">
            <v>42410</v>
          </cell>
        </row>
        <row r="3397">
          <cell r="B3397" t="str">
            <v>Əzimova Fəridə Əyyub</v>
          </cell>
          <cell r="C3397" t="str">
            <v>FinTech mühəndislik ekspert mərkəzi</v>
          </cell>
          <cell r="D3397" t="str">
            <v>İT BA chapter</v>
          </cell>
          <cell r="E3397" t="str">
            <v>#</v>
          </cell>
          <cell r="F3397" t="str">
            <v>İT biznes analitik</v>
          </cell>
          <cell r="G3397" t="str">
            <v>A</v>
          </cell>
          <cell r="H3397">
            <v>42795</v>
          </cell>
        </row>
        <row r="3398">
          <cell r="B3398" t="str">
            <v>Əzizov Asim Vəzir</v>
          </cell>
          <cell r="C3398" t="str">
            <v>FinTech mühəndislik ekspert mərkəzi</v>
          </cell>
          <cell r="D3398" t="str">
            <v>İT BA chapter</v>
          </cell>
          <cell r="E3398" t="str">
            <v>#</v>
          </cell>
          <cell r="F3398" t="str">
            <v>İT biznes analitik</v>
          </cell>
          <cell r="G3398" t="str">
            <v>A</v>
          </cell>
          <cell r="H3398">
            <v>45911</v>
          </cell>
        </row>
        <row r="3399">
          <cell r="B3399" t="str">
            <v>İbrahimova Aliyə Toğrul</v>
          </cell>
          <cell r="C3399" t="str">
            <v>FinTech mühəndislik ekspert mərkəzi</v>
          </cell>
          <cell r="D3399" t="str">
            <v>İT BA chapter</v>
          </cell>
          <cell r="E3399" t="str">
            <v>#</v>
          </cell>
          <cell r="F3399" t="str">
            <v>İT biznes analitik</v>
          </cell>
          <cell r="G3399" t="str">
            <v>A</v>
          </cell>
          <cell r="H3399">
            <v>46185</v>
          </cell>
        </row>
        <row r="3400">
          <cell r="B3400" t="str">
            <v>Kazımova Ruziyə Elbrus</v>
          </cell>
          <cell r="C3400" t="str">
            <v>FinTech mühəndislik ekspert mərkəzi</v>
          </cell>
          <cell r="D3400" t="str">
            <v>İT BA chapter</v>
          </cell>
          <cell r="E3400" t="str">
            <v>#</v>
          </cell>
          <cell r="F3400" t="str">
            <v>İT biznes analitik</v>
          </cell>
          <cell r="G3400" t="str">
            <v>A</v>
          </cell>
          <cell r="H3400">
            <v>43794</v>
          </cell>
        </row>
        <row r="3401">
          <cell r="B3401" t="str">
            <v>Kazımov Arif Sədrəddin</v>
          </cell>
          <cell r="C3401" t="str">
            <v>FinTech mühəndislik ekspert mərkəzi</v>
          </cell>
          <cell r="D3401" t="str">
            <v>İT BA chapter</v>
          </cell>
          <cell r="E3401" t="str">
            <v>#</v>
          </cell>
          <cell r="F3401" t="str">
            <v>İT biznes analitik</v>
          </cell>
          <cell r="G3401" t="str">
            <v>A</v>
          </cell>
          <cell r="H3401">
            <v>46070</v>
          </cell>
        </row>
        <row r="3402">
          <cell r="B3402" t="str">
            <v>İsayev Məmmədəli Səfail</v>
          </cell>
          <cell r="C3402" t="str">
            <v>Ödəniş biznesinin mühəndislik ekspert mərkəzi</v>
          </cell>
          <cell r="D3402" t="str">
            <v>İT BA chapter</v>
          </cell>
          <cell r="E3402" t="str">
            <v>#</v>
          </cell>
          <cell r="F3402" t="str">
            <v>İT biznes analitik</v>
          </cell>
          <cell r="G3402" t="str">
            <v>A</v>
          </cell>
          <cell r="H3402">
            <v>46072</v>
          </cell>
        </row>
        <row r="3403">
          <cell r="B3403" t="str">
            <v>Kazımov Murad Akif</v>
          </cell>
          <cell r="C3403" t="str">
            <v>FinTech mühəndislik ekspert mərkəzi</v>
          </cell>
          <cell r="D3403" t="str">
            <v>İT BA chapter</v>
          </cell>
          <cell r="E3403" t="str">
            <v>#</v>
          </cell>
          <cell r="F3403" t="str">
            <v>İT biznes analitik</v>
          </cell>
          <cell r="G3403" t="str">
            <v>A</v>
          </cell>
          <cell r="H3403">
            <v>43756</v>
          </cell>
        </row>
        <row r="3404">
          <cell r="B3404" t="str">
            <v>Əliyev Elvin Əbülfət</v>
          </cell>
          <cell r="C3404" t="str">
            <v>FinTech mühəndislik ekspert mərkəzi</v>
          </cell>
          <cell r="D3404" t="str">
            <v>İT BA chapter</v>
          </cell>
          <cell r="E3404" t="str">
            <v>#</v>
          </cell>
          <cell r="F3404" t="str">
            <v>İT biznes analitik</v>
          </cell>
          <cell r="G3404" t="str">
            <v>A</v>
          </cell>
          <cell r="H3404">
            <v>43238</v>
          </cell>
        </row>
        <row r="3405">
          <cell r="B3405" t="str">
            <v>Sadıqov Zakir Rahib</v>
          </cell>
          <cell r="C3405" t="str">
            <v>FinTech mühəndislik ekspert mərkəzi</v>
          </cell>
          <cell r="D3405" t="str">
            <v>İT BA chapter</v>
          </cell>
          <cell r="E3405" t="str">
            <v>#</v>
          </cell>
          <cell r="F3405" t="str">
            <v>İT biznes analitik</v>
          </cell>
          <cell r="G3405" t="str">
            <v>A</v>
          </cell>
          <cell r="H3405">
            <v>43873</v>
          </cell>
        </row>
        <row r="3406">
          <cell r="B3406" t="str">
            <v>Qasımova Ayşən Nazim</v>
          </cell>
          <cell r="C3406" t="str">
            <v>FinTech mühəndislik ekspert mərkəzi</v>
          </cell>
          <cell r="D3406" t="str">
            <v>İT BA chapter</v>
          </cell>
          <cell r="E3406" t="str">
            <v>#</v>
          </cell>
          <cell r="F3406" t="str">
            <v>İT biznes analitik</v>
          </cell>
          <cell r="G3406" t="str">
            <v>A</v>
          </cell>
          <cell r="H3406">
            <v>45931</v>
          </cell>
        </row>
        <row r="3407">
          <cell r="B3407" t="str">
            <v>Hüseynova Elnarə Ramiz</v>
          </cell>
          <cell r="C3407" t="str">
            <v>FinTech mühəndislik ekspert mərkəzi</v>
          </cell>
          <cell r="D3407" t="str">
            <v>İT BA chapter</v>
          </cell>
          <cell r="E3407" t="str">
            <v>#</v>
          </cell>
          <cell r="F3407" t="str">
            <v>Funksional Lider</v>
          </cell>
          <cell r="G3407" t="str">
            <v>A</v>
          </cell>
          <cell r="H3407">
            <v>42264</v>
          </cell>
        </row>
        <row r="3408">
          <cell r="B3408" t="str">
            <v>Sulxayeva Nərmin Mübariz</v>
          </cell>
          <cell r="C3408" t="str">
            <v>FinTech mühəndislik ekspert mərkəzi</v>
          </cell>
          <cell r="D3408" t="str">
            <v>İT BA chapter</v>
          </cell>
          <cell r="E3408" t="str">
            <v>#</v>
          </cell>
          <cell r="F3408" t="str">
            <v>Funksional Lider</v>
          </cell>
          <cell r="G3408" t="str">
            <v>A</v>
          </cell>
          <cell r="H3408">
            <v>44440</v>
          </cell>
        </row>
        <row r="3409">
          <cell r="B3409" t="str">
            <v>Muradov Kamil Əhmədəli</v>
          </cell>
          <cell r="C3409" t="str">
            <v>Ödəniş biznesinin mühəndislik ekspert mərkəzi</v>
          </cell>
          <cell r="D3409" t="str">
            <v>İT BA chapter</v>
          </cell>
          <cell r="E3409" t="str">
            <v>#</v>
          </cell>
          <cell r="F3409" t="str">
            <v>İT biznes analitik</v>
          </cell>
          <cell r="G3409" t="str">
            <v>A</v>
          </cell>
          <cell r="H3409">
            <v>44729</v>
          </cell>
        </row>
        <row r="3410">
          <cell r="B3410" t="str">
            <v>Quliyeva Sərfinaz Zeynal</v>
          </cell>
          <cell r="C3410" t="str">
            <v>Ödəniş biznesinin mühəndislik ekspert mərkəzi</v>
          </cell>
          <cell r="D3410" t="str">
            <v>İT BA chapter</v>
          </cell>
          <cell r="E3410" t="str">
            <v>#</v>
          </cell>
          <cell r="F3410" t="str">
            <v>İT biznes analitik</v>
          </cell>
          <cell r="G3410" t="str">
            <v>A</v>
          </cell>
          <cell r="H3410">
            <v>46232</v>
          </cell>
        </row>
        <row r="3411">
          <cell r="B3411" t="str">
            <v>Məmmədov Nicat İlqar</v>
          </cell>
          <cell r="C3411" t="str">
            <v>FinTech mühəndislik ekspert mərkəzi</v>
          </cell>
          <cell r="D3411" t="str">
            <v>İT BA chapter</v>
          </cell>
          <cell r="E3411" t="str">
            <v>#</v>
          </cell>
          <cell r="F3411" t="str">
            <v>İT biznes analitik</v>
          </cell>
          <cell r="G3411" t="str">
            <v>A</v>
          </cell>
          <cell r="H3411">
            <v>45987</v>
          </cell>
        </row>
        <row r="3412">
          <cell r="B3412" t="str">
            <v>Şxiyev Məhəmməd Bayram</v>
          </cell>
          <cell r="C3412" t="str">
            <v>FinTech mühəndislik ekspert mərkəzi</v>
          </cell>
          <cell r="D3412" t="str">
            <v>İT BA chapter</v>
          </cell>
          <cell r="E3412" t="str">
            <v>#</v>
          </cell>
          <cell r="F3412" t="str">
            <v>İT biznes analitik</v>
          </cell>
          <cell r="G3412" t="str">
            <v>A</v>
          </cell>
          <cell r="H3412">
            <v>46008</v>
          </cell>
        </row>
        <row r="3413">
          <cell r="B3413" t="str">
            <v>Ağazadə Naidə Zaur</v>
          </cell>
          <cell r="C3413" t="str">
            <v>FinTech mühəndislik ekspert mərkəzi</v>
          </cell>
          <cell r="D3413" t="str">
            <v>İT BA chapter</v>
          </cell>
          <cell r="E3413" t="str">
            <v>#</v>
          </cell>
          <cell r="F3413" t="str">
            <v>İT biznes analitik</v>
          </cell>
          <cell r="G3413" t="str">
            <v>A</v>
          </cell>
          <cell r="H3413">
            <v>43777</v>
          </cell>
        </row>
        <row r="3414">
          <cell r="B3414" t="str">
            <v>Əjdərov Orxan Hafis</v>
          </cell>
          <cell r="C3414" t="str">
            <v>FinTech mühəndislik ekspert mərkəzi</v>
          </cell>
          <cell r="D3414" t="str">
            <v>İT BA chapter</v>
          </cell>
          <cell r="E3414" t="str">
            <v>#</v>
          </cell>
          <cell r="F3414" t="str">
            <v>İT biznes analitik</v>
          </cell>
          <cell r="G3414" t="str">
            <v>A</v>
          </cell>
          <cell r="H3414">
            <v>43866</v>
          </cell>
        </row>
        <row r="3415">
          <cell r="B3415" t="str">
            <v>Quluyev Nicat Rahib</v>
          </cell>
          <cell r="C3415" t="str">
            <v>FinTech mühəndislik ekspert mərkəzi</v>
          </cell>
          <cell r="D3415" t="str">
            <v>İT BA chapter</v>
          </cell>
          <cell r="E3415" t="str">
            <v>#</v>
          </cell>
          <cell r="F3415" t="str">
            <v>İT biznes analitik</v>
          </cell>
          <cell r="G3415" t="str">
            <v>A</v>
          </cell>
          <cell r="H3415">
            <v>44217</v>
          </cell>
        </row>
        <row r="3416">
          <cell r="B3416" t="str">
            <v>Nəbiyeva Firuzə Ataş</v>
          </cell>
          <cell r="C3416" t="str">
            <v>FinTech mühəndislik ekspert mərkəzi</v>
          </cell>
          <cell r="D3416" t="str">
            <v>İT BA chapter</v>
          </cell>
          <cell r="E3416" t="str">
            <v>#</v>
          </cell>
          <cell r="F3416" t="str">
            <v>İT biznes analitik</v>
          </cell>
          <cell r="G3416" t="str">
            <v>A</v>
          </cell>
          <cell r="H3416">
            <v>45538</v>
          </cell>
        </row>
        <row r="3417">
          <cell r="B3417" t="str">
            <v>Abdullayeva Aygün Hidayət</v>
          </cell>
          <cell r="C3417" t="str">
            <v>Ödəniş biznesinin mühəndislik ekspert mərkəzi</v>
          </cell>
          <cell r="D3417" t="str">
            <v>İT BA chapter</v>
          </cell>
          <cell r="E3417" t="str">
            <v>#</v>
          </cell>
          <cell r="F3417" t="str">
            <v>Funksional lider</v>
          </cell>
          <cell r="G3417" t="str">
            <v>A</v>
          </cell>
          <cell r="H3417">
            <v>42019</v>
          </cell>
        </row>
        <row r="3418">
          <cell r="B3418" t="str">
            <v>Əmiraslanova Könül Salman</v>
          </cell>
          <cell r="C3418" t="str">
            <v>Ödəniş biznesinin mühəndislik ekspert mərkəzi</v>
          </cell>
          <cell r="D3418" t="str">
            <v>İT BA chapter</v>
          </cell>
          <cell r="E3418" t="str">
            <v>#</v>
          </cell>
          <cell r="F3418" t="str">
            <v>İT biznes analitik</v>
          </cell>
          <cell r="G3418" t="str">
            <v>A</v>
          </cell>
          <cell r="H3418">
            <v>45453</v>
          </cell>
        </row>
        <row r="3419">
          <cell r="B3419" t="str">
            <v>Tuzov Vladislav Yuryeviç</v>
          </cell>
          <cell r="C3419" t="str">
            <v>Mühəndislik və texnoloji platformalar ekspert mərkəzi</v>
          </cell>
          <cell r="D3419" t="str">
            <v>Proqram mühəndisliyi funksional sahəsi</v>
          </cell>
          <cell r="E3419" t="str">
            <v>#</v>
          </cell>
          <cell r="F3419" t="str">
            <v>İT biznes analitik</v>
          </cell>
          <cell r="G3419" t="str">
            <v>A</v>
          </cell>
          <cell r="H3419">
            <v>42866</v>
          </cell>
        </row>
        <row r="3420">
          <cell r="B3420" t="str">
            <v>Vəlixanova Cəmilə Amil</v>
          </cell>
          <cell r="C3420" t="str">
            <v>Mühəndislik və texnoloji platformalar ekspert mərkəzi</v>
          </cell>
          <cell r="D3420" t="str">
            <v>Proqram mühəndisliyi funksional sahəsi</v>
          </cell>
          <cell r="E3420" t="str">
            <v>#</v>
          </cell>
          <cell r="F3420" t="str">
            <v>İT biznes analitik</v>
          </cell>
          <cell r="G3420" t="str">
            <v>A</v>
          </cell>
          <cell r="H3420">
            <v>43671</v>
          </cell>
        </row>
        <row r="3421">
          <cell r="B3421" t="str">
            <v>Səlimova Gülarə Kərim</v>
          </cell>
          <cell r="C3421" t="str">
            <v>Ödəniş biznesinin mühəndislik ekspert mərkəzi</v>
          </cell>
          <cell r="D3421" t="str">
            <v>İT BA chapter</v>
          </cell>
          <cell r="E3421" t="str">
            <v>#</v>
          </cell>
          <cell r="F3421" t="str">
            <v>Funksional lider</v>
          </cell>
          <cell r="G3421" t="str">
            <v>A</v>
          </cell>
          <cell r="H3421">
            <v>43040</v>
          </cell>
        </row>
        <row r="3422">
          <cell r="B3422" t="str">
            <v xml:space="preserve">	Xalıqov Rövşən Elşən</v>
          </cell>
          <cell r="C3422" t="str">
            <v>Ödəniş biznesinin mühəndislik ekspert mərkəzi</v>
          </cell>
          <cell r="D3422" t="str">
            <v>İT BA chapter</v>
          </cell>
          <cell r="E3422" t="str">
            <v>#</v>
          </cell>
          <cell r="F3422" t="str">
            <v>İT biznes analitik</v>
          </cell>
          <cell r="G3422" t="str">
            <v>A</v>
          </cell>
          <cell r="H3422">
            <v>46063</v>
          </cell>
        </row>
        <row r="3423">
          <cell r="B3423" t="str">
            <v>Əhmədova Şirinxanum Ələkbər</v>
          </cell>
          <cell r="C3423" t="str">
            <v>Prosessinq sahəsi</v>
          </cell>
          <cell r="D3423" t="str">
            <v>Prosessing</v>
          </cell>
          <cell r="E3423" t="str">
            <v>#</v>
          </cell>
          <cell r="F3423" t="str">
            <v>Məhsul sahibi</v>
          </cell>
          <cell r="G3423" t="str">
            <v>A</v>
          </cell>
          <cell r="H3423">
            <v>41008</v>
          </cell>
        </row>
        <row r="3424">
          <cell r="B3424" t="str">
            <v>Nəbiyev Mirfeyzi Əsgər</v>
          </cell>
          <cell r="C3424" t="str">
            <v>Ödəniş biznesinin mühəndislik ekspert mərkəzi</v>
          </cell>
          <cell r="D3424" t="str">
            <v>İT BA chapter</v>
          </cell>
          <cell r="E3424" t="str">
            <v>#</v>
          </cell>
          <cell r="F3424" t="str">
            <v>İT biznes analitik</v>
          </cell>
          <cell r="G3424" t="str">
            <v>A</v>
          </cell>
          <cell r="H3424">
            <v>44474</v>
          </cell>
        </row>
        <row r="3425">
          <cell r="B3425" t="str">
            <v>Nağıyeva Aytəm Əmir</v>
          </cell>
          <cell r="C3425" t="str">
            <v>Ödəniş biznesinin mühəndislik ekspert mərkəzi</v>
          </cell>
          <cell r="D3425" t="str">
            <v>İT BA chapter</v>
          </cell>
          <cell r="E3425" t="str">
            <v>#</v>
          </cell>
          <cell r="F3425" t="str">
            <v>İT biznes analitik</v>
          </cell>
          <cell r="G3425" t="str">
            <v>A</v>
          </cell>
          <cell r="H3425">
            <v>41821</v>
          </cell>
        </row>
        <row r="3426">
          <cell r="B3426" t="str">
            <v>Şibliyeva Nigar Mustafa</v>
          </cell>
          <cell r="C3426" t="str">
            <v>Ödəniş biznesinin mühəndislik ekspert mərkəzi</v>
          </cell>
          <cell r="D3426" t="str">
            <v>İT BA chapter</v>
          </cell>
          <cell r="E3426" t="str">
            <v>#</v>
          </cell>
          <cell r="F3426" t="str">
            <v>İT biznes analitik</v>
          </cell>
          <cell r="G3426" t="str">
            <v>A</v>
          </cell>
          <cell r="H3426">
            <v>43810</v>
          </cell>
        </row>
        <row r="3427">
          <cell r="B3427" t="str">
            <v>Babayeva Arzu Qiyas</v>
          </cell>
          <cell r="C3427" t="str">
            <v>Ödəniş biznesinin mühəndislik ekspert mərkəzi</v>
          </cell>
          <cell r="D3427" t="str">
            <v>İT BA chapter</v>
          </cell>
          <cell r="E3427" t="str">
            <v>#</v>
          </cell>
          <cell r="F3427" t="str">
            <v>İT biznes analitik</v>
          </cell>
          <cell r="G3427" t="str">
            <v>A</v>
          </cell>
          <cell r="H3427">
            <v>43710</v>
          </cell>
        </row>
        <row r="3428">
          <cell r="B3428" t="str">
            <v>Məmmədova Səbinə Elmar</v>
          </cell>
          <cell r="C3428" t="str">
            <v>Ödəniş biznesinin mühəndislik ekspert mərkəzi</v>
          </cell>
          <cell r="D3428" t="str">
            <v>İT BA chapter</v>
          </cell>
          <cell r="E3428" t="str">
            <v>#</v>
          </cell>
          <cell r="F3428" t="str">
            <v>İT biznes analitik</v>
          </cell>
          <cell r="G3428" t="str">
            <v>A</v>
          </cell>
          <cell r="H3428">
            <v>45232</v>
          </cell>
        </row>
        <row r="3429">
          <cell r="B3429" t="str">
            <v>Məhərrəmli Elnarə Nazim</v>
          </cell>
          <cell r="C3429" t="str">
            <v>Ödəniş platformaları sahəsi</v>
          </cell>
          <cell r="D3429" t="str">
            <v>OpenBanking</v>
          </cell>
          <cell r="E3429" t="str">
            <v>#</v>
          </cell>
          <cell r="F3429" t="str">
            <v>Məhsul sahibi</v>
          </cell>
          <cell r="G3429" t="str">
            <v>A</v>
          </cell>
          <cell r="H3429">
            <v>43313</v>
          </cell>
        </row>
        <row r="3430">
          <cell r="B3430" t="str">
            <v>Dənziyev Mircüneyd Akif</v>
          </cell>
          <cell r="C3430" t="str">
            <v>Ödəniş platformaları sahəsi</v>
          </cell>
          <cell r="D3430" t="str">
            <v>Payment gatevvay</v>
          </cell>
          <cell r="E3430" t="str">
            <v>#</v>
          </cell>
          <cell r="F3430" t="str">
            <v>Tech lead</v>
          </cell>
          <cell r="G3430" t="str">
            <v>A</v>
          </cell>
          <cell r="H3430">
            <v>46189</v>
          </cell>
        </row>
        <row r="3431">
          <cell r="B3431" t="str">
            <v>Cəfərli Aysel Arif</v>
          </cell>
          <cell r="C3431" t="str">
            <v>Ödəniş biznesinin mühəndislik ekspert mərkəzi</v>
          </cell>
          <cell r="D3431" t="str">
            <v>İT BA chapter</v>
          </cell>
          <cell r="E3431" t="str">
            <v>#</v>
          </cell>
          <cell r="F3431" t="str">
            <v>İT biznes analitik</v>
          </cell>
          <cell r="G3431" t="str">
            <v>A</v>
          </cell>
          <cell r="H3431">
            <v>43810</v>
          </cell>
        </row>
        <row r="3432">
          <cell r="B3432" t="str">
            <v>Əkbərova Sifayə Hacıbaba</v>
          </cell>
          <cell r="C3432" t="str">
            <v>Təşkilati və qeyri-maliyyə risklərinin idarə edilməsi departamenti</v>
          </cell>
          <cell r="D3432" t="str">
            <v>Ödəniş biznesinin məhsullara nəzarət şöbəsi</v>
          </cell>
          <cell r="E3432" t="str">
            <v>#</v>
          </cell>
          <cell r="F3432" t="str">
            <v>Şöbə müdiri</v>
          </cell>
          <cell r="G3432" t="str">
            <v>A</v>
          </cell>
          <cell r="H3432">
            <v>43728</v>
          </cell>
        </row>
        <row r="3433">
          <cell r="B3433" t="str">
            <v>Sucayeva Pərvin Adıgözəl</v>
          </cell>
          <cell r="C3433" t="str">
            <v>FinTech mühəndislik ekspert mərkəzi</v>
          </cell>
          <cell r="D3433" t="str">
            <v>İT BA chapter</v>
          </cell>
          <cell r="E3433" t="str">
            <v>#</v>
          </cell>
          <cell r="F3433" t="str">
            <v>İT biznes analitik</v>
          </cell>
          <cell r="G3433" t="str">
            <v>A</v>
          </cell>
          <cell r="H3433">
            <v>45726</v>
          </cell>
        </row>
        <row r="3434">
          <cell r="B3434" t="str">
            <v>Qurbanzadə İlahə Mənsur</v>
          </cell>
          <cell r="C3434" t="str">
            <v>FinTech mühəndislik ekspert mərkəzi</v>
          </cell>
          <cell r="D3434" t="str">
            <v>İT BA chapter</v>
          </cell>
          <cell r="E3434" t="str">
            <v>#</v>
          </cell>
          <cell r="F3434" t="str">
            <v>İT biznes analitik</v>
          </cell>
          <cell r="G3434" t="str">
            <v>A</v>
          </cell>
          <cell r="H3434">
            <v>45750</v>
          </cell>
        </row>
        <row r="3435">
          <cell r="B3435" t="str">
            <v>Əlizadə Elvin Asiman</v>
          </cell>
          <cell r="C3435" t="str">
            <v>FinTech mühəndislik ekspert mərkəzi</v>
          </cell>
          <cell r="D3435" t="str">
            <v>İT BA chapter</v>
          </cell>
          <cell r="E3435" t="str">
            <v>#</v>
          </cell>
          <cell r="F3435" t="str">
            <v>İT biznes analitik</v>
          </cell>
          <cell r="G3435" t="str">
            <v>A</v>
          </cell>
          <cell r="H3435">
            <v>44378</v>
          </cell>
        </row>
        <row r="3436">
          <cell r="B3436" t="str">
            <v>Kərim Əli Paşa</v>
          </cell>
          <cell r="C3436" t="str">
            <v>Ödəniş platformaları sahəsi</v>
          </cell>
          <cell r="D3436" t="str">
            <v>Payment gatevvay</v>
          </cell>
          <cell r="E3436" t="str">
            <v>#</v>
          </cell>
          <cell r="F3436" t="str">
            <v>Məhsul sahibi</v>
          </cell>
          <cell r="G3436" t="str">
            <v>A</v>
          </cell>
          <cell r="H3436">
            <v>45664</v>
          </cell>
        </row>
        <row r="3437">
          <cell r="B3437" t="str">
            <v>İsmayılova Ləman Qılman</v>
          </cell>
          <cell r="C3437" t="str">
            <v>Nağd pulların idarə edilməsi departamenti</v>
          </cell>
          <cell r="D3437" t="str">
            <v>Nağd əməliyyatlara dəstək şöbəsi</v>
          </cell>
          <cell r="E3437" t="str">
            <v>#</v>
          </cell>
          <cell r="F3437" t="str">
            <v>Aparıcı mütəxəssis</v>
          </cell>
          <cell r="G3437" t="str">
            <v>A</v>
          </cell>
          <cell r="H3437">
            <v>44370</v>
          </cell>
        </row>
        <row r="3438">
          <cell r="B3438" t="str">
            <v>Məhərrəmova Aysun Canpolad</v>
          </cell>
          <cell r="C3438" t="str">
            <v>Ödəniş biznesinin mühəndislik ekspert mərkəzi</v>
          </cell>
          <cell r="D3438" t="str">
            <v>İT BA chapter</v>
          </cell>
          <cell r="E3438" t="str">
            <v>#</v>
          </cell>
          <cell r="F3438" t="str">
            <v>İT biznes analitik</v>
          </cell>
          <cell r="G3438" t="str">
            <v>A</v>
          </cell>
          <cell r="H3438">
            <v>45937</v>
          </cell>
        </row>
        <row r="3439">
          <cell r="B3439" t="str">
            <v>Yusifova Ülviyyə Cəlil</v>
          </cell>
          <cell r="C3439" t="str">
            <v>Ödəniş biznesinin mühəndislik ekspert mərkəzi</v>
          </cell>
          <cell r="D3439" t="str">
            <v>İT BA chapter</v>
          </cell>
          <cell r="E3439" t="str">
            <v>#</v>
          </cell>
          <cell r="F3439" t="str">
            <v>Funksional lider</v>
          </cell>
          <cell r="G3439" t="str">
            <v>A</v>
          </cell>
          <cell r="H3439">
            <v>45839</v>
          </cell>
        </row>
        <row r="3440">
          <cell r="B3440" t="str">
            <v>Şirəliyeva Aytəkin Vüqar</v>
          </cell>
          <cell r="C3440" t="str">
            <v>Ödəniş biznesinin mühəndislik ekspert mərkəzi</v>
          </cell>
          <cell r="D3440" t="str">
            <v>İT BA chapter</v>
          </cell>
          <cell r="E3440" t="str">
            <v>#</v>
          </cell>
          <cell r="F3440" t="str">
            <v>İT biznes analitik</v>
          </cell>
          <cell r="G3440" t="str">
            <v>A</v>
          </cell>
          <cell r="H3440">
            <v>43882</v>
          </cell>
        </row>
        <row r="3441">
          <cell r="B3441" t="str">
            <v>Mehdiyeva Aygül Natiq</v>
          </cell>
          <cell r="C3441" t="str">
            <v>Ödəniş biznesinin mühəndislik ekspert mərkəzi</v>
          </cell>
          <cell r="D3441" t="str">
            <v>İT BA chapter</v>
          </cell>
          <cell r="E3441" t="str">
            <v>#</v>
          </cell>
          <cell r="F3441" t="str">
            <v>İT biznes analitik</v>
          </cell>
          <cell r="G3441" t="str">
            <v>A</v>
          </cell>
          <cell r="H3441">
            <v>45286</v>
          </cell>
        </row>
        <row r="3442">
          <cell r="B3442" t="str">
            <v>Əlizadə Mehriban Bakir</v>
          </cell>
          <cell r="C3442" t="str">
            <v>Ödəniş biznesinin mühəndislik ekspert mərkəzi</v>
          </cell>
          <cell r="D3442" t="str">
            <v>İT BA chapter</v>
          </cell>
          <cell r="E3442" t="str">
            <v>#</v>
          </cell>
          <cell r="F3442" t="str">
            <v>İT biznes analitik</v>
          </cell>
          <cell r="G3442" t="str">
            <v>A</v>
          </cell>
          <cell r="H3442">
            <v>46076</v>
          </cell>
        </row>
        <row r="3443">
          <cell r="B3443" t="str">
            <v>Əliyeva Aidə Əli</v>
          </cell>
          <cell r="C3443" t="str">
            <v>Ödəniş biznesinin mühəndislik ekspert mərkəzi</v>
          </cell>
          <cell r="D3443" t="str">
            <v>İT BA chapter</v>
          </cell>
          <cell r="E3443" t="str">
            <v>#</v>
          </cell>
          <cell r="F3443" t="str">
            <v>İT biznes analitik</v>
          </cell>
          <cell r="G3443" t="str">
            <v>A</v>
          </cell>
          <cell r="H3443">
            <v>45225</v>
          </cell>
        </row>
        <row r="3444">
          <cell r="B3444" t="str">
            <v>Vəliyev Heydər Rafik</v>
          </cell>
          <cell r="C3444" t="str">
            <v>Ödəniş biznesinin mühəndislik ekspert mərkəzi</v>
          </cell>
          <cell r="D3444" t="str">
            <v>İT BA chapter</v>
          </cell>
          <cell r="E3444" t="str">
            <v>#</v>
          </cell>
          <cell r="F3444" t="str">
            <v>İT biznes analitik</v>
          </cell>
          <cell r="G3444" t="str">
            <v>A</v>
          </cell>
          <cell r="H3444">
            <v>44160</v>
          </cell>
        </row>
        <row r="3445">
          <cell r="B3445" t="str">
            <v>Paşayeva Nərgiz İlham</v>
          </cell>
          <cell r="C3445" t="str">
            <v>Ödəniş biznesinin mühəndislik ekspert mərkəzi</v>
          </cell>
          <cell r="D3445" t="str">
            <v>İT BA chapter</v>
          </cell>
          <cell r="E3445" t="str">
            <v>#</v>
          </cell>
          <cell r="F3445" t="str">
            <v>İT biznes analitik</v>
          </cell>
          <cell r="G3445" t="str">
            <v>A</v>
          </cell>
          <cell r="H3445">
            <v>45279</v>
          </cell>
        </row>
        <row r="3446">
          <cell r="B3446" t="str">
            <v>Quliyev Məhəmməd Şakir</v>
          </cell>
          <cell r="C3446" t="str">
            <v>Ödəniş biznesinin mühəndislik ekspert mərkəzi</v>
          </cell>
          <cell r="D3446" t="str">
            <v>İT BA chapter</v>
          </cell>
          <cell r="E3446" t="str">
            <v>#</v>
          </cell>
          <cell r="F3446" t="str">
            <v>İT biznes analitik</v>
          </cell>
          <cell r="G3446" t="str">
            <v>A</v>
          </cell>
          <cell r="H3446">
            <v>44623</v>
          </cell>
        </row>
        <row r="3447">
          <cell r="B3447" t="str">
            <v>Əliyeva Türkanə Adil</v>
          </cell>
          <cell r="C3447" t="str">
            <v>Ödəniş biznesinin mühəndislik ekspert mərkəzi</v>
          </cell>
          <cell r="D3447" t="str">
            <v>#</v>
          </cell>
          <cell r="E3447" t="str">
            <v>#</v>
          </cell>
          <cell r="F3447" t="str">
            <v>İT biznes analitik</v>
          </cell>
          <cell r="G3447" t="str">
            <v>A</v>
          </cell>
          <cell r="H3447">
            <v>46143</v>
          </cell>
        </row>
        <row r="3448">
          <cell r="B3448" t="str">
            <v>Məmmədzadə Ülvi İlham</v>
          </cell>
          <cell r="C3448" t="str">
            <v>Ödəniş biznesinin mühəndislik ekspert mərkəzi</v>
          </cell>
          <cell r="D3448" t="str">
            <v>İT BA chapter</v>
          </cell>
          <cell r="E3448" t="str">
            <v>#</v>
          </cell>
          <cell r="F3448" t="str">
            <v>İT biznes analitik</v>
          </cell>
          <cell r="G3448" t="str">
            <v>A</v>
          </cell>
          <cell r="H3448">
            <v>46190</v>
          </cell>
        </row>
        <row r="3449">
          <cell r="B3449" t="str">
            <v>Əhmədov Qalib Muraz</v>
          </cell>
          <cell r="C3449" t="str">
            <v>Mühəndislik və texnoloji platformalar ekspert mərkəzi</v>
          </cell>
          <cell r="D3449" t="str">
            <v>Proqram mühəndisliyi funksional sahəsi</v>
          </cell>
          <cell r="E3449" t="str">
            <v>#</v>
          </cell>
          <cell r="F3449" t="str">
            <v>Funksional lider</v>
          </cell>
          <cell r="G3449" t="str">
            <v>A</v>
          </cell>
          <cell r="H3449">
            <v>45050</v>
          </cell>
        </row>
        <row r="3450">
          <cell r="B3450" t="str">
            <v>Kərimov Fuad Azad</v>
          </cell>
          <cell r="C3450" t="str">
            <v>Mühəndislik və texnoloji platformalar ekspert mərkəzi</v>
          </cell>
          <cell r="D3450" t="str">
            <v>Proqram mühəndisliyi funksional sahəsi</v>
          </cell>
          <cell r="E3450" t="str">
            <v>#</v>
          </cell>
          <cell r="F3450" t="str">
            <v>İT biznes analitik</v>
          </cell>
          <cell r="G3450" t="str">
            <v>A</v>
          </cell>
          <cell r="H3450">
            <v>43873</v>
          </cell>
        </row>
        <row r="3451">
          <cell r="B3451" t="str">
            <v>Qasımov Emil İlhamoviç</v>
          </cell>
          <cell r="C3451" t="str">
            <v>FinTech mühəndislik ekspert mərkəzi</v>
          </cell>
          <cell r="D3451" t="str">
            <v>İT BA chapter</v>
          </cell>
          <cell r="E3451" t="str">
            <v>#</v>
          </cell>
          <cell r="F3451" t="str">
            <v>İT biznes analitik</v>
          </cell>
          <cell r="G3451" t="str">
            <v>A</v>
          </cell>
          <cell r="H3451">
            <v>43511</v>
          </cell>
        </row>
        <row r="3452">
          <cell r="B3452" t="str">
            <v>Hacı-Həsənzadə Gülistan Rafik</v>
          </cell>
          <cell r="C3452" t="str">
            <v>Ödəniş biznesinin mühəndislik ekspert mərkəzi</v>
          </cell>
          <cell r="D3452" t="str">
            <v>İT BA chapter</v>
          </cell>
          <cell r="E3452" t="str">
            <v>#</v>
          </cell>
          <cell r="F3452" t="str">
            <v>İT biznes analitik</v>
          </cell>
          <cell r="G3452" t="str">
            <v>A</v>
          </cell>
          <cell r="H3452">
            <v>46016</v>
          </cell>
        </row>
        <row r="3453">
          <cell r="B3453" t="str">
            <v>Maqsudov Seyfəddin Davud</v>
          </cell>
          <cell r="C3453" t="str">
            <v>Ödəniş biznesinin mühəndislik ekspert mərkəzi</v>
          </cell>
          <cell r="D3453" t="str">
            <v>İT BA chapter</v>
          </cell>
          <cell r="E3453" t="str">
            <v>#</v>
          </cell>
          <cell r="F3453" t="str">
            <v>İT biznes analitik</v>
          </cell>
          <cell r="G3453" t="str">
            <v>A</v>
          </cell>
          <cell r="H3453">
            <v>45915</v>
          </cell>
        </row>
        <row r="3454">
          <cell r="B3454" t="str">
            <v>Muradov Alı Ədalət</v>
          </cell>
          <cell r="C3454" t="str">
            <v>Ödəniş biznesinin mühəndislik ekspert mərkəzi</v>
          </cell>
          <cell r="D3454" t="str">
            <v>İT BA chapter</v>
          </cell>
          <cell r="E3454" t="str">
            <v>#</v>
          </cell>
          <cell r="F3454" t="str">
            <v>İT biznes analitik</v>
          </cell>
          <cell r="G3454" t="str">
            <v>A</v>
          </cell>
          <cell r="H3454">
            <v>45204</v>
          </cell>
        </row>
        <row r="3455">
          <cell r="B3455" t="str">
            <v>Abdullayev Fərid Fəxrəddin</v>
          </cell>
          <cell r="C3455" t="str">
            <v>FinTech mühəndislik ekspert mərkəzi</v>
          </cell>
          <cell r="D3455" t="str">
            <v>İT BA chapter</v>
          </cell>
          <cell r="E3455" t="str">
            <v>#</v>
          </cell>
          <cell r="F3455" t="str">
            <v>İT biznes analitik</v>
          </cell>
          <cell r="G3455" t="str">
            <v>A</v>
          </cell>
          <cell r="H3455">
            <v>44900</v>
          </cell>
        </row>
        <row r="3456">
          <cell r="B3456" t="str">
            <v>Şıxılı Elmin Mirəli</v>
          </cell>
          <cell r="C3456" t="str">
            <v>Mühəndislik və texnoloji platformalar ekspert mərkəzi</v>
          </cell>
          <cell r="D3456" t="str">
            <v>Proqram mühəndisliyi funksional sahəsi</v>
          </cell>
          <cell r="E3456" t="str">
            <v>#</v>
          </cell>
          <cell r="F3456" t="str">
            <v>İT biznes analitik</v>
          </cell>
          <cell r="G3456" t="str">
            <v>A</v>
          </cell>
          <cell r="H3456">
            <v>46122</v>
          </cell>
        </row>
        <row r="3457">
          <cell r="B3457" t="str">
            <v>Hacıyeva Fatimə Eldəniz</v>
          </cell>
          <cell r="C3457" t="str">
            <v>Mühəndislik və texnoloji platformalar ekspert mərkəzi</v>
          </cell>
          <cell r="D3457" t="str">
            <v>Proqram mühəndisliyi funksional sahəsi</v>
          </cell>
          <cell r="E3457" t="str">
            <v>#</v>
          </cell>
          <cell r="F3457" t="str">
            <v>İT biznes analitik</v>
          </cell>
          <cell r="G3457" t="str">
            <v>A</v>
          </cell>
          <cell r="H3457">
            <v>42360</v>
          </cell>
        </row>
        <row r="3458">
          <cell r="B3458" t="str">
            <v>İsmayılov Nicat Bəxdiyar</v>
          </cell>
          <cell r="C3458" t="str">
            <v>Mühəndislik və texnoloji platformalar ekspert mərkəzi</v>
          </cell>
          <cell r="D3458" t="str">
            <v>Proqram mühəndisliyi funksional sahəsi</v>
          </cell>
          <cell r="E3458" t="str">
            <v>#</v>
          </cell>
          <cell r="F3458" t="str">
            <v>İT biznes analitik</v>
          </cell>
          <cell r="G3458" t="str">
            <v>A</v>
          </cell>
          <cell r="H3458">
            <v>45237</v>
          </cell>
        </row>
        <row r="3459">
          <cell r="B3459" t="str">
            <v>Rəcəbova Zöhrə Hikmət</v>
          </cell>
          <cell r="C3459" t="str">
            <v>Ödəniş biznesinin mühəndislik ekspert mərkəzi</v>
          </cell>
          <cell r="D3459" t="str">
            <v>İT BA chapter</v>
          </cell>
          <cell r="E3459" t="str">
            <v>#</v>
          </cell>
          <cell r="F3459" t="str">
            <v>İT biznes analitik</v>
          </cell>
          <cell r="G3459" t="str">
            <v>A</v>
          </cell>
          <cell r="H3459">
            <v>44462</v>
          </cell>
        </row>
        <row r="3460">
          <cell r="B3460" t="str">
            <v>Lətifli Elmira Qalib</v>
          </cell>
          <cell r="C3460" t="str">
            <v>Ödəniş biznesinin mühəndislik ekspert mərkəzi</v>
          </cell>
          <cell r="D3460" t="str">
            <v>İT BA chapter</v>
          </cell>
          <cell r="E3460" t="str">
            <v>#</v>
          </cell>
          <cell r="F3460" t="str">
            <v>İT biznes analitik</v>
          </cell>
          <cell r="G3460" t="str">
            <v>A</v>
          </cell>
          <cell r="H3460">
            <v>43493</v>
          </cell>
        </row>
        <row r="3461">
          <cell r="B3461" t="str">
            <v>Əhədov Qərib Lazım</v>
          </cell>
          <cell r="C3461" t="str">
            <v>Kredit risklərinin təhlili departamenti</v>
          </cell>
          <cell r="D3461" t="str">
            <v>#</v>
          </cell>
          <cell r="E3461" t="str">
            <v>#</v>
          </cell>
          <cell r="F3461" t="str">
            <v>Direktor</v>
          </cell>
          <cell r="G3461" t="str">
            <v>A</v>
          </cell>
          <cell r="H3461">
            <v>42501</v>
          </cell>
        </row>
        <row r="3462">
          <cell r="B3462" t="str">
            <v>Quliyev Ruslan Etibar</v>
          </cell>
          <cell r="C3462" t="str">
            <v>Kredit risklərinin təhlili departamenti</v>
          </cell>
          <cell r="D3462" t="str">
            <v>Girovlarla iş və qiymətləndirmə prosesinə nəzarət şöbəsi</v>
          </cell>
          <cell r="E3462" t="str">
            <v>#</v>
          </cell>
          <cell r="F3462" t="str">
            <v>Şöbə müdiri</v>
          </cell>
          <cell r="G3462" t="str">
            <v>A</v>
          </cell>
          <cell r="H3462">
            <v>38617</v>
          </cell>
        </row>
        <row r="3463">
          <cell r="B3463" t="str">
            <v>Məmmədov Amil Aley</v>
          </cell>
          <cell r="C3463" t="str">
            <v>Kredit risklərinin təhlili departamenti</v>
          </cell>
          <cell r="D3463" t="str">
            <v>Girovlarla iş və qiymətləndirmə prosesinə nəzarət şöbəsi</v>
          </cell>
          <cell r="E3463" t="str">
            <v>#</v>
          </cell>
          <cell r="F3463" t="str">
            <v>Qrup rəhbəri</v>
          </cell>
          <cell r="G3463" t="str">
            <v>A</v>
          </cell>
          <cell r="H3463">
            <v>43586</v>
          </cell>
        </row>
        <row r="3464">
          <cell r="B3464" t="str">
            <v>Abbasov Fuad İsmayıl</v>
          </cell>
          <cell r="C3464" t="str">
            <v>Kredit risklərinin təhlili departamenti</v>
          </cell>
          <cell r="D3464" t="str">
            <v>Girovlarla iş və qiymətləndirmə prosesinə nəzarət şöbəsi</v>
          </cell>
          <cell r="E3464" t="str">
            <v>#</v>
          </cell>
          <cell r="F3464" t="str">
            <v>Qrup rəhbəri</v>
          </cell>
          <cell r="G3464" t="str">
            <v>A</v>
          </cell>
          <cell r="H3464">
            <v>44068</v>
          </cell>
        </row>
        <row r="3465">
          <cell r="B3465" t="str">
            <v>Sərdarlı Aysel Rauf</v>
          </cell>
          <cell r="C3465" t="str">
            <v>Kredit risklərinin təhlili departamenti</v>
          </cell>
          <cell r="D3465" t="str">
            <v>Girovlarla iş və qiymətləndirmə prosesinə nəzarət şöbəsi</v>
          </cell>
          <cell r="E3465" t="str">
            <v>#</v>
          </cell>
          <cell r="F3465" t="str">
            <v>Baş mütəxəssis</v>
          </cell>
          <cell r="G3465" t="str">
            <v>A</v>
          </cell>
          <cell r="H3465">
            <v>40290</v>
          </cell>
        </row>
        <row r="3466">
          <cell r="B3466" t="str">
            <v>Əliyeva Afaq Konfrans</v>
          </cell>
          <cell r="C3466" t="str">
            <v>Kredit risklərinin təhlili departamenti</v>
          </cell>
          <cell r="D3466" t="str">
            <v>Girovlarla iş və qiymətləndirmə prosesinə nəzarət şöbəsi</v>
          </cell>
          <cell r="E3466" t="str">
            <v>#</v>
          </cell>
          <cell r="F3466" t="str">
            <v>Baş mütəxəssis</v>
          </cell>
          <cell r="G3466" t="str">
            <v>A</v>
          </cell>
          <cell r="H3466">
            <v>41625</v>
          </cell>
        </row>
        <row r="3467">
          <cell r="B3467" t="str">
            <v>Mehdiyev Rəşad Rafael</v>
          </cell>
          <cell r="C3467" t="str">
            <v>Kredit risklərinin təhlili departamenti</v>
          </cell>
          <cell r="D3467" t="str">
            <v>Girovlarla iş və qiymətləndirmə prosesinə nəzarət şöbəsi</v>
          </cell>
          <cell r="E3467" t="str">
            <v>#</v>
          </cell>
          <cell r="F3467" t="str">
            <v>Baş mütəxəssis</v>
          </cell>
          <cell r="G3467" t="str">
            <v>A</v>
          </cell>
          <cell r="H3467">
            <v>43727</v>
          </cell>
        </row>
        <row r="3468">
          <cell r="B3468" t="str">
            <v>Əliyeva Ləman Zümrat</v>
          </cell>
          <cell r="C3468" t="str">
            <v>Kredit risklərinin təhlili departamenti</v>
          </cell>
          <cell r="D3468" t="str">
            <v>Girovlarla iş və qiymətləndirmə prosesinə nəzarət şöbəsi</v>
          </cell>
          <cell r="E3468" t="str">
            <v>#</v>
          </cell>
          <cell r="F3468" t="str">
            <v>Baş mütəxəssis</v>
          </cell>
          <cell r="G3468" t="str">
            <v>A</v>
          </cell>
          <cell r="H3468">
            <v>42887</v>
          </cell>
        </row>
        <row r="3469">
          <cell r="B3469" t="str">
            <v>Bəndəliyev Sərxan Faiq</v>
          </cell>
          <cell r="C3469" t="str">
            <v>Kiçik və orta sahibkarlarla iş departamenti</v>
          </cell>
          <cell r="D3469" t="str">
            <v>Lizinq və fondlarla iş şöbəsi</v>
          </cell>
          <cell r="E3469" t="str">
            <v>#</v>
          </cell>
          <cell r="F3469" t="str">
            <v>Aparıcı mütəxəssis</v>
          </cell>
          <cell r="G3469" t="str">
            <v>A</v>
          </cell>
          <cell r="H3469">
            <v>44378</v>
          </cell>
        </row>
        <row r="3470">
          <cell r="B3470" t="str">
            <v>Hacıyeva Könül Zahid</v>
          </cell>
          <cell r="C3470" t="str">
            <v>Kredit risklərinin təhlili departamenti</v>
          </cell>
          <cell r="D3470" t="str">
            <v>Girovlarla iş və qiymətləndirmə prosesinə nəzarət şöbəsi</v>
          </cell>
          <cell r="E3470" t="str">
            <v>#</v>
          </cell>
          <cell r="F3470" t="str">
            <v>Aparıcı mütəxəssis</v>
          </cell>
          <cell r="G3470" t="str">
            <v>A</v>
          </cell>
          <cell r="H3470">
            <v>44348</v>
          </cell>
        </row>
        <row r="3471">
          <cell r="B3471" t="str">
            <v>Həsənov Bəhruz Rza</v>
          </cell>
          <cell r="C3471" t="str">
            <v>Kredit risklərinin təhlili departamenti</v>
          </cell>
          <cell r="D3471" t="str">
            <v>Girovlarla iş və qiymətləndirmə prosesinə nəzarət şöbəsi</v>
          </cell>
          <cell r="E3471" t="str">
            <v>#</v>
          </cell>
          <cell r="F3471" t="str">
            <v>Aparıcı mütəxəssis</v>
          </cell>
          <cell r="G3471" t="str">
            <v>A</v>
          </cell>
          <cell r="H3471">
            <v>45022</v>
          </cell>
        </row>
        <row r="3472">
          <cell r="B3472" t="str">
            <v>Heydərov Vahid Vəli</v>
          </cell>
          <cell r="C3472" t="str">
            <v>Kredit risklərinin təhlili departamenti</v>
          </cell>
          <cell r="D3472" t="str">
            <v>Pərakəndə və ipoteka kredit risklərinin təhlili şöbəsi</v>
          </cell>
          <cell r="E3472" t="str">
            <v>#</v>
          </cell>
          <cell r="F3472" t="str">
            <v>Şöbə müdiri</v>
          </cell>
          <cell r="G3472" t="str">
            <v>A</v>
          </cell>
          <cell r="H3472">
            <v>36679</v>
          </cell>
        </row>
        <row r="3473">
          <cell r="B3473" t="str">
            <v>İsmayılov Elmar Rövşən</v>
          </cell>
          <cell r="C3473" t="str">
            <v>Kredit risklərinin təhlili departamenti</v>
          </cell>
          <cell r="D3473" t="str">
            <v>Pərakəndə və ipoteka kredit risklərinin təhlili şöbəsi</v>
          </cell>
          <cell r="E3473" t="str">
            <v>#</v>
          </cell>
          <cell r="F3473" t="str">
            <v>Menecer</v>
          </cell>
          <cell r="G3473" t="str">
            <v>A</v>
          </cell>
          <cell r="H3473">
            <v>41772</v>
          </cell>
        </row>
        <row r="3474">
          <cell r="B3474" t="str">
            <v>Mehdiyev Kənan Kamil</v>
          </cell>
          <cell r="C3474" t="str">
            <v>Kredit risklərinin təhlili departamenti</v>
          </cell>
          <cell r="D3474" t="str">
            <v>Pərakəndə və ipoteka kredit risklərinin təhlili şöbəsi</v>
          </cell>
          <cell r="E3474" t="str">
            <v>#</v>
          </cell>
          <cell r="F3474" t="str">
            <v>Qrup rəhbəri</v>
          </cell>
          <cell r="G3474" t="str">
            <v>A</v>
          </cell>
          <cell r="H3474">
            <v>44333</v>
          </cell>
        </row>
        <row r="3475">
          <cell r="B3475" t="str">
            <v>Rəhimov Sabir Elçin</v>
          </cell>
          <cell r="C3475" t="str">
            <v>Kredit risklərinin təhlili departamenti</v>
          </cell>
          <cell r="D3475" t="str">
            <v>Pərakəndə və ipoteka kredit risklərinin təhlili şöbəsi</v>
          </cell>
          <cell r="E3475" t="str">
            <v>#</v>
          </cell>
          <cell r="F3475" t="str">
            <v>Baş mütəxəssis</v>
          </cell>
          <cell r="G3475" t="str">
            <v>A</v>
          </cell>
          <cell r="H3475">
            <v>44109</v>
          </cell>
        </row>
        <row r="3476">
          <cell r="B3476" t="str">
            <v>Həsənov Cavad Süleyman</v>
          </cell>
          <cell r="C3476" t="str">
            <v>Kredit risklərinin təhlili departamenti</v>
          </cell>
          <cell r="D3476" t="str">
            <v>Pərakəndə və ipoteka kredit risklərinin təhlili şöbəsi</v>
          </cell>
          <cell r="E3476" t="str">
            <v>#</v>
          </cell>
          <cell r="F3476" t="str">
            <v>Baş mütəxəssis</v>
          </cell>
          <cell r="G3476" t="str">
            <v>A</v>
          </cell>
          <cell r="H3476">
            <v>44335</v>
          </cell>
        </row>
        <row r="3477">
          <cell r="B3477" t="str">
            <v>Alməmmədov Ruslan Sabir</v>
          </cell>
          <cell r="C3477" t="str">
            <v>Kredit risklərinin təhlili departamenti</v>
          </cell>
          <cell r="D3477" t="str">
            <v>Pərakəndə və ipoteka kredit risklərinin təhlili şöbəsi</v>
          </cell>
          <cell r="E3477" t="str">
            <v>#</v>
          </cell>
          <cell r="F3477" t="str">
            <v>Aparıcı mütəxəssis</v>
          </cell>
          <cell r="G3477" t="str">
            <v>A</v>
          </cell>
          <cell r="H3477">
            <v>44313</v>
          </cell>
        </row>
        <row r="3478">
          <cell r="B3478" t="str">
            <v>Hafizov Zaur Xəyyam</v>
          </cell>
          <cell r="C3478" t="str">
            <v>Kredit risklərinin təhlili departamenti</v>
          </cell>
          <cell r="D3478" t="str">
            <v>Pərakəndə və ipoteka kredit risklərinin təhlili şöbəsi</v>
          </cell>
          <cell r="E3478" t="str">
            <v>#</v>
          </cell>
          <cell r="F3478" t="str">
            <v>Baş mütəxəssis</v>
          </cell>
          <cell r="G3478" t="str">
            <v>A</v>
          </cell>
          <cell r="H3478">
            <v>44554</v>
          </cell>
        </row>
        <row r="3479">
          <cell r="B3479" t="str">
            <v>Həsənov Həsən Sərdar</v>
          </cell>
          <cell r="C3479" t="str">
            <v>Kredit risklərinin təhlili departamenti</v>
          </cell>
          <cell r="D3479" t="str">
            <v>Pərakəndə və ipoteka kredit risklərinin təhlili şöbəsi</v>
          </cell>
          <cell r="E3479" t="str">
            <v>#</v>
          </cell>
          <cell r="F3479" t="str">
            <v>Menecer</v>
          </cell>
          <cell r="G3479" t="str">
            <v>A</v>
          </cell>
          <cell r="H3479">
            <v>43221</v>
          </cell>
        </row>
        <row r="3480">
          <cell r="B3480" t="str">
            <v>Talıbova Mədinə Rafiq</v>
          </cell>
          <cell r="C3480" t="str">
            <v>Kredit risklərinin təhlili departamenti</v>
          </cell>
          <cell r="D3480" t="str">
            <v>Pərakəndə və ipoteka kredit risklərinin təhlili şöbəsi</v>
          </cell>
          <cell r="E3480" t="str">
            <v>#</v>
          </cell>
          <cell r="F3480" t="str">
            <v>Baş mütəxəssis</v>
          </cell>
          <cell r="G3480" t="str">
            <v>SM</v>
          </cell>
          <cell r="H3480">
            <v>42502</v>
          </cell>
        </row>
        <row r="3481">
          <cell r="B3481" t="str">
            <v>Cavadova Nigar Balaəmi</v>
          </cell>
          <cell r="C3481" t="str">
            <v>Kredit risklərinin təhlili departamenti</v>
          </cell>
          <cell r="D3481" t="str">
            <v>Pərakəndə və ipoteka kredit risklərinin təhlili şöbəsi</v>
          </cell>
          <cell r="E3481" t="str">
            <v>#</v>
          </cell>
          <cell r="F3481" t="str">
            <v>Baş mütəxəssis</v>
          </cell>
          <cell r="G3481" t="str">
            <v>A</v>
          </cell>
          <cell r="H3481">
            <v>42502</v>
          </cell>
        </row>
        <row r="3482">
          <cell r="B3482" t="str">
            <v>Kərimov Cəlil Eldar</v>
          </cell>
          <cell r="C3482" t="str">
            <v>Kredit risklərinin təhlili departamenti</v>
          </cell>
          <cell r="D3482" t="str">
            <v>Pərakəndə və ipoteka kredit risklərinin təhlili şöbəsi</v>
          </cell>
          <cell r="E3482" t="str">
            <v>#</v>
          </cell>
          <cell r="F3482" t="str">
            <v>Baş mütəxəssis</v>
          </cell>
          <cell r="G3482" t="str">
            <v>A</v>
          </cell>
          <cell r="H3482">
            <v>42019</v>
          </cell>
        </row>
        <row r="3483">
          <cell r="B3483" t="str">
            <v>Abdulrəhmanova Gülüş Məhərrəm</v>
          </cell>
          <cell r="C3483" t="str">
            <v>Kredit risklərinin təhlili departamenti</v>
          </cell>
          <cell r="D3483" t="str">
            <v>Pərakəndə və ipoteka kredit risklərinin təhlili şöbəsi</v>
          </cell>
          <cell r="E3483" t="str">
            <v>#</v>
          </cell>
          <cell r="F3483" t="str">
            <v>Baş mütəxəssis</v>
          </cell>
          <cell r="G3483" t="str">
            <v>A</v>
          </cell>
          <cell r="H3483">
            <v>42363</v>
          </cell>
        </row>
        <row r="3484">
          <cell r="B3484" t="str">
            <v>Mürsəlli Beyrək Vəzir</v>
          </cell>
          <cell r="C3484" t="str">
            <v>Kredit risklərinin təhlili departamenti</v>
          </cell>
          <cell r="D3484" t="str">
            <v>Pərakəndə və ipoteka kredit risklərinin təhlili şöbəsi</v>
          </cell>
          <cell r="E3484" t="str">
            <v>#</v>
          </cell>
          <cell r="F3484" t="str">
            <v>Baş mütəxəssis</v>
          </cell>
          <cell r="G3484" t="str">
            <v>A</v>
          </cell>
          <cell r="H3484">
            <v>43591</v>
          </cell>
        </row>
        <row r="3485">
          <cell r="B3485" t="str">
            <v>Eminov Fuad Nazim</v>
          </cell>
          <cell r="C3485" t="str">
            <v>Kredit risklərinin təhlili departamenti</v>
          </cell>
          <cell r="D3485" t="str">
            <v>Pərakəndə və ipoteka kredit risklərinin təhlili şöbəsi</v>
          </cell>
          <cell r="E3485" t="str">
            <v>#</v>
          </cell>
          <cell r="F3485" t="str">
            <v>Baş mütəxəssis</v>
          </cell>
          <cell r="G3485" t="str">
            <v>A</v>
          </cell>
          <cell r="H3485">
            <v>44125</v>
          </cell>
        </row>
        <row r="3486">
          <cell r="B3486" t="str">
            <v>Mamedov İlham Məzahir</v>
          </cell>
          <cell r="C3486" t="str">
            <v>Kredit risklərinin təhlili departamenti</v>
          </cell>
          <cell r="D3486" t="str">
            <v>Pərakəndə və ipoteka kredit risklərinin təhlili şöbəsi</v>
          </cell>
          <cell r="E3486" t="str">
            <v>#</v>
          </cell>
          <cell r="F3486" t="str">
            <v>Baş mütəxəssis</v>
          </cell>
          <cell r="G3486" t="str">
            <v>A</v>
          </cell>
          <cell r="H3486">
            <v>43383</v>
          </cell>
        </row>
        <row r="3487">
          <cell r="B3487" t="str">
            <v>İsmayılzadə Pərviz Firuz</v>
          </cell>
          <cell r="C3487" t="str">
            <v>Kredit risklərinin təhlili departamenti</v>
          </cell>
          <cell r="D3487" t="str">
            <v>Pərakəndə və ipoteka kredit risklərinin təhlili şöbəsi</v>
          </cell>
          <cell r="E3487" t="str">
            <v>#</v>
          </cell>
          <cell r="F3487" t="str">
            <v>Baş mütəxəssis</v>
          </cell>
          <cell r="G3487" t="str">
            <v>A</v>
          </cell>
          <cell r="H3487">
            <v>42401</v>
          </cell>
        </row>
        <row r="3488">
          <cell r="B3488" t="str">
            <v>Şahbazlı Cabir Rafiq</v>
          </cell>
          <cell r="C3488" t="str">
            <v>Kredit risklərinin təhlili departamenti</v>
          </cell>
          <cell r="D3488" t="str">
            <v>Pərakəndə və ipoteka kredit risklərinin təhlili şöbəsi</v>
          </cell>
          <cell r="E3488" t="str">
            <v>#</v>
          </cell>
          <cell r="F3488" t="str">
            <v>Aparıcı mütəxəssis</v>
          </cell>
          <cell r="G3488" t="str">
            <v>A</v>
          </cell>
          <cell r="H3488">
            <v>45191</v>
          </cell>
        </row>
        <row r="3489">
          <cell r="B3489" t="str">
            <v>Heydərova Zeynəb Mayil</v>
          </cell>
          <cell r="C3489" t="str">
            <v>Kredit risklərinin təhlili departamenti</v>
          </cell>
          <cell r="D3489" t="str">
            <v>Pərakəndə və ipoteka kredit risklərinin təhlili şöbəsi</v>
          </cell>
          <cell r="E3489" t="str">
            <v>#</v>
          </cell>
          <cell r="F3489" t="str">
            <v>Qrup rəhbəri</v>
          </cell>
          <cell r="G3489" t="str">
            <v>A</v>
          </cell>
          <cell r="H3489">
            <v>39854</v>
          </cell>
        </row>
        <row r="3490">
          <cell r="B3490" t="str">
            <v>Qarayeva Şəbnəm Eldar</v>
          </cell>
          <cell r="C3490" t="str">
            <v>Kredit risklərinin təhlili departamenti</v>
          </cell>
          <cell r="D3490" t="str">
            <v>Pərakəndə və ipoteka kredit risklərinin təhlili şöbəsi</v>
          </cell>
          <cell r="E3490" t="str">
            <v>#</v>
          </cell>
          <cell r="F3490" t="str">
            <v>Baş mütəxəssis</v>
          </cell>
          <cell r="G3490" t="str">
            <v>A</v>
          </cell>
          <cell r="H3490">
            <v>42502</v>
          </cell>
        </row>
        <row r="3491">
          <cell r="B3491" t="str">
            <v>Hacıyeva Leyla Ağahüseyn</v>
          </cell>
          <cell r="C3491" t="str">
            <v>Kredit risklərinin təhlili departamenti</v>
          </cell>
          <cell r="D3491" t="str">
            <v>Pərakəndə və ipoteka kredit risklərinin təhlili şöbəsi</v>
          </cell>
          <cell r="E3491" t="str">
            <v>#</v>
          </cell>
          <cell r="F3491" t="str">
            <v>Mütəxəssis</v>
          </cell>
          <cell r="G3491" t="str">
            <v>A</v>
          </cell>
          <cell r="H3491">
            <v>45163</v>
          </cell>
        </row>
        <row r="3492">
          <cell r="B3492" t="str">
            <v>Hacıyev Elçin Asif</v>
          </cell>
          <cell r="C3492" t="str">
            <v>Kredit risklərinin təhlili departamenti</v>
          </cell>
          <cell r="D3492" t="str">
            <v>#</v>
          </cell>
          <cell r="E3492" t="str">
            <v>#</v>
          </cell>
          <cell r="F3492" t="str">
            <v>Direktor müavini</v>
          </cell>
          <cell r="G3492" t="str">
            <v>A</v>
          </cell>
          <cell r="H3492">
            <v>43573</v>
          </cell>
        </row>
        <row r="3493">
          <cell r="B3493" t="str">
            <v>Mustafazadə Nicat Nasir</v>
          </cell>
          <cell r="C3493" t="str">
            <v>Kredit risklərinin təhlili departamenti</v>
          </cell>
          <cell r="D3493" t="str">
            <v>Korporativ kredit risklərinin təhlili şöbəsi</v>
          </cell>
          <cell r="E3493" t="str">
            <v>#</v>
          </cell>
          <cell r="F3493" t="str">
            <v>Şöbə müdiri</v>
          </cell>
          <cell r="G3493" t="str">
            <v>A</v>
          </cell>
          <cell r="H3493">
            <v>44998</v>
          </cell>
        </row>
        <row r="3494">
          <cell r="B3494" t="str">
            <v>Manaşirov Faiq İsakoviç</v>
          </cell>
          <cell r="C3494" t="str">
            <v>Kredit risklərinin təhlili departamenti</v>
          </cell>
          <cell r="D3494" t="str">
            <v>Korporativ kredit risklərinin təhlili şöbəsi</v>
          </cell>
          <cell r="E3494" t="str">
            <v>#</v>
          </cell>
          <cell r="F3494" t="str">
            <v>Qrup rəhbəri</v>
          </cell>
          <cell r="G3494" t="str">
            <v>A</v>
          </cell>
          <cell r="H3494">
            <v>43906</v>
          </cell>
        </row>
        <row r="3495">
          <cell r="B3495" t="str">
            <v>Həmzəyev Səbuhi Rahil</v>
          </cell>
          <cell r="C3495" t="str">
            <v>Kredit risklərinin təhlili departamenti</v>
          </cell>
          <cell r="D3495" t="str">
            <v>Korporativ kredit risklərinin təhlili şöbəsi</v>
          </cell>
          <cell r="E3495" t="str">
            <v>#</v>
          </cell>
          <cell r="F3495" t="str">
            <v>Menecer</v>
          </cell>
          <cell r="G3495" t="str">
            <v>A</v>
          </cell>
          <cell r="H3495">
            <v>43892</v>
          </cell>
        </row>
        <row r="3496">
          <cell r="B3496" t="str">
            <v>Əliyev Kənan Gülağa</v>
          </cell>
          <cell r="C3496" t="str">
            <v>Kredit risklərinin təhlili departamenti</v>
          </cell>
          <cell r="D3496" t="str">
            <v>Korporativ kredit risklərinin təhlili şöbəsi</v>
          </cell>
          <cell r="E3496" t="str">
            <v>#</v>
          </cell>
          <cell r="F3496" t="str">
            <v>Menecer</v>
          </cell>
          <cell r="G3496" t="str">
            <v>A</v>
          </cell>
          <cell r="H3496">
            <v>44503</v>
          </cell>
        </row>
        <row r="3497">
          <cell r="B3497" t="str">
            <v>Məmmədova Esmira Yusif</v>
          </cell>
          <cell r="C3497" t="str">
            <v>Kredit risklərinin təhlili departamenti</v>
          </cell>
          <cell r="D3497" t="str">
            <v>Korporativ kredit risklərinin təhlili şöbəsi</v>
          </cell>
          <cell r="E3497" t="str">
            <v>#</v>
          </cell>
          <cell r="F3497" t="str">
            <v>Baş mütəxəssis</v>
          </cell>
          <cell r="G3497" t="str">
            <v>A</v>
          </cell>
          <cell r="H3497">
            <v>44630</v>
          </cell>
        </row>
        <row r="3498">
          <cell r="B3498" t="str">
            <v>Mustafazadə Ceyhun Sahib</v>
          </cell>
          <cell r="C3498" t="str">
            <v>Kredit risklərinin təhlili departamenti</v>
          </cell>
          <cell r="D3498" t="str">
            <v>Korporativ kredit risklərinin təhlili şöbəsi</v>
          </cell>
          <cell r="E3498" t="str">
            <v>#</v>
          </cell>
          <cell r="F3498" t="str">
            <v>Baş mütəxəssis</v>
          </cell>
          <cell r="G3498" t="str">
            <v>A</v>
          </cell>
          <cell r="H3498">
            <v>44470</v>
          </cell>
        </row>
        <row r="3499">
          <cell r="B3499" t="str">
            <v>Hüseynova Nazpəri Rafiq</v>
          </cell>
          <cell r="C3499" t="str">
            <v>Kredit risklərinin təhlili departamenti</v>
          </cell>
          <cell r="D3499" t="str">
            <v>Korporativ kredit risklərinin təhlili şöbəsi</v>
          </cell>
          <cell r="E3499" t="str">
            <v>#</v>
          </cell>
          <cell r="F3499" t="str">
            <v>Aparıcı mütəxəssis</v>
          </cell>
          <cell r="G3499" t="str">
            <v>HX</v>
          </cell>
          <cell r="H3499">
            <v>45174</v>
          </cell>
        </row>
        <row r="3500">
          <cell r="B3500" t="str">
            <v>Nuriyev Raman Tərlan</v>
          </cell>
          <cell r="C3500" t="str">
            <v>Kredit risklərinin təhlili departamenti</v>
          </cell>
          <cell r="D3500" t="str">
            <v>Korporativ kredit risklərinin təhlili şöbəsi</v>
          </cell>
          <cell r="E3500" t="str">
            <v>#</v>
          </cell>
          <cell r="F3500" t="str">
            <v>Aparıcı mütəxəssis</v>
          </cell>
          <cell r="G3500" t="str">
            <v>A</v>
          </cell>
          <cell r="H3500">
            <v>45882</v>
          </cell>
        </row>
        <row r="3501">
          <cell r="B3501" t="str">
            <v>Hacızadə Xavər Rauf</v>
          </cell>
          <cell r="C3501" t="str">
            <v>Kredit risklərinin təhlili departamenti</v>
          </cell>
          <cell r="D3501" t="str">
            <v>Korporativ kredit risklərinin təhlili şöbəsi</v>
          </cell>
          <cell r="E3501" t="str">
            <v>#</v>
          </cell>
          <cell r="F3501" t="str">
            <v>Aparıcı mütəxəssis</v>
          </cell>
          <cell r="G3501" t="str">
            <v>A</v>
          </cell>
          <cell r="H3501">
            <v>45258</v>
          </cell>
        </row>
        <row r="3502">
          <cell r="B3502" t="str">
            <v>Sadıqov Qaraş Yaşar</v>
          </cell>
          <cell r="C3502" t="str">
            <v>Kredit risklərinin təhlili departamenti</v>
          </cell>
          <cell r="D3502" t="str">
            <v>Korporativ kredit risklərinin təhlili şöbəsi</v>
          </cell>
          <cell r="E3502" t="str">
            <v>#</v>
          </cell>
          <cell r="F3502" t="str">
            <v>Aparıcı mütəxəssis</v>
          </cell>
          <cell r="G3502" t="str">
            <v>A</v>
          </cell>
          <cell r="H3502">
            <v>44740</v>
          </cell>
        </row>
        <row r="3503">
          <cell r="B3503" t="str">
            <v>Şəmmədli Aysu Samir</v>
          </cell>
          <cell r="C3503" t="str">
            <v>Kredit risklərinin təhlili departamenti</v>
          </cell>
          <cell r="D3503" t="str">
            <v>Korporativ kredit risklərinin təhlili şöbəsi</v>
          </cell>
          <cell r="E3503" t="str">
            <v>#</v>
          </cell>
          <cell r="F3503" t="str">
            <v>Mütəxəssis</v>
          </cell>
          <cell r="G3503" t="str">
            <v>A</v>
          </cell>
          <cell r="H3503">
            <v>45712</v>
          </cell>
        </row>
        <row r="3504">
          <cell r="B3504" t="str">
            <v>Bağırzadə Uğur İbrahim</v>
          </cell>
          <cell r="C3504" t="str">
            <v>Kredit risklərinin təhlili departamenti</v>
          </cell>
          <cell r="D3504" t="str">
            <v>Korporativ kredit risklərinin təhlili şöbəsi</v>
          </cell>
          <cell r="E3504" t="str">
            <v>#</v>
          </cell>
          <cell r="F3504" t="str">
            <v>Kiçik mütəxəssis</v>
          </cell>
          <cell r="G3504" t="str">
            <v>A</v>
          </cell>
          <cell r="H3504">
            <v>46178</v>
          </cell>
        </row>
        <row r="3505">
          <cell r="B3505" t="str">
            <v>Həsənov Həmid Füzuli</v>
          </cell>
          <cell r="C3505" t="str">
            <v>Kredit risklərinin təhlili departamenti</v>
          </cell>
          <cell r="D3505" t="str">
            <v>KOS kredit risklərin təhlili şöbəsi</v>
          </cell>
          <cell r="E3505" t="str">
            <v>#</v>
          </cell>
          <cell r="F3505" t="str">
            <v>Şöbə müdiri</v>
          </cell>
          <cell r="G3505" t="str">
            <v>A</v>
          </cell>
          <cell r="H3505">
            <v>43500</v>
          </cell>
        </row>
        <row r="3506">
          <cell r="B3506" t="str">
            <v>Məmmədov Vüsal Mədəd</v>
          </cell>
          <cell r="C3506" t="str">
            <v>Kredit risklərinin təhlili departamenti</v>
          </cell>
          <cell r="D3506" t="str">
            <v>KOS kredit risklərin təhlili şöbəsi</v>
          </cell>
          <cell r="E3506" t="str">
            <v>#</v>
          </cell>
          <cell r="F3506" t="str">
            <v>Menecer</v>
          </cell>
          <cell r="G3506" t="str">
            <v>A</v>
          </cell>
          <cell r="H3506">
            <v>43455</v>
          </cell>
        </row>
        <row r="3507">
          <cell r="B3507" t="str">
            <v>Çərkəzov Həmidulla Abdulla</v>
          </cell>
          <cell r="C3507" t="str">
            <v>Kredit risklərinin təhlili departamenti</v>
          </cell>
          <cell r="D3507" t="str">
            <v>KOS kredit risklərin təhlili şöbəsi</v>
          </cell>
          <cell r="E3507" t="str">
            <v>#</v>
          </cell>
          <cell r="F3507" t="str">
            <v>Menecer</v>
          </cell>
          <cell r="G3507" t="str">
            <v>A</v>
          </cell>
          <cell r="H3507">
            <v>44251</v>
          </cell>
        </row>
        <row r="3508">
          <cell r="B3508" t="str">
            <v>Hüseynov Nail Nazim</v>
          </cell>
          <cell r="C3508" t="str">
            <v>Kredit risklərinin təhlili departamenti</v>
          </cell>
          <cell r="D3508" t="str">
            <v>KOS kredit risklərin təhlili şöbəsi</v>
          </cell>
          <cell r="E3508" t="str">
            <v>#</v>
          </cell>
          <cell r="F3508" t="str">
            <v>Qrup rəhbəri</v>
          </cell>
          <cell r="G3508" t="str">
            <v>A</v>
          </cell>
          <cell r="H3508">
            <v>44575</v>
          </cell>
        </row>
        <row r="3509">
          <cell r="B3509" t="str">
            <v>Cəfərov Paşa Hikmət</v>
          </cell>
          <cell r="C3509" t="str">
            <v>Kredit risklərinin təhlili departamenti</v>
          </cell>
          <cell r="D3509" t="str">
            <v>KOS kredit risklərin təhlili şöbəsi</v>
          </cell>
          <cell r="E3509" t="str">
            <v>#</v>
          </cell>
          <cell r="F3509" t="str">
            <v>Baş mütəxəssis</v>
          </cell>
          <cell r="G3509" t="str">
            <v>A</v>
          </cell>
          <cell r="H3509">
            <v>44250</v>
          </cell>
        </row>
        <row r="3510">
          <cell r="B3510" t="str">
            <v>Əliyev Nicat Valeh</v>
          </cell>
          <cell r="C3510" t="str">
            <v>Kredit risklərinin təhlili departamenti</v>
          </cell>
          <cell r="D3510" t="str">
            <v>KOS kredit risklərin təhlili şöbəsi</v>
          </cell>
          <cell r="E3510" t="str">
            <v>#</v>
          </cell>
          <cell r="F3510" t="str">
            <v>Baş mütəxəssis</v>
          </cell>
          <cell r="G3510" t="str">
            <v>A</v>
          </cell>
          <cell r="H3510">
            <v>44379</v>
          </cell>
        </row>
        <row r="3511">
          <cell r="B3511" t="str">
            <v>Niftəliyev Sultan Qurban</v>
          </cell>
          <cell r="C3511" t="str">
            <v>Kredit risklərinin təhlili departamenti</v>
          </cell>
          <cell r="D3511" t="str">
            <v>KOS kredit risklərin təhlili şöbəsi</v>
          </cell>
          <cell r="E3511" t="str">
            <v>#</v>
          </cell>
          <cell r="F3511" t="str">
            <v>Qrup rəhbəri</v>
          </cell>
          <cell r="G3511" t="str">
            <v>A</v>
          </cell>
          <cell r="H3511">
            <v>44321</v>
          </cell>
        </row>
        <row r="3512">
          <cell r="B3512" t="str">
            <v>Əşrəfov Elmar Eldar</v>
          </cell>
          <cell r="C3512" t="str">
            <v>Kredit risklərinin təhlili departamenti</v>
          </cell>
          <cell r="D3512" t="str">
            <v>KOS kredit risklərin təhlili şöbəsi</v>
          </cell>
          <cell r="E3512" t="str">
            <v>#</v>
          </cell>
          <cell r="F3512" t="str">
            <v>Baş mütəxəssis</v>
          </cell>
          <cell r="G3512" t="str">
            <v>A</v>
          </cell>
          <cell r="H3512">
            <v>44511</v>
          </cell>
        </row>
        <row r="3513">
          <cell r="B3513" t="str">
            <v>Kərimov Turqut Atik</v>
          </cell>
          <cell r="C3513" t="str">
            <v>Kredit risklərinin təhlili departamenti</v>
          </cell>
          <cell r="D3513" t="str">
            <v>KOS kredit risklərin təhlili şöbəsi</v>
          </cell>
          <cell r="E3513" t="str">
            <v>#</v>
          </cell>
          <cell r="F3513" t="str">
            <v>Baş mütəxəssis</v>
          </cell>
          <cell r="G3513" t="str">
            <v>A</v>
          </cell>
          <cell r="H3513">
            <v>44477</v>
          </cell>
        </row>
        <row r="3514">
          <cell r="B3514" t="str">
            <v>Məmmədov Murad Zəfər</v>
          </cell>
          <cell r="C3514" t="str">
            <v>Kredit risklərinin təhlili departamenti</v>
          </cell>
          <cell r="D3514" t="str">
            <v>KOS kredit risklərin təhlili şöbəsi</v>
          </cell>
          <cell r="E3514" t="str">
            <v>#</v>
          </cell>
          <cell r="F3514" t="str">
            <v>Baş mütəxəssis</v>
          </cell>
          <cell r="G3514" t="str">
            <v>A</v>
          </cell>
          <cell r="H3514">
            <v>44630</v>
          </cell>
        </row>
        <row r="3515">
          <cell r="B3515" t="str">
            <v>Məcidov Rəvan Cavanşir</v>
          </cell>
          <cell r="C3515" t="str">
            <v>Kredit risklərinin təhlili departamenti</v>
          </cell>
          <cell r="D3515" t="str">
            <v>KOS kredit risklərin təhlili şöbəsi</v>
          </cell>
          <cell r="E3515" t="str">
            <v>#</v>
          </cell>
          <cell r="F3515" t="str">
            <v>Baş mütəxəssis (Mingəçevir zonası üzrə)</v>
          </cell>
          <cell r="G3515" t="str">
            <v>A</v>
          </cell>
          <cell r="H3515">
            <v>44917</v>
          </cell>
        </row>
        <row r="3516">
          <cell r="B3516" t="str">
            <v>Rzayev Heydər Vəli</v>
          </cell>
          <cell r="C3516" t="str">
            <v>Kredit risklərinin təhlili departamenti</v>
          </cell>
          <cell r="D3516" t="str">
            <v>KOS kredit risklərin təhlili şöbəsi</v>
          </cell>
          <cell r="E3516" t="str">
            <v>#</v>
          </cell>
          <cell r="F3516" t="str">
            <v>Baş mütəxəssis</v>
          </cell>
          <cell r="G3516" t="str">
            <v>A</v>
          </cell>
          <cell r="H3516">
            <v>44890</v>
          </cell>
        </row>
        <row r="3517">
          <cell r="B3517" t="str">
            <v>Süleyman Kamil Süleyman</v>
          </cell>
          <cell r="C3517" t="str">
            <v>Kredit risklərinin təhlili departamenti</v>
          </cell>
          <cell r="D3517" t="str">
            <v>KOS kredit risklərin təhlili şöbəsi</v>
          </cell>
          <cell r="E3517" t="str">
            <v>#</v>
          </cell>
          <cell r="F3517" t="str">
            <v>Baş mütəxəssis</v>
          </cell>
          <cell r="G3517" t="str">
            <v>A</v>
          </cell>
          <cell r="H3517">
            <v>44743</v>
          </cell>
        </row>
        <row r="3518">
          <cell r="B3518" t="str">
            <v>Məmmədov Rauf Arif</v>
          </cell>
          <cell r="C3518" t="str">
            <v>Kredit risklərinin təhlili departamenti</v>
          </cell>
          <cell r="D3518" t="str">
            <v>KOS kredit risklərin təhlili şöbəsi</v>
          </cell>
          <cell r="E3518" t="str">
            <v>#</v>
          </cell>
          <cell r="F3518" t="str">
            <v>Aparıcı mütəxəssis</v>
          </cell>
          <cell r="G3518" t="str">
            <v>A</v>
          </cell>
          <cell r="H3518">
            <v>44795</v>
          </cell>
        </row>
        <row r="3519">
          <cell r="B3519" t="str">
            <v>Dilavərov Fərid Alıcı</v>
          </cell>
          <cell r="C3519" t="str">
            <v>Kredit risklərinin təhlili departamenti</v>
          </cell>
          <cell r="D3519" t="str">
            <v>KOS kredit risklərin təhlili şöbəsi</v>
          </cell>
          <cell r="E3519" t="str">
            <v>#</v>
          </cell>
          <cell r="F3519" t="str">
            <v>Baş mütəxəssis</v>
          </cell>
          <cell r="G3519" t="str">
            <v>A</v>
          </cell>
          <cell r="H3519">
            <v>45079</v>
          </cell>
        </row>
        <row r="3520">
          <cell r="B3520" t="str">
            <v>Sadıqov Yusif Razim</v>
          </cell>
          <cell r="C3520" t="str">
            <v>Kredit risklərinin təhlili departamenti</v>
          </cell>
          <cell r="D3520" t="str">
            <v>KOS kredit risklərin təhlili şöbəsi</v>
          </cell>
          <cell r="E3520" t="str">
            <v>#</v>
          </cell>
          <cell r="F3520" t="str">
            <v>Baş mütəxəssis (Bərdə zonası üzrə)</v>
          </cell>
          <cell r="G3520" t="str">
            <v>A</v>
          </cell>
          <cell r="H3520">
            <v>44566</v>
          </cell>
        </row>
        <row r="3521">
          <cell r="B3521" t="str">
            <v>Əlizadə Sadiq Əfqan</v>
          </cell>
          <cell r="C3521" t="str">
            <v>Kredit risklərinin təhlili departamenti</v>
          </cell>
          <cell r="D3521" t="str">
            <v>KOS kredit risklərin təhlili şöbəsi</v>
          </cell>
          <cell r="E3521" t="str">
            <v>#</v>
          </cell>
          <cell r="F3521" t="str">
            <v>Baş mütəxəssis (Lənkəran zonası üzrə)</v>
          </cell>
          <cell r="G3521" t="str">
            <v>A</v>
          </cell>
          <cell r="H3521">
            <v>44910</v>
          </cell>
        </row>
        <row r="3522">
          <cell r="B3522" t="str">
            <v>Şabanov Anar Zahid</v>
          </cell>
          <cell r="C3522" t="str">
            <v>Kredit risklərinin təhlili departamenti</v>
          </cell>
          <cell r="D3522" t="str">
            <v>KOS kredit risklərin təhlili şöbəsi</v>
          </cell>
          <cell r="E3522" t="str">
            <v>#</v>
          </cell>
          <cell r="F3522" t="str">
            <v>Baş mütəxəssis (Zaqatala zonası üzrə)</v>
          </cell>
          <cell r="G3522" t="str">
            <v>A</v>
          </cell>
          <cell r="H3522">
            <v>45128</v>
          </cell>
        </row>
        <row r="3523">
          <cell r="B3523" t="str">
            <v>Mehdizadə Nurlan Hüseynağa</v>
          </cell>
          <cell r="C3523" t="str">
            <v>Kredit risklərinin təhlili departamenti</v>
          </cell>
          <cell r="D3523" t="str">
            <v>KOS kredit risklərin təhlili şöbəsi</v>
          </cell>
          <cell r="E3523" t="str">
            <v>#</v>
          </cell>
          <cell r="F3523" t="str">
            <v>Aparıcı mütəxəssis</v>
          </cell>
          <cell r="G3523" t="str">
            <v>A</v>
          </cell>
          <cell r="H3523">
            <v>45800</v>
          </cell>
        </row>
        <row r="3524">
          <cell r="B3524" t="str">
            <v>İsmayılzadə Fərid Xalid</v>
          </cell>
          <cell r="C3524" t="str">
            <v>Kredit risklərinin təhlili departamenti</v>
          </cell>
          <cell r="D3524" t="str">
            <v>KOS kredit risklərin təhlili şöbəsi</v>
          </cell>
          <cell r="E3524" t="str">
            <v>#</v>
          </cell>
          <cell r="F3524" t="str">
            <v>Mütəxəssis</v>
          </cell>
          <cell r="G3524" t="str">
            <v>A</v>
          </cell>
          <cell r="H3524">
            <v>46073</v>
          </cell>
        </row>
        <row r="3525">
          <cell r="B3525" t="str">
            <v>Nəsibli Bəxtiyar Elbrus</v>
          </cell>
          <cell r="C3525" t="str">
            <v>Kredit risklərinin təhlili departamenti</v>
          </cell>
          <cell r="D3525" t="str">
            <v>KOS kredit risklərin təhlili şöbəsi</v>
          </cell>
          <cell r="E3525" t="str">
            <v>#</v>
          </cell>
          <cell r="F3525" t="str">
            <v>Aparıcı mütəxəssis</v>
          </cell>
          <cell r="G3525" t="str">
            <v>A</v>
          </cell>
          <cell r="H3525">
            <v>45903</v>
          </cell>
        </row>
        <row r="3526">
          <cell r="B3526" t="str">
            <v>Əlili Səddam Gündüz</v>
          </cell>
          <cell r="C3526" t="str">
            <v>Kredit risklərinin təhlili departamenti</v>
          </cell>
          <cell r="D3526" t="str">
            <v>KOS kredit risklərin təhlili şöbəsi</v>
          </cell>
          <cell r="E3526" t="str">
            <v>#</v>
          </cell>
          <cell r="F3526" t="str">
            <v>Mütəxəssis</v>
          </cell>
          <cell r="G3526" t="str">
            <v>A</v>
          </cell>
          <cell r="H3526">
            <v>45614</v>
          </cell>
        </row>
        <row r="3527">
          <cell r="B3527" t="str">
            <v>Həsənov Eyyub Səbuhi</v>
          </cell>
          <cell r="C3527" t="str">
            <v>Kredit risklərinin təhlili departamenti</v>
          </cell>
          <cell r="D3527" t="str">
            <v>KOS kredit risklərin təhlili şöbəsi</v>
          </cell>
          <cell r="E3527" t="str">
            <v>#</v>
          </cell>
          <cell r="F3527" t="str">
            <v>Mütəxəssis</v>
          </cell>
          <cell r="G3527" t="str">
            <v>A</v>
          </cell>
          <cell r="H3527">
            <v>45748</v>
          </cell>
        </row>
        <row r="3528">
          <cell r="B3528" t="str">
            <v>Əzizzadə Yusif Samiq</v>
          </cell>
          <cell r="C3528" t="str">
            <v>Kredit risklərinin təhlili departamenti</v>
          </cell>
          <cell r="D3528" t="str">
            <v>KOS kredit risklərin təhlili şöbəsi</v>
          </cell>
          <cell r="E3528" t="str">
            <v>#</v>
          </cell>
          <cell r="F3528" t="str">
            <v>Mütəxəssis</v>
          </cell>
          <cell r="G3528" t="str">
            <v>A</v>
          </cell>
          <cell r="H3528">
            <v>45748</v>
          </cell>
        </row>
        <row r="3529">
          <cell r="B3529" t="str">
            <v>Alızadə İslam Müşviq</v>
          </cell>
          <cell r="C3529" t="str">
            <v>Kredit risklərinin təhlili departamenti</v>
          </cell>
          <cell r="D3529" t="str">
            <v>KOS kredit risklərin təhlili şöbəsi</v>
          </cell>
          <cell r="E3529" t="str">
            <v>#</v>
          </cell>
          <cell r="F3529" t="str">
            <v>Mütəxəssis</v>
          </cell>
          <cell r="G3529" t="str">
            <v>A</v>
          </cell>
          <cell r="H3529">
            <v>46224</v>
          </cell>
        </row>
        <row r="3530">
          <cell r="B3530" t="str">
            <v>Mikayılov Məmməd Vilayət</v>
          </cell>
          <cell r="C3530" t="str">
            <v>Kredit risklərinin təhlili departamenti</v>
          </cell>
          <cell r="D3530" t="str">
            <v>KOS kredit risklərin təhlili şöbəsi</v>
          </cell>
          <cell r="E3530" t="str">
            <v>#</v>
          </cell>
          <cell r="F3530" t="str">
            <v>Mütəxəssis</v>
          </cell>
          <cell r="G3530" t="str">
            <v>A</v>
          </cell>
          <cell r="H3530">
            <v>46226</v>
          </cell>
        </row>
        <row r="3531">
          <cell r="B3531" t="str">
            <v>Əzizov Məhəmməd Vidadi</v>
          </cell>
          <cell r="C3531" t="str">
            <v>Kredit risklərinin təhlili departamenti</v>
          </cell>
          <cell r="D3531" t="str">
            <v>KOS kredit risklərin təhlili şöbəsi</v>
          </cell>
          <cell r="E3531" t="str">
            <v>#</v>
          </cell>
          <cell r="F3531" t="str">
            <v>Mütəxəssis</v>
          </cell>
          <cell r="G3531" t="str">
            <v>A</v>
          </cell>
          <cell r="H3531">
            <v>45849</v>
          </cell>
        </row>
        <row r="3532">
          <cell r="B3532" t="str">
            <v>Qafarov Əşrəf Faiq</v>
          </cell>
          <cell r="C3532" t="str">
            <v>Kredit risklərinin təhlili departamenti</v>
          </cell>
          <cell r="D3532" t="str">
            <v>KOS kredit risklərin təhlili şöbəsi</v>
          </cell>
          <cell r="E3532" t="str">
            <v>#</v>
          </cell>
          <cell r="F3532" t="str">
            <v>Kiçik mütəxəssis</v>
          </cell>
          <cell r="G3532" t="str">
            <v>A</v>
          </cell>
          <cell r="H3532">
            <v>46091</v>
          </cell>
        </row>
        <row r="3533">
          <cell r="B3533" t="str">
            <v>Dünyamalıyev Vəli Azər</v>
          </cell>
          <cell r="C3533" t="str">
            <v>Kredit risklərinin təhlili departamenti</v>
          </cell>
          <cell r="D3533" t="str">
            <v>KOS kredit risklərin təhlili şöbəsi</v>
          </cell>
          <cell r="E3533" t="str">
            <v>#</v>
          </cell>
          <cell r="F3533" t="str">
            <v>Kiçik mütəxəssis</v>
          </cell>
          <cell r="G3533" t="str">
            <v>A</v>
          </cell>
          <cell r="H3533">
            <v>46091</v>
          </cell>
        </row>
        <row r="3534">
          <cell r="B3534" t="str">
            <v>Nağızadə Abbas Piri</v>
          </cell>
          <cell r="C3534" t="str">
            <v>Kredit risklərinin təhlili departamenti</v>
          </cell>
          <cell r="D3534" t="str">
            <v>KOS kredit risklərin təhlili şöbəsi</v>
          </cell>
          <cell r="E3534" t="str">
            <v>#</v>
          </cell>
          <cell r="F3534" t="str">
            <v>Kiçik mütəxəssis</v>
          </cell>
          <cell r="G3534" t="str">
            <v>A</v>
          </cell>
          <cell r="H3534">
            <v>46129</v>
          </cell>
        </row>
        <row r="3535">
          <cell r="B3535" t="str">
            <v>Əliyeva Ülkər Mahir</v>
          </cell>
          <cell r="C3535" t="str">
            <v>Kredit risklərinin təhlili departamenti</v>
          </cell>
          <cell r="D3535" t="str">
            <v>Kredit inzibatçılığına nəzarət şöbəsi</v>
          </cell>
          <cell r="E3535" t="str">
            <v>#</v>
          </cell>
          <cell r="F3535" t="str">
            <v>Şöbə müdiri</v>
          </cell>
          <cell r="G3535" t="str">
            <v>A</v>
          </cell>
          <cell r="H3535">
            <v>41536</v>
          </cell>
        </row>
        <row r="3536">
          <cell r="B3536" t="str">
            <v>Quliyev Aydın Nəsimi</v>
          </cell>
          <cell r="C3536" t="str">
            <v>Kredit risklərinin təhlili departamenti</v>
          </cell>
          <cell r="D3536" t="str">
            <v>Kredit inzibatçılığına nəzarət şöbəsi</v>
          </cell>
          <cell r="E3536" t="str">
            <v>#</v>
          </cell>
          <cell r="F3536" t="str">
            <v>Menecer</v>
          </cell>
          <cell r="G3536" t="str">
            <v>A</v>
          </cell>
          <cell r="H3536">
            <v>42705</v>
          </cell>
        </row>
        <row r="3537">
          <cell r="B3537" t="str">
            <v>Məmmədova Nəzrin İlham</v>
          </cell>
          <cell r="C3537" t="str">
            <v>Kredit risklərinin təhlili departamenti</v>
          </cell>
          <cell r="D3537" t="str">
            <v>Kredit inzibatçılığına nəzarət şöbəsi</v>
          </cell>
          <cell r="E3537" t="str">
            <v>#</v>
          </cell>
          <cell r="F3537" t="str">
            <v>Qrup rəhbəri</v>
          </cell>
          <cell r="G3537" t="str">
            <v>A</v>
          </cell>
          <cell r="H3537">
            <v>43290</v>
          </cell>
        </row>
        <row r="3538">
          <cell r="B3538" t="str">
            <v>Eminov Rəşad Natiq</v>
          </cell>
          <cell r="C3538" t="str">
            <v>Kredit risklərinin təhlili departamenti</v>
          </cell>
          <cell r="D3538" t="str">
            <v>Kredit inzibatçılığına nəzarət şöbəsi</v>
          </cell>
          <cell r="E3538" t="str">
            <v>#</v>
          </cell>
          <cell r="F3538" t="str">
            <v>Qrup rəhbəri</v>
          </cell>
          <cell r="G3538" t="str">
            <v>A</v>
          </cell>
          <cell r="H3538">
            <v>43875</v>
          </cell>
        </row>
        <row r="3539">
          <cell r="B3539" t="str">
            <v>Süleymanova Fəridə Rüfət</v>
          </cell>
          <cell r="C3539" t="str">
            <v>Kredit risklərinin təhlili departamenti</v>
          </cell>
          <cell r="D3539" t="str">
            <v>Kredit inzibatçılığına nəzarət şöbəsi</v>
          </cell>
          <cell r="E3539" t="str">
            <v>#</v>
          </cell>
          <cell r="F3539" t="str">
            <v>Baş mütəxəssis</v>
          </cell>
          <cell r="G3539" t="str">
            <v>A</v>
          </cell>
          <cell r="H3539">
            <v>42529</v>
          </cell>
        </row>
        <row r="3540">
          <cell r="B3540" t="str">
            <v>Məmmədova Ceyla Nazim</v>
          </cell>
          <cell r="C3540" t="str">
            <v>Kredit risklərinin təhlili departamenti</v>
          </cell>
          <cell r="D3540" t="str">
            <v>Kredit inzibatçılığına nəzarət şöbəsi</v>
          </cell>
          <cell r="E3540" t="str">
            <v>#</v>
          </cell>
          <cell r="F3540" t="str">
            <v>Baş mütəxəssis</v>
          </cell>
          <cell r="G3540" t="str">
            <v>A</v>
          </cell>
          <cell r="H3540">
            <v>42751</v>
          </cell>
        </row>
        <row r="3541">
          <cell r="B3541" t="str">
            <v>Mustafayeva Fatimə Cəlil</v>
          </cell>
          <cell r="C3541" t="str">
            <v>Kredit risklərinin təhlili departamenti</v>
          </cell>
          <cell r="D3541" t="str">
            <v>Kredit inzibatçılığına nəzarət şöbəsi</v>
          </cell>
          <cell r="E3541" t="str">
            <v>#</v>
          </cell>
          <cell r="F3541" t="str">
            <v>Baş mütəxəssis</v>
          </cell>
          <cell r="G3541" t="str">
            <v>A</v>
          </cell>
          <cell r="H3541">
            <v>44166</v>
          </cell>
        </row>
        <row r="3542">
          <cell r="B3542" t="str">
            <v>Hacıyev Rövşən Ələkbər</v>
          </cell>
          <cell r="C3542" t="str">
            <v>Kredit risklərinin təhlili departamenti</v>
          </cell>
          <cell r="D3542" t="str">
            <v>Kredit inzibatçılığına nəzarət şöbəsi</v>
          </cell>
          <cell r="E3542" t="str">
            <v>#</v>
          </cell>
          <cell r="F3542" t="str">
            <v>Baş mütəxəssis</v>
          </cell>
          <cell r="G3542" t="str">
            <v>A</v>
          </cell>
          <cell r="H3542">
            <v>44494</v>
          </cell>
        </row>
        <row r="3543">
          <cell r="B3543" t="str">
            <v>Rəsulova Nərgiz Rövşən</v>
          </cell>
          <cell r="C3543" t="str">
            <v>Kredit risklərinin təhlili departamenti</v>
          </cell>
          <cell r="D3543" t="str">
            <v>Kredit inzibatçılığına nəzarət şöbəsi</v>
          </cell>
          <cell r="E3543" t="str">
            <v>#</v>
          </cell>
          <cell r="F3543" t="str">
            <v>Baş mütəxəssis</v>
          </cell>
          <cell r="G3543" t="str">
            <v>A</v>
          </cell>
          <cell r="H3543">
            <v>44414</v>
          </cell>
        </row>
        <row r="3544">
          <cell r="B3544" t="str">
            <v>Hafizova Nigar Mübariz</v>
          </cell>
          <cell r="C3544" t="str">
            <v>Kredit risklərinin təhlili departamenti</v>
          </cell>
          <cell r="D3544" t="str">
            <v>Kredit inzibatçılığına nəzarət şöbəsi</v>
          </cell>
          <cell r="E3544" t="str">
            <v>#</v>
          </cell>
          <cell r="F3544" t="str">
            <v>Aparıcı mütəxəssis</v>
          </cell>
          <cell r="G3544" t="str">
            <v>SM</v>
          </cell>
          <cell r="H3544">
            <v>43840</v>
          </cell>
        </row>
        <row r="3545">
          <cell r="B3545" t="str">
            <v>Abdullayeva Nuranə Həsən</v>
          </cell>
          <cell r="C3545" t="str">
            <v>Kredit risklərinin təhlili departamenti</v>
          </cell>
          <cell r="D3545" t="str">
            <v>Kredit inzibatçılığına nəzarət şöbəsi</v>
          </cell>
          <cell r="E3545" t="str">
            <v>#</v>
          </cell>
          <cell r="F3545" t="str">
            <v>Aparıcı mütəxəssis</v>
          </cell>
          <cell r="G3545" t="str">
            <v>HX</v>
          </cell>
          <cell r="H3545">
            <v>44917</v>
          </cell>
        </row>
        <row r="3546">
          <cell r="B3546" t="str">
            <v>Ağayeva Əfsanə Yaşar</v>
          </cell>
          <cell r="C3546" t="str">
            <v>Kredit risklərinin təhlili departamenti</v>
          </cell>
          <cell r="D3546" t="str">
            <v>Kredit inzibatçılığına nəzarət şöbəsi</v>
          </cell>
          <cell r="E3546" t="str">
            <v>#</v>
          </cell>
          <cell r="F3546" t="str">
            <v>Baş mütəxəssis</v>
          </cell>
          <cell r="G3546" t="str">
            <v>A</v>
          </cell>
          <cell r="H3546">
            <v>44931</v>
          </cell>
        </row>
        <row r="3547">
          <cell r="B3547" t="str">
            <v>Nuri Kənan Eldəniz</v>
          </cell>
          <cell r="C3547" t="str">
            <v>Kredit risklərinin təhlili departamenti</v>
          </cell>
          <cell r="D3547" t="str">
            <v>Kredit inzibatçılığına nəzarət şöbəsi</v>
          </cell>
          <cell r="E3547" t="str">
            <v>#</v>
          </cell>
          <cell r="F3547" t="str">
            <v>Aparıcı mütəxəssis</v>
          </cell>
          <cell r="G3547" t="str">
            <v>A</v>
          </cell>
          <cell r="H3547">
            <v>44938</v>
          </cell>
        </row>
        <row r="3548">
          <cell r="B3548" t="str">
            <v>Hacıyeva Nərmin Tofiq</v>
          </cell>
          <cell r="C3548" t="str">
            <v>Kredit risklərinin təhlili departamenti</v>
          </cell>
          <cell r="D3548" t="str">
            <v>Kredit inzibatçılığına nəzarət şöbəsi</v>
          </cell>
          <cell r="E3548" t="str">
            <v>#</v>
          </cell>
          <cell r="F3548" t="str">
            <v>Aparıcı mütəxəssis</v>
          </cell>
          <cell r="G3548" t="str">
            <v>A</v>
          </cell>
          <cell r="H3548">
            <v>43896</v>
          </cell>
        </row>
        <row r="3549">
          <cell r="B3549" t="str">
            <v>Süleymanova Ayşən Tofikovna</v>
          </cell>
          <cell r="C3549" t="str">
            <v>Kredit risklərinin təhlili departamenti</v>
          </cell>
          <cell r="D3549" t="str">
            <v>Kredit inzibatçılığına nəzarət şöbəsi</v>
          </cell>
          <cell r="E3549" t="str">
            <v>#</v>
          </cell>
          <cell r="F3549" t="str">
            <v>Aparıcı mütəxəssis</v>
          </cell>
          <cell r="G3549" t="str">
            <v>SM</v>
          </cell>
          <cell r="H3549">
            <v>44169</v>
          </cell>
        </row>
        <row r="3550">
          <cell r="B3550" t="str">
            <v>Qənbərli Afət Rafiq</v>
          </cell>
          <cell r="C3550" t="str">
            <v>Kredit risklərinin təhlili departamenti</v>
          </cell>
          <cell r="D3550" t="str">
            <v>Kredit inzibatçılığına nəzarət şöbəsi</v>
          </cell>
          <cell r="E3550" t="str">
            <v>#</v>
          </cell>
          <cell r="F3550" t="str">
            <v>Baş mütəxəssis</v>
          </cell>
          <cell r="G3550" t="str">
            <v>A</v>
          </cell>
          <cell r="H3550">
            <v>44907</v>
          </cell>
        </row>
        <row r="3551">
          <cell r="B3551" t="str">
            <v>Babayeva Natəvan İlham</v>
          </cell>
          <cell r="C3551" t="str">
            <v>Kredit risklərinin təhlili departamenti</v>
          </cell>
          <cell r="D3551" t="str">
            <v>Kredit inzibatçılığına nəzarət şöbəsi</v>
          </cell>
          <cell r="E3551" t="str">
            <v>#</v>
          </cell>
          <cell r="F3551" t="str">
            <v>Baş mütəxəssis</v>
          </cell>
          <cell r="G3551" t="str">
            <v>A</v>
          </cell>
          <cell r="H3551">
            <v>44755</v>
          </cell>
        </row>
        <row r="3552">
          <cell r="B3552" t="str">
            <v>Aşurova Nigar Rafail</v>
          </cell>
          <cell r="C3552" t="str">
            <v>Kredit risklərinin təhlili departamenti</v>
          </cell>
          <cell r="D3552" t="str">
            <v>Kredit inzibatçılığına nəzarət şöbəsi</v>
          </cell>
          <cell r="E3552" t="str">
            <v>#</v>
          </cell>
          <cell r="F3552" t="str">
            <v>Aparıcı mütəxəssis</v>
          </cell>
          <cell r="G3552" t="str">
            <v>A</v>
          </cell>
          <cell r="H3552">
            <v>45268</v>
          </cell>
        </row>
        <row r="3553">
          <cell r="B3553" t="str">
            <v>Mirzəyeva Aysu Mehman</v>
          </cell>
          <cell r="C3553" t="str">
            <v>Kredit risklərinin təhlili departamenti</v>
          </cell>
          <cell r="D3553" t="str">
            <v>Kredit inzibatçılığına nəzarət şöbəsi</v>
          </cell>
          <cell r="E3553" t="str">
            <v>#</v>
          </cell>
          <cell r="F3553" t="str">
            <v>Aparıcı mütəxəssis</v>
          </cell>
          <cell r="G3553" t="str">
            <v>A</v>
          </cell>
          <cell r="H3553">
            <v>44945</v>
          </cell>
        </row>
        <row r="3554">
          <cell r="B3554" t="str">
            <v>Valehqızı Nərmin Valeh</v>
          </cell>
          <cell r="C3554" t="str">
            <v>Kredit risklərinin təhlili departamenti</v>
          </cell>
          <cell r="D3554" t="str">
            <v>Kredit inzibatçılığına nəzarət şöbəsi</v>
          </cell>
          <cell r="E3554" t="str">
            <v>#</v>
          </cell>
          <cell r="F3554" t="str">
            <v>Aparıcı mütəxəssis</v>
          </cell>
          <cell r="G3554" t="str">
            <v>A</v>
          </cell>
          <cell r="H3554">
            <v>45611</v>
          </cell>
        </row>
        <row r="3555">
          <cell r="B3555" t="str">
            <v>Qədimova Mərziyə Elzar</v>
          </cell>
          <cell r="C3555" t="str">
            <v>Kredit risklərinin təhlili departamenti</v>
          </cell>
          <cell r="D3555" t="str">
            <v>Kredit inzibatçılığına nəzarət şöbəsi</v>
          </cell>
          <cell r="E3555" t="str">
            <v>#</v>
          </cell>
          <cell r="F3555" t="str">
            <v>Mütəxəssis</v>
          </cell>
          <cell r="G3555" t="str">
            <v>SM</v>
          </cell>
          <cell r="H3555">
            <v>44629</v>
          </cell>
        </row>
        <row r="3556">
          <cell r="B3556" t="str">
            <v>Quluyev Elnur Hüseynbala</v>
          </cell>
          <cell r="C3556" t="str">
            <v>Kredit risklərinin təhlili departamenti</v>
          </cell>
          <cell r="D3556" t="str">
            <v>Qarantiya və rəqəmsal kredit risklərinin təhlili şöbəsi</v>
          </cell>
          <cell r="E3556" t="str">
            <v>#</v>
          </cell>
          <cell r="F3556" t="str">
            <v>Şöbə müdiri</v>
          </cell>
          <cell r="G3556" t="str">
            <v>A</v>
          </cell>
          <cell r="H3556">
            <v>42948</v>
          </cell>
        </row>
        <row r="3557">
          <cell r="B3557" t="str">
            <v>Məmmədov Fərid Fikrət</v>
          </cell>
          <cell r="C3557" t="str">
            <v>Kredit risklərinin təhlili departamenti</v>
          </cell>
          <cell r="D3557" t="str">
            <v>Qarantiya və rəqəmsal kredit risklərinin təhlili şöbəsi</v>
          </cell>
          <cell r="E3557" t="str">
            <v>#</v>
          </cell>
          <cell r="F3557" t="str">
            <v>Qrup rəhbəri</v>
          </cell>
          <cell r="G3557" t="str">
            <v>A</v>
          </cell>
          <cell r="H3557">
            <v>43739</v>
          </cell>
        </row>
        <row r="3558">
          <cell r="B3558" t="str">
            <v>Mirzəyev Murad Mahir</v>
          </cell>
          <cell r="C3558" t="str">
            <v>Kredit risklərinin təhlili departamenti</v>
          </cell>
          <cell r="D3558" t="str">
            <v>Qarantiya və rəqəmsal kredit risklərinin təhlili şöbəsi</v>
          </cell>
          <cell r="E3558" t="str">
            <v>#</v>
          </cell>
          <cell r="F3558" t="str">
            <v>Aparıcı mütəxəssis</v>
          </cell>
          <cell r="G3558" t="str">
            <v>A</v>
          </cell>
          <cell r="H3558">
            <v>44288</v>
          </cell>
        </row>
        <row r="3559">
          <cell r="B3559" t="str">
            <v>Səfərov Rüfət İlqar</v>
          </cell>
          <cell r="C3559" t="str">
            <v>Kredit risklərinin təhlili departamenti</v>
          </cell>
          <cell r="D3559" t="str">
            <v>Qarantiya və rəqəmsal kredit risklərinin təhlili şöbəsi</v>
          </cell>
          <cell r="E3559" t="str">
            <v>#</v>
          </cell>
          <cell r="F3559" t="str">
            <v>Aparıcı mütəxəssis</v>
          </cell>
          <cell r="G3559" t="str">
            <v>A</v>
          </cell>
          <cell r="H3559">
            <v>45874</v>
          </cell>
        </row>
        <row r="3560">
          <cell r="B3560" t="str">
            <v>Nəbizadə Elvin Nəbi</v>
          </cell>
          <cell r="C3560" t="str">
            <v>Kredit risklərinin təhlili departamenti</v>
          </cell>
          <cell r="D3560" t="str">
            <v>Qarantiya və rəqəmsal kredit risklərinin təhlili şöbəsi</v>
          </cell>
          <cell r="E3560" t="str">
            <v>#</v>
          </cell>
          <cell r="F3560" t="str">
            <v>Aparıcı mütəxəssis</v>
          </cell>
          <cell r="G3560" t="str">
            <v>A</v>
          </cell>
          <cell r="H3560">
            <v>44425</v>
          </cell>
        </row>
        <row r="3561">
          <cell r="B3561" t="str">
            <v>Cəfərli Sənan İlham</v>
          </cell>
          <cell r="C3561" t="str">
            <v>Kredit risklərinin təhlili departamenti</v>
          </cell>
          <cell r="D3561" t="str">
            <v>Qarantiya və rəqəmsal kredit risklərinin təhlili şöbəsi</v>
          </cell>
          <cell r="E3561" t="str">
            <v>#</v>
          </cell>
          <cell r="F3561" t="str">
            <v>Aparıcı mütəxəssis</v>
          </cell>
          <cell r="G3561" t="str">
            <v>A</v>
          </cell>
          <cell r="H3561">
            <v>45101</v>
          </cell>
        </row>
        <row r="3562">
          <cell r="B3562" t="str">
            <v>Ağaməmmədov Şəhriyar Bəxtiyar</v>
          </cell>
          <cell r="C3562" t="str">
            <v>Kredit risklərinin təhlili departamenti</v>
          </cell>
          <cell r="D3562" t="str">
            <v>Qarantiya və rəqəmsal kredit risklərinin təhlili şöbəsi</v>
          </cell>
          <cell r="E3562" t="str">
            <v>#</v>
          </cell>
          <cell r="F3562" t="str">
            <v>Aparıcı mütəxəssis</v>
          </cell>
          <cell r="G3562" t="str">
            <v>A</v>
          </cell>
          <cell r="H3562">
            <v>45050</v>
          </cell>
        </row>
        <row r="3563">
          <cell r="B3563" t="str">
            <v>Qənbərli Əli Telman</v>
          </cell>
          <cell r="C3563" t="str">
            <v>Kredit risklərinin təhlili departamenti</v>
          </cell>
          <cell r="D3563" t="str">
            <v>Qarantiya və rəqəmsal kredit risklərinin təhlili şöbəsi</v>
          </cell>
          <cell r="E3563" t="str">
            <v>#</v>
          </cell>
          <cell r="F3563" t="str">
            <v>Aparıcı mütəxəssis</v>
          </cell>
          <cell r="G3563" t="str">
            <v>A</v>
          </cell>
          <cell r="H3563">
            <v>44824</v>
          </cell>
        </row>
        <row r="3564">
          <cell r="B3564" t="str">
            <v>Əliyeva Nurlanə Nazim</v>
          </cell>
          <cell r="C3564" t="str">
            <v>Kredit risklərinin təhlili departamenti</v>
          </cell>
          <cell r="D3564" t="str">
            <v>Qarantiya və rəqəmsal kredit risklərinin təhlili şöbəsi</v>
          </cell>
          <cell r="E3564" t="str">
            <v>#</v>
          </cell>
          <cell r="F3564" t="str">
            <v>Aparıcı mütəxəssis</v>
          </cell>
          <cell r="G3564" t="str">
            <v>A</v>
          </cell>
          <cell r="H3564">
            <v>44977</v>
          </cell>
        </row>
        <row r="3565">
          <cell r="B3565" t="str">
            <v>Hüseynzadə Nigar Natiq</v>
          </cell>
          <cell r="C3565" t="str">
            <v>Kredit risklərinin təhlili departamenti</v>
          </cell>
          <cell r="D3565" t="str">
            <v>Qarantiya və rəqəmsal kredit risklərinin təhlili şöbəsi</v>
          </cell>
          <cell r="E3565" t="str">
            <v>#</v>
          </cell>
          <cell r="F3565" t="str">
            <v>Aparıcı mütəxəssis</v>
          </cell>
          <cell r="G3565" t="str">
            <v>A</v>
          </cell>
          <cell r="H3565">
            <v>45258</v>
          </cell>
        </row>
        <row r="3566">
          <cell r="B3566" t="str">
            <v>Allahverdi Oruc Natiq</v>
          </cell>
          <cell r="C3566" t="str">
            <v>Kredit risklərinin təhlili departamenti</v>
          </cell>
          <cell r="D3566" t="str">
            <v>Qarantiya və rəqəmsal kredit risklərinin təhlili şöbəsi</v>
          </cell>
          <cell r="E3566" t="str">
            <v>#</v>
          </cell>
          <cell r="F3566" t="str">
            <v>Aparıcı mütəxəssis</v>
          </cell>
          <cell r="G3566" t="str">
            <v>A</v>
          </cell>
          <cell r="H3566">
            <v>45184</v>
          </cell>
        </row>
        <row r="3567">
          <cell r="B3567" t="str">
            <v>Heydərova Fidan Rüfət</v>
          </cell>
          <cell r="C3567" t="str">
            <v>Kredit risklərinin təhlili departamenti</v>
          </cell>
          <cell r="D3567" t="str">
            <v>Qarantiya və rəqəmsal kredit risklərinin təhlili şöbəsi</v>
          </cell>
          <cell r="E3567" t="str">
            <v>#</v>
          </cell>
          <cell r="F3567" t="str">
            <v>Kiçik mütəxəssis</v>
          </cell>
          <cell r="G3567" t="str">
            <v>A</v>
          </cell>
          <cell r="H3567">
            <v>46162</v>
          </cell>
        </row>
        <row r="3568">
          <cell r="B3568" t="str">
            <v>Əhmədov Ramal Məmməd</v>
          </cell>
          <cell r="C3568" t="str">
            <v>Mikro biznes departamenti</v>
          </cell>
          <cell r="D3568" t="str">
            <v>#</v>
          </cell>
          <cell r="E3568" t="str">
            <v>#</v>
          </cell>
          <cell r="F3568" t="str">
            <v>Direktor müavini</v>
          </cell>
          <cell r="G3568" t="str">
            <v>A</v>
          </cell>
          <cell r="H3568">
            <v>44348</v>
          </cell>
        </row>
        <row r="3569">
          <cell r="B3569" t="str">
            <v>Nəsirli Anar Yaşar</v>
          </cell>
          <cell r="C3569" t="str">
            <v>Kredit risklərinin təhlili departamenti</v>
          </cell>
          <cell r="D3569" t="str">
            <v>Mikro kredit və lizinq risklərinin təhlili şöbəsi</v>
          </cell>
          <cell r="E3569" t="str">
            <v>#</v>
          </cell>
          <cell r="F3569" t="str">
            <v>Menecer</v>
          </cell>
          <cell r="G3569" t="str">
            <v>A</v>
          </cell>
          <cell r="H3569">
            <v>44519</v>
          </cell>
        </row>
        <row r="3570">
          <cell r="B3570" t="str">
            <v>Əliyev Oktay İlqar</v>
          </cell>
          <cell r="C3570" t="str">
            <v>Kredit risklərinin təhlili departamenti</v>
          </cell>
          <cell r="D3570" t="str">
            <v>Mikro kredit və lizinq risklərinin təhlili şöbəsi</v>
          </cell>
          <cell r="E3570" t="str">
            <v>#</v>
          </cell>
          <cell r="F3570" t="str">
            <v>Baş mütəxəssis</v>
          </cell>
          <cell r="G3570" t="str">
            <v>A</v>
          </cell>
          <cell r="H3570">
            <v>45979</v>
          </cell>
        </row>
        <row r="3571">
          <cell r="B3571" t="str">
            <v>Yusifzadə Mir Yusif Seyidəhməd</v>
          </cell>
          <cell r="C3571" t="str">
            <v>Kredit risklərinin təhlili departamenti</v>
          </cell>
          <cell r="D3571" t="str">
            <v>Mikro kredit və lizinq risklərinin təhlili şöbəsi</v>
          </cell>
          <cell r="E3571" t="str">
            <v>#</v>
          </cell>
          <cell r="F3571" t="str">
            <v>Aparıcı mütəxəssis</v>
          </cell>
          <cell r="G3571" t="str">
            <v>A</v>
          </cell>
          <cell r="H3571">
            <v>45023</v>
          </cell>
        </row>
        <row r="3572">
          <cell r="B3572" t="str">
            <v>Möhsünlü Rəfail Rasim</v>
          </cell>
          <cell r="C3572" t="str">
            <v>Kredit risklərinin təhlili departamenti</v>
          </cell>
          <cell r="D3572" t="str">
            <v>Mikro kredit və lizinq risklərinin təhlili şöbəsi</v>
          </cell>
          <cell r="E3572" t="str">
            <v>#</v>
          </cell>
          <cell r="F3572" t="str">
            <v>Aparıcı mütəxəssis</v>
          </cell>
          <cell r="G3572" t="str">
            <v>A</v>
          </cell>
          <cell r="H3572">
            <v>45273</v>
          </cell>
        </row>
        <row r="3573">
          <cell r="B3573" t="str">
            <v>Hüseynov Sadiq Faiq</v>
          </cell>
          <cell r="C3573" t="str">
            <v>Kredit risklərinin təhlili departamenti</v>
          </cell>
          <cell r="D3573" t="str">
            <v>Mikro kredit və lizinq risklərinin təhlili şöbəsi</v>
          </cell>
          <cell r="E3573" t="str">
            <v>#</v>
          </cell>
          <cell r="F3573" t="str">
            <v>Aparıcı mütəxəssis</v>
          </cell>
          <cell r="G3573" t="str">
            <v>A</v>
          </cell>
          <cell r="H3573">
            <v>45763</v>
          </cell>
        </row>
        <row r="3574">
          <cell r="B3574" t="str">
            <v>Həsənov Murad Vüsal</v>
          </cell>
          <cell r="C3574" t="str">
            <v>Kredit risklərinin təhlili departamenti</v>
          </cell>
          <cell r="D3574" t="str">
            <v>Mikro kredit və lizinq risklərinin təhlili şöbəsi</v>
          </cell>
          <cell r="E3574" t="str">
            <v>#</v>
          </cell>
          <cell r="F3574" t="str">
            <v>Mütəxəssis</v>
          </cell>
          <cell r="G3574" t="str">
            <v>A</v>
          </cell>
          <cell r="H3574">
            <v>45790</v>
          </cell>
        </row>
        <row r="3575">
          <cell r="B3575" t="str">
            <v>Bilallı İlkin Məmməd</v>
          </cell>
          <cell r="C3575" t="str">
            <v>Kredit portfelinə nəzarət departamenti</v>
          </cell>
          <cell r="D3575" t="str">
            <v>#</v>
          </cell>
          <cell r="E3575" t="str">
            <v>#</v>
          </cell>
          <cell r="F3575" t="str">
            <v>Direktor</v>
          </cell>
          <cell r="G3575" t="str">
            <v>A</v>
          </cell>
          <cell r="H3575">
            <v>41913</v>
          </cell>
        </row>
        <row r="3576">
          <cell r="B3576" t="str">
            <v>ULUS EYLEM</v>
          </cell>
          <cell r="C3576" t="str">
            <v>Risk texnologiyaları sahəsi</v>
          </cell>
          <cell r="D3576" t="str">
            <v>Micro scoring</v>
          </cell>
          <cell r="E3576" t="str">
            <v>#</v>
          </cell>
          <cell r="F3576" t="str">
            <v>Ekspert məhsul sahibi</v>
          </cell>
          <cell r="G3576" t="str">
            <v>A</v>
          </cell>
          <cell r="H3576">
            <v>45280</v>
          </cell>
        </row>
        <row r="3577">
          <cell r="B3577" t="str">
            <v>Məmmədov Zaur Arif</v>
          </cell>
          <cell r="C3577" t="str">
            <v>Risk texnologiyaları sahəsi</v>
          </cell>
          <cell r="D3577" t="str">
            <v>Business Scoring &amp; Decision Platform</v>
          </cell>
          <cell r="E3577" t="str">
            <v>#</v>
          </cell>
          <cell r="F3577" t="str">
            <v>Məhsul sahibi</v>
          </cell>
          <cell r="G3577" t="str">
            <v>A</v>
          </cell>
          <cell r="H3577">
            <v>42807</v>
          </cell>
        </row>
        <row r="3578">
          <cell r="B3578" t="str">
            <v>Həsənov Məmməd İslam</v>
          </cell>
          <cell r="C3578" t="str">
            <v>Maliyyə risklərinin idarə edilməsi departamenti</v>
          </cell>
          <cell r="D3578" t="str">
            <v>#</v>
          </cell>
          <cell r="E3578" t="str">
            <v>#</v>
          </cell>
          <cell r="F3578" t="str">
            <v>Direktor</v>
          </cell>
          <cell r="G3578" t="str">
            <v>A</v>
          </cell>
          <cell r="H3578">
            <v>45208</v>
          </cell>
        </row>
        <row r="3579">
          <cell r="B3579" t="str">
            <v>ALGUL YUNUS</v>
          </cell>
          <cell r="C3579" t="str">
            <v>Maliyyə risklərinin idarə edilməsi departamenti</v>
          </cell>
          <cell r="D3579" t="str">
            <v>Kredit risklərinin texnoloji həlləri şöbəsi</v>
          </cell>
          <cell r="E3579" t="str">
            <v>#</v>
          </cell>
          <cell r="F3579" t="str">
            <v>Şöbə müdiri</v>
          </cell>
          <cell r="G3579" t="str">
            <v>A</v>
          </cell>
          <cell r="H3579">
            <v>45369</v>
          </cell>
        </row>
        <row r="3580">
          <cell r="B3580" t="str">
            <v>Muxtarov Beyrək Qəhrəman</v>
          </cell>
          <cell r="C3580" t="str">
            <v>Maliyyə risklərinin idarə edilməsi departamenti</v>
          </cell>
          <cell r="D3580" t="str">
            <v>Kredit risklərinin texnoloji həlləri şöbəsi</v>
          </cell>
          <cell r="E3580" t="str">
            <v>#</v>
          </cell>
          <cell r="F3580" t="str">
            <v>Menecer</v>
          </cell>
          <cell r="G3580" t="str">
            <v>A</v>
          </cell>
          <cell r="H3580">
            <v>44630</v>
          </cell>
        </row>
        <row r="3581">
          <cell r="B3581" t="str">
            <v>Şirinov Murad Faiq</v>
          </cell>
          <cell r="C3581" t="str">
            <v>Maliyyə risklərinin idarə edilməsi departamenti</v>
          </cell>
          <cell r="D3581" t="str">
            <v>Kredit risklərinin texnoloji həlləri şöbəsi</v>
          </cell>
          <cell r="E3581" t="str">
            <v>#</v>
          </cell>
          <cell r="F3581" t="str">
            <v>Menecer</v>
          </cell>
          <cell r="G3581" t="str">
            <v>A</v>
          </cell>
          <cell r="H3581">
            <v>45142</v>
          </cell>
        </row>
        <row r="3582">
          <cell r="B3582" t="str">
            <v>Şükürov Hacıkişi Əhliman</v>
          </cell>
          <cell r="C3582" t="str">
            <v>Maliyyə risklərinin idarə edilməsi departamenti</v>
          </cell>
          <cell r="D3582" t="str">
            <v>Kredit risklərinin texnoloji həlləri şöbəsi</v>
          </cell>
          <cell r="E3582" t="str">
            <v>#</v>
          </cell>
          <cell r="F3582" t="str">
            <v>Mütəxəssis</v>
          </cell>
          <cell r="G3582" t="str">
            <v>A</v>
          </cell>
          <cell r="H3582">
            <v>45922</v>
          </cell>
        </row>
        <row r="3583">
          <cell r="B3583" t="str">
            <v>Sadıqov Rufulla Rövşən</v>
          </cell>
          <cell r="C3583" t="str">
            <v>Maliyyə risklərinin idarə edilməsi departamenti</v>
          </cell>
          <cell r="D3583" t="str">
            <v>Kredit risklərinin texnoloji həlləri şöbəsi</v>
          </cell>
          <cell r="E3583" t="str">
            <v>#</v>
          </cell>
          <cell r="F3583" t="str">
            <v>Kiçik mütəxəssis</v>
          </cell>
          <cell r="G3583" t="str">
            <v>A</v>
          </cell>
          <cell r="H3583">
            <v>46164</v>
          </cell>
        </row>
        <row r="3584">
          <cell r="B3584" t="str">
            <v>Qaffarlı Elvin Əli</v>
          </cell>
          <cell r="C3584" t="str">
            <v>Maliyyə risklərinin idarə edilməsi departamenti</v>
          </cell>
          <cell r="D3584" t="str">
            <v>Kredit risklərinin texnoloji həlləri şöbəsi</v>
          </cell>
          <cell r="E3584" t="str">
            <v>#</v>
          </cell>
          <cell r="F3584" t="str">
            <v>Baş mütəxəssis</v>
          </cell>
          <cell r="G3584" t="str">
            <v>A</v>
          </cell>
          <cell r="H3584">
            <v>43507</v>
          </cell>
        </row>
        <row r="3585">
          <cell r="B3585" t="str">
            <v>Umudov Taleh Hikmət</v>
          </cell>
          <cell r="C3585" t="str">
            <v>Maliyyə risklərinin idarə edilməsi departamenti</v>
          </cell>
          <cell r="D3585" t="str">
            <v>Kredit risklərinin texnoloji həlləri şöbəsi</v>
          </cell>
          <cell r="E3585" t="str">
            <v>#</v>
          </cell>
          <cell r="F3585" t="str">
            <v>Baş mütəxəssis</v>
          </cell>
          <cell r="G3585" t="str">
            <v>A</v>
          </cell>
          <cell r="H3585">
            <v>44324</v>
          </cell>
        </row>
        <row r="3586">
          <cell r="B3586" t="str">
            <v>Məmmədli İbrahim Əli</v>
          </cell>
          <cell r="C3586" t="str">
            <v>Maliyyə risklərinin idarə edilməsi departamenti</v>
          </cell>
          <cell r="D3586" t="str">
            <v>Kredit risklərinin texnoloji həlləri şöbəsi</v>
          </cell>
          <cell r="E3586" t="str">
            <v>#</v>
          </cell>
          <cell r="F3586" t="str">
            <v>Baş mütəxəssis</v>
          </cell>
          <cell r="G3586" t="str">
            <v>A</v>
          </cell>
          <cell r="H3586">
            <v>46259</v>
          </cell>
        </row>
        <row r="3587">
          <cell r="B3587" t="str">
            <v>Piriyeva Sevinc Azər</v>
          </cell>
          <cell r="C3587" t="str">
            <v>Maliyyə risklərinin idarə edilməsi departamenti</v>
          </cell>
          <cell r="D3587" t="str">
            <v>Kredit risklərinin texnoloji həlləri şöbəsi</v>
          </cell>
          <cell r="E3587" t="str">
            <v>#</v>
          </cell>
          <cell r="F3587" t="str">
            <v>Mütəxəssis</v>
          </cell>
          <cell r="G3587" t="str">
            <v>A</v>
          </cell>
          <cell r="H3587">
            <v>45782</v>
          </cell>
        </row>
        <row r="3588">
          <cell r="B3588" t="str">
            <v>Kərimli Kənan Rza</v>
          </cell>
          <cell r="C3588" t="str">
            <v>Maliyyə risklərinin idarə edilməsi departamenti</v>
          </cell>
          <cell r="D3588" t="str">
            <v>Kredit risklərinin texnoloji həlləri şöbəsi</v>
          </cell>
          <cell r="E3588" t="str">
            <v>#</v>
          </cell>
          <cell r="F3588" t="str">
            <v>Baş mütəxəssis</v>
          </cell>
          <cell r="G3588" t="str">
            <v>A</v>
          </cell>
          <cell r="H3588">
            <v>44706</v>
          </cell>
        </row>
        <row r="3589">
          <cell r="B3589" t="str">
            <v>Qasımov Elçin Əziz Ağa</v>
          </cell>
          <cell r="C3589" t="str">
            <v>Maliyyə risklərinin idarə edilməsi departamenti</v>
          </cell>
          <cell r="D3589" t="str">
            <v>Kredit risklərinin texnoloji həlləri şöbəsi</v>
          </cell>
          <cell r="E3589" t="str">
            <v>#</v>
          </cell>
          <cell r="F3589" t="str">
            <v>Baş mütəxəssis</v>
          </cell>
          <cell r="G3589" t="str">
            <v>A</v>
          </cell>
          <cell r="H3589">
            <v>44217</v>
          </cell>
        </row>
        <row r="3590">
          <cell r="B3590" t="str">
            <v>Əliyev Rüstəm Məzahir</v>
          </cell>
          <cell r="C3590" t="str">
            <v>Maliyyə risklərinin idarə edilməsi departamenti</v>
          </cell>
          <cell r="D3590" t="str">
            <v>Kredit risklərinin texnoloji həlləri şöbəsi</v>
          </cell>
          <cell r="E3590" t="str">
            <v>#</v>
          </cell>
          <cell r="F3590" t="str">
            <v>Baş mütəxəssis</v>
          </cell>
          <cell r="G3590" t="str">
            <v>A</v>
          </cell>
          <cell r="H3590">
            <v>43868</v>
          </cell>
        </row>
        <row r="3591">
          <cell r="B3591" t="str">
            <v>Həsənli Nərmin Kəramət</v>
          </cell>
          <cell r="C3591" t="str">
            <v>Maliyyə risklərinin idarə edilməsi departamenti</v>
          </cell>
          <cell r="D3591" t="str">
            <v>Kredit risklərinin idarə edilməsi şöbəsi</v>
          </cell>
          <cell r="E3591" t="str">
            <v>#</v>
          </cell>
          <cell r="F3591" t="str">
            <v>Baş mütəxəssis</v>
          </cell>
          <cell r="G3591" t="str">
            <v>A</v>
          </cell>
          <cell r="H3591">
            <v>44882</v>
          </cell>
        </row>
        <row r="3592">
          <cell r="B3592" t="str">
            <v>Quluyev Sadik Sənan</v>
          </cell>
          <cell r="C3592" t="str">
            <v>Risk texnologiyaları sahəsi</v>
          </cell>
          <cell r="D3592" t="str">
            <v>Agro Scoring</v>
          </cell>
          <cell r="E3592" t="str">
            <v>#</v>
          </cell>
          <cell r="F3592" t="str">
            <v>Məhsul sahibi</v>
          </cell>
          <cell r="G3592" t="str">
            <v>A</v>
          </cell>
          <cell r="H3592">
            <v>44585</v>
          </cell>
        </row>
        <row r="3593">
          <cell r="B3593" t="str">
            <v>Abdullayeva Xanımana Ağamirzə</v>
          </cell>
          <cell r="C3593" t="str">
            <v>Maliyyə risklərinin idarə edilməsi departamenti</v>
          </cell>
          <cell r="D3593" t="str">
            <v>Kredit risklərinin texnoloji həlləri şöbəsi</v>
          </cell>
          <cell r="E3593" t="str">
            <v>#</v>
          </cell>
          <cell r="F3593" t="str">
            <v>Baş mütəxəssis</v>
          </cell>
          <cell r="G3593" t="str">
            <v>HX</v>
          </cell>
          <cell r="H3593">
            <v>44601</v>
          </cell>
        </row>
        <row r="3594">
          <cell r="B3594" t="str">
            <v>Babaşlı Ceyhun Pənah</v>
          </cell>
          <cell r="C3594" t="str">
            <v>Maliyyə risklərinin idarə edilməsi departamenti</v>
          </cell>
          <cell r="D3594" t="str">
            <v>Kredit risklərinin texnoloji həlləri şöbəsi</v>
          </cell>
          <cell r="E3594" t="str">
            <v>#</v>
          </cell>
          <cell r="F3594" t="str">
            <v>Mütəxəssis</v>
          </cell>
          <cell r="G3594" t="str">
            <v>A</v>
          </cell>
          <cell r="H3594">
            <v>45778</v>
          </cell>
        </row>
        <row r="3595">
          <cell r="B3595" t="str">
            <v>Abdullayeva Sevinc Səyyad</v>
          </cell>
          <cell r="C3595" t="str">
            <v>Maliyyə risklərinin idarə edilməsi departamenti</v>
          </cell>
          <cell r="D3595" t="str">
            <v>Kredit risklərinin texnoloji həlləri şöbəsi</v>
          </cell>
          <cell r="E3595" t="str">
            <v>#</v>
          </cell>
          <cell r="F3595" t="str">
            <v>Mütəxəssis</v>
          </cell>
          <cell r="G3595" t="str">
            <v>A</v>
          </cell>
          <cell r="H3595">
            <v>46049</v>
          </cell>
        </row>
        <row r="3596">
          <cell r="B3596" t="str">
            <v>Əhmədzadə Elçin Elman</v>
          </cell>
          <cell r="C3596" t="str">
            <v>Maliyyə risklərinin idarə edilməsi departamenti</v>
          </cell>
          <cell r="D3596" t="str">
            <v>Kredit risklərinin texnoloji həlləri şöbəsi</v>
          </cell>
          <cell r="E3596" t="str">
            <v>#</v>
          </cell>
          <cell r="F3596" t="str">
            <v>Kiçik mütəxəssis</v>
          </cell>
          <cell r="G3596" t="str">
            <v>A</v>
          </cell>
          <cell r="H3596">
            <v>46266</v>
          </cell>
        </row>
        <row r="3597">
          <cell r="B3597" t="str">
            <v>Əliyev Aqil İmran</v>
          </cell>
          <cell r="C3597" t="str">
            <v>Maliyyə risklərinin idarə edilməsi departamenti</v>
          </cell>
          <cell r="D3597" t="str">
            <v>Kredit risklərinin texnoloji həlləri şöbəsi</v>
          </cell>
          <cell r="E3597" t="str">
            <v>#</v>
          </cell>
          <cell r="F3597" t="str">
            <v>Mütəxəssis</v>
          </cell>
          <cell r="G3597" t="str">
            <v>A</v>
          </cell>
          <cell r="H3597">
            <v>46084</v>
          </cell>
        </row>
        <row r="3598">
          <cell r="B3598" t="str">
            <v>Əkbərov Elvin Nuhbala</v>
          </cell>
          <cell r="C3598" t="str">
            <v>Maliyyə risklərinin idarə edilməsi departamenti</v>
          </cell>
          <cell r="D3598" t="str">
            <v>Kredit risklərinin texnoloji həlləri şöbəsi</v>
          </cell>
          <cell r="E3598" t="str">
            <v>#</v>
          </cell>
          <cell r="F3598" t="str">
            <v>Baş mütəxəssis</v>
          </cell>
          <cell r="G3598" t="str">
            <v>A</v>
          </cell>
          <cell r="H3598">
            <v>44431</v>
          </cell>
        </row>
        <row r="3599">
          <cell r="B3599" t="str">
            <v>Səlimov Müşfiq Cəlal</v>
          </cell>
          <cell r="C3599" t="str">
            <v>Maliyyə risklərinin idarə edilməsi departamenti</v>
          </cell>
          <cell r="D3599" t="str">
            <v>Kredit risklərinin texnoloji həlləri şöbəsi</v>
          </cell>
          <cell r="E3599" t="str">
            <v>#</v>
          </cell>
          <cell r="F3599" t="str">
            <v>Aparıcı mütəxəssis</v>
          </cell>
          <cell r="G3599" t="str">
            <v>A</v>
          </cell>
          <cell r="H3599">
            <v>44596</v>
          </cell>
        </row>
        <row r="3600">
          <cell r="B3600" t="str">
            <v>Cəbrayılov Fuad Azadəli</v>
          </cell>
          <cell r="C3600" t="str">
            <v>Maliyyə risklərinin idarə edilməsi departamenti</v>
          </cell>
          <cell r="D3600" t="str">
            <v>Kredit risklərinin idarə edilməsi şöbəsi</v>
          </cell>
          <cell r="E3600" t="str">
            <v>#</v>
          </cell>
          <cell r="F3600" t="str">
            <v>Şöbə müdiri</v>
          </cell>
          <cell r="G3600" t="str">
            <v>A</v>
          </cell>
          <cell r="H3600">
            <v>44077</v>
          </cell>
        </row>
        <row r="3601">
          <cell r="B3601" t="str">
            <v>Bağırova Ülkər Afər</v>
          </cell>
          <cell r="C3601" t="str">
            <v>Maliyyə risklərinin idarə edilməsi departamenti</v>
          </cell>
          <cell r="D3601" t="str">
            <v>Kredit risklərinin idarə edilməsi şöbəsi</v>
          </cell>
          <cell r="E3601" t="str">
            <v>#</v>
          </cell>
          <cell r="F3601" t="str">
            <v>Baş mütəxəssis</v>
          </cell>
          <cell r="G3601" t="str">
            <v>A</v>
          </cell>
          <cell r="H3601">
            <v>44111</v>
          </cell>
        </row>
        <row r="3602">
          <cell r="B3602" t="str">
            <v>Həsənov Orxan Elxan</v>
          </cell>
          <cell r="C3602" t="str">
            <v>Maliyyə risklərinin idarə edilməsi departamenti</v>
          </cell>
          <cell r="D3602" t="str">
            <v>Kredit risklərinin idarə edilməsi şöbəsi</v>
          </cell>
          <cell r="E3602" t="str">
            <v>#</v>
          </cell>
          <cell r="F3602" t="str">
            <v>Baş mütəxəssis</v>
          </cell>
          <cell r="G3602" t="str">
            <v>A</v>
          </cell>
          <cell r="H3602">
            <v>46129</v>
          </cell>
          <cell r="I3602" t="str">
            <v>Bir Payment</v>
          </cell>
        </row>
        <row r="3603">
          <cell r="B3603" t="str">
            <v>Hüseynov Fəraid Oqtay</v>
          </cell>
          <cell r="C3603" t="str">
            <v>Maliyyə risklərinin idarə edilməsi departamenti</v>
          </cell>
          <cell r="D3603" t="str">
            <v>Kredit risklərinin idarə edilməsi şöbəsi</v>
          </cell>
          <cell r="E3603" t="str">
            <v>#</v>
          </cell>
          <cell r="F3603" t="str">
            <v>Baş mütəxəssis</v>
          </cell>
          <cell r="G3603" t="str">
            <v>A</v>
          </cell>
          <cell r="H3603">
            <v>41198</v>
          </cell>
        </row>
        <row r="3604">
          <cell r="B3604" t="str">
            <v>Quluzadə Kamal İsmayil</v>
          </cell>
          <cell r="C3604" t="str">
            <v>Maliyyə risklərinin idarə edilməsi departamenti</v>
          </cell>
          <cell r="D3604" t="str">
            <v>Kredit risklərinin idarə edilməsi şöbəsi</v>
          </cell>
          <cell r="E3604" t="str">
            <v>#</v>
          </cell>
          <cell r="F3604" t="str">
            <v>Baş mütəxəssis</v>
          </cell>
          <cell r="G3604" t="str">
            <v>A</v>
          </cell>
          <cell r="H3604">
            <v>46223</v>
          </cell>
        </row>
        <row r="3605">
          <cell r="B3605" t="str">
            <v>Səmədov Anar Yaşar</v>
          </cell>
          <cell r="C3605" t="str">
            <v>Kredit portfelinə nəzarət departamenti</v>
          </cell>
          <cell r="D3605" t="str">
            <v>Təqib Strategiyalarının idarə edilməsi və analitikası şöbəsi</v>
          </cell>
          <cell r="E3605" t="str">
            <v>#</v>
          </cell>
          <cell r="F3605" t="str">
            <v>Şöbə müdiri</v>
          </cell>
          <cell r="G3605" t="str">
            <v>A</v>
          </cell>
          <cell r="H3605">
            <v>42009</v>
          </cell>
        </row>
        <row r="3606">
          <cell r="B3606" t="str">
            <v>Həsənova Mirvari Şahin</v>
          </cell>
          <cell r="C3606" t="str">
            <v>Kredit portfelinə nəzarət departamenti</v>
          </cell>
          <cell r="D3606" t="str">
            <v>Təqib Strategiyalarının idarə edilməsi və analitikası şöbəsi</v>
          </cell>
          <cell r="E3606" t="str">
            <v>#</v>
          </cell>
          <cell r="F3606" t="str">
            <v>Mütəxəssis</v>
          </cell>
          <cell r="G3606" t="str">
            <v>A</v>
          </cell>
          <cell r="H3606">
            <v>45945</v>
          </cell>
        </row>
        <row r="3607">
          <cell r="B3607" t="str">
            <v>Səfərov Nurlan Abış</v>
          </cell>
          <cell r="C3607" t="str">
            <v>Maliyyə risklərinin idarə edilməsi departamenti</v>
          </cell>
          <cell r="D3607" t="str">
            <v>Kredit risklərinin texnoloji həlləri şöbəsi</v>
          </cell>
          <cell r="E3607" t="str">
            <v>#</v>
          </cell>
          <cell r="F3607" t="str">
            <v>Mütəxəssis</v>
          </cell>
          <cell r="G3607" t="str">
            <v>A</v>
          </cell>
          <cell r="H3607">
            <v>45652</v>
          </cell>
        </row>
        <row r="3608">
          <cell r="B3608" t="str">
            <v>Yaqubov Rövşən Elman</v>
          </cell>
          <cell r="C3608" t="str">
            <v>Maliyyə risklərinin idarə edilməsi departamenti</v>
          </cell>
          <cell r="D3608" t="str">
            <v>Kredit risklərinin idarə edilməsi şöbəsi</v>
          </cell>
          <cell r="E3608" t="str">
            <v>#</v>
          </cell>
          <cell r="F3608" t="str">
            <v>Mütəxəssis</v>
          </cell>
          <cell r="G3608" t="str">
            <v>A</v>
          </cell>
          <cell r="H3608">
            <v>44974</v>
          </cell>
        </row>
        <row r="3609">
          <cell r="B3609" t="str">
            <v>Əmiraslanov Musa Natiq</v>
          </cell>
          <cell r="C3609" t="str">
            <v>Maliyyə risklərinin idarə edilməsi departamenti</v>
          </cell>
          <cell r="D3609" t="str">
            <v>Kredit risklərinin idarə edilməsi şöbəsi</v>
          </cell>
          <cell r="E3609" t="str">
            <v>#</v>
          </cell>
          <cell r="F3609" t="str">
            <v>Mütəxəssis</v>
          </cell>
          <cell r="G3609" t="str">
            <v>A</v>
          </cell>
          <cell r="H3609">
            <v>46064</v>
          </cell>
        </row>
        <row r="3610">
          <cell r="B3610" t="str">
            <v>Qaralı Bahadır Xankərəm</v>
          </cell>
          <cell r="C3610" t="str">
            <v>Kredit portfelinə nəzarət departamenti</v>
          </cell>
          <cell r="D3610" t="str">
            <v>Təqib Strategiyalarının idarə edilməsi və analitikası şöbəsi</v>
          </cell>
          <cell r="E3610" t="str">
            <v>#</v>
          </cell>
          <cell r="F3610" t="str">
            <v>Baş mütəxəssis</v>
          </cell>
          <cell r="G3610" t="str">
            <v>A</v>
          </cell>
          <cell r="H3610">
            <v>44155</v>
          </cell>
        </row>
        <row r="3611">
          <cell r="B3611" t="str">
            <v>Tuayev Maksud Soslanbek</v>
          </cell>
          <cell r="C3611" t="str">
            <v>Maliyyə risklərinin idarə edilməsi departamenti</v>
          </cell>
          <cell r="D3611" t="str">
            <v>Maliyyə dayanıqlığı risklərinin idarə edilməsi və requlyativ tədqiqatı şöbəsi</v>
          </cell>
          <cell r="E3611" t="str">
            <v>#</v>
          </cell>
          <cell r="F3611" t="str">
            <v>Menecer</v>
          </cell>
          <cell r="G3611" t="str">
            <v>A</v>
          </cell>
          <cell r="H3611">
            <v>45937</v>
          </cell>
        </row>
        <row r="3612">
          <cell r="B3612" t="str">
            <v>Hüseynli Emil Amil</v>
          </cell>
          <cell r="C3612" t="str">
            <v>Maliyyə risklərinin idarə edilməsi departamenti</v>
          </cell>
          <cell r="D3612" t="str">
            <v>Maliyyə dayanıqlığı risklərinin idarə edilməsi və requlyativ tədqiqatı şöbəsi</v>
          </cell>
          <cell r="E3612" t="str">
            <v>#</v>
          </cell>
          <cell r="F3612" t="str">
            <v>Şöbə müdiri</v>
          </cell>
          <cell r="G3612" t="str">
            <v>A</v>
          </cell>
          <cell r="H3612">
            <v>46190</v>
          </cell>
        </row>
        <row r="3613">
          <cell r="B3613" t="str">
            <v>Nağıyev Məmməd Eldar</v>
          </cell>
          <cell r="C3613" t="str">
            <v>Maliyyə risklərinin idarə edilməsi departamenti</v>
          </cell>
          <cell r="D3613" t="str">
            <v>Maliyyə dayanıqlığı risklərinin idarə edilməsi və requlyativ tədqiqatı şöbəsi</v>
          </cell>
          <cell r="E3613" t="str">
            <v>#</v>
          </cell>
          <cell r="F3613" t="str">
            <v>Kiçik mütəxəssis</v>
          </cell>
          <cell r="G3613" t="str">
            <v>A</v>
          </cell>
          <cell r="H3613">
            <v>46031</v>
          </cell>
        </row>
        <row r="3614">
          <cell r="B3614" t="str">
            <v>Qənbərli Elmira Ramiz</v>
          </cell>
          <cell r="C3614" t="str">
            <v>Maliyyə risklərinin idarə edilməsi departamenti</v>
          </cell>
          <cell r="D3614" t="str">
            <v>Maliyyə dayanıqlığı risklərinin idarə edilməsi və requlyativ tədqiqatı şöbəsi</v>
          </cell>
          <cell r="E3614" t="str">
            <v>#</v>
          </cell>
          <cell r="F3614" t="str">
            <v>Kiçik mütəxəssis</v>
          </cell>
          <cell r="G3614" t="str">
            <v>SM</v>
          </cell>
          <cell r="H3614">
            <v>45320</v>
          </cell>
        </row>
        <row r="3615">
          <cell r="B3615" t="str">
            <v>MAKHMUDOV ELMAR</v>
          </cell>
          <cell r="C3615" t="str">
            <v>Maliyyə risklərinin idarə edilməsi departamenti</v>
          </cell>
          <cell r="D3615" t="str">
            <v>Maliyyə dayanıqlığı risklərinin idarə edilməsi və requlyativ tədqiqatı şöbəsi</v>
          </cell>
          <cell r="E3615" t="str">
            <v>#</v>
          </cell>
          <cell r="F3615" t="str">
            <v>Mütəxəssis (müvəqqəti)</v>
          </cell>
          <cell r="G3615" t="str">
            <v>A</v>
          </cell>
          <cell r="H3615">
            <v>45940</v>
          </cell>
        </row>
        <row r="3616">
          <cell r="B3616" t="str">
            <v>Qarayeva Ülkər Anar</v>
          </cell>
          <cell r="C3616" t="str">
            <v>Maliyyə risklərinin idarə edilməsi departamenti</v>
          </cell>
          <cell r="D3616" t="str">
            <v>Bazar və likvidlik riskinin idarə edilməsi şöbəsi</v>
          </cell>
          <cell r="E3616" t="str">
            <v>#</v>
          </cell>
          <cell r="F3616" t="str">
            <v>Şöbə müdiri</v>
          </cell>
          <cell r="G3616" t="str">
            <v>A</v>
          </cell>
          <cell r="H3616">
            <v>46084</v>
          </cell>
        </row>
        <row r="3617">
          <cell r="B3617" t="str">
            <v>Seyfullayev Rüfət İlham</v>
          </cell>
          <cell r="C3617" t="str">
            <v>Maliyyə risklərinin idarə edilməsi departamenti</v>
          </cell>
          <cell r="D3617" t="str">
            <v>Bazar və likvidlik riskinin idarə edilməsi şöbəsi</v>
          </cell>
          <cell r="E3617" t="str">
            <v>#</v>
          </cell>
          <cell r="F3617" t="str">
            <v>Baş mütəxəssis</v>
          </cell>
          <cell r="G3617" t="str">
            <v>A</v>
          </cell>
          <cell r="H3617">
            <v>45152</v>
          </cell>
        </row>
        <row r="3618">
          <cell r="B3618" t="str">
            <v>Mehdiyeva Cəmilə Əlizadə</v>
          </cell>
          <cell r="C3618" t="str">
            <v>Maliyyə risklərinin idarə edilməsi departamenti</v>
          </cell>
          <cell r="D3618" t="str">
            <v>Bazar və likvidlik riskinin idarə edilməsi şöbəsi</v>
          </cell>
          <cell r="E3618" t="str">
            <v>#</v>
          </cell>
          <cell r="F3618" t="str">
            <v>Mütəxəssis</v>
          </cell>
          <cell r="G3618" t="str">
            <v>A</v>
          </cell>
          <cell r="H3618">
            <v>46204</v>
          </cell>
        </row>
        <row r="3619">
          <cell r="B3619" t="str">
            <v>Süleymanlı Səid Kamran</v>
          </cell>
          <cell r="C3619" t="str">
            <v>Maliyyə risklərinin idarə edilməsi departamenti</v>
          </cell>
          <cell r="D3619" t="str">
            <v>Bazar və likvidlik riskinin idarə edilməsi şöbəsi</v>
          </cell>
          <cell r="E3619" t="str">
            <v>#</v>
          </cell>
          <cell r="F3619" t="str">
            <v>Kiçik mütəxəssis</v>
          </cell>
          <cell r="G3619" t="str">
            <v>A</v>
          </cell>
          <cell r="H3619">
            <v>46183</v>
          </cell>
        </row>
        <row r="3620">
          <cell r="B3620" t="str">
            <v>Əsədzadə Ülvi Ramil</v>
          </cell>
          <cell r="C3620" t="str">
            <v>Kredit portfelinə nəzarət departamenti</v>
          </cell>
          <cell r="D3620" t="str">
            <v>#</v>
          </cell>
          <cell r="E3620" t="str">
            <v>#</v>
          </cell>
          <cell r="F3620" t="str">
            <v>Direktor müavini</v>
          </cell>
          <cell r="G3620" t="str">
            <v>A</v>
          </cell>
          <cell r="H3620">
            <v>42125</v>
          </cell>
        </row>
        <row r="3621">
          <cell r="B3621" t="str">
            <v>Quliyev İbrahim Taleh</v>
          </cell>
          <cell r="C3621" t="str">
            <v>Risk texnologiyaları sahəsi</v>
          </cell>
          <cell r="D3621" t="str">
            <v>Marketplace Scoring</v>
          </cell>
          <cell r="E3621" t="str">
            <v>#</v>
          </cell>
          <cell r="F3621" t="str">
            <v>Məhsul sahibi</v>
          </cell>
          <cell r="G3621" t="str">
            <v>A</v>
          </cell>
          <cell r="H3621">
            <v>46129</v>
          </cell>
        </row>
        <row r="3622">
          <cell r="B3622" t="str">
            <v>Cəfərov Muğatil Rüstəm</v>
          </cell>
          <cell r="C3622" t="str">
            <v>Risk texnologiyaları sahəsi</v>
          </cell>
          <cell r="D3622" t="str">
            <v>Ecosystem Scoring</v>
          </cell>
          <cell r="E3622" t="str">
            <v>#</v>
          </cell>
          <cell r="F3622" t="str">
            <v>Məhsul sahibi</v>
          </cell>
          <cell r="G3622" t="str">
            <v>A</v>
          </cell>
          <cell r="H3622">
            <v>45068</v>
          </cell>
        </row>
        <row r="3623">
          <cell r="B3623" t="str">
            <v>BRAUER ANTON</v>
          </cell>
          <cell r="C3623" t="str">
            <v>Dizayn ekspert mərkəzi</v>
          </cell>
          <cell r="D3623" t="str">
            <v>#</v>
          </cell>
          <cell r="E3623" t="str">
            <v>#</v>
          </cell>
          <cell r="F3623" t="str">
            <v>Ekspert mərkəzinin lideri</v>
          </cell>
          <cell r="G3623" t="str">
            <v>A</v>
          </cell>
          <cell r="H3623">
            <v>44977</v>
          </cell>
        </row>
        <row r="3624">
          <cell r="B3624" t="str">
            <v>Quliyev Ruslan Rafiq</v>
          </cell>
          <cell r="C3624" t="str">
            <v>Dizayn ekspert mərkəzi</v>
          </cell>
          <cell r="D3624" t="str">
            <v>#</v>
          </cell>
          <cell r="E3624" t="str">
            <v>#</v>
          </cell>
          <cell r="F3624" t="str">
            <v>Ekspert funksional lider</v>
          </cell>
          <cell r="G3624" t="str">
            <v>A</v>
          </cell>
          <cell r="H3624">
            <v>46213</v>
          </cell>
          <cell r="I3624" t="str">
            <v>Bir Payment</v>
          </cell>
        </row>
        <row r="3625">
          <cell r="B3625" t="str">
            <v>Paşayev Məhəmmədəli Əmirxan</v>
          </cell>
          <cell r="C3625" t="str">
            <v>Dizayn ekspert mərkəzi</v>
          </cell>
          <cell r="D3625" t="str">
            <v>Product Designer 1</v>
          </cell>
          <cell r="E3625" t="str">
            <v>#</v>
          </cell>
          <cell r="F3625" t="str">
            <v>Funksional lider</v>
          </cell>
          <cell r="G3625" t="str">
            <v>A</v>
          </cell>
          <cell r="H3625">
            <v>42992</v>
          </cell>
        </row>
        <row r="3626">
          <cell r="B3626" t="str">
            <v>Məmmədov Malik Malik</v>
          </cell>
          <cell r="C3626" t="str">
            <v>Dizayn ekspert mərkəzi</v>
          </cell>
          <cell r="D3626" t="str">
            <v>#</v>
          </cell>
          <cell r="E3626" t="str">
            <v>#</v>
          </cell>
          <cell r="F3626" t="str">
            <v>Ekspert funksional lider</v>
          </cell>
          <cell r="G3626" t="str">
            <v>A</v>
          </cell>
          <cell r="H3626">
            <v>46014</v>
          </cell>
        </row>
        <row r="3627">
          <cell r="B3627" t="str">
            <v>Sofiyev Murad Şahin</v>
          </cell>
          <cell r="C3627" t="str">
            <v>Dizayn ekspert mərkəzi</v>
          </cell>
          <cell r="D3627" t="str">
            <v>Product Designer 1</v>
          </cell>
          <cell r="E3627" t="str">
            <v>#</v>
          </cell>
          <cell r="F3627" t="str">
            <v>Məhsul dizayneri</v>
          </cell>
          <cell r="G3627" t="str">
            <v>A</v>
          </cell>
          <cell r="H3627">
            <v>45749</v>
          </cell>
        </row>
        <row r="3628">
          <cell r="B3628" t="str">
            <v>Mustafazadə Günay Rizvan</v>
          </cell>
          <cell r="C3628" t="str">
            <v>Dizayn ekspert mərkəzi</v>
          </cell>
          <cell r="D3628" t="str">
            <v>Product Designer 1</v>
          </cell>
          <cell r="E3628" t="str">
            <v>#</v>
          </cell>
          <cell r="F3628" t="str">
            <v>Məhsul dizayneri</v>
          </cell>
          <cell r="G3628" t="str">
            <v>A</v>
          </cell>
          <cell r="H3628">
            <v>44379</v>
          </cell>
        </row>
        <row r="3629">
          <cell r="B3629" t="str">
            <v>Ağazadə İbrahim Aqibət</v>
          </cell>
          <cell r="C3629" t="str">
            <v>Dizayn ekspert mərkəzi</v>
          </cell>
          <cell r="D3629" t="str">
            <v>Graphic design</v>
          </cell>
          <cell r="E3629" t="str">
            <v>#</v>
          </cell>
          <cell r="F3629" t="str">
            <v>Məhsul dizayneri</v>
          </cell>
          <cell r="G3629" t="str">
            <v>A</v>
          </cell>
          <cell r="H3629">
            <v>46213</v>
          </cell>
          <cell r="I3629" t="str">
            <v>Bir Payment</v>
          </cell>
        </row>
        <row r="3630">
          <cell r="B3630" t="str">
            <v>Ağayev Nicat İlham</v>
          </cell>
          <cell r="C3630" t="str">
            <v>Dizayn ekspert mərkəzi</v>
          </cell>
          <cell r="D3630" t="str">
            <v>Product designer 1</v>
          </cell>
          <cell r="E3630" t="str">
            <v>#</v>
          </cell>
          <cell r="F3630" t="str">
            <v>Məhsul dizayneri</v>
          </cell>
          <cell r="G3630" t="str">
            <v>A</v>
          </cell>
          <cell r="H3630">
            <v>46217</v>
          </cell>
          <cell r="I3630" t="str">
            <v>Bir Payment</v>
          </cell>
        </row>
        <row r="3631">
          <cell r="B3631" t="str">
            <v>Muradlı Nigar Şahin</v>
          </cell>
          <cell r="C3631" t="str">
            <v>Dizayn ekspert mərkəzi</v>
          </cell>
          <cell r="D3631" t="str">
            <v>Product designer 1</v>
          </cell>
          <cell r="E3631" t="str">
            <v>#</v>
          </cell>
          <cell r="F3631" t="str">
            <v>Məhsul dizayneri</v>
          </cell>
          <cell r="G3631" t="str">
            <v>A</v>
          </cell>
          <cell r="H3631">
            <v>46220</v>
          </cell>
          <cell r="I3631" t="str">
            <v>Bir Payment</v>
          </cell>
        </row>
        <row r="3632">
          <cell r="B3632" t="str">
            <v>Kazımova Nigar İlham</v>
          </cell>
          <cell r="C3632" t="str">
            <v>Dizayn ekspert mərkəzi</v>
          </cell>
          <cell r="D3632" t="str">
            <v>Product designer 1</v>
          </cell>
          <cell r="E3632" t="str">
            <v>#</v>
          </cell>
          <cell r="F3632" t="str">
            <v>Məhsul dizayneri</v>
          </cell>
          <cell r="G3632" t="str">
            <v>A</v>
          </cell>
          <cell r="H3632">
            <v>46223</v>
          </cell>
          <cell r="I3632" t="str">
            <v>BirMarket</v>
          </cell>
        </row>
        <row r="3633">
          <cell r="B3633" t="str">
            <v>Məmmədova Nigar Cövdət</v>
          </cell>
          <cell r="C3633" t="str">
            <v>Dizayn ekspert mərkəzi</v>
          </cell>
          <cell r="D3633" t="str">
            <v>Product Designer 1</v>
          </cell>
          <cell r="E3633" t="str">
            <v>#</v>
          </cell>
          <cell r="F3633" t="str">
            <v>Məhsul dizayneri</v>
          </cell>
          <cell r="G3633" t="str">
            <v>A</v>
          </cell>
          <cell r="H3633">
            <v>44707</v>
          </cell>
        </row>
        <row r="3634">
          <cell r="B3634" t="str">
            <v xml:space="preserve">	Hacıyev Rəhim Emil</v>
          </cell>
          <cell r="C3634" t="str">
            <v>Dizayn ekspert mərkəzi</v>
          </cell>
          <cell r="D3634" t="str">
            <v>Product Designer 1</v>
          </cell>
          <cell r="E3634" t="str">
            <v>#</v>
          </cell>
          <cell r="F3634" t="str">
            <v>Məhsul dizayneri</v>
          </cell>
          <cell r="G3634" t="str">
            <v>A</v>
          </cell>
          <cell r="H3634">
            <v>46064</v>
          </cell>
        </row>
        <row r="3635">
          <cell r="B3635" t="str">
            <v>Məmmədova Pəri Elxan</v>
          </cell>
          <cell r="C3635" t="str">
            <v>Dizayn ekspert mərkəzi</v>
          </cell>
          <cell r="D3635" t="str">
            <v>Product Designer 1</v>
          </cell>
          <cell r="E3635" t="str">
            <v>#</v>
          </cell>
          <cell r="F3635" t="str">
            <v>Məhsul dizayneri</v>
          </cell>
          <cell r="G3635" t="str">
            <v>A</v>
          </cell>
          <cell r="H3635">
            <v>44137</v>
          </cell>
        </row>
        <row r="3636">
          <cell r="B3636" t="str">
            <v>Velmiskin Mark Valeryeviç</v>
          </cell>
          <cell r="C3636" t="str">
            <v>Dizayn ekspert mərkəzi</v>
          </cell>
          <cell r="D3636" t="str">
            <v>Product Designer 2</v>
          </cell>
          <cell r="E3636" t="str">
            <v>#</v>
          </cell>
          <cell r="F3636" t="str">
            <v>Funksional lider</v>
          </cell>
          <cell r="G3636" t="str">
            <v>A</v>
          </cell>
          <cell r="H3636">
            <v>43710</v>
          </cell>
        </row>
        <row r="3637">
          <cell r="B3637" t="str">
            <v>Əliyev Nurlan Mövlud</v>
          </cell>
          <cell r="C3637" t="str">
            <v>Məhsulların rəsmiləşdirilməsi sahəsi</v>
          </cell>
          <cell r="D3637" t="str">
            <v>Sales channels</v>
          </cell>
          <cell r="E3637" t="str">
            <v>#</v>
          </cell>
          <cell r="F3637" t="str">
            <v>Məhsul sahibi</v>
          </cell>
          <cell r="G3637" t="str">
            <v>A</v>
          </cell>
          <cell r="H3637">
            <v>42811</v>
          </cell>
        </row>
        <row r="3638">
          <cell r="B3638" t="str">
            <v>Əliyev Faiq Əli</v>
          </cell>
          <cell r="C3638" t="str">
            <v>Dizayn ekspert mərkəzi</v>
          </cell>
          <cell r="D3638" t="str">
            <v>Product Designer 2</v>
          </cell>
          <cell r="E3638" t="str">
            <v>#</v>
          </cell>
          <cell r="F3638" t="str">
            <v>Məhsul dizayneri</v>
          </cell>
          <cell r="G3638" t="str">
            <v>A</v>
          </cell>
          <cell r="H3638">
            <v>44292</v>
          </cell>
        </row>
        <row r="3639">
          <cell r="B3639" t="str">
            <v>Muradova Aygün Xanlar</v>
          </cell>
          <cell r="C3639" t="str">
            <v>Dizayn ekspert mərkəzi</v>
          </cell>
          <cell r="D3639" t="str">
            <v>#</v>
          </cell>
          <cell r="E3639" t="str">
            <v>#</v>
          </cell>
          <cell r="F3639" t="str">
            <v>Məhsul dizayneri</v>
          </cell>
          <cell r="G3639" t="str">
            <v>A</v>
          </cell>
          <cell r="H3639">
            <v>46261</v>
          </cell>
          <cell r="I3639" t="str">
            <v>Bir Payment</v>
          </cell>
        </row>
        <row r="3640">
          <cell r="B3640" t="str">
            <v>Quluzadə Vahid Aydin</v>
          </cell>
          <cell r="C3640" t="str">
            <v>Dizayn ekspert mərkəzi</v>
          </cell>
          <cell r="D3640" t="str">
            <v>#</v>
          </cell>
          <cell r="E3640" t="str">
            <v>#</v>
          </cell>
          <cell r="F3640" t="str">
            <v>Məhsul dizayneri</v>
          </cell>
          <cell r="G3640" t="str">
            <v>A</v>
          </cell>
          <cell r="H3640">
            <v>46268</v>
          </cell>
          <cell r="I3640" t="str">
            <v>Future lab</v>
          </cell>
        </row>
        <row r="3641">
          <cell r="B3641" t="str">
            <v>Yusifzadə Nigar Anar</v>
          </cell>
          <cell r="C3641" t="str">
            <v>Dizayn ekspert mərkəzi</v>
          </cell>
          <cell r="D3641" t="str">
            <v>#</v>
          </cell>
          <cell r="E3641" t="str">
            <v>#</v>
          </cell>
          <cell r="F3641" t="str">
            <v>Məhsul dizayneri</v>
          </cell>
          <cell r="G3641" t="str">
            <v>A</v>
          </cell>
          <cell r="H3641">
            <v>46268</v>
          </cell>
          <cell r="I3641" t="str">
            <v>Future lab</v>
          </cell>
        </row>
        <row r="3642">
          <cell r="B3642" t="str">
            <v>Müslümzadə Vilayət Əli</v>
          </cell>
          <cell r="C3642" t="str">
            <v>Dizayn ekspert mərkəzi</v>
          </cell>
          <cell r="D3642" t="str">
            <v>#</v>
          </cell>
          <cell r="E3642" t="str">
            <v>#</v>
          </cell>
          <cell r="F3642" t="str">
            <v>Məhsul dizayneri</v>
          </cell>
          <cell r="G3642" t="str">
            <v>A</v>
          </cell>
          <cell r="H3642">
            <v>46276</v>
          </cell>
          <cell r="I3642" t="str">
            <v>Future lab</v>
          </cell>
        </row>
        <row r="3643">
          <cell r="B3643" t="str">
            <v>İbrahimov Murad İsmayıl</v>
          </cell>
          <cell r="C3643" t="str">
            <v>Dizayn ekspert mərkəzi</v>
          </cell>
          <cell r="D3643" t="str">
            <v>Product Designer 2</v>
          </cell>
          <cell r="E3643" t="str">
            <v>#</v>
          </cell>
          <cell r="F3643" t="str">
            <v>Məhsul dizayneri</v>
          </cell>
          <cell r="G3643" t="str">
            <v>A</v>
          </cell>
          <cell r="H3643">
            <v>45525</v>
          </cell>
        </row>
        <row r="3644">
          <cell r="B3644" t="str">
            <v>Qənbərova Aysel Əfsər</v>
          </cell>
          <cell r="C3644" t="str">
            <v>Dizayn ekspert mərkəzi</v>
          </cell>
          <cell r="D3644" t="str">
            <v>Product Designer 2</v>
          </cell>
          <cell r="E3644" t="str">
            <v>#</v>
          </cell>
          <cell r="F3644" t="str">
            <v>Məhsul dizayneri</v>
          </cell>
          <cell r="G3644" t="str">
            <v>A</v>
          </cell>
          <cell r="H3644">
            <v>44743</v>
          </cell>
        </row>
        <row r="3645">
          <cell r="B3645" t="str">
            <v>Quliyev Əli Barat</v>
          </cell>
          <cell r="C3645" t="str">
            <v>Dizayn ekspert mərkəzi</v>
          </cell>
          <cell r="D3645" t="str">
            <v>Product Designer 2</v>
          </cell>
          <cell r="E3645" t="str">
            <v>#</v>
          </cell>
          <cell r="F3645" t="str">
            <v>Məhsul dizayneri</v>
          </cell>
          <cell r="G3645" t="str">
            <v>A</v>
          </cell>
          <cell r="H3645">
            <v>42412</v>
          </cell>
        </row>
        <row r="3646">
          <cell r="B3646" t="str">
            <v>Məmmədova Xalidə Qədir</v>
          </cell>
          <cell r="C3646" t="str">
            <v>Dizayn ekspert mərkəzi</v>
          </cell>
          <cell r="D3646" t="str">
            <v>Product Designer 3</v>
          </cell>
          <cell r="E3646" t="str">
            <v>#</v>
          </cell>
          <cell r="F3646" t="str">
            <v>Funksional lider</v>
          </cell>
          <cell r="G3646" t="str">
            <v>A</v>
          </cell>
          <cell r="H3646">
            <v>44357</v>
          </cell>
        </row>
        <row r="3647">
          <cell r="B3647" t="str">
            <v>Bağırova Nilufər Tərlan</v>
          </cell>
          <cell r="C3647" t="str">
            <v>Dizayn ekspert mərkəzi</v>
          </cell>
          <cell r="D3647" t="str">
            <v>Product Designer 3</v>
          </cell>
          <cell r="E3647" t="str">
            <v>#</v>
          </cell>
          <cell r="F3647" t="str">
            <v>Məhsul dizayneri</v>
          </cell>
          <cell r="G3647" t="str">
            <v>A</v>
          </cell>
          <cell r="H3647">
            <v>45692</v>
          </cell>
        </row>
        <row r="3648">
          <cell r="B3648" t="str">
            <v>Ağasiyeva Nigar Hacı</v>
          </cell>
          <cell r="C3648" t="str">
            <v>Dizayn ekspert mərkəzi</v>
          </cell>
          <cell r="D3648" t="str">
            <v>Product Designer 3</v>
          </cell>
          <cell r="E3648" t="str">
            <v>#</v>
          </cell>
          <cell r="F3648" t="str">
            <v>Məhsul dizayneri</v>
          </cell>
          <cell r="G3648" t="str">
            <v>A</v>
          </cell>
          <cell r="H3648">
            <v>45987</v>
          </cell>
        </row>
        <row r="3649">
          <cell r="B3649" t="str">
            <v>Ələsgərov Rəvan Vaqif</v>
          </cell>
          <cell r="C3649" t="str">
            <v>Dizayn ekspert mərkəzi</v>
          </cell>
          <cell r="D3649" t="str">
            <v>Product Designer 3</v>
          </cell>
          <cell r="E3649" t="str">
            <v>#</v>
          </cell>
          <cell r="F3649" t="str">
            <v>Məhsul dizayneri</v>
          </cell>
          <cell r="G3649" t="str">
            <v>A</v>
          </cell>
          <cell r="H3649">
            <v>45685</v>
          </cell>
        </row>
        <row r="3650">
          <cell r="B3650" t="str">
            <v>Hüseynov Cavid Samir</v>
          </cell>
          <cell r="C3650" t="str">
            <v>Dizayn ekspert mərkəzi</v>
          </cell>
          <cell r="D3650" t="str">
            <v>Product Designer 3</v>
          </cell>
          <cell r="E3650" t="str">
            <v>#</v>
          </cell>
          <cell r="F3650" t="str">
            <v>Məhsul dizayneri</v>
          </cell>
          <cell r="G3650" t="str">
            <v>A</v>
          </cell>
          <cell r="H3650">
            <v>46119</v>
          </cell>
        </row>
        <row r="3651">
          <cell r="B3651" t="str">
            <v>İsayeva Fəridə Azad</v>
          </cell>
          <cell r="C3651" t="str">
            <v>Dizayn ekspert mərkəzi</v>
          </cell>
          <cell r="D3651" t="str">
            <v>Product Designer 3</v>
          </cell>
          <cell r="E3651" t="str">
            <v>#</v>
          </cell>
          <cell r="F3651" t="str">
            <v>Məhsul dizayneri</v>
          </cell>
          <cell r="G3651" t="str">
            <v>A</v>
          </cell>
          <cell r="H3651">
            <v>43399</v>
          </cell>
        </row>
        <row r="3652">
          <cell r="B3652" t="str">
            <v>Mirzəyev Ruslan Fikrət</v>
          </cell>
          <cell r="C3652" t="str">
            <v>Dizayn ekspert mərkəzi</v>
          </cell>
          <cell r="D3652" t="str">
            <v>Product designer 4</v>
          </cell>
          <cell r="E3652" t="str">
            <v>#</v>
          </cell>
          <cell r="F3652" t="str">
            <v>Funksional lider</v>
          </cell>
          <cell r="G3652" t="str">
            <v>A</v>
          </cell>
          <cell r="H3652">
            <v>45768</v>
          </cell>
        </row>
        <row r="3653">
          <cell r="B3653" t="str">
            <v>Əliyev Mirzə Rasim</v>
          </cell>
          <cell r="C3653" t="str">
            <v>Dizayn ekspert mərkəzi</v>
          </cell>
          <cell r="D3653" t="str">
            <v>Product Designer 4</v>
          </cell>
          <cell r="E3653" t="str">
            <v>#</v>
          </cell>
          <cell r="F3653" t="str">
            <v>Funksional lider</v>
          </cell>
          <cell r="G3653" t="str">
            <v>A</v>
          </cell>
          <cell r="H3653">
            <v>45757</v>
          </cell>
        </row>
        <row r="3654">
          <cell r="B3654" t="str">
            <v>Talıbova Nərminə Eldəniz</v>
          </cell>
          <cell r="C3654" t="str">
            <v>Dizayn ekspert mərkəzi</v>
          </cell>
          <cell r="D3654" t="str">
            <v>Product designer 4</v>
          </cell>
          <cell r="E3654" t="str">
            <v>#</v>
          </cell>
          <cell r="F3654" t="str">
            <v>Məhsul dizayneri</v>
          </cell>
          <cell r="G3654" t="str">
            <v>A</v>
          </cell>
          <cell r="H3654">
            <v>45876</v>
          </cell>
        </row>
        <row r="3655">
          <cell r="B3655" t="str">
            <v>Həsənzadə Jalə Behbud</v>
          </cell>
          <cell r="C3655" t="str">
            <v>Dizayn ekspert mərkəzi</v>
          </cell>
          <cell r="D3655" t="str">
            <v>Product designer 4</v>
          </cell>
          <cell r="E3655" t="str">
            <v>#</v>
          </cell>
          <cell r="F3655" t="str">
            <v>Məhsul dizayneri</v>
          </cell>
          <cell r="G3655" t="str">
            <v>A</v>
          </cell>
          <cell r="H3655">
            <v>44355</v>
          </cell>
        </row>
        <row r="3656">
          <cell r="B3656" t="str">
            <v>Muradov Fərid Mübariz</v>
          </cell>
          <cell r="C3656" t="str">
            <v>Dizayn ekspert mərkəzi</v>
          </cell>
          <cell r="D3656" t="str">
            <v>Product designer 4</v>
          </cell>
          <cell r="E3656" t="str">
            <v>#</v>
          </cell>
          <cell r="F3656" t="str">
            <v>Məhsul dizayneri</v>
          </cell>
          <cell r="G3656" t="str">
            <v>A</v>
          </cell>
          <cell r="H3656">
            <v>45547</v>
          </cell>
        </row>
        <row r="3657">
          <cell r="B3657" t="str">
            <v>Hüseynli Gövhər Rüstəm</v>
          </cell>
          <cell r="C3657" t="str">
            <v>Dizayn ekspert mərkəzi</v>
          </cell>
          <cell r="D3657" t="str">
            <v>Product Designer 4</v>
          </cell>
          <cell r="E3657" t="str">
            <v>#</v>
          </cell>
          <cell r="F3657" t="str">
            <v>Məhsul dizayneri</v>
          </cell>
          <cell r="G3657" t="str">
            <v>A</v>
          </cell>
          <cell r="H3657">
            <v>45601</v>
          </cell>
        </row>
        <row r="3658">
          <cell r="B3658" t="str">
            <v>İsmayılov Emil Məhəmməd</v>
          </cell>
          <cell r="C3658" t="str">
            <v>Dizayn ekspert mərkəzi</v>
          </cell>
          <cell r="D3658" t="str">
            <v>Product Designer 4</v>
          </cell>
          <cell r="E3658" t="str">
            <v>#</v>
          </cell>
          <cell r="F3658" t="str">
            <v>Məhsul dizayneri</v>
          </cell>
          <cell r="G3658" t="str">
            <v>A</v>
          </cell>
          <cell r="H3658">
            <v>46279</v>
          </cell>
        </row>
        <row r="3659">
          <cell r="B3659" t="str">
            <v>Musayev Emil Elman</v>
          </cell>
          <cell r="C3659" t="str">
            <v>Dizayn ekspert mərkəzi</v>
          </cell>
          <cell r="D3659" t="str">
            <v>Graphic design</v>
          </cell>
          <cell r="E3659" t="str">
            <v>#</v>
          </cell>
          <cell r="F3659" t="str">
            <v>Qrafik dizayner</v>
          </cell>
          <cell r="G3659" t="str">
            <v>A</v>
          </cell>
          <cell r="H3659">
            <v>45890</v>
          </cell>
        </row>
        <row r="3660">
          <cell r="B3660" t="str">
            <v>Neymətov Elşən Rövşən</v>
          </cell>
          <cell r="C3660" t="str">
            <v>Dizayn ekspert mərkəzi</v>
          </cell>
          <cell r="D3660" t="str">
            <v>Graphic design</v>
          </cell>
          <cell r="E3660" t="str">
            <v>#</v>
          </cell>
          <cell r="F3660" t="str">
            <v>Funksional lider</v>
          </cell>
          <cell r="G3660" t="str">
            <v>A</v>
          </cell>
          <cell r="H3660">
            <v>45999</v>
          </cell>
        </row>
        <row r="3661">
          <cell r="B3661" t="str">
            <v>Paşazadə Nigar Vüqar</v>
          </cell>
          <cell r="C3661" t="str">
            <v>Dizayn ekspert mərkəzi</v>
          </cell>
          <cell r="D3661" t="str">
            <v>Graphic design</v>
          </cell>
          <cell r="E3661" t="str">
            <v>#</v>
          </cell>
          <cell r="F3661" t="str">
            <v>Qrafik dizayner</v>
          </cell>
          <cell r="G3661" t="str">
            <v>A</v>
          </cell>
          <cell r="H3661">
            <v>45995</v>
          </cell>
        </row>
        <row r="3662">
          <cell r="B3662" t="str">
            <v>Yusifli Ceyhun İlham</v>
          </cell>
          <cell r="C3662" t="str">
            <v>Dizayn ekspert mərkəzi</v>
          </cell>
          <cell r="D3662" t="str">
            <v>Graphic design</v>
          </cell>
          <cell r="E3662" t="str">
            <v>#</v>
          </cell>
          <cell r="F3662" t="str">
            <v>Qrafik dizayner</v>
          </cell>
          <cell r="G3662" t="str">
            <v>A</v>
          </cell>
          <cell r="H3662">
            <v>45098</v>
          </cell>
        </row>
        <row r="3663">
          <cell r="B3663" t="str">
            <v>Babayev Pərviz Məhərrəm</v>
          </cell>
          <cell r="C3663" t="str">
            <v>Dizayn ekspert mərkəzi</v>
          </cell>
          <cell r="D3663" t="str">
            <v>Graphic design</v>
          </cell>
          <cell r="E3663" t="str">
            <v>#</v>
          </cell>
          <cell r="F3663" t="str">
            <v>Qrafik dizayner</v>
          </cell>
          <cell r="G3663" t="str">
            <v>A</v>
          </cell>
          <cell r="H3663">
            <v>46044</v>
          </cell>
        </row>
        <row r="3664">
          <cell r="B3664" t="str">
            <v>Əliyev Hüseyn Vilayətoviç</v>
          </cell>
          <cell r="C3664" t="str">
            <v>Dizayn ekspert mərkəzi</v>
          </cell>
          <cell r="D3664" t="str">
            <v>Graphic design</v>
          </cell>
          <cell r="E3664" t="str">
            <v>#</v>
          </cell>
          <cell r="F3664" t="str">
            <v>Qrafik dizayner</v>
          </cell>
          <cell r="G3664" t="str">
            <v>A</v>
          </cell>
          <cell r="H3664">
            <v>46031</v>
          </cell>
        </row>
        <row r="3665">
          <cell r="B3665" t="str">
            <v>Abasov Anar Abasqulu</v>
          </cell>
          <cell r="C3665" t="str">
            <v>Dizayn ekspert mərkəzi</v>
          </cell>
          <cell r="D3665" t="str">
            <v>Graphic design</v>
          </cell>
          <cell r="E3665" t="str">
            <v>#</v>
          </cell>
          <cell r="F3665" t="str">
            <v>Qrafik dizayner</v>
          </cell>
          <cell r="G3665" t="str">
            <v>A</v>
          </cell>
          <cell r="H3665">
            <v>45369</v>
          </cell>
        </row>
        <row r="3666">
          <cell r="B3666" t="str">
            <v>Novruzov Vüsal Azər</v>
          </cell>
          <cell r="C3666" t="str">
            <v>Dizayn ekspert mərkəzi</v>
          </cell>
          <cell r="D3666" t="str">
            <v>Graphic design</v>
          </cell>
          <cell r="E3666" t="str">
            <v>#</v>
          </cell>
          <cell r="F3666" t="str">
            <v>Qrafik dizayner</v>
          </cell>
          <cell r="G3666" t="str">
            <v>A</v>
          </cell>
          <cell r="H3666">
            <v>41710</v>
          </cell>
        </row>
        <row r="3667">
          <cell r="B3667" t="str">
            <v>Dənyarov Səbuhi Zahid</v>
          </cell>
          <cell r="C3667" t="str">
            <v>Dizayn ekspert mərkəzi</v>
          </cell>
          <cell r="D3667" t="str">
            <v>Graphic design</v>
          </cell>
          <cell r="E3667" t="str">
            <v>#</v>
          </cell>
          <cell r="F3667" t="str">
            <v>Qrafik dizayner</v>
          </cell>
          <cell r="G3667" t="str">
            <v>A</v>
          </cell>
          <cell r="H3667">
            <v>44568</v>
          </cell>
        </row>
        <row r="3668">
          <cell r="B3668" t="str">
            <v>Səlimli İlqar Vüqar</v>
          </cell>
          <cell r="C3668" t="str">
            <v>Dizayn ekspert mərkəzi</v>
          </cell>
          <cell r="D3668" t="str">
            <v>Graphic design</v>
          </cell>
          <cell r="E3668" t="str">
            <v>#</v>
          </cell>
          <cell r="F3668" t="str">
            <v>Qrafik dizayner</v>
          </cell>
          <cell r="G3668" t="str">
            <v>A</v>
          </cell>
          <cell r="H3668">
            <v>46213</v>
          </cell>
          <cell r="I3668" t="str">
            <v>Bir Payment</v>
          </cell>
        </row>
        <row r="3669">
          <cell r="B3669" t="str">
            <v>Rəhimli Bilal Fuad</v>
          </cell>
          <cell r="C3669" t="str">
            <v>Dizayn ekspert mərkəzi</v>
          </cell>
          <cell r="D3669" t="str">
            <v>Graphic design</v>
          </cell>
          <cell r="E3669" t="str">
            <v>#</v>
          </cell>
          <cell r="F3669" t="str">
            <v>Qrafik dizayner</v>
          </cell>
          <cell r="G3669" t="str">
            <v>A</v>
          </cell>
          <cell r="H3669">
            <v>46213</v>
          </cell>
          <cell r="I3669" t="str">
            <v>Bir Payment</v>
          </cell>
        </row>
        <row r="3670">
          <cell r="B3670" t="str">
            <v>Əliyev Şahin Şakir</v>
          </cell>
          <cell r="C3670" t="str">
            <v>Dizayn ekspert mərkəzi</v>
          </cell>
          <cell r="D3670" t="str">
            <v>Graphic design</v>
          </cell>
          <cell r="E3670" t="str">
            <v>#</v>
          </cell>
          <cell r="F3670" t="str">
            <v>Qrafik dizayner</v>
          </cell>
          <cell r="G3670" t="str">
            <v>A</v>
          </cell>
          <cell r="H3670">
            <v>46213</v>
          </cell>
          <cell r="I3670" t="str">
            <v>Bir Payment</v>
          </cell>
        </row>
        <row r="3671">
          <cell r="B3671" t="str">
            <v>İsmayılova Tahirə Fuad</v>
          </cell>
          <cell r="C3671" t="str">
            <v>Dizayn ekspert mərkəzi</v>
          </cell>
          <cell r="D3671" t="str">
            <v>Graphic design</v>
          </cell>
          <cell r="E3671" t="str">
            <v>#</v>
          </cell>
          <cell r="F3671" t="str">
            <v>Qrafik dizayner</v>
          </cell>
          <cell r="G3671" t="str">
            <v>A</v>
          </cell>
          <cell r="H3671">
            <v>46213</v>
          </cell>
          <cell r="I3671" t="str">
            <v>Bir Payment</v>
          </cell>
        </row>
        <row r="3672">
          <cell r="B3672" t="str">
            <v>İsmayılov Zaur Şaiq</v>
          </cell>
          <cell r="C3672" t="str">
            <v>Dizayn ekspert mərkəzi</v>
          </cell>
          <cell r="D3672" t="str">
            <v>Graphic design</v>
          </cell>
          <cell r="E3672" t="str">
            <v>#</v>
          </cell>
          <cell r="F3672" t="str">
            <v>Qrafik dizayner</v>
          </cell>
          <cell r="G3672" t="str">
            <v>A</v>
          </cell>
          <cell r="H3672">
            <v>46219</v>
          </cell>
          <cell r="I3672" t="str">
            <v>BirMarket</v>
          </cell>
        </row>
        <row r="3673">
          <cell r="B3673" t="str">
            <v>Mahmudlu Xəyal Əlibaba</v>
          </cell>
          <cell r="C3673" t="str">
            <v>Dizayn ekspert mərkəzi</v>
          </cell>
          <cell r="D3673" t="str">
            <v>Graphic design</v>
          </cell>
          <cell r="E3673" t="str">
            <v>#</v>
          </cell>
          <cell r="F3673" t="str">
            <v>Qrafik dizayner</v>
          </cell>
          <cell r="G3673" t="str">
            <v>A</v>
          </cell>
          <cell r="H3673">
            <v>46219</v>
          </cell>
          <cell r="I3673" t="str">
            <v>BirMarket</v>
          </cell>
        </row>
        <row r="3674">
          <cell r="B3674" t="str">
            <v>Nağıyeva Rüqayyə Mirəli</v>
          </cell>
          <cell r="C3674" t="str">
            <v>Dizayn ekspert mərkəzi</v>
          </cell>
          <cell r="D3674" t="str">
            <v>Graphic design</v>
          </cell>
          <cell r="E3674" t="str">
            <v>#</v>
          </cell>
          <cell r="F3674" t="str">
            <v>Qrafik dizayner</v>
          </cell>
          <cell r="G3674" t="str">
            <v>A</v>
          </cell>
          <cell r="H3674">
            <v>46219</v>
          </cell>
          <cell r="I3674" t="str">
            <v>BirMarket</v>
          </cell>
        </row>
        <row r="3675">
          <cell r="B3675" t="str">
            <v>Muradov Tural Vaqif</v>
          </cell>
          <cell r="C3675" t="str">
            <v>Dizayn ekspert mərkəzi</v>
          </cell>
          <cell r="D3675" t="str">
            <v>Graphic design</v>
          </cell>
          <cell r="E3675" t="str">
            <v>#</v>
          </cell>
          <cell r="F3675" t="str">
            <v>Qrafik dizayner</v>
          </cell>
          <cell r="G3675" t="str">
            <v>A</v>
          </cell>
          <cell r="H3675">
            <v>46219</v>
          </cell>
          <cell r="I3675" t="str">
            <v>BirMarket</v>
          </cell>
        </row>
        <row r="3676">
          <cell r="B3676" t="str">
            <v>Məmiyev Toğrul Fədayi</v>
          </cell>
          <cell r="C3676" t="str">
            <v>Dizayn ekspert mərkəzi</v>
          </cell>
          <cell r="D3676" t="str">
            <v>Graphic design</v>
          </cell>
          <cell r="E3676" t="str">
            <v>#</v>
          </cell>
          <cell r="F3676" t="str">
            <v>Qrafik dizayner</v>
          </cell>
          <cell r="G3676" t="str">
            <v>A</v>
          </cell>
          <cell r="H3676">
            <v>46223</v>
          </cell>
          <cell r="I3676" t="str">
            <v>BirMarket</v>
          </cell>
        </row>
        <row r="3677">
          <cell r="B3677" t="str">
            <v>Həmidova Tamara Yusif</v>
          </cell>
          <cell r="C3677" t="str">
            <v>Dizayn ekspert mərkəzi</v>
          </cell>
          <cell r="D3677" t="str">
            <v>Graphic design</v>
          </cell>
          <cell r="E3677" t="str">
            <v>#</v>
          </cell>
          <cell r="F3677" t="str">
            <v>Qrafik dizayner</v>
          </cell>
          <cell r="G3677" t="str">
            <v>A</v>
          </cell>
          <cell r="H3677">
            <v>45566</v>
          </cell>
        </row>
        <row r="3678">
          <cell r="B3678" t="str">
            <v>KAMZAEVI GUNASH</v>
          </cell>
          <cell r="C3678" t="str">
            <v>Dizayn ekspert mərkəzi</v>
          </cell>
          <cell r="D3678" t="str">
            <v>UX Researcher</v>
          </cell>
          <cell r="E3678" t="str">
            <v>#</v>
          </cell>
          <cell r="F3678" t="str">
            <v>Funksional lider</v>
          </cell>
          <cell r="G3678" t="str">
            <v>A</v>
          </cell>
          <cell r="H3678">
            <v>44550</v>
          </cell>
        </row>
        <row r="3679">
          <cell r="B3679" t="str">
            <v>Bağırov Pərviz Elnur</v>
          </cell>
          <cell r="C3679" t="str">
            <v>Dizayn ekspert mərkəzi</v>
          </cell>
          <cell r="D3679" t="str">
            <v>UX Researcher</v>
          </cell>
          <cell r="E3679" t="str">
            <v>#</v>
          </cell>
          <cell r="F3679" t="str">
            <v>İstifadəçi təcrübəsi üzrə tədqiqatçı</v>
          </cell>
          <cell r="G3679" t="str">
            <v>A</v>
          </cell>
          <cell r="H3679">
            <v>45666</v>
          </cell>
        </row>
        <row r="3680">
          <cell r="B3680" t="str">
            <v>İbrahimova Günay Oqtay</v>
          </cell>
          <cell r="C3680" t="str">
            <v>Dizayn ekspert mərkəzi</v>
          </cell>
          <cell r="D3680" t="str">
            <v>UX Researcher</v>
          </cell>
          <cell r="E3680" t="str">
            <v>#</v>
          </cell>
          <cell r="F3680" t="str">
            <v>İstifadəçi təcrübəsi üzrə tədqiqatçı</v>
          </cell>
          <cell r="G3680" t="str">
            <v>A</v>
          </cell>
          <cell r="H3680">
            <v>45176</v>
          </cell>
        </row>
        <row r="3681">
          <cell r="B3681" t="str">
            <v>BELIANUSHKINA IULIIA</v>
          </cell>
          <cell r="C3681" t="str">
            <v>Müştəri təcrübəsi ekspert mərkəzi</v>
          </cell>
          <cell r="D3681" t="str">
            <v>#</v>
          </cell>
          <cell r="E3681" t="str">
            <v>#</v>
          </cell>
          <cell r="F3681" t="str">
            <v>Ekspert mərkəzinin lideri</v>
          </cell>
          <cell r="G3681" t="str">
            <v>A</v>
          </cell>
          <cell r="H3681">
            <v>45771</v>
          </cell>
        </row>
        <row r="3682">
          <cell r="B3682" t="str">
            <v>Babayeva Rüxsarə İlyas</v>
          </cell>
          <cell r="C3682" t="str">
            <v>Müştəri təcrübəsi ekspert mərkəzi</v>
          </cell>
          <cell r="D3682" t="str">
            <v>Customer Experience Researcher</v>
          </cell>
          <cell r="E3682" t="str">
            <v>#</v>
          </cell>
          <cell r="F3682" t="str">
            <v>Funksional lider</v>
          </cell>
          <cell r="G3682" t="str">
            <v>A</v>
          </cell>
          <cell r="H3682">
            <v>44886</v>
          </cell>
        </row>
        <row r="3683">
          <cell r="B3683" t="str">
            <v>Hüseynov Teymur Asif</v>
          </cell>
          <cell r="C3683" t="str">
            <v>Müştəri təcrübəsi ekspert mərkəzi</v>
          </cell>
          <cell r="D3683" t="str">
            <v>Customer Experience Researcher</v>
          </cell>
          <cell r="E3683" t="str">
            <v>#</v>
          </cell>
          <cell r="F3683" t="str">
            <v>Müştəri təcrübəsi üzrə tədqiqatçı</v>
          </cell>
          <cell r="G3683" t="str">
            <v>A</v>
          </cell>
          <cell r="H3683">
            <v>45513</v>
          </cell>
        </row>
        <row r="3684">
          <cell r="B3684" t="str">
            <v>Hüseynov Aslan Teymuraz</v>
          </cell>
          <cell r="C3684" t="str">
            <v>Müştəri təcrübəsi ekspert mərkəzi</v>
          </cell>
          <cell r="D3684" t="str">
            <v>Customer Experience Researcher</v>
          </cell>
          <cell r="E3684" t="str">
            <v>#</v>
          </cell>
          <cell r="F3684" t="str">
            <v>Müştəri təcrübəsi üzrə tədqiqatçı</v>
          </cell>
          <cell r="G3684" t="str">
            <v>A</v>
          </cell>
          <cell r="H3684">
            <v>45160</v>
          </cell>
        </row>
        <row r="3685">
          <cell r="B3685" t="str">
            <v>Eyvazzadə Aydan Zahid</v>
          </cell>
          <cell r="C3685" t="str">
            <v>Müştəri təcrübəsi ekspert mərkəzi</v>
          </cell>
          <cell r="D3685" t="str">
            <v>Customer Experience Researcher</v>
          </cell>
          <cell r="E3685" t="str">
            <v>#</v>
          </cell>
          <cell r="F3685" t="str">
            <v>Müştəri təcrübəsi üzrə tədqiqatçı</v>
          </cell>
          <cell r="G3685" t="str">
            <v>A</v>
          </cell>
          <cell r="H3685">
            <v>45679</v>
          </cell>
        </row>
        <row r="3686">
          <cell r="B3686" t="str">
            <v>Əmirli Fatimə Orucalı</v>
          </cell>
          <cell r="C3686" t="str">
            <v>Müştəri təcrübəsi ekspert mərkəzi</v>
          </cell>
          <cell r="D3686" t="str">
            <v>Customer Experience Researcher</v>
          </cell>
          <cell r="E3686" t="str">
            <v>#</v>
          </cell>
          <cell r="F3686" t="str">
            <v>Müştəri təcrübəsi üzrə tədqiqatçı</v>
          </cell>
          <cell r="G3686" t="str">
            <v>A</v>
          </cell>
          <cell r="H3686">
            <v>44700</v>
          </cell>
        </row>
        <row r="3687">
          <cell r="B3687" t="str">
            <v>Şükürova Aytən Əmiraslan</v>
          </cell>
          <cell r="C3687" t="str">
            <v>Müştəri təcrübəsi ekspert mərkəzi</v>
          </cell>
          <cell r="D3687" t="str">
            <v>Customer Experience Researcher</v>
          </cell>
          <cell r="E3687" t="str">
            <v>#</v>
          </cell>
          <cell r="F3687" t="str">
            <v>Müştəri təcrübəsi üzrə tədqiqatçı</v>
          </cell>
          <cell r="G3687" t="str">
            <v>A</v>
          </cell>
          <cell r="H3687">
            <v>44700</v>
          </cell>
        </row>
        <row r="3688">
          <cell r="B3688" t="str">
            <v>Əkbərova Çiçək Babək</v>
          </cell>
          <cell r="C3688" t="str">
            <v>Müştəri təcrübəsi ekspert mərkəzi</v>
          </cell>
          <cell r="D3688" t="str">
            <v>Müştəri təcrübəsi üzrə analitika və araşdırma prosesi</v>
          </cell>
          <cell r="E3688" t="str">
            <v>#</v>
          </cell>
          <cell r="F3688" t="str">
            <v>Müştəri təcrübəsi üzrə tədqiqatçı</v>
          </cell>
          <cell r="G3688" t="str">
            <v>A</v>
          </cell>
          <cell r="H3688">
            <v>45996</v>
          </cell>
        </row>
        <row r="3689">
          <cell r="B3689" t="str">
            <v>Məmmədov Fuad Tariyel</v>
          </cell>
          <cell r="C3689" t="str">
            <v>Müştəri təcrübəsi ekspert mərkəzi</v>
          </cell>
          <cell r="D3689" t="str">
            <v>Customer Experience Researcher</v>
          </cell>
          <cell r="E3689" t="str">
            <v>#</v>
          </cell>
          <cell r="F3689" t="str">
            <v>Müştəri təcrübəsi üzrə tədqiqatçı</v>
          </cell>
          <cell r="G3689" t="str">
            <v>A</v>
          </cell>
          <cell r="H3689">
            <v>46119</v>
          </cell>
        </row>
        <row r="3690">
          <cell r="B3690" t="str">
            <v>Əhədzadə Qəmər Cəlal</v>
          </cell>
          <cell r="C3690" t="str">
            <v>Müştəri təcrübəsi ekspert mərkəzi</v>
          </cell>
          <cell r="D3690" t="str">
            <v>Customer Experience Researcher</v>
          </cell>
          <cell r="E3690" t="str">
            <v>#</v>
          </cell>
          <cell r="F3690" t="str">
            <v>Müştəri təcrübəsi üzrə tədqiqatçı</v>
          </cell>
          <cell r="G3690" t="str">
            <v>A</v>
          </cell>
          <cell r="H3690">
            <v>46224</v>
          </cell>
        </row>
        <row r="3691">
          <cell r="B3691" t="str">
            <v>Hüseynli Səbinə Fuad</v>
          </cell>
          <cell r="C3691" t="str">
            <v>Müştəri təcrübəsi ekspert mərkəzi</v>
          </cell>
          <cell r="D3691" t="str">
            <v>#</v>
          </cell>
          <cell r="E3691" t="str">
            <v>#</v>
          </cell>
          <cell r="F3691" t="str">
            <v>Müştəri təcrübəsi üzrə tədqiqatçı</v>
          </cell>
          <cell r="G3691" t="str">
            <v>A</v>
          </cell>
          <cell r="H3691">
            <v>46174</v>
          </cell>
        </row>
        <row r="3692">
          <cell r="B3692" t="str">
            <v>Qədirov Nicat Məhərrəm</v>
          </cell>
          <cell r="C3692" t="str">
            <v>Müştəri təcrübəsi ekspert mərkəzi</v>
          </cell>
          <cell r="D3692" t="str">
            <v>#</v>
          </cell>
          <cell r="E3692" t="str">
            <v>#</v>
          </cell>
          <cell r="F3692" t="str">
            <v>Müştəri təcrübəsi üzrə tədqiqatçı</v>
          </cell>
          <cell r="G3692" t="str">
            <v>A</v>
          </cell>
          <cell r="H3692">
            <v>46268</v>
          </cell>
          <cell r="I3692" t="str">
            <v>Future lab</v>
          </cell>
        </row>
        <row r="3693">
          <cell r="B3693" t="str">
            <v>Əfəndiyeva Suad Elmar</v>
          </cell>
          <cell r="C3693" t="str">
            <v>Müştəri təcrübəsi ekspert mərkəzi</v>
          </cell>
          <cell r="D3693" t="str">
            <v>#</v>
          </cell>
          <cell r="E3693" t="str">
            <v>#</v>
          </cell>
          <cell r="F3693" t="str">
            <v>Müştəri təcrübəsi üzrə tədqiqatçı</v>
          </cell>
          <cell r="G3693" t="str">
            <v>A</v>
          </cell>
          <cell r="H3693">
            <v>46276</v>
          </cell>
          <cell r="I3693" t="str">
            <v>Future lab</v>
          </cell>
        </row>
        <row r="3694">
          <cell r="B3694" t="str">
            <v>Nəzərli Fərqanə Rasim</v>
          </cell>
          <cell r="C3694" t="str">
            <v>Müştəri təcrübəsi ekspert mərkəzi</v>
          </cell>
          <cell r="D3694" t="str">
            <v>CJM Researcher</v>
          </cell>
          <cell r="E3694" t="str">
            <v>#</v>
          </cell>
          <cell r="F3694" t="str">
            <v>Müştəri təcrübəsi üzrə tədqiqatçı</v>
          </cell>
          <cell r="G3694" t="str">
            <v>A</v>
          </cell>
          <cell r="H3694">
            <v>46281</v>
          </cell>
          <cell r="I3694" t="str">
            <v>Bir Payment</v>
          </cell>
        </row>
        <row r="3695">
          <cell r="B3695" t="str">
            <v>Mahmudov Həsən Lazim</v>
          </cell>
          <cell r="C3695" t="str">
            <v>Müştəri təcrübəsi ekspert mərkəzi</v>
          </cell>
          <cell r="D3695" t="str">
            <v>CX analytic</v>
          </cell>
          <cell r="E3695" t="str">
            <v>#</v>
          </cell>
          <cell r="F3695" t="str">
            <v>Müştəri təcrübəsi üzrə tədqiqatçı</v>
          </cell>
          <cell r="G3695" t="str">
            <v>A</v>
          </cell>
          <cell r="H3695">
            <v>46281</v>
          </cell>
          <cell r="I3695" t="str">
            <v>Bir Payment</v>
          </cell>
        </row>
        <row r="3696">
          <cell r="B3696" t="str">
            <v>Əlizadə Mələk Asəf</v>
          </cell>
          <cell r="C3696" t="str">
            <v>Müştəri təcrübəsi ekspert mərkəzi</v>
          </cell>
          <cell r="D3696" t="str">
            <v>CJM Researcher</v>
          </cell>
          <cell r="E3696" t="str">
            <v>#</v>
          </cell>
          <cell r="F3696" t="str">
            <v>Müştəri təcrübəsi üzrə tədqiqatçı</v>
          </cell>
          <cell r="G3696" t="str">
            <v>A</v>
          </cell>
          <cell r="H3696">
            <v>46281</v>
          </cell>
          <cell r="I3696" t="str">
            <v>Bir Payment</v>
          </cell>
        </row>
        <row r="3697">
          <cell r="B3697" t="str">
            <v>Nəbiyeva Fəridə Camal</v>
          </cell>
          <cell r="C3697" t="str">
            <v>Müştəri təcrübəsi ekspert mərkəzi</v>
          </cell>
          <cell r="D3697" t="str">
            <v>CX analytic</v>
          </cell>
          <cell r="E3697" t="str">
            <v>#</v>
          </cell>
          <cell r="F3697" t="str">
            <v>Müştəri təcrübəsi üzrə tədqiqatçı</v>
          </cell>
          <cell r="G3697" t="str">
            <v>A</v>
          </cell>
          <cell r="H3697">
            <v>46281</v>
          </cell>
          <cell r="I3697" t="str">
            <v>Bir Payment</v>
          </cell>
        </row>
        <row r="3698">
          <cell r="B3698" t="str">
            <v>Allahverdiyeva Əsmər Eldar</v>
          </cell>
          <cell r="C3698" t="str">
            <v>Müştəri təcrübəsi ekspert mərkəzi</v>
          </cell>
          <cell r="D3698" t="str">
            <v>CJM Researcher</v>
          </cell>
          <cell r="E3698" t="str">
            <v>#</v>
          </cell>
          <cell r="F3698" t="str">
            <v>Müştəri təcrübəsi üzrə tədqiqatçı</v>
          </cell>
          <cell r="G3698" t="str">
            <v>A</v>
          </cell>
          <cell r="H3698">
            <v>46281</v>
          </cell>
          <cell r="I3698" t="str">
            <v>Bir Payment</v>
          </cell>
        </row>
        <row r="3699">
          <cell r="B3699" t="str">
            <v>Quliyeva Gülarə Oktay</v>
          </cell>
          <cell r="C3699" t="str">
            <v>Müştəri təcrübəsi ekspert mərkəzi</v>
          </cell>
          <cell r="D3699" t="str">
            <v>CJM Researcher</v>
          </cell>
          <cell r="E3699" t="str">
            <v>#</v>
          </cell>
          <cell r="F3699" t="str">
            <v>Müştəri təcrübəsi üzrə tədqiqatçı</v>
          </cell>
          <cell r="G3699" t="str">
            <v>A</v>
          </cell>
          <cell r="H3699">
            <v>46281</v>
          </cell>
          <cell r="I3699" t="str">
            <v>Bir Payment</v>
          </cell>
        </row>
        <row r="3700">
          <cell r="B3700" t="str">
            <v>Cəfərli Sunaxanım Novruzovna</v>
          </cell>
          <cell r="C3700" t="str">
            <v>Müştəri təcrübəsi ekspert mərkəzi</v>
          </cell>
          <cell r="D3700" t="str">
            <v>Customer Experience Expertise</v>
          </cell>
          <cell r="E3700" t="str">
            <v>#</v>
          </cell>
          <cell r="F3700" t="str">
            <v>Müştəri təcrübəsinin tətbiqi üzrə ekspert</v>
          </cell>
          <cell r="G3700" t="str">
            <v>A</v>
          </cell>
          <cell r="H3700">
            <v>42101</v>
          </cell>
        </row>
        <row r="3701">
          <cell r="B3701" t="str">
            <v>Vəliyev Nicat Elsevər</v>
          </cell>
          <cell r="C3701" t="str">
            <v>Müştəri təcrübəsi ekspert mərkəzi</v>
          </cell>
          <cell r="D3701" t="str">
            <v>Customer Experience Expertise</v>
          </cell>
          <cell r="E3701" t="str">
            <v>#</v>
          </cell>
          <cell r="F3701" t="str">
            <v>Müştəri təcrübəsinin tətbiqi üzrə ekspert</v>
          </cell>
          <cell r="G3701" t="str">
            <v>A</v>
          </cell>
          <cell r="H3701">
            <v>43410</v>
          </cell>
        </row>
        <row r="3702">
          <cell r="B3702" t="str">
            <v xml:space="preserve">KANDYBA OLGA </v>
          </cell>
          <cell r="C3702" t="str">
            <v>Müştəri təcrübəsi ekspert mərkəzi</v>
          </cell>
          <cell r="D3702" t="str">
            <v>Customer Experience Expertise</v>
          </cell>
          <cell r="E3702" t="str">
            <v>#</v>
          </cell>
          <cell r="F3702" t="str">
            <v>Müştəri təcrübəsinin tətbiqi üzrə ekspert</v>
          </cell>
          <cell r="G3702" t="str">
            <v>A</v>
          </cell>
          <cell r="H3702">
            <v>46254</v>
          </cell>
          <cell r="I3702" t="str">
            <v>Bir Payment</v>
          </cell>
        </row>
        <row r="3703">
          <cell r="B3703" t="str">
            <v>Əsədov Tural Saləddin</v>
          </cell>
          <cell r="C3703" t="str">
            <v>Müştəri təcrübəsi ekspert mərkəzi</v>
          </cell>
          <cell r="D3703" t="str">
            <v>Customer Experience Expertise</v>
          </cell>
          <cell r="E3703" t="str">
            <v>#</v>
          </cell>
          <cell r="F3703" t="str">
            <v>Müştəri təcrübəsinin tətbiqi üzrə ekspert</v>
          </cell>
          <cell r="G3703" t="str">
            <v>A</v>
          </cell>
          <cell r="H3703">
            <v>45880</v>
          </cell>
        </row>
        <row r="3704">
          <cell r="B3704" t="str">
            <v>Babaşov Kamran Adil</v>
          </cell>
          <cell r="C3704" t="str">
            <v>Marketinq ekspert mərkəzi</v>
          </cell>
          <cell r="D3704" t="str">
            <v>#</v>
          </cell>
          <cell r="E3704" t="str">
            <v>#</v>
          </cell>
          <cell r="F3704" t="str">
            <v>Ekspert mərkəzinin lideri</v>
          </cell>
          <cell r="G3704" t="str">
            <v>A</v>
          </cell>
          <cell r="H3704">
            <v>44007</v>
          </cell>
        </row>
        <row r="3705">
          <cell r="B3705" t="str">
            <v>İbrahimov Asim Xanlar</v>
          </cell>
          <cell r="C3705" t="str">
            <v>Marketinq ekspert mərkəzi</v>
          </cell>
          <cell r="D3705" t="str">
            <v>#</v>
          </cell>
          <cell r="E3705" t="str">
            <v>#</v>
          </cell>
          <cell r="F3705" t="str">
            <v>Layihə rəhbəri</v>
          </cell>
          <cell r="G3705" t="str">
            <v>A</v>
          </cell>
          <cell r="H3705">
            <v>45217</v>
          </cell>
        </row>
        <row r="3706">
          <cell r="B3706" t="str">
            <v>Əliyeva Arzu Məhərrəm</v>
          </cell>
          <cell r="C3706" t="str">
            <v>Marketinq ekspert mərkəzi</v>
          </cell>
          <cell r="D3706" t="str">
            <v>İctimaiyyətlə əlaqələr prosesi</v>
          </cell>
          <cell r="E3706" t="str">
            <v>#</v>
          </cell>
          <cell r="F3706" t="str">
            <v>Proses sahibi</v>
          </cell>
          <cell r="G3706" t="str">
            <v>A</v>
          </cell>
          <cell r="H3706">
            <v>45162</v>
          </cell>
        </row>
        <row r="3707">
          <cell r="B3707" t="str">
            <v>Qədirova Nərgiz Cəfər</v>
          </cell>
          <cell r="C3707" t="str">
            <v>Marketinq ekspert mərkəzi</v>
          </cell>
          <cell r="D3707" t="str">
            <v>İctimaiyyətlə əlaqələr prosesi</v>
          </cell>
          <cell r="E3707" t="str">
            <v>#</v>
          </cell>
          <cell r="F3707" t="str">
            <v>İctimaiyyətlə əlaqələr üzrə ekspert</v>
          </cell>
          <cell r="G3707" t="str">
            <v>A</v>
          </cell>
          <cell r="H3707">
            <v>45783</v>
          </cell>
        </row>
        <row r="3708">
          <cell r="B3708" t="str">
            <v>Allahverdiyeva Ülviyyə Abbas</v>
          </cell>
          <cell r="C3708" t="str">
            <v>Marketinq ekspert mərkəzi</v>
          </cell>
          <cell r="D3708" t="str">
            <v>İctimaiyyətlə əlaqələr prosesi</v>
          </cell>
          <cell r="E3708" t="str">
            <v>#</v>
          </cell>
          <cell r="F3708" t="str">
            <v>İctimaiyyətlə əlaqələr üzrə ekspert</v>
          </cell>
          <cell r="G3708" t="str">
            <v>A</v>
          </cell>
          <cell r="H3708">
            <v>46252</v>
          </cell>
          <cell r="I3708" t="str">
            <v>Bir Payment</v>
          </cell>
        </row>
        <row r="3709">
          <cell r="B3709" t="str">
            <v>Məmmədova Nigar Mübariz</v>
          </cell>
          <cell r="C3709" t="str">
            <v>Marketinq ekspert mərkəzi</v>
          </cell>
          <cell r="D3709" t="str">
            <v>Marketinq kommunikasiyaları prosesi</v>
          </cell>
          <cell r="E3709" t="str">
            <v>#</v>
          </cell>
          <cell r="F3709" t="str">
            <v>Ekspert funksional lider</v>
          </cell>
          <cell r="G3709" t="str">
            <v>A</v>
          </cell>
          <cell r="H3709">
            <v>41808</v>
          </cell>
        </row>
        <row r="3710">
          <cell r="B3710" t="str">
            <v>Əliyeva Püstə Heydər</v>
          </cell>
          <cell r="C3710" t="str">
            <v>Marketinq ekspert mərkəzi</v>
          </cell>
          <cell r="D3710" t="str">
            <v>Marketinq kommunikasiyaları prosesi</v>
          </cell>
          <cell r="E3710" t="str">
            <v>#</v>
          </cell>
          <cell r="F3710" t="str">
            <v>Marketinq kommunikasiyaları üzrə ekspert</v>
          </cell>
          <cell r="G3710" t="str">
            <v>A</v>
          </cell>
          <cell r="H3710">
            <v>44124</v>
          </cell>
        </row>
        <row r="3711">
          <cell r="B3711" t="str">
            <v>Hüseynov Tural Hüseyn</v>
          </cell>
          <cell r="C3711" t="str">
            <v>Marketinq ekspert mərkəzi</v>
          </cell>
          <cell r="D3711" t="str">
            <v>Marketinq kommunikasiyaları prosesi</v>
          </cell>
          <cell r="E3711" t="str">
            <v>#</v>
          </cell>
          <cell r="F3711" t="str">
            <v>Marketinq kommunikasiyaları üzrə ekspert</v>
          </cell>
          <cell r="G3711" t="str">
            <v>A</v>
          </cell>
          <cell r="H3711">
            <v>44287</v>
          </cell>
        </row>
        <row r="3712">
          <cell r="B3712" t="str">
            <v>Əliyeva Afaq Rasim</v>
          </cell>
          <cell r="C3712" t="str">
            <v>Marketinq ekspert mərkəzi</v>
          </cell>
          <cell r="D3712" t="str">
            <v>Marketinq kommunikasiyaları prosesi</v>
          </cell>
          <cell r="E3712" t="str">
            <v>#</v>
          </cell>
          <cell r="F3712" t="str">
            <v>Marketinq kommunikasiyaları üzrə ekspert</v>
          </cell>
          <cell r="G3712" t="str">
            <v>A</v>
          </cell>
          <cell r="H3712">
            <v>45756</v>
          </cell>
        </row>
        <row r="3713">
          <cell r="B3713" t="str">
            <v>Muxtarova Şəbnəm Bəhruz</v>
          </cell>
          <cell r="C3713" t="str">
            <v>Marketinq ekspert mərkəzi</v>
          </cell>
          <cell r="D3713" t="str">
            <v>Marketinq kommunikasiyaları prosesi</v>
          </cell>
          <cell r="E3713" t="str">
            <v>#</v>
          </cell>
          <cell r="F3713" t="str">
            <v>Marketinq kommunikasiyaları üzrə ekspert</v>
          </cell>
          <cell r="G3713" t="str">
            <v>A</v>
          </cell>
          <cell r="H3713">
            <v>45642</v>
          </cell>
        </row>
        <row r="3714">
          <cell r="B3714" t="str">
            <v>Osmanov Elçin Maarif</v>
          </cell>
          <cell r="C3714" t="str">
            <v>Marketinq ekspert mərkəzi</v>
          </cell>
          <cell r="D3714" t="str">
            <v>Marketinq kommunikasiyaları prosesi</v>
          </cell>
          <cell r="E3714" t="str">
            <v>#</v>
          </cell>
          <cell r="F3714" t="str">
            <v>Marketinq kommunikasiyaları üzrə ekspert</v>
          </cell>
          <cell r="G3714" t="str">
            <v>A</v>
          </cell>
          <cell r="H3714">
            <v>42313</v>
          </cell>
        </row>
        <row r="3715">
          <cell r="B3715" t="str">
            <v>Kazımova Fatma İsmayıl</v>
          </cell>
          <cell r="C3715" t="str">
            <v>Marketinq ekspert mərkəzi</v>
          </cell>
          <cell r="D3715" t="str">
            <v>Marketinq kommunikasiyaları prosesi</v>
          </cell>
          <cell r="E3715" t="str">
            <v>#</v>
          </cell>
          <cell r="F3715" t="str">
            <v>Marketinq kommunikasiyaları üzrə ekspert</v>
          </cell>
          <cell r="G3715" t="str">
            <v>A</v>
          </cell>
          <cell r="H3715">
            <v>45163</v>
          </cell>
        </row>
        <row r="3716">
          <cell r="B3716" t="str">
            <v>Xəlilova Xatirə Niyazi</v>
          </cell>
          <cell r="C3716" t="str">
            <v>Marketinq ekspert mərkəzi</v>
          </cell>
          <cell r="D3716" t="str">
            <v>Marketinq kommunikasiyaları prosesi</v>
          </cell>
          <cell r="E3716" t="str">
            <v>#</v>
          </cell>
          <cell r="F3716" t="str">
            <v>Marketinq kommunikasiyaları üzrə ekspert</v>
          </cell>
          <cell r="G3716" t="str">
            <v>A</v>
          </cell>
          <cell r="H3716">
            <v>46150</v>
          </cell>
        </row>
        <row r="3717">
          <cell r="B3717" t="str">
            <v>Məmmədova Fərqanə Elsevər</v>
          </cell>
          <cell r="C3717" t="str">
            <v>Marketinq ekspert mərkəzi</v>
          </cell>
          <cell r="D3717" t="str">
            <v>Marketinq kommunikasiyaları prosesi</v>
          </cell>
          <cell r="E3717" t="str">
            <v>#</v>
          </cell>
          <cell r="F3717" t="str">
            <v>Marketinq kommunikasiyaları üzrə ekspert</v>
          </cell>
          <cell r="G3717" t="str">
            <v>A</v>
          </cell>
          <cell r="H3717">
            <v>44774</v>
          </cell>
        </row>
        <row r="3718">
          <cell r="B3718" t="str">
            <v>Abdullazadə Nigar Tahir</v>
          </cell>
          <cell r="C3718" t="str">
            <v>Marketinq ekspert mərkəzi</v>
          </cell>
          <cell r="D3718" t="str">
            <v>Marketinq kommunikasiyaları prosesi</v>
          </cell>
          <cell r="E3718" t="str">
            <v>#</v>
          </cell>
          <cell r="F3718" t="str">
            <v>Marketinq kommunikasiyaları üzrə ekspert</v>
          </cell>
          <cell r="G3718" t="str">
            <v>A</v>
          </cell>
          <cell r="H3718">
            <v>46238</v>
          </cell>
          <cell r="I3718" t="str">
            <v>Bir Payment</v>
          </cell>
        </row>
        <row r="3719">
          <cell r="B3719" t="str">
            <v>Qasımova-Əliyeva Səmirə Camaləddin</v>
          </cell>
          <cell r="C3719" t="str">
            <v>Marketinq ekspert mərkəzi</v>
          </cell>
          <cell r="D3719" t="str">
            <v>Marketinq kommunikasiyaları prosesi</v>
          </cell>
          <cell r="E3719" t="str">
            <v>#</v>
          </cell>
          <cell r="F3719" t="str">
            <v>Marketinq kommunikasiyaları üzrə ekspert</v>
          </cell>
          <cell r="G3719" t="str">
            <v>A</v>
          </cell>
          <cell r="H3719">
            <v>46241</v>
          </cell>
          <cell r="I3719" t="str">
            <v>BirMarket</v>
          </cell>
        </row>
        <row r="3720">
          <cell r="B3720" t="str">
            <v>Babayeva Mahirə Maarif</v>
          </cell>
          <cell r="C3720" t="str">
            <v>Marketinq ekspert mərkəzi</v>
          </cell>
          <cell r="D3720" t="str">
            <v>Marketinq kommunikasiyaları prosesi</v>
          </cell>
          <cell r="E3720" t="str">
            <v>#</v>
          </cell>
          <cell r="F3720" t="str">
            <v>Marketinq kommunikasiyaları üzrə ekspert</v>
          </cell>
          <cell r="G3720" t="str">
            <v>A</v>
          </cell>
          <cell r="H3720">
            <v>41507</v>
          </cell>
        </row>
        <row r="3721">
          <cell r="B3721" t="str">
            <v>Sofiyev Nəcbəddin Miqdad</v>
          </cell>
          <cell r="C3721" t="str">
            <v>Marketinq ekspert mərkəzi</v>
          </cell>
          <cell r="D3721" t="str">
            <v>Marketinq kommunikasiyaları prosesi</v>
          </cell>
          <cell r="E3721" t="str">
            <v>#</v>
          </cell>
          <cell r="F3721" t="str">
            <v>Marketinq kommunikasiyaları üzrə ekspert</v>
          </cell>
          <cell r="G3721" t="str">
            <v>A</v>
          </cell>
          <cell r="H3721">
            <v>43728</v>
          </cell>
        </row>
        <row r="3722">
          <cell r="B3722" t="str">
            <v>Səhətbəyli Elvin Əbülfət</v>
          </cell>
          <cell r="C3722" t="str">
            <v>Marketinq ekspert mərkəzi</v>
          </cell>
          <cell r="D3722" t="str">
            <v>Marketinq kommunikasiyaları prosesi</v>
          </cell>
          <cell r="E3722" t="str">
            <v>#</v>
          </cell>
          <cell r="F3722" t="str">
            <v>Marketinq kommunikasiyaları üzrə ekspert</v>
          </cell>
          <cell r="G3722" t="str">
            <v>A</v>
          </cell>
          <cell r="H3722">
            <v>44686</v>
          </cell>
        </row>
        <row r="3723">
          <cell r="B3723" t="str">
            <v>Hüseynova Zərifə Çingiz</v>
          </cell>
          <cell r="C3723" t="str">
            <v>Marketinq ekspert mərkəzi</v>
          </cell>
          <cell r="D3723" t="str">
            <v>Məhsulların marketinqi prosesi</v>
          </cell>
          <cell r="E3723" t="str">
            <v>#</v>
          </cell>
          <cell r="F3723" t="str">
            <v>Funksional lider</v>
          </cell>
          <cell r="G3723" t="str">
            <v>A</v>
          </cell>
          <cell r="H3723">
            <v>43152</v>
          </cell>
        </row>
        <row r="3724">
          <cell r="B3724" t="str">
            <v xml:space="preserve">KASATKIN PAVEL </v>
          </cell>
          <cell r="C3724" t="str">
            <v>Marketinq ekspert mərkəzi</v>
          </cell>
          <cell r="D3724" t="str">
            <v>Məhsulların marketinqi prosesi</v>
          </cell>
          <cell r="E3724" t="str">
            <v>#</v>
          </cell>
          <cell r="F3724" t="str">
            <v>Funksional lider</v>
          </cell>
          <cell r="G3724" t="str">
            <v>A</v>
          </cell>
          <cell r="H3724">
            <v>46251</v>
          </cell>
          <cell r="I3724" t="str">
            <v>Bir Payment</v>
          </cell>
        </row>
        <row r="3725">
          <cell r="B3725" t="str">
            <v>Ədilzadə Şamxal Əbülfət</v>
          </cell>
          <cell r="C3725" t="str">
            <v>Marketinq ekspert mərkəzi</v>
          </cell>
          <cell r="D3725" t="str">
            <v>Məhsulların marketinqi prosesi</v>
          </cell>
          <cell r="E3725" t="str">
            <v>#</v>
          </cell>
          <cell r="F3725" t="str">
            <v>Məhsulların marketinqi üzrə ekspert</v>
          </cell>
          <cell r="G3725" t="str">
            <v>A</v>
          </cell>
          <cell r="H3725">
            <v>43902</v>
          </cell>
        </row>
        <row r="3726">
          <cell r="B3726" t="str">
            <v xml:space="preserve">Gözəlova Lyusiya Faatovna </v>
          </cell>
          <cell r="C3726" t="str">
            <v>Marketinq ekspert mərkəzi</v>
          </cell>
          <cell r="D3726" t="str">
            <v>Məhsulların marketinqi prosesi</v>
          </cell>
          <cell r="E3726" t="str">
            <v>#</v>
          </cell>
          <cell r="F3726" t="str">
            <v>Məhsulların marketinqi üzrə ekspert</v>
          </cell>
          <cell r="G3726" t="str">
            <v>A</v>
          </cell>
          <cell r="H3726">
            <v>46241</v>
          </cell>
          <cell r="I3726" t="str">
            <v>BirMarket</v>
          </cell>
        </row>
        <row r="3727">
          <cell r="B3727" t="str">
            <v>Əkbərzadə Amir Fəramərz</v>
          </cell>
          <cell r="C3727" t="str">
            <v>Marketinq ekspert mərkəzi</v>
          </cell>
          <cell r="D3727" t="str">
            <v>Məhsulların marketinqi prosesi</v>
          </cell>
          <cell r="E3727" t="str">
            <v>#</v>
          </cell>
          <cell r="F3727" t="str">
            <v>Məhsulların marketinqi üzrə ekspert</v>
          </cell>
          <cell r="G3727" t="str">
            <v>A</v>
          </cell>
          <cell r="H3727">
            <v>46241</v>
          </cell>
          <cell r="I3727" t="str">
            <v>BirMarket</v>
          </cell>
        </row>
        <row r="3728">
          <cell r="B3728" t="str">
            <v>Məmmədli Nəzrin Murad</v>
          </cell>
          <cell r="C3728" t="str">
            <v>Marketinq ekspert mərkəzi</v>
          </cell>
          <cell r="D3728" t="str">
            <v>Məhsulların marketinqi prosesi</v>
          </cell>
          <cell r="E3728" t="str">
            <v>#</v>
          </cell>
          <cell r="F3728" t="str">
            <v>Məhsulların marketinqi üzrə ekspert</v>
          </cell>
          <cell r="G3728" t="str">
            <v>A</v>
          </cell>
          <cell r="H3728">
            <v>46260</v>
          </cell>
          <cell r="I3728" t="str">
            <v>Bir Payment</v>
          </cell>
        </row>
        <row r="3729">
          <cell r="B3729" t="str">
            <v xml:space="preserve">Kamayeva Vlada Leonidovna </v>
          </cell>
          <cell r="C3729" t="str">
            <v>Marketinq ekspert mərkəzi</v>
          </cell>
          <cell r="D3729" t="str">
            <v>Məhsulların marketinqi prosesi</v>
          </cell>
          <cell r="E3729" t="str">
            <v>#</v>
          </cell>
          <cell r="F3729" t="str">
            <v>Məhsulların marketinqi üzrə ekspert</v>
          </cell>
          <cell r="G3729" t="str">
            <v>A</v>
          </cell>
          <cell r="H3729">
            <v>46262</v>
          </cell>
          <cell r="I3729" t="str">
            <v>BirMarket</v>
          </cell>
        </row>
        <row r="3730">
          <cell r="B3730" t="str">
            <v>Lətifova Ülviyyə Elşən</v>
          </cell>
          <cell r="C3730" t="str">
            <v>Marketinq ekspert mərkəzi</v>
          </cell>
          <cell r="D3730" t="str">
            <v>Məhsulların marketinqi prosesi</v>
          </cell>
          <cell r="E3730" t="str">
            <v>#</v>
          </cell>
          <cell r="F3730" t="str">
            <v>Məhsulların marketinqi üzrə ekspert</v>
          </cell>
          <cell r="G3730" t="str">
            <v>A</v>
          </cell>
          <cell r="H3730">
            <v>46258</v>
          </cell>
          <cell r="I3730" t="str">
            <v>BirMarket</v>
          </cell>
        </row>
        <row r="3731">
          <cell r="B3731" t="str">
            <v>Məlikzadə Aysel İntiqam</v>
          </cell>
          <cell r="C3731" t="str">
            <v>Marketinq ekspert mərkəzi</v>
          </cell>
          <cell r="D3731" t="str">
            <v>Məhsulların marketinqi prosesi</v>
          </cell>
          <cell r="E3731" t="str">
            <v>#</v>
          </cell>
          <cell r="F3731" t="str">
            <v>Məhsulların marketinqi üzrə ekspert</v>
          </cell>
          <cell r="G3731" t="str">
            <v>A</v>
          </cell>
          <cell r="H3731">
            <v>45901</v>
          </cell>
        </row>
        <row r="3732">
          <cell r="B3732" t="str">
            <v>Əliyeva Həcər Fizuli</v>
          </cell>
          <cell r="C3732" t="str">
            <v>Marketinq ekspert mərkəzi</v>
          </cell>
          <cell r="D3732" t="str">
            <v>Məhsulların marketinqi prosesi</v>
          </cell>
          <cell r="E3732" t="str">
            <v>#</v>
          </cell>
          <cell r="F3732" t="str">
            <v>Məhsulların marketinqi üzrə ekspert</v>
          </cell>
          <cell r="G3732" t="str">
            <v>A</v>
          </cell>
          <cell r="H3732">
            <v>45905</v>
          </cell>
        </row>
        <row r="3733">
          <cell r="B3733" t="str">
            <v>Rüstəmli Firəngiz Zahid</v>
          </cell>
          <cell r="C3733" t="str">
            <v>Marketinq ekspert mərkəzi</v>
          </cell>
          <cell r="D3733" t="str">
            <v>Məhsulların marketinqi prosesi</v>
          </cell>
          <cell r="E3733" t="str">
            <v>#</v>
          </cell>
          <cell r="F3733" t="str">
            <v>Məhsulların marketinqi üzrə ekspert</v>
          </cell>
          <cell r="G3733" t="str">
            <v>A</v>
          </cell>
          <cell r="H3733">
            <v>45923</v>
          </cell>
        </row>
        <row r="3734">
          <cell r="B3734" t="str">
            <v>Həsənov Murad Rafiq</v>
          </cell>
          <cell r="C3734" t="str">
            <v>Marketinq ekspert mərkəzi</v>
          </cell>
          <cell r="D3734" t="str">
            <v>Məhsulların marketinqi prosesi</v>
          </cell>
          <cell r="E3734" t="str">
            <v>#</v>
          </cell>
          <cell r="F3734" t="str">
            <v>Məhsulların marketinqi üzrə ekspert</v>
          </cell>
          <cell r="G3734" t="str">
            <v>A</v>
          </cell>
          <cell r="H3734">
            <v>46231</v>
          </cell>
          <cell r="I3734" t="str">
            <v>Bir Payment</v>
          </cell>
        </row>
        <row r="3735">
          <cell r="B3735" t="str">
            <v>Qarayeva Aygül Mir</v>
          </cell>
          <cell r="C3735" t="str">
            <v>Marketinq ekspert mərkəzi</v>
          </cell>
          <cell r="D3735" t="str">
            <v>Məhsulların marketinqi prosesi</v>
          </cell>
          <cell r="E3735" t="str">
            <v>#</v>
          </cell>
          <cell r="F3735" t="str">
            <v>Məhsulların marketinqi üzrə ekspert</v>
          </cell>
          <cell r="G3735" t="str">
            <v>A</v>
          </cell>
          <cell r="H3735">
            <v>46231</v>
          </cell>
          <cell r="I3735" t="str">
            <v>Bir Payment</v>
          </cell>
        </row>
        <row r="3736">
          <cell r="B3736" t="str">
            <v>Hacıyeva Heyran Sabir</v>
          </cell>
          <cell r="C3736" t="str">
            <v>Marketinq ekspert mərkəzi</v>
          </cell>
          <cell r="D3736" t="str">
            <v>Məhsulların marketinqi prosesi</v>
          </cell>
          <cell r="E3736" t="str">
            <v>#</v>
          </cell>
          <cell r="F3736" t="str">
            <v>Məhsulların marketinqi üzrə ekspert</v>
          </cell>
          <cell r="G3736" t="str">
            <v>A</v>
          </cell>
          <cell r="H3736">
            <v>46231</v>
          </cell>
          <cell r="I3736" t="str">
            <v>Bir Payment</v>
          </cell>
        </row>
        <row r="3737">
          <cell r="B3737" t="str">
            <v>Hacılı Nərmin Xalid</v>
          </cell>
          <cell r="C3737" t="str">
            <v>Marketinq ekspert mərkəzi</v>
          </cell>
          <cell r="D3737" t="str">
            <v>Məhsulların marketinqi prosesi</v>
          </cell>
          <cell r="E3737" t="str">
            <v>#</v>
          </cell>
          <cell r="F3737" t="str">
            <v>Məhsulların marketinqi üzrə ekspert</v>
          </cell>
          <cell r="G3737" t="str">
            <v>A</v>
          </cell>
          <cell r="H3737">
            <v>44292</v>
          </cell>
        </row>
        <row r="3738">
          <cell r="B3738" t="str">
            <v>Süleymanov Fərid Nizami</v>
          </cell>
          <cell r="C3738" t="str">
            <v>Marketinq ekspert mərkəzi</v>
          </cell>
          <cell r="D3738" t="str">
            <v>Məhsulların marketinqi prosesi</v>
          </cell>
          <cell r="E3738" t="str">
            <v>#</v>
          </cell>
          <cell r="F3738" t="str">
            <v>Məhsulların marketinqi üzrə ekspert</v>
          </cell>
          <cell r="G3738" t="str">
            <v>A</v>
          </cell>
          <cell r="H3738">
            <v>45078</v>
          </cell>
        </row>
        <row r="3739">
          <cell r="B3739" t="str">
            <v>Xalıqov Elvin Nurəddin</v>
          </cell>
          <cell r="C3739" t="str">
            <v>Marketinq ekspert mərkəzi</v>
          </cell>
          <cell r="D3739" t="str">
            <v>Məhsulların marketinqi prosesi</v>
          </cell>
          <cell r="E3739" t="str">
            <v>#</v>
          </cell>
          <cell r="F3739" t="str">
            <v>Məhsulların marketinqi üzrə ekspert</v>
          </cell>
          <cell r="G3739" t="str">
            <v>A</v>
          </cell>
          <cell r="H3739">
            <v>44357</v>
          </cell>
        </row>
        <row r="3740">
          <cell r="B3740" t="str">
            <v>Salmanova Arzu Akif</v>
          </cell>
          <cell r="C3740" t="str">
            <v>Marketinq ekspert mərkəzi</v>
          </cell>
          <cell r="D3740" t="str">
            <v>Məhsulların marketinqi prosesi</v>
          </cell>
          <cell r="E3740" t="str">
            <v>#</v>
          </cell>
          <cell r="F3740" t="str">
            <v>Məhsulların marketinqi üzrə ekspert</v>
          </cell>
          <cell r="G3740" t="str">
            <v>A</v>
          </cell>
          <cell r="H3740">
            <v>45274</v>
          </cell>
        </row>
        <row r="3741">
          <cell r="B3741" t="str">
            <v>Quliyev Emil İsmayıl</v>
          </cell>
          <cell r="C3741" t="str">
            <v>Marketinq ekspert mərkəzi</v>
          </cell>
          <cell r="D3741" t="str">
            <v>Məhsulların marketinqi prosesi</v>
          </cell>
          <cell r="E3741" t="str">
            <v>#</v>
          </cell>
          <cell r="F3741" t="str">
            <v>Məhsulların marketinqi üzrə ekspert</v>
          </cell>
          <cell r="G3741" t="str">
            <v>A</v>
          </cell>
          <cell r="H3741">
            <v>42972</v>
          </cell>
        </row>
        <row r="3742">
          <cell r="B3742" t="str">
            <v>Mehdizadə Nərminə Ehtiram</v>
          </cell>
          <cell r="C3742" t="str">
            <v>Marketinq ekspert mərkəzi</v>
          </cell>
          <cell r="D3742" t="str">
            <v>Məhsulların marketinqi prosesi</v>
          </cell>
          <cell r="E3742" t="str">
            <v>#</v>
          </cell>
          <cell r="F3742" t="str">
            <v>Məhsulların marketinqi üzrə ekspert</v>
          </cell>
          <cell r="G3742" t="str">
            <v>A</v>
          </cell>
          <cell r="H3742">
            <v>44826</v>
          </cell>
        </row>
        <row r="3743">
          <cell r="B3743" t="str">
            <v>Qənizadə Pərviz Xaləddin</v>
          </cell>
          <cell r="C3743" t="str">
            <v>Marketinq ekspert mərkəzi</v>
          </cell>
          <cell r="D3743" t="str">
            <v>Məhsulların marketinqi prosesi</v>
          </cell>
          <cell r="E3743" t="str">
            <v>#</v>
          </cell>
          <cell r="F3743" t="str">
            <v>Məhsulların marketinqi üzrə ekspert</v>
          </cell>
          <cell r="G3743" t="str">
            <v>A</v>
          </cell>
          <cell r="H3743">
            <v>44462</v>
          </cell>
        </row>
        <row r="3744">
          <cell r="B3744" t="str">
            <v>Rəcəbov Abbas Vaqif</v>
          </cell>
          <cell r="C3744" t="str">
            <v>Marketinq ekspert mərkəzi</v>
          </cell>
          <cell r="D3744" t="str">
            <v>Məhsulların marketinqi prosesi</v>
          </cell>
          <cell r="E3744" t="str">
            <v>#</v>
          </cell>
          <cell r="F3744" t="str">
            <v>Məhsulların marketinqi üzrə ekspert</v>
          </cell>
          <cell r="G3744" t="str">
            <v>A</v>
          </cell>
          <cell r="H3744">
            <v>42199</v>
          </cell>
        </row>
        <row r="3745">
          <cell r="B3745" t="str">
            <v>Abdurahmanov Elgün Sabit</v>
          </cell>
          <cell r="C3745" t="str">
            <v>Marketinq ekspert mərkəzi</v>
          </cell>
          <cell r="D3745" t="str">
            <v>Rəqəmsal marketinq prosesi</v>
          </cell>
          <cell r="E3745" t="str">
            <v>#</v>
          </cell>
          <cell r="F3745" t="str">
            <v>Kreativ həllər üzrə ekspert</v>
          </cell>
          <cell r="G3745" t="str">
            <v>A</v>
          </cell>
          <cell r="H3745">
            <v>45852</v>
          </cell>
        </row>
        <row r="3746">
          <cell r="B3746" t="str">
            <v>Göyüşlü Əkbər İbrahim</v>
          </cell>
          <cell r="C3746" t="str">
            <v>Marketinq ekspert mərkəzi</v>
          </cell>
          <cell r="D3746" t="str">
            <v>Rəqəmsal marketinq prosesi</v>
          </cell>
          <cell r="E3746" t="str">
            <v>#</v>
          </cell>
          <cell r="F3746" t="str">
            <v>Kreativ həllər üzrə ekspert</v>
          </cell>
          <cell r="G3746" t="str">
            <v>A</v>
          </cell>
          <cell r="H3746">
            <v>46238</v>
          </cell>
          <cell r="I3746" t="str">
            <v>Bir Payment</v>
          </cell>
        </row>
        <row r="3747">
          <cell r="B3747" t="str">
            <v>Nəzərli Kazım Nazim</v>
          </cell>
          <cell r="C3747" t="str">
            <v>Marketinq ekspert mərkəzi</v>
          </cell>
          <cell r="D3747" t="str">
            <v>Rəqəmsal marketinq prosesi</v>
          </cell>
          <cell r="E3747" t="str">
            <v>#</v>
          </cell>
          <cell r="F3747" t="str">
            <v>Kreativ həllər üzrə ekspert</v>
          </cell>
          <cell r="G3747" t="str">
            <v>A</v>
          </cell>
          <cell r="H3747">
            <v>46238</v>
          </cell>
          <cell r="I3747" t="str">
            <v>Bir Payment</v>
          </cell>
        </row>
        <row r="3748">
          <cell r="B3748" t="str">
            <v>Ələsgərova Aygül İslam</v>
          </cell>
          <cell r="C3748" t="str">
            <v>Marketinq ekspert mərkəzi</v>
          </cell>
          <cell r="D3748" t="str">
            <v>Rəqəmsal marketinq prosesi</v>
          </cell>
          <cell r="E3748" t="str">
            <v>#</v>
          </cell>
          <cell r="F3748" t="str">
            <v>Kreativ həllər üzrə ekspert</v>
          </cell>
          <cell r="G3748" t="str">
            <v>A</v>
          </cell>
          <cell r="H3748">
            <v>46238</v>
          </cell>
          <cell r="I3748" t="str">
            <v>Bir Payment</v>
          </cell>
        </row>
        <row r="3749">
          <cell r="B3749" t="str">
            <v>Abdiyev Azad Cəmil</v>
          </cell>
          <cell r="C3749" t="str">
            <v>Marketinq ekspert mərkəzi</v>
          </cell>
          <cell r="D3749" t="str">
            <v>Rəqəmsal marketinq prosesi</v>
          </cell>
          <cell r="E3749" t="str">
            <v>#</v>
          </cell>
          <cell r="F3749" t="str">
            <v>Kreativ həllər üzrə ekspert</v>
          </cell>
          <cell r="G3749" t="str">
            <v>A</v>
          </cell>
          <cell r="H3749">
            <v>46238</v>
          </cell>
          <cell r="I3749" t="str">
            <v>Bir Payment</v>
          </cell>
        </row>
        <row r="3750">
          <cell r="B3750" t="str">
            <v>Əsgərov Fərid Vüqar</v>
          </cell>
          <cell r="C3750" t="str">
            <v>Marketinq ekspert mərkəzi</v>
          </cell>
          <cell r="D3750" t="str">
            <v>Rəqəmsal marketinq prosesi</v>
          </cell>
          <cell r="E3750" t="str">
            <v>#</v>
          </cell>
          <cell r="F3750" t="str">
            <v>Kreativ həllər üzrə ekspert</v>
          </cell>
          <cell r="G3750" t="str">
            <v>A</v>
          </cell>
          <cell r="H3750">
            <v>46238</v>
          </cell>
          <cell r="I3750" t="str">
            <v>Bir Payment</v>
          </cell>
        </row>
        <row r="3751">
          <cell r="B3751" t="str">
            <v>Mirzəyeva Günel Yasin</v>
          </cell>
          <cell r="C3751" t="str">
            <v>Marketinq ekspert mərkəzi</v>
          </cell>
          <cell r="D3751" t="str">
            <v>Rəqəmsal marketinq prosesi</v>
          </cell>
          <cell r="E3751" t="str">
            <v>#</v>
          </cell>
          <cell r="F3751" t="str">
            <v>Kreativ həllər üzrə ekspert</v>
          </cell>
          <cell r="G3751" t="str">
            <v>A</v>
          </cell>
          <cell r="H3751">
            <v>46239</v>
          </cell>
          <cell r="I3751" t="str">
            <v>Bir Payment</v>
          </cell>
        </row>
        <row r="3752">
          <cell r="B3752" t="str">
            <v>Hüseynov Məhəmmədəli Namik</v>
          </cell>
          <cell r="C3752" t="str">
            <v>Marketinq ekspert mərkəzi</v>
          </cell>
          <cell r="D3752" t="str">
            <v>Rəqəmsal marketinq prosesi</v>
          </cell>
          <cell r="E3752" t="str">
            <v>#</v>
          </cell>
          <cell r="F3752" t="str">
            <v>Kreativ həllər üzrə ekspert</v>
          </cell>
          <cell r="G3752" t="str">
            <v>A</v>
          </cell>
          <cell r="H3752">
            <v>46239</v>
          </cell>
          <cell r="I3752" t="str">
            <v>Bir Payment</v>
          </cell>
        </row>
        <row r="3753">
          <cell r="B3753" t="str">
            <v>Ağayev Sənan Elman</v>
          </cell>
          <cell r="C3753" t="str">
            <v>Marketinq ekspert mərkəzi</v>
          </cell>
          <cell r="D3753" t="str">
            <v>Rəqəmsal marketinq prosesi</v>
          </cell>
          <cell r="E3753" t="str">
            <v>#</v>
          </cell>
          <cell r="F3753" t="str">
            <v>Kreativ həllər üzrə ekspert</v>
          </cell>
          <cell r="G3753" t="str">
            <v>A</v>
          </cell>
          <cell r="H3753">
            <v>46241</v>
          </cell>
          <cell r="I3753" t="str">
            <v>BirMarket</v>
          </cell>
        </row>
        <row r="3754">
          <cell r="B3754" t="str">
            <v>Mehdiyeva Röya Etibar</v>
          </cell>
          <cell r="C3754" t="str">
            <v>Marketinq ekspert mərkəzi</v>
          </cell>
          <cell r="D3754" t="str">
            <v>Rəqəmsal marketinq prosesi</v>
          </cell>
          <cell r="E3754" t="str">
            <v>#</v>
          </cell>
          <cell r="F3754" t="str">
            <v>Kreativ həllər üzrə ekspert</v>
          </cell>
          <cell r="G3754" t="str">
            <v>A</v>
          </cell>
          <cell r="H3754">
            <v>46241</v>
          </cell>
          <cell r="I3754" t="str">
            <v>BirMarket</v>
          </cell>
        </row>
        <row r="3755">
          <cell r="B3755" t="str">
            <v>Cəlalov Ruzi Məmmədcəfər</v>
          </cell>
          <cell r="C3755" t="str">
            <v>Marketinq ekspert mərkəzi</v>
          </cell>
          <cell r="D3755" t="str">
            <v>Rəqəmsal marketinq prosesi</v>
          </cell>
          <cell r="E3755" t="str">
            <v>#</v>
          </cell>
          <cell r="F3755" t="str">
            <v>Kreativ həllər üzrə ekspert</v>
          </cell>
          <cell r="G3755" t="str">
            <v>A</v>
          </cell>
          <cell r="H3755">
            <v>46241</v>
          </cell>
          <cell r="I3755" t="str">
            <v>BirMarket</v>
          </cell>
        </row>
        <row r="3756">
          <cell r="B3756" t="str">
            <v>OSKOLKOVA KSENIIA</v>
          </cell>
          <cell r="C3756" t="str">
            <v>Marketinq ekspert mərkəzi</v>
          </cell>
          <cell r="D3756" t="str">
            <v>Rəqəmsal marketinq prosesi</v>
          </cell>
          <cell r="E3756" t="str">
            <v>#</v>
          </cell>
          <cell r="F3756" t="str">
            <v>Kreativ həllər üzrə ekspert</v>
          </cell>
          <cell r="G3756" t="str">
            <v>A</v>
          </cell>
          <cell r="H3756">
            <v>46247</v>
          </cell>
          <cell r="I3756" t="str">
            <v>Bir Payment</v>
          </cell>
        </row>
        <row r="3757">
          <cell r="B3757" t="str">
            <v>Cəbiyeva Selcan Əjdər</v>
          </cell>
          <cell r="C3757" t="str">
            <v>Marketinq ekspert mərkəzi</v>
          </cell>
          <cell r="D3757" t="str">
            <v>Rəqəmsal marketinq prosesi</v>
          </cell>
          <cell r="E3757" t="str">
            <v>#</v>
          </cell>
          <cell r="F3757" t="str">
            <v>Kreativ həllər üzrə ekspert</v>
          </cell>
          <cell r="G3757" t="str">
            <v>A</v>
          </cell>
          <cell r="H3757">
            <v>46260</v>
          </cell>
          <cell r="I3757" t="str">
            <v>Bir Payment</v>
          </cell>
        </row>
        <row r="3758">
          <cell r="B3758" t="str">
            <v>Əliyev Kənan Mehman</v>
          </cell>
          <cell r="C3758" t="str">
            <v>Marketinq ekspert mərkəzi</v>
          </cell>
          <cell r="D3758" t="str">
            <v>Rəqəmsal marketinq prosesi</v>
          </cell>
          <cell r="E3758" t="str">
            <v>#</v>
          </cell>
          <cell r="F3758" t="str">
            <v>Rəqəmsal marketinq üzrə ekspert</v>
          </cell>
          <cell r="G3758" t="str">
            <v>A</v>
          </cell>
          <cell r="H3758">
            <v>46231</v>
          </cell>
          <cell r="I3758" t="str">
            <v>Bir Payment</v>
          </cell>
        </row>
        <row r="3759">
          <cell r="B3759" t="str">
            <v>Həmidli Elnur Hafiz</v>
          </cell>
          <cell r="C3759" t="str">
            <v>Marketinq ekspert mərkəzi</v>
          </cell>
          <cell r="D3759" t="str">
            <v>Rəqəmsal marketinq prosesi</v>
          </cell>
          <cell r="E3759" t="str">
            <v>#</v>
          </cell>
          <cell r="F3759" t="str">
            <v>Kreativ həllər üzrə ekspert</v>
          </cell>
          <cell r="G3759" t="str">
            <v>A</v>
          </cell>
          <cell r="H3759">
            <v>46231</v>
          </cell>
          <cell r="I3759" t="str">
            <v>Bir Payment</v>
          </cell>
        </row>
        <row r="3760">
          <cell r="B3760" t="str">
            <v>Sadixova Fərəh Abdulla</v>
          </cell>
          <cell r="C3760" t="str">
            <v>Marketinq ekspert mərkəzi</v>
          </cell>
          <cell r="D3760" t="str">
            <v>Rəqəmsal marketinq prosesi</v>
          </cell>
          <cell r="E3760" t="str">
            <v>#</v>
          </cell>
          <cell r="F3760" t="str">
            <v>Kreativ həllər üzrə ekspert</v>
          </cell>
          <cell r="G3760" t="str">
            <v>A</v>
          </cell>
          <cell r="H3760">
            <v>46231</v>
          </cell>
          <cell r="I3760" t="str">
            <v>Bir Payment</v>
          </cell>
        </row>
        <row r="3761">
          <cell r="B3761" t="str">
            <v>İbrahimov Eşqin Namizəd</v>
          </cell>
          <cell r="C3761" t="str">
            <v>Marketinq ekspert mərkəzi</v>
          </cell>
          <cell r="D3761" t="str">
            <v>Rəqəmsal marketinq prosesi</v>
          </cell>
          <cell r="E3761" t="str">
            <v>#</v>
          </cell>
          <cell r="F3761" t="str">
            <v>Kreativ həllər üzrə ekspert</v>
          </cell>
          <cell r="G3761" t="str">
            <v>A</v>
          </cell>
          <cell r="H3761">
            <v>44908</v>
          </cell>
        </row>
        <row r="3762">
          <cell r="B3762" t="str">
            <v>Qurbanov Əfran Əsgər</v>
          </cell>
          <cell r="C3762" t="str">
            <v>Marketinq ekspert mərkəzi</v>
          </cell>
          <cell r="D3762" t="str">
            <v>Rəqəmsal marketinq prosesi</v>
          </cell>
          <cell r="E3762" t="str">
            <v>#</v>
          </cell>
          <cell r="F3762" t="str">
            <v>Kreativ həllər üzrə ekspert</v>
          </cell>
          <cell r="G3762" t="str">
            <v>A</v>
          </cell>
          <cell r="H3762">
            <v>45357</v>
          </cell>
        </row>
        <row r="3763">
          <cell r="B3763" t="str">
            <v>Əliyeva Aynurə Əbülfət</v>
          </cell>
          <cell r="C3763" t="str">
            <v>Marketinq ekspert mərkəzi</v>
          </cell>
          <cell r="D3763" t="str">
            <v>Rəqəmsal marketinq prosesi</v>
          </cell>
          <cell r="E3763" t="str">
            <v>#</v>
          </cell>
          <cell r="F3763" t="str">
            <v>Proses sahibi</v>
          </cell>
          <cell r="G3763" t="str">
            <v>A</v>
          </cell>
          <cell r="H3763">
            <v>44809</v>
          </cell>
        </row>
        <row r="3764">
          <cell r="B3764" t="str">
            <v>Süleymanlı Telli Kərim</v>
          </cell>
          <cell r="C3764" t="str">
            <v>Marketinq ekspert mərkəzi</v>
          </cell>
          <cell r="D3764" t="str">
            <v>#</v>
          </cell>
          <cell r="E3764" t="str">
            <v>#</v>
          </cell>
          <cell r="F3764" t="str">
            <v>Layihə rəhbəri</v>
          </cell>
          <cell r="G3764" t="str">
            <v>A</v>
          </cell>
          <cell r="H3764">
            <v>44638</v>
          </cell>
        </row>
        <row r="3765">
          <cell r="B3765" t="str">
            <v>Şahbazova Rəxşəndə Rafail</v>
          </cell>
          <cell r="C3765" t="str">
            <v>Marketinq ekspert mərkəzi</v>
          </cell>
          <cell r="D3765" t="str">
            <v>Rəqəmsal marketinq prosesi</v>
          </cell>
          <cell r="E3765" t="str">
            <v>#</v>
          </cell>
          <cell r="F3765" t="str">
            <v>Rəqəmsal marketinq üzrə ekspert</v>
          </cell>
          <cell r="G3765" t="str">
            <v>A</v>
          </cell>
          <cell r="H3765">
            <v>45756</v>
          </cell>
        </row>
        <row r="3766">
          <cell r="B3766" t="str">
            <v>Həsənova Aynurə Laçın</v>
          </cell>
          <cell r="C3766" t="str">
            <v>Marketinq ekspert mərkəzi</v>
          </cell>
          <cell r="D3766" t="str">
            <v>Rəqəmsal marketinq prosesi</v>
          </cell>
          <cell r="E3766" t="str">
            <v>#</v>
          </cell>
          <cell r="F3766" t="str">
            <v>Rəqəmsal marketinq üzrə ekspert</v>
          </cell>
          <cell r="G3766" t="str">
            <v>A</v>
          </cell>
          <cell r="H3766">
            <v>46237</v>
          </cell>
          <cell r="I3766" t="str">
            <v>Bir Payment</v>
          </cell>
        </row>
        <row r="3767">
          <cell r="B3767" t="str">
            <v>Məmmədli Tərlan Rahim</v>
          </cell>
          <cell r="C3767" t="str">
            <v>Marketinq ekspert mərkəzi</v>
          </cell>
          <cell r="D3767" t="str">
            <v>Rəqəmsal marketinq prosesi</v>
          </cell>
          <cell r="E3767" t="str">
            <v>#</v>
          </cell>
          <cell r="F3767" t="str">
            <v>Rəqəmsal marketinq üzrə ekspert</v>
          </cell>
          <cell r="G3767" t="str">
            <v>A</v>
          </cell>
          <cell r="H3767">
            <v>46241</v>
          </cell>
          <cell r="I3767" t="str">
            <v>BirMarket</v>
          </cell>
        </row>
        <row r="3768">
          <cell r="B3768" t="str">
            <v>Bayramov Ülvi İlqar</v>
          </cell>
          <cell r="C3768" t="str">
            <v>Marketinq ekspert mərkəzi</v>
          </cell>
          <cell r="D3768" t="str">
            <v>Rəqəmsal marketinq prosesi</v>
          </cell>
          <cell r="E3768" t="str">
            <v>#</v>
          </cell>
          <cell r="F3768" t="str">
            <v>Rəqəmsal marketinq üzrə ekspert</v>
          </cell>
          <cell r="G3768" t="str">
            <v>A</v>
          </cell>
          <cell r="H3768">
            <v>46241</v>
          </cell>
          <cell r="I3768" t="str">
            <v>BirMarket</v>
          </cell>
        </row>
        <row r="3769">
          <cell r="B3769" t="str">
            <v>Zeynalli Taleh Ceyhun</v>
          </cell>
          <cell r="C3769" t="str">
            <v>Marketinq ekspert mərkəzi</v>
          </cell>
          <cell r="D3769" t="str">
            <v>Rəqəmsal marketinq prosesi</v>
          </cell>
          <cell r="E3769" t="str">
            <v>#</v>
          </cell>
          <cell r="F3769" t="str">
            <v>Rəqəmsal marketinq üzrə ekspert</v>
          </cell>
          <cell r="G3769" t="str">
            <v>A</v>
          </cell>
          <cell r="H3769">
            <v>46241</v>
          </cell>
          <cell r="I3769" t="str">
            <v>BirMarket</v>
          </cell>
        </row>
        <row r="3770">
          <cell r="B3770" t="str">
            <v>Məmmədli Cavid Mürvət</v>
          </cell>
          <cell r="C3770" t="str">
            <v>Marketinq ekspert mərkəzi</v>
          </cell>
          <cell r="D3770" t="str">
            <v>Rəqəmsal marketinq prosesi</v>
          </cell>
          <cell r="E3770" t="str">
            <v>#</v>
          </cell>
          <cell r="F3770" t="str">
            <v>Rəqəmsal marketinq üzrə ekspert</v>
          </cell>
          <cell r="G3770" t="str">
            <v>A</v>
          </cell>
          <cell r="H3770">
            <v>46266</v>
          </cell>
          <cell r="I3770" t="str">
            <v>Bir Payment</v>
          </cell>
        </row>
        <row r="3771">
          <cell r="B3771" t="str">
            <v>Abbasova Nəzifə İslam</v>
          </cell>
          <cell r="C3771" t="str">
            <v>Marketinq ekspert mərkəzi</v>
          </cell>
          <cell r="D3771" t="str">
            <v>Rəqəmsal marketinq prosesi</v>
          </cell>
          <cell r="E3771" t="str">
            <v>#</v>
          </cell>
          <cell r="F3771" t="str">
            <v>Rəqəmsal marketinq üzrə ekspert</v>
          </cell>
          <cell r="G3771" t="str">
            <v>A</v>
          </cell>
          <cell r="H3771">
            <v>46241</v>
          </cell>
          <cell r="I3771" t="str">
            <v>BirMarket</v>
          </cell>
        </row>
        <row r="3772">
          <cell r="B3772" t="str">
            <v>Cabbarov İsrafil Fəxrəddin</v>
          </cell>
          <cell r="C3772" t="str">
            <v>Marketinq ekspert mərkəzi</v>
          </cell>
          <cell r="D3772" t="str">
            <v>Rəqəmsal marketinq prosesi</v>
          </cell>
          <cell r="E3772" t="str">
            <v>#</v>
          </cell>
          <cell r="F3772" t="str">
            <v>Rəqəmsal marketinq üzrə ekspert</v>
          </cell>
          <cell r="G3772" t="str">
            <v>A</v>
          </cell>
          <cell r="H3772">
            <v>46241</v>
          </cell>
          <cell r="I3772" t="str">
            <v>BirMarket</v>
          </cell>
        </row>
        <row r="3773">
          <cell r="B3773" t="str">
            <v>Xasiyeva Gülay Nəsimi</v>
          </cell>
          <cell r="C3773" t="str">
            <v>Marketinq ekspert mərkəzi</v>
          </cell>
          <cell r="D3773" t="str">
            <v>Rəqəmsal marketinq prosesi</v>
          </cell>
          <cell r="E3773" t="str">
            <v>#</v>
          </cell>
          <cell r="F3773" t="str">
            <v>Rəqəmsal marketinq üzrə ekspert</v>
          </cell>
          <cell r="G3773" t="str">
            <v>A</v>
          </cell>
          <cell r="H3773">
            <v>46247</v>
          </cell>
          <cell r="I3773" t="str">
            <v>Bir Payment</v>
          </cell>
        </row>
        <row r="3774">
          <cell r="B3774" t="str">
            <v>Ağayeva Məsməxanım Sərvər</v>
          </cell>
          <cell r="C3774" t="str">
            <v>Marketinq ekspert mərkəzi</v>
          </cell>
          <cell r="D3774" t="str">
            <v>Rəqəmsal marketinq prosesi</v>
          </cell>
          <cell r="E3774" t="str">
            <v>#</v>
          </cell>
          <cell r="F3774" t="str">
            <v>Kreativ həllər üzrə ekspert</v>
          </cell>
          <cell r="G3774" t="str">
            <v>A</v>
          </cell>
          <cell r="H3774">
            <v>44939</v>
          </cell>
        </row>
        <row r="3775">
          <cell r="B3775" t="str">
            <v>Nəsirov Həsən Vaqif</v>
          </cell>
          <cell r="C3775" t="str">
            <v>Marketinq ekspert mərkəzi</v>
          </cell>
          <cell r="D3775" t="str">
            <v>Rəqəmsal marketinq prosesi</v>
          </cell>
          <cell r="E3775" t="str">
            <v>#</v>
          </cell>
          <cell r="F3775" t="str">
            <v>Rəqəmsal marketinq üzrə ekspert</v>
          </cell>
          <cell r="G3775" t="str">
            <v>A</v>
          </cell>
          <cell r="H3775">
            <v>45947</v>
          </cell>
        </row>
        <row r="3776">
          <cell r="B3776" t="str">
            <v>Alızadə Nihad Namiq</v>
          </cell>
          <cell r="C3776" t="str">
            <v>Marketinq ekspert mərkəzi</v>
          </cell>
          <cell r="D3776" t="str">
            <v>Rəqəmsal marketinq prosesi</v>
          </cell>
          <cell r="E3776" t="str">
            <v>#</v>
          </cell>
          <cell r="F3776" t="str">
            <v>Rəqəmsal marketinq üzrə ekspert</v>
          </cell>
          <cell r="G3776" t="str">
            <v>A</v>
          </cell>
          <cell r="H3776">
            <v>45177</v>
          </cell>
        </row>
        <row r="3777">
          <cell r="B3777" t="str">
            <v>Qulizadə Qaratel Fəzayıl</v>
          </cell>
          <cell r="C3777" t="str">
            <v>Marketinq ekspert mərkəzi</v>
          </cell>
          <cell r="D3777" t="str">
            <v>Rəqəmsal marketinq prosesi</v>
          </cell>
          <cell r="E3777" t="str">
            <v>#</v>
          </cell>
          <cell r="F3777" t="str">
            <v>Rəqəmsal marketinq üzrə ekspert</v>
          </cell>
          <cell r="G3777" t="str">
            <v>A</v>
          </cell>
          <cell r="H3777">
            <v>44795</v>
          </cell>
        </row>
        <row r="3778">
          <cell r="B3778" t="str">
            <v>Əhmədov Ülvi Qurban</v>
          </cell>
          <cell r="C3778" t="str">
            <v>Marketinq ekspert mərkəzi</v>
          </cell>
          <cell r="D3778" t="str">
            <v>Rəqəmsal marketinq prosesi</v>
          </cell>
          <cell r="E3778" t="str">
            <v>#</v>
          </cell>
          <cell r="F3778" t="str">
            <v>Rəqəmsal marketinq üzrə ekspert</v>
          </cell>
          <cell r="G3778" t="str">
            <v>A</v>
          </cell>
          <cell r="H3778">
            <v>45986</v>
          </cell>
        </row>
        <row r="3779">
          <cell r="B3779" t="str">
            <v>Əliyev Nicat Nizami</v>
          </cell>
          <cell r="C3779" t="str">
            <v>Marketinq ekspert mərkəzi</v>
          </cell>
          <cell r="D3779" t="str">
            <v>Rəqəmsal marketinq prosesi</v>
          </cell>
          <cell r="E3779" t="str">
            <v>#</v>
          </cell>
          <cell r="F3779" t="str">
            <v>Rəqəmsal marketinq üzrə ekspert</v>
          </cell>
          <cell r="G3779" t="str">
            <v>A</v>
          </cell>
          <cell r="H3779">
            <v>45287</v>
          </cell>
        </row>
        <row r="3780">
          <cell r="B3780" t="str">
            <v>İsmayılova Emilya Müşfiq</v>
          </cell>
          <cell r="C3780" t="str">
            <v>Marketinq ekspert mərkəzi</v>
          </cell>
          <cell r="D3780" t="str">
            <v>Rəqəmsal marketinq prosesi</v>
          </cell>
          <cell r="E3780" t="str">
            <v>#</v>
          </cell>
          <cell r="F3780" t="str">
            <v>Rəqəmsal marketinq üzrə ekspert</v>
          </cell>
          <cell r="G3780" t="str">
            <v>A</v>
          </cell>
          <cell r="H3780">
            <v>45300</v>
          </cell>
        </row>
        <row r="3781">
          <cell r="B3781" t="str">
            <v>Bağırova Oksana İqoryevna</v>
          </cell>
          <cell r="C3781" t="str">
            <v>Marketinq ekspert mərkəzi</v>
          </cell>
          <cell r="D3781" t="str">
            <v>Rəqəmsal marketinq prosesi</v>
          </cell>
          <cell r="E3781" t="str">
            <v>#</v>
          </cell>
          <cell r="F3781" t="str">
            <v>Rəqəmsal marketinq üzrə ekspert</v>
          </cell>
          <cell r="G3781" t="str">
            <v>A</v>
          </cell>
          <cell r="H3781">
            <v>45301</v>
          </cell>
        </row>
        <row r="3782">
          <cell r="B3782" t="str">
            <v>İsayev Şəhriyar Zöhrab</v>
          </cell>
          <cell r="C3782" t="str">
            <v>Marketinq ekspert mərkəzi</v>
          </cell>
          <cell r="D3782" t="str">
            <v>Rəqəmsal marketinq prosesi</v>
          </cell>
          <cell r="E3782" t="str">
            <v>#</v>
          </cell>
          <cell r="F3782" t="str">
            <v>Rəqəmsal marketinq üzrə ekspert</v>
          </cell>
          <cell r="G3782" t="str">
            <v>A</v>
          </cell>
          <cell r="H3782">
            <v>45474</v>
          </cell>
        </row>
        <row r="3783">
          <cell r="B3783" t="str">
            <v>Əliyeva Xəyalə Çingiz</v>
          </cell>
          <cell r="C3783" t="str">
            <v>Marketinq ekspert mərkəzi</v>
          </cell>
          <cell r="D3783" t="str">
            <v>Rəqəmsal marketinq prosesi</v>
          </cell>
          <cell r="E3783" t="str">
            <v>#</v>
          </cell>
          <cell r="F3783" t="str">
            <v>Rəqəmsal marketinq üzrə ekspert</v>
          </cell>
          <cell r="G3783" t="str">
            <v>A</v>
          </cell>
          <cell r="H3783">
            <v>45576</v>
          </cell>
        </row>
        <row r="3784">
          <cell r="B3784" t="str">
            <v>Rəcəbova Leyla Rufət</v>
          </cell>
          <cell r="C3784" t="str">
            <v>Marketinq ekspert mərkəzi</v>
          </cell>
          <cell r="D3784" t="str">
            <v>Rəqəmsal marketinq prosesi</v>
          </cell>
          <cell r="E3784" t="str">
            <v>#</v>
          </cell>
          <cell r="F3784" t="str">
            <v>Rəqəmsal marketinq üzrə ekspert</v>
          </cell>
          <cell r="G3784" t="str">
            <v>A</v>
          </cell>
          <cell r="H3784">
            <v>43670</v>
          </cell>
        </row>
        <row r="3785">
          <cell r="B3785" t="str">
            <v>Məmmədova Alidə Bəşir</v>
          </cell>
          <cell r="C3785" t="str">
            <v>Marketinq ekspert mərkəzi</v>
          </cell>
          <cell r="D3785" t="str">
            <v>Rəqəmsal marketinq prosesi</v>
          </cell>
          <cell r="E3785" t="str">
            <v>#</v>
          </cell>
          <cell r="F3785" t="str">
            <v>Rəqəmsal marketinq üzrə ekspert</v>
          </cell>
          <cell r="G3785" t="str">
            <v>A</v>
          </cell>
          <cell r="H3785">
            <v>45866</v>
          </cell>
        </row>
        <row r="3786">
          <cell r="B3786" t="str">
            <v>Ağazadə Taryel İsa</v>
          </cell>
          <cell r="C3786" t="str">
            <v>Marketinq ekspert mərkəzi</v>
          </cell>
          <cell r="D3786" t="str">
            <v>Rəqəmsal marketinq prosesi</v>
          </cell>
          <cell r="E3786" t="str">
            <v>#</v>
          </cell>
          <cell r="F3786" t="str">
            <v>İnnovasiyalar üzrə ekspert</v>
          </cell>
          <cell r="G3786" t="str">
            <v>A</v>
          </cell>
          <cell r="H3786">
            <v>44726</v>
          </cell>
        </row>
        <row r="3787">
          <cell r="B3787" t="str">
            <v>Məmmədov Pünhan İntiqam</v>
          </cell>
          <cell r="C3787" t="str">
            <v>Marketinq ekspert mərkəzi</v>
          </cell>
          <cell r="D3787" t="str">
            <v>Məhsulların marketinqi prosesi</v>
          </cell>
          <cell r="E3787" t="str">
            <v>#</v>
          </cell>
          <cell r="F3787" t="str">
            <v>Məhsulların marketinqi üzrə ekspert</v>
          </cell>
          <cell r="G3787" t="str">
            <v>A</v>
          </cell>
          <cell r="H3787">
            <v>45566</v>
          </cell>
        </row>
        <row r="3788">
          <cell r="B3788" t="str">
            <v>Aslanova Emel Zülfüqar</v>
          </cell>
          <cell r="C3788" t="str">
            <v>Marketinq ekspert mərkəzi</v>
          </cell>
          <cell r="D3788" t="str">
            <v>Rəqəmsal marketinq prosesi</v>
          </cell>
          <cell r="E3788" t="str">
            <v>#</v>
          </cell>
          <cell r="F3788" t="str">
            <v>Rəqəmsal marketinq üzrə ekspert</v>
          </cell>
          <cell r="G3788" t="str">
            <v>A</v>
          </cell>
          <cell r="H3788">
            <v>45566</v>
          </cell>
        </row>
        <row r="3789">
          <cell r="B3789" t="str">
            <v>Həmidova Fidan Vahab</v>
          </cell>
          <cell r="C3789" t="str">
            <v>Marketinq ekspert mərkəzi</v>
          </cell>
          <cell r="D3789" t="str">
            <v>Məhsulların marketinqi prosesi</v>
          </cell>
          <cell r="E3789" t="str">
            <v>#</v>
          </cell>
          <cell r="F3789" t="str">
            <v>Məhsulların marketinqi üzrə ekspert</v>
          </cell>
          <cell r="G3789" t="str">
            <v>HX</v>
          </cell>
          <cell r="H3789">
            <v>45566</v>
          </cell>
        </row>
        <row r="3790">
          <cell r="B3790" t="str">
            <v>Məmmədova Mina Ayaz</v>
          </cell>
          <cell r="C3790" t="str">
            <v>Marketinq ekspert mərkəzi</v>
          </cell>
          <cell r="D3790" t="str">
            <v>Məhsulların marketinqi prosesi</v>
          </cell>
          <cell r="E3790" t="str">
            <v>#</v>
          </cell>
          <cell r="F3790" t="str">
            <v>Məhsulların marketinqi üzrə ekspert</v>
          </cell>
          <cell r="G3790" t="str">
            <v>A</v>
          </cell>
          <cell r="H3790">
            <v>45566</v>
          </cell>
        </row>
        <row r="3791">
          <cell r="B3791" t="str">
            <v>Şükürova Naina Telman</v>
          </cell>
          <cell r="C3791" t="str">
            <v>Ödəniş və transferlər sahəsi</v>
          </cell>
          <cell r="D3791" t="str">
            <v>#</v>
          </cell>
          <cell r="E3791" t="str">
            <v>#</v>
          </cell>
          <cell r="F3791" t="str">
            <v>Sahə lideri</v>
          </cell>
          <cell r="G3791" t="str">
            <v>A</v>
          </cell>
          <cell r="H3791">
            <v>45257</v>
          </cell>
        </row>
        <row r="3792">
          <cell r="B3792" t="str">
            <v>Qədimov Bəxtiyar Müzəfər</v>
          </cell>
          <cell r="C3792" t="str">
            <v>Özünəxidmət terminalları sahəsi</v>
          </cell>
          <cell r="D3792" t="str">
            <v>ATM/ADMs</v>
          </cell>
          <cell r="E3792" t="str">
            <v>#</v>
          </cell>
          <cell r="F3792" t="str">
            <v>Məhsul sahibi</v>
          </cell>
          <cell r="G3792" t="str">
            <v>A</v>
          </cell>
          <cell r="H3792">
            <v>42405</v>
          </cell>
        </row>
        <row r="3793">
          <cell r="B3793" t="str">
            <v>Şükürov Vahid Adil</v>
          </cell>
          <cell r="C3793" t="str">
            <v>Özünəxidmət terminalları sahəsi</v>
          </cell>
          <cell r="D3793" t="str">
            <v>#</v>
          </cell>
          <cell r="E3793" t="str">
            <v>#</v>
          </cell>
          <cell r="F3793" t="str">
            <v>Sahə lideri</v>
          </cell>
          <cell r="G3793" t="str">
            <v>A</v>
          </cell>
          <cell r="H3793">
            <v>46184</v>
          </cell>
          <cell r="I3793" t="str">
            <v>Bir Payment</v>
          </cell>
        </row>
        <row r="3794">
          <cell r="B3794" t="str">
            <v>Əliyeva Leyla Eldar</v>
          </cell>
          <cell r="C3794" t="str">
            <v>Ödəniş və transferlər sahəsi</v>
          </cell>
          <cell r="D3794" t="str">
            <v>Transfers</v>
          </cell>
          <cell r="E3794" t="str">
            <v>#</v>
          </cell>
          <cell r="F3794" t="str">
            <v>Məhsul sahibi</v>
          </cell>
          <cell r="G3794" t="str">
            <v>A</v>
          </cell>
          <cell r="H3794">
            <v>43474</v>
          </cell>
        </row>
        <row r="3795">
          <cell r="B3795" t="str">
            <v>Əliyev Adil Zaur</v>
          </cell>
          <cell r="C3795" t="str">
            <v>Ödəniş və transferlər sahəsi</v>
          </cell>
          <cell r="D3795" t="str">
            <v>Payments</v>
          </cell>
          <cell r="E3795" t="str">
            <v>#</v>
          </cell>
          <cell r="F3795" t="str">
            <v>Məhsul sahibi</v>
          </cell>
          <cell r="G3795" t="str">
            <v>A</v>
          </cell>
          <cell r="H3795">
            <v>45931</v>
          </cell>
        </row>
        <row r="3796">
          <cell r="B3796" t="str">
            <v>Drokin Timur Vladimiroviç</v>
          </cell>
          <cell r="C3796" t="str">
            <v>Kart biznesi ekspert mərkəzi</v>
          </cell>
          <cell r="D3796" t="str">
            <v>#</v>
          </cell>
          <cell r="E3796" t="str">
            <v>#</v>
          </cell>
          <cell r="F3796" t="str">
            <v>Ekspert mərkəzinin lideri</v>
          </cell>
          <cell r="G3796" t="str">
            <v>A</v>
          </cell>
          <cell r="H3796">
            <v>45301</v>
          </cell>
        </row>
        <row r="3797">
          <cell r="B3797" t="str">
            <v>Xəlilova Aygün İman</v>
          </cell>
          <cell r="C3797" t="str">
            <v>Kart biznesi ekspert mərkəzi</v>
          </cell>
          <cell r="D3797" t="str">
            <v>Chargeback prosesi</v>
          </cell>
          <cell r="E3797" t="str">
            <v>#</v>
          </cell>
          <cell r="F3797" t="str">
            <v>Proses sahibi</v>
          </cell>
          <cell r="G3797" t="str">
            <v>A</v>
          </cell>
          <cell r="H3797">
            <v>44624</v>
          </cell>
        </row>
        <row r="3798">
          <cell r="B3798" t="str">
            <v>Abbasov Samir Aqif</v>
          </cell>
          <cell r="C3798" t="str">
            <v>Kart biznesi ekspert mərkəzi</v>
          </cell>
          <cell r="D3798" t="str">
            <v>Chargeback prosesi</v>
          </cell>
          <cell r="E3798" t="str">
            <v>#</v>
          </cell>
          <cell r="F3798" t="str">
            <v>Chargeback üzrə baş mütəxəssis</v>
          </cell>
          <cell r="G3798" t="str">
            <v>A</v>
          </cell>
          <cell r="H3798">
            <v>44777</v>
          </cell>
        </row>
        <row r="3799">
          <cell r="B3799" t="str">
            <v>Məmmədli Gülər Nemət</v>
          </cell>
          <cell r="C3799" t="str">
            <v>Kart biznesi ekspert mərkəzi</v>
          </cell>
          <cell r="D3799" t="str">
            <v>Chargeback prosesi</v>
          </cell>
          <cell r="E3799" t="str">
            <v>#</v>
          </cell>
          <cell r="F3799" t="str">
            <v>Chargeback üzrə mütəxəssis</v>
          </cell>
          <cell r="G3799" t="str">
            <v>A</v>
          </cell>
          <cell r="H3799">
            <v>44788</v>
          </cell>
        </row>
        <row r="3800">
          <cell r="B3800" t="str">
            <v>Ağayeva Göyçək Fərid</v>
          </cell>
          <cell r="C3800" t="str">
            <v>Kart biznesi ekspert mərkəzi</v>
          </cell>
          <cell r="D3800" t="str">
            <v>Chargeback prosesi</v>
          </cell>
          <cell r="E3800" t="str">
            <v>#</v>
          </cell>
          <cell r="F3800" t="str">
            <v>Chargeback üzrə aparıcı mütəxəssis</v>
          </cell>
          <cell r="G3800" t="str">
            <v>A</v>
          </cell>
          <cell r="H3800">
            <v>44302</v>
          </cell>
        </row>
        <row r="3801">
          <cell r="B3801" t="str">
            <v>Temirli Bəşarət Elnur</v>
          </cell>
          <cell r="C3801" t="str">
            <v>Kart biznesi ekspert mərkəzi</v>
          </cell>
          <cell r="D3801" t="str">
            <v>Chargeback prosesi</v>
          </cell>
          <cell r="E3801" t="str">
            <v>#</v>
          </cell>
          <cell r="F3801" t="str">
            <v>Chargeback üzrə mütəxəssis</v>
          </cell>
          <cell r="G3801" t="str">
            <v>A</v>
          </cell>
          <cell r="H3801">
            <v>44795</v>
          </cell>
        </row>
        <row r="3802">
          <cell r="B3802" t="str">
            <v>Əliyev Fariz İlqar</v>
          </cell>
          <cell r="C3802" t="str">
            <v>Kart biznesi ekspert mərkəzi</v>
          </cell>
          <cell r="D3802" t="str">
            <v>Kart biznesinə təşkilati dəstək prosesi</v>
          </cell>
          <cell r="E3802" t="str">
            <v>#</v>
          </cell>
          <cell r="F3802" t="str">
            <v>Proses sahibi</v>
          </cell>
          <cell r="G3802" t="str">
            <v>A</v>
          </cell>
          <cell r="H3802">
            <v>45358</v>
          </cell>
        </row>
        <row r="3803">
          <cell r="B3803" t="str">
            <v>Ələkbərov Nazim Ramiz</v>
          </cell>
          <cell r="C3803" t="str">
            <v>Kart biznesi ekspert mərkəzi</v>
          </cell>
          <cell r="D3803" t="str">
            <v>Kart biznesinə təşkilati dəstək prosesi</v>
          </cell>
          <cell r="E3803" t="str">
            <v>#</v>
          </cell>
          <cell r="F3803" t="str">
            <v>Kart biznesinə təşkilati dəstək üzrə aparıcı mütəxəssis</v>
          </cell>
          <cell r="G3803" t="str">
            <v>A</v>
          </cell>
          <cell r="H3803">
            <v>45526</v>
          </cell>
        </row>
        <row r="3804">
          <cell r="B3804" t="str">
            <v>Məmmədov Elnur İlham</v>
          </cell>
          <cell r="C3804" t="str">
            <v>Kart biznesi ekspert mərkəzi</v>
          </cell>
          <cell r="D3804" t="str">
            <v>Kart biznesinin analitikası və hesabatlılıq prosesi</v>
          </cell>
          <cell r="E3804" t="str">
            <v>#</v>
          </cell>
          <cell r="F3804" t="str">
            <v>Proses sahibi</v>
          </cell>
          <cell r="G3804" t="str">
            <v>A</v>
          </cell>
          <cell r="H3804">
            <v>42326</v>
          </cell>
        </row>
        <row r="3805">
          <cell r="B3805" t="str">
            <v>Mustafazadə Sabir Akif</v>
          </cell>
          <cell r="C3805" t="str">
            <v>Kart biznesi ekspert mərkəzi</v>
          </cell>
          <cell r="D3805" t="str">
            <v>Kart biznesinin analitikası və hesabatlılıq prosesi</v>
          </cell>
          <cell r="E3805" t="str">
            <v>#</v>
          </cell>
          <cell r="F3805" t="str">
            <v>Kart analitikası üzrə aparıcı mütəxəssis</v>
          </cell>
          <cell r="G3805" t="str">
            <v>A</v>
          </cell>
          <cell r="H3805">
            <v>44788</v>
          </cell>
        </row>
        <row r="3806">
          <cell r="B3806" t="str">
            <v>Rəcəbli Aytən Çingiz</v>
          </cell>
          <cell r="C3806" t="str">
            <v>Kart biznesi ekspert mərkəzi</v>
          </cell>
          <cell r="D3806" t="str">
            <v>Kart biznesinin analitikası və hesabatlılıq prosesi</v>
          </cell>
          <cell r="E3806" t="str">
            <v>#</v>
          </cell>
          <cell r="F3806" t="str">
            <v>Kart analitikası üzrə mütəxəssis</v>
          </cell>
          <cell r="G3806" t="str">
            <v>A</v>
          </cell>
          <cell r="H3806">
            <v>45720</v>
          </cell>
        </row>
        <row r="3807">
          <cell r="B3807" t="str">
            <v>Qaracayev Həmid Məharət</v>
          </cell>
          <cell r="C3807" t="str">
            <v>Kart biznesi ekspert mərkəzi</v>
          </cell>
          <cell r="D3807" t="str">
            <v>Kart biznesinin analitikası və hesabatlılıq prosesi</v>
          </cell>
          <cell r="E3807" t="str">
            <v>#</v>
          </cell>
          <cell r="F3807" t="str">
            <v>Kart analitikası üzrə kiçik mütəxəssis</v>
          </cell>
          <cell r="G3807" t="str">
            <v>A</v>
          </cell>
          <cell r="H3807">
            <v>46254</v>
          </cell>
        </row>
        <row r="3808">
          <cell r="B3808" t="str">
            <v>Hacı-Qurbanlı Salman Samit</v>
          </cell>
          <cell r="C3808" t="str">
            <v>Rəqəmsal dələduzluğa qarşı mübarizə departamenti</v>
          </cell>
          <cell r="D3808" t="str">
            <v>Analitika şöbəsi</v>
          </cell>
          <cell r="E3808" t="str">
            <v>#</v>
          </cell>
          <cell r="F3808" t="str">
            <v>Menecer</v>
          </cell>
          <cell r="G3808" t="str">
            <v>A</v>
          </cell>
          <cell r="H3808">
            <v>43472</v>
          </cell>
        </row>
        <row r="3809">
          <cell r="B3809" t="str">
            <v>Hüseynov Murad Araz</v>
          </cell>
          <cell r="C3809" t="str">
            <v>Rəqəmsal dələduzluğa qarşı mübarizə departamenti</v>
          </cell>
          <cell r="D3809" t="str">
            <v>Analitika şöbəsi</v>
          </cell>
          <cell r="E3809" t="str">
            <v>#</v>
          </cell>
          <cell r="F3809" t="str">
            <v>Baş mütəxəssis</v>
          </cell>
          <cell r="G3809" t="str">
            <v>A</v>
          </cell>
          <cell r="H3809">
            <v>43902</v>
          </cell>
        </row>
        <row r="3810">
          <cell r="B3810" t="str">
            <v>Gəbəybəyov Mirzağa Akif</v>
          </cell>
          <cell r="C3810" t="str">
            <v>Rəqəmsal dələduzluğa qarşı mübarizə departamenti</v>
          </cell>
          <cell r="D3810" t="str">
            <v>Monitorinq şöbəsi</v>
          </cell>
          <cell r="E3810" t="str">
            <v>#</v>
          </cell>
          <cell r="F3810" t="str">
            <v>Aparıcı mütəxəssis</v>
          </cell>
          <cell r="G3810" t="str">
            <v>A</v>
          </cell>
          <cell r="H3810">
            <v>44256</v>
          </cell>
        </row>
        <row r="3811">
          <cell r="B3811" t="str">
            <v>Quliyev Zakir Salman</v>
          </cell>
          <cell r="C3811" t="str">
            <v>Rəqəmsal dələduzluğa qarşı mübarizə departamenti</v>
          </cell>
          <cell r="D3811" t="str">
            <v>#</v>
          </cell>
          <cell r="E3811" t="str">
            <v>#</v>
          </cell>
          <cell r="F3811" t="str">
            <v>Baş mütəxəssis</v>
          </cell>
          <cell r="G3811" t="str">
            <v>A</v>
          </cell>
          <cell r="H3811">
            <v>44449</v>
          </cell>
        </row>
        <row r="3812">
          <cell r="B3812" t="str">
            <v>Əkbərov Orxan Şahid</v>
          </cell>
          <cell r="C3812" t="str">
            <v>Rəqəmsal dələduzluğa qarşı mübarizə departamenti</v>
          </cell>
          <cell r="D3812" t="str">
            <v>#</v>
          </cell>
          <cell r="E3812" t="str">
            <v>#</v>
          </cell>
          <cell r="F3812" t="str">
            <v>Mütəxəssis</v>
          </cell>
          <cell r="G3812" t="str">
            <v>A</v>
          </cell>
          <cell r="H3812">
            <v>45232</v>
          </cell>
        </row>
        <row r="3813">
          <cell r="B3813" t="str">
            <v>Məmmədova Nərgiz Seyfəddin</v>
          </cell>
          <cell r="C3813" t="str">
            <v>Rəqəmsal dələduzluğa qarşı mübarizə departamenti</v>
          </cell>
          <cell r="D3813" t="str">
            <v>Monitorinq şöbəsi</v>
          </cell>
          <cell r="E3813" t="str">
            <v>#</v>
          </cell>
          <cell r="F3813" t="str">
            <v>aparıcı mütəxəssis</v>
          </cell>
          <cell r="G3813" t="str">
            <v>A</v>
          </cell>
          <cell r="H3813">
            <v>43885</v>
          </cell>
        </row>
        <row r="3814">
          <cell r="B3814" t="str">
            <v>Məsmalıyeva Fidan Rafiq</v>
          </cell>
          <cell r="C3814" t="str">
            <v>Rəqəmsal dələduzluğa qarşı mübarizə departamenti</v>
          </cell>
          <cell r="D3814" t="str">
            <v>Monitorinq şöbəsi</v>
          </cell>
          <cell r="E3814" t="str">
            <v>#</v>
          </cell>
          <cell r="F3814" t="str">
            <v>aparıcı mütəxəssis</v>
          </cell>
          <cell r="G3814" t="str">
            <v>A</v>
          </cell>
          <cell r="H3814">
            <v>44705</v>
          </cell>
        </row>
        <row r="3815">
          <cell r="B3815" t="str">
            <v>Cəmilov Muxtar Elman</v>
          </cell>
          <cell r="C3815" t="str">
            <v>Rəqəmsal dələduzluğa qarşı mübarizə departamenti</v>
          </cell>
          <cell r="D3815" t="str">
            <v>Monitorinq şöbəsi</v>
          </cell>
          <cell r="E3815" t="str">
            <v>#</v>
          </cell>
          <cell r="F3815" t="str">
            <v>Mütəxəssis</v>
          </cell>
          <cell r="G3815" t="str">
            <v>A</v>
          </cell>
          <cell r="H3815">
            <v>46139</v>
          </cell>
          <cell r="I3815" t="str">
            <v>Bir Payment</v>
          </cell>
        </row>
        <row r="3816">
          <cell r="B3816" t="str">
            <v xml:space="preserve">	Hacıbəyli Fərid Nofəl</v>
          </cell>
          <cell r="C3816" t="str">
            <v>Rəqəmsal dələduzluğa qarşı mübarizə departamenti</v>
          </cell>
          <cell r="D3816" t="str">
            <v>Monitorinq şöbəsi</v>
          </cell>
          <cell r="E3816" t="str">
            <v>#</v>
          </cell>
          <cell r="F3816" t="str">
            <v>Mütəxəssis</v>
          </cell>
          <cell r="G3816" t="str">
            <v>A</v>
          </cell>
          <cell r="H3816">
            <v>46139</v>
          </cell>
          <cell r="I3816" t="str">
            <v>Bir Payment</v>
          </cell>
        </row>
        <row r="3817">
          <cell r="B3817" t="str">
            <v>Babasoy Günay Allahverdi</v>
          </cell>
          <cell r="C3817" t="str">
            <v>Rəqəmsal dələduzluğa qarşı mübarizə departamenti</v>
          </cell>
          <cell r="D3817" t="str">
            <v>Monitorinq şöbəsi</v>
          </cell>
          <cell r="E3817" t="str">
            <v>#</v>
          </cell>
          <cell r="F3817" t="str">
            <v>aparıcı mütəxəssis</v>
          </cell>
          <cell r="G3817" t="str">
            <v>A</v>
          </cell>
          <cell r="H3817">
            <v>45250</v>
          </cell>
        </row>
        <row r="3818">
          <cell r="B3818" t="str">
            <v>Mamedova Zəhra Vidadi</v>
          </cell>
          <cell r="C3818" t="str">
            <v>Rəqəmsal dələduzluğa qarşı mübarizə departamenti</v>
          </cell>
          <cell r="D3818" t="str">
            <v>Monitorinq şöbəsi</v>
          </cell>
          <cell r="E3818" t="str">
            <v>#</v>
          </cell>
          <cell r="F3818" t="str">
            <v>aparıcı mütəxəssis</v>
          </cell>
          <cell r="G3818" t="str">
            <v>A</v>
          </cell>
          <cell r="H3818">
            <v>45275</v>
          </cell>
        </row>
        <row r="3819">
          <cell r="B3819" t="str">
            <v>Əhmədov Rəsul Etibar</v>
          </cell>
          <cell r="C3819" t="str">
            <v>Rəqəmsal dələduzluğa qarşı mübarizə departamenti</v>
          </cell>
          <cell r="D3819" t="str">
            <v>Monitorinq şöbəsi</v>
          </cell>
          <cell r="E3819" t="str">
            <v>#</v>
          </cell>
          <cell r="F3819" t="str">
            <v>aparıcı mütəxəssis</v>
          </cell>
          <cell r="G3819" t="str">
            <v>A</v>
          </cell>
          <cell r="H3819">
            <v>43885</v>
          </cell>
        </row>
        <row r="3820">
          <cell r="B3820" t="str">
            <v>Məmiyeva Firuzə Afər</v>
          </cell>
          <cell r="C3820" t="str">
            <v>Rəqəmsal dələduzluğa qarşı mübarizə departamenti</v>
          </cell>
          <cell r="D3820" t="str">
            <v>Analitika şöbəsi</v>
          </cell>
          <cell r="E3820" t="str">
            <v>#</v>
          </cell>
          <cell r="F3820" t="str">
            <v>Kiçik mütəxəssis</v>
          </cell>
          <cell r="G3820" t="str">
            <v>A</v>
          </cell>
          <cell r="H3820">
            <v>46008</v>
          </cell>
        </row>
        <row r="3821">
          <cell r="B3821" t="str">
            <v>Mahmudov Mahmud Vidadi</v>
          </cell>
          <cell r="C3821" t="str">
            <v>Biznes sahələrinin inkişafı və partnyor şəbəkəsi departamenti</v>
          </cell>
          <cell r="D3821" t="str">
            <v>#</v>
          </cell>
          <cell r="E3821" t="str">
            <v>#</v>
          </cell>
          <cell r="F3821" t="str">
            <v>Direktor</v>
          </cell>
          <cell r="G3821" t="str">
            <v>A</v>
          </cell>
          <cell r="H3821">
            <v>43152</v>
          </cell>
        </row>
        <row r="3822">
          <cell r="B3822" t="str">
            <v>Qasımov Sultan Elşən</v>
          </cell>
          <cell r="C3822" t="str">
            <v>Biznes sahələrinin inkişafı və partnyor şəbəkəsi departamenti</v>
          </cell>
          <cell r="D3822" t="str">
            <v>Xidmət sektorları üzrə partnyorluq şöbəsi</v>
          </cell>
          <cell r="E3822" t="str">
            <v>#</v>
          </cell>
          <cell r="F3822" t="str">
            <v>Şöbə müdiri</v>
          </cell>
          <cell r="G3822" t="str">
            <v>A</v>
          </cell>
          <cell r="H3822">
            <v>42186</v>
          </cell>
        </row>
        <row r="3823">
          <cell r="B3823" t="str">
            <v>Rzayeva Nəzrin İlham</v>
          </cell>
          <cell r="C3823" t="str">
            <v>Biznes sahələrinin inkişafı və partnyor şəbəkəsi departamenti</v>
          </cell>
          <cell r="D3823" t="str">
            <v>Xidmət sektorları üzrə partnyorluq şöbəsi</v>
          </cell>
          <cell r="E3823" t="str">
            <v>#</v>
          </cell>
          <cell r="F3823" t="str">
            <v>Menecer</v>
          </cell>
          <cell r="G3823" t="str">
            <v>SM</v>
          </cell>
          <cell r="H3823">
            <v>45566</v>
          </cell>
        </row>
        <row r="3824">
          <cell r="B3824" t="str">
            <v>Hacıbəyli Aslan Vəkil</v>
          </cell>
          <cell r="C3824" t="str">
            <v>Biznes sahələrinin inkişafı və partnyor şəbəkəsi departamenti</v>
          </cell>
          <cell r="D3824" t="str">
            <v>Satışın təşkili və dəstək şöbəsi</v>
          </cell>
          <cell r="E3824" t="str">
            <v>Ekosistem məhsullarının satışı bölməsi</v>
          </cell>
          <cell r="F3824" t="str">
            <v>Menecer</v>
          </cell>
          <cell r="G3824" t="str">
            <v>A</v>
          </cell>
          <cell r="H3824">
            <v>45069</v>
          </cell>
        </row>
        <row r="3825">
          <cell r="B3825" t="str">
            <v>Əfəndiyev Emil Altay</v>
          </cell>
          <cell r="C3825" t="str">
            <v>Biznes sahələrinin inkişafı və partnyor şəbəkəsi departamenti</v>
          </cell>
          <cell r="D3825" t="str">
            <v>Xidmət sektorları üzrə partnyorluq şöbəsi</v>
          </cell>
          <cell r="E3825" t="str">
            <v>#</v>
          </cell>
          <cell r="F3825" t="str">
            <v>Baş mütəxəssis</v>
          </cell>
          <cell r="G3825" t="str">
            <v>A</v>
          </cell>
          <cell r="H3825">
            <v>45695</v>
          </cell>
        </row>
        <row r="3826">
          <cell r="B3826" t="str">
            <v>Məlikov Rüfət Əbdülrəhman</v>
          </cell>
          <cell r="C3826" t="str">
            <v>Biznes sahələrinin inkişafı və partnyor şəbəkəsi departamenti</v>
          </cell>
          <cell r="D3826" t="str">
            <v>Xidmət sektorları üzrə partnyorluq şöbəsi</v>
          </cell>
          <cell r="E3826" t="str">
            <v>#</v>
          </cell>
          <cell r="F3826" t="str">
            <v>Baş mütəxəssis</v>
          </cell>
          <cell r="G3826" t="str">
            <v>A</v>
          </cell>
          <cell r="H3826">
            <v>46204</v>
          </cell>
          <cell r="I3826" t="str">
            <v>Paşa Holding</v>
          </cell>
        </row>
        <row r="3827">
          <cell r="B3827" t="str">
            <v>Mədətov Ziya Xanlar</v>
          </cell>
          <cell r="C3827" t="str">
            <v>Biznes sahələrinin inkişafı və partnyor şəbəkəsi departamenti</v>
          </cell>
          <cell r="D3827" t="str">
            <v>Xidmət sektorları üzrə partnyorluq şöbəsi</v>
          </cell>
          <cell r="E3827" t="str">
            <v>#</v>
          </cell>
          <cell r="F3827" t="str">
            <v>Baş mütəxəssis</v>
          </cell>
          <cell r="G3827" t="str">
            <v>A</v>
          </cell>
          <cell r="H3827">
            <v>43648</v>
          </cell>
        </row>
        <row r="3828">
          <cell r="B3828" t="str">
            <v>Nəcəfli İbrahim Loğman</v>
          </cell>
          <cell r="C3828" t="str">
            <v>Biznes sahələrinin inkişafı və partnyor şəbəkəsi departamenti</v>
          </cell>
          <cell r="D3828" t="str">
            <v>Xidmət sektorları üzrə partnyorluq şöbəsi</v>
          </cell>
          <cell r="E3828" t="str">
            <v>#</v>
          </cell>
          <cell r="F3828" t="str">
            <v>Aparıcı mütəxəssis</v>
          </cell>
          <cell r="G3828" t="str">
            <v>A</v>
          </cell>
          <cell r="H3828">
            <v>45699</v>
          </cell>
        </row>
        <row r="3829">
          <cell r="B3829" t="str">
            <v>Lahutizadə Ruslan Bayram</v>
          </cell>
          <cell r="C3829" t="str">
            <v>Biznes sahələrinin inkişafı və partnyor şəbəkəsi departamenti</v>
          </cell>
          <cell r="D3829" t="str">
            <v>Xidmət sektorları üzrə partnyorluq şöbəsi</v>
          </cell>
          <cell r="E3829" t="str">
            <v>#</v>
          </cell>
          <cell r="F3829" t="str">
            <v>Mütəxəssis</v>
          </cell>
          <cell r="G3829" t="str">
            <v>A</v>
          </cell>
          <cell r="H3829">
            <v>46174</v>
          </cell>
        </row>
        <row r="3830">
          <cell r="B3830" t="str">
            <v>Hüseynov Kənan Ramin</v>
          </cell>
          <cell r="C3830" t="str">
            <v>Biznes sahələrinin inkişafı və partnyor şəbəkəsi departamenti</v>
          </cell>
          <cell r="D3830" t="str">
            <v>Xidmət sektorları üzrə partnyorluq şöbəsi</v>
          </cell>
          <cell r="E3830" t="str">
            <v>#</v>
          </cell>
          <cell r="F3830" t="str">
            <v>Kiçik mütəxəssis</v>
          </cell>
          <cell r="G3830" t="str">
            <v>A</v>
          </cell>
          <cell r="H3830">
            <v>46126</v>
          </cell>
          <cell r="I3830" t="str">
            <v>Bir Payment</v>
          </cell>
        </row>
        <row r="3831">
          <cell r="B3831" t="str">
            <v>Məmmədov Razim Tofiq</v>
          </cell>
          <cell r="C3831" t="str">
            <v>Biznes sahələrinin inkişafı və partnyor şəbəkəsi departamenti</v>
          </cell>
          <cell r="D3831" t="str">
            <v>Gündəlik tələbat və səhiyyə sektoru üzrə partnyorluq şöbəsi</v>
          </cell>
          <cell r="E3831" t="str">
            <v>#</v>
          </cell>
          <cell r="F3831" t="str">
            <v>Menecer</v>
          </cell>
          <cell r="G3831" t="str">
            <v>A</v>
          </cell>
          <cell r="H3831">
            <v>45566</v>
          </cell>
        </row>
        <row r="3832">
          <cell r="B3832" t="str">
            <v>Həsənova Aysel Gündüz</v>
          </cell>
          <cell r="C3832" t="str">
            <v>Biznes sahələrinin inkişafı və partnyor şəbəkəsi departamenti</v>
          </cell>
          <cell r="D3832" t="str">
            <v>Xidmət sektorları üzrə partnyorluq şöbəsi</v>
          </cell>
          <cell r="E3832" t="str">
            <v>#</v>
          </cell>
          <cell r="F3832" t="str">
            <v>Aparıcı mütəxəssis</v>
          </cell>
          <cell r="G3832" t="str">
            <v>A</v>
          </cell>
          <cell r="H3832">
            <v>45566</v>
          </cell>
        </row>
        <row r="3833">
          <cell r="B3833" t="str">
            <v>Novruzov Rəşad İbrahim</v>
          </cell>
          <cell r="C3833" t="str">
            <v>Biznes sahələrinin inkişafı və partnyor şəbəkəsi departamenti</v>
          </cell>
          <cell r="D3833" t="str">
            <v>Enerji,avto və e-ticarət üzrə partnyorluq şöbəsi</v>
          </cell>
          <cell r="E3833" t="str">
            <v>#</v>
          </cell>
          <cell r="F3833" t="str">
            <v>Aparıcı mütəxəssis</v>
          </cell>
          <cell r="G3833" t="str">
            <v>A</v>
          </cell>
          <cell r="H3833">
            <v>45566</v>
          </cell>
        </row>
        <row r="3834">
          <cell r="B3834" t="str">
            <v>Cəlilova İlahə Şaban</v>
          </cell>
          <cell r="C3834" t="str">
            <v>Biznes sahələrinin inkişafı və partnyor şəbəkəsi departamenti</v>
          </cell>
          <cell r="D3834" t="str">
            <v>Xüsusi tələbat məhsulları üzrə partnyorluq şöbəsi</v>
          </cell>
          <cell r="E3834" t="str">
            <v>#</v>
          </cell>
          <cell r="F3834" t="str">
            <v>Mütəxəssis</v>
          </cell>
          <cell r="G3834" t="str">
            <v>A</v>
          </cell>
          <cell r="H3834">
            <v>45665</v>
          </cell>
        </row>
        <row r="3835">
          <cell r="B3835" t="str">
            <v>Əliyev Natik Ədalət</v>
          </cell>
          <cell r="C3835" t="str">
            <v>Biznes sahələrinin inkişafı və partnyor şəbəkəsi departamenti</v>
          </cell>
          <cell r="D3835" t="str">
            <v>Enerji,avto və e-ticarət üzrə partnyorluq şöbəsi</v>
          </cell>
          <cell r="E3835" t="str">
            <v>#</v>
          </cell>
          <cell r="F3835" t="str">
            <v>Baş mütəxəssis</v>
          </cell>
          <cell r="G3835" t="str">
            <v>A</v>
          </cell>
          <cell r="H3835">
            <v>46240</v>
          </cell>
          <cell r="I3835" t="str">
            <v>BirMarket</v>
          </cell>
        </row>
        <row r="3836">
          <cell r="B3836" t="str">
            <v>Zeynalova Nəzrin Səfi</v>
          </cell>
          <cell r="C3836" t="str">
            <v>Biznes sahələrinin inkişafı və partnyor şəbəkəsi departamenti</v>
          </cell>
          <cell r="D3836" t="str">
            <v>Enerji,avto və e-ticarət üzrə partnyorluq şöbəsi</v>
          </cell>
          <cell r="E3836" t="str">
            <v>#</v>
          </cell>
          <cell r="F3836" t="str">
            <v>Mütəxəssis</v>
          </cell>
          <cell r="G3836" t="str">
            <v>A</v>
          </cell>
          <cell r="H3836">
            <v>45694</v>
          </cell>
        </row>
        <row r="3837">
          <cell r="B3837" t="str">
            <v>Məmmədzadə Elsevər Murad</v>
          </cell>
          <cell r="C3837" t="str">
            <v>Biznes sahələrinin inkişafı və partnyor şəbəkəsi departamenti</v>
          </cell>
          <cell r="D3837" t="str">
            <v>Enerji,avto və e-ticarət üzrə partnyorluq şöbəsi</v>
          </cell>
          <cell r="E3837" t="str">
            <v>#</v>
          </cell>
          <cell r="F3837" t="str">
            <v>Mütəxəssis</v>
          </cell>
          <cell r="G3837" t="str">
            <v>A</v>
          </cell>
          <cell r="H3837">
            <v>45728</v>
          </cell>
        </row>
        <row r="3838">
          <cell r="B3838" t="str">
            <v>Rüstəmova Cahidli Gülşən Tahir</v>
          </cell>
          <cell r="C3838" t="str">
            <v>Biznes sahələrinin inkişafı və partnyor şəbəkəsi departamenti</v>
          </cell>
          <cell r="D3838" t="str">
            <v>Enerji,avto və e-ticarət üzrə partnyorluq şöbəsi</v>
          </cell>
          <cell r="E3838" t="str">
            <v>#</v>
          </cell>
          <cell r="F3838" t="str">
            <v>Mütəxəssis</v>
          </cell>
          <cell r="G3838" t="str">
            <v>A</v>
          </cell>
          <cell r="H3838">
            <v>46198</v>
          </cell>
        </row>
        <row r="3839">
          <cell r="B3839" t="str">
            <v>Osmanlı Rəvan Kamran</v>
          </cell>
          <cell r="C3839" t="str">
            <v>Biznes sahələrinin inkişafı və partnyor şəbəkəsi departamenti</v>
          </cell>
          <cell r="D3839" t="str">
            <v>Satışın təşkili və dəstək şöbəsi</v>
          </cell>
          <cell r="E3839" t="str">
            <v>Ekosistem məhsullarının satışı bölməsi</v>
          </cell>
          <cell r="F3839" t="str">
            <v>Mütəxəssis</v>
          </cell>
          <cell r="G3839" t="str">
            <v>A</v>
          </cell>
          <cell r="H3839">
            <v>45729</v>
          </cell>
        </row>
        <row r="3840">
          <cell r="B3840" t="str">
            <v>İbrahimov Azər Elçin</v>
          </cell>
          <cell r="C3840" t="str">
            <v>Biznes sahələrinin inkişafı və partnyor şəbəkəsi departamenti</v>
          </cell>
          <cell r="D3840" t="str">
            <v>Satışın təşkili və dəstək şöbəsi</v>
          </cell>
          <cell r="E3840" t="str">
            <v>Ekosistem məhsullarının satışı bölməsi</v>
          </cell>
          <cell r="F3840" t="str">
            <v>Mütəxəssis</v>
          </cell>
          <cell r="G3840" t="str">
            <v>A</v>
          </cell>
          <cell r="H3840">
            <v>46126</v>
          </cell>
          <cell r="I3840" t="str">
            <v>Bir Payment</v>
          </cell>
        </row>
        <row r="3841">
          <cell r="B3841" t="str">
            <v>Əhmədov Ziya Nazim</v>
          </cell>
          <cell r="C3841" t="str">
            <v>Biznes sahələrinin inkişafı və partnyor şəbəkəsi departamenti</v>
          </cell>
          <cell r="D3841" t="str">
            <v>Satışın təşkili və dəstək şöbəsi</v>
          </cell>
          <cell r="E3841" t="str">
            <v>Ekosistem məhsullarının satışı bölməsi</v>
          </cell>
          <cell r="F3841" t="str">
            <v>Kiçik mütəxəssis</v>
          </cell>
          <cell r="G3841" t="str">
            <v>A</v>
          </cell>
          <cell r="H3841">
            <v>45999</v>
          </cell>
        </row>
        <row r="3842">
          <cell r="B3842" t="str">
            <v>Şahbazova Arzu Fərzəli</v>
          </cell>
          <cell r="C3842" t="str">
            <v>Biznes sahələrinin inkişafı və partnyor şəbəkəsi departamenti</v>
          </cell>
          <cell r="D3842" t="str">
            <v>Enerji,avto və e-ticarət üzrə partnyorluq şöbəsi</v>
          </cell>
          <cell r="E3842" t="str">
            <v>#</v>
          </cell>
          <cell r="F3842" t="str">
            <v>Kiçik mütəxəssis</v>
          </cell>
          <cell r="G3842" t="str">
            <v>A</v>
          </cell>
          <cell r="H3842">
            <v>45237</v>
          </cell>
        </row>
        <row r="3843">
          <cell r="B3843" t="str">
            <v>Ələkbərov Nihad Vüqar</v>
          </cell>
          <cell r="C3843" t="str">
            <v>Biznes sahələrinin inkişafı və partnyor şəbəkəsi departamenti</v>
          </cell>
          <cell r="D3843" t="str">
            <v>Enerji,avto və e-ticarət üzrə partnyorluq şöbəsi</v>
          </cell>
          <cell r="E3843" t="str">
            <v>#</v>
          </cell>
          <cell r="F3843" t="str">
            <v>Kiçik mütəxəssis</v>
          </cell>
          <cell r="G3843" t="str">
            <v>A</v>
          </cell>
          <cell r="H3843">
            <v>46034</v>
          </cell>
        </row>
        <row r="3844">
          <cell r="B3844" t="str">
            <v>Əfəndiyeva Nərmin Aqil</v>
          </cell>
          <cell r="C3844" t="str">
            <v>Biznes sahələrinin inkişafı və partnyor şəbəkəsi departamenti</v>
          </cell>
          <cell r="D3844" t="str">
            <v>Satışın təşkili və dəstək şöbəsi</v>
          </cell>
          <cell r="E3844" t="str">
            <v>#</v>
          </cell>
          <cell r="F3844" t="str">
            <v>Menecer</v>
          </cell>
          <cell r="G3844" t="str">
            <v>A</v>
          </cell>
          <cell r="H3844">
            <v>45566</v>
          </cell>
        </row>
        <row r="3845">
          <cell r="B3845" t="str">
            <v>Manaşirov Natan İsmayıloviç</v>
          </cell>
          <cell r="C3845" t="str">
            <v>Biznes sahələrinin inkişafı və partnyor şəbəkəsi departamenti</v>
          </cell>
          <cell r="D3845" t="str">
            <v>Satışın təşkili və dəstək şöbəsi</v>
          </cell>
          <cell r="E3845" t="str">
            <v>#</v>
          </cell>
          <cell r="F3845" t="str">
            <v>Mütəxəssis</v>
          </cell>
          <cell r="G3845" t="str">
            <v>A</v>
          </cell>
          <cell r="H3845">
            <v>45566</v>
          </cell>
        </row>
        <row r="3846">
          <cell r="B3846" t="str">
            <v>Əfəndiyeva Ülviyyə Əflatun</v>
          </cell>
          <cell r="C3846" t="str">
            <v>Biznes sahələrinin inkişafı və partnyor şəbəkəsi departamenti</v>
          </cell>
          <cell r="D3846" t="str">
            <v>Satışın təşkili və dəstək şöbəsi</v>
          </cell>
          <cell r="E3846" t="str">
            <v>Sənədləşmə bölməsi</v>
          </cell>
          <cell r="F3846" t="str">
            <v>Menecer</v>
          </cell>
          <cell r="G3846" t="str">
            <v>A</v>
          </cell>
          <cell r="H3846">
            <v>46126</v>
          </cell>
          <cell r="I3846" t="str">
            <v>Bir Payment</v>
          </cell>
        </row>
        <row r="3847">
          <cell r="B3847" t="str">
            <v>Musayeva Seval Əvəz</v>
          </cell>
          <cell r="C3847" t="str">
            <v>Biznes sahələrinin inkişafı və partnyor şəbəkəsi departamenti</v>
          </cell>
          <cell r="D3847" t="str">
            <v>Satışın təşkili və dəstək şöbəsi</v>
          </cell>
          <cell r="E3847" t="str">
            <v>Sənədləşmə bölməsi</v>
          </cell>
          <cell r="F3847" t="str">
            <v>Mütəxəssis</v>
          </cell>
          <cell r="G3847" t="str">
            <v>HX</v>
          </cell>
          <cell r="H3847">
            <v>44623</v>
          </cell>
        </row>
        <row r="3848">
          <cell r="B3848" t="str">
            <v>İmranova Xədicə Sabir</v>
          </cell>
          <cell r="C3848" t="str">
            <v>Biznes sahələrinin inkişafı və partnyor şəbəkəsi departamenti</v>
          </cell>
          <cell r="D3848" t="str">
            <v>Satışın təşkili və dəstək şöbəsi</v>
          </cell>
          <cell r="E3848" t="str">
            <v>Sənədləşmə bölməsi</v>
          </cell>
          <cell r="F3848" t="str">
            <v>Mütəxəssis</v>
          </cell>
          <cell r="G3848" t="str">
            <v>A</v>
          </cell>
          <cell r="H3848">
            <v>46126</v>
          </cell>
          <cell r="I3848" t="str">
            <v>Bir Payment</v>
          </cell>
        </row>
        <row r="3849">
          <cell r="B3849" t="str">
            <v>Məmmədova Aydan Əli</v>
          </cell>
          <cell r="C3849" t="str">
            <v>Biznes sahələrinin inkişafı və partnyor şəbəkəsi departamenti</v>
          </cell>
          <cell r="D3849" t="str">
            <v>Satışın təşkili və dəstək şöbəsi</v>
          </cell>
          <cell r="E3849" t="str">
            <v>Sənədləşmə bölməsi</v>
          </cell>
          <cell r="F3849" t="str">
            <v>Mütəxəssis</v>
          </cell>
          <cell r="G3849" t="str">
            <v>A</v>
          </cell>
          <cell r="H3849">
            <v>46126</v>
          </cell>
          <cell r="I3849" t="str">
            <v>Bir Payment</v>
          </cell>
        </row>
        <row r="3850">
          <cell r="B3850" t="str">
            <v>Əfəndiyeva Kəmalə Teyyub</v>
          </cell>
          <cell r="C3850" t="str">
            <v>Biznes sahələrinin inkişafı və partnyor şəbəkəsi departamenti</v>
          </cell>
          <cell r="D3850" t="str">
            <v>Satışın təşkili və dəstək şöbəsi</v>
          </cell>
          <cell r="E3850" t="str">
            <v>#</v>
          </cell>
          <cell r="F3850" t="str">
            <v>Menecer</v>
          </cell>
          <cell r="G3850" t="str">
            <v>A</v>
          </cell>
          <cell r="H3850">
            <v>44323</v>
          </cell>
        </row>
        <row r="3851">
          <cell r="B3851" t="str">
            <v>Əliyev Xəzər Azər</v>
          </cell>
          <cell r="C3851" t="str">
            <v>Biznes sahələrinin inkişafı və partnyor şəbəkəsi departamenti</v>
          </cell>
          <cell r="D3851" t="str">
            <v>Satışın təşkili və dəstək şöbəsi</v>
          </cell>
          <cell r="E3851" t="str">
            <v>Sənədləşmə bölməsi</v>
          </cell>
          <cell r="F3851" t="str">
            <v>Aparıcı mütəxəssis</v>
          </cell>
          <cell r="G3851" t="str">
            <v>A</v>
          </cell>
          <cell r="H3851">
            <v>45012</v>
          </cell>
        </row>
        <row r="3852">
          <cell r="B3852" t="str">
            <v>Yusifov Fərid Kamil</v>
          </cell>
          <cell r="C3852" t="str">
            <v>Biznes sahələrinin inkişafı və partnyor şəbəkəsi departamenti</v>
          </cell>
          <cell r="D3852" t="str">
            <v>Satışın təşkili və dəstək şöbəsi</v>
          </cell>
          <cell r="E3852" t="str">
            <v>Ekosistem məhsullarının satışı bölməsi</v>
          </cell>
          <cell r="F3852" t="str">
            <v>Mütəxəssis</v>
          </cell>
          <cell r="G3852" t="str">
            <v>A</v>
          </cell>
          <cell r="H3852">
            <v>45345</v>
          </cell>
        </row>
        <row r="3853">
          <cell r="B3853" t="str">
            <v>Abişov Kənan Vüqar</v>
          </cell>
          <cell r="C3853" t="str">
            <v>Biznes sahələrinin inkişafı və partnyor şəbəkəsi departamenti</v>
          </cell>
          <cell r="D3853" t="str">
            <v>Satışın təşkili və dəstək şöbəsi</v>
          </cell>
          <cell r="E3853" t="str">
            <v>Merçendayzinq və monitorinq bölməsi</v>
          </cell>
          <cell r="F3853" t="str">
            <v>Mütəxəssis</v>
          </cell>
          <cell r="G3853" t="str">
            <v>A</v>
          </cell>
          <cell r="H3853">
            <v>46126</v>
          </cell>
          <cell r="I3853" t="str">
            <v>Bir Payment</v>
          </cell>
        </row>
        <row r="3854">
          <cell r="B3854" t="str">
            <v>Ələkbərov Fərhad Ramin</v>
          </cell>
          <cell r="C3854" t="str">
            <v>Biznes sahələrinin inkişafı və partnyor şəbəkəsi departamenti</v>
          </cell>
          <cell r="D3854" t="str">
            <v>Satışın təşkili və dəstək şöbəsi</v>
          </cell>
          <cell r="E3854" t="str">
            <v>Merçendayzinq və monitorinq bölməsi</v>
          </cell>
          <cell r="F3854" t="str">
            <v>Aparıcı mütəxəssis</v>
          </cell>
          <cell r="G3854" t="str">
            <v>A</v>
          </cell>
          <cell r="H3854">
            <v>46126</v>
          </cell>
          <cell r="I3854" t="str">
            <v>Bir Payment</v>
          </cell>
        </row>
        <row r="3855">
          <cell r="B3855" t="str">
            <v>Nəsirli Əli Kazım</v>
          </cell>
          <cell r="C3855" t="str">
            <v>Biznes sahələrinin inkişafı və partnyor şəbəkəsi departamenti</v>
          </cell>
          <cell r="D3855" t="str">
            <v>Satışın təşkili və dəstək şöbəsi</v>
          </cell>
          <cell r="E3855" t="str">
            <v>Merçendayzinq və monitorinq bölməsi</v>
          </cell>
          <cell r="F3855" t="str">
            <v>Mütəxəssis</v>
          </cell>
          <cell r="G3855" t="str">
            <v>A</v>
          </cell>
          <cell r="H3855">
            <v>45702</v>
          </cell>
        </row>
        <row r="3856">
          <cell r="B3856" t="str">
            <v>Umarov Kamal Teymur</v>
          </cell>
          <cell r="C3856" t="str">
            <v>Biznes sahələrinin inkişafı və partnyor şəbəkəsi departamenti</v>
          </cell>
          <cell r="D3856" t="str">
            <v>Satışın təşkili və dəstək şöbəsi</v>
          </cell>
          <cell r="E3856" t="str">
            <v>Merçendayzinq və monitorinq bölməsi</v>
          </cell>
          <cell r="F3856" t="str">
            <v>Mütəxəssis</v>
          </cell>
          <cell r="G3856" t="str">
            <v>A</v>
          </cell>
          <cell r="H3856">
            <v>46126</v>
          </cell>
          <cell r="I3856" t="str">
            <v>Bir Payment</v>
          </cell>
        </row>
        <row r="3857">
          <cell r="B3857" t="str">
            <v>Səmədov İlqar Oktay</v>
          </cell>
          <cell r="C3857" t="str">
            <v>Biznes sahələrinin inkişafı və partnyor şəbəkəsi departamenti</v>
          </cell>
          <cell r="D3857" t="str">
            <v>Satışın təşkili və dəstək şöbəsi</v>
          </cell>
          <cell r="E3857" t="str">
            <v>Merçendayzinq və monitorinq bölməsi</v>
          </cell>
          <cell r="F3857" t="str">
            <v>Kiçik mütəxəssis</v>
          </cell>
          <cell r="G3857" t="str">
            <v>A</v>
          </cell>
          <cell r="H3857">
            <v>46126</v>
          </cell>
          <cell r="I3857" t="str">
            <v>Bir Payment</v>
          </cell>
        </row>
        <row r="3858">
          <cell r="B3858" t="str">
            <v>Sultanova Fidan Musa</v>
          </cell>
          <cell r="C3858" t="str">
            <v>Biznes sahələrinin inkişafı və partnyor şəbəkəsi departamenti</v>
          </cell>
          <cell r="D3858" t="str">
            <v>Satışın təşkili və dəstək şöbəsi</v>
          </cell>
          <cell r="E3858" t="str">
            <v>#</v>
          </cell>
          <cell r="F3858" t="str">
            <v>Mütəxəssis</v>
          </cell>
          <cell r="G3858" t="str">
            <v>A</v>
          </cell>
          <cell r="H3858">
            <v>45733</v>
          </cell>
        </row>
        <row r="3859">
          <cell r="B3859" t="str">
            <v>Məmmədova Nuriyyə Mübariz</v>
          </cell>
          <cell r="C3859" t="str">
            <v>Biznes sahələrinin inkişafı və partnyor şəbəkəsi departamenti</v>
          </cell>
          <cell r="D3859" t="str">
            <v>Satışın təşkili və dəstək şöbəsi</v>
          </cell>
          <cell r="E3859" t="str">
            <v>Sənədləşmə bölməsi</v>
          </cell>
          <cell r="F3859" t="str">
            <v>Aparıcı mütəxəssis</v>
          </cell>
          <cell r="G3859" t="str">
            <v>A</v>
          </cell>
          <cell r="H3859">
            <v>45566</v>
          </cell>
        </row>
        <row r="3860">
          <cell r="B3860" t="str">
            <v>Quliyev Maqsud Nadir</v>
          </cell>
          <cell r="C3860" t="str">
            <v>Biznes sahələrinin inkişafı və partnyor şəbəkəsi departamenti</v>
          </cell>
          <cell r="D3860" t="str">
            <v>Satışın təşkili və dəstək şöbəsi</v>
          </cell>
          <cell r="E3860" t="str">
            <v>Merçendayzinq və monitorinq bölməsi</v>
          </cell>
          <cell r="F3860" t="str">
            <v>Mütəxəssis</v>
          </cell>
          <cell r="G3860" t="str">
            <v>A</v>
          </cell>
          <cell r="H3860">
            <v>45566</v>
          </cell>
        </row>
        <row r="3861">
          <cell r="B3861" t="str">
            <v>Novruzov Kənan Müqabil</v>
          </cell>
          <cell r="C3861" t="str">
            <v>Biznes sahələrinin inkişafı və partnyor şəbəkəsi departamenti</v>
          </cell>
          <cell r="D3861" t="str">
            <v>Satışın təşkili və dəstək şöbəsi</v>
          </cell>
          <cell r="E3861" t="str">
            <v>Merçendayzinq və monitorinq bölməsi</v>
          </cell>
          <cell r="F3861" t="str">
            <v>Aparıcı mütəxəssis</v>
          </cell>
          <cell r="G3861" t="str">
            <v>A</v>
          </cell>
          <cell r="H3861">
            <v>46126</v>
          </cell>
          <cell r="I3861" t="str">
            <v>Bir Payment</v>
          </cell>
        </row>
        <row r="3862">
          <cell r="B3862" t="str">
            <v>Dünyamaliyev Rauf Ramiz</v>
          </cell>
          <cell r="C3862" t="str">
            <v>Biznes sahələrinin inkişafı və partnyor şəbəkəsi departamenti</v>
          </cell>
          <cell r="D3862" t="str">
            <v>Satışın təşkili və dəstək şöbəsi</v>
          </cell>
          <cell r="E3862" t="str">
            <v>Merçendayzinq və monitorinq bölməsi</v>
          </cell>
          <cell r="F3862" t="str">
            <v>Aparıcı mütəxəssis</v>
          </cell>
          <cell r="G3862" t="str">
            <v>A</v>
          </cell>
          <cell r="H3862">
            <v>46126</v>
          </cell>
          <cell r="I3862" t="str">
            <v>Bir Payment</v>
          </cell>
        </row>
        <row r="3863">
          <cell r="B3863" t="str">
            <v>İsmayilov Fəxrəddin Amil</v>
          </cell>
          <cell r="C3863" t="str">
            <v>Biznes sahələrinin inkişafı və partnyor şəbəkəsi departamenti</v>
          </cell>
          <cell r="D3863" t="str">
            <v>Satışın təşkili və dəstək şöbəsi</v>
          </cell>
          <cell r="E3863" t="str">
            <v>Merçendayzinq və monitorinq bölməsi</v>
          </cell>
          <cell r="F3863" t="str">
            <v>Kiçik mütəxəssis</v>
          </cell>
          <cell r="G3863" t="str">
            <v>A</v>
          </cell>
          <cell r="H3863">
            <v>46126</v>
          </cell>
          <cell r="I3863" t="str">
            <v>Bir Payment</v>
          </cell>
        </row>
        <row r="3864">
          <cell r="B3864" t="str">
            <v>Ağazadə Xəyal Rəfael</v>
          </cell>
          <cell r="C3864" t="str">
            <v>Biznes sahələrinin inkişafı və partnyor şəbəkəsi departamenti</v>
          </cell>
          <cell r="D3864" t="str">
            <v>Satışın təşkili və dəstək şöbəsi</v>
          </cell>
          <cell r="E3864" t="str">
            <v>#</v>
          </cell>
          <cell r="F3864" t="str">
            <v>Mütəxəssis</v>
          </cell>
          <cell r="G3864" t="str">
            <v>A</v>
          </cell>
          <cell r="H3864">
            <v>45888</v>
          </cell>
        </row>
        <row r="3865">
          <cell r="B3865" t="str">
            <v>Həbibov Elbrus Vüqar</v>
          </cell>
          <cell r="C3865" t="str">
            <v>Biznes sahələrinin inkişafı və partnyor şəbəkəsi departamenti</v>
          </cell>
          <cell r="D3865" t="str">
            <v>Satışın təşkili və dəstək şöbəsi</v>
          </cell>
          <cell r="E3865" t="str">
            <v>Merçendayzinq və monitorinq bölməsi</v>
          </cell>
          <cell r="F3865" t="str">
            <v>Kiçik mütəxəssis</v>
          </cell>
          <cell r="G3865" t="str">
            <v>A</v>
          </cell>
          <cell r="H3865">
            <v>46006</v>
          </cell>
        </row>
        <row r="3866">
          <cell r="B3866" t="str">
            <v>Nəsirov Aqil Balacanoviç</v>
          </cell>
          <cell r="C3866" t="str">
            <v>Nağd pulların idarə edilməsi departamenti</v>
          </cell>
          <cell r="D3866" t="str">
            <v>ATM və ekvayrinq biznesinə dəstək şöbəsi</v>
          </cell>
          <cell r="E3866" t="str">
            <v>#</v>
          </cell>
          <cell r="F3866" t="str">
            <v>Mütəxəssis</v>
          </cell>
          <cell r="G3866" t="str">
            <v>A</v>
          </cell>
          <cell r="H3866">
            <v>45566</v>
          </cell>
        </row>
        <row r="3867">
          <cell r="B3867" t="str">
            <v>Rzayev Ülvi İlham</v>
          </cell>
          <cell r="C3867" t="str">
            <v>Nağd pulların idarə edilməsi departamenti</v>
          </cell>
          <cell r="D3867" t="str">
            <v>ATM və ekvayrinq biznesinə dəstək şöbəsi</v>
          </cell>
          <cell r="E3867" t="str">
            <v>#</v>
          </cell>
          <cell r="F3867" t="str">
            <v>Mütəxəssis</v>
          </cell>
          <cell r="G3867" t="str">
            <v>A</v>
          </cell>
          <cell r="H3867">
            <v>45566</v>
          </cell>
        </row>
        <row r="3868">
          <cell r="B3868" t="str">
            <v>Əhmədov Nurlan Azad</v>
          </cell>
          <cell r="C3868" t="str">
            <v>Biznes sahələrinin inkişafı və partnyor şəbəkəsi departamenti</v>
          </cell>
          <cell r="D3868" t="str">
            <v>#</v>
          </cell>
          <cell r="E3868" t="str">
            <v>#</v>
          </cell>
          <cell r="F3868" t="str">
            <v>Direktor müavini</v>
          </cell>
          <cell r="G3868" t="str">
            <v>A</v>
          </cell>
          <cell r="H3868">
            <v>43805</v>
          </cell>
        </row>
        <row r="3869">
          <cell r="B3869" t="str">
            <v>Mustafayev Anar Əmirağa</v>
          </cell>
          <cell r="C3869" t="str">
            <v>Biznes sahələrinin inkişafı və partnyor şəbəkəsi departamenti</v>
          </cell>
          <cell r="D3869" t="str">
            <v>Xüsusi tələbat məhsulları üzrə partnyorluq şöbəsi</v>
          </cell>
          <cell r="E3869" t="str">
            <v>#</v>
          </cell>
          <cell r="F3869" t="str">
            <v>Menecer</v>
          </cell>
          <cell r="G3869" t="str">
            <v>A</v>
          </cell>
          <cell r="H3869">
            <v>46126</v>
          </cell>
          <cell r="I3869" t="str">
            <v>Bir Payment</v>
          </cell>
        </row>
        <row r="3870">
          <cell r="B3870" t="str">
            <v>Əsgərova İlhamə İlham</v>
          </cell>
          <cell r="C3870" t="str">
            <v>Biznes sahələrinin inkişafı və partnyor şəbəkəsi departamenti</v>
          </cell>
          <cell r="D3870" t="str">
            <v>Enerji,avto və e-ticarət üzrə partnyorluq şöbəsi</v>
          </cell>
          <cell r="E3870" t="str">
            <v>#</v>
          </cell>
          <cell r="F3870" t="str">
            <v>Menecer</v>
          </cell>
          <cell r="G3870" t="str">
            <v>A</v>
          </cell>
          <cell r="H3870">
            <v>43227</v>
          </cell>
        </row>
        <row r="3871">
          <cell r="B3871" t="str">
            <v>Bağırova Leyla Soltan</v>
          </cell>
          <cell r="C3871" t="str">
            <v>Biznes sahələrinin inkişafı və partnyor şəbəkəsi departamenti</v>
          </cell>
          <cell r="D3871" t="str">
            <v>Xüsusi tələbat məhsulları üzrə partnyorluq şöbəsi</v>
          </cell>
          <cell r="E3871" t="str">
            <v>#</v>
          </cell>
          <cell r="F3871" t="str">
            <v>Baş mütəxəssis</v>
          </cell>
          <cell r="G3871" t="str">
            <v>A</v>
          </cell>
          <cell r="H3871">
            <v>43118</v>
          </cell>
        </row>
        <row r="3872">
          <cell r="B3872" t="str">
            <v>Əlizadə Leyla Kamran</v>
          </cell>
          <cell r="C3872" t="str">
            <v>Biznes sahələrinin inkişafı və partnyor şəbəkəsi departamenti</v>
          </cell>
          <cell r="D3872" t="str">
            <v>Xüsusi tələbat məhsulları üzrə partnyorluq şöbəsi</v>
          </cell>
          <cell r="E3872" t="str">
            <v>#</v>
          </cell>
          <cell r="F3872" t="str">
            <v>Baş mütəxəssis</v>
          </cell>
          <cell r="G3872" t="str">
            <v>A</v>
          </cell>
          <cell r="H3872">
            <v>42349</v>
          </cell>
        </row>
        <row r="3873">
          <cell r="B3873" t="str">
            <v>Qurbanov Tofiq Əli Abas</v>
          </cell>
          <cell r="C3873" t="str">
            <v>Biznes sahələrinin inkişafı və partnyor şəbəkəsi departamenti</v>
          </cell>
          <cell r="D3873" t="str">
            <v>Xüsusi tələbat məhsulları üzrə partnyorluq şöbəsi</v>
          </cell>
          <cell r="E3873" t="str">
            <v>#</v>
          </cell>
          <cell r="F3873" t="str">
            <v>Baş mütəxəssis</v>
          </cell>
          <cell r="G3873" t="str">
            <v>A</v>
          </cell>
          <cell r="H3873">
            <v>42989</v>
          </cell>
        </row>
        <row r="3874">
          <cell r="B3874" t="str">
            <v>Hüseynli Əli Manaf</v>
          </cell>
          <cell r="C3874" t="str">
            <v>Biznes sahələrinin inkişafı və partnyor şəbəkəsi departamenti</v>
          </cell>
          <cell r="D3874" t="str">
            <v>Xüsusi tələbat məhsulları üzrə partnyorluq şöbəsi</v>
          </cell>
          <cell r="E3874" t="str">
            <v>#</v>
          </cell>
          <cell r="F3874" t="str">
            <v>Menecer</v>
          </cell>
          <cell r="G3874" t="str">
            <v>A</v>
          </cell>
          <cell r="H3874">
            <v>43620</v>
          </cell>
        </row>
        <row r="3875">
          <cell r="B3875" t="str">
            <v>Əsəd Zaur Ədalət</v>
          </cell>
          <cell r="C3875" t="str">
            <v>Biznes sahələrinin inkişafı və partnyor şəbəkəsi departamenti</v>
          </cell>
          <cell r="D3875" t="str">
            <v>Xüsusi tələbat məhsulları üzrə partnyorluq şöbəsi</v>
          </cell>
          <cell r="E3875" t="str">
            <v>#</v>
          </cell>
          <cell r="F3875" t="str">
            <v>Aparıcı mütəxəssis</v>
          </cell>
          <cell r="G3875" t="str">
            <v>A</v>
          </cell>
          <cell r="H3875">
            <v>42811</v>
          </cell>
        </row>
        <row r="3876">
          <cell r="B3876" t="str">
            <v>Yusifov Rauf Bəhram</v>
          </cell>
          <cell r="C3876" t="str">
            <v>Biznes sahələrinin inkişafı və partnyor şəbəkəsi departamenti</v>
          </cell>
          <cell r="D3876" t="str">
            <v>Xüsusi tələbat məhsulları üzrə partnyorluq şöbəsi</v>
          </cell>
          <cell r="E3876" t="str">
            <v>#</v>
          </cell>
          <cell r="F3876" t="str">
            <v>Aparıcı mütəxəssis</v>
          </cell>
          <cell r="G3876" t="str">
            <v>A</v>
          </cell>
          <cell r="H3876">
            <v>46128</v>
          </cell>
          <cell r="I3876" t="str">
            <v>Bir Payment</v>
          </cell>
        </row>
        <row r="3877">
          <cell r="B3877" t="str">
            <v>Muxtarova Tünzalə Nizaməddin</v>
          </cell>
          <cell r="C3877" t="str">
            <v>Biznes sahələrinin inkişafı və partnyor şəbəkəsi departamenti</v>
          </cell>
          <cell r="D3877" t="str">
            <v>Xüsusi tələbat məhsulları üzrə partnyorluq şöbəsi</v>
          </cell>
          <cell r="E3877" t="str">
            <v>#</v>
          </cell>
          <cell r="F3877" t="str">
            <v>Mütəxəssis</v>
          </cell>
          <cell r="G3877" t="str">
            <v>A</v>
          </cell>
          <cell r="H3877">
            <v>45026</v>
          </cell>
        </row>
        <row r="3878">
          <cell r="B3878" t="str">
            <v>Xəlilova Ədilə Möhsüm</v>
          </cell>
          <cell r="C3878" t="str">
            <v>Biznes sahələrinin inkişafı və partnyor şəbəkəsi departamenti</v>
          </cell>
          <cell r="D3878" t="str">
            <v>Enerji,avto və e-ticarət üzrə partnyorluq şöbəsi</v>
          </cell>
          <cell r="E3878" t="str">
            <v>E-ticarət partnyorları bölməsi</v>
          </cell>
          <cell r="F3878" t="str">
            <v>Mütəxəssis</v>
          </cell>
          <cell r="G3878" t="str">
            <v>A</v>
          </cell>
          <cell r="H3878">
            <v>44896</v>
          </cell>
        </row>
        <row r="3879">
          <cell r="B3879" t="str">
            <v>Məmmədov Mehman Elxan</v>
          </cell>
          <cell r="C3879" t="str">
            <v>Biznes sahələrinin inkişafı və partnyor şəbəkəsi departamenti</v>
          </cell>
          <cell r="D3879" t="str">
            <v>Enerji,avto və e-ticarət üzrə partnyorluq şöbəsi</v>
          </cell>
          <cell r="E3879" t="str">
            <v>E-ticarət partnyorları bölməsi</v>
          </cell>
          <cell r="F3879" t="str">
            <v>Mütəxəssis</v>
          </cell>
          <cell r="G3879" t="str">
            <v>A</v>
          </cell>
          <cell r="H3879">
            <v>46197</v>
          </cell>
        </row>
        <row r="3880">
          <cell r="B3880" t="str">
            <v>Əliyeva Rəfiqə İbrahim</v>
          </cell>
          <cell r="C3880" t="str">
            <v>Biznes sahələrinin inkişafı və partnyor şəbəkəsi departamenti</v>
          </cell>
          <cell r="D3880" t="str">
            <v>Xüsusi tələbat məhsulları üzrə partnyorluq şöbəsi</v>
          </cell>
          <cell r="E3880" t="str">
            <v>#</v>
          </cell>
          <cell r="F3880" t="str">
            <v>Mütəxəssis</v>
          </cell>
          <cell r="G3880" t="str">
            <v>A</v>
          </cell>
          <cell r="H3880">
            <v>45537</v>
          </cell>
        </row>
        <row r="3881">
          <cell r="B3881" t="str">
            <v>İsmayılzadə Mircavidan Elçin</v>
          </cell>
          <cell r="C3881" t="str">
            <v>Biznes sahələrinin inkişafı və partnyor şəbəkəsi departamenti</v>
          </cell>
          <cell r="D3881" t="str">
            <v>Xüsusi tələbat məhsulları üzrə partnyorluq şöbəsi</v>
          </cell>
          <cell r="E3881" t="str">
            <v>#</v>
          </cell>
          <cell r="F3881" t="str">
            <v>Mütəxəssis</v>
          </cell>
          <cell r="G3881" t="str">
            <v>A</v>
          </cell>
          <cell r="H3881">
            <v>45895</v>
          </cell>
        </row>
        <row r="3882">
          <cell r="B3882" t="str">
            <v>Cavadova Aytac Füzuli</v>
          </cell>
          <cell r="C3882" t="str">
            <v>Biznes sahələrinin inkişafı və partnyor şəbəkəsi departamenti</v>
          </cell>
          <cell r="D3882" t="str">
            <v>Xüsusi tələbat məhsulları üzrə partnyorluq şöbəsi</v>
          </cell>
          <cell r="E3882" t="str">
            <v>#</v>
          </cell>
          <cell r="F3882" t="str">
            <v>Mütəxəssis</v>
          </cell>
          <cell r="G3882" t="str">
            <v>A</v>
          </cell>
          <cell r="H3882">
            <v>45877</v>
          </cell>
        </row>
        <row r="3883">
          <cell r="B3883" t="str">
            <v>Baba-zadə Şəhriyar İlqar</v>
          </cell>
          <cell r="C3883" t="str">
            <v>Biznes sahələrinin inkişafı və partnyor şəbəkəsi departamenti</v>
          </cell>
          <cell r="D3883" t="str">
            <v>Xüsusi tələbat məhsulları üzrə partnyorluq şöbəsi</v>
          </cell>
          <cell r="E3883" t="str">
            <v>#</v>
          </cell>
          <cell r="F3883" t="str">
            <v>Mütəxəssis</v>
          </cell>
          <cell r="G3883" t="str">
            <v>A</v>
          </cell>
          <cell r="H3883">
            <v>45937</v>
          </cell>
        </row>
        <row r="3884">
          <cell r="B3884" t="str">
            <v>Kələyev Ceyhun Nuqzar</v>
          </cell>
          <cell r="C3884" t="str">
            <v>Biznes sahələrinin inkişafı və partnyor şəbəkəsi departamenti</v>
          </cell>
          <cell r="D3884" t="str">
            <v>Xüsusi tələbat məhsulları üzrə partnyorluq şöbəsi</v>
          </cell>
          <cell r="E3884" t="str">
            <v>#</v>
          </cell>
          <cell r="F3884" t="str">
            <v>Mütəxəssis</v>
          </cell>
          <cell r="G3884" t="str">
            <v>A</v>
          </cell>
          <cell r="H3884">
            <v>45002</v>
          </cell>
        </row>
        <row r="3885">
          <cell r="B3885" t="str">
            <v>Şükürlü İlham Gülverdi</v>
          </cell>
          <cell r="C3885" t="str">
            <v>Biznes sahələrinin inkişafı və partnyor şəbəkəsi departamenti</v>
          </cell>
          <cell r="D3885" t="str">
            <v>Xüsusi tələbat məhsulları üzrə partnyorluq şöbəsi</v>
          </cell>
          <cell r="E3885" t="str">
            <v>#</v>
          </cell>
          <cell r="F3885" t="str">
            <v>Baş mütəxəssis</v>
          </cell>
          <cell r="G3885" t="str">
            <v>A</v>
          </cell>
          <cell r="H3885">
            <v>44573</v>
          </cell>
        </row>
        <row r="3886">
          <cell r="B3886" t="str">
            <v>İsgəndərov Babək Bəkir</v>
          </cell>
          <cell r="C3886" t="str">
            <v>Biznes sahələrinin inkişafı və partnyor şəbəkəsi departamenti</v>
          </cell>
          <cell r="D3886" t="str">
            <v>Xüsusi tələbat məhsulları üzrə partnyorluq şöbəsi</v>
          </cell>
          <cell r="E3886" t="str">
            <v>#</v>
          </cell>
          <cell r="F3886" t="str">
            <v>Aparıcı mütəxəssis</v>
          </cell>
          <cell r="G3886" t="str">
            <v>A</v>
          </cell>
          <cell r="H3886">
            <v>44713</v>
          </cell>
        </row>
        <row r="3887">
          <cell r="B3887" t="str">
            <v>Sadıqova Fidan Şahin</v>
          </cell>
          <cell r="C3887" t="str">
            <v>Biznes sahələrinin inkişafı və partnyor şəbəkəsi departamenti</v>
          </cell>
          <cell r="D3887" t="str">
            <v>Xüsusi tələbat məhsulları üzrə partnyorluq şöbəsi</v>
          </cell>
          <cell r="E3887" t="str">
            <v>#</v>
          </cell>
          <cell r="F3887" t="str">
            <v>Mütəxəssis</v>
          </cell>
          <cell r="G3887" t="str">
            <v>A</v>
          </cell>
          <cell r="H3887">
            <v>45877</v>
          </cell>
        </row>
        <row r="3888">
          <cell r="B3888" t="str">
            <v>Bahəddinli Şövkət Adil</v>
          </cell>
          <cell r="C3888" t="str">
            <v>Biznes sahələrinin inkişafı və partnyor şəbəkəsi departamenti</v>
          </cell>
          <cell r="D3888" t="str">
            <v>Xüsusi tələbat məhsulları üzrə partnyorluq şöbəsi</v>
          </cell>
          <cell r="E3888" t="str">
            <v>#</v>
          </cell>
          <cell r="F3888" t="str">
            <v>Aparıcı mütəxəssis</v>
          </cell>
          <cell r="G3888" t="str">
            <v>HX</v>
          </cell>
          <cell r="H3888">
            <v>46126</v>
          </cell>
          <cell r="I3888" t="str">
            <v>Bir Payment</v>
          </cell>
        </row>
        <row r="3889">
          <cell r="B3889" t="str">
            <v>Hüseynov Allahverən Mübariz</v>
          </cell>
          <cell r="C3889" t="str">
            <v>Biznes sahələrinin inkişafı və partnyor şəbəkəsi departamenti</v>
          </cell>
          <cell r="D3889" t="str">
            <v>Gündəlik tələbat və səhiyyə sektoru üzrə partnyorluq şöbəsi</v>
          </cell>
          <cell r="E3889" t="str">
            <v>#</v>
          </cell>
          <cell r="F3889" t="str">
            <v>Mütəxəssis</v>
          </cell>
          <cell r="G3889" t="str">
            <v>A</v>
          </cell>
          <cell r="H3889">
            <v>46126</v>
          </cell>
          <cell r="I3889" t="str">
            <v>Bir Payment</v>
          </cell>
        </row>
        <row r="3890">
          <cell r="B3890" t="str">
            <v>Qocayev Rəşad Ramiz</v>
          </cell>
          <cell r="C3890" t="str">
            <v>Biznes sahələrinin inkişafı və partnyor şəbəkəsi departamenti</v>
          </cell>
          <cell r="D3890" t="str">
            <v>Gündəlik tələbat və səhiyyə sektoru üzrə partnyorluq şöbəsi</v>
          </cell>
          <cell r="E3890" t="str">
            <v>#</v>
          </cell>
          <cell r="F3890" t="str">
            <v>Şöbə müdiri</v>
          </cell>
          <cell r="G3890" t="str">
            <v>A</v>
          </cell>
          <cell r="H3890">
            <v>45890</v>
          </cell>
        </row>
        <row r="3891">
          <cell r="B3891" t="str">
            <v>Daşdəmirov Teymur Cəlil</v>
          </cell>
          <cell r="C3891" t="str">
            <v>Biznes sahələrinin inkişafı və partnyor şəbəkəsi departamenti</v>
          </cell>
          <cell r="D3891" t="str">
            <v>Gündəlik tələbat və səhiyyə sektoru üzrə partnyorluq şöbəsi</v>
          </cell>
          <cell r="E3891" t="str">
            <v>#</v>
          </cell>
          <cell r="F3891" t="str">
            <v>Baş mütəxəssis</v>
          </cell>
          <cell r="G3891" t="str">
            <v>A</v>
          </cell>
          <cell r="H3891">
            <v>46126</v>
          </cell>
          <cell r="I3891" t="str">
            <v>Bir Payment</v>
          </cell>
        </row>
        <row r="3892">
          <cell r="B3892" t="str">
            <v>Məmmədova Selvina Telman</v>
          </cell>
          <cell r="C3892" t="str">
            <v>Biznes sahələrinin inkişafı və partnyor şəbəkəsi departamenti</v>
          </cell>
          <cell r="D3892" t="str">
            <v>Gündəlik tələbat və səhiyyə sektoru üzrə partnyorluq şöbəsi</v>
          </cell>
          <cell r="E3892" t="str">
            <v>#</v>
          </cell>
          <cell r="F3892" t="str">
            <v>Aparıcı mütəxəssis</v>
          </cell>
          <cell r="G3892" t="str">
            <v>A</v>
          </cell>
          <cell r="H3892">
            <v>45566</v>
          </cell>
        </row>
        <row r="3893">
          <cell r="B3893" t="str">
            <v>Səlimli Coşqun Qadir</v>
          </cell>
          <cell r="C3893" t="str">
            <v>Biznes sahələrinin inkişafı və partnyor şəbəkəsi departamenti</v>
          </cell>
          <cell r="D3893" t="str">
            <v>Gündəlik tələbat və səhiyyə sektoru üzrə partnyorluq şöbəsi</v>
          </cell>
          <cell r="E3893" t="str">
            <v>#</v>
          </cell>
          <cell r="F3893" t="str">
            <v>baş mütəxəssis</v>
          </cell>
          <cell r="G3893" t="str">
            <v>A</v>
          </cell>
          <cell r="H3893">
            <v>43692</v>
          </cell>
        </row>
        <row r="3894">
          <cell r="B3894" t="str">
            <v>Quluzadə Xəlil İlqar</v>
          </cell>
          <cell r="C3894" t="str">
            <v>Biznes sahələrinin inkişafı və partnyor şəbəkəsi departamenti</v>
          </cell>
          <cell r="D3894" t="str">
            <v>Enerji,avto və e-ticarət üzrə partnyorluq şöbəsi</v>
          </cell>
          <cell r="E3894" t="str">
            <v>E-ticarət partnyorları bölməsi</v>
          </cell>
          <cell r="F3894" t="str">
            <v>baş mütəxəssis</v>
          </cell>
          <cell r="G3894" t="str">
            <v>A</v>
          </cell>
          <cell r="H3894">
            <v>43493</v>
          </cell>
        </row>
        <row r="3895">
          <cell r="B3895" t="str">
            <v>Axundov Cəlil Fariz</v>
          </cell>
          <cell r="C3895" t="str">
            <v>Biznes sahələrinin inkişafı və partnyor şəbəkəsi departamenti</v>
          </cell>
          <cell r="D3895" t="str">
            <v>Gündəlik tələbat və səhiyyə sektoru üzrə partnyorluq şöbəsi</v>
          </cell>
          <cell r="E3895" t="str">
            <v>#</v>
          </cell>
          <cell r="F3895" t="str">
            <v>Aparıcı mütəxəssis</v>
          </cell>
          <cell r="G3895" t="str">
            <v>A</v>
          </cell>
          <cell r="H3895">
            <v>43770</v>
          </cell>
        </row>
        <row r="3896">
          <cell r="B3896" t="str">
            <v>Rüstəmli Rüstəm Mobil</v>
          </cell>
          <cell r="C3896" t="str">
            <v>Biznes sahələrinin inkişafı və partnyor şəbəkəsi departamenti</v>
          </cell>
          <cell r="D3896" t="str">
            <v>Gündəlik tələbat və səhiyyə sektoru üzrə partnyorluq şöbəsi</v>
          </cell>
          <cell r="E3896" t="str">
            <v>#</v>
          </cell>
          <cell r="F3896" t="str">
            <v>Aparıcı mütəxəssis</v>
          </cell>
          <cell r="G3896" t="str">
            <v>A</v>
          </cell>
          <cell r="H3896">
            <v>44700</v>
          </cell>
        </row>
        <row r="3897">
          <cell r="B3897" t="str">
            <v>Əhmədova Milaim Əli</v>
          </cell>
          <cell r="C3897" t="str">
            <v>Biznes sahələrinin inkişafı və partnyor şəbəkəsi departamenti</v>
          </cell>
          <cell r="D3897" t="str">
            <v>Gündəlik tələbat və səhiyyə sektoru üzrə partnyorluq şöbəsi</v>
          </cell>
          <cell r="E3897" t="str">
            <v>#</v>
          </cell>
          <cell r="F3897" t="str">
            <v>Mütəxəssis</v>
          </cell>
          <cell r="G3897" t="str">
            <v>A</v>
          </cell>
          <cell r="H3897">
            <v>46126</v>
          </cell>
          <cell r="I3897" t="str">
            <v>Bir Payment</v>
          </cell>
        </row>
        <row r="3898">
          <cell r="B3898" t="str">
            <v>Sadıqov Babək Mehti</v>
          </cell>
          <cell r="C3898" t="str">
            <v>Biznes sahələrinin inkişafı və partnyor şəbəkəsi departamenti</v>
          </cell>
          <cell r="D3898" t="str">
            <v>Gündəlik tələbat və səhiyyə sektoru üzrə partnyorluq şöbəsi</v>
          </cell>
          <cell r="E3898" t="str">
            <v>#</v>
          </cell>
          <cell r="F3898" t="str">
            <v>Mütəxəssis</v>
          </cell>
          <cell r="G3898" t="str">
            <v>A</v>
          </cell>
          <cell r="H3898">
            <v>46127</v>
          </cell>
          <cell r="I3898" t="str">
            <v>Bir Payment</v>
          </cell>
        </row>
        <row r="3899">
          <cell r="B3899" t="str">
            <v>Nəsirov Cavid Azər</v>
          </cell>
          <cell r="C3899" t="str">
            <v>Biznes sahələrinin inkişafı və partnyor şəbəkəsi departamenti</v>
          </cell>
          <cell r="D3899" t="str">
            <v>Gündəlik tələbat və səhiyyə sektoru üzrə partnyorluq şöbəsi</v>
          </cell>
          <cell r="E3899" t="str">
            <v>#</v>
          </cell>
          <cell r="F3899" t="str">
            <v>Mütəxəssis</v>
          </cell>
          <cell r="G3899" t="str">
            <v>A</v>
          </cell>
          <cell r="H3899">
            <v>46126</v>
          </cell>
          <cell r="I3899" t="str">
            <v>Bir Payment</v>
          </cell>
        </row>
        <row r="3900">
          <cell r="B3900" t="str">
            <v>Quliyev Rövşən Fəyyaz</v>
          </cell>
          <cell r="C3900" t="str">
            <v>Biznes sahələrinin inkişafı və partnyor şəbəkəsi departamenti</v>
          </cell>
          <cell r="D3900" t="str">
            <v>Gündəlik tələbat və səhiyyə sektoru üzrə partnyorluq şöbəsi</v>
          </cell>
          <cell r="E3900" t="str">
            <v>#</v>
          </cell>
          <cell r="F3900" t="str">
            <v>Aparıcı mütəxəssis</v>
          </cell>
          <cell r="G3900" t="str">
            <v>A</v>
          </cell>
          <cell r="H3900">
            <v>45525</v>
          </cell>
        </row>
        <row r="3901">
          <cell r="B3901" t="str">
            <v>Məlikova Şəbnəm Feyruz</v>
          </cell>
          <cell r="C3901" t="str">
            <v>Biznes sahələrinin inkişafı və partnyor şəbəkəsi departamenti</v>
          </cell>
          <cell r="D3901" t="str">
            <v>Gündəlik tələbat və səhiyyə sektoru üzrə partnyorluq şöbəsi</v>
          </cell>
          <cell r="E3901" t="str">
            <v>#</v>
          </cell>
          <cell r="F3901" t="str">
            <v>Mütəxəssis</v>
          </cell>
          <cell r="G3901" t="str">
            <v>A</v>
          </cell>
          <cell r="H3901">
            <v>45078</v>
          </cell>
        </row>
        <row r="3902">
          <cell r="B3902" t="str">
            <v>Umarova Çiçək Hüseynəli</v>
          </cell>
          <cell r="C3902" t="str">
            <v>Biznes sahələrinin inkişafı və partnyor şəbəkəsi departamenti</v>
          </cell>
          <cell r="D3902" t="str">
            <v>Gündəlik tələbat və səhiyyə sektoru üzrə partnyorluq şöbəsi</v>
          </cell>
          <cell r="E3902" t="str">
            <v>#</v>
          </cell>
          <cell r="F3902" t="str">
            <v>Mütəxəssis</v>
          </cell>
          <cell r="G3902" t="str">
            <v>A</v>
          </cell>
          <cell r="H3902">
            <v>44777</v>
          </cell>
        </row>
        <row r="3903">
          <cell r="B3903" t="str">
            <v>Zeynalov Kamal Akif</v>
          </cell>
          <cell r="C3903" t="str">
            <v>Biznes sahələrinin inkişafı və partnyor şəbəkəsi departamenti</v>
          </cell>
          <cell r="D3903" t="str">
            <v>Gündəlik tələbat və səhiyyə sektoru üzrə partnyorluq şöbəsi</v>
          </cell>
          <cell r="E3903" t="str">
            <v>#</v>
          </cell>
          <cell r="F3903" t="str">
            <v>Mütəxəssis</v>
          </cell>
          <cell r="G3903" t="str">
            <v>A</v>
          </cell>
          <cell r="H3903">
            <v>45996</v>
          </cell>
        </row>
        <row r="3904">
          <cell r="B3904" t="str">
            <v>Hacıyeva Ülkər İlyas</v>
          </cell>
          <cell r="C3904" t="str">
            <v>Biznes sahələrinin inkişafı və partnyor şəbəkəsi departamenti</v>
          </cell>
          <cell r="D3904" t="str">
            <v>Gündəlik tələbat və səhiyyə sektoru üzrə partnyorluq şöbəsi</v>
          </cell>
          <cell r="E3904" t="str">
            <v>#</v>
          </cell>
          <cell r="F3904" t="str">
            <v>Kiçik mütəxəssis</v>
          </cell>
          <cell r="G3904" t="str">
            <v>A</v>
          </cell>
          <cell r="H3904">
            <v>46174</v>
          </cell>
        </row>
        <row r="3905">
          <cell r="B3905" t="str">
            <v>MAMEDLI ORKHAN</v>
          </cell>
          <cell r="C3905" t="str">
            <v>Pərakəndə biznes platformaları sahəsi</v>
          </cell>
          <cell r="D3905" t="str">
            <v>#</v>
          </cell>
          <cell r="E3905" t="str">
            <v>#</v>
          </cell>
          <cell r="F3905" t="str">
            <v>Sahə lideri</v>
          </cell>
          <cell r="G3905" t="str">
            <v>A</v>
          </cell>
          <cell r="H3905">
            <v>45700</v>
          </cell>
        </row>
        <row r="3906">
          <cell r="B3906" t="str">
            <v>Məmmədov Rəşad Nəvai</v>
          </cell>
          <cell r="C3906" t="str">
            <v>Pərakəndə biznes platformaları sahəsi</v>
          </cell>
          <cell r="D3906" t="str">
            <v>Bol ode</v>
          </cell>
          <cell r="E3906" t="str">
            <v>#</v>
          </cell>
          <cell r="F3906" t="str">
            <v>Məhsul sahibi</v>
          </cell>
          <cell r="G3906" t="str">
            <v>A</v>
          </cell>
          <cell r="H3906">
            <v>42678</v>
          </cell>
        </row>
        <row r="3907">
          <cell r="B3907" t="str">
            <v>Balakişiyev Elvin Cəfər</v>
          </cell>
          <cell r="C3907" t="str">
            <v>Pərakəndə biznes platformaları sahəsi</v>
          </cell>
          <cell r="D3907" t="str">
            <v>Ecosystem</v>
          </cell>
          <cell r="E3907" t="str">
            <v>#</v>
          </cell>
          <cell r="F3907" t="str">
            <v>Məhsul sahibi</v>
          </cell>
          <cell r="G3907" t="str">
            <v>A</v>
          </cell>
          <cell r="H3907">
            <v>45719</v>
          </cell>
        </row>
        <row r="3908">
          <cell r="B3908" t="str">
            <v>Məlikov Rauf Fuad</v>
          </cell>
          <cell r="C3908" t="str">
            <v>Pərakəndə biznes platformaları sahəsi</v>
          </cell>
          <cell r="D3908" t="str">
            <v>Retail loans</v>
          </cell>
          <cell r="E3908" t="str">
            <v>#</v>
          </cell>
          <cell r="F3908" t="str">
            <v>Məhsul sahibi</v>
          </cell>
          <cell r="G3908" t="str">
            <v>A</v>
          </cell>
          <cell r="H3908">
            <v>43679</v>
          </cell>
        </row>
        <row r="3909">
          <cell r="B3909" t="str">
            <v>Əliyarov Renat Şeydabəy</v>
          </cell>
          <cell r="C3909" t="str">
            <v>Məhsulların rəsmiləşdirilməsi sahəsi</v>
          </cell>
          <cell r="D3909" t="str">
            <v>#</v>
          </cell>
          <cell r="E3909" t="str">
            <v>#</v>
          </cell>
          <cell r="F3909" t="str">
            <v>Sahə lideri</v>
          </cell>
          <cell r="G3909" t="str">
            <v>A</v>
          </cell>
          <cell r="H3909">
            <v>40471</v>
          </cell>
        </row>
        <row r="3910">
          <cell r="B3910" t="str">
            <v>Həsənova İlahə İlham</v>
          </cell>
          <cell r="C3910" t="str">
            <v>Kart məhsulları sahəsi</v>
          </cell>
          <cell r="D3910" t="str">
            <v>Cards Journey</v>
          </cell>
          <cell r="E3910" t="str">
            <v>#</v>
          </cell>
          <cell r="F3910" t="str">
            <v>Məhsul sahibi</v>
          </cell>
          <cell r="G3910" t="str">
            <v>A</v>
          </cell>
          <cell r="H3910">
            <v>41954</v>
          </cell>
        </row>
        <row r="3911">
          <cell r="B3911" t="str">
            <v>Xasıyev İntiqam Vaqif</v>
          </cell>
          <cell r="C3911" t="str">
            <v>Məhsulların rəsmiləşdirilməsi sahəsi</v>
          </cell>
          <cell r="D3911" t="str">
            <v>Credit journeys</v>
          </cell>
          <cell r="E3911" t="str">
            <v>#</v>
          </cell>
          <cell r="F3911" t="str">
            <v>Məhsul sahibi</v>
          </cell>
          <cell r="G3911" t="str">
            <v>A</v>
          </cell>
          <cell r="H3911">
            <v>42300</v>
          </cell>
        </row>
        <row r="3912">
          <cell r="B3912" t="str">
            <v>Əzimova Leyla Emin</v>
          </cell>
          <cell r="C3912" t="str">
            <v>Məhsulların rəsmiləşdirilməsi sahəsi</v>
          </cell>
          <cell r="D3912" t="str">
            <v>Cards, Accounts and Depozit journeys</v>
          </cell>
          <cell r="E3912" t="str">
            <v>#</v>
          </cell>
          <cell r="F3912" t="str">
            <v>Məhsul sahibi</v>
          </cell>
          <cell r="G3912" t="str">
            <v>A</v>
          </cell>
          <cell r="H3912">
            <v>43818</v>
          </cell>
        </row>
        <row r="3913">
          <cell r="B3913" t="str">
            <v>Cəlilov Zaur Bəylər</v>
          </cell>
          <cell r="C3913" t="str">
            <v>Müştəri dəyərləri sahəsi</v>
          </cell>
          <cell r="D3913" t="str">
            <v>#</v>
          </cell>
          <cell r="E3913" t="str">
            <v>#</v>
          </cell>
          <cell r="F3913" t="str">
            <v>Sahə lideri</v>
          </cell>
          <cell r="G3913" t="str">
            <v>A</v>
          </cell>
          <cell r="H3913">
            <v>43362</v>
          </cell>
        </row>
        <row r="3914">
          <cell r="B3914" t="str">
            <v>Əsgərli Rəfi Fuad</v>
          </cell>
          <cell r="C3914" t="str">
            <v>Kart məhsulları sahəsi</v>
          </cell>
          <cell r="D3914" t="str">
            <v>Debit cards and engagement</v>
          </cell>
          <cell r="E3914" t="str">
            <v>#</v>
          </cell>
          <cell r="F3914" t="str">
            <v>Məhsul sahibi</v>
          </cell>
          <cell r="G3914" t="str">
            <v>A</v>
          </cell>
          <cell r="H3914">
            <v>43628</v>
          </cell>
        </row>
        <row r="3915">
          <cell r="B3915" t="str">
            <v>Seyidbəyli Həsən Rasim</v>
          </cell>
          <cell r="C3915" t="str">
            <v>Müştəri dəyərləri sahəsi</v>
          </cell>
          <cell r="D3915" t="str">
            <v>Segments</v>
          </cell>
          <cell r="E3915" t="str">
            <v>#</v>
          </cell>
          <cell r="F3915" t="str">
            <v>Məhsul sahibi</v>
          </cell>
          <cell r="G3915" t="str">
            <v>A</v>
          </cell>
          <cell r="H3915">
            <v>43245</v>
          </cell>
        </row>
        <row r="3916">
          <cell r="B3916" t="str">
            <v>Əsgərov Elnur Əli</v>
          </cell>
          <cell r="C3916" t="str">
            <v>Müştəri dəyərləri sahəsi</v>
          </cell>
          <cell r="D3916" t="str">
            <v>Lending portfolio</v>
          </cell>
          <cell r="E3916" t="str">
            <v>#</v>
          </cell>
          <cell r="F3916" t="str">
            <v>Məhsul sahibi</v>
          </cell>
          <cell r="G3916" t="str">
            <v>A</v>
          </cell>
          <cell r="H3916">
            <v>42206</v>
          </cell>
        </row>
        <row r="3917">
          <cell r="B3917" t="str">
            <v>Novruzova Aytəkin Əliağa</v>
          </cell>
          <cell r="C3917" t="str">
            <v>Müştəri dəyərləri sahəsi</v>
          </cell>
          <cell r="D3917" t="str">
            <v>Funding and debet portfolio</v>
          </cell>
          <cell r="E3917" t="str">
            <v>#</v>
          </cell>
          <cell r="F3917" t="str">
            <v>Məhsul sahibi</v>
          </cell>
          <cell r="G3917" t="str">
            <v>A</v>
          </cell>
          <cell r="H3917">
            <v>45887</v>
          </cell>
        </row>
        <row r="3918">
          <cell r="B3918" t="str">
            <v>Məhərrəmova Aydan Rauf</v>
          </cell>
          <cell r="C3918" t="str">
            <v>Müştəri dəyərləri sahəsi</v>
          </cell>
          <cell r="D3918" t="str">
            <v>Personalization &amp; Lifecycle</v>
          </cell>
          <cell r="E3918" t="str">
            <v>#</v>
          </cell>
          <cell r="F3918" t="str">
            <v>Məhsul sahibi</v>
          </cell>
          <cell r="G3918" t="str">
            <v>A</v>
          </cell>
          <cell r="H3918">
            <v>44454</v>
          </cell>
        </row>
        <row r="3919">
          <cell r="B3919" t="str">
            <v>Quliyev Elmar Namiq</v>
          </cell>
          <cell r="C3919" t="str">
            <v>Birbonus sahəsi</v>
          </cell>
          <cell r="D3919" t="str">
            <v>Bonus Cabinet</v>
          </cell>
          <cell r="E3919" t="str">
            <v>#</v>
          </cell>
          <cell r="F3919" t="str">
            <v>Ekspert məhsul sahibi</v>
          </cell>
          <cell r="G3919" t="str">
            <v>A</v>
          </cell>
          <cell r="H3919">
            <v>44691</v>
          </cell>
        </row>
        <row r="3920">
          <cell r="B3920" t="str">
            <v>Məmmədova Nuranə Mirələm</v>
          </cell>
          <cell r="C3920" t="str">
            <v>Loyallıq məhsulları sahəsi</v>
          </cell>
          <cell r="D3920" t="str">
            <v>Ecosystem x-sell and CLV</v>
          </cell>
          <cell r="E3920" t="str">
            <v>#</v>
          </cell>
          <cell r="F3920" t="str">
            <v>Ekspert məhsul sahibi</v>
          </cell>
          <cell r="G3920" t="str">
            <v>A</v>
          </cell>
          <cell r="H3920">
            <v>42363</v>
          </cell>
        </row>
        <row r="3921">
          <cell r="B3921" t="str">
            <v>Əhmədov Zaur Etibar</v>
          </cell>
          <cell r="C3921" t="str">
            <v>Birbonus sahəsi</v>
          </cell>
          <cell r="D3921" t="str">
            <v>Club and Partnership</v>
          </cell>
          <cell r="E3921" t="str">
            <v>#</v>
          </cell>
          <cell r="F3921" t="str">
            <v>Məhsul sahibi</v>
          </cell>
          <cell r="G3921" t="str">
            <v>A</v>
          </cell>
          <cell r="H3921">
            <v>45782</v>
          </cell>
        </row>
        <row r="3922">
          <cell r="B3922" t="str">
            <v>Paşabəyli Əşrəf Saleh</v>
          </cell>
          <cell r="C3922" t="str">
            <v>Birbonus sahəsi</v>
          </cell>
          <cell r="D3922" t="str">
            <v>Subscription and Gamification</v>
          </cell>
          <cell r="E3922" t="str">
            <v>#</v>
          </cell>
          <cell r="F3922" t="str">
            <v>Məhsul sahibi</v>
          </cell>
          <cell r="G3922" t="str">
            <v>A</v>
          </cell>
          <cell r="H3922">
            <v>46175</v>
          </cell>
        </row>
        <row r="3923">
          <cell r="B3923" t="str">
            <v>Həsənov Əmrah Qabil</v>
          </cell>
          <cell r="C3923" t="str">
            <v>Birbonus sahəsi</v>
          </cell>
          <cell r="D3923" t="str">
            <v>TechOps</v>
          </cell>
          <cell r="E3923" t="str">
            <v>#</v>
          </cell>
          <cell r="F3923" t="str">
            <v>Məhsul sahibi</v>
          </cell>
          <cell r="G3923" t="str">
            <v>A</v>
          </cell>
          <cell r="H3923">
            <v>45617</v>
          </cell>
        </row>
        <row r="3924">
          <cell r="B3924" t="str">
            <v>Heydərli Aytac Kamal</v>
          </cell>
          <cell r="C3924" t="str">
            <v>Ödəniş platformaları sahəsi</v>
          </cell>
          <cell r="D3924" t="str">
            <v>Payment integrations</v>
          </cell>
          <cell r="E3924" t="str">
            <v>#</v>
          </cell>
          <cell r="F3924" t="str">
            <v>Məhsul sahibi</v>
          </cell>
          <cell r="G3924" t="str">
            <v>A</v>
          </cell>
          <cell r="H3924">
            <v>45762</v>
          </cell>
        </row>
        <row r="3925">
          <cell r="B3925" t="str">
            <v>Səfərli Çingiz Azər</v>
          </cell>
          <cell r="C3925" t="str">
            <v>İnformasiya təhlükəsizliyi departamenti</v>
          </cell>
          <cell r="D3925" t="str">
            <v>#</v>
          </cell>
          <cell r="E3925" t="str">
            <v>#</v>
          </cell>
          <cell r="F3925" t="str">
            <v>Direktor</v>
          </cell>
          <cell r="G3925" t="str">
            <v>A</v>
          </cell>
          <cell r="H3925">
            <v>44075</v>
          </cell>
        </row>
        <row r="3926">
          <cell r="B3926" t="str">
            <v>Kərimov Kamran Kənan</v>
          </cell>
          <cell r="C3926" t="str">
            <v>İnformasiya təhlükəsizliyi departamenti</v>
          </cell>
          <cell r="D3926" t="str">
            <v>#</v>
          </cell>
          <cell r="E3926" t="str">
            <v>#</v>
          </cell>
          <cell r="F3926" t="str">
            <v>Direktor müavini</v>
          </cell>
          <cell r="G3926" t="str">
            <v>A</v>
          </cell>
          <cell r="H3926">
            <v>44901</v>
          </cell>
        </row>
        <row r="3927">
          <cell r="B3927" t="str">
            <v>Rzazadə Murad Elçin</v>
          </cell>
          <cell r="C3927" t="str">
            <v>İnformasiya təhlükəsizliyi departamenti</v>
          </cell>
          <cell r="D3927" t="str">
            <v>#</v>
          </cell>
          <cell r="E3927" t="str">
            <v>#</v>
          </cell>
          <cell r="F3927" t="str">
            <v>Direktor müavini (əvəzçilik qaydasında)</v>
          </cell>
          <cell r="G3927" t="str">
            <v>A</v>
          </cell>
          <cell r="H3927">
            <v>46118</v>
          </cell>
          <cell r="I3927" t="str">
            <v>Bir Payment</v>
          </cell>
        </row>
        <row r="3928">
          <cell r="B3928" t="str">
            <v>Şəfiyev Murad Şahin</v>
          </cell>
          <cell r="C3928" t="str">
            <v>İnformasiya təhlükəsizliyi departamenti</v>
          </cell>
          <cell r="D3928" t="str">
            <v>İnformasiya təhlükəsizliyi üzrə GRC şöbəsi</v>
          </cell>
          <cell r="E3928" t="str">
            <v>#</v>
          </cell>
          <cell r="F3928" t="str">
            <v>baş mütəxəssis</v>
          </cell>
          <cell r="G3928" t="str">
            <v>A</v>
          </cell>
          <cell r="H3928">
            <v>45058</v>
          </cell>
        </row>
        <row r="3929">
          <cell r="B3929" t="str">
            <v>Hüseynli Əli Natiq</v>
          </cell>
          <cell r="C3929" t="str">
            <v>İnformasiya təhlükəsizliyi departamenti</v>
          </cell>
          <cell r="D3929" t="str">
            <v>İnformasiya təhlükəsizliyi üzrə GRC şöbəsi</v>
          </cell>
          <cell r="E3929" t="str">
            <v>#</v>
          </cell>
          <cell r="F3929" t="str">
            <v>aparıcı mütəxəssis</v>
          </cell>
          <cell r="G3929" t="str">
            <v>A</v>
          </cell>
          <cell r="H3929">
            <v>45091</v>
          </cell>
        </row>
        <row r="3930">
          <cell r="B3930" t="str">
            <v>Bəşirov Nəsirağa Səlahəddin</v>
          </cell>
          <cell r="C3930" t="str">
            <v>İnformasiya təhlükəsizliyi departamenti</v>
          </cell>
          <cell r="D3930" t="str">
            <v>İnformasiya təhlükəsizliyi üzrə GRC şöbəsi</v>
          </cell>
          <cell r="E3930" t="str">
            <v>#</v>
          </cell>
          <cell r="F3930" t="str">
            <v>Mütəxəssis</v>
          </cell>
          <cell r="G3930" t="str">
            <v>A</v>
          </cell>
          <cell r="H3930">
            <v>45793</v>
          </cell>
        </row>
        <row r="3931">
          <cell r="B3931" t="str">
            <v>Kərimova Mehriban Rauf</v>
          </cell>
          <cell r="C3931" t="str">
            <v>İnformasiya təhlükəsizliyi departamenti</v>
          </cell>
          <cell r="D3931" t="str">
            <v>İnformasiya təhlükəsizliyi üzrə GRC şöbəsi</v>
          </cell>
          <cell r="E3931" t="str">
            <v>#</v>
          </cell>
          <cell r="F3931" t="str">
            <v>Mütəxəssis</v>
          </cell>
          <cell r="G3931" t="str">
            <v>A</v>
          </cell>
          <cell r="H3931">
            <v>46230</v>
          </cell>
        </row>
        <row r="3932">
          <cell r="B3932" t="str">
            <v>Abbasov Şamil Bəhruz</v>
          </cell>
          <cell r="C3932" t="str">
            <v>İnformasiya təhlükəsizliyi departamenti</v>
          </cell>
          <cell r="D3932" t="str">
            <v>İnformasiya təhlükəsizliyi üzrə GRC şöbəsi</v>
          </cell>
          <cell r="E3932" t="str">
            <v>#</v>
          </cell>
          <cell r="F3932" t="str">
            <v>Kiçik mütəxəssis (0,5 ştat vahidi üzrə)</v>
          </cell>
          <cell r="G3932" t="str">
            <v>A</v>
          </cell>
          <cell r="H3932">
            <v>46003</v>
          </cell>
        </row>
        <row r="3933">
          <cell r="B3933" t="str">
            <v>Qandaxov Ramazan Ramin</v>
          </cell>
          <cell r="C3933" t="str">
            <v>İnformasiya təhlükəsizliyi departamenti</v>
          </cell>
          <cell r="D3933" t="str">
            <v>İnformasiya təhlükəsizliyi üzrə GRC şöbəsi</v>
          </cell>
          <cell r="E3933" t="str">
            <v>#</v>
          </cell>
          <cell r="F3933" t="str">
            <v>Kiçik mütəxəssis (0,5 ştat vahidi üzrə)</v>
          </cell>
          <cell r="G3933" t="str">
            <v>A</v>
          </cell>
          <cell r="H3933">
            <v>46003</v>
          </cell>
        </row>
        <row r="3934">
          <cell r="B3934" t="str">
            <v>Rüstəmli Zaur Firdovsi</v>
          </cell>
          <cell r="C3934" t="str">
            <v>İnformasiya təhlükəsizliyi departamenti</v>
          </cell>
          <cell r="D3934" t="str">
            <v>İnformasiya təhlükəsizliyi üzrə GRC şöbəsi</v>
          </cell>
          <cell r="E3934" t="str">
            <v>#</v>
          </cell>
          <cell r="F3934" t="str">
            <v>Kiçik mütəxəssis</v>
          </cell>
          <cell r="G3934" t="str">
            <v>A</v>
          </cell>
          <cell r="H3934">
            <v>46246</v>
          </cell>
        </row>
        <row r="3935">
          <cell r="B3935" t="str">
            <v>Səfərəliyev Sənan Bayram</v>
          </cell>
          <cell r="C3935" t="str">
            <v>İnformasiya təhlükəsizliyi departamenti</v>
          </cell>
          <cell r="D3935" t="str">
            <v>Kibermüdafiə şöbəsi</v>
          </cell>
          <cell r="E3935" t="str">
            <v>#</v>
          </cell>
          <cell r="F3935" t="str">
            <v>menecer</v>
          </cell>
          <cell r="G3935" t="str">
            <v>A</v>
          </cell>
          <cell r="H3935">
            <v>45101</v>
          </cell>
        </row>
        <row r="3936">
          <cell r="B3936" t="str">
            <v>Xəlilzadə Rəşid Həmid</v>
          </cell>
          <cell r="C3936" t="str">
            <v>İnformasiya təhlükəsizliyi departamenti</v>
          </cell>
          <cell r="D3936" t="str">
            <v>Kibermüdafiə şöbəsi</v>
          </cell>
          <cell r="E3936" t="str">
            <v>#</v>
          </cell>
          <cell r="F3936" t="str">
            <v>Aparıcı mütəxəssis</v>
          </cell>
          <cell r="G3936" t="str">
            <v>A</v>
          </cell>
          <cell r="H3936">
            <v>44335</v>
          </cell>
        </row>
        <row r="3937">
          <cell r="B3937" t="str">
            <v>Cabbarlı Samir Saleh</v>
          </cell>
          <cell r="C3937" t="str">
            <v>İnformasiya təhlükəsizliyi departamenti</v>
          </cell>
          <cell r="D3937" t="str">
            <v>Kibermüdafiə şöbəsi</v>
          </cell>
          <cell r="E3937" t="str">
            <v>#</v>
          </cell>
          <cell r="F3937" t="str">
            <v>baş mütəxəssis</v>
          </cell>
          <cell r="G3937" t="str">
            <v>A</v>
          </cell>
          <cell r="H3937">
            <v>45057</v>
          </cell>
        </row>
        <row r="3938">
          <cell r="B3938" t="str">
            <v>İsmayılov Əbülfəz Fəhrad</v>
          </cell>
          <cell r="C3938" t="str">
            <v>İnformasiya təhlükəsizliyi departamenti</v>
          </cell>
          <cell r="D3938" t="str">
            <v>Kibermüdafiə şöbəsi</v>
          </cell>
          <cell r="E3938" t="str">
            <v>#</v>
          </cell>
          <cell r="F3938" t="str">
            <v>Aparıcı mütəxəssis</v>
          </cell>
          <cell r="G3938" t="str">
            <v>A</v>
          </cell>
          <cell r="H3938">
            <v>45810</v>
          </cell>
        </row>
        <row r="3939">
          <cell r="B3939" t="str">
            <v>Əlimov Kamil Şamil</v>
          </cell>
          <cell r="C3939" t="str">
            <v>İnformasiya təhlükəsizliyi departamenti</v>
          </cell>
          <cell r="D3939" t="str">
            <v>Kibermüdafiə şöbəsi</v>
          </cell>
          <cell r="E3939" t="str">
            <v>#</v>
          </cell>
          <cell r="F3939" t="str">
            <v>aparıcı mütəxəssis</v>
          </cell>
          <cell r="G3939" t="str">
            <v>A</v>
          </cell>
          <cell r="H3939">
            <v>45352</v>
          </cell>
        </row>
        <row r="3940">
          <cell r="B3940" t="str">
            <v>Cəfərov Pərviz Elçin</v>
          </cell>
          <cell r="C3940" t="str">
            <v>İnformasiya təhlükəsizliyi departamenti</v>
          </cell>
          <cell r="D3940" t="str">
            <v>Kibermüdafiə şöbəsi</v>
          </cell>
          <cell r="E3940" t="str">
            <v>#</v>
          </cell>
          <cell r="F3940" t="str">
            <v>Mütəxəssis</v>
          </cell>
          <cell r="G3940" t="str">
            <v>A</v>
          </cell>
          <cell r="H3940">
            <v>45729</v>
          </cell>
        </row>
        <row r="3941">
          <cell r="B3941" t="str">
            <v>Əlləzov Qədir Sahib</v>
          </cell>
          <cell r="C3941" t="str">
            <v>İnformasiya təhlükəsizliyi departamenti</v>
          </cell>
          <cell r="D3941" t="str">
            <v>Kibermüdafiə şöbəsi</v>
          </cell>
          <cell r="E3941" t="str">
            <v>#</v>
          </cell>
          <cell r="F3941" t="str">
            <v>Mütəxəssis</v>
          </cell>
          <cell r="G3941" t="str">
            <v>A</v>
          </cell>
          <cell r="H3941">
            <v>45811</v>
          </cell>
        </row>
        <row r="3942">
          <cell r="B3942" t="str">
            <v>Vəliyeva İlahə Etibar</v>
          </cell>
          <cell r="C3942" t="str">
            <v>İnformasiya təhlükəsizliyi departamenti</v>
          </cell>
          <cell r="D3942" t="str">
            <v>Kibermüdafiə şöbəsi</v>
          </cell>
          <cell r="E3942" t="str">
            <v>#</v>
          </cell>
          <cell r="F3942" t="str">
            <v>Mütəxəssis</v>
          </cell>
          <cell r="G3942" t="str">
            <v>A</v>
          </cell>
          <cell r="H3942">
            <v>45827</v>
          </cell>
        </row>
        <row r="3943">
          <cell r="B3943" t="str">
            <v>İsmayılzadə Nigar Nail</v>
          </cell>
          <cell r="C3943" t="str">
            <v>İnformasiya təhlükəsizliyi departamenti</v>
          </cell>
          <cell r="D3943" t="str">
            <v>Kibermüdafiə şöbəsi</v>
          </cell>
          <cell r="E3943" t="str">
            <v>#</v>
          </cell>
          <cell r="F3943" t="str">
            <v>Kiçik mütəxəssis</v>
          </cell>
          <cell r="G3943" t="str">
            <v>A</v>
          </cell>
          <cell r="H3943">
            <v>46071</v>
          </cell>
        </row>
        <row r="3944">
          <cell r="B3944" t="str">
            <v>Salamova Günel Elşən</v>
          </cell>
          <cell r="C3944" t="str">
            <v>İnformasiya təhlükəsizliyi departamenti</v>
          </cell>
          <cell r="D3944" t="str">
            <v>Kibermüdafiə şöbəsi</v>
          </cell>
          <cell r="E3944" t="str">
            <v>#</v>
          </cell>
          <cell r="F3944" t="str">
            <v>Kiçik mütəxəssis</v>
          </cell>
          <cell r="G3944" t="str">
            <v>A</v>
          </cell>
          <cell r="H3944">
            <v>46132</v>
          </cell>
        </row>
        <row r="3945">
          <cell r="B3945" t="str">
            <v>Rəhimli Fuad Polad</v>
          </cell>
          <cell r="C3945" t="str">
            <v>İnformasiya təhlükəsizliyi departamenti</v>
          </cell>
          <cell r="D3945" t="str">
            <v>Kibermüdafiə şöbəsi</v>
          </cell>
          <cell r="E3945" t="str">
            <v>#</v>
          </cell>
          <cell r="F3945" t="str">
            <v>Mütəxəssis</v>
          </cell>
          <cell r="G3945" t="str">
            <v>A</v>
          </cell>
          <cell r="H3945">
            <v>45973</v>
          </cell>
        </row>
        <row r="3946">
          <cell r="B3946" t="str">
            <v>İmanov Elxan Səftər</v>
          </cell>
          <cell r="C3946" t="str">
            <v>İnformasiya təhlükəsizliyi departamenti</v>
          </cell>
          <cell r="D3946" t="str">
            <v>Kibermüdafiə şöbəsi</v>
          </cell>
          <cell r="E3946" t="str">
            <v>#</v>
          </cell>
          <cell r="F3946" t="str">
            <v>Kiçik mütəxəssis</v>
          </cell>
          <cell r="G3946" t="str">
            <v>A</v>
          </cell>
          <cell r="H3946">
            <v>46016</v>
          </cell>
        </row>
        <row r="3947">
          <cell r="B3947" t="str">
            <v>Mənsimov Nicat Cəfər</v>
          </cell>
          <cell r="C3947" t="str">
            <v>İnformasiya təhlükəsizliyi departamenti</v>
          </cell>
          <cell r="D3947" t="str">
            <v>Kibermüdafiə şöbəsi</v>
          </cell>
          <cell r="E3947" t="str">
            <v>#</v>
          </cell>
          <cell r="F3947" t="str">
            <v>Kiçik mütəxəssis</v>
          </cell>
          <cell r="G3947" t="str">
            <v>A</v>
          </cell>
          <cell r="H3947">
            <v>46164</v>
          </cell>
        </row>
        <row r="3948">
          <cell r="B3948" t="str">
            <v>Əliyev İbrahim Elçin</v>
          </cell>
          <cell r="C3948" t="str">
            <v>İnformasiya təhlükəsizliyi departamenti</v>
          </cell>
          <cell r="D3948" t="str">
            <v>Məhsul təhlükəsizliyi şöbəsi</v>
          </cell>
          <cell r="E3948" t="str">
            <v>#</v>
          </cell>
          <cell r="F3948" t="str">
            <v>Şöbə müdiri</v>
          </cell>
          <cell r="G3948" t="str">
            <v>A</v>
          </cell>
          <cell r="H3948">
            <v>44411</v>
          </cell>
        </row>
        <row r="3949">
          <cell r="B3949" t="str">
            <v>Hüseynov Səbuhi Ramiq</v>
          </cell>
          <cell r="C3949" t="str">
            <v>İnformasiya təhlükəsizliyi departamenti</v>
          </cell>
          <cell r="D3949" t="str">
            <v>Məhsul təhlükəsizliyi şöbəsi</v>
          </cell>
          <cell r="E3949" t="str">
            <v>#</v>
          </cell>
          <cell r="F3949" t="str">
            <v>baş mütəxəssis</v>
          </cell>
          <cell r="G3949" t="str">
            <v>A</v>
          </cell>
          <cell r="H3949">
            <v>45470</v>
          </cell>
        </row>
        <row r="3950">
          <cell r="B3950" t="str">
            <v>Nəbili Oktay Sübhi</v>
          </cell>
          <cell r="C3950" t="str">
            <v>İnformasiya təhlükəsizliyi departamenti</v>
          </cell>
          <cell r="D3950" t="str">
            <v>Kibermüdafiə şöbəsi</v>
          </cell>
          <cell r="E3950" t="str">
            <v>Kiber fraudlarla mübarizə bölməsi</v>
          </cell>
          <cell r="F3950" t="str">
            <v>baş mütəxəssis</v>
          </cell>
          <cell r="G3950" t="str">
            <v>A</v>
          </cell>
          <cell r="H3950">
            <v>45370</v>
          </cell>
        </row>
        <row r="3951">
          <cell r="B3951" t="str">
            <v>Hacıyev Orxan Şəfayət</v>
          </cell>
          <cell r="C3951" t="str">
            <v>İnformasiya təhlükəsizliyi departamenti</v>
          </cell>
          <cell r="D3951" t="str">
            <v>Kibermüdafiə şöbəsi</v>
          </cell>
          <cell r="E3951" t="str">
            <v>Kiber fraudlarla mübarizə bölməsi</v>
          </cell>
          <cell r="F3951" t="str">
            <v>baş mütəxəssis</v>
          </cell>
          <cell r="G3951" t="str">
            <v>A</v>
          </cell>
          <cell r="H3951">
            <v>46252</v>
          </cell>
        </row>
        <row r="3952">
          <cell r="B3952" t="str">
            <v>Akifli Rüstəm Fərmayıl</v>
          </cell>
          <cell r="C3952" t="str">
            <v>İnformasiya təhlükəsizliyi departamenti</v>
          </cell>
          <cell r="D3952" t="str">
            <v>Kibermüdafiə şöbəsi</v>
          </cell>
          <cell r="E3952" t="str">
            <v>Kiber fraudlarla mübarizə bölməsi</v>
          </cell>
          <cell r="F3952" t="str">
            <v>Mütəxəssis</v>
          </cell>
          <cell r="G3952" t="str">
            <v>A</v>
          </cell>
          <cell r="H3952">
            <v>45800</v>
          </cell>
        </row>
        <row r="3953">
          <cell r="B3953" t="str">
            <v>Mursaquliyev Vahid Hikmət</v>
          </cell>
          <cell r="C3953" t="str">
            <v>İnformasiya təhlükəsizliyi departamenti</v>
          </cell>
          <cell r="D3953" t="str">
            <v>Kibermüdafiə şöbəsi</v>
          </cell>
          <cell r="E3953" t="str">
            <v>#</v>
          </cell>
          <cell r="F3953" t="str">
            <v>Kiçik mütəxəssis</v>
          </cell>
          <cell r="G3953" t="str">
            <v>A</v>
          </cell>
          <cell r="H3953">
            <v>46216</v>
          </cell>
        </row>
        <row r="3954">
          <cell r="B3954" t="str">
            <v>Çələbiyev Xanverdi Mübariz</v>
          </cell>
          <cell r="C3954" t="str">
            <v>İnformasiya təhlükəsizliyi departamenti</v>
          </cell>
          <cell r="D3954" t="str">
            <v>Kibermüdafiə şöbəsi</v>
          </cell>
          <cell r="E3954" t="str">
            <v>#</v>
          </cell>
          <cell r="F3954" t="str">
            <v>Kiçik mütəxəssis</v>
          </cell>
          <cell r="G3954" t="str">
            <v>A</v>
          </cell>
          <cell r="H3954">
            <v>46266</v>
          </cell>
        </row>
        <row r="3955">
          <cell r="B3955" t="str">
            <v>Lalayev Fərid Cəmil</v>
          </cell>
          <cell r="C3955" t="str">
            <v>İnformasiya təhlükəsizliyi departamenti</v>
          </cell>
          <cell r="D3955" t="str">
            <v>Məhsul təhlükəsizliyi şöbəsi</v>
          </cell>
          <cell r="E3955" t="str">
            <v>#</v>
          </cell>
          <cell r="F3955" t="str">
            <v>Aparıcı mütəxəssis</v>
          </cell>
          <cell r="G3955" t="str">
            <v>A</v>
          </cell>
          <cell r="H3955">
            <v>45481</v>
          </cell>
        </row>
        <row r="3956">
          <cell r="B3956" t="str">
            <v>Hümbətzadə Sahib Niyazi</v>
          </cell>
          <cell r="C3956" t="str">
            <v>İnformasiya təhlükəsizliyi departamenti</v>
          </cell>
          <cell r="D3956" t="str">
            <v>Məhsul təhlükəsizliyi şöbəsi</v>
          </cell>
          <cell r="E3956" t="str">
            <v>#</v>
          </cell>
          <cell r="F3956" t="str">
            <v>Aparıcı mütəxəssis</v>
          </cell>
          <cell r="G3956" t="str">
            <v>A</v>
          </cell>
          <cell r="H3956">
            <v>46204</v>
          </cell>
        </row>
        <row r="3957">
          <cell r="B3957" t="str">
            <v>İsmayılov İbrahim Zakir</v>
          </cell>
          <cell r="C3957" t="str">
            <v>İnformasiya təhlükəsizliyi departamenti</v>
          </cell>
          <cell r="D3957" t="str">
            <v>Məhsul təhlükəsizliyi şöbəsi</v>
          </cell>
          <cell r="E3957" t="str">
            <v>#</v>
          </cell>
          <cell r="F3957" t="str">
            <v>kiçik mütəxəssis(0,5 ştat vahidi üzrə)</v>
          </cell>
          <cell r="G3957" t="str">
            <v>A</v>
          </cell>
          <cell r="H3957">
            <v>46076</v>
          </cell>
        </row>
        <row r="3958">
          <cell r="B3958" t="str">
            <v>Əsgərli Toğrul İsgəndər</v>
          </cell>
          <cell r="C3958" t="str">
            <v>İnformasiya təhlükəsizliyi departamenti</v>
          </cell>
          <cell r="D3958" t="str">
            <v>Məhsul təhlükəsizliyi şöbəsi</v>
          </cell>
          <cell r="E3958" t="str">
            <v>#</v>
          </cell>
          <cell r="F3958" t="str">
            <v>Mütəxəssis</v>
          </cell>
          <cell r="G3958" t="str">
            <v>A</v>
          </cell>
          <cell r="H3958">
            <v>45666</v>
          </cell>
        </row>
        <row r="3959">
          <cell r="B3959" t="str">
            <v>Babayeva Nigar Saleh</v>
          </cell>
          <cell r="C3959" t="str">
            <v>İnformasiya təhlükəsizliyi departamenti</v>
          </cell>
          <cell r="D3959" t="str">
            <v>Məhsul təhlükəsizliyi şöbəsi</v>
          </cell>
          <cell r="E3959" t="str">
            <v>#</v>
          </cell>
          <cell r="F3959" t="str">
            <v>Mütəxəssis</v>
          </cell>
          <cell r="G3959" t="str">
            <v>A</v>
          </cell>
          <cell r="H3959">
            <v>46077</v>
          </cell>
        </row>
        <row r="3960">
          <cell r="B3960" t="str">
            <v>Ağamalıyev Əhməd Muxtar</v>
          </cell>
          <cell r="C3960" t="str">
            <v>İnformasiya təhlükəsizliyi departamenti</v>
          </cell>
          <cell r="D3960" t="str">
            <v>Məhsul təhlükəsizliyi şöbəsi</v>
          </cell>
          <cell r="E3960" t="str">
            <v>#</v>
          </cell>
          <cell r="F3960" t="str">
            <v>Mütəxəssis</v>
          </cell>
          <cell r="G3960" t="str">
            <v>A</v>
          </cell>
          <cell r="H3960">
            <v>46211</v>
          </cell>
        </row>
        <row r="3961">
          <cell r="B3961" t="str">
            <v>Abdulkərimov Fərhad Rafiq</v>
          </cell>
          <cell r="C3961" t="str">
            <v>İnformasiya təhlükəsizliyi departamenti</v>
          </cell>
          <cell r="D3961" t="str">
            <v>Məhsul təhlükəsizliyi şöbəsi</v>
          </cell>
          <cell r="E3961" t="str">
            <v>#</v>
          </cell>
          <cell r="F3961" t="str">
            <v>Mütəxəssis</v>
          </cell>
          <cell r="G3961" t="str">
            <v>A</v>
          </cell>
          <cell r="H3961">
            <v>45590</v>
          </cell>
        </row>
        <row r="3962">
          <cell r="B3962" t="str">
            <v>Mahmudov Ayxan Məmməd</v>
          </cell>
          <cell r="C3962" t="str">
            <v>İnformasiya təhlükəsizliyi departamenti</v>
          </cell>
          <cell r="D3962" t="str">
            <v>Məhsul təhlükəsizliyi şöbəsi</v>
          </cell>
          <cell r="E3962" t="str">
            <v>#</v>
          </cell>
          <cell r="F3962" t="str">
            <v>mütəxəssis(0,5 ştat vahidi üzrə)</v>
          </cell>
          <cell r="G3962" t="str">
            <v>A</v>
          </cell>
          <cell r="H3962">
            <v>45768</v>
          </cell>
        </row>
        <row r="3963">
          <cell r="B3963" t="str">
            <v>İsmayıllı Cəmil Rasim</v>
          </cell>
          <cell r="C3963" t="str">
            <v>İnformasiya təhlükəsizliyi departamenti</v>
          </cell>
          <cell r="D3963" t="str">
            <v>Məhsul təhlükəsizliyi şöbəsi</v>
          </cell>
          <cell r="E3963" t="str">
            <v>#</v>
          </cell>
          <cell r="F3963" t="str">
            <v>Mütəxəssis</v>
          </cell>
          <cell r="G3963" t="str">
            <v>A</v>
          </cell>
          <cell r="H3963">
            <v>45651</v>
          </cell>
        </row>
        <row r="3964">
          <cell r="B3964" t="str">
            <v>Abbaslı Nicat Nazir</v>
          </cell>
          <cell r="C3964" t="str">
            <v>İnformasiya təhlükəsizliyi departamenti</v>
          </cell>
          <cell r="D3964" t="str">
            <v>Məhsul təhlükəsizliyi şöbəsi</v>
          </cell>
          <cell r="E3964" t="str">
            <v>#</v>
          </cell>
          <cell r="F3964" t="str">
            <v>mütəxəssis(0,5 ştat vahidi üzrə)</v>
          </cell>
          <cell r="G3964" t="str">
            <v>A</v>
          </cell>
          <cell r="H3964">
            <v>45894</v>
          </cell>
        </row>
        <row r="3965">
          <cell r="B3965" t="str">
            <v>Qəndilov Qasım Azər</v>
          </cell>
          <cell r="C3965" t="str">
            <v>İnformasiya təhlükəsizliyi departamenti</v>
          </cell>
          <cell r="D3965" t="str">
            <v>İT risklərinin idarə edilməsi şöbəsi</v>
          </cell>
          <cell r="E3965" t="str">
            <v>#</v>
          </cell>
          <cell r="F3965" t="str">
            <v>Menecer</v>
          </cell>
          <cell r="G3965" t="str">
            <v>A</v>
          </cell>
          <cell r="H3965">
            <v>45247</v>
          </cell>
        </row>
        <row r="3966">
          <cell r="B3966" t="str">
            <v>Əsədov Pəncəli Əli</v>
          </cell>
          <cell r="C3966" t="str">
            <v>İnformasiya təhlükəsizliyi departamenti</v>
          </cell>
          <cell r="D3966" t="str">
            <v>İT risklərinin idarə edilməsi şöbəsi</v>
          </cell>
          <cell r="E3966" t="str">
            <v>#</v>
          </cell>
          <cell r="F3966" t="str">
            <v>Menecer</v>
          </cell>
          <cell r="G3966" t="str">
            <v>A</v>
          </cell>
          <cell r="H3966">
            <v>46220</v>
          </cell>
          <cell r="I3966" t="str">
            <v>Bir Payment</v>
          </cell>
        </row>
        <row r="3967">
          <cell r="B3967" t="str">
            <v>Səlimli Əziz Səlim</v>
          </cell>
          <cell r="C3967" t="str">
            <v>İnformasiya təhlükəsizliyi departamenti</v>
          </cell>
          <cell r="D3967" t="str">
            <v>İT risklərinin idarə edilməsi şöbəsi</v>
          </cell>
          <cell r="E3967" t="str">
            <v>#</v>
          </cell>
          <cell r="F3967" t="str">
            <v>Aparıcı mütəxəssis</v>
          </cell>
          <cell r="G3967" t="str">
            <v>A</v>
          </cell>
          <cell r="H3967">
            <v>45267</v>
          </cell>
        </row>
        <row r="3968">
          <cell r="B3968" t="str">
            <v>Zeynalov Ramin Vahid</v>
          </cell>
          <cell r="C3968" t="str">
            <v>İnformasiya təhlükəsizliyi departamenti</v>
          </cell>
          <cell r="D3968" t="str">
            <v>İT risklərinin idarə edilməsi şöbəsi</v>
          </cell>
          <cell r="E3968" t="str">
            <v>#</v>
          </cell>
          <cell r="F3968" t="str">
            <v>Baş mütəxəssis</v>
          </cell>
          <cell r="G3968" t="str">
            <v>A</v>
          </cell>
          <cell r="H3968">
            <v>46097</v>
          </cell>
        </row>
        <row r="3969">
          <cell r="B3969" t="str">
            <v>Nəsibov Elnur Rafiq</v>
          </cell>
          <cell r="C3969" t="str">
            <v>Kreditlərin hüquqi təqibi departamenti</v>
          </cell>
          <cell r="D3969" t="str">
            <v>#</v>
          </cell>
          <cell r="E3969" t="str">
            <v>#</v>
          </cell>
          <cell r="F3969" t="str">
            <v>Direktor</v>
          </cell>
          <cell r="G3969" t="str">
            <v>A</v>
          </cell>
          <cell r="H3969">
            <v>41484</v>
          </cell>
        </row>
        <row r="3970">
          <cell r="B3970" t="str">
            <v>Kərim İsa İlqar</v>
          </cell>
          <cell r="C3970" t="str">
            <v>Kreditlərin hüquqi təqibi departamenti</v>
          </cell>
          <cell r="D3970" t="str">
            <v>İcra orqanları ilə iş şöbəsi</v>
          </cell>
          <cell r="E3970" t="str">
            <v>#</v>
          </cell>
          <cell r="F3970" t="str">
            <v>Şöbə müdiri</v>
          </cell>
          <cell r="G3970" t="str">
            <v>A</v>
          </cell>
          <cell r="H3970">
            <v>41507</v>
          </cell>
        </row>
        <row r="3971">
          <cell r="B3971" t="str">
            <v>Rəfibəyli Fərhad Lətif</v>
          </cell>
          <cell r="C3971" t="str">
            <v>Kreditlərin hüquqi təqibi departamenti</v>
          </cell>
          <cell r="D3971" t="str">
            <v>İcra orqanları ilə iş şöbəsi</v>
          </cell>
          <cell r="E3971" t="str">
            <v>#</v>
          </cell>
          <cell r="F3971" t="str">
            <v>Menecer</v>
          </cell>
          <cell r="G3971" t="str">
            <v>A</v>
          </cell>
          <cell r="H3971">
            <v>41690</v>
          </cell>
        </row>
        <row r="3972">
          <cell r="B3972" t="str">
            <v>Binnətov Tural Faiq</v>
          </cell>
          <cell r="C3972" t="str">
            <v>Kreditlərin hüquqi təqibi departamenti</v>
          </cell>
          <cell r="D3972" t="str">
            <v>İcra orqanları ilə iş şöbəsi</v>
          </cell>
          <cell r="E3972" t="str">
            <v>#</v>
          </cell>
          <cell r="F3972" t="str">
            <v>Qrup rəhbəri</v>
          </cell>
          <cell r="G3972" t="str">
            <v>A</v>
          </cell>
          <cell r="H3972">
            <v>41694</v>
          </cell>
        </row>
        <row r="3973">
          <cell r="B3973" t="str">
            <v>İmaməliyeva Ülviyyə Əyyar</v>
          </cell>
          <cell r="C3973" t="str">
            <v>Kreditlərin hüquqi təqibi departamenti</v>
          </cell>
          <cell r="D3973" t="str">
            <v>İcra orqanları ilə iş şöbəsi</v>
          </cell>
          <cell r="E3973" t="str">
            <v>#</v>
          </cell>
          <cell r="F3973" t="str">
            <v>Baş mütəxəssis</v>
          </cell>
          <cell r="G3973" t="str">
            <v>A</v>
          </cell>
          <cell r="H3973">
            <v>41914</v>
          </cell>
        </row>
        <row r="3974">
          <cell r="B3974" t="str">
            <v>Məmmədov Atilay Akif</v>
          </cell>
          <cell r="C3974" t="str">
            <v>Kreditlərin hüquqi təqibi departamenti</v>
          </cell>
          <cell r="D3974" t="str">
            <v>İcra orqanları ilə iş şöbəsi</v>
          </cell>
          <cell r="E3974" t="str">
            <v>#</v>
          </cell>
          <cell r="F3974" t="str">
            <v>Baş hüquqşünas</v>
          </cell>
          <cell r="G3974" t="str">
            <v>A</v>
          </cell>
          <cell r="H3974">
            <v>43123</v>
          </cell>
        </row>
        <row r="3975">
          <cell r="B3975" t="str">
            <v>Süleymanzadə Nəsiman Yəhya</v>
          </cell>
          <cell r="C3975" t="str">
            <v>Kreditlərin hüquqi təqibi departamenti</v>
          </cell>
          <cell r="D3975" t="str">
            <v>İcra orqanları ilə iş şöbəsi</v>
          </cell>
          <cell r="E3975" t="str">
            <v>#</v>
          </cell>
          <cell r="F3975" t="str">
            <v>Baş hüquqşünas</v>
          </cell>
          <cell r="G3975" t="str">
            <v>A</v>
          </cell>
          <cell r="H3975">
            <v>43542</v>
          </cell>
        </row>
        <row r="3976">
          <cell r="B3976" t="str">
            <v>Əlifov Hüseyn Məmmədtağı</v>
          </cell>
          <cell r="C3976" t="str">
            <v>Kreditlərin hüquqi təqibi departamenti</v>
          </cell>
          <cell r="D3976" t="str">
            <v>İcra orqanları ilə iş şöbəsi</v>
          </cell>
          <cell r="E3976" t="str">
            <v>#</v>
          </cell>
          <cell r="F3976" t="str">
            <v>Baş hüquqşünas</v>
          </cell>
          <cell r="G3976" t="str">
            <v>A</v>
          </cell>
          <cell r="H3976">
            <v>43740</v>
          </cell>
        </row>
        <row r="3977">
          <cell r="B3977" t="str">
            <v>Fərzəliyev Kərəm Səbuhi</v>
          </cell>
          <cell r="C3977" t="str">
            <v>Kreditlərin hüquqi təqibi departamenti</v>
          </cell>
          <cell r="D3977" t="str">
            <v>İcra orqanları ilə iş şöbəsi</v>
          </cell>
          <cell r="E3977" t="str">
            <v>#</v>
          </cell>
          <cell r="F3977" t="str">
            <v>Baş hüquqşünas</v>
          </cell>
          <cell r="G3977" t="str">
            <v>A</v>
          </cell>
          <cell r="H3977">
            <v>43803</v>
          </cell>
        </row>
        <row r="3978">
          <cell r="B3978" t="str">
            <v>Şirinli Ceyhun Hüseyn</v>
          </cell>
          <cell r="C3978" t="str">
            <v>Kreditlərin hüquqi təqibi departamenti</v>
          </cell>
          <cell r="D3978" t="str">
            <v>İcra orqanları ilə iş şöbəsi</v>
          </cell>
          <cell r="E3978" t="str">
            <v>#</v>
          </cell>
          <cell r="F3978" t="str">
            <v>Baş hüquqşünas</v>
          </cell>
          <cell r="G3978" t="str">
            <v>A</v>
          </cell>
          <cell r="H3978">
            <v>43811</v>
          </cell>
        </row>
        <row r="3979">
          <cell r="B3979" t="str">
            <v>Əliyev Ülvi Zirəddin</v>
          </cell>
          <cell r="C3979" t="str">
            <v>Kreditlərin hüquqi təqibi departamenti</v>
          </cell>
          <cell r="D3979" t="str">
            <v>İcra orqanları ilə iş şöbəsi</v>
          </cell>
          <cell r="E3979" t="str">
            <v>#</v>
          </cell>
          <cell r="F3979" t="str">
            <v>Baş hüquqşünas</v>
          </cell>
          <cell r="G3979" t="str">
            <v>A</v>
          </cell>
          <cell r="H3979">
            <v>44586</v>
          </cell>
        </row>
        <row r="3980">
          <cell r="B3980" t="str">
            <v>Əliyev Şahlar Əliağa</v>
          </cell>
          <cell r="C3980" t="str">
            <v>Kreditlərin hüquqi təqibi departamenti</v>
          </cell>
          <cell r="D3980" t="str">
            <v>İcra orqanları ilə iş şöbəsi</v>
          </cell>
          <cell r="E3980" t="str">
            <v>#</v>
          </cell>
          <cell r="F3980" t="str">
            <v>Baş hüquqşünas</v>
          </cell>
          <cell r="G3980" t="str">
            <v>A</v>
          </cell>
          <cell r="H3980">
            <v>44477</v>
          </cell>
        </row>
        <row r="3981">
          <cell r="B3981" t="str">
            <v>Qazıyev Ceyhun İslam</v>
          </cell>
          <cell r="C3981" t="str">
            <v>Kreditlərin hüquqi təqibi departamenti</v>
          </cell>
          <cell r="D3981" t="str">
            <v>İcra orqanları ilə iş şöbəsi</v>
          </cell>
          <cell r="E3981" t="str">
            <v>#</v>
          </cell>
          <cell r="F3981" t="str">
            <v>Baş hüquqşünas</v>
          </cell>
          <cell r="G3981" t="str">
            <v>A</v>
          </cell>
          <cell r="H3981">
            <v>44806</v>
          </cell>
        </row>
        <row r="3982">
          <cell r="B3982" t="str">
            <v>Əsədov Nurəli Sahib</v>
          </cell>
          <cell r="C3982" t="str">
            <v>Kreditlərin hüquqi təqibi departamenti</v>
          </cell>
          <cell r="D3982" t="str">
            <v>İcra orqanları ilə iş şöbəsi</v>
          </cell>
          <cell r="E3982" t="str">
            <v>#</v>
          </cell>
          <cell r="F3982" t="str">
            <v>Aparıcı hüquqşünas</v>
          </cell>
          <cell r="G3982" t="str">
            <v>A</v>
          </cell>
          <cell r="H3982">
            <v>44774</v>
          </cell>
        </row>
        <row r="3983">
          <cell r="B3983" t="str">
            <v>Nəcəfzadə Nahid Natiq</v>
          </cell>
          <cell r="C3983" t="str">
            <v>Kreditlərin hüquqi təqibi departamenti</v>
          </cell>
          <cell r="D3983" t="str">
            <v>İcra orqanları ilə iş şöbəsi</v>
          </cell>
          <cell r="E3983" t="str">
            <v>#</v>
          </cell>
          <cell r="F3983" t="str">
            <v>Hüquqşünas</v>
          </cell>
          <cell r="G3983" t="str">
            <v>A</v>
          </cell>
          <cell r="H3983">
            <v>46147</v>
          </cell>
        </row>
        <row r="3984">
          <cell r="B3984" t="str">
            <v>Məmmədov Cabir Şövqi</v>
          </cell>
          <cell r="C3984" t="str">
            <v>Kreditlərin hüquqi təqibi departamenti</v>
          </cell>
          <cell r="D3984" t="str">
            <v>İcra orqanları ilə iş şöbəsi</v>
          </cell>
          <cell r="E3984" t="str">
            <v>#</v>
          </cell>
          <cell r="F3984" t="str">
            <v>Hüquqşünas</v>
          </cell>
          <cell r="G3984" t="str">
            <v>A</v>
          </cell>
          <cell r="H3984">
            <v>46147</v>
          </cell>
        </row>
        <row r="3985">
          <cell r="B3985" t="str">
            <v>Zeynalov Ayxan Polad</v>
          </cell>
          <cell r="C3985" t="str">
            <v>Kreditlərin hüquqi təqibi departamenti</v>
          </cell>
          <cell r="D3985" t="str">
            <v>İcra orqanları ilə iş şöbəsi</v>
          </cell>
          <cell r="E3985" t="str">
            <v>#</v>
          </cell>
          <cell r="F3985" t="str">
            <v>Hüquqşünas</v>
          </cell>
          <cell r="G3985" t="str">
            <v>A</v>
          </cell>
          <cell r="H3985">
            <v>46189</v>
          </cell>
        </row>
        <row r="3986">
          <cell r="B3986" t="str">
            <v>Məmmədov Mirhadı Rüstəm</v>
          </cell>
          <cell r="C3986" t="str">
            <v>Kreditlərin hüquqi təqibi departamenti</v>
          </cell>
          <cell r="D3986" t="str">
            <v>İcra orqanları ilə iş şöbəsi</v>
          </cell>
          <cell r="E3986" t="str">
            <v>#</v>
          </cell>
          <cell r="F3986" t="str">
            <v>Hüquqşünas</v>
          </cell>
          <cell r="G3986" t="str">
            <v>A</v>
          </cell>
          <cell r="H3986">
            <v>45923</v>
          </cell>
        </row>
        <row r="3987">
          <cell r="B3987" t="str">
            <v>Mikayıl Fuad Qoşqar</v>
          </cell>
          <cell r="C3987" t="str">
            <v>Kreditlərin hüquqi təqibi departamenti</v>
          </cell>
          <cell r="D3987" t="str">
            <v>İcra orqanları ilə iş şöbəsi</v>
          </cell>
          <cell r="E3987" t="str">
            <v>#</v>
          </cell>
          <cell r="F3987" t="str">
            <v>Hüquqşünas</v>
          </cell>
          <cell r="G3987" t="str">
            <v>A</v>
          </cell>
          <cell r="H3987">
            <v>46217</v>
          </cell>
        </row>
        <row r="3988">
          <cell r="B3988" t="str">
            <v>Balakişiyev Ənvər Aydin</v>
          </cell>
          <cell r="C3988" t="str">
            <v>Kreditlərin hüquqi təqibi departamenti</v>
          </cell>
          <cell r="D3988" t="str">
            <v>İcra orqanları ilə iş şöbəsi</v>
          </cell>
          <cell r="E3988" t="str">
            <v>#</v>
          </cell>
          <cell r="F3988" t="str">
            <v>Hüquqşünas</v>
          </cell>
          <cell r="G3988" t="str">
            <v>A</v>
          </cell>
          <cell r="H3988">
            <v>46219</v>
          </cell>
        </row>
        <row r="3989">
          <cell r="B3989" t="str">
            <v>Hüseynov Əliağa Elnur</v>
          </cell>
          <cell r="C3989" t="str">
            <v>Kreditlərin hüquqi təqibi departamenti</v>
          </cell>
          <cell r="D3989" t="str">
            <v>İcra orqanları ilə iş şöbəsi</v>
          </cell>
          <cell r="E3989" t="str">
            <v>#</v>
          </cell>
          <cell r="F3989" t="str">
            <v>Hüquqşünas</v>
          </cell>
          <cell r="G3989" t="str">
            <v>A</v>
          </cell>
          <cell r="H3989">
            <v>46225</v>
          </cell>
        </row>
        <row r="3990">
          <cell r="B3990" t="str">
            <v>Şahverdiyev Xandəmir Elman</v>
          </cell>
          <cell r="C3990" t="str">
            <v>Kreditlərin hüquqi təqibi departamenti</v>
          </cell>
          <cell r="D3990" t="str">
            <v>İcra orqanları ilə iş şöbəsi</v>
          </cell>
          <cell r="E3990" t="str">
            <v>#</v>
          </cell>
          <cell r="F3990" t="str">
            <v>Aparıcı hüquqşünas</v>
          </cell>
          <cell r="G3990" t="str">
            <v>A</v>
          </cell>
          <cell r="H3990">
            <v>44903</v>
          </cell>
        </row>
        <row r="3991">
          <cell r="B3991" t="str">
            <v>Məmiyev Elnur Azər</v>
          </cell>
          <cell r="C3991" t="str">
            <v>Kreditlərin hüquqi təqibi departamenti</v>
          </cell>
          <cell r="D3991" t="str">
            <v>İcra orqanları ilə iş şöbəsi</v>
          </cell>
          <cell r="E3991" t="str">
            <v>#</v>
          </cell>
          <cell r="F3991" t="str">
            <v>Aparıcı hüquqşünas</v>
          </cell>
          <cell r="G3991" t="str">
            <v>A</v>
          </cell>
          <cell r="H3991">
            <v>44958</v>
          </cell>
        </row>
        <row r="3992">
          <cell r="B3992" t="str">
            <v>Əsədov Cavid Həbib</v>
          </cell>
          <cell r="C3992" t="str">
            <v>Kreditlərin hüquqi təqibi departamenti</v>
          </cell>
          <cell r="D3992" t="str">
            <v>İcra orqanları ilə iş şöbəsi</v>
          </cell>
          <cell r="E3992" t="str">
            <v>#</v>
          </cell>
          <cell r="F3992" t="str">
            <v>Aparıcı hüquqşünas</v>
          </cell>
          <cell r="G3992" t="str">
            <v>A</v>
          </cell>
          <cell r="H3992">
            <v>44994</v>
          </cell>
        </row>
        <row r="3993">
          <cell r="B3993" t="str">
            <v>Məmmədov Elxan Şərbət</v>
          </cell>
          <cell r="C3993" t="str">
            <v>Kreditlərin hüquqi təqibi departamenti</v>
          </cell>
          <cell r="D3993" t="str">
            <v>İcra orqanları ilə iş şöbəsi</v>
          </cell>
          <cell r="E3993" t="str">
            <v>#</v>
          </cell>
          <cell r="F3993" t="str">
            <v>Hüquqşünas</v>
          </cell>
          <cell r="G3993" t="str">
            <v>A</v>
          </cell>
          <cell r="H3993">
            <v>45078</v>
          </cell>
        </row>
        <row r="3994">
          <cell r="B3994" t="str">
            <v>Şahbazov Abdulla Tofiq</v>
          </cell>
          <cell r="C3994" t="str">
            <v>Kreditlərin hüquqi təqibi departamenti</v>
          </cell>
          <cell r="D3994" t="str">
            <v>İcra orqanları ilə iş şöbəsi</v>
          </cell>
          <cell r="E3994" t="str">
            <v>#</v>
          </cell>
          <cell r="F3994" t="str">
            <v>Aparıcı hüquqşünas</v>
          </cell>
          <cell r="G3994" t="str">
            <v>A</v>
          </cell>
          <cell r="H3994">
            <v>45303</v>
          </cell>
        </row>
        <row r="3995">
          <cell r="B3995" t="str">
            <v>Kazımlı Orxan Əli</v>
          </cell>
          <cell r="C3995" t="str">
            <v>Kreditlərin hüquqi təqibi departamenti</v>
          </cell>
          <cell r="D3995" t="str">
            <v>İcra orqanları ilə iş şöbəsi</v>
          </cell>
          <cell r="E3995" t="str">
            <v>#</v>
          </cell>
          <cell r="F3995" t="str">
            <v>Hüquqşünas</v>
          </cell>
          <cell r="G3995" t="str">
            <v>A</v>
          </cell>
          <cell r="H3995">
            <v>46073</v>
          </cell>
        </row>
        <row r="3996">
          <cell r="B3996" t="str">
            <v>Əliyev Namiq Tofiq</v>
          </cell>
          <cell r="C3996" t="str">
            <v>Kreditlərin hüquqi təqibi departamenti</v>
          </cell>
          <cell r="D3996" t="str">
            <v>İcra orqanları ilə iş şöbəsi</v>
          </cell>
          <cell r="E3996" t="str">
            <v>#</v>
          </cell>
          <cell r="F3996" t="str">
            <v>Aparıcı hüquqşünas</v>
          </cell>
          <cell r="G3996" t="str">
            <v>A</v>
          </cell>
          <cell r="H3996">
            <v>45303</v>
          </cell>
        </row>
        <row r="3997">
          <cell r="B3997" t="str">
            <v>Süleymanov Akif Yaşar</v>
          </cell>
          <cell r="C3997" t="str">
            <v>Kreditlərin hüquqi təqibi departamenti</v>
          </cell>
          <cell r="D3997" t="str">
            <v>İcra orqanları ilə iş şöbəsi</v>
          </cell>
          <cell r="E3997" t="str">
            <v>#</v>
          </cell>
          <cell r="F3997" t="str">
            <v>Aparıcı hüquqşünas</v>
          </cell>
          <cell r="G3997" t="str">
            <v>A</v>
          </cell>
          <cell r="H3997">
            <v>45355</v>
          </cell>
        </row>
        <row r="3998">
          <cell r="B3998" t="str">
            <v>Zamanov Rüfət Hüseyn</v>
          </cell>
          <cell r="C3998" t="str">
            <v>Kreditlərin hüquqi təqibi departamenti</v>
          </cell>
          <cell r="D3998" t="str">
            <v>İcra orqanları ilə iş şöbəsi</v>
          </cell>
          <cell r="E3998" t="str">
            <v>#</v>
          </cell>
          <cell r="F3998" t="str">
            <v>Hüquqşünas</v>
          </cell>
          <cell r="G3998" t="str">
            <v>A</v>
          </cell>
          <cell r="H3998">
            <v>45355</v>
          </cell>
        </row>
        <row r="3999">
          <cell r="B3999" t="str">
            <v>Cahangirov Elçin Hafiz</v>
          </cell>
          <cell r="C3999" t="str">
            <v>Kreditlərin hüquqi təqibi departamenti</v>
          </cell>
          <cell r="D3999" t="str">
            <v>İcra orqanları ilə iş şöbəsi</v>
          </cell>
          <cell r="E3999" t="str">
            <v>#</v>
          </cell>
          <cell r="F3999" t="str">
            <v>Hüquqşünas</v>
          </cell>
          <cell r="G3999" t="str">
            <v>A</v>
          </cell>
          <cell r="H3999">
            <v>45877</v>
          </cell>
        </row>
        <row r="4000">
          <cell r="B4000" t="str">
            <v>İsmayılzadə Elvin Rövşən</v>
          </cell>
          <cell r="C4000" t="str">
            <v>Kreditlərin hüquqi təqibi departamenti</v>
          </cell>
          <cell r="D4000" t="str">
            <v>İcra orqanları ilə iş şöbəsi</v>
          </cell>
          <cell r="E4000" t="str">
            <v>#</v>
          </cell>
          <cell r="F4000" t="str">
            <v>Aparıcı hüquqşünas</v>
          </cell>
          <cell r="G4000" t="str">
            <v>A</v>
          </cell>
          <cell r="H4000">
            <v>45454</v>
          </cell>
        </row>
        <row r="4001">
          <cell r="B4001" t="str">
            <v>Kərimli Fədai Fərrux</v>
          </cell>
          <cell r="C4001" t="str">
            <v>Kreditlərin hüquqi təqibi departamenti</v>
          </cell>
          <cell r="D4001" t="str">
            <v>İcra orqanları ilə iş şöbəsi</v>
          </cell>
          <cell r="E4001" t="str">
            <v>#</v>
          </cell>
          <cell r="F4001" t="str">
            <v>Aparıcı hüquqşünas</v>
          </cell>
          <cell r="G4001" t="str">
            <v>A</v>
          </cell>
          <cell r="H4001">
            <v>45600</v>
          </cell>
        </row>
        <row r="4002">
          <cell r="B4002" t="str">
            <v>Şirinzadə Tural Gündüz</v>
          </cell>
          <cell r="C4002" t="str">
            <v>Kreditlərin hüquqi təqibi departamenti</v>
          </cell>
          <cell r="D4002" t="str">
            <v>İcra orqanları ilə iş şöbəsi</v>
          </cell>
          <cell r="E4002" t="str">
            <v>#</v>
          </cell>
          <cell r="F4002" t="str">
            <v>Hüquqşünas</v>
          </cell>
          <cell r="G4002" t="str">
            <v>A</v>
          </cell>
          <cell r="H4002">
            <v>45630</v>
          </cell>
        </row>
        <row r="4003">
          <cell r="B4003" t="str">
            <v>Səfərli Tural Rəhim</v>
          </cell>
          <cell r="C4003" t="str">
            <v>Kreditlərin hüquqi təqibi departamenti</v>
          </cell>
          <cell r="D4003" t="str">
            <v>İcra orqanları ilə iş şöbəsi</v>
          </cell>
          <cell r="E4003" t="str">
            <v>#</v>
          </cell>
          <cell r="F4003" t="str">
            <v>Hüquqşünas</v>
          </cell>
          <cell r="G4003" t="str">
            <v>A</v>
          </cell>
          <cell r="H4003">
            <v>45700</v>
          </cell>
        </row>
        <row r="4004">
          <cell r="B4004" t="str">
            <v>İsmayılov Elnur İskəndər</v>
          </cell>
          <cell r="C4004" t="str">
            <v>Kreditlərin hüquqi təqibi departamenti</v>
          </cell>
          <cell r="D4004" t="str">
            <v>İcra orqanları ilə iş şöbəsi</v>
          </cell>
          <cell r="E4004" t="str">
            <v>#</v>
          </cell>
          <cell r="F4004" t="str">
            <v>Hüquqşünas</v>
          </cell>
          <cell r="G4004" t="str">
            <v>A</v>
          </cell>
          <cell r="H4004">
            <v>45810</v>
          </cell>
        </row>
        <row r="4005">
          <cell r="B4005" t="str">
            <v>Hüseynli Üzeyir Fikrət</v>
          </cell>
          <cell r="C4005" t="str">
            <v>Kreditlərin hüquqi təqibi departamenti</v>
          </cell>
          <cell r="D4005" t="str">
            <v>İcra orqanları ilə iş şöbəsi</v>
          </cell>
          <cell r="E4005" t="str">
            <v>#</v>
          </cell>
          <cell r="F4005" t="str">
            <v>Hüquqşünas</v>
          </cell>
          <cell r="G4005" t="str">
            <v>A</v>
          </cell>
          <cell r="H4005">
            <v>46247</v>
          </cell>
        </row>
        <row r="4006">
          <cell r="B4006" t="str">
            <v>Əmrahov Əmrah Hicran</v>
          </cell>
          <cell r="C4006" t="str">
            <v>Kreditlərin hüquqi təqibi departamenti</v>
          </cell>
          <cell r="D4006" t="str">
            <v>İcra orqanları ilə iş şöbəsi</v>
          </cell>
          <cell r="E4006" t="str">
            <v>#</v>
          </cell>
          <cell r="F4006" t="str">
            <v>Hüquqşünas</v>
          </cell>
          <cell r="G4006" t="str">
            <v>A</v>
          </cell>
          <cell r="H4006">
            <v>45813</v>
          </cell>
        </row>
        <row r="4007">
          <cell r="B4007" t="str">
            <v>Musayev Aqşin Yaşar</v>
          </cell>
          <cell r="C4007" t="str">
            <v>Kreditlərin hüquqi təqibi departamenti</v>
          </cell>
          <cell r="D4007" t="str">
            <v>İcra orqanları ilə iş şöbəsi</v>
          </cell>
          <cell r="E4007" t="str">
            <v>#</v>
          </cell>
          <cell r="F4007" t="str">
            <v>Hüquqşünas</v>
          </cell>
          <cell r="G4007" t="str">
            <v>A</v>
          </cell>
          <cell r="H4007">
            <v>45821</v>
          </cell>
        </row>
        <row r="4008">
          <cell r="B4008" t="str">
            <v>Əhmədov Məmməd Nadir</v>
          </cell>
          <cell r="C4008" t="str">
            <v>Kreditlərin hüquqi təqibi departamenti</v>
          </cell>
          <cell r="D4008" t="str">
            <v>İcra orqanları ilə iş şöbəsi</v>
          </cell>
          <cell r="E4008" t="str">
            <v>#</v>
          </cell>
          <cell r="F4008" t="str">
            <v>Hüquqşünas</v>
          </cell>
          <cell r="G4008" t="str">
            <v>A</v>
          </cell>
          <cell r="H4008">
            <v>45979</v>
          </cell>
        </row>
        <row r="4009">
          <cell r="B4009" t="str">
            <v>İbrahimov Bəxtiyar Ehtibar</v>
          </cell>
          <cell r="C4009" t="str">
            <v>Kreditlərin hüquqi təqibi departamenti</v>
          </cell>
          <cell r="D4009" t="str">
            <v>İcra orqanları ilə iş şöbəsi</v>
          </cell>
          <cell r="E4009" t="str">
            <v>#</v>
          </cell>
          <cell r="F4009" t="str">
            <v>Hüquqşünas</v>
          </cell>
          <cell r="G4009" t="str">
            <v>A</v>
          </cell>
          <cell r="H4009">
            <v>45995</v>
          </cell>
        </row>
        <row r="4010">
          <cell r="B4010" t="str">
            <v>Mahmudov Məhəmməd Əhməd</v>
          </cell>
          <cell r="C4010" t="str">
            <v>Kreditlərin hüquqi təqibi departamenti</v>
          </cell>
          <cell r="D4010" t="str">
            <v>İcra orqanları ilə iş şöbəsi</v>
          </cell>
          <cell r="E4010" t="str">
            <v>#</v>
          </cell>
          <cell r="F4010" t="str">
            <v>Hüquqşünas</v>
          </cell>
          <cell r="G4010" t="str">
            <v>A</v>
          </cell>
          <cell r="H4010">
            <v>46125</v>
          </cell>
        </row>
        <row r="4011">
          <cell r="B4011" t="str">
            <v>Əliyev Sədrəddin Musa</v>
          </cell>
          <cell r="C4011" t="str">
            <v>Kreditlərin hüquqi təqibi departamenti</v>
          </cell>
          <cell r="D4011" t="str">
            <v>İcra orqanları ilə iş şöbəsi</v>
          </cell>
          <cell r="E4011" t="str">
            <v>#</v>
          </cell>
          <cell r="F4011" t="str">
            <v>Aparıcı hüquqşünas (Naxçıvan üzrə)</v>
          </cell>
          <cell r="G4011" t="str">
            <v>A</v>
          </cell>
          <cell r="H4011">
            <v>43755</v>
          </cell>
        </row>
        <row r="4012">
          <cell r="B4012" t="str">
            <v>Orucov Qardaşəli Elman</v>
          </cell>
          <cell r="C4012" t="str">
            <v>Kreditlərin hüquqi təqibi departamenti</v>
          </cell>
          <cell r="D4012" t="str">
            <v>Korporativ və təminatlı kreditlərlə iş şöbəsi</v>
          </cell>
          <cell r="E4012" t="str">
            <v>#</v>
          </cell>
          <cell r="F4012" t="str">
            <v>Şöbə müdiri</v>
          </cell>
          <cell r="G4012" t="str">
            <v>A</v>
          </cell>
          <cell r="H4012">
            <v>42282</v>
          </cell>
        </row>
        <row r="4013">
          <cell r="B4013" t="str">
            <v>Qasımov Cavid İslam</v>
          </cell>
          <cell r="C4013" t="str">
            <v>Kreditlərin hüquqi təqibi departamenti</v>
          </cell>
          <cell r="D4013" t="str">
            <v>Korporativ və təminatlı kreditlərlə iş şöbəsi</v>
          </cell>
          <cell r="E4013" t="str">
            <v>#</v>
          </cell>
          <cell r="F4013" t="str">
            <v>Menecer</v>
          </cell>
          <cell r="G4013" t="str">
            <v>A</v>
          </cell>
          <cell r="H4013">
            <v>42229</v>
          </cell>
        </row>
        <row r="4014">
          <cell r="B4014" t="str">
            <v>Həsənov Rəşad Maxsud</v>
          </cell>
          <cell r="C4014" t="str">
            <v>Kreditlərin hüquqi təqibi departamenti</v>
          </cell>
          <cell r="D4014" t="str">
            <v>Korporativ və təminatlı kreditlərlə iş şöbəsi</v>
          </cell>
          <cell r="E4014" t="str">
            <v>#</v>
          </cell>
          <cell r="F4014" t="str">
            <v>Menecer</v>
          </cell>
          <cell r="G4014" t="str">
            <v>A</v>
          </cell>
          <cell r="H4014">
            <v>41687</v>
          </cell>
        </row>
        <row r="4015">
          <cell r="B4015" t="str">
            <v>Mütəllimov Kənan Ələkbər</v>
          </cell>
          <cell r="C4015" t="str">
            <v>Kreditlərin hüquqi təqibi departamenti</v>
          </cell>
          <cell r="D4015" t="str">
            <v>Korporativ və təminatlı kreditlərlə iş şöbəsi</v>
          </cell>
          <cell r="E4015" t="str">
            <v>#</v>
          </cell>
          <cell r="F4015" t="str">
            <v>Baş hüquqşünas</v>
          </cell>
          <cell r="G4015" t="str">
            <v>A</v>
          </cell>
          <cell r="H4015">
            <v>44634</v>
          </cell>
        </row>
        <row r="4016">
          <cell r="B4016" t="str">
            <v>Hacıyev Ələm Pərviz</v>
          </cell>
          <cell r="C4016" t="str">
            <v>Kreditlərin hüquqi təqibi departamenti</v>
          </cell>
          <cell r="D4016" t="str">
            <v>Korporativ və təminatlı kreditlərlə iş şöbəsi</v>
          </cell>
          <cell r="E4016" t="str">
            <v>#</v>
          </cell>
          <cell r="F4016" t="str">
            <v>Hüquqşünas</v>
          </cell>
          <cell r="G4016" t="str">
            <v>A</v>
          </cell>
          <cell r="H4016">
            <v>46160</v>
          </cell>
        </row>
        <row r="4017">
          <cell r="B4017" t="str">
            <v>Abbasov Renat Vaqifoviç</v>
          </cell>
          <cell r="C4017" t="str">
            <v>Kreditlərin hüquqi təqibi departamenti</v>
          </cell>
          <cell r="D4017" t="str">
            <v>Korporativ və təminatlı kreditlərlə iş şöbəsi</v>
          </cell>
          <cell r="E4017" t="str">
            <v>#</v>
          </cell>
          <cell r="F4017" t="str">
            <v>Hüquqşünas</v>
          </cell>
          <cell r="G4017" t="str">
            <v>A</v>
          </cell>
          <cell r="H4017">
            <v>46211</v>
          </cell>
        </row>
        <row r="4018">
          <cell r="B4018" t="str">
            <v>Əkbərov Elsevər Mustafa</v>
          </cell>
          <cell r="C4018" t="str">
            <v>Kreditlərin hüquqi təqibi departamenti</v>
          </cell>
          <cell r="D4018" t="str">
            <v>Məhkəmələrlə iş şöbəsi</v>
          </cell>
          <cell r="E4018" t="str">
            <v>#</v>
          </cell>
          <cell r="F4018" t="str">
            <v>Şöbə müdiri</v>
          </cell>
          <cell r="G4018" t="str">
            <v>A</v>
          </cell>
          <cell r="H4018">
            <v>41507</v>
          </cell>
        </row>
        <row r="4019">
          <cell r="B4019" t="str">
            <v>Quliyev Sarvan Rafiq</v>
          </cell>
          <cell r="C4019" t="str">
            <v>Kreditlərin hüquqi təqibi departamenti</v>
          </cell>
          <cell r="D4019" t="str">
            <v>Məhkəmələrlə iş şöbəsi</v>
          </cell>
          <cell r="E4019" t="str">
            <v>#</v>
          </cell>
          <cell r="F4019" t="str">
            <v>Menecer</v>
          </cell>
          <cell r="G4019" t="str">
            <v>A</v>
          </cell>
          <cell r="H4019">
            <v>40998</v>
          </cell>
        </row>
        <row r="4020">
          <cell r="B4020" t="str">
            <v>Dünyamalıyeva Bahar Vaqif</v>
          </cell>
          <cell r="C4020" t="str">
            <v>Kreditlərin hüquqi təqibi departamenti</v>
          </cell>
          <cell r="D4020" t="str">
            <v>Məhkəmələrlə iş şöbəsi</v>
          </cell>
          <cell r="E4020" t="str">
            <v>#</v>
          </cell>
          <cell r="F4020" t="str">
            <v>Aparıcı hüquqşünas</v>
          </cell>
          <cell r="G4020" t="str">
            <v>A</v>
          </cell>
          <cell r="H4020">
            <v>44907</v>
          </cell>
        </row>
        <row r="4021">
          <cell r="B4021" t="str">
            <v>Əliyeva Səadət Yusif</v>
          </cell>
          <cell r="C4021" t="str">
            <v>Kreditlərin hüquqi təqibi departamenti</v>
          </cell>
          <cell r="D4021" t="str">
            <v>Məhkəmələrlə iş şöbəsi</v>
          </cell>
          <cell r="E4021" t="str">
            <v>#</v>
          </cell>
          <cell r="F4021" t="str">
            <v>Hüquqşünas</v>
          </cell>
          <cell r="G4021" t="str">
            <v>A</v>
          </cell>
          <cell r="H4021">
            <v>44936</v>
          </cell>
        </row>
        <row r="4022">
          <cell r="B4022" t="str">
            <v>İsgəndərov Ruslan Ramiz</v>
          </cell>
          <cell r="C4022" t="str">
            <v>Kreditlərin hüquqi təqibi departamenti</v>
          </cell>
          <cell r="D4022" t="str">
            <v>Məhkəmələrlə iş şöbəsi</v>
          </cell>
          <cell r="E4022" t="str">
            <v>#</v>
          </cell>
          <cell r="F4022" t="str">
            <v>Mütəxəssis</v>
          </cell>
          <cell r="G4022" t="str">
            <v>A</v>
          </cell>
          <cell r="H4022">
            <v>45810</v>
          </cell>
        </row>
        <row r="4023">
          <cell r="B4023" t="str">
            <v>Quliyev İlqar Səfər</v>
          </cell>
          <cell r="C4023" t="str">
            <v>Kreditlərin hüquqi təqibi departamenti</v>
          </cell>
          <cell r="D4023" t="str">
            <v>Ümidsiz aktivlərin uçotu və qeydiyyat şöbəsi</v>
          </cell>
          <cell r="E4023" t="str">
            <v>#</v>
          </cell>
          <cell r="F4023" t="str">
            <v>Şöbə müdiri</v>
          </cell>
          <cell r="G4023" t="str">
            <v>A</v>
          </cell>
          <cell r="H4023">
            <v>42102</v>
          </cell>
        </row>
        <row r="4024">
          <cell r="B4024" t="str">
            <v>Əliyev Emin Sahib</v>
          </cell>
          <cell r="C4024" t="str">
            <v>Kreditlərin hüquqi təqibi departamenti</v>
          </cell>
          <cell r="D4024" t="str">
            <v>Ümidsiz aktivlərin uçotu və qeydiyyat şöbəsi</v>
          </cell>
          <cell r="E4024" t="str">
            <v>#</v>
          </cell>
          <cell r="F4024" t="str">
            <v>Menecer</v>
          </cell>
          <cell r="G4024" t="str">
            <v>A</v>
          </cell>
          <cell r="H4024">
            <v>41968</v>
          </cell>
        </row>
        <row r="4025">
          <cell r="B4025" t="str">
            <v>Ərəbov Ceyhun Ariz</v>
          </cell>
          <cell r="C4025" t="str">
            <v>Kreditlərin hüquqi təqibi departamenti</v>
          </cell>
          <cell r="D4025" t="str">
            <v>Ümidsiz aktivlərin uçotu və qeydiyyat şöbəsi</v>
          </cell>
          <cell r="E4025" t="str">
            <v>#</v>
          </cell>
          <cell r="F4025" t="str">
            <v>Aparıcı mütəxəssis</v>
          </cell>
          <cell r="G4025" t="str">
            <v>A</v>
          </cell>
          <cell r="H4025">
            <v>44827</v>
          </cell>
        </row>
        <row r="4026">
          <cell r="B4026" t="str">
            <v>Hüseynov Azər Aslan</v>
          </cell>
          <cell r="C4026" t="str">
            <v>Kreditlərin ilkin təqibi departamenti</v>
          </cell>
          <cell r="D4026" t="str">
            <v>#</v>
          </cell>
          <cell r="E4026" t="str">
            <v>#</v>
          </cell>
          <cell r="F4026" t="str">
            <v>Direktor</v>
          </cell>
          <cell r="G4026" t="str">
            <v>A</v>
          </cell>
          <cell r="H4026">
            <v>40094</v>
          </cell>
        </row>
        <row r="4027">
          <cell r="B4027" t="str">
            <v>Quliyev Yaşar Nazim</v>
          </cell>
          <cell r="C4027" t="str">
            <v>Kreditlərin ilkin təqibi departamenti</v>
          </cell>
          <cell r="D4027" t="str">
            <v>Digər kreditlər ilə iş şöbəsi</v>
          </cell>
          <cell r="E4027" t="str">
            <v>#</v>
          </cell>
          <cell r="F4027" t="str">
            <v>Menecer</v>
          </cell>
          <cell r="G4027" t="str">
            <v>A</v>
          </cell>
          <cell r="H4027">
            <v>43290</v>
          </cell>
        </row>
        <row r="4028">
          <cell r="B4028" t="str">
            <v>Hüseynov Elşən Rəşid</v>
          </cell>
          <cell r="C4028" t="str">
            <v>Kreditlərin ilkin təqibi departamenti</v>
          </cell>
          <cell r="D4028" t="str">
            <v>Digər kreditlər ilə iş şöbəsi</v>
          </cell>
          <cell r="E4028" t="str">
            <v>#</v>
          </cell>
          <cell r="F4028" t="str">
            <v>Baş mütəxəssis</v>
          </cell>
          <cell r="G4028" t="str">
            <v>A</v>
          </cell>
          <cell r="H4028">
            <v>41579</v>
          </cell>
        </row>
        <row r="4029">
          <cell r="B4029" t="str">
            <v>İsmayılov Ülvi Gülmalı</v>
          </cell>
          <cell r="C4029" t="str">
            <v>Kreditlərin ilkin təqibi departamenti</v>
          </cell>
          <cell r="D4029" t="str">
            <v>Digər kreditlər ilə iş şöbəsi</v>
          </cell>
          <cell r="E4029" t="str">
            <v>#</v>
          </cell>
          <cell r="F4029" t="str">
            <v>Baş mütəxəssis</v>
          </cell>
          <cell r="G4029" t="str">
            <v>A</v>
          </cell>
          <cell r="H4029">
            <v>45422</v>
          </cell>
        </row>
        <row r="4030">
          <cell r="B4030" t="str">
            <v>Nağıyev Əlisa İmran</v>
          </cell>
          <cell r="C4030" t="str">
            <v>Kreditlərin ilkin təqibi departamenti</v>
          </cell>
          <cell r="D4030" t="str">
            <v>Digər kreditlər ilə iş şöbəsi</v>
          </cell>
          <cell r="E4030" t="str">
            <v>#</v>
          </cell>
          <cell r="F4030" t="str">
            <v>Baş mütəxəssis</v>
          </cell>
          <cell r="G4030" t="str">
            <v>A</v>
          </cell>
          <cell r="H4030">
            <v>44068</v>
          </cell>
        </row>
        <row r="4031">
          <cell r="B4031" t="str">
            <v>Məmmədov Arzuman Nəsib</v>
          </cell>
          <cell r="C4031" t="str">
            <v>Kreditlərin ilkin təqibi departamenti</v>
          </cell>
          <cell r="D4031" t="str">
            <v>Digər kreditlər ilə iş şöbəsi</v>
          </cell>
          <cell r="E4031" t="str">
            <v>#</v>
          </cell>
          <cell r="F4031" t="str">
            <v>Baş mütəxəssis</v>
          </cell>
          <cell r="G4031" t="str">
            <v>A</v>
          </cell>
          <cell r="H4031">
            <v>42334</v>
          </cell>
        </row>
        <row r="4032">
          <cell r="B4032" t="str">
            <v>Quliyev Nəcəf Məmmədoviç</v>
          </cell>
          <cell r="C4032" t="str">
            <v>Kreditlərin ilkin təqibi departamenti</v>
          </cell>
          <cell r="D4032" t="str">
            <v>Digər kreditlər ilə iş şöbəsi</v>
          </cell>
          <cell r="E4032" t="str">
            <v>#</v>
          </cell>
          <cell r="F4032" t="str">
            <v>Baş mütəxəssis</v>
          </cell>
          <cell r="G4032" t="str">
            <v>A</v>
          </cell>
          <cell r="H4032">
            <v>42268</v>
          </cell>
        </row>
        <row r="4033">
          <cell r="B4033" t="str">
            <v>Abbasov Abbas Elçin</v>
          </cell>
          <cell r="C4033" t="str">
            <v>Kreditlərin ilkin təqibi departamenti</v>
          </cell>
          <cell r="D4033" t="str">
            <v>Digər kreditlər ilə iş şöbəsi</v>
          </cell>
          <cell r="E4033" t="str">
            <v>#</v>
          </cell>
          <cell r="F4033" t="str">
            <v>Aparıcı mütəxəssis</v>
          </cell>
          <cell r="G4033" t="str">
            <v>A</v>
          </cell>
          <cell r="H4033">
            <v>42471</v>
          </cell>
        </row>
        <row r="4034">
          <cell r="B4034" t="str">
            <v>Əliyev Şövqi Xəqani</v>
          </cell>
          <cell r="C4034" t="str">
            <v>Kreditlərin ilkin təqibi departamenti</v>
          </cell>
          <cell r="D4034" t="str">
            <v>Digər kreditlər ilə iş şöbəsi</v>
          </cell>
          <cell r="E4034" t="str">
            <v>#</v>
          </cell>
          <cell r="F4034" t="str">
            <v>Aparıcı mütəxəssis</v>
          </cell>
          <cell r="G4034" t="str">
            <v>A</v>
          </cell>
          <cell r="H4034">
            <v>45019</v>
          </cell>
        </row>
        <row r="4035">
          <cell r="B4035" t="str">
            <v>Aslanzadə Orxan Araz</v>
          </cell>
          <cell r="C4035" t="str">
            <v>Kreditlərin ilkin təqibi departamenti</v>
          </cell>
          <cell r="D4035" t="str">
            <v>Digər kreditlər ilə iş şöbəsi</v>
          </cell>
          <cell r="E4035" t="str">
            <v>#</v>
          </cell>
          <cell r="F4035" t="str">
            <v>Aparıcı mütəxəssis</v>
          </cell>
          <cell r="G4035" t="str">
            <v>A</v>
          </cell>
          <cell r="H4035">
            <v>45590</v>
          </cell>
        </row>
        <row r="4036">
          <cell r="B4036" t="str">
            <v>Səlimov Elnur İlkin</v>
          </cell>
          <cell r="C4036" t="str">
            <v>Kreditlərin ilkin təqibi departamenti</v>
          </cell>
          <cell r="D4036" t="str">
            <v>Digər kreditlər ilə iş şöbəsi</v>
          </cell>
          <cell r="E4036" t="str">
            <v>#</v>
          </cell>
          <cell r="F4036" t="str">
            <v>Mütəxəssis</v>
          </cell>
          <cell r="G4036" t="str">
            <v>A</v>
          </cell>
          <cell r="H4036">
            <v>45495</v>
          </cell>
        </row>
        <row r="4037">
          <cell r="B4037" t="str">
            <v>Osmanov Tofiq Elman</v>
          </cell>
          <cell r="C4037" t="str">
            <v>Kreditlərin ilkin təqibi departamenti</v>
          </cell>
          <cell r="D4037" t="str">
            <v>Digər kreditlər ilə iş şöbəsi</v>
          </cell>
          <cell r="E4037" t="str">
            <v>#</v>
          </cell>
          <cell r="F4037" t="str">
            <v>Mütəxəssis</v>
          </cell>
          <cell r="G4037" t="str">
            <v>A</v>
          </cell>
          <cell r="H4037">
            <v>46086</v>
          </cell>
        </row>
        <row r="4038">
          <cell r="B4038" t="str">
            <v>Hüseynzadə Ülvi Rizvan</v>
          </cell>
          <cell r="C4038" t="str">
            <v>Kreditlərin ilkin təqibi departamenti</v>
          </cell>
          <cell r="D4038" t="str">
            <v>Digər kreditlər ilə iş şöbəsi</v>
          </cell>
          <cell r="E4038" t="str">
            <v>#</v>
          </cell>
          <cell r="F4038" t="str">
            <v>Mütəxəssis</v>
          </cell>
          <cell r="G4038" t="str">
            <v>A</v>
          </cell>
          <cell r="H4038">
            <v>45628</v>
          </cell>
        </row>
        <row r="4039">
          <cell r="B4039" t="str">
            <v>Məmmədov Tural İlqar</v>
          </cell>
          <cell r="C4039" t="str">
            <v>Kreditlərin ilkin təqibi departamenti</v>
          </cell>
          <cell r="D4039" t="str">
            <v>Digər kreditlər ilə iş şöbəsi</v>
          </cell>
          <cell r="E4039" t="str">
            <v>#</v>
          </cell>
          <cell r="F4039" t="str">
            <v>Aparıcı mütəxəssis</v>
          </cell>
          <cell r="G4039" t="str">
            <v>A</v>
          </cell>
          <cell r="H4039">
            <v>45700</v>
          </cell>
        </row>
        <row r="4040">
          <cell r="B4040" t="str">
            <v>Mövsümov Mir Bayram Mirsaab</v>
          </cell>
          <cell r="C4040" t="str">
            <v>Kreditlərin ilkin təqibi departamenti</v>
          </cell>
          <cell r="D4040" t="str">
            <v>Digər kreditlər ilə iş şöbəsi</v>
          </cell>
          <cell r="E4040" t="str">
            <v>#</v>
          </cell>
          <cell r="F4040" t="str">
            <v>Mütəxəssis</v>
          </cell>
          <cell r="G4040" t="str">
            <v>A</v>
          </cell>
          <cell r="H4040">
            <v>45791</v>
          </cell>
        </row>
        <row r="4041">
          <cell r="B4041" t="str">
            <v>Əmirov Əli İlqar</v>
          </cell>
          <cell r="C4041" t="str">
            <v>Kreditlərin ilkin təqibi departamenti</v>
          </cell>
          <cell r="D4041" t="str">
            <v>Digər kreditlər ilə iş şöbəsi</v>
          </cell>
          <cell r="E4041" t="str">
            <v>#</v>
          </cell>
          <cell r="F4041" t="str">
            <v>Mütəxəssis</v>
          </cell>
          <cell r="G4041" t="str">
            <v>A</v>
          </cell>
          <cell r="H4041">
            <v>45828</v>
          </cell>
        </row>
        <row r="4042">
          <cell r="B4042" t="str">
            <v>Əsədullayev Mir Camal Elxan</v>
          </cell>
          <cell r="C4042" t="str">
            <v>Kreditlərin ilkin təqibi departamenti</v>
          </cell>
          <cell r="D4042" t="str">
            <v>Digər kreditlər ilə iş şöbəsi</v>
          </cell>
          <cell r="E4042" t="str">
            <v>#</v>
          </cell>
          <cell r="F4042" t="str">
            <v>Mütəxəssis</v>
          </cell>
          <cell r="G4042" t="str">
            <v>A</v>
          </cell>
          <cell r="H4042">
            <v>45840</v>
          </cell>
        </row>
        <row r="4043">
          <cell r="B4043" t="str">
            <v>Niyazov Elvin Elşən</v>
          </cell>
          <cell r="C4043" t="str">
            <v>Kreditlərin ilkin təqibi departamenti</v>
          </cell>
          <cell r="D4043" t="str">
            <v>Digər kreditlər ilə iş şöbəsi</v>
          </cell>
          <cell r="E4043" t="str">
            <v>#</v>
          </cell>
          <cell r="F4043" t="str">
            <v>Kiçik mütəxəssis</v>
          </cell>
          <cell r="G4043" t="str">
            <v>A</v>
          </cell>
          <cell r="H4043">
            <v>46098</v>
          </cell>
        </row>
        <row r="4044">
          <cell r="B4044" t="str">
            <v>Tağızadə Zaur Rüstəm</v>
          </cell>
          <cell r="C4044" t="str">
            <v>Kreditlərin ilkin təqibi departamenti</v>
          </cell>
          <cell r="D4044" t="str">
            <v>İntensiv təqib şöbəsi</v>
          </cell>
          <cell r="E4044" t="str">
            <v>#</v>
          </cell>
          <cell r="F4044" t="str">
            <v>Şöbə müdiri</v>
          </cell>
          <cell r="G4044" t="str">
            <v>A</v>
          </cell>
          <cell r="H4044">
            <v>41339</v>
          </cell>
        </row>
        <row r="4045">
          <cell r="B4045" t="str">
            <v>Müzəffərli Orxan Kəmaləddin</v>
          </cell>
          <cell r="C4045" t="str">
            <v>Kreditlərin ilkin təqibi departamenti</v>
          </cell>
          <cell r="D4045" t="str">
            <v>İntensiv təqib şöbəsi</v>
          </cell>
          <cell r="E4045" t="str">
            <v>#</v>
          </cell>
          <cell r="F4045" t="str">
            <v>Menecer</v>
          </cell>
          <cell r="G4045" t="str">
            <v>A</v>
          </cell>
          <cell r="H4045">
            <v>42068</v>
          </cell>
        </row>
        <row r="4046">
          <cell r="B4046" t="str">
            <v>Abbasov Vüqar Rasim</v>
          </cell>
          <cell r="C4046" t="str">
            <v>Kreditlərin ilkin təqibi departamenti</v>
          </cell>
          <cell r="D4046" t="str">
            <v>İntensiv təqib şöbəsi</v>
          </cell>
          <cell r="E4046" t="str">
            <v>#</v>
          </cell>
          <cell r="F4046" t="str">
            <v>Menecer</v>
          </cell>
          <cell r="G4046" t="str">
            <v>A</v>
          </cell>
          <cell r="H4046">
            <v>43469</v>
          </cell>
        </row>
        <row r="4047">
          <cell r="B4047" t="str">
            <v>Musayev Elvin Şahvələd</v>
          </cell>
          <cell r="C4047" t="str">
            <v>Kreditlərin ilkin təqibi departamenti</v>
          </cell>
          <cell r="D4047" t="str">
            <v>İntensiv təqib şöbəsi</v>
          </cell>
          <cell r="E4047" t="str">
            <v>#</v>
          </cell>
          <cell r="F4047" t="str">
            <v>Baş mütəxəssis</v>
          </cell>
          <cell r="G4047" t="str">
            <v>A</v>
          </cell>
          <cell r="H4047">
            <v>42241</v>
          </cell>
        </row>
        <row r="4048">
          <cell r="B4048" t="str">
            <v>Şirinov Elvin Quri</v>
          </cell>
          <cell r="C4048" t="str">
            <v>Kreditlərin ilkin təqibi departamenti</v>
          </cell>
          <cell r="D4048" t="str">
            <v>İntensiv təqib şöbəsi</v>
          </cell>
          <cell r="E4048" t="str">
            <v>#</v>
          </cell>
          <cell r="F4048" t="str">
            <v>Baş mütəxəssis</v>
          </cell>
          <cell r="G4048" t="str">
            <v>A</v>
          </cell>
          <cell r="H4048">
            <v>42068</v>
          </cell>
        </row>
        <row r="4049">
          <cell r="B4049" t="str">
            <v>Heydərov Nihat Hüseyn</v>
          </cell>
          <cell r="C4049" t="str">
            <v>Kreditlərin ilkin təqibi departamenti</v>
          </cell>
          <cell r="D4049" t="str">
            <v>İntensiv təqib şöbəsi</v>
          </cell>
          <cell r="E4049" t="str">
            <v>#</v>
          </cell>
          <cell r="F4049" t="str">
            <v>Baş mütəxəssis</v>
          </cell>
          <cell r="G4049" t="str">
            <v>A</v>
          </cell>
          <cell r="H4049">
            <v>44462</v>
          </cell>
        </row>
        <row r="4050">
          <cell r="B4050" t="str">
            <v>Məcidli Fəxri Malikəjdər</v>
          </cell>
          <cell r="C4050" t="str">
            <v>Kreditlərin ilkin təqibi departamenti</v>
          </cell>
          <cell r="D4050" t="str">
            <v>İntensiv təqib şöbəsi</v>
          </cell>
          <cell r="E4050" t="str">
            <v>#</v>
          </cell>
          <cell r="F4050" t="str">
            <v>Aparıcı mütəxəssis</v>
          </cell>
          <cell r="G4050" t="str">
            <v>A</v>
          </cell>
          <cell r="H4050">
            <v>44098</v>
          </cell>
        </row>
        <row r="4051">
          <cell r="B4051" t="str">
            <v>Məmmədli Türkan Mübariz</v>
          </cell>
          <cell r="C4051" t="str">
            <v>Kreditlərin ilkin təqibi departamenti</v>
          </cell>
          <cell r="D4051" t="str">
            <v>İntensiv təqib şöbəsi</v>
          </cell>
          <cell r="E4051" t="str">
            <v>#</v>
          </cell>
          <cell r="F4051" t="str">
            <v>aparıcı mütəxəssis</v>
          </cell>
          <cell r="G4051" t="str">
            <v>A</v>
          </cell>
          <cell r="H4051">
            <v>44840</v>
          </cell>
        </row>
        <row r="4052">
          <cell r="B4052" t="str">
            <v>Mehdiyev Bəylər Heydər</v>
          </cell>
          <cell r="C4052" t="str">
            <v>Kreditlərin ilkin təqibi departamenti</v>
          </cell>
          <cell r="D4052" t="str">
            <v>İntensiv təqib şöbəsi</v>
          </cell>
          <cell r="E4052" t="str">
            <v>#</v>
          </cell>
          <cell r="F4052" t="str">
            <v>Aparıcı mütəxəssis</v>
          </cell>
          <cell r="G4052" t="str">
            <v>A</v>
          </cell>
          <cell r="H4052">
            <v>44538</v>
          </cell>
        </row>
        <row r="4053">
          <cell r="B4053" t="str">
            <v>Cahangirov Qurban Cahangir</v>
          </cell>
          <cell r="C4053" t="str">
            <v>Kreditlərin ilkin təqibi departamenti</v>
          </cell>
          <cell r="D4053" t="str">
            <v>İntensiv təqib şöbəsi</v>
          </cell>
          <cell r="E4053" t="str">
            <v>#</v>
          </cell>
          <cell r="F4053" t="str">
            <v>Aparıcı mütəxəssis</v>
          </cell>
          <cell r="G4053" t="str">
            <v>A</v>
          </cell>
          <cell r="H4053">
            <v>44631</v>
          </cell>
        </row>
        <row r="4054">
          <cell r="B4054" t="str">
            <v>Mirzəyev Taleh Firuz</v>
          </cell>
          <cell r="C4054" t="str">
            <v>Kreditlərin ilkin təqibi departamenti</v>
          </cell>
          <cell r="D4054" t="str">
            <v>İntensiv təqib şöbəsi</v>
          </cell>
          <cell r="E4054" t="str">
            <v>#</v>
          </cell>
          <cell r="F4054" t="str">
            <v>Aparıcı mütəxəssis</v>
          </cell>
          <cell r="G4054" t="str">
            <v>A</v>
          </cell>
          <cell r="H4054">
            <v>44698</v>
          </cell>
        </row>
        <row r="4055">
          <cell r="B4055" t="str">
            <v>Şükürov Ceyhun Həbib</v>
          </cell>
          <cell r="C4055" t="str">
            <v>Kreditlərin ilkin təqibi departamenti</v>
          </cell>
          <cell r="D4055" t="str">
            <v>İntensiv təqib şöbəsi</v>
          </cell>
          <cell r="E4055" t="str">
            <v>#</v>
          </cell>
          <cell r="F4055" t="str">
            <v>Aparıcı mütəxəssis</v>
          </cell>
          <cell r="G4055" t="str">
            <v>A</v>
          </cell>
          <cell r="H4055">
            <v>44746</v>
          </cell>
        </row>
        <row r="4056">
          <cell r="B4056" t="str">
            <v>İsgəndərzadə Vüqar Ağasultan</v>
          </cell>
          <cell r="C4056" t="str">
            <v>Kreditlərin ilkin təqibi departamenti</v>
          </cell>
          <cell r="D4056" t="str">
            <v>İntensiv təqib şöbəsi</v>
          </cell>
          <cell r="E4056" t="str">
            <v>#</v>
          </cell>
          <cell r="F4056" t="str">
            <v>Aparıcı mütəxəssis</v>
          </cell>
          <cell r="G4056" t="str">
            <v>A</v>
          </cell>
          <cell r="H4056">
            <v>44749</v>
          </cell>
        </row>
        <row r="4057">
          <cell r="B4057" t="str">
            <v>Haqverdiyev Elmin Vahid</v>
          </cell>
          <cell r="C4057" t="str">
            <v>Kreditlərin ilkin təqibi departamenti</v>
          </cell>
          <cell r="D4057" t="str">
            <v>İntensiv təqib şöbəsi</v>
          </cell>
          <cell r="E4057" t="str">
            <v>#</v>
          </cell>
          <cell r="F4057" t="str">
            <v>Mütəxəssis</v>
          </cell>
          <cell r="G4057" t="str">
            <v>A</v>
          </cell>
          <cell r="H4057">
            <v>44756</v>
          </cell>
        </row>
        <row r="4058">
          <cell r="B4058" t="str">
            <v>Seyfullayev Kamran Əliağa</v>
          </cell>
          <cell r="C4058" t="str">
            <v>Kreditlərin ilkin təqibi departamenti</v>
          </cell>
          <cell r="D4058" t="str">
            <v>İntensiv təqib şöbəsi</v>
          </cell>
          <cell r="E4058" t="str">
            <v>#</v>
          </cell>
          <cell r="F4058" t="str">
            <v>Mütəxəssis</v>
          </cell>
          <cell r="G4058" t="str">
            <v>A</v>
          </cell>
          <cell r="H4058">
            <v>44880</v>
          </cell>
        </row>
        <row r="4059">
          <cell r="B4059" t="str">
            <v>Qarayev Murad Babaş</v>
          </cell>
          <cell r="C4059" t="str">
            <v>Kreditlərin ilkin təqibi departamenti</v>
          </cell>
          <cell r="D4059" t="str">
            <v>İntensiv təqib şöbəsi</v>
          </cell>
          <cell r="E4059" t="str">
            <v>#</v>
          </cell>
          <cell r="F4059" t="str">
            <v>Mütəxəssis</v>
          </cell>
          <cell r="G4059" t="str">
            <v>A</v>
          </cell>
          <cell r="H4059">
            <v>44825</v>
          </cell>
        </row>
        <row r="4060">
          <cell r="B4060" t="str">
            <v>Fərmanlı Eyvaz Tahir</v>
          </cell>
          <cell r="C4060" t="str">
            <v>Kreditlərin ilkin təqibi departamenti</v>
          </cell>
          <cell r="D4060" t="str">
            <v>İntensiv təqib şöbəsi</v>
          </cell>
          <cell r="E4060" t="str">
            <v>#</v>
          </cell>
          <cell r="F4060" t="str">
            <v>Mütəxəssis</v>
          </cell>
          <cell r="G4060" t="str">
            <v>A</v>
          </cell>
          <cell r="H4060">
            <v>44825</v>
          </cell>
        </row>
        <row r="4061">
          <cell r="B4061" t="str">
            <v>Niftaliyeva Natiqə Əfqan</v>
          </cell>
          <cell r="C4061" t="str">
            <v>Kreditlərin ilkin təqibi departamenti</v>
          </cell>
          <cell r="D4061" t="str">
            <v>İntensiv təqib şöbəsi</v>
          </cell>
          <cell r="E4061" t="str">
            <v>#</v>
          </cell>
          <cell r="F4061" t="str">
            <v>Aparıcı mütəxəssis</v>
          </cell>
          <cell r="G4061" t="str">
            <v>A</v>
          </cell>
          <cell r="H4061">
            <v>44837</v>
          </cell>
        </row>
        <row r="4062">
          <cell r="B4062" t="str">
            <v>Baxışov Zaur Teymur</v>
          </cell>
          <cell r="C4062" t="str">
            <v>Kreditlərin ilkin təqibi departamenti</v>
          </cell>
          <cell r="D4062" t="str">
            <v>İntensiv təqib şöbəsi</v>
          </cell>
          <cell r="E4062" t="str">
            <v>#</v>
          </cell>
          <cell r="F4062" t="str">
            <v>Aparıcı mütəxəssis</v>
          </cell>
          <cell r="G4062" t="str">
            <v>A</v>
          </cell>
          <cell r="H4062">
            <v>44840</v>
          </cell>
        </row>
        <row r="4063">
          <cell r="B4063" t="str">
            <v>İmranlı İlkanə Rabil</v>
          </cell>
          <cell r="C4063" t="str">
            <v>Kreditlərin ilkin təqibi departamenti</v>
          </cell>
          <cell r="D4063" t="str">
            <v>İntensiv təqib şöbəsi</v>
          </cell>
          <cell r="E4063" t="str">
            <v>#</v>
          </cell>
          <cell r="F4063" t="str">
            <v>Aparıcı mütəxəssis</v>
          </cell>
          <cell r="G4063" t="str">
            <v>A</v>
          </cell>
          <cell r="H4063">
            <v>44844</v>
          </cell>
        </row>
        <row r="4064">
          <cell r="B4064" t="str">
            <v>Həsənova Zəhra Mehman</v>
          </cell>
          <cell r="C4064" t="str">
            <v>Kreditlərin ilkin təqibi departamenti</v>
          </cell>
          <cell r="D4064" t="str">
            <v>İntensiv təqib şöbəsi</v>
          </cell>
          <cell r="E4064" t="str">
            <v>#</v>
          </cell>
          <cell r="F4064" t="str">
            <v>Aparıcı mütəxəssis</v>
          </cell>
          <cell r="G4064" t="str">
            <v>A</v>
          </cell>
          <cell r="H4064">
            <v>44852</v>
          </cell>
        </row>
        <row r="4065">
          <cell r="B4065" t="str">
            <v>Poladova Xanım Polad</v>
          </cell>
          <cell r="C4065" t="str">
            <v>Kreditlərin ilkin təqibi departamenti</v>
          </cell>
          <cell r="D4065" t="str">
            <v>İntensiv təqib şöbəsi</v>
          </cell>
          <cell r="E4065" t="str">
            <v>#</v>
          </cell>
          <cell r="F4065" t="str">
            <v>Mütəxəssis</v>
          </cell>
          <cell r="G4065" t="str">
            <v>A</v>
          </cell>
          <cell r="H4065">
            <v>44840</v>
          </cell>
        </row>
        <row r="4066">
          <cell r="B4066" t="str">
            <v>Hüseynova Nəzrin Bağı</v>
          </cell>
          <cell r="C4066" t="str">
            <v>Kreditlərin ilkin təqibi departamenti</v>
          </cell>
          <cell r="D4066" t="str">
            <v>İntensiv təqib şöbəsi</v>
          </cell>
          <cell r="E4066" t="str">
            <v>#</v>
          </cell>
          <cell r="F4066" t="str">
            <v>Mütəxəssis</v>
          </cell>
          <cell r="G4066" t="str">
            <v>A</v>
          </cell>
          <cell r="H4066">
            <v>44817</v>
          </cell>
        </row>
        <row r="4067">
          <cell r="B4067" t="str">
            <v>Həsrətzadə Şəhzadə Elçin</v>
          </cell>
          <cell r="C4067" t="str">
            <v>Kreditlərin ilkin təqibi departamenti</v>
          </cell>
          <cell r="D4067" t="str">
            <v>İntensiv təqib şöbəsi</v>
          </cell>
          <cell r="E4067" t="str">
            <v>#</v>
          </cell>
          <cell r="F4067" t="str">
            <v>Aparıcı mütəxəssis</v>
          </cell>
          <cell r="G4067" t="str">
            <v>A</v>
          </cell>
          <cell r="H4067">
            <v>44826</v>
          </cell>
        </row>
        <row r="4068">
          <cell r="B4068" t="str">
            <v>İbadova Züleyxa Qeybulla</v>
          </cell>
          <cell r="C4068" t="str">
            <v>Kreditlərin ilkin təqibi departamenti</v>
          </cell>
          <cell r="D4068" t="str">
            <v>İntensiv təqib şöbəsi</v>
          </cell>
          <cell r="E4068" t="str">
            <v>#</v>
          </cell>
          <cell r="F4068" t="str">
            <v>Mütəxəssis</v>
          </cell>
          <cell r="G4068" t="str">
            <v>A</v>
          </cell>
          <cell r="H4068">
            <v>44839</v>
          </cell>
        </row>
        <row r="4069">
          <cell r="B4069" t="str">
            <v>Zeynalova Aliyə İmanqulu</v>
          </cell>
          <cell r="C4069" t="str">
            <v>Kreditlərin ilkin təqibi departamenti</v>
          </cell>
          <cell r="D4069" t="str">
            <v>İntensiv təqib şöbəsi</v>
          </cell>
          <cell r="E4069" t="str">
            <v>#</v>
          </cell>
          <cell r="F4069" t="str">
            <v>Mütəxəssis</v>
          </cell>
          <cell r="G4069" t="str">
            <v>A</v>
          </cell>
          <cell r="H4069">
            <v>45155</v>
          </cell>
        </row>
        <row r="4070">
          <cell r="B4070" t="str">
            <v>Əliyeva Nərmin İlham</v>
          </cell>
          <cell r="C4070" t="str">
            <v>Kreditlərin ilkin təqibi departamenti</v>
          </cell>
          <cell r="D4070" t="str">
            <v>İntensiv təqib şöbəsi</v>
          </cell>
          <cell r="E4070" t="str">
            <v>#</v>
          </cell>
          <cell r="F4070" t="str">
            <v>Mütəxəssis</v>
          </cell>
          <cell r="G4070" t="str">
            <v>SM</v>
          </cell>
          <cell r="H4070">
            <v>45058</v>
          </cell>
        </row>
        <row r="4071">
          <cell r="B4071" t="str">
            <v>Hüseynova Ləman Səyyar</v>
          </cell>
          <cell r="C4071" t="str">
            <v>Kreditlərin ilkin təqibi departamenti</v>
          </cell>
          <cell r="D4071" t="str">
            <v>İntensiv təqib şöbəsi</v>
          </cell>
          <cell r="E4071" t="str">
            <v>#</v>
          </cell>
          <cell r="F4071" t="str">
            <v>Mütəxəssis</v>
          </cell>
          <cell r="G4071" t="str">
            <v>A</v>
          </cell>
          <cell r="H4071">
            <v>45139</v>
          </cell>
        </row>
        <row r="4072">
          <cell r="B4072" t="str">
            <v>Şumalov Elvin Məhərrəm</v>
          </cell>
          <cell r="C4072" t="str">
            <v>Kreditlərin ilkin təqibi departamenti</v>
          </cell>
          <cell r="D4072" t="str">
            <v>İntensiv təqib şöbəsi</v>
          </cell>
          <cell r="E4072" t="str">
            <v>#</v>
          </cell>
          <cell r="F4072" t="str">
            <v>Aparıcı mütəxəssis</v>
          </cell>
          <cell r="G4072" t="str">
            <v>A</v>
          </cell>
          <cell r="H4072">
            <v>45155</v>
          </cell>
        </row>
        <row r="4073">
          <cell r="B4073" t="str">
            <v>Vəlizadə Adil Azər</v>
          </cell>
          <cell r="C4073" t="str">
            <v>Kreditlərin ilkin təqibi departamenti</v>
          </cell>
          <cell r="D4073" t="str">
            <v>İntensiv təqib şöbəsi</v>
          </cell>
          <cell r="E4073" t="str">
            <v>#</v>
          </cell>
          <cell r="F4073" t="str">
            <v>Mütəxəssis</v>
          </cell>
          <cell r="G4073" t="str">
            <v>A</v>
          </cell>
          <cell r="H4073">
            <v>45163</v>
          </cell>
        </row>
        <row r="4074">
          <cell r="B4074" t="str">
            <v>Sadıqov Muradxan Elşən</v>
          </cell>
          <cell r="C4074" t="str">
            <v>Kreditlərin ilkin təqibi departamenti</v>
          </cell>
          <cell r="D4074" t="str">
            <v>İntensiv təqib şöbəsi</v>
          </cell>
          <cell r="E4074" t="str">
            <v>#</v>
          </cell>
          <cell r="F4074" t="str">
            <v>Mütəxəssis</v>
          </cell>
          <cell r="G4074" t="str">
            <v>A</v>
          </cell>
          <cell r="H4074">
            <v>45184</v>
          </cell>
        </row>
        <row r="4075">
          <cell r="B4075" t="str">
            <v>Rzayev Kərim Əfqan</v>
          </cell>
          <cell r="C4075" t="str">
            <v>Kreditlərin ilkin təqibi departamenti</v>
          </cell>
          <cell r="D4075" t="str">
            <v>İntensiv təqib şöbəsi</v>
          </cell>
          <cell r="E4075" t="str">
            <v>#</v>
          </cell>
          <cell r="F4075" t="str">
            <v>Mütəxəssis</v>
          </cell>
          <cell r="G4075" t="str">
            <v>A</v>
          </cell>
          <cell r="H4075">
            <v>45195</v>
          </cell>
        </row>
        <row r="4076">
          <cell r="B4076" t="str">
            <v>Əbdürəhimov Murad Vaqif</v>
          </cell>
          <cell r="C4076" t="str">
            <v>Kreditlərin ilkin təqibi departamenti</v>
          </cell>
          <cell r="D4076" t="str">
            <v>İntensiv təqib şöbəsi</v>
          </cell>
          <cell r="E4076" t="str">
            <v>#</v>
          </cell>
          <cell r="F4076" t="str">
            <v>Mütəxəssis</v>
          </cell>
          <cell r="G4076" t="str">
            <v>A</v>
          </cell>
          <cell r="H4076">
            <v>45520</v>
          </cell>
        </row>
        <row r="4077">
          <cell r="B4077" t="str">
            <v>Həsənov İbrahim Afət</v>
          </cell>
          <cell r="C4077" t="str">
            <v>Kreditlərin ilkin təqibi departamenti</v>
          </cell>
          <cell r="D4077" t="str">
            <v>İntensiv təqib şöbəsi</v>
          </cell>
          <cell r="E4077" t="str">
            <v>#</v>
          </cell>
          <cell r="F4077" t="str">
            <v>Aparıcı mütəxəssis</v>
          </cell>
          <cell r="G4077" t="str">
            <v>A</v>
          </cell>
          <cell r="H4077">
            <v>45288</v>
          </cell>
        </row>
        <row r="4078">
          <cell r="B4078" t="str">
            <v>Şəfiyev Elmir Nurəddin</v>
          </cell>
          <cell r="C4078" t="str">
            <v>Kreditlərin ilkin təqibi departamenti</v>
          </cell>
          <cell r="D4078" t="str">
            <v>İntensiv təqib şöbəsi</v>
          </cell>
          <cell r="E4078" t="str">
            <v>#</v>
          </cell>
          <cell r="F4078" t="str">
            <v>Mütəxəssis</v>
          </cell>
          <cell r="G4078" t="str">
            <v>A</v>
          </cell>
          <cell r="H4078">
            <v>45310</v>
          </cell>
        </row>
        <row r="4079">
          <cell r="B4079" t="str">
            <v>Əliyev Hikmət Fikrət</v>
          </cell>
          <cell r="C4079" t="str">
            <v>Kreditlərin ilkin təqibi departamenti</v>
          </cell>
          <cell r="D4079" t="str">
            <v>İntensiv təqib şöbəsi</v>
          </cell>
          <cell r="E4079" t="str">
            <v>#</v>
          </cell>
          <cell r="F4079" t="str">
            <v>Mütəxəssis</v>
          </cell>
          <cell r="G4079" t="str">
            <v>A</v>
          </cell>
          <cell r="H4079">
            <v>45310</v>
          </cell>
        </row>
        <row r="4080">
          <cell r="B4080" t="str">
            <v>Qədirli Loğman Müzəfərdin</v>
          </cell>
          <cell r="C4080" t="str">
            <v>Kreditlərin ilkin təqibi departamenti</v>
          </cell>
          <cell r="D4080" t="str">
            <v>İntensiv təqib şöbəsi</v>
          </cell>
          <cell r="E4080" t="str">
            <v>#</v>
          </cell>
          <cell r="F4080" t="str">
            <v>Mütəxəssis</v>
          </cell>
          <cell r="G4080" t="str">
            <v>A</v>
          </cell>
          <cell r="H4080">
            <v>45310</v>
          </cell>
        </row>
        <row r="4081">
          <cell r="B4081" t="str">
            <v>Qasımzadə Yusif Sabir</v>
          </cell>
          <cell r="C4081" t="str">
            <v>Kreditlərin ilkin təqibi departamenti</v>
          </cell>
          <cell r="D4081" t="str">
            <v>İntensiv təqib şöbəsi</v>
          </cell>
          <cell r="E4081" t="str">
            <v>#</v>
          </cell>
          <cell r="F4081" t="str">
            <v>Mütəxəssis</v>
          </cell>
          <cell r="G4081" t="str">
            <v>A</v>
          </cell>
          <cell r="H4081">
            <v>45310</v>
          </cell>
        </row>
        <row r="4082">
          <cell r="B4082" t="str">
            <v>Nəcəfli Raqif Akif</v>
          </cell>
          <cell r="C4082" t="str">
            <v>Kreditlərin ilkin təqibi departamenti</v>
          </cell>
          <cell r="D4082" t="str">
            <v>İntensiv təqib şöbəsi</v>
          </cell>
          <cell r="E4082" t="str">
            <v>#</v>
          </cell>
          <cell r="F4082" t="str">
            <v>Mütəxəssis</v>
          </cell>
          <cell r="G4082" t="str">
            <v>A</v>
          </cell>
          <cell r="H4082">
            <v>45478</v>
          </cell>
        </row>
        <row r="4083">
          <cell r="B4083" t="str">
            <v>Cəfərova Elnarə Qadir</v>
          </cell>
          <cell r="C4083" t="str">
            <v>Kreditlərin ilkin təqibi departamenti</v>
          </cell>
          <cell r="D4083" t="str">
            <v>İntensiv təqib şöbəsi</v>
          </cell>
          <cell r="E4083" t="str">
            <v>#</v>
          </cell>
          <cell r="F4083" t="str">
            <v>Mütəxəssis</v>
          </cell>
          <cell r="G4083" t="str">
            <v>A</v>
          </cell>
          <cell r="H4083">
            <v>45478</v>
          </cell>
        </row>
        <row r="4084">
          <cell r="B4084" t="str">
            <v>Əlizadə Minarə Nazim</v>
          </cell>
          <cell r="C4084" t="str">
            <v>Kreditlərin ilkin təqibi departamenti</v>
          </cell>
          <cell r="D4084" t="str">
            <v>İntensiv təqib şöbəsi</v>
          </cell>
          <cell r="E4084" t="str">
            <v>#</v>
          </cell>
          <cell r="F4084" t="str">
            <v>Mütəxəssis</v>
          </cell>
          <cell r="G4084" t="str">
            <v>A</v>
          </cell>
          <cell r="H4084">
            <v>45488</v>
          </cell>
        </row>
        <row r="4085">
          <cell r="B4085" t="str">
            <v>Şirinov Səid Müşviq</v>
          </cell>
          <cell r="C4085" t="str">
            <v>Kreditlərin ilkin təqibi departamenti</v>
          </cell>
          <cell r="D4085" t="str">
            <v>İntensiv təqib şöbəsi</v>
          </cell>
          <cell r="E4085" t="str">
            <v>#</v>
          </cell>
          <cell r="F4085" t="str">
            <v>Mütəxəssis</v>
          </cell>
          <cell r="G4085" t="str">
            <v>A</v>
          </cell>
          <cell r="H4085">
            <v>45489</v>
          </cell>
        </row>
        <row r="4086">
          <cell r="B4086" t="str">
            <v>Muradzadə Zəhraxanım İlham</v>
          </cell>
          <cell r="C4086" t="str">
            <v>Kreditlərin ilkin təqibi departamenti</v>
          </cell>
          <cell r="D4086" t="str">
            <v>İntensiv təqib şöbəsi</v>
          </cell>
          <cell r="E4086" t="str">
            <v>#</v>
          </cell>
          <cell r="F4086" t="str">
            <v>Mütəxəssis</v>
          </cell>
          <cell r="G4086" t="str">
            <v>A</v>
          </cell>
          <cell r="H4086">
            <v>45495</v>
          </cell>
        </row>
        <row r="4087">
          <cell r="B4087" t="str">
            <v>Qasımov Zeynal Anar</v>
          </cell>
          <cell r="C4087" t="str">
            <v>Kreditlərin ilkin təqibi departamenti</v>
          </cell>
          <cell r="D4087" t="str">
            <v>İntensiv təqib şöbəsi</v>
          </cell>
          <cell r="E4087" t="str">
            <v>#</v>
          </cell>
          <cell r="F4087" t="str">
            <v>Aparıcı mütəxəssis</v>
          </cell>
          <cell r="G4087" t="str">
            <v>A</v>
          </cell>
          <cell r="H4087">
            <v>45506</v>
          </cell>
        </row>
        <row r="4088">
          <cell r="B4088" t="str">
            <v>İbrahimova Arzu Muqabil</v>
          </cell>
          <cell r="C4088" t="str">
            <v>Kreditlərin ilkin təqibi departamenti</v>
          </cell>
          <cell r="D4088" t="str">
            <v>İntensiv təqib şöbəsi</v>
          </cell>
          <cell r="E4088" t="str">
            <v>#</v>
          </cell>
          <cell r="F4088" t="str">
            <v>Mütəxəssis</v>
          </cell>
          <cell r="G4088" t="str">
            <v>SM</v>
          </cell>
          <cell r="H4088">
            <v>45516</v>
          </cell>
        </row>
        <row r="4089">
          <cell r="B4089" t="str">
            <v>Lətifov Şamil Elşən</v>
          </cell>
          <cell r="C4089" t="str">
            <v>Kreditlərin ilkin təqibi departamenti</v>
          </cell>
          <cell r="D4089" t="str">
            <v>İntensiv təqib şöbəsi</v>
          </cell>
          <cell r="E4089" t="str">
            <v>#</v>
          </cell>
          <cell r="F4089" t="str">
            <v>Mütəxəssis</v>
          </cell>
          <cell r="G4089" t="str">
            <v>A</v>
          </cell>
          <cell r="H4089">
            <v>45539</v>
          </cell>
        </row>
        <row r="4090">
          <cell r="B4090" t="str">
            <v>Məmmədbəyli Zülfuqar Bünyamin</v>
          </cell>
          <cell r="C4090" t="str">
            <v>Kreditlərin ilkin təqibi departamenti</v>
          </cell>
          <cell r="D4090" t="str">
            <v>İntensiv təqib şöbəsi</v>
          </cell>
          <cell r="E4090" t="str">
            <v>#</v>
          </cell>
          <cell r="F4090" t="str">
            <v>Mütəxəssis</v>
          </cell>
          <cell r="G4090" t="str">
            <v>A</v>
          </cell>
          <cell r="H4090">
            <v>45551</v>
          </cell>
        </row>
        <row r="4091">
          <cell r="B4091" t="str">
            <v>Hüseynov Sənan Zakir</v>
          </cell>
          <cell r="C4091" t="str">
            <v>Kreditlərin ilkin təqibi departamenti</v>
          </cell>
          <cell r="D4091" t="str">
            <v>İntensiv təqib şöbəsi</v>
          </cell>
          <cell r="E4091" t="str">
            <v>#</v>
          </cell>
          <cell r="F4091" t="str">
            <v>Mütəxəssis</v>
          </cell>
          <cell r="G4091" t="str">
            <v>A</v>
          </cell>
          <cell r="H4091">
            <v>45593</v>
          </cell>
        </row>
        <row r="4092">
          <cell r="B4092" t="str">
            <v>Əliyeva Fazilə Namiq</v>
          </cell>
          <cell r="C4092" t="str">
            <v>Kreditlərin ilkin təqibi departamenti</v>
          </cell>
          <cell r="D4092" t="str">
            <v>İntensiv təqib şöbəsi</v>
          </cell>
          <cell r="E4092" t="str">
            <v>#</v>
          </cell>
          <cell r="F4092" t="str">
            <v>Mütəxəssis</v>
          </cell>
          <cell r="G4092" t="str">
            <v>A</v>
          </cell>
          <cell r="H4092">
            <v>45540</v>
          </cell>
        </row>
        <row r="4093">
          <cell r="B4093" t="str">
            <v>Pənahzadə Hicran Şaiq</v>
          </cell>
          <cell r="C4093" t="str">
            <v>Kreditlərin ilkin təqibi departamenti</v>
          </cell>
          <cell r="D4093" t="str">
            <v>İntensiv təqib şöbəsi</v>
          </cell>
          <cell r="E4093" t="str">
            <v>#</v>
          </cell>
          <cell r="F4093" t="str">
            <v>Mütəxəssis</v>
          </cell>
          <cell r="G4093" t="str">
            <v>A</v>
          </cell>
          <cell r="H4093">
            <v>45545</v>
          </cell>
        </row>
        <row r="4094">
          <cell r="B4094" t="str">
            <v>Tacəddinova Güllü Teymur</v>
          </cell>
          <cell r="C4094" t="str">
            <v>Kreditlərin ilkin təqibi departamenti</v>
          </cell>
          <cell r="D4094" t="str">
            <v>İntensiv təqib şöbəsi</v>
          </cell>
          <cell r="E4094" t="str">
            <v>#</v>
          </cell>
          <cell r="F4094" t="str">
            <v>Mütəxəssis</v>
          </cell>
          <cell r="G4094" t="str">
            <v>SM</v>
          </cell>
          <cell r="H4094">
            <v>45545</v>
          </cell>
        </row>
        <row r="4095">
          <cell r="B4095" t="str">
            <v>Vəliyeva Səmayə Nazim</v>
          </cell>
          <cell r="C4095" t="str">
            <v>Kreditlərin ilkin təqibi departamenti</v>
          </cell>
          <cell r="D4095" t="str">
            <v>İntensiv təqib şöbəsi</v>
          </cell>
          <cell r="E4095" t="str">
            <v>#</v>
          </cell>
          <cell r="F4095" t="str">
            <v>Mütəxəssis</v>
          </cell>
          <cell r="G4095" t="str">
            <v>A</v>
          </cell>
          <cell r="H4095">
            <v>45576</v>
          </cell>
        </row>
        <row r="4096">
          <cell r="B4096" t="str">
            <v>Rəhimova Gülər Arzu</v>
          </cell>
          <cell r="C4096" t="str">
            <v>Kreditlərin ilkin təqibi departamenti</v>
          </cell>
          <cell r="D4096" t="str">
            <v>İntensiv təqib şöbəsi</v>
          </cell>
          <cell r="E4096" t="str">
            <v>#</v>
          </cell>
          <cell r="F4096" t="str">
            <v>Mütəxəssis</v>
          </cell>
          <cell r="G4096" t="str">
            <v>A</v>
          </cell>
          <cell r="H4096">
            <v>45580</v>
          </cell>
        </row>
        <row r="4097">
          <cell r="B4097" t="str">
            <v>Şirinov Əli Rasim</v>
          </cell>
          <cell r="C4097" t="str">
            <v>Kreditlərin ilkin təqibi departamenti</v>
          </cell>
          <cell r="D4097" t="str">
            <v>İntensiv təqib şöbəsi</v>
          </cell>
          <cell r="E4097" t="str">
            <v>#</v>
          </cell>
          <cell r="F4097" t="str">
            <v>Mütəxəssis</v>
          </cell>
          <cell r="G4097" t="str">
            <v>A</v>
          </cell>
          <cell r="H4097">
            <v>45580</v>
          </cell>
        </row>
        <row r="4098">
          <cell r="B4098" t="str">
            <v>Cavadova Mədinə Əyyub</v>
          </cell>
          <cell r="C4098" t="str">
            <v>Kreditlərin ilkin təqibi departamenti</v>
          </cell>
          <cell r="D4098" t="str">
            <v>İntensiv təqib şöbəsi</v>
          </cell>
          <cell r="E4098" t="str">
            <v>#</v>
          </cell>
          <cell r="F4098" t="str">
            <v>Mütəxəssis</v>
          </cell>
          <cell r="G4098" t="str">
            <v>A</v>
          </cell>
          <cell r="H4098">
            <v>45582</v>
          </cell>
        </row>
        <row r="4099">
          <cell r="B4099" t="str">
            <v>Nuruzadə Müslüm Musa</v>
          </cell>
          <cell r="C4099" t="str">
            <v>Kreditlərin ilkin təqibi departamenti</v>
          </cell>
          <cell r="D4099" t="str">
            <v>İntensiv təqib şöbəsi</v>
          </cell>
          <cell r="E4099" t="str">
            <v>#</v>
          </cell>
          <cell r="F4099" t="str">
            <v>Mütəxəssis</v>
          </cell>
          <cell r="G4099" t="str">
            <v>A</v>
          </cell>
          <cell r="H4099">
            <v>45622</v>
          </cell>
        </row>
        <row r="4100">
          <cell r="B4100" t="str">
            <v>İsgəndərova Nurcan Elnur</v>
          </cell>
          <cell r="C4100" t="str">
            <v>Kreditlərin ilkin təqibi departamenti</v>
          </cell>
          <cell r="D4100" t="str">
            <v>İntensiv təqib şöbəsi</v>
          </cell>
          <cell r="E4100" t="str">
            <v>#</v>
          </cell>
          <cell r="F4100" t="str">
            <v>Mütəxəssis</v>
          </cell>
          <cell r="G4100" t="str">
            <v>A</v>
          </cell>
          <cell r="H4100">
            <v>45622</v>
          </cell>
        </row>
        <row r="4101">
          <cell r="B4101" t="str">
            <v>Məmmədov Elvin Adil</v>
          </cell>
          <cell r="C4101" t="str">
            <v>Kreditlərin ilkin təqibi departamenti</v>
          </cell>
          <cell r="D4101" t="str">
            <v>İntensiv təqib şöbəsi</v>
          </cell>
          <cell r="E4101" t="str">
            <v>#</v>
          </cell>
          <cell r="F4101" t="str">
            <v>Mütəxəssis</v>
          </cell>
          <cell r="G4101" t="str">
            <v>A</v>
          </cell>
          <cell r="H4101">
            <v>45623</v>
          </cell>
        </row>
        <row r="4102">
          <cell r="B4102" t="str">
            <v>Abduləlimova Rəfiqə Ayaz</v>
          </cell>
          <cell r="C4102" t="str">
            <v>Kreditlərin ilkin təqibi departamenti</v>
          </cell>
          <cell r="D4102" t="str">
            <v>İntensiv təqib şöbəsi</v>
          </cell>
          <cell r="E4102" t="str">
            <v>#</v>
          </cell>
          <cell r="F4102" t="str">
            <v>Mütəxəssis</v>
          </cell>
          <cell r="G4102" t="str">
            <v>HX</v>
          </cell>
          <cell r="H4102">
            <v>45623</v>
          </cell>
        </row>
        <row r="4103">
          <cell r="B4103" t="str">
            <v>Ağayeva Aytac İlqar</v>
          </cell>
          <cell r="C4103" t="str">
            <v>Kreditlərin ilkin təqibi departamenti</v>
          </cell>
          <cell r="D4103" t="str">
            <v>İntensiv təqib şöbəsi</v>
          </cell>
          <cell r="E4103" t="str">
            <v>#</v>
          </cell>
          <cell r="F4103" t="str">
            <v>Mütəxəssis</v>
          </cell>
          <cell r="G4103" t="str">
            <v>A</v>
          </cell>
          <cell r="H4103">
            <v>45628</v>
          </cell>
        </row>
        <row r="4104">
          <cell r="B4104" t="str">
            <v>Abdullayeva Aytən Mövlan</v>
          </cell>
          <cell r="C4104" t="str">
            <v>Kreditlərin ilkin təqibi departamenti</v>
          </cell>
          <cell r="D4104" t="str">
            <v>İntensiv təqib şöbəsi</v>
          </cell>
          <cell r="E4104" t="str">
            <v>#</v>
          </cell>
          <cell r="F4104" t="str">
            <v>Mütəxəssis</v>
          </cell>
          <cell r="G4104" t="str">
            <v>A</v>
          </cell>
          <cell r="H4104">
            <v>45649</v>
          </cell>
        </row>
        <row r="4105">
          <cell r="B4105" t="str">
            <v>Nəzirova Aygün Elnur</v>
          </cell>
          <cell r="C4105" t="str">
            <v>Kreditlərin ilkin təqibi departamenti</v>
          </cell>
          <cell r="D4105" t="str">
            <v>İntensiv təqib şöbəsi</v>
          </cell>
          <cell r="E4105" t="str">
            <v>#</v>
          </cell>
          <cell r="F4105" t="str">
            <v>Mütəxəssis</v>
          </cell>
          <cell r="G4105" t="str">
            <v>A</v>
          </cell>
          <cell r="H4105">
            <v>45784</v>
          </cell>
        </row>
        <row r="4106">
          <cell r="B4106" t="str">
            <v>Qurbanov Tapdıq Vasif</v>
          </cell>
          <cell r="C4106" t="str">
            <v>Kreditlərin ilkin təqibi departamenti</v>
          </cell>
          <cell r="D4106" t="str">
            <v>İntensiv təqib şöbəsi</v>
          </cell>
          <cell r="E4106" t="str">
            <v>#</v>
          </cell>
          <cell r="F4106" t="str">
            <v>Mütəxəssis</v>
          </cell>
          <cell r="G4106" t="str">
            <v>A</v>
          </cell>
          <cell r="H4106">
            <v>45796</v>
          </cell>
        </row>
        <row r="4107">
          <cell r="B4107" t="str">
            <v>Əbdülzadə Ləman Pərviz</v>
          </cell>
          <cell r="C4107" t="str">
            <v>Kreditlərin ilkin təqibi departamenti</v>
          </cell>
          <cell r="D4107" t="str">
            <v>İntensiv təqib şöbəsi</v>
          </cell>
          <cell r="E4107" t="str">
            <v>#</v>
          </cell>
          <cell r="F4107" t="str">
            <v>Mütəxəssis</v>
          </cell>
          <cell r="G4107" t="str">
            <v>A</v>
          </cell>
          <cell r="H4107">
            <v>45812</v>
          </cell>
        </row>
        <row r="4108">
          <cell r="B4108" t="str">
            <v>Quliyeva Təhminə Vurğun</v>
          </cell>
          <cell r="C4108" t="str">
            <v>Kreditlərin ilkin təqibi departamenti</v>
          </cell>
          <cell r="D4108" t="str">
            <v>İntensiv təqib şöbəsi</v>
          </cell>
          <cell r="E4108" t="str">
            <v>#</v>
          </cell>
          <cell r="F4108" t="str">
            <v>Kiçik mütəxəssis</v>
          </cell>
          <cell r="G4108" t="str">
            <v>A</v>
          </cell>
          <cell r="H4108">
            <v>46085</v>
          </cell>
        </row>
        <row r="4109">
          <cell r="B4109" t="str">
            <v>Şıxəliyeva Sənəm Camal</v>
          </cell>
          <cell r="C4109" t="str">
            <v>Kreditlərin ilkin təqibi departamenti</v>
          </cell>
          <cell r="D4109" t="str">
            <v>İntensiv təqib şöbəsi</v>
          </cell>
          <cell r="E4109" t="str">
            <v>#</v>
          </cell>
          <cell r="F4109" t="str">
            <v>Kiçik mütəxəssis</v>
          </cell>
          <cell r="G4109" t="str">
            <v>A</v>
          </cell>
          <cell r="H4109">
            <v>46091</v>
          </cell>
        </row>
        <row r="4110">
          <cell r="B4110" t="str">
            <v>Muradlı Nuranə Elşən</v>
          </cell>
          <cell r="C4110" t="str">
            <v>Kreditlərin ilkin təqibi departamenti</v>
          </cell>
          <cell r="D4110" t="str">
            <v>İntensiv təqib şöbəsi</v>
          </cell>
          <cell r="E4110" t="str">
            <v>#</v>
          </cell>
          <cell r="F4110" t="str">
            <v>Kiçik mütəxəssis</v>
          </cell>
          <cell r="G4110" t="str">
            <v>A</v>
          </cell>
          <cell r="H4110">
            <v>46266</v>
          </cell>
        </row>
        <row r="4111">
          <cell r="B4111" t="str">
            <v>Rəsulov Əmirxan Əbilfət</v>
          </cell>
          <cell r="C4111" t="str">
            <v>Kreditlərin ilkin təqibi departamenti</v>
          </cell>
          <cell r="D4111" t="str">
            <v>İntensiv təqib şöbəsi</v>
          </cell>
          <cell r="E4111" t="str">
            <v>#</v>
          </cell>
          <cell r="F4111" t="str">
            <v>Kiçik mütəxəssis</v>
          </cell>
          <cell r="G4111" t="str">
            <v>A</v>
          </cell>
          <cell r="H4111">
            <v>46267</v>
          </cell>
        </row>
        <row r="4112">
          <cell r="B4112" t="str">
            <v>Babazadə Ləman Rahim</v>
          </cell>
          <cell r="C4112" t="str">
            <v>Kreditlərin ilkin təqibi departamenti</v>
          </cell>
          <cell r="D4112" t="str">
            <v>İntensiv təqib şöbəsi</v>
          </cell>
          <cell r="E4112" t="str">
            <v>#</v>
          </cell>
          <cell r="F4112" t="str">
            <v>Kiçik mütəxəssis</v>
          </cell>
          <cell r="G4112" t="str">
            <v>A</v>
          </cell>
          <cell r="H4112">
            <v>46267</v>
          </cell>
        </row>
        <row r="4113">
          <cell r="B4113" t="str">
            <v>Cavadlı Eyvaz Heybət</v>
          </cell>
          <cell r="C4113" t="str">
            <v>Kreditlərin ilkin təqibi departamenti</v>
          </cell>
          <cell r="D4113" t="str">
            <v>İntensiv təqib şöbəsi</v>
          </cell>
          <cell r="E4113" t="str">
            <v>#</v>
          </cell>
          <cell r="F4113" t="str">
            <v>Kiçik mütəxəssis</v>
          </cell>
          <cell r="G4113" t="str">
            <v>A</v>
          </cell>
          <cell r="H4113">
            <v>46272</v>
          </cell>
        </row>
        <row r="4114">
          <cell r="B4114" t="str">
            <v>Maqsudlu Aytən Mehman</v>
          </cell>
          <cell r="C4114" t="str">
            <v>Kreditlərin ilkin təqibi departamenti</v>
          </cell>
          <cell r="D4114" t="str">
            <v>İntensiv təqib şöbəsi</v>
          </cell>
          <cell r="E4114" t="str">
            <v>#</v>
          </cell>
          <cell r="F4114" t="str">
            <v>Mütəxəssis</v>
          </cell>
          <cell r="G4114" t="str">
            <v>A</v>
          </cell>
          <cell r="H4114">
            <v>45855</v>
          </cell>
        </row>
        <row r="4115">
          <cell r="B4115" t="str">
            <v>İbadova Aytən Nəriman</v>
          </cell>
          <cell r="C4115" t="str">
            <v>Kreditlərin ilkin təqibi departamenti</v>
          </cell>
          <cell r="D4115" t="str">
            <v>İntensiv təqib şöbəsi</v>
          </cell>
          <cell r="E4115" t="str">
            <v>#</v>
          </cell>
          <cell r="F4115" t="str">
            <v>Mütəxəssis</v>
          </cell>
          <cell r="G4115" t="str">
            <v>A</v>
          </cell>
          <cell r="H4115">
            <v>45812</v>
          </cell>
        </row>
        <row r="4116">
          <cell r="B4116" t="str">
            <v>Nəcəfli Çilənay Asif</v>
          </cell>
          <cell r="C4116" t="str">
            <v>Kreditlərin ilkin təqibi departamenti</v>
          </cell>
          <cell r="D4116" t="str">
            <v>İntensiv təqib şöbəsi</v>
          </cell>
          <cell r="E4116" t="str">
            <v>#</v>
          </cell>
          <cell r="F4116" t="str">
            <v>Mütəxəssis</v>
          </cell>
          <cell r="G4116" t="str">
            <v>A</v>
          </cell>
          <cell r="H4116">
            <v>45840</v>
          </cell>
        </row>
        <row r="4117">
          <cell r="B4117" t="str">
            <v>Nağısoy Aytac Bünyad</v>
          </cell>
          <cell r="C4117" t="str">
            <v>Kreditlərin ilkin təqibi departamenti</v>
          </cell>
          <cell r="D4117" t="str">
            <v>İntensiv təqib şöbəsi</v>
          </cell>
          <cell r="E4117" t="str">
            <v>#</v>
          </cell>
          <cell r="F4117" t="str">
            <v>Mütəxəssis</v>
          </cell>
          <cell r="G4117" t="str">
            <v>A</v>
          </cell>
          <cell r="H4117">
            <v>45840</v>
          </cell>
        </row>
        <row r="4118">
          <cell r="B4118" t="str">
            <v>Həsənəliyev Ziyəddin Bayram</v>
          </cell>
          <cell r="C4118" t="str">
            <v>Kreditlərin ilkin təqibi departamenti</v>
          </cell>
          <cell r="D4118" t="str">
            <v>İntensiv təqib şöbəsi</v>
          </cell>
          <cell r="E4118" t="str">
            <v>#</v>
          </cell>
          <cell r="F4118" t="str">
            <v>Mütəxəssis</v>
          </cell>
          <cell r="G4118" t="str">
            <v>A</v>
          </cell>
          <cell r="H4118">
            <v>45841</v>
          </cell>
        </row>
        <row r="4119">
          <cell r="B4119" t="str">
            <v>Vəliyev Kənan Alış</v>
          </cell>
          <cell r="C4119" t="str">
            <v>Kreditlərin ilkin təqibi departamenti</v>
          </cell>
          <cell r="D4119" t="str">
            <v>İntensiv təqib şöbəsi</v>
          </cell>
          <cell r="E4119" t="str">
            <v>#</v>
          </cell>
          <cell r="F4119" t="str">
            <v>Mütəxəssis</v>
          </cell>
          <cell r="G4119" t="str">
            <v>A</v>
          </cell>
          <cell r="H4119">
            <v>45860</v>
          </cell>
        </row>
        <row r="4120">
          <cell r="B4120" t="str">
            <v>Osmanova Günay Səhəddin</v>
          </cell>
          <cell r="C4120" t="str">
            <v>Kreditlərin ilkin təqibi departamenti</v>
          </cell>
          <cell r="D4120" t="str">
            <v>İntensiv təqib şöbəsi</v>
          </cell>
          <cell r="E4120" t="str">
            <v>#</v>
          </cell>
          <cell r="F4120" t="str">
            <v>Mütəxəssis</v>
          </cell>
          <cell r="G4120" t="str">
            <v>A</v>
          </cell>
          <cell r="H4120">
            <v>45873</v>
          </cell>
        </row>
        <row r="4121">
          <cell r="B4121" t="str">
            <v>Rzayev Səməndər Sadıx</v>
          </cell>
          <cell r="C4121" t="str">
            <v>Kreditlərin ilkin təqibi departamenti</v>
          </cell>
          <cell r="D4121" t="str">
            <v>#</v>
          </cell>
          <cell r="E4121" t="str">
            <v>#</v>
          </cell>
          <cell r="F4121" t="str">
            <v>Direktor müavini</v>
          </cell>
          <cell r="G4121" t="str">
            <v>A</v>
          </cell>
          <cell r="H4121">
            <v>40756</v>
          </cell>
        </row>
        <row r="4122">
          <cell r="B4122" t="str">
            <v>Tağıyev Emil Adil</v>
          </cell>
          <cell r="C4122" t="str">
            <v>Kreditlərin ilkin təqibi departamenti</v>
          </cell>
          <cell r="D4122" t="str">
            <v>Təhlil və dəstək şöbəsi</v>
          </cell>
          <cell r="E4122" t="str">
            <v>İlkin təqib və dəstək bölməsi</v>
          </cell>
          <cell r="F4122" t="str">
            <v>Menecer</v>
          </cell>
          <cell r="G4122" t="str">
            <v>A</v>
          </cell>
          <cell r="H4122">
            <v>42457</v>
          </cell>
        </row>
        <row r="4123">
          <cell r="B4123" t="str">
            <v>Qasımov Zaur Eldar</v>
          </cell>
          <cell r="C4123" t="str">
            <v>Kreditlərin ilkin təqibi departamenti</v>
          </cell>
          <cell r="D4123" t="str">
            <v>Təhlil və dəstək şöbəsi</v>
          </cell>
          <cell r="E4123" t="str">
            <v>İlkin təqib və dəstək bölməsi</v>
          </cell>
          <cell r="F4123" t="str">
            <v>Baş mütəxəssis</v>
          </cell>
          <cell r="G4123" t="str">
            <v>A</v>
          </cell>
          <cell r="H4123">
            <v>41974</v>
          </cell>
        </row>
        <row r="4124">
          <cell r="B4124" t="str">
            <v>Hüseynov Niyazi Yolçu</v>
          </cell>
          <cell r="C4124" t="str">
            <v>Kreditlərin ilkin təqibi departamenti</v>
          </cell>
          <cell r="D4124" t="str">
            <v>Təhlil və dəstək şöbəsi</v>
          </cell>
          <cell r="E4124" t="str">
            <v>İlkin təqib və dəstək bölməsi</v>
          </cell>
          <cell r="F4124" t="str">
            <v>Baş mütəxəssis</v>
          </cell>
          <cell r="G4124" t="str">
            <v>A</v>
          </cell>
          <cell r="H4124">
            <v>42125</v>
          </cell>
        </row>
        <row r="4125">
          <cell r="B4125" t="str">
            <v>İbrahimov Orxan İlham</v>
          </cell>
          <cell r="C4125" t="str">
            <v>Kreditlərin ilkin təqibi departamenti</v>
          </cell>
          <cell r="D4125" t="str">
            <v>Təhlil və dəstək şöbəsi</v>
          </cell>
          <cell r="E4125" t="str">
            <v>İlkin təqib və dəstək bölməsi</v>
          </cell>
          <cell r="F4125" t="str">
            <v>Baş mütəxəssis</v>
          </cell>
          <cell r="G4125" t="str">
            <v>A</v>
          </cell>
          <cell r="H4125">
            <v>43710</v>
          </cell>
        </row>
        <row r="4126">
          <cell r="B4126" t="str">
            <v>Məmmədov Seymur Müsafir</v>
          </cell>
          <cell r="C4126" t="str">
            <v>Kreditlərin ilkin təqibi departamenti</v>
          </cell>
          <cell r="D4126" t="str">
            <v>Təhlil və dəstək şöbəsi</v>
          </cell>
          <cell r="E4126" t="str">
            <v>İlkin təqib və dəstək bölməsi</v>
          </cell>
          <cell r="F4126" t="str">
            <v>Baş mütəxəssis</v>
          </cell>
          <cell r="G4126" t="str">
            <v>A</v>
          </cell>
          <cell r="H4126">
            <v>42444</v>
          </cell>
        </row>
        <row r="4127">
          <cell r="B4127" t="str">
            <v>Budaqlı Eşqin Oqtay</v>
          </cell>
          <cell r="C4127" t="str">
            <v>Kreditlərin ilkin təqibi departamenti</v>
          </cell>
          <cell r="D4127" t="str">
            <v>Təhlil və dəstək şöbəsi</v>
          </cell>
          <cell r="E4127" t="str">
            <v>İlkin təqib və dəstək bölməsi</v>
          </cell>
          <cell r="F4127" t="str">
            <v>Baş mütəxəssis</v>
          </cell>
          <cell r="G4127" t="str">
            <v>A</v>
          </cell>
          <cell r="H4127">
            <v>43773</v>
          </cell>
        </row>
        <row r="4128">
          <cell r="B4128" t="str">
            <v>Hüseynov Nicat Faiq</v>
          </cell>
          <cell r="C4128" t="str">
            <v>Kreditlərin ilkin təqibi departamenti</v>
          </cell>
          <cell r="D4128" t="str">
            <v>Təhlil və dəstək şöbəsi</v>
          </cell>
          <cell r="E4128" t="str">
            <v>İlkin təqib və dəstək bölməsi</v>
          </cell>
          <cell r="F4128" t="str">
            <v>Aparıcı mütəxəssis</v>
          </cell>
          <cell r="G4128" t="str">
            <v>A</v>
          </cell>
          <cell r="H4128">
            <v>43509</v>
          </cell>
        </row>
        <row r="4129">
          <cell r="B4129" t="str">
            <v>Səfərli Cavid Fərman</v>
          </cell>
          <cell r="C4129" t="str">
            <v>Kreditlərin ilkin təqibi departamenti</v>
          </cell>
          <cell r="D4129" t="str">
            <v>Təhlil və dəstək şöbəsi</v>
          </cell>
          <cell r="E4129" t="str">
            <v>İlkin təqib və dəstək bölməsi</v>
          </cell>
          <cell r="F4129" t="str">
            <v>Aparıcı mütəxəssis</v>
          </cell>
          <cell r="G4129" t="str">
            <v>A</v>
          </cell>
          <cell r="H4129">
            <v>42508</v>
          </cell>
        </row>
        <row r="4130">
          <cell r="B4130" t="str">
            <v>Sadıqova Leyla Arif</v>
          </cell>
          <cell r="C4130" t="str">
            <v>Kreditlərin ilkin təqibi departamenti</v>
          </cell>
          <cell r="D4130" t="str">
            <v>Təhlil və dəstək şöbəsi</v>
          </cell>
          <cell r="E4130" t="str">
            <v>İlkin təqib və dəstək bölməsi</v>
          </cell>
          <cell r="F4130" t="str">
            <v>Aparıcı mütəxəssis</v>
          </cell>
          <cell r="G4130" t="str">
            <v>A</v>
          </cell>
          <cell r="H4130">
            <v>42684</v>
          </cell>
        </row>
        <row r="4131">
          <cell r="B4131" t="str">
            <v>Aslanov Elnur Elşən</v>
          </cell>
          <cell r="C4131" t="str">
            <v>Kreditlərin ilkin təqibi departamenti</v>
          </cell>
          <cell r="D4131" t="str">
            <v>Təhlil və dəstək şöbəsi</v>
          </cell>
          <cell r="E4131" t="str">
            <v>İlkin təqib və dəstək bölməsi</v>
          </cell>
          <cell r="F4131" t="str">
            <v>Aparıcı mütəxəssis</v>
          </cell>
          <cell r="G4131" t="str">
            <v>A</v>
          </cell>
          <cell r="H4131">
            <v>43683</v>
          </cell>
        </row>
        <row r="4132">
          <cell r="B4132" t="str">
            <v>Musayev Mahmud Abdulla</v>
          </cell>
          <cell r="C4132" t="str">
            <v>Kreditlərin ilkin təqibi departamenti</v>
          </cell>
          <cell r="D4132" t="str">
            <v>Təhlil və dəstək şöbəsi</v>
          </cell>
          <cell r="E4132" t="str">
            <v>İlkin təqib və dəstək bölməsi</v>
          </cell>
          <cell r="F4132" t="str">
            <v>Aparıcı mütəxəssis</v>
          </cell>
          <cell r="G4132" t="str">
            <v>A</v>
          </cell>
          <cell r="H4132">
            <v>44477</v>
          </cell>
        </row>
        <row r="4133">
          <cell r="B4133" t="str">
            <v>Əliyeva Mehri Oqtay</v>
          </cell>
          <cell r="C4133" t="str">
            <v>Kreditlərin ilkin təqibi departamenti</v>
          </cell>
          <cell r="D4133" t="str">
            <v>Təhlil və dəstək şöbəsi</v>
          </cell>
          <cell r="E4133" t="str">
            <v>İlkin təqib və dəstək bölməsi</v>
          </cell>
          <cell r="F4133" t="str">
            <v>Aparıcı mütəxəssis</v>
          </cell>
          <cell r="G4133" t="str">
            <v>A</v>
          </cell>
          <cell r="H4133">
            <v>44693</v>
          </cell>
        </row>
        <row r="4134">
          <cell r="B4134" t="str">
            <v>Akifzadə Lalə Ələkbər</v>
          </cell>
          <cell r="C4134" t="str">
            <v>Kreditlərin ilkin təqibi departamenti</v>
          </cell>
          <cell r="D4134" t="str">
            <v>Təhlil və dəstək şöbəsi</v>
          </cell>
          <cell r="E4134" t="str">
            <v>İlkin təqib və dəstək bölməsi</v>
          </cell>
          <cell r="F4134" t="str">
            <v>Aparıcı mütəxəssis</v>
          </cell>
          <cell r="G4134" t="str">
            <v>A</v>
          </cell>
          <cell r="H4134">
            <v>44705</v>
          </cell>
        </row>
        <row r="4135">
          <cell r="B4135" t="str">
            <v>Süleymanova Günel Firdovsi</v>
          </cell>
          <cell r="C4135" t="str">
            <v>Kreditlərin ilkin təqibi departamenti</v>
          </cell>
          <cell r="D4135" t="str">
            <v>Təhlil və dəstək şöbəsi</v>
          </cell>
          <cell r="E4135" t="str">
            <v>İlkin təqib və dəstək bölməsi</v>
          </cell>
          <cell r="F4135" t="str">
            <v>Aparıcı mütəxəssis</v>
          </cell>
          <cell r="G4135" t="str">
            <v>A</v>
          </cell>
          <cell r="H4135">
            <v>44545</v>
          </cell>
        </row>
        <row r="4136">
          <cell r="B4136" t="str">
            <v>Qulu-zadə Səbinə Asif</v>
          </cell>
          <cell r="C4136" t="str">
            <v>Kreditlərin ilkin təqibi departamenti</v>
          </cell>
          <cell r="D4136" t="str">
            <v>Təhlil və dəstək şöbəsi</v>
          </cell>
          <cell r="E4136" t="str">
            <v>İlkin təqib və dəstək bölməsi</v>
          </cell>
          <cell r="F4136" t="str">
            <v>Mütəxəssis</v>
          </cell>
          <cell r="G4136" t="str">
            <v>A</v>
          </cell>
          <cell r="H4136">
            <v>44736</v>
          </cell>
        </row>
        <row r="4137">
          <cell r="B4137" t="str">
            <v>Omarova Şəhla Sabir</v>
          </cell>
          <cell r="C4137" t="str">
            <v>Kreditlərin ilkin təqibi departamenti</v>
          </cell>
          <cell r="D4137" t="str">
            <v>Təhlil və dəstək şöbəsi</v>
          </cell>
          <cell r="E4137" t="str">
            <v>İlkin təqib və dəstək bölməsi</v>
          </cell>
          <cell r="F4137" t="str">
            <v>Mütəxəssis</v>
          </cell>
          <cell r="G4137" t="str">
            <v>A</v>
          </cell>
          <cell r="H4137">
            <v>45205</v>
          </cell>
        </row>
        <row r="4138">
          <cell r="B4138" t="str">
            <v>Vətəndust Zəhra Hüseyn</v>
          </cell>
          <cell r="C4138" t="str">
            <v>Kreditlərin ilkin təqibi departamenti</v>
          </cell>
          <cell r="D4138" t="str">
            <v>Təhlil və dəstək şöbəsi</v>
          </cell>
          <cell r="E4138" t="str">
            <v>İlkin təqib və dəstək bölməsi</v>
          </cell>
          <cell r="F4138" t="str">
            <v>Aparıcı mütəxəssis</v>
          </cell>
          <cell r="G4138" t="str">
            <v>A</v>
          </cell>
          <cell r="H4138">
            <v>45205</v>
          </cell>
        </row>
        <row r="4139">
          <cell r="B4139" t="str">
            <v>Hüseynova Xanım Dəmir</v>
          </cell>
          <cell r="C4139" t="str">
            <v>Kreditlərin ilkin təqibi departamenti</v>
          </cell>
          <cell r="D4139" t="str">
            <v>Təhlil və dəstək şöbəsi</v>
          </cell>
          <cell r="E4139" t="str">
            <v>İlkin təqib və dəstək bölməsi</v>
          </cell>
          <cell r="F4139" t="str">
            <v>Mütəxəssis</v>
          </cell>
          <cell r="G4139" t="str">
            <v>A</v>
          </cell>
          <cell r="H4139">
            <v>45212</v>
          </cell>
        </row>
        <row r="4140">
          <cell r="B4140" t="str">
            <v>Heydərov Səməd Vahid</v>
          </cell>
          <cell r="C4140" t="str">
            <v>Kreditlərin ilkin təqibi departamenti</v>
          </cell>
          <cell r="D4140" t="str">
            <v>Təhlil və dəstək şöbəsi</v>
          </cell>
          <cell r="E4140" t="str">
            <v>İlkin təqib və dəstək bölməsi</v>
          </cell>
          <cell r="F4140" t="str">
            <v>Mütəxəssis</v>
          </cell>
          <cell r="G4140" t="str">
            <v>A</v>
          </cell>
          <cell r="H4140">
            <v>45218</v>
          </cell>
        </row>
        <row r="4141">
          <cell r="B4141" t="str">
            <v>Hüseynli Ülviyyə Arif</v>
          </cell>
          <cell r="C4141" t="str">
            <v>Kreditlərin ilkin təqibi departamenti</v>
          </cell>
          <cell r="D4141" t="str">
            <v>Təhlil və dəstək şöbəsi</v>
          </cell>
          <cell r="E4141" t="str">
            <v>İlkin təqib və dəstək bölməsi</v>
          </cell>
          <cell r="F4141" t="str">
            <v>Mütəxəssis</v>
          </cell>
          <cell r="G4141" t="str">
            <v>SM</v>
          </cell>
          <cell r="H4141">
            <v>45285</v>
          </cell>
        </row>
        <row r="4142">
          <cell r="B4142" t="str">
            <v>Alxasova Lamiyə Məmmədəli</v>
          </cell>
          <cell r="C4142" t="str">
            <v>Kreditlərin ilkin təqibi departamenti</v>
          </cell>
          <cell r="D4142" t="str">
            <v>Təhlil və dəstək şöbəsi</v>
          </cell>
          <cell r="E4142" t="str">
            <v>İlkin təqib və dəstək bölməsi</v>
          </cell>
          <cell r="F4142" t="str">
            <v>Aparıcı mütəxəssis</v>
          </cell>
          <cell r="G4142" t="str">
            <v>HX</v>
          </cell>
          <cell r="H4142">
            <v>45337</v>
          </cell>
        </row>
        <row r="4143">
          <cell r="B4143" t="str">
            <v>Yolçuyev Hidayət Əli</v>
          </cell>
          <cell r="C4143" t="str">
            <v>Kreditlərin ilkin təqibi departamenti</v>
          </cell>
          <cell r="D4143" t="str">
            <v>Təhlil və dəstək şöbəsi</v>
          </cell>
          <cell r="E4143" t="str">
            <v>İlkin təqib və dəstək bölməsi</v>
          </cell>
          <cell r="F4143" t="str">
            <v>Mütəxəssis</v>
          </cell>
          <cell r="G4143" t="str">
            <v>A</v>
          </cell>
          <cell r="H4143">
            <v>45355</v>
          </cell>
        </row>
        <row r="4144">
          <cell r="B4144" t="str">
            <v>Cəlilova Bəsti Aslan</v>
          </cell>
          <cell r="C4144" t="str">
            <v>Kreditlərin ilkin təqibi departamenti</v>
          </cell>
          <cell r="D4144" t="str">
            <v>Təhlil və dəstək şöbəsi</v>
          </cell>
          <cell r="E4144" t="str">
            <v>İlkin təqib və dəstək bölməsi</v>
          </cell>
          <cell r="F4144" t="str">
            <v>Mütəxəssis</v>
          </cell>
          <cell r="G4144" t="str">
            <v>A</v>
          </cell>
          <cell r="H4144">
            <v>45642</v>
          </cell>
        </row>
        <row r="4145">
          <cell r="B4145" t="str">
            <v>Qulizadə Rəfiqə Elxan</v>
          </cell>
          <cell r="C4145" t="str">
            <v>Kreditlərin ilkin təqibi departamenti</v>
          </cell>
          <cell r="D4145" t="str">
            <v>Təhlil və dəstək şöbəsi</v>
          </cell>
          <cell r="E4145" t="str">
            <v>İlkin təqib və dəstək bölməsi</v>
          </cell>
          <cell r="F4145" t="str">
            <v>Mütəxəssis</v>
          </cell>
          <cell r="G4145" t="str">
            <v>A</v>
          </cell>
          <cell r="H4145">
            <v>45670</v>
          </cell>
        </row>
        <row r="4146">
          <cell r="B4146" t="str">
            <v>Cəfərli Aytən Mahir</v>
          </cell>
          <cell r="C4146" t="str">
            <v>Kreditlərin ilkin təqibi departamenti</v>
          </cell>
          <cell r="D4146" t="str">
            <v>Təhlil və dəstək şöbəsi</v>
          </cell>
          <cell r="E4146" t="str">
            <v>İlkin təqib və dəstək bölməsi</v>
          </cell>
          <cell r="F4146" t="str">
            <v>Mütəxəssis</v>
          </cell>
          <cell r="G4146" t="str">
            <v>A</v>
          </cell>
          <cell r="H4146">
            <v>45792</v>
          </cell>
        </row>
        <row r="4147">
          <cell r="B4147" t="str">
            <v>Zeynalov Urfan Nadir</v>
          </cell>
          <cell r="C4147" t="str">
            <v>Kreditlərin ilkin təqibi departamenti</v>
          </cell>
          <cell r="D4147" t="str">
            <v>Ünvanda təqib şöbəsi</v>
          </cell>
          <cell r="E4147" t="str">
            <v>#</v>
          </cell>
          <cell r="F4147" t="str">
            <v>Şöbə müdiri</v>
          </cell>
          <cell r="G4147" t="str">
            <v>A</v>
          </cell>
          <cell r="H4147">
            <v>41920</v>
          </cell>
        </row>
        <row r="4148">
          <cell r="B4148" t="str">
            <v>Məmmədzadə Pərviz Nəsib</v>
          </cell>
          <cell r="C4148" t="str">
            <v>Kreditlərin ilkin təqibi departamenti</v>
          </cell>
          <cell r="D4148" t="str">
            <v>Ünvanda təqib şöbəsi</v>
          </cell>
          <cell r="E4148" t="str">
            <v>#</v>
          </cell>
          <cell r="F4148" t="str">
            <v>Menecer</v>
          </cell>
          <cell r="G4148" t="str">
            <v>A</v>
          </cell>
          <cell r="H4148">
            <v>43027</v>
          </cell>
        </row>
        <row r="4149">
          <cell r="B4149" t="str">
            <v>Məsimov Ceyhun Gülalı</v>
          </cell>
          <cell r="C4149" t="str">
            <v>Kreditlərin ilkin təqibi departamenti</v>
          </cell>
          <cell r="D4149" t="str">
            <v>Ünvanda təqib şöbəsi</v>
          </cell>
          <cell r="E4149" t="str">
            <v>#</v>
          </cell>
          <cell r="F4149" t="str">
            <v>Menecer</v>
          </cell>
          <cell r="G4149" t="str">
            <v>A</v>
          </cell>
          <cell r="H4149">
            <v>43530</v>
          </cell>
        </row>
        <row r="4150">
          <cell r="B4150" t="str">
            <v>Mahmudov Rüstəm Şahin</v>
          </cell>
          <cell r="C4150" t="str">
            <v>Kreditlərin ilkin təqibi departamenti</v>
          </cell>
          <cell r="D4150" t="str">
            <v>Ünvanda təqib şöbəsi</v>
          </cell>
          <cell r="E4150" t="str">
            <v>#</v>
          </cell>
          <cell r="F4150" t="str">
            <v>Baş mütəxəssis (Naxçıvan zonası üzrə)</v>
          </cell>
          <cell r="G4150" t="str">
            <v>A</v>
          </cell>
          <cell r="H4150">
            <v>44084</v>
          </cell>
        </row>
        <row r="4151">
          <cell r="B4151" t="str">
            <v>Məmmədov Hikmət Mürvət</v>
          </cell>
          <cell r="C4151" t="str">
            <v>Kreditlərin ilkin təqibi departamenti</v>
          </cell>
          <cell r="D4151" t="str">
            <v>Ünvanda təqib şöbəsi</v>
          </cell>
          <cell r="E4151" t="str">
            <v>#</v>
          </cell>
          <cell r="F4151" t="str">
            <v>Baş mütəxəssis (Tovuz zonası üzrə)</v>
          </cell>
          <cell r="G4151" t="str">
            <v>A</v>
          </cell>
          <cell r="H4151">
            <v>43077</v>
          </cell>
        </row>
        <row r="4152">
          <cell r="B4152" t="str">
            <v>Hacıyev Təhmiraz Elbrus</v>
          </cell>
          <cell r="C4152" t="str">
            <v>Kreditlərin ilkin təqibi departamenti</v>
          </cell>
          <cell r="D4152" t="str">
            <v>Ünvanda təqib şöbəsi</v>
          </cell>
          <cell r="E4152" t="str">
            <v>#</v>
          </cell>
          <cell r="F4152" t="str">
            <v>Baş mütəxəssis (Yevlax zonası üzrə)</v>
          </cell>
          <cell r="G4152" t="str">
            <v>A</v>
          </cell>
          <cell r="H4152">
            <v>43332</v>
          </cell>
        </row>
        <row r="4153">
          <cell r="B4153" t="str">
            <v>Tanrıverdiyev Elsevər Qədir</v>
          </cell>
          <cell r="C4153" t="str">
            <v>Kreditlərin ilkin təqibi departamenti</v>
          </cell>
          <cell r="D4153" t="str">
            <v>Ünvanda təqib şöbəsi</v>
          </cell>
          <cell r="E4153" t="str">
            <v>#</v>
          </cell>
          <cell r="F4153" t="str">
            <v>Baş mütəxəssis (Gəncə zonası üzrə)</v>
          </cell>
          <cell r="G4153" t="str">
            <v>A</v>
          </cell>
          <cell r="H4153">
            <v>40282</v>
          </cell>
        </row>
        <row r="4154">
          <cell r="B4154" t="str">
            <v>Məmmədov Əli Məmmədəli</v>
          </cell>
          <cell r="C4154" t="str">
            <v>Kreditlərin ilkin təqibi departamenti</v>
          </cell>
          <cell r="D4154" t="str">
            <v>Ünvanda təqib şöbəsi</v>
          </cell>
          <cell r="E4154" t="str">
            <v>#</v>
          </cell>
          <cell r="F4154" t="str">
            <v>Aparıcı mütəxəssis</v>
          </cell>
          <cell r="G4154" t="str">
            <v>A</v>
          </cell>
          <cell r="H4154">
            <v>44746</v>
          </cell>
        </row>
        <row r="4155">
          <cell r="B4155" t="str">
            <v>Nuhov Səlim Vaqif</v>
          </cell>
          <cell r="C4155" t="str">
            <v>Kreditlərin ilkin təqibi departamenti</v>
          </cell>
          <cell r="D4155" t="str">
            <v>Ünvanda təqib şöbəsi</v>
          </cell>
          <cell r="E4155" t="str">
            <v>#</v>
          </cell>
          <cell r="F4155" t="str">
            <v>Aparıcı mütəxəssis</v>
          </cell>
          <cell r="G4155" t="str">
            <v>A</v>
          </cell>
          <cell r="H4155">
            <v>44869</v>
          </cell>
        </row>
        <row r="4156">
          <cell r="B4156" t="str">
            <v>Səfərli Elmir Rəvan</v>
          </cell>
          <cell r="C4156" t="str">
            <v>Kreditlərin ilkin təqibi departamenti</v>
          </cell>
          <cell r="D4156" t="str">
            <v>Ünvanda təqib şöbəsi</v>
          </cell>
          <cell r="E4156" t="str">
            <v>#</v>
          </cell>
          <cell r="F4156" t="str">
            <v>Aparıcı mütəxəssis</v>
          </cell>
          <cell r="G4156" t="str">
            <v>A</v>
          </cell>
          <cell r="H4156">
            <v>45785</v>
          </cell>
        </row>
        <row r="4157">
          <cell r="B4157" t="str">
            <v>Qasımov Nüsrət Ədalət</v>
          </cell>
          <cell r="C4157" t="str">
            <v>Kreditlərin ilkin təqibi departamenti</v>
          </cell>
          <cell r="D4157" t="str">
            <v>Ünvanda təqib şöbəsi</v>
          </cell>
          <cell r="E4157" t="str">
            <v>#</v>
          </cell>
          <cell r="F4157" t="str">
            <v>Aparıcı mütəxəssis</v>
          </cell>
          <cell r="G4157" t="str">
            <v>A</v>
          </cell>
          <cell r="H4157">
            <v>44713</v>
          </cell>
        </row>
        <row r="4158">
          <cell r="B4158" t="str">
            <v>Məmmədxanlı Nicat Oktay</v>
          </cell>
          <cell r="C4158" t="str">
            <v>Kreditlərin ilkin təqibi departamenti</v>
          </cell>
          <cell r="D4158" t="str">
            <v>Ünvanda təqib şöbəsi</v>
          </cell>
          <cell r="E4158" t="str">
            <v>#</v>
          </cell>
          <cell r="F4158" t="str">
            <v>Aparıcı mütəxəssis</v>
          </cell>
          <cell r="G4158" t="str">
            <v>A</v>
          </cell>
          <cell r="H4158">
            <v>44837</v>
          </cell>
        </row>
        <row r="4159">
          <cell r="B4159" t="str">
            <v>Ələsgərov Azad Baloğlan</v>
          </cell>
          <cell r="C4159" t="str">
            <v>Kreditlərin ilkin təqibi departamenti</v>
          </cell>
          <cell r="D4159" t="str">
            <v>Ünvanda təqib şöbəsi</v>
          </cell>
          <cell r="E4159" t="str">
            <v>#</v>
          </cell>
          <cell r="F4159" t="str">
            <v>Aparıcı mütəxəssis</v>
          </cell>
          <cell r="G4159" t="str">
            <v>A</v>
          </cell>
          <cell r="H4159">
            <v>44981</v>
          </cell>
        </row>
        <row r="4160">
          <cell r="B4160" t="str">
            <v>Gözəlov Fazil Mehdi</v>
          </cell>
          <cell r="C4160" t="str">
            <v>Kreditlərin ilkin təqibi departamenti</v>
          </cell>
          <cell r="D4160" t="str">
            <v>Ünvanda təqib şöbəsi</v>
          </cell>
          <cell r="E4160" t="str">
            <v>#</v>
          </cell>
          <cell r="F4160" t="str">
            <v>Aparıcı mütəxəssis</v>
          </cell>
          <cell r="G4160" t="str">
            <v>A</v>
          </cell>
          <cell r="H4160">
            <v>45237</v>
          </cell>
        </row>
        <row r="4161">
          <cell r="B4161" t="str">
            <v>Axundov Vüsal Zabit</v>
          </cell>
          <cell r="C4161" t="str">
            <v>Kreditlərin ilkin təqibi departamenti</v>
          </cell>
          <cell r="D4161" t="str">
            <v>Ünvanda təqib şöbəsi</v>
          </cell>
          <cell r="E4161" t="str">
            <v>#</v>
          </cell>
          <cell r="F4161" t="str">
            <v>Aparıcı mütəxəssis (Mingəçevir zonası üzrə)</v>
          </cell>
          <cell r="G4161" t="str">
            <v>A</v>
          </cell>
          <cell r="H4161">
            <v>45415</v>
          </cell>
        </row>
        <row r="4162">
          <cell r="B4162" t="str">
            <v>Rəhimov Ələkbər Rövşən</v>
          </cell>
          <cell r="C4162" t="str">
            <v>Kreditlərin ilkin təqibi departamenti</v>
          </cell>
          <cell r="D4162" t="str">
            <v>Ünvanda təqib şöbəsi</v>
          </cell>
          <cell r="E4162" t="str">
            <v>#</v>
          </cell>
          <cell r="F4162" t="str">
            <v>Aparıcı mütəxəssis (Gəncə zonası üzrə)</v>
          </cell>
          <cell r="G4162" t="str">
            <v>A</v>
          </cell>
          <cell r="H4162">
            <v>45552</v>
          </cell>
        </row>
        <row r="4163">
          <cell r="B4163" t="str">
            <v>Məmmədov Rəhim Ramiz</v>
          </cell>
          <cell r="C4163" t="str">
            <v>Kreditlərin ilkin təqibi departamenti</v>
          </cell>
          <cell r="D4163" t="str">
            <v>Ünvanda təqib şöbəsi</v>
          </cell>
          <cell r="E4163" t="str">
            <v>#</v>
          </cell>
          <cell r="F4163" t="str">
            <v>Mütəxəssis (Gəncə zonası üzrə)</v>
          </cell>
          <cell r="G4163" t="str">
            <v>A</v>
          </cell>
          <cell r="H4163">
            <v>45937</v>
          </cell>
        </row>
        <row r="4164">
          <cell r="B4164" t="str">
            <v>Kazımov Samid Mirzaid</v>
          </cell>
          <cell r="C4164" t="str">
            <v>Kreditlərin ilkin təqibi departamenti</v>
          </cell>
          <cell r="D4164" t="str">
            <v>Ünvanda təqib şöbəsi</v>
          </cell>
          <cell r="E4164" t="str">
            <v>#</v>
          </cell>
          <cell r="F4164" t="str">
            <v>Aparıcı mütəxəssis (Lənkəran zonası üzrə)</v>
          </cell>
          <cell r="G4164" t="str">
            <v>A</v>
          </cell>
          <cell r="H4164">
            <v>43362</v>
          </cell>
        </row>
        <row r="4165">
          <cell r="B4165" t="str">
            <v>Süleymanov Emin Miradəm</v>
          </cell>
          <cell r="C4165" t="str">
            <v>Kreditlərin ilkin təqibi departamenti</v>
          </cell>
          <cell r="D4165" t="str">
            <v>Ünvanda təqib şöbəsi</v>
          </cell>
          <cell r="E4165" t="str">
            <v>#</v>
          </cell>
          <cell r="F4165" t="str">
            <v>Aparıcı mütəxəssis (Saatlı zonası üzrə)</v>
          </cell>
          <cell r="G4165" t="str">
            <v>A</v>
          </cell>
          <cell r="H4165">
            <v>42866</v>
          </cell>
        </row>
        <row r="4166">
          <cell r="B4166" t="str">
            <v>Babalı Fazil Lətif</v>
          </cell>
          <cell r="C4166" t="str">
            <v>Kreditlərin ilkin təqibi departamenti</v>
          </cell>
          <cell r="D4166" t="str">
            <v>Ünvanda təqib şöbəsi</v>
          </cell>
          <cell r="E4166" t="str">
            <v>#</v>
          </cell>
          <cell r="F4166" t="str">
            <v>Aparıcı mütəxəssis (Bakı zonası üzrə)</v>
          </cell>
          <cell r="G4166" t="str">
            <v>A</v>
          </cell>
          <cell r="H4166">
            <v>44501</v>
          </cell>
        </row>
        <row r="4167">
          <cell r="B4167" t="str">
            <v>Əzizov Elçin Oqtay</v>
          </cell>
          <cell r="C4167" t="str">
            <v>Kreditlərin ilkin təqibi departamenti</v>
          </cell>
          <cell r="D4167" t="str">
            <v>Ünvanda təqib şöbəsi</v>
          </cell>
          <cell r="E4167" t="str">
            <v>#</v>
          </cell>
          <cell r="F4167" t="str">
            <v>Aparıcı mütəxəssis (Cəlilabad zonası üzrə)</v>
          </cell>
          <cell r="G4167" t="str">
            <v>A</v>
          </cell>
          <cell r="H4167">
            <v>44501</v>
          </cell>
        </row>
        <row r="4168">
          <cell r="B4168" t="str">
            <v>Mehdizadə Babək Mehman</v>
          </cell>
          <cell r="C4168" t="str">
            <v>Kreditlərin ilkin təqibi departamenti</v>
          </cell>
          <cell r="D4168" t="str">
            <v>Ünvanda təqib şöbəsi</v>
          </cell>
          <cell r="E4168" t="str">
            <v>#</v>
          </cell>
          <cell r="F4168" t="str">
            <v>Aparıcı mütəxəssis (Kürdəmir zonası üzrə)</v>
          </cell>
          <cell r="G4168" t="str">
            <v>A</v>
          </cell>
          <cell r="H4168">
            <v>44522</v>
          </cell>
        </row>
        <row r="4169">
          <cell r="B4169" t="str">
            <v>İsayev Orxan Şərəfəddin</v>
          </cell>
          <cell r="C4169" t="str">
            <v>Kreditlərin ilkin təqibi departamenti</v>
          </cell>
          <cell r="D4169" t="str">
            <v>Ünvanda təqib şöbəsi</v>
          </cell>
          <cell r="E4169" t="str">
            <v>#</v>
          </cell>
          <cell r="F4169" t="str">
            <v>Aparıcı mütəxəssis (Şamaxı zonası üzrə)</v>
          </cell>
          <cell r="G4169" t="str">
            <v>A</v>
          </cell>
          <cell r="H4169">
            <v>44847</v>
          </cell>
        </row>
        <row r="4170">
          <cell r="B4170" t="str">
            <v>Rəhimov Hüseyn Rza</v>
          </cell>
          <cell r="C4170" t="str">
            <v>Kreditlərin ilkin təqibi departamenti</v>
          </cell>
          <cell r="D4170" t="str">
            <v>Ünvanda təqib şöbəsi</v>
          </cell>
          <cell r="E4170" t="str">
            <v>#</v>
          </cell>
          <cell r="F4170" t="str">
            <v>Aparıcı mütəxəssis (Şəmkir zonası üzrə)</v>
          </cell>
          <cell r="G4170" t="str">
            <v>A</v>
          </cell>
          <cell r="H4170">
            <v>44776</v>
          </cell>
        </row>
        <row r="4171">
          <cell r="B4171" t="str">
            <v>Şahquluyev Bayram Hamlet</v>
          </cell>
          <cell r="C4171" t="str">
            <v>Kreditlərin ilkin təqibi departamenti</v>
          </cell>
          <cell r="D4171" t="str">
            <v>Ünvanda təqib şöbəsi</v>
          </cell>
          <cell r="E4171" t="str">
            <v>#</v>
          </cell>
          <cell r="F4171" t="str">
            <v>Aparıcı mütəxəssis (Ağstafa zonası üzrə)</v>
          </cell>
          <cell r="G4171" t="str">
            <v>A</v>
          </cell>
          <cell r="H4171">
            <v>45539</v>
          </cell>
        </row>
        <row r="4172">
          <cell r="B4172" t="str">
            <v>Axundov Qüdrət Sərdar</v>
          </cell>
          <cell r="C4172" t="str">
            <v>Kreditlərin ilkin təqibi departamenti</v>
          </cell>
          <cell r="D4172" t="str">
            <v>Ünvanda təqib şöbəsi</v>
          </cell>
          <cell r="E4172" t="str">
            <v>#</v>
          </cell>
          <cell r="F4172" t="str">
            <v>Mütəxəssis (Astara zonası üzrə)</v>
          </cell>
          <cell r="G4172" t="str">
            <v>A</v>
          </cell>
          <cell r="H4172">
            <v>46164</v>
          </cell>
        </row>
        <row r="4173">
          <cell r="B4173" t="str">
            <v>Məmmədli Elmar Hüseyn</v>
          </cell>
          <cell r="C4173" t="str">
            <v>Kreditlərin ilkin təqibi departamenti</v>
          </cell>
          <cell r="D4173" t="str">
            <v>Ünvanda təqib şöbəsi</v>
          </cell>
          <cell r="E4173" t="str">
            <v>#</v>
          </cell>
          <cell r="F4173" t="str">
            <v>Aparıcı mütəxəssis (Naxçıvan zonası üzrə)</v>
          </cell>
          <cell r="G4173" t="str">
            <v>A</v>
          </cell>
          <cell r="H4173">
            <v>43763</v>
          </cell>
        </row>
        <row r="4174">
          <cell r="B4174" t="str">
            <v>Ələkbərov Emin Həsən</v>
          </cell>
          <cell r="C4174" t="str">
            <v>Kreditlərin ilkin təqibi departamenti</v>
          </cell>
          <cell r="D4174" t="str">
            <v>Ünvanda təqib şöbəsi</v>
          </cell>
          <cell r="E4174" t="str">
            <v>#</v>
          </cell>
          <cell r="F4174" t="str">
            <v>Aparıcı mütəxəssis (Ağcabədi zonası üzrə)</v>
          </cell>
          <cell r="G4174" t="str">
            <v>A</v>
          </cell>
          <cell r="H4174">
            <v>44788</v>
          </cell>
        </row>
        <row r="4175">
          <cell r="B4175" t="str">
            <v xml:space="preserve">	Alxanzadə Qaraş İlham</v>
          </cell>
          <cell r="C4175" t="str">
            <v>Kreditlərin ilkin təqibi departamenti</v>
          </cell>
          <cell r="D4175" t="str">
            <v>Ünvanda təqib şöbəsi</v>
          </cell>
          <cell r="E4175" t="str">
            <v>#</v>
          </cell>
          <cell r="F4175" t="str">
            <v>Mütəxəssis (Ağcabədi zonası üzrə)</v>
          </cell>
          <cell r="G4175" t="str">
            <v>A</v>
          </cell>
          <cell r="H4175">
            <v>46098</v>
          </cell>
        </row>
        <row r="4176">
          <cell r="B4176" t="str">
            <v>Babayev Amid Vasif</v>
          </cell>
          <cell r="C4176" t="str">
            <v>Kreditlərin ilkin təqibi departamenti</v>
          </cell>
          <cell r="D4176" t="str">
            <v>Ünvanda təqib şöbəsi</v>
          </cell>
          <cell r="E4176" t="str">
            <v>#</v>
          </cell>
          <cell r="F4176" t="str">
            <v>Aparıcı mütəxəssis (İmişli zonası üzrə)</v>
          </cell>
          <cell r="G4176" t="str">
            <v>A</v>
          </cell>
          <cell r="H4176">
            <v>43698</v>
          </cell>
        </row>
        <row r="4177">
          <cell r="B4177" t="str">
            <v>Məlikzadə Araz Yaşar</v>
          </cell>
          <cell r="C4177" t="str">
            <v>Kreditlərin ilkin təqibi departamenti</v>
          </cell>
          <cell r="D4177" t="str">
            <v>Ünvanda təqib şöbəsi</v>
          </cell>
          <cell r="E4177" t="str">
            <v>#</v>
          </cell>
          <cell r="F4177" t="str">
            <v>Aparıcı mütəxəssis (Salyan zonası üzrə)</v>
          </cell>
          <cell r="G4177" t="str">
            <v>A</v>
          </cell>
          <cell r="H4177">
            <v>43929</v>
          </cell>
        </row>
        <row r="4178">
          <cell r="B4178" t="str">
            <v>Ocaqlı Tamerlan Fərhad</v>
          </cell>
          <cell r="C4178" t="str">
            <v>Kreditlərin ilkin təqibi departamenti</v>
          </cell>
          <cell r="D4178" t="str">
            <v>Ünvanda təqib şöbəsi</v>
          </cell>
          <cell r="E4178" t="str">
            <v>#</v>
          </cell>
          <cell r="F4178" t="str">
            <v>Aparıcı mütəxəssis (Siyəzən zonası üzrə)</v>
          </cell>
          <cell r="G4178" t="str">
            <v>A</v>
          </cell>
          <cell r="H4178">
            <v>44991</v>
          </cell>
        </row>
        <row r="4179">
          <cell r="B4179" t="str">
            <v>Xələfov Camal Nüsrət</v>
          </cell>
          <cell r="C4179" t="str">
            <v>Kreditlərin ilkin təqibi departamenti</v>
          </cell>
          <cell r="D4179" t="str">
            <v>Ünvanda təqib şöbəsi</v>
          </cell>
          <cell r="E4179" t="str">
            <v>#</v>
          </cell>
          <cell r="F4179" t="str">
            <v>Mütəxəssis (Quba zonası üzrə)</v>
          </cell>
          <cell r="G4179" t="str">
            <v>A</v>
          </cell>
          <cell r="H4179">
            <v>46008</v>
          </cell>
        </row>
        <row r="4180">
          <cell r="B4180" t="str">
            <v>Süleymanov Məmməd Mahmud</v>
          </cell>
          <cell r="C4180" t="str">
            <v>Kreditlərin ilkin təqibi departamenti</v>
          </cell>
          <cell r="D4180" t="str">
            <v>Ünvanda təqib şöbəsi</v>
          </cell>
          <cell r="E4180" t="str">
            <v>#</v>
          </cell>
          <cell r="F4180" t="str">
            <v>Mütəxəssis (Zaqatala zonası üzrə)</v>
          </cell>
          <cell r="G4180" t="str">
            <v>A</v>
          </cell>
          <cell r="H4180">
            <v>46085</v>
          </cell>
        </row>
        <row r="4181">
          <cell r="B4181" t="str">
            <v>Quluzadə Eldəniz Vidadi</v>
          </cell>
          <cell r="C4181" t="str">
            <v>Kreditlərin ilkin təqibi departamenti</v>
          </cell>
          <cell r="D4181" t="str">
            <v>Ünvanda təqib şöbəsi</v>
          </cell>
          <cell r="E4181" t="str">
            <v>#</v>
          </cell>
          <cell r="F4181" t="str">
            <v>Aparıcı mütəxəssis</v>
          </cell>
          <cell r="G4181" t="str">
            <v>A</v>
          </cell>
          <cell r="H4181">
            <v>45132</v>
          </cell>
        </row>
        <row r="4182">
          <cell r="B4182" t="str">
            <v>Cəbrayılov Cəbrayıl Namiq</v>
          </cell>
          <cell r="C4182" t="str">
            <v>Kreditlərin ilkin təqibi departamenti</v>
          </cell>
          <cell r="D4182" t="str">
            <v>Ünvanda təqib şöbəsi</v>
          </cell>
          <cell r="E4182" t="str">
            <v>#</v>
          </cell>
          <cell r="F4182" t="str">
            <v>Aparıcı mütəxəssis</v>
          </cell>
          <cell r="G4182" t="str">
            <v>A</v>
          </cell>
          <cell r="H4182">
            <v>45139</v>
          </cell>
        </row>
        <row r="4183">
          <cell r="B4183" t="str">
            <v>Heydərov Fərid Azər</v>
          </cell>
          <cell r="C4183" t="str">
            <v>Kreditlərin ilkin təqibi departamenti</v>
          </cell>
          <cell r="D4183" t="str">
            <v>Ünvanda təqib şöbəsi</v>
          </cell>
          <cell r="E4183" t="str">
            <v>#</v>
          </cell>
          <cell r="F4183" t="str">
            <v>Aparıcı mütəxəssis</v>
          </cell>
          <cell r="G4183" t="str">
            <v>A</v>
          </cell>
          <cell r="H4183">
            <v>45432</v>
          </cell>
        </row>
        <row r="4184">
          <cell r="B4184" t="str">
            <v>Baxşiyev Vüqar Rüstəm</v>
          </cell>
          <cell r="C4184" t="str">
            <v>Kreditlərin ilkin təqibi departamenti</v>
          </cell>
          <cell r="D4184" t="str">
            <v>Ünvanda təqib şöbəsi</v>
          </cell>
          <cell r="E4184" t="str">
            <v>#</v>
          </cell>
          <cell r="F4184" t="str">
            <v>Mütəxəssis</v>
          </cell>
          <cell r="G4184" t="str">
            <v>A</v>
          </cell>
          <cell r="H4184">
            <v>45873</v>
          </cell>
        </row>
        <row r="4185">
          <cell r="B4185" t="str">
            <v>Dadaşov Kamil Əfqan</v>
          </cell>
          <cell r="C4185" t="str">
            <v>Kreditlərin ilkin təqibi departamenti</v>
          </cell>
          <cell r="D4185" t="str">
            <v>Ünvanda təqib şöbəsi</v>
          </cell>
          <cell r="E4185" t="str">
            <v>#</v>
          </cell>
          <cell r="F4185" t="str">
            <v>Mütəxəssis</v>
          </cell>
          <cell r="G4185" t="str">
            <v>A</v>
          </cell>
          <cell r="H4185">
            <v>46164</v>
          </cell>
        </row>
        <row r="4186">
          <cell r="B4186" t="str">
            <v>Məmmədov Nicat Qabil</v>
          </cell>
          <cell r="C4186" t="str">
            <v>Kreditlərin ilkin təqibi departamenti</v>
          </cell>
          <cell r="D4186" t="str">
            <v>Ünvanda təqib şöbəsi</v>
          </cell>
          <cell r="E4186" t="str">
            <v>#</v>
          </cell>
          <cell r="F4186" t="str">
            <v>Mütəxəssis</v>
          </cell>
          <cell r="G4186" t="str">
            <v>A</v>
          </cell>
          <cell r="H4186">
            <v>45874</v>
          </cell>
        </row>
        <row r="4187">
          <cell r="B4187" t="str">
            <v>Quluzadə Əzim Lətif</v>
          </cell>
          <cell r="C4187" t="str">
            <v>Kreditlərin ilkin təqibi departamenti</v>
          </cell>
          <cell r="D4187" t="str">
            <v>Ünvanda təqib şöbəsi</v>
          </cell>
          <cell r="E4187" t="str">
            <v>#</v>
          </cell>
          <cell r="F4187" t="str">
            <v>Aparıcı mütəxəssis</v>
          </cell>
          <cell r="G4187" t="str">
            <v>A</v>
          </cell>
          <cell r="H4187">
            <v>45439</v>
          </cell>
        </row>
        <row r="4188">
          <cell r="B4188" t="str">
            <v>ALIEV ISRAPHIL</v>
          </cell>
          <cell r="C4188" t="str">
            <v>Kreditlərin ilkin təqibi departamenti</v>
          </cell>
          <cell r="D4188" t="str">
            <v>Ünvanda təqib şöbəsi</v>
          </cell>
          <cell r="E4188" t="str">
            <v>#</v>
          </cell>
          <cell r="F4188" t="str">
            <v>Aparıcı mütəxəssis</v>
          </cell>
          <cell r="G4188" t="str">
            <v>A</v>
          </cell>
          <cell r="H4188">
            <v>45490</v>
          </cell>
        </row>
        <row r="4189">
          <cell r="B4189" t="str">
            <v>Qələbəyov Fərid Ceyhun</v>
          </cell>
          <cell r="C4189" t="str">
            <v>Kreditlərin ilkin təqibi departamenti</v>
          </cell>
          <cell r="D4189" t="str">
            <v>Ünvanda təqib şöbəsi</v>
          </cell>
          <cell r="E4189" t="str">
            <v>#</v>
          </cell>
          <cell r="F4189" t="str">
            <v>Mütəxəssis</v>
          </cell>
          <cell r="G4189" t="str">
            <v>A</v>
          </cell>
          <cell r="H4189">
            <v>45498</v>
          </cell>
        </row>
        <row r="4190">
          <cell r="B4190" t="str">
            <v>Vahidli Murad Rəfael</v>
          </cell>
          <cell r="C4190" t="str">
            <v>Kreditlərin ilkin təqibi departamenti</v>
          </cell>
          <cell r="D4190" t="str">
            <v>Ünvanda təqib şöbəsi</v>
          </cell>
          <cell r="E4190" t="str">
            <v>#</v>
          </cell>
          <cell r="F4190" t="str">
            <v>Mütəxəssis</v>
          </cell>
          <cell r="G4190" t="str">
            <v>A</v>
          </cell>
          <cell r="H4190">
            <v>45509</v>
          </cell>
        </row>
        <row r="4191">
          <cell r="B4191" t="str">
            <v>Məmmədov Ramin Elçin</v>
          </cell>
          <cell r="C4191" t="str">
            <v>Kreditlərin ilkin təqibi departamenti</v>
          </cell>
          <cell r="D4191" t="str">
            <v>Ünvanda təqib şöbəsi</v>
          </cell>
          <cell r="E4191" t="str">
            <v>#</v>
          </cell>
          <cell r="F4191" t="str">
            <v>Mütəxəssis</v>
          </cell>
          <cell r="G4191" t="str">
            <v>A</v>
          </cell>
          <cell r="H4191">
            <v>45538</v>
          </cell>
        </row>
        <row r="4192">
          <cell r="B4192" t="str">
            <v>Şeyıxov Səbuhi Fikrət</v>
          </cell>
          <cell r="C4192" t="str">
            <v>Kreditlərin ilkin təqibi departamenti</v>
          </cell>
          <cell r="D4192" t="str">
            <v>Ünvanda təqib şöbəsi</v>
          </cell>
          <cell r="E4192" t="str">
            <v>#</v>
          </cell>
          <cell r="F4192" t="str">
            <v>Aparıcı mütəxəssis</v>
          </cell>
          <cell r="G4192" t="str">
            <v>A</v>
          </cell>
          <cell r="H4192">
            <v>45572</v>
          </cell>
        </row>
        <row r="4193">
          <cell r="B4193" t="str">
            <v>Ağazadə Röyal Mübariz</v>
          </cell>
          <cell r="C4193" t="str">
            <v>Kreditlərin ilkin təqibi departamenti</v>
          </cell>
          <cell r="D4193" t="str">
            <v>Ünvanda təqib şöbəsi</v>
          </cell>
          <cell r="E4193" t="str">
            <v>#</v>
          </cell>
          <cell r="F4193" t="str">
            <v>Mütəxəssis</v>
          </cell>
          <cell r="G4193" t="str">
            <v>A</v>
          </cell>
          <cell r="H4193">
            <v>45670</v>
          </cell>
        </row>
        <row r="4194">
          <cell r="B4194" t="str">
            <v>Məmiyev Əli Müşfiq</v>
          </cell>
          <cell r="C4194" t="str">
            <v>Kreditlərin ilkin təqibi departamenti</v>
          </cell>
          <cell r="D4194" t="str">
            <v>Ünvanda təqib şöbəsi</v>
          </cell>
          <cell r="E4194" t="str">
            <v>#</v>
          </cell>
          <cell r="F4194" t="str">
            <v>Mütəxəssis</v>
          </cell>
          <cell r="G4194" t="str">
            <v>A</v>
          </cell>
          <cell r="H4194">
            <v>45779</v>
          </cell>
        </row>
        <row r="4195">
          <cell r="B4195" t="str">
            <v>Həmidli Mehman Kamran</v>
          </cell>
          <cell r="C4195" t="str">
            <v>Kreditlərin ilkin təqibi departamenti</v>
          </cell>
          <cell r="D4195" t="str">
            <v>Ünvanda təqib şöbəsi</v>
          </cell>
          <cell r="E4195" t="str">
            <v>#</v>
          </cell>
          <cell r="F4195" t="str">
            <v>Mütəxəssis</v>
          </cell>
          <cell r="G4195" t="str">
            <v>A</v>
          </cell>
          <cell r="H4195">
            <v>45841</v>
          </cell>
        </row>
        <row r="4196">
          <cell r="B4196" t="str">
            <v>Abbaszadə Fərahim Rasim</v>
          </cell>
          <cell r="C4196" t="str">
            <v>Kreditlərin ilkin təqibi departamenti</v>
          </cell>
          <cell r="D4196" t="str">
            <v>Ünvanda təqib şöbəsi</v>
          </cell>
          <cell r="E4196" t="str">
            <v>#</v>
          </cell>
          <cell r="F4196" t="str">
            <v>Mütəxəssis</v>
          </cell>
          <cell r="G4196" t="str">
            <v>A</v>
          </cell>
          <cell r="H4196">
            <v>45924</v>
          </cell>
        </row>
        <row r="4197">
          <cell r="B4197" t="str">
            <v>Seyidov Sənkan Mahir</v>
          </cell>
          <cell r="C4197" t="str">
            <v>Kreditlərin ilkin təqibi departamenti</v>
          </cell>
          <cell r="D4197" t="str">
            <v>Ünvanda təqib şöbəsi</v>
          </cell>
          <cell r="E4197" t="str">
            <v>#</v>
          </cell>
          <cell r="F4197" t="str">
            <v>Mütəxəssis</v>
          </cell>
          <cell r="G4197" t="str">
            <v>A</v>
          </cell>
          <cell r="H4197">
            <v>46176</v>
          </cell>
        </row>
        <row r="4198">
          <cell r="B4198" t="str">
            <v>Qasımov Cavid Mirfazil</v>
          </cell>
          <cell r="C4198" t="str">
            <v>Kreditlərin ilkin təqibi departamenti</v>
          </cell>
          <cell r="D4198" t="str">
            <v>Ünvanda təqib şöbəsi</v>
          </cell>
          <cell r="E4198" t="str">
            <v>#</v>
          </cell>
          <cell r="F4198" t="str">
            <v>Mütəxəssis (Saatlı zonası üzrə)</v>
          </cell>
          <cell r="G4198" t="str">
            <v>A</v>
          </cell>
          <cell r="H4198">
            <v>45516</v>
          </cell>
        </row>
        <row r="4199">
          <cell r="B4199" t="str">
            <v>Cəfərov Ərəstun Bəxtiyar</v>
          </cell>
          <cell r="C4199" t="str">
            <v>Kreditlərin ilkin təqibi departamenti</v>
          </cell>
          <cell r="D4199" t="str">
            <v>Ünvanda təqib şöbəsi</v>
          </cell>
          <cell r="E4199" t="str">
            <v>#</v>
          </cell>
          <cell r="F4199" t="str">
            <v>Mütəxəssis (Göyçay zonası üzrə)</v>
          </cell>
          <cell r="G4199" t="str">
            <v>A</v>
          </cell>
          <cell r="H4199">
            <v>45554</v>
          </cell>
        </row>
        <row r="4200">
          <cell r="B4200" t="str">
            <v>Rəsulov Pərviz Vahid</v>
          </cell>
          <cell r="C4200" t="str">
            <v>Kreditlərin ilkin təqibi departamenti</v>
          </cell>
          <cell r="D4200" t="str">
            <v>Ünvanda təqib şöbəsi</v>
          </cell>
          <cell r="E4200" t="str">
            <v>#</v>
          </cell>
          <cell r="F4200" t="str">
            <v>Mütəxəssis (İsmayıllı zonası üzrə)</v>
          </cell>
          <cell r="G4200" t="str">
            <v>A</v>
          </cell>
          <cell r="H4200">
            <v>45182</v>
          </cell>
        </row>
        <row r="4201">
          <cell r="B4201" t="str">
            <v>Əliyev Zaur Yusif</v>
          </cell>
          <cell r="C4201" t="str">
            <v>Kreditlərin ilkin təqibi departamenti</v>
          </cell>
          <cell r="D4201" t="str">
            <v>Ünvanda təqib şöbəsi</v>
          </cell>
          <cell r="E4201" t="str">
            <v>#</v>
          </cell>
          <cell r="F4201" t="str">
            <v>Aparıcı mütəxəssis (Naxçıvan zonası üzrə)</v>
          </cell>
          <cell r="G4201" t="str">
            <v>A</v>
          </cell>
          <cell r="H4201">
            <v>43755</v>
          </cell>
        </row>
        <row r="4202">
          <cell r="B4202" t="str">
            <v>Əhmədov Ramil Əhliman</v>
          </cell>
          <cell r="C4202" t="str">
            <v>Kreditlərin ilkin təqibi departamenti</v>
          </cell>
          <cell r="D4202" t="str">
            <v>Ünvanda təqib şöbəsi</v>
          </cell>
          <cell r="E4202" t="str">
            <v>#</v>
          </cell>
          <cell r="F4202" t="str">
            <v>Mütəxəssis (Biləsuvar zonası üzrə)</v>
          </cell>
          <cell r="G4202" t="str">
            <v>A</v>
          </cell>
          <cell r="H4202">
            <v>45672</v>
          </cell>
        </row>
        <row r="4203">
          <cell r="B4203" t="str">
            <v>Azadlı Eldar Pəhləvan</v>
          </cell>
          <cell r="C4203" t="str">
            <v>Kreditlərin ilkin təqibi departamenti</v>
          </cell>
          <cell r="D4203" t="str">
            <v>Ünvanda təqib şöbəsi</v>
          </cell>
          <cell r="E4203" t="str">
            <v>#</v>
          </cell>
          <cell r="F4203" t="str">
            <v>Mütəxəssis (Beyləqan zonası üzrə)</v>
          </cell>
          <cell r="G4203" t="str">
            <v>A</v>
          </cell>
          <cell r="H4203">
            <v>45672</v>
          </cell>
        </row>
        <row r="4204">
          <cell r="B4204" t="str">
            <v>İbrahimov Tofiq Elxan</v>
          </cell>
          <cell r="C4204" t="str">
            <v>Kreditlərin ilkin təqibi departamenti</v>
          </cell>
          <cell r="D4204" t="str">
            <v>Ünvanda təqib şöbəsi</v>
          </cell>
          <cell r="E4204" t="str">
            <v>#</v>
          </cell>
          <cell r="F4204" t="str">
            <v>Mütəxəssis (Şirvan zonası üzrə)</v>
          </cell>
          <cell r="G4204" t="str">
            <v>A</v>
          </cell>
          <cell r="H4204">
            <v>44840</v>
          </cell>
        </row>
        <row r="4205">
          <cell r="B4205" t="str">
            <v>Fərəcov Qəhrəman Arzuman</v>
          </cell>
          <cell r="C4205" t="str">
            <v>Kreditlərin ilkin təqibi departamenti</v>
          </cell>
          <cell r="D4205" t="str">
            <v>Ünvanda təqib şöbəsi</v>
          </cell>
          <cell r="E4205" t="str">
            <v>#</v>
          </cell>
          <cell r="F4205" t="str">
            <v>Mütəxəssis (Masallı zonası üzrə)</v>
          </cell>
          <cell r="G4205" t="str">
            <v>A</v>
          </cell>
          <cell r="H4205">
            <v>45282</v>
          </cell>
        </row>
        <row r="4206">
          <cell r="B4206" t="str">
            <v>Usubov İbrahim Balakişi</v>
          </cell>
          <cell r="C4206" t="str">
            <v>Kreditlərin ilkin təqibi departamenti</v>
          </cell>
          <cell r="D4206" t="str">
            <v>Ünvanda təqib şöbəsi</v>
          </cell>
          <cell r="E4206" t="str">
            <v>#</v>
          </cell>
          <cell r="F4206" t="str">
            <v>Mütəxəssis (Goranboy zonası üzrə)</v>
          </cell>
          <cell r="G4206" t="str">
            <v>A</v>
          </cell>
          <cell r="H4206">
            <v>45540</v>
          </cell>
        </row>
        <row r="4207">
          <cell r="B4207" t="str">
            <v>Əliyev Kamran Elxan</v>
          </cell>
          <cell r="C4207" t="str">
            <v>Kreditlərin ilkin təqibi departamenti</v>
          </cell>
          <cell r="D4207" t="str">
            <v>Ünvanda təqib şöbəsi</v>
          </cell>
          <cell r="E4207" t="str">
            <v>#</v>
          </cell>
          <cell r="F4207" t="str">
            <v>Mütəxəssis (Şəki zonası üzrə)</v>
          </cell>
          <cell r="G4207" t="str">
            <v>A</v>
          </cell>
          <cell r="H4207">
            <v>45441</v>
          </cell>
        </row>
        <row r="4208">
          <cell r="B4208" t="str">
            <v>Həsənov Sahib Musa</v>
          </cell>
          <cell r="C4208" t="str">
            <v>Rəqəmsal dələduzluğa qarşı mübarizə departamenti</v>
          </cell>
          <cell r="D4208" t="str">
            <v>#</v>
          </cell>
          <cell r="E4208" t="str">
            <v>#</v>
          </cell>
          <cell r="F4208" t="str">
            <v>Direktor</v>
          </cell>
          <cell r="G4208" t="str">
            <v>A</v>
          </cell>
          <cell r="H4208">
            <v>42662</v>
          </cell>
        </row>
        <row r="4209">
          <cell r="B4209" t="str">
            <v>Qafarov Teymur Məzahir</v>
          </cell>
          <cell r="C4209" t="str">
            <v>Kredit portfelinə nəzarət departamenti</v>
          </cell>
          <cell r="D4209" t="str">
            <v>Biznes kreditlərinin monitorinqi şöbəsi</v>
          </cell>
          <cell r="E4209" t="str">
            <v>#</v>
          </cell>
          <cell r="F4209" t="str">
            <v>Şöbə müdiri</v>
          </cell>
          <cell r="G4209" t="str">
            <v>A</v>
          </cell>
          <cell r="H4209">
            <v>43353</v>
          </cell>
        </row>
        <row r="4210">
          <cell r="B4210" t="str">
            <v>Şərifov Məmməd Arzular</v>
          </cell>
          <cell r="C4210" t="str">
            <v>Kredit portfelinə nəzarət departamenti</v>
          </cell>
          <cell r="D4210" t="str">
            <v>Biznes kreditlərinin monitorinqi şöbəsi</v>
          </cell>
          <cell r="E4210" t="str">
            <v>#</v>
          </cell>
          <cell r="F4210" t="str">
            <v>Menecer</v>
          </cell>
          <cell r="G4210" t="str">
            <v>A</v>
          </cell>
          <cell r="H4210">
            <v>44146</v>
          </cell>
        </row>
        <row r="4211">
          <cell r="B4211" t="str">
            <v>Rəsulov Emin Fazil</v>
          </cell>
          <cell r="C4211" t="str">
            <v>Kredit portfelinə nəzarət departamenti</v>
          </cell>
          <cell r="D4211" t="str">
            <v>Biznes kreditlərinin monitorinqi şöbəsi</v>
          </cell>
          <cell r="E4211" t="str">
            <v>#</v>
          </cell>
          <cell r="F4211" t="str">
            <v>Baş mütəxəssis</v>
          </cell>
          <cell r="G4211" t="str">
            <v>A</v>
          </cell>
          <cell r="H4211">
            <v>43332</v>
          </cell>
        </row>
        <row r="4212">
          <cell r="B4212" t="str">
            <v>Haqverdiyev Kamran Saleh</v>
          </cell>
          <cell r="C4212" t="str">
            <v>Kredit portfelinə nəzarət departamenti</v>
          </cell>
          <cell r="D4212" t="str">
            <v>Biznes kreditlərinin monitorinqi şöbəsi</v>
          </cell>
          <cell r="E4212" t="str">
            <v>#</v>
          </cell>
          <cell r="F4212" t="str">
            <v>Baş mütəxəssis</v>
          </cell>
          <cell r="G4212" t="str">
            <v>A</v>
          </cell>
          <cell r="H4212">
            <v>44203</v>
          </cell>
        </row>
        <row r="4213">
          <cell r="B4213" t="str">
            <v>İmamverdiyev Behbud Bəxtiyar</v>
          </cell>
          <cell r="C4213" t="str">
            <v>Kredit portfelinə nəzarət departamenti</v>
          </cell>
          <cell r="D4213" t="str">
            <v>Biznes kreditlərinin monitorinqi şöbəsi</v>
          </cell>
          <cell r="E4213" t="str">
            <v>#</v>
          </cell>
          <cell r="F4213" t="str">
            <v>Baş mütəxəssis</v>
          </cell>
          <cell r="G4213" t="str">
            <v>A</v>
          </cell>
          <cell r="H4213">
            <v>44817</v>
          </cell>
        </row>
        <row r="4214">
          <cell r="B4214" t="str">
            <v>Hüseynov Şərif Valeh</v>
          </cell>
          <cell r="C4214" t="str">
            <v>Kredit portfelinə nəzarət departamenti</v>
          </cell>
          <cell r="D4214" t="str">
            <v>Biznes kreditlərinin monitorinqi şöbəsi</v>
          </cell>
          <cell r="E4214" t="str">
            <v>#</v>
          </cell>
          <cell r="F4214" t="str">
            <v>Aparıcı mütəxəssis</v>
          </cell>
          <cell r="G4214" t="str">
            <v>A</v>
          </cell>
          <cell r="H4214">
            <v>46085</v>
          </cell>
        </row>
        <row r="4215">
          <cell r="B4215" t="str">
            <v>Təhməzova Zeynəb Səyyad</v>
          </cell>
          <cell r="C4215" t="str">
            <v>Kredit portfelinə nəzarət departamenti</v>
          </cell>
          <cell r="D4215" t="str">
            <v>Biznes kreditlərinin monitorinqi şöbəsi</v>
          </cell>
          <cell r="E4215" t="str">
            <v>#</v>
          </cell>
          <cell r="F4215" t="str">
            <v>Mütəxəssis</v>
          </cell>
          <cell r="G4215" t="str">
            <v>A</v>
          </cell>
          <cell r="H4215">
            <v>44922</v>
          </cell>
        </row>
        <row r="4216">
          <cell r="B4216" t="str">
            <v>Abbasov Ceyhun İsmayıl</v>
          </cell>
          <cell r="C4216" t="str">
            <v>Kredit portfelinə nəzarət departamenti</v>
          </cell>
          <cell r="D4216" t="str">
            <v>Biznes kreditlərinin monitorinqi şöbəsi</v>
          </cell>
          <cell r="E4216" t="str">
            <v>#</v>
          </cell>
          <cell r="F4216" t="str">
            <v>Mütəxəssis</v>
          </cell>
          <cell r="G4216" t="str">
            <v>A</v>
          </cell>
          <cell r="H4216">
            <v>45224</v>
          </cell>
        </row>
        <row r="4217">
          <cell r="B4217" t="str">
            <v>Məmmədova Fidan Anar</v>
          </cell>
          <cell r="C4217" t="str">
            <v>Kredit portfelinə nəzarət departamenti</v>
          </cell>
          <cell r="D4217" t="str">
            <v>Biznes kreditlərinin monitorinqi şöbəsi</v>
          </cell>
          <cell r="E4217" t="str">
            <v>#</v>
          </cell>
          <cell r="F4217" t="str">
            <v>Mütəxəssis</v>
          </cell>
          <cell r="G4217" t="str">
            <v>A</v>
          </cell>
          <cell r="H4217">
            <v>45427</v>
          </cell>
        </row>
        <row r="4218">
          <cell r="B4218" t="str">
            <v>Tarverdiyev Rəvan Cavanşir</v>
          </cell>
          <cell r="C4218" t="str">
            <v>Kredit portfelinə nəzarət departamenti</v>
          </cell>
          <cell r="D4218" t="str">
            <v>Biznes kreditlərinin monitorinqi şöbəsi</v>
          </cell>
          <cell r="E4218" t="str">
            <v>#</v>
          </cell>
          <cell r="F4218" t="str">
            <v>Mütəxəssis</v>
          </cell>
          <cell r="G4218" t="str">
            <v>A</v>
          </cell>
          <cell r="H4218">
            <v>45876</v>
          </cell>
        </row>
        <row r="4219">
          <cell r="B4219" t="str">
            <v>Bağırov Yalçın İsa</v>
          </cell>
          <cell r="C4219" t="str">
            <v>Təşkilati və qeyri-maliyyə risklərinin idarə edilməsi departamenti</v>
          </cell>
          <cell r="D4219" t="str">
            <v>FinTech biznesinin məhsullara nəzarət şöbəsi</v>
          </cell>
          <cell r="E4219" t="str">
            <v>#</v>
          </cell>
          <cell r="F4219" t="str">
            <v>Şöbə müdiri</v>
          </cell>
          <cell r="G4219" t="str">
            <v>A</v>
          </cell>
          <cell r="H4219">
            <v>42045</v>
          </cell>
        </row>
        <row r="4220">
          <cell r="B4220" t="str">
            <v>Ələskərov Orxan Nadim</v>
          </cell>
          <cell r="C4220" t="str">
            <v>Təşkilati və qeyri-maliyyə risklərinin idarə edilməsi departamenti</v>
          </cell>
          <cell r="D4220" t="str">
            <v>#</v>
          </cell>
          <cell r="E4220" t="str">
            <v>#</v>
          </cell>
          <cell r="F4220" t="str">
            <v>Menecer</v>
          </cell>
          <cell r="G4220" t="str">
            <v>A</v>
          </cell>
          <cell r="H4220">
            <v>46216</v>
          </cell>
        </row>
        <row r="4221">
          <cell r="B4221" t="str">
            <v>Əhmədova Sevda Ramiz</v>
          </cell>
          <cell r="C4221" t="str">
            <v>Təşkilati və qeyri-maliyyə risklərinin idarə edilməsi departamenti</v>
          </cell>
          <cell r="D4221" t="str">
            <v>FinTech biznesinin məhsullara nəzarət şöbəsi</v>
          </cell>
          <cell r="E4221" t="str">
            <v>#</v>
          </cell>
          <cell r="F4221" t="str">
            <v>Baş mütəxəssis</v>
          </cell>
          <cell r="G4221" t="str">
            <v>A</v>
          </cell>
          <cell r="H4221">
            <v>36696</v>
          </cell>
        </row>
        <row r="4222">
          <cell r="B4222" t="str">
            <v>Axundova Sevinc Umud</v>
          </cell>
          <cell r="C4222" t="str">
            <v>Təşkilati və qeyri-maliyyə risklərinin idarə edilməsi departamenti</v>
          </cell>
          <cell r="D4222" t="str">
            <v>FinTech biznesinin məhsullara nəzarət şöbəsi</v>
          </cell>
          <cell r="E4222" t="str">
            <v>#</v>
          </cell>
          <cell r="F4222" t="str">
            <v>Baş mütəxəssis</v>
          </cell>
          <cell r="G4222" t="str">
            <v>A</v>
          </cell>
          <cell r="H4222">
            <v>43530</v>
          </cell>
        </row>
        <row r="4223">
          <cell r="B4223" t="str">
            <v>Muradova Şahanə Şirvan</v>
          </cell>
          <cell r="C4223" t="str">
            <v>Təşkilati və qeyri-maliyyə risklərinin idarə edilməsi departamenti</v>
          </cell>
          <cell r="D4223" t="str">
            <v>FinTech biznesinin məhsullara nəzarət şöbəsi</v>
          </cell>
          <cell r="E4223" t="str">
            <v>#</v>
          </cell>
          <cell r="F4223" t="str">
            <v>Baş mütəxəssis</v>
          </cell>
          <cell r="G4223" t="str">
            <v>A</v>
          </cell>
          <cell r="H4223">
            <v>45348</v>
          </cell>
        </row>
        <row r="4224">
          <cell r="B4224" t="str">
            <v>İsmayılzadə Zümrüd Ağaverdi</v>
          </cell>
          <cell r="C4224" t="str">
            <v>Təşkilati və qeyri-maliyyə risklərinin idarə edilməsi departamenti</v>
          </cell>
          <cell r="D4224" t="str">
            <v>FinTech biznesinin məhsullara nəzarət şöbəsi</v>
          </cell>
          <cell r="E4224" t="str">
            <v>#</v>
          </cell>
          <cell r="F4224" t="str">
            <v>Aparıcı mütəxəssis</v>
          </cell>
          <cell r="G4224" t="str">
            <v>A</v>
          </cell>
          <cell r="H4224">
            <v>42524</v>
          </cell>
        </row>
        <row r="4225">
          <cell r="B4225" t="str">
            <v>Tamılı Novruz Gümrah</v>
          </cell>
          <cell r="C4225" t="str">
            <v>Təşkilati və qeyri-maliyyə risklərinin idarə edilməsi departamenti</v>
          </cell>
          <cell r="D4225" t="str">
            <v>FinTech biznesinin məhsullara nəzarət şöbəsi</v>
          </cell>
          <cell r="E4225" t="str">
            <v>#</v>
          </cell>
          <cell r="F4225" t="str">
            <v>Aparıcı mütəxəssis</v>
          </cell>
          <cell r="G4225" t="str">
            <v>A</v>
          </cell>
          <cell r="H4225">
            <v>44967</v>
          </cell>
        </row>
        <row r="4226">
          <cell r="B4226" t="str">
            <v>Mustafayev Həsən Eyvaz</v>
          </cell>
          <cell r="C4226" t="str">
            <v>Maliyyə hesabatlığı və mühasibatlıq departamenti</v>
          </cell>
          <cell r="D4226" t="str">
            <v>Maliyyə nəzarəti və uçotu şöbəsi</v>
          </cell>
          <cell r="E4226" t="str">
            <v>#</v>
          </cell>
          <cell r="F4226" t="str">
            <v>Mütəxəssis</v>
          </cell>
          <cell r="G4226" t="str">
            <v>A</v>
          </cell>
          <cell r="H4226">
            <v>45762</v>
          </cell>
        </row>
        <row r="4227">
          <cell r="B4227" t="str">
            <v>Məmmədova Şəfiqə Musa</v>
          </cell>
          <cell r="C4227" t="str">
            <v>Maliyyə hesabatlığı və mühasibatlıq departamenti</v>
          </cell>
          <cell r="D4227" t="str">
            <v>Maliyyə nəzarəti və uçotu şöbəsi</v>
          </cell>
          <cell r="E4227" t="str">
            <v>#</v>
          </cell>
          <cell r="F4227" t="str">
            <v>Mütəxəssis</v>
          </cell>
          <cell r="G4227" t="str">
            <v>A</v>
          </cell>
          <cell r="H4227">
            <v>45681</v>
          </cell>
        </row>
        <row r="4228">
          <cell r="B4228" t="str">
            <v>Nəcəfov Rahil Məcid</v>
          </cell>
          <cell r="C4228" t="str">
            <v>Təşkilati və qeyri-maliyyə risklərinin idarə edilməsi departamenti</v>
          </cell>
          <cell r="D4228" t="str">
            <v>FinTech biznesinin məhsullara nəzarət şöbəsi</v>
          </cell>
          <cell r="E4228" t="str">
            <v>#</v>
          </cell>
          <cell r="F4228" t="str">
            <v>Kiçik mütəxəssis</v>
          </cell>
          <cell r="G4228" t="str">
            <v>A</v>
          </cell>
          <cell r="H4228">
            <v>46056</v>
          </cell>
        </row>
        <row r="4229">
          <cell r="B4229" t="str">
            <v>Kərimov Samir Fəxrəddin</v>
          </cell>
          <cell r="C4229" t="str">
            <v>Təşkilati və qeyri-maliyyə risklərinin idarə edilməsi departamenti</v>
          </cell>
          <cell r="D4229" t="str">
            <v>Nağd vəsaitlər və qiymətlilərə nəzarət şöbəsi</v>
          </cell>
          <cell r="E4229" t="str">
            <v>#</v>
          </cell>
          <cell r="F4229" t="str">
            <v>Şöbə müdiri</v>
          </cell>
          <cell r="G4229" t="str">
            <v>A</v>
          </cell>
          <cell r="H4229">
            <v>39478</v>
          </cell>
        </row>
        <row r="4230">
          <cell r="B4230" t="str">
            <v>Allahverdiyev Elyaz Cəlal</v>
          </cell>
          <cell r="C4230" t="str">
            <v>Təşkilati və qeyri-maliyyə risklərinin idarə edilməsi departamenti</v>
          </cell>
          <cell r="D4230" t="str">
            <v>Nağd vəsaitlər və qiymətlilərə nəzarət şöbəsi</v>
          </cell>
          <cell r="E4230" t="str">
            <v>#</v>
          </cell>
          <cell r="F4230" t="str">
            <v>Baş mütəxəssis</v>
          </cell>
          <cell r="G4230" t="str">
            <v>A</v>
          </cell>
          <cell r="H4230">
            <v>39316</v>
          </cell>
        </row>
        <row r="4231">
          <cell r="B4231" t="str">
            <v>Süleymanov Anar İsə</v>
          </cell>
          <cell r="C4231" t="str">
            <v>Təşkilati və qeyri-maliyyə risklərinin idarə edilməsi departamenti</v>
          </cell>
          <cell r="D4231" t="str">
            <v>Nağd vəsaitlər və qiymətlilərə nəzarət şöbəsi</v>
          </cell>
          <cell r="E4231" t="str">
            <v>#</v>
          </cell>
          <cell r="F4231" t="str">
            <v>Aparıcı mütəxəssis</v>
          </cell>
          <cell r="G4231" t="str">
            <v>A</v>
          </cell>
          <cell r="H4231">
            <v>43263</v>
          </cell>
        </row>
        <row r="4232">
          <cell r="B4232" t="str">
            <v>Təhməzli Qoşqar Azər</v>
          </cell>
          <cell r="C4232" t="str">
            <v>Təşkilati və qeyri-maliyyə risklərinin idarə edilməsi departamenti</v>
          </cell>
          <cell r="D4232" t="str">
            <v>Nağd vəsaitlər və qiymətlilərə nəzarət şöbəsi</v>
          </cell>
          <cell r="E4232" t="str">
            <v>Qiymətlilərlə işə nəzarət bölməsi</v>
          </cell>
          <cell r="F4232" t="str">
            <v>Aparıcı mütəxəssis</v>
          </cell>
          <cell r="G4232" t="str">
            <v>A</v>
          </cell>
          <cell r="H4232">
            <v>46160</v>
          </cell>
        </row>
        <row r="4233">
          <cell r="B4233" t="str">
            <v>Məmmədov Nəriman İsmayıl</v>
          </cell>
          <cell r="C4233" t="str">
            <v>Təşkilati və qeyri-maliyyə risklərinin idarə edilməsi departamenti</v>
          </cell>
          <cell r="D4233" t="str">
            <v>Nağd vəsaitlər və qiymətlilərə nəzarət şöbəsi</v>
          </cell>
          <cell r="E4233" t="str">
            <v>#</v>
          </cell>
          <cell r="F4233" t="str">
            <v>Kiçik mütəxəssis(0,5 ştat vahidi üzrə)</v>
          </cell>
          <cell r="G4233" t="str">
            <v>A</v>
          </cell>
          <cell r="H4233">
            <v>46070</v>
          </cell>
        </row>
        <row r="4234">
          <cell r="B4234" t="str">
            <v>Mehdiyev Nəzər Azər</v>
          </cell>
          <cell r="C4234" t="str">
            <v>Təşkilati və qeyri-maliyyə risklərinin idarə edilməsi departamenti</v>
          </cell>
          <cell r="D4234" t="str">
            <v>Nağd vəsaitlər və qiymətlilərə nəzarət şöbəsi</v>
          </cell>
          <cell r="E4234" t="str">
            <v>#</v>
          </cell>
          <cell r="F4234" t="str">
            <v>Kiçik mütəxəssis(0,5 ştat vahidi üzrə)</v>
          </cell>
          <cell r="G4234" t="str">
            <v>A</v>
          </cell>
          <cell r="H4234">
            <v>46071</v>
          </cell>
        </row>
        <row r="4235">
          <cell r="B4235" t="str">
            <v>Əliyeva Sevda Səftər</v>
          </cell>
          <cell r="C4235" t="str">
            <v>Təşkilati və qeyri-maliyyə risklərinin idarə edilməsi departamenti</v>
          </cell>
          <cell r="D4235" t="str">
            <v>Nağd vəsaitlər və qiymətlilərə nəzarət şöbəsi</v>
          </cell>
          <cell r="E4235" t="str">
            <v>#</v>
          </cell>
          <cell r="F4235" t="str">
            <v>Aparıcı mütəxəssis</v>
          </cell>
          <cell r="G4235" t="str">
            <v>SM</v>
          </cell>
          <cell r="H4235">
            <v>44823</v>
          </cell>
        </row>
        <row r="4236">
          <cell r="B4236" t="str">
            <v>Əsədova Tinatin İlqar</v>
          </cell>
          <cell r="C4236" t="str">
            <v>Rəqəmsal dələduzluğa qarşı mübarizə departamenti</v>
          </cell>
          <cell r="D4236" t="str">
            <v>Monitorinq şöbəsi</v>
          </cell>
          <cell r="E4236" t="str">
            <v>#</v>
          </cell>
          <cell r="F4236" t="str">
            <v>Şöbə müdiri</v>
          </cell>
          <cell r="G4236" t="str">
            <v>A</v>
          </cell>
          <cell r="H4236">
            <v>44203</v>
          </cell>
        </row>
        <row r="4237">
          <cell r="B4237" t="str">
            <v>Əlizadə Tərlan Qəzənfər</v>
          </cell>
          <cell r="C4237" t="str">
            <v>Təşkilati və qeyri-maliyyə risklərinin idarə edilməsi departamenti</v>
          </cell>
          <cell r="D4237" t="str">
            <v>Ödəniş biznesinin əməliyyat risklərinin idarə edilməsi şöbəsi</v>
          </cell>
          <cell r="E4237" t="str">
            <v>#</v>
          </cell>
          <cell r="F4237" t="str">
            <v>Şöbə müdiri</v>
          </cell>
          <cell r="G4237" t="str">
            <v>A</v>
          </cell>
          <cell r="H4237">
            <v>46122</v>
          </cell>
          <cell r="I4237" t="str">
            <v>Bir Payment</v>
          </cell>
        </row>
        <row r="4238">
          <cell r="B4238" t="str">
            <v>Həsənov Elvin Mehman</v>
          </cell>
          <cell r="C4238" t="str">
            <v>Təşkilati və qeyri-maliyyə risklərinin idarə edilməsi departamenti</v>
          </cell>
          <cell r="D4238" t="str">
            <v>Ödəniş biznesinin məhsullara nəzarət şöbəsi</v>
          </cell>
          <cell r="E4238" t="str">
            <v>#</v>
          </cell>
          <cell r="F4238" t="str">
            <v>Menecer</v>
          </cell>
          <cell r="G4238" t="str">
            <v>A</v>
          </cell>
          <cell r="H4238">
            <v>43472</v>
          </cell>
        </row>
        <row r="4239">
          <cell r="B4239" t="str">
            <v>Zeynalov Rövşən Asim</v>
          </cell>
          <cell r="C4239" t="str">
            <v>Təşkilati və qeyri-maliyyə risklərinin idarə edilməsi departamenti</v>
          </cell>
          <cell r="D4239" t="str">
            <v>Ödəniş biznesinin məhsullara nəzarət şöbəsi</v>
          </cell>
          <cell r="E4239" t="str">
            <v>#</v>
          </cell>
          <cell r="F4239" t="str">
            <v>Menecer</v>
          </cell>
          <cell r="G4239" t="str">
            <v>A</v>
          </cell>
          <cell r="H4239">
            <v>42705</v>
          </cell>
        </row>
        <row r="4240">
          <cell r="B4240" t="str">
            <v>Bayramov Afşin Məmməd</v>
          </cell>
          <cell r="C4240" t="str">
            <v>Təşkilati və qeyri-maliyyə risklərinin idarə edilməsi departamenti</v>
          </cell>
          <cell r="D4240" t="str">
            <v>Ödəniş biznesinin məhsullara nəzarət şöbəsi</v>
          </cell>
          <cell r="E4240" t="str">
            <v>#</v>
          </cell>
          <cell r="F4240" t="str">
            <v>Aparıcı mütəxəssis</v>
          </cell>
          <cell r="G4240" t="str">
            <v>A</v>
          </cell>
          <cell r="H4240">
            <v>44783</v>
          </cell>
        </row>
        <row r="4241">
          <cell r="B4241" t="str">
            <v>Salmanzadə Adışirin Məhəmməd</v>
          </cell>
          <cell r="C4241" t="str">
            <v>Təşkilati və qeyri-maliyyə risklərinin idarə edilməsi departamenti</v>
          </cell>
          <cell r="D4241" t="str">
            <v>Ödəniş biznesinin məhsullara nəzarət şöbəsi</v>
          </cell>
          <cell r="E4241" t="str">
            <v>#</v>
          </cell>
          <cell r="F4241" t="str">
            <v>Mütəxəssis</v>
          </cell>
          <cell r="G4241" t="str">
            <v>A</v>
          </cell>
          <cell r="H4241">
            <v>46251</v>
          </cell>
        </row>
        <row r="4242">
          <cell r="B4242" t="str">
            <v>Məhərrəmov Ağasəf Natiq</v>
          </cell>
          <cell r="C4242" t="str">
            <v>Təşkilati və qeyri-maliyyə risklərinin idarə edilməsi departamenti</v>
          </cell>
          <cell r="D4242" t="str">
            <v>FinTech biznesinin məhsullara nəzarət şöbəsi</v>
          </cell>
          <cell r="E4242" t="str">
            <v>#</v>
          </cell>
          <cell r="F4242" t="str">
            <v>Kiçik mütəxəssis</v>
          </cell>
          <cell r="G4242" t="str">
            <v>A</v>
          </cell>
          <cell r="H4242">
            <v>45966</v>
          </cell>
        </row>
        <row r="4243">
          <cell r="B4243" t="str">
            <v>Yunuslu Aytac Vüqar</v>
          </cell>
          <cell r="C4243" t="str">
            <v>Təşkilati və qeyri-maliyyə risklərinin idarə edilməsi departamenti</v>
          </cell>
          <cell r="D4243" t="str">
            <v>Risk hadisələrinin idarə edilməsi şöbəsi</v>
          </cell>
          <cell r="E4243" t="str">
            <v>#</v>
          </cell>
          <cell r="F4243" t="str">
            <v>Mütəxəssis</v>
          </cell>
          <cell r="G4243" t="str">
            <v>A</v>
          </cell>
          <cell r="H4243">
            <v>45896</v>
          </cell>
        </row>
        <row r="4244">
          <cell r="B4244" t="str">
            <v>Əsgərli Fərid Zaman</v>
          </cell>
          <cell r="C4244" t="str">
            <v>Kredit portfelinə nəzarət departamenti</v>
          </cell>
          <cell r="D4244" t="str">
            <v>Biznes kreditlərinin monitorinqi şöbəsi</v>
          </cell>
          <cell r="E4244" t="str">
            <v>#</v>
          </cell>
          <cell r="F4244" t="str">
            <v>Menecer</v>
          </cell>
          <cell r="G4244" t="str">
            <v>A</v>
          </cell>
          <cell r="H4244">
            <v>44095</v>
          </cell>
        </row>
        <row r="4245">
          <cell r="B4245" t="str">
            <v>Mahmudova Böyükxanim İlqar</v>
          </cell>
          <cell r="C4245" t="str">
            <v>Kredit portfelinə nəzarət departamenti</v>
          </cell>
          <cell r="D4245" t="str">
            <v>Kreditləşmə şərtlərinə nəzarət şöbəsi</v>
          </cell>
          <cell r="E4245" t="str">
            <v>#</v>
          </cell>
          <cell r="F4245" t="str">
            <v>Menecer</v>
          </cell>
          <cell r="G4245" t="str">
            <v>A</v>
          </cell>
          <cell r="H4245">
            <v>46245</v>
          </cell>
        </row>
        <row r="4246">
          <cell r="B4246" t="str">
            <v>Behbudov Vüsal Zakir</v>
          </cell>
          <cell r="C4246" t="str">
            <v>Kredit portfelinə nəzarət departamenti</v>
          </cell>
          <cell r="D4246" t="str">
            <v>Kreditləşmə şərtlərinə nəzarət şöbəsi</v>
          </cell>
          <cell r="E4246" t="str">
            <v>#</v>
          </cell>
          <cell r="F4246" t="str">
            <v>Baş mütəxəssis</v>
          </cell>
          <cell r="G4246" t="str">
            <v>A</v>
          </cell>
          <cell r="H4246">
            <v>43154</v>
          </cell>
        </row>
        <row r="4247">
          <cell r="B4247" t="str">
            <v>Hüseynov Hüseyin Nəbi</v>
          </cell>
          <cell r="C4247" t="str">
            <v>Kredit portfelinə nəzarət departamenti</v>
          </cell>
          <cell r="D4247" t="str">
            <v>Kreditləşmə şərtlərinə nəzarət şöbəsi</v>
          </cell>
          <cell r="E4247" t="str">
            <v>#</v>
          </cell>
          <cell r="F4247" t="str">
            <v>Aparıcı mütəxəssis</v>
          </cell>
          <cell r="G4247" t="str">
            <v>A</v>
          </cell>
          <cell r="H4247">
            <v>43619</v>
          </cell>
        </row>
        <row r="4248">
          <cell r="B4248" t="str">
            <v>Məmmədli Bəhruz Məkan</v>
          </cell>
          <cell r="C4248" t="str">
            <v>Kredit portfelinə nəzarət departamenti</v>
          </cell>
          <cell r="D4248" t="str">
            <v>Biznes kreditlərinin monitorinqi şöbəsi</v>
          </cell>
          <cell r="E4248" t="str">
            <v>#</v>
          </cell>
          <cell r="F4248" t="str">
            <v>Baş mütəxəssis</v>
          </cell>
          <cell r="G4248" t="str">
            <v>A</v>
          </cell>
          <cell r="H4248">
            <v>44776</v>
          </cell>
        </row>
        <row r="4249">
          <cell r="B4249" t="str">
            <v>Abdullazadə Gülər Rəhman</v>
          </cell>
          <cell r="C4249" t="str">
            <v>Kredit portfelinə nəzarət departamenti</v>
          </cell>
          <cell r="D4249" t="str">
            <v>Kreditləşmə şərtlərinə nəzarət şöbəsi</v>
          </cell>
          <cell r="E4249" t="str">
            <v>#</v>
          </cell>
          <cell r="F4249" t="str">
            <v xml:space="preserve">Aparıcı mütəxəssis </v>
          </cell>
          <cell r="G4249" t="str">
            <v>A</v>
          </cell>
          <cell r="H4249">
            <v>44698</v>
          </cell>
        </row>
        <row r="4250">
          <cell r="B4250" t="str">
            <v>Ağayev Nicat Camal</v>
          </cell>
          <cell r="C4250" t="str">
            <v>Kredit portfelinə nəzarət departamenti</v>
          </cell>
          <cell r="D4250" t="str">
            <v>Kreditləşmə şərtlərinə nəzarət şöbəsi</v>
          </cell>
          <cell r="E4250" t="str">
            <v>#</v>
          </cell>
          <cell r="F4250" t="str">
            <v>Aparıcı mütəxəssis</v>
          </cell>
          <cell r="G4250" t="str">
            <v>A</v>
          </cell>
          <cell r="H4250">
            <v>44777</v>
          </cell>
        </row>
        <row r="4251">
          <cell r="B4251" t="str">
            <v>Abdullayeva Aydan Vüqar</v>
          </cell>
          <cell r="C4251" t="str">
            <v>Kredit portfelinə nəzarət departamenti</v>
          </cell>
          <cell r="D4251" t="str">
            <v>Kreditləşmə şərtlərinə nəzarət şöbəsi</v>
          </cell>
          <cell r="E4251" t="str">
            <v>#</v>
          </cell>
          <cell r="F4251" t="str">
            <v>Kiçik mütəxəssis</v>
          </cell>
          <cell r="G4251" t="str">
            <v>A</v>
          </cell>
          <cell r="H4251">
            <v>46232</v>
          </cell>
        </row>
        <row r="4252">
          <cell r="B4252" t="str">
            <v>Muradsoy Qabil Elman</v>
          </cell>
          <cell r="C4252" t="str">
            <v>Kredit portfelinə nəzarət departamenti</v>
          </cell>
          <cell r="D4252" t="str">
            <v>Biznes kreditlərinin monitorinqi şöbəsi</v>
          </cell>
          <cell r="E4252" t="str">
            <v>#</v>
          </cell>
          <cell r="F4252" t="str">
            <v>Aparıcı mütəxəssis</v>
          </cell>
          <cell r="G4252" t="str">
            <v>A</v>
          </cell>
          <cell r="H4252">
            <v>44782</v>
          </cell>
        </row>
        <row r="4253">
          <cell r="B4253" t="str">
            <v>Orucov Eldar Ələmdar</v>
          </cell>
          <cell r="C4253" t="str">
            <v>Kredit portfelinə nəzarət departamenti</v>
          </cell>
          <cell r="D4253" t="str">
            <v>Biznes kreditlərinin monitorinqi şöbəsi</v>
          </cell>
          <cell r="E4253" t="str">
            <v>#</v>
          </cell>
          <cell r="F4253" t="str">
            <v>Aparıcı mütəxəssis (Gəncə zonası üzrə)</v>
          </cell>
          <cell r="G4253" t="str">
            <v>A</v>
          </cell>
          <cell r="H4253">
            <v>45244</v>
          </cell>
        </row>
        <row r="4254">
          <cell r="B4254" t="str">
            <v>Şixəliyev Elşən Niftəli</v>
          </cell>
          <cell r="C4254" t="str">
            <v>Kredit portfelinə nəzarət departamenti</v>
          </cell>
          <cell r="D4254" t="str">
            <v>Biznes kreditlərinin monitorinqi şöbəsi</v>
          </cell>
          <cell r="E4254" t="str">
            <v>#</v>
          </cell>
          <cell r="F4254" t="str">
            <v>Aparıcı mütəxəssis (Qusar zonası üzrə)</v>
          </cell>
          <cell r="G4254" t="str">
            <v>A</v>
          </cell>
          <cell r="H4254">
            <v>45407</v>
          </cell>
        </row>
        <row r="4255">
          <cell r="B4255" t="str">
            <v>Abdullayev Xanoğlan Nariman</v>
          </cell>
          <cell r="C4255" t="str">
            <v>Kredit portfelinə nəzarət departamenti</v>
          </cell>
          <cell r="D4255" t="str">
            <v>Biznes kreditlərinin monitorinqi şöbəsi</v>
          </cell>
          <cell r="E4255" t="str">
            <v>#</v>
          </cell>
          <cell r="F4255" t="str">
            <v>Aparıcı mütəxəssis (Şəki zonası üzrə)</v>
          </cell>
          <cell r="G4255" t="str">
            <v>A</v>
          </cell>
          <cell r="H4255">
            <v>45245</v>
          </cell>
        </row>
        <row r="4256">
          <cell r="B4256" t="str">
            <v>Fərzalıyev Rauf Hafiz</v>
          </cell>
          <cell r="C4256" t="str">
            <v>Kredit portfelinə nəzarət departamenti</v>
          </cell>
          <cell r="D4256" t="str">
            <v>Kreditləşmə şərtlərinə nəzarət şöbəsi</v>
          </cell>
          <cell r="E4256" t="str">
            <v>#</v>
          </cell>
          <cell r="F4256" t="str">
            <v>Aparıcı mütəxəssis</v>
          </cell>
          <cell r="G4256" t="str">
            <v>A</v>
          </cell>
          <cell r="H4256">
            <v>44943</v>
          </cell>
        </row>
        <row r="4257">
          <cell r="B4257" t="str">
            <v>İmanova Ağgül Xankişi</v>
          </cell>
          <cell r="C4257" t="str">
            <v>Kredit portfelinə nəzarət departamenti</v>
          </cell>
          <cell r="D4257" t="str">
            <v>Kreditləşmə şərtlərinə nəzarət şöbəsi</v>
          </cell>
          <cell r="E4257" t="str">
            <v>#</v>
          </cell>
          <cell r="F4257" t="str">
            <v>Mütəxəssis</v>
          </cell>
          <cell r="G4257" t="str">
            <v>A</v>
          </cell>
          <cell r="H4257">
            <v>45119</v>
          </cell>
        </row>
        <row r="4258">
          <cell r="B4258" t="str">
            <v>Qurbanova Ruhəngiz Ədalət</v>
          </cell>
          <cell r="C4258" t="str">
            <v>Kredit portfelinə nəzarət departamenti</v>
          </cell>
          <cell r="D4258" t="str">
            <v>Biznes kreditlərinin monitorinqi şöbəsi</v>
          </cell>
          <cell r="E4258" t="str">
            <v>#</v>
          </cell>
          <cell r="F4258" t="str">
            <v>Mütəxəssis</v>
          </cell>
          <cell r="G4258" t="str">
            <v>A</v>
          </cell>
          <cell r="H4258">
            <v>45439</v>
          </cell>
        </row>
        <row r="4259">
          <cell r="B4259" t="str">
            <v>Umudalıyeva Gülnur Şöhrəddin</v>
          </cell>
          <cell r="C4259" t="str">
            <v>Kredit portfelinə nəzarət departamenti</v>
          </cell>
          <cell r="D4259" t="str">
            <v>Biznes kreditlərinin monitorinqi şöbəsi</v>
          </cell>
          <cell r="E4259" t="str">
            <v>#</v>
          </cell>
          <cell r="F4259" t="str">
            <v>Mütəxəssis</v>
          </cell>
          <cell r="G4259" t="str">
            <v>A</v>
          </cell>
          <cell r="H4259">
            <v>44775</v>
          </cell>
        </row>
        <row r="4260">
          <cell r="B4260" t="str">
            <v>Nadirli Fərhad Şəfayət</v>
          </cell>
          <cell r="C4260" t="str">
            <v>Model risklərinin idarəedilməsi ekspert mərkəzi</v>
          </cell>
          <cell r="D4260" t="str">
            <v>#</v>
          </cell>
          <cell r="E4260" t="str">
            <v>#</v>
          </cell>
          <cell r="F4260" t="str">
            <v>Ekspert mərkəzinin lideri</v>
          </cell>
          <cell r="G4260" t="str">
            <v>A</v>
          </cell>
          <cell r="H4260">
            <v>45275</v>
          </cell>
        </row>
        <row r="4261">
          <cell r="B4261" t="str">
            <v>Çıraqov Elşən Nəriman</v>
          </cell>
          <cell r="C4261" t="str">
            <v>Model risklərinin idarəedilməsi ekspert mərkəzi</v>
          </cell>
          <cell r="D4261" t="str">
            <v>Modellərin validasiyası chapter</v>
          </cell>
          <cell r="E4261" t="str">
            <v>#</v>
          </cell>
          <cell r="F4261" t="str">
            <v>Ekspert funksional lider</v>
          </cell>
          <cell r="G4261" t="str">
            <v>A</v>
          </cell>
          <cell r="H4261">
            <v>41871</v>
          </cell>
        </row>
        <row r="4262">
          <cell r="B4262" t="str">
            <v>İsayev Vüsal İlham</v>
          </cell>
          <cell r="C4262" t="str">
            <v>Model risklərinin idarəedilməsi ekspert mərkəzi</v>
          </cell>
          <cell r="D4262" t="str">
            <v>Modellərin validasiyası chapter</v>
          </cell>
          <cell r="E4262" t="str">
            <v>#</v>
          </cell>
          <cell r="F4262" t="str">
            <v>Funksional lider</v>
          </cell>
          <cell r="G4262" t="str">
            <v>A</v>
          </cell>
          <cell r="H4262">
            <v>44095</v>
          </cell>
        </row>
        <row r="4263">
          <cell r="B4263" t="str">
            <v>Bəhramova İlhamə İlham</v>
          </cell>
          <cell r="C4263" t="str">
            <v>Model risklərinin idarəedilməsi ekspert mərkəzi</v>
          </cell>
          <cell r="D4263" t="str">
            <v>MRM chapter</v>
          </cell>
          <cell r="E4263" t="str">
            <v>#</v>
          </cell>
          <cell r="F4263" t="str">
            <v>Modellərin validasiyası üzrə aparıcı mütəxəssis</v>
          </cell>
          <cell r="G4263" t="str">
            <v>A</v>
          </cell>
          <cell r="H4263">
            <v>45664</v>
          </cell>
        </row>
        <row r="4264">
          <cell r="B4264" t="str">
            <v>Mustafayev Zeynal Kənan</v>
          </cell>
          <cell r="C4264" t="str">
            <v>Model risklərinin idarəedilməsi ekspert mərkəzi</v>
          </cell>
          <cell r="D4264" t="str">
            <v>MRM chapter</v>
          </cell>
          <cell r="E4264" t="str">
            <v>#</v>
          </cell>
          <cell r="F4264" t="str">
            <v>MRM üzrə mütəxəssis</v>
          </cell>
          <cell r="G4264" t="str">
            <v>A</v>
          </cell>
          <cell r="H4264">
            <v>45818</v>
          </cell>
        </row>
        <row r="4265">
          <cell r="B4265" t="str">
            <v>Asəfova Maya Fuad</v>
          </cell>
          <cell r="C4265" t="str">
            <v>Model risklərinin idarəedilməsi ekspert mərkəzi</v>
          </cell>
          <cell r="D4265" t="str">
            <v>MRM chapter</v>
          </cell>
          <cell r="E4265" t="str">
            <v>#</v>
          </cell>
          <cell r="F4265" t="str">
            <v>MRM üzrə mütəxəssis</v>
          </cell>
          <cell r="G4265" t="str">
            <v>A</v>
          </cell>
          <cell r="H4265">
            <v>45882</v>
          </cell>
        </row>
        <row r="4266">
          <cell r="B4266" t="str">
            <v>Mahmudov Teymur Əkbər</v>
          </cell>
          <cell r="C4266" t="str">
            <v>Model risklərinin idarəedilməsi ekspert mərkəzi</v>
          </cell>
          <cell r="D4266" t="str">
            <v>Modellərin validasiyası chapter</v>
          </cell>
          <cell r="E4266" t="str">
            <v>#</v>
          </cell>
          <cell r="F4266" t="str">
            <v>Modellərin validasiyası üzrə aparıcı mütəxəssis</v>
          </cell>
          <cell r="G4266" t="str">
            <v>A</v>
          </cell>
          <cell r="H4266">
            <v>45887</v>
          </cell>
        </row>
        <row r="4267">
          <cell r="B4267" t="str">
            <v>Quliyev Oruc Sarvan</v>
          </cell>
          <cell r="C4267" t="str">
            <v>Model risklərinin idarəedilməsi ekspert mərkəzi</v>
          </cell>
          <cell r="D4267" t="str">
            <v>Modellərin validasiyası chapter</v>
          </cell>
          <cell r="E4267" t="str">
            <v>#</v>
          </cell>
          <cell r="F4267" t="str">
            <v>Modellərin validasiyası üzrə aparıcı mütəxəssis</v>
          </cell>
          <cell r="G4267" t="str">
            <v>A</v>
          </cell>
          <cell r="H4267">
            <v>45358</v>
          </cell>
        </row>
        <row r="4268">
          <cell r="B4268" t="str">
            <v>Məmmədova Nərmin Vəli</v>
          </cell>
          <cell r="C4268" t="str">
            <v>Model risklərinin idarəedilməsi ekspert mərkəzi</v>
          </cell>
          <cell r="D4268" t="str">
            <v>Modellərin validasiyası chapter</v>
          </cell>
          <cell r="E4268" t="str">
            <v>#</v>
          </cell>
          <cell r="F4268" t="str">
            <v>Modellərin validasiyası üzrə mütəxəssis</v>
          </cell>
          <cell r="G4268" t="str">
            <v>A</v>
          </cell>
          <cell r="H4268">
            <v>45821</v>
          </cell>
        </row>
        <row r="4269">
          <cell r="B4269" t="str">
            <v>Quliyeva Fidan İlqar</v>
          </cell>
          <cell r="C4269" t="str">
            <v>Model risklərinin idarəedilməsi ekspert mərkəzi</v>
          </cell>
          <cell r="D4269" t="str">
            <v>Modellərin validasiyası chapter</v>
          </cell>
          <cell r="E4269" t="str">
            <v>#</v>
          </cell>
          <cell r="F4269" t="str">
            <v>Modellərin validasiyası üzrə mütəxəssis</v>
          </cell>
          <cell r="G4269" t="str">
            <v>A</v>
          </cell>
          <cell r="H4269">
            <v>45861</v>
          </cell>
        </row>
        <row r="4270">
          <cell r="B4270" t="str">
            <v>Qasımzadə Kənan Nemət</v>
          </cell>
          <cell r="C4270" t="str">
            <v>Model risklərinin idarəedilməsi ekspert mərkəzi</v>
          </cell>
          <cell r="D4270" t="str">
            <v>Modellərin validasiyası chapter</v>
          </cell>
          <cell r="E4270" t="str">
            <v>#</v>
          </cell>
          <cell r="F4270" t="str">
            <v>Modellərin validasiyası üzrə kiçik mütəxəssis</v>
          </cell>
          <cell r="G4270" t="str">
            <v>A</v>
          </cell>
          <cell r="H4270">
            <v>46195</v>
          </cell>
        </row>
        <row r="4271">
          <cell r="B4271" t="str">
            <v>Aslanova Ələsgərli Nigar Allahverdi</v>
          </cell>
          <cell r="C4271" t="str">
            <v>Təşkilati və qeyri-maliyyə risklərinin idarə edilməsi departamenti</v>
          </cell>
          <cell r="D4271" t="str">
            <v>#</v>
          </cell>
          <cell r="E4271" t="str">
            <v>#</v>
          </cell>
          <cell r="F4271" t="str">
            <v>Direktor</v>
          </cell>
          <cell r="G4271" t="str">
            <v>A</v>
          </cell>
          <cell r="H4271">
            <v>43937</v>
          </cell>
        </row>
        <row r="4272">
          <cell r="B4272" t="str">
            <v>Ələkbərov Emil Ehtibar</v>
          </cell>
          <cell r="C4272" t="str">
            <v>Təşkilati və qeyri-maliyyə risklərinin idarə edilməsi departamenti</v>
          </cell>
          <cell r="D4272" t="str">
            <v>#</v>
          </cell>
          <cell r="E4272" t="str">
            <v>#</v>
          </cell>
          <cell r="F4272" t="str">
            <v>Direktor müavini</v>
          </cell>
          <cell r="G4272" t="str">
            <v>A</v>
          </cell>
          <cell r="H4272">
            <v>45992</v>
          </cell>
        </row>
        <row r="4273">
          <cell r="B4273" t="str">
            <v>Sultanlı Ülfət Bəşir</v>
          </cell>
          <cell r="C4273" t="str">
            <v>Təşkilati və qeyri-maliyyə risklərinin idarə edilməsi departamenti</v>
          </cell>
          <cell r="D4273" t="str">
            <v>ERM şöbəsi</v>
          </cell>
          <cell r="E4273" t="str">
            <v>#</v>
          </cell>
          <cell r="F4273" t="str">
            <v>Şöbə müdiri</v>
          </cell>
          <cell r="G4273" t="str">
            <v>A</v>
          </cell>
          <cell r="H4273">
            <v>44109</v>
          </cell>
        </row>
        <row r="4274">
          <cell r="B4274" t="str">
            <v>Seyidova Zülfiyyə Sahib</v>
          </cell>
          <cell r="C4274" t="str">
            <v>Təşkilati və qeyri-maliyyə risklərinin idarə edilməsi departamenti</v>
          </cell>
          <cell r="D4274" t="str">
            <v>ERM şöbəsi</v>
          </cell>
          <cell r="E4274" t="str">
            <v>#</v>
          </cell>
          <cell r="F4274" t="str">
            <v>Menecer</v>
          </cell>
          <cell r="G4274" t="str">
            <v>A</v>
          </cell>
          <cell r="H4274">
            <v>42012</v>
          </cell>
        </row>
        <row r="4275">
          <cell r="B4275" t="str">
            <v>Əsgərov Mübariz Elmar</v>
          </cell>
          <cell r="C4275" t="str">
            <v>Təşkilati və qeyri-maliyyə risklərinin idarə edilməsi departamenti</v>
          </cell>
          <cell r="D4275" t="str">
            <v>ERM şöbəsi</v>
          </cell>
          <cell r="E4275" t="str">
            <v>#</v>
          </cell>
          <cell r="F4275" t="str">
            <v>Menecer</v>
          </cell>
          <cell r="G4275" t="str">
            <v>A</v>
          </cell>
          <cell r="H4275">
            <v>46276</v>
          </cell>
        </row>
        <row r="4276">
          <cell r="B4276" t="str">
            <v>Həsənov Tamerlan Emil</v>
          </cell>
          <cell r="C4276" t="str">
            <v>Təşkilati və qeyri-maliyyə risklərinin idarə edilməsi departamenti</v>
          </cell>
          <cell r="D4276" t="str">
            <v>ERM şöbəsi</v>
          </cell>
          <cell r="E4276" t="str">
            <v>#</v>
          </cell>
          <cell r="F4276" t="str">
            <v>Baş mütəxəssis</v>
          </cell>
          <cell r="G4276" t="str">
            <v>A</v>
          </cell>
          <cell r="H4276">
            <v>44952</v>
          </cell>
        </row>
        <row r="4277">
          <cell r="B4277" t="str">
            <v>SAHMUROVA SAMIRA</v>
          </cell>
          <cell r="C4277" t="str">
            <v>Təşkilati və qeyri-maliyyə risklərinin idarə edilməsi departamenti</v>
          </cell>
          <cell r="D4277" t="str">
            <v>ERM şöbəsi</v>
          </cell>
          <cell r="E4277" t="str">
            <v>#</v>
          </cell>
          <cell r="F4277" t="str">
            <v>Baş mütəxəssis</v>
          </cell>
          <cell r="G4277" t="str">
            <v>A</v>
          </cell>
          <cell r="H4277">
            <v>45205</v>
          </cell>
        </row>
        <row r="4278">
          <cell r="B4278" t="str">
            <v>Kərimova Xanım Əhməd</v>
          </cell>
          <cell r="C4278" t="str">
            <v>Təşkilati və qeyri-maliyyə risklərinin idarə edilməsi departamenti</v>
          </cell>
          <cell r="D4278" t="str">
            <v>ERM şöbəsi</v>
          </cell>
          <cell r="E4278" t="str">
            <v>#</v>
          </cell>
          <cell r="F4278" t="str">
            <v>Baş mütəxəssis</v>
          </cell>
          <cell r="G4278" t="str">
            <v>HX</v>
          </cell>
          <cell r="H4278">
            <v>45327</v>
          </cell>
        </row>
        <row r="4279">
          <cell r="B4279" t="str">
            <v xml:space="preserve">	Abbasbəyli İbrahim Emin</v>
          </cell>
          <cell r="C4279" t="str">
            <v>Təşkilati və qeyri-maliyyə risklərinin idarə edilməsi departamenti</v>
          </cell>
          <cell r="D4279" t="str">
            <v>ERM şöbəsi</v>
          </cell>
          <cell r="E4279" t="str">
            <v>#</v>
          </cell>
          <cell r="F4279" t="str">
            <v>Mütəxəssis</v>
          </cell>
          <cell r="G4279" t="str">
            <v>A</v>
          </cell>
          <cell r="H4279">
            <v>46132</v>
          </cell>
        </row>
        <row r="4280">
          <cell r="B4280" t="str">
            <v>Qurbanov Orxan Sahiboviç</v>
          </cell>
          <cell r="C4280" t="str">
            <v>Təşkilati və qeyri-maliyyə risklərinin idarə edilməsi departamenti</v>
          </cell>
          <cell r="D4280" t="str">
            <v>ERM şöbəsi</v>
          </cell>
          <cell r="E4280" t="str">
            <v>#</v>
          </cell>
          <cell r="F4280" t="str">
            <v>Mütəxəssis</v>
          </cell>
          <cell r="G4280" t="str">
            <v>A</v>
          </cell>
          <cell r="H4280">
            <v>46092</v>
          </cell>
          <cell r="I4280" t="str">
            <v>Bir Payment</v>
          </cell>
        </row>
        <row r="4281">
          <cell r="B4281" t="str">
            <v>Ağazadə Ləman Kamil</v>
          </cell>
          <cell r="C4281" t="str">
            <v>Təşkilati və qeyri-maliyyə risklərinin idarə edilməsi departamenti</v>
          </cell>
          <cell r="D4281" t="str">
            <v>ERM şöbəsi</v>
          </cell>
          <cell r="E4281" t="str">
            <v>#</v>
          </cell>
          <cell r="F4281" t="str">
            <v>Mütəxəssis</v>
          </cell>
          <cell r="G4281" t="str">
            <v>A</v>
          </cell>
          <cell r="H4281">
            <v>45629</v>
          </cell>
        </row>
        <row r="4282">
          <cell r="B4282" t="str">
            <v>Eyvazova Mədinə Namiq</v>
          </cell>
          <cell r="C4282" t="str">
            <v>Təşkilati və qeyri-maliyyə risklərinin idarə edilməsi departamenti</v>
          </cell>
          <cell r="D4282" t="str">
            <v>ERM şöbəsi</v>
          </cell>
          <cell r="E4282" t="str">
            <v>Data risklərinin idarə edilməsi bölməsi</v>
          </cell>
          <cell r="F4282" t="str">
            <v>Kiçik mütəxəssis</v>
          </cell>
          <cell r="G4282" t="str">
            <v>A</v>
          </cell>
          <cell r="H4282">
            <v>46164</v>
          </cell>
        </row>
        <row r="4283">
          <cell r="B4283" t="str">
            <v>Meyraliyeva Cəmilə Aydın</v>
          </cell>
          <cell r="C4283" t="str">
            <v>Təşkilati və qeyri-maliyyə risklərinin idarə edilməsi departamenti</v>
          </cell>
          <cell r="D4283" t="str">
            <v>Risk hadisələrinin idarə edilməsi şöbəsi</v>
          </cell>
          <cell r="E4283" t="str">
            <v>#</v>
          </cell>
          <cell r="F4283" t="str">
            <v>Menecer</v>
          </cell>
          <cell r="G4283" t="str">
            <v>HX</v>
          </cell>
          <cell r="H4283">
            <v>42023</v>
          </cell>
        </row>
        <row r="4284">
          <cell r="B4284" t="str">
            <v>Əmiraslanlı Jalə Kamran</v>
          </cell>
          <cell r="C4284" t="str">
            <v>Təşkilati və qeyri-maliyyə risklərinin idarə edilməsi departamenti</v>
          </cell>
          <cell r="D4284" t="str">
            <v>Risk hadisələrinin idarə edilməsi şöbəsi</v>
          </cell>
          <cell r="E4284" t="str">
            <v>#</v>
          </cell>
          <cell r="F4284" t="str">
            <v>Aparıcı mütəxəssis</v>
          </cell>
          <cell r="G4284" t="str">
            <v>A</v>
          </cell>
          <cell r="H4284">
            <v>45149</v>
          </cell>
        </row>
        <row r="4285">
          <cell r="B4285" t="str">
            <v>Teymurova Lalə İlqar</v>
          </cell>
          <cell r="C4285" t="str">
            <v>Təşkilati və qeyri-maliyyə risklərinin idarə edilməsi departamenti</v>
          </cell>
          <cell r="D4285" t="str">
            <v>Risk hadisələrinin idarə edilməsi şöbəsi</v>
          </cell>
          <cell r="E4285" t="str">
            <v>#</v>
          </cell>
          <cell r="F4285" t="str">
            <v>Aparıcı mütəxəssis</v>
          </cell>
          <cell r="G4285" t="str">
            <v>A</v>
          </cell>
          <cell r="H4285">
            <v>44378</v>
          </cell>
        </row>
        <row r="4286">
          <cell r="B4286" t="str">
            <v>Abdullayev Elvin Nəsib</v>
          </cell>
          <cell r="C4286" t="str">
            <v>Təşkilati və qeyri-maliyyə risklərinin idarə edilməsi departamenti</v>
          </cell>
          <cell r="D4286" t="str">
            <v>Risk hadisələrinin idarə edilməsi şöbəsi</v>
          </cell>
          <cell r="E4286" t="str">
            <v>#</v>
          </cell>
          <cell r="F4286" t="str">
            <v>Mütəxəssis</v>
          </cell>
          <cell r="G4286" t="str">
            <v>A</v>
          </cell>
          <cell r="H4286">
            <v>46259</v>
          </cell>
        </row>
        <row r="4287">
          <cell r="B4287" t="str">
            <v>Rəhimov Adil Müşfiq</v>
          </cell>
          <cell r="C4287" t="str">
            <v>Təşkilati və qeyri-maliyyə risklərinin idarə edilməsi departamenti</v>
          </cell>
          <cell r="D4287" t="str">
            <v>Risk hadisələrinin idarə edilməsi şöbəsi</v>
          </cell>
          <cell r="E4287" t="str">
            <v>#</v>
          </cell>
          <cell r="F4287" t="str">
            <v>Kiçik mütəxəssis</v>
          </cell>
          <cell r="G4287" t="str">
            <v>A</v>
          </cell>
          <cell r="H4287">
            <v>46259</v>
          </cell>
        </row>
        <row r="4288">
          <cell r="B4288" t="str">
            <v>Soltanov Tural Telman</v>
          </cell>
          <cell r="C4288" t="str">
            <v>Təşkilati və qeyri-maliyyə risklərinin idarə edilməsi departamenti</v>
          </cell>
          <cell r="D4288" t="str">
            <v>FinTech biznesinin əməliyyat risklərinin idarə edilməsi şöbəsi</v>
          </cell>
          <cell r="E4288" t="str">
            <v>#</v>
          </cell>
          <cell r="F4288" t="str">
            <v>Şöbə müdiri</v>
          </cell>
          <cell r="G4288" t="str">
            <v>A</v>
          </cell>
          <cell r="H4288">
            <v>44775</v>
          </cell>
        </row>
        <row r="4289">
          <cell r="B4289" t="str">
            <v>Axundov Araz Azər</v>
          </cell>
          <cell r="C4289" t="str">
            <v>Təşkilati və qeyri-maliyyə risklərinin idarə edilməsi departamenti</v>
          </cell>
          <cell r="D4289" t="str">
            <v>FinTech biznesinin əməliyyat risklərinin idarə edilməsi şöbəsi</v>
          </cell>
          <cell r="E4289" t="str">
            <v>#</v>
          </cell>
          <cell r="F4289" t="str">
            <v>Menecer</v>
          </cell>
          <cell r="G4289" t="str">
            <v>A</v>
          </cell>
          <cell r="H4289">
            <v>42342</v>
          </cell>
        </row>
        <row r="4290">
          <cell r="B4290" t="str">
            <v>Umudov Zülfi İlqar</v>
          </cell>
          <cell r="C4290" t="str">
            <v>Təşkilati və qeyri-maliyyə risklərinin idarə edilməsi departamenti</v>
          </cell>
          <cell r="D4290" t="str">
            <v>FinTech biznesinin əməliyyat risklərinin idarə edilməsi şöbəsi</v>
          </cell>
          <cell r="E4290" t="str">
            <v>#</v>
          </cell>
          <cell r="F4290" t="str">
            <v>Baş mütəxəssis</v>
          </cell>
          <cell r="G4290" t="str">
            <v>A</v>
          </cell>
          <cell r="H4290">
            <v>45831</v>
          </cell>
        </row>
        <row r="4291">
          <cell r="B4291" t="str">
            <v>Əlizadə Elxan Kamal</v>
          </cell>
          <cell r="C4291" t="str">
            <v>Təşkilati və qeyri-maliyyə risklərinin idarə edilməsi departamenti</v>
          </cell>
          <cell r="D4291" t="str">
            <v>FinTech biznesinin əməliyyat risklərinin idarə edilməsi şöbəsi</v>
          </cell>
          <cell r="E4291" t="str">
            <v>#</v>
          </cell>
          <cell r="F4291" t="str">
            <v>Baş mütəxəssis</v>
          </cell>
          <cell r="G4291" t="str">
            <v>A</v>
          </cell>
          <cell r="H4291">
            <v>46043</v>
          </cell>
        </row>
        <row r="4292">
          <cell r="B4292" t="str">
            <v>Məmmədli Ceyhun Xalid</v>
          </cell>
          <cell r="C4292" t="str">
            <v>Təşkilati və qeyri-maliyyə risklərinin idarə edilməsi departamenti</v>
          </cell>
          <cell r="D4292" t="str">
            <v>FinTech biznesinin əməliyyat risklərinin idarə edilməsi şöbəsi</v>
          </cell>
          <cell r="E4292" t="str">
            <v>#</v>
          </cell>
          <cell r="F4292" t="str">
            <v>Baş mütəxəssis</v>
          </cell>
          <cell r="G4292" t="str">
            <v>A</v>
          </cell>
          <cell r="H4292">
            <v>44536</v>
          </cell>
        </row>
        <row r="4293">
          <cell r="B4293" t="str">
            <v>Qədirov Anar Məhəmməd</v>
          </cell>
          <cell r="C4293" t="str">
            <v>Təşkilati və qeyri-maliyyə risklərinin idarə edilməsi departamenti</v>
          </cell>
          <cell r="D4293" t="str">
            <v>Ödəniş biznesinin əməliyyat risklərinin idarə edilməsi şöbəsi</v>
          </cell>
          <cell r="E4293" t="str">
            <v>#</v>
          </cell>
          <cell r="F4293" t="str">
            <v>Aparıcı mütəxəssis</v>
          </cell>
          <cell r="G4293" t="str">
            <v>A</v>
          </cell>
          <cell r="H4293">
            <v>45863</v>
          </cell>
        </row>
        <row r="4294">
          <cell r="B4294" t="str">
            <v>Məmmədzadə Aydın Sabir</v>
          </cell>
          <cell r="C4294" t="str">
            <v>Təşkilati və qeyri-maliyyə risklərinin idarə edilməsi departamenti</v>
          </cell>
          <cell r="D4294" t="str">
            <v>Ödəniş biznesinin əməliyyat risklərinin idarə edilməsi şöbəsi</v>
          </cell>
          <cell r="E4294" t="str">
            <v>#</v>
          </cell>
          <cell r="F4294" t="str">
            <v>Baş mütəxəssis</v>
          </cell>
          <cell r="G4294" t="str">
            <v>A</v>
          </cell>
          <cell r="H4294">
            <v>46129</v>
          </cell>
        </row>
        <row r="4295">
          <cell r="B4295" t="str">
            <v>Xəlilova Zülfiyyə Azad</v>
          </cell>
          <cell r="C4295" t="str">
            <v>Təşkilati və qeyri-maliyyə risklərinin idarə edilməsi departamenti</v>
          </cell>
          <cell r="D4295" t="str">
            <v>Ödəniş biznesinin əməliyyat risklərinin idarə edilməsi şöbəsi</v>
          </cell>
          <cell r="E4295" t="str">
            <v>#</v>
          </cell>
          <cell r="F4295" t="str">
            <v>Baş mütəxəssis</v>
          </cell>
          <cell r="G4295" t="str">
            <v>A</v>
          </cell>
          <cell r="H4295">
            <v>45537</v>
          </cell>
        </row>
        <row r="4296">
          <cell r="B4296" t="str">
            <v>İldrımlı Orxan İlqar</v>
          </cell>
          <cell r="C4296" t="str">
            <v>Təşkilati və qeyri-maliyyə risklərinin idarə edilməsi departamenti</v>
          </cell>
          <cell r="D4296" t="str">
            <v>Ödəniş biznesinin əməliyyat risklərinin idarə edilməsi şöbəsi</v>
          </cell>
          <cell r="E4296" t="str">
            <v>#</v>
          </cell>
          <cell r="F4296" t="str">
            <v>Baş mütəxəssis</v>
          </cell>
          <cell r="G4296" t="str">
            <v>A</v>
          </cell>
          <cell r="H4296">
            <v>42881</v>
          </cell>
        </row>
        <row r="4297">
          <cell r="B4297" t="str">
            <v>Səttarov Əli Variz</v>
          </cell>
          <cell r="C4297" t="str">
            <v>Təşkilati və qeyri-maliyyə risklərinin idarə edilməsi departamenti</v>
          </cell>
          <cell r="D4297" t="str">
            <v>Ödəniş biznesinin əməliyyat risklərinin idarə edilməsi şöbəsi</v>
          </cell>
          <cell r="E4297" t="str">
            <v>#</v>
          </cell>
          <cell r="F4297" t="str">
            <v>Mütəxəssis</v>
          </cell>
          <cell r="G4297" t="str">
            <v>A</v>
          </cell>
          <cell r="H4297">
            <v>45399</v>
          </cell>
        </row>
        <row r="4298">
          <cell r="B4298" t="str">
            <v>Bayramova Tahirə Yaşar</v>
          </cell>
          <cell r="C4298" t="str">
            <v>Təşkilati və qeyri-maliyyə risklərinin idarə edilməsi departamenti</v>
          </cell>
          <cell r="D4298" t="str">
            <v>Ödəniş biznesinin əməliyyat risklərinin idarə edilməsi şöbəsi</v>
          </cell>
          <cell r="E4298" t="str">
            <v>#</v>
          </cell>
          <cell r="F4298" t="str">
            <v>Mütəxəssis</v>
          </cell>
          <cell r="G4298" t="str">
            <v>A</v>
          </cell>
          <cell r="H4298">
            <v>42150</v>
          </cell>
        </row>
        <row r="4299">
          <cell r="B4299" t="str">
            <v>Ağayeva Elza Malik</v>
          </cell>
          <cell r="C4299" t="str">
            <v>Təşkilati və qeyri-maliyyə risklərinin idarə edilməsi departamenti</v>
          </cell>
          <cell r="D4299" t="str">
            <v>FinTech biznesinin əməliyyat risklərinin idarə edilməsi şöbəsi</v>
          </cell>
          <cell r="E4299" t="str">
            <v>#</v>
          </cell>
          <cell r="F4299" t="str">
            <v>Aparıcı mütəxəssis</v>
          </cell>
          <cell r="G4299" t="str">
            <v>A</v>
          </cell>
          <cell r="H4299">
            <v>42510</v>
          </cell>
        </row>
        <row r="4300">
          <cell r="B4300" t="str">
            <v>Cəlilli Şahin Adil</v>
          </cell>
          <cell r="C4300" t="str">
            <v>Təşkilati və qeyri-maliyyə risklərinin idarə edilməsi departamenti</v>
          </cell>
          <cell r="D4300" t="str">
            <v>FinTech biznesinin əməliyyat risklərinin idarə edilməsi şöbəsi</v>
          </cell>
          <cell r="E4300" t="str">
            <v>#</v>
          </cell>
          <cell r="F4300" t="str">
            <v>Mütəxəssis</v>
          </cell>
          <cell r="G4300" t="str">
            <v>A</v>
          </cell>
          <cell r="H4300">
            <v>43655</v>
          </cell>
        </row>
        <row r="4301">
          <cell r="B4301" t="str">
            <v>İmanova Günay Natiqovna</v>
          </cell>
          <cell r="C4301" t="str">
            <v>Təşkilati və qeyri-maliyyə risklərinin idarə edilməsi departamenti</v>
          </cell>
          <cell r="D4301" t="str">
            <v>Ödəniş biznesinin əməliyyat risklərinin idarə edilməsi şöbəsi</v>
          </cell>
          <cell r="E4301" t="str">
            <v>#</v>
          </cell>
          <cell r="F4301" t="str">
            <v>Mütəxəssis</v>
          </cell>
          <cell r="G4301" t="str">
            <v>A</v>
          </cell>
          <cell r="H4301">
            <v>45754</v>
          </cell>
        </row>
        <row r="4302">
          <cell r="B4302" t="str">
            <v>Raxmanov Aleksandr Nikolayeviç</v>
          </cell>
          <cell r="C4302" t="str">
            <v>Prosessinq sahəsi</v>
          </cell>
          <cell r="D4302" t="str">
            <v>#</v>
          </cell>
          <cell r="E4302" t="str">
            <v>#</v>
          </cell>
          <cell r="F4302" t="str">
            <v>Sahə lideri</v>
          </cell>
          <cell r="G4302" t="str">
            <v>A</v>
          </cell>
          <cell r="H4302">
            <v>39392</v>
          </cell>
        </row>
        <row r="4303">
          <cell r="B4303" t="str">
            <v>Məsimov Rauf Sərdar</v>
          </cell>
          <cell r="C4303" t="str">
            <v>Prosessinq sahəsi</v>
          </cell>
          <cell r="D4303" t="str">
            <v>VAT Refund</v>
          </cell>
          <cell r="E4303" t="str">
            <v>#</v>
          </cell>
          <cell r="F4303" t="str">
            <v>Məhsul sahibi</v>
          </cell>
          <cell r="G4303" t="str">
            <v>A</v>
          </cell>
          <cell r="H4303">
            <v>45282</v>
          </cell>
        </row>
        <row r="4304">
          <cell r="B4304" t="str">
            <v>Məmmədov Orxan Vəli</v>
          </cell>
          <cell r="C4304" t="str">
            <v>Ekvayrinq texnologiyaları sahəsi</v>
          </cell>
          <cell r="D4304" t="str">
            <v>Acquiring technology and chekout platform</v>
          </cell>
          <cell r="E4304" t="str">
            <v>#</v>
          </cell>
          <cell r="F4304" t="str">
            <v>Ekspert məhsul sahibi</v>
          </cell>
          <cell r="G4304" t="str">
            <v>A</v>
          </cell>
          <cell r="H4304">
            <v>44586</v>
          </cell>
        </row>
        <row r="4305">
          <cell r="B4305" t="str">
            <v>Abdulov Namid Natiq</v>
          </cell>
          <cell r="C4305" t="str">
            <v>Ekvayrinq texnologiyaları sahəsi</v>
          </cell>
          <cell r="D4305" t="str">
            <v>#</v>
          </cell>
          <cell r="E4305" t="str">
            <v>#</v>
          </cell>
          <cell r="F4305" t="str">
            <v>Sahə lideri</v>
          </cell>
          <cell r="G4305" t="str">
            <v>A</v>
          </cell>
          <cell r="H4305">
            <v>46070</v>
          </cell>
        </row>
        <row r="4306">
          <cell r="B4306" t="str">
            <v>Əliyeva Leyla Firidun</v>
          </cell>
          <cell r="C4306" t="str">
            <v>Ekvayrinq texnologiyaları sahəsi</v>
          </cell>
          <cell r="D4306" t="str">
            <v>#</v>
          </cell>
          <cell r="E4306" t="str">
            <v>#</v>
          </cell>
          <cell r="F4306" t="str">
            <v>Məhsul sahibi</v>
          </cell>
          <cell r="G4306" t="str">
            <v>A</v>
          </cell>
          <cell r="H4306">
            <v>45846</v>
          </cell>
        </row>
        <row r="4307">
          <cell r="B4307" t="str">
            <v>Əsədova Könül Cəfər</v>
          </cell>
          <cell r="C4307" t="str">
            <v>Ekvayrinq texnologiyaları sahəsi</v>
          </cell>
          <cell r="D4307" t="str">
            <v>#</v>
          </cell>
          <cell r="E4307" t="str">
            <v>#</v>
          </cell>
          <cell r="F4307" t="str">
            <v>Məhsul sahibi</v>
          </cell>
          <cell r="G4307" t="str">
            <v>A</v>
          </cell>
          <cell r="H4307">
            <v>46223</v>
          </cell>
        </row>
        <row r="4308">
          <cell r="B4308" t="str">
            <v>Vəkilov İsmət Ülfət</v>
          </cell>
          <cell r="C4308" t="str">
            <v>Birbank biznes sahəsi</v>
          </cell>
          <cell r="D4308" t="str">
            <v>B2B &amp; Digital Experience</v>
          </cell>
          <cell r="E4308" t="str">
            <v>#</v>
          </cell>
          <cell r="F4308" t="str">
            <v>Məhsul sahibi</v>
          </cell>
          <cell r="G4308" t="str">
            <v>A</v>
          </cell>
          <cell r="H4308">
            <v>43231</v>
          </cell>
        </row>
        <row r="4309">
          <cell r="B4309" t="str">
            <v>Qasımzadə Sərxan Sevlan</v>
          </cell>
          <cell r="C4309" t="str">
            <v>Birbank biznes sahəsi</v>
          </cell>
          <cell r="D4309" t="str">
            <v>Lending and leasing</v>
          </cell>
          <cell r="E4309" t="str">
            <v>#</v>
          </cell>
          <cell r="F4309" t="str">
            <v>Məhsul sahibi</v>
          </cell>
          <cell r="G4309" t="str">
            <v>A</v>
          </cell>
          <cell r="H4309">
            <v>42619</v>
          </cell>
        </row>
        <row r="4310">
          <cell r="B4310" t="str">
            <v>Səbziyev Rüfət Süleyman</v>
          </cell>
          <cell r="C4310" t="str">
            <v>Birbank biznes sahəsi</v>
          </cell>
          <cell r="D4310" t="str">
            <v>Business CRM</v>
          </cell>
          <cell r="E4310" t="str">
            <v>#</v>
          </cell>
          <cell r="F4310" t="str">
            <v>Məhsul sahibi</v>
          </cell>
          <cell r="G4310" t="str">
            <v>A</v>
          </cell>
          <cell r="H4310">
            <v>42695</v>
          </cell>
        </row>
        <row r="4311">
          <cell r="B4311" t="str">
            <v>Əhmədli Aytən Elman</v>
          </cell>
          <cell r="C4311" t="str">
            <v>Kart məhsulları sahəsi</v>
          </cell>
          <cell r="D4311" t="str">
            <v>Business cards</v>
          </cell>
          <cell r="E4311" t="str">
            <v>#</v>
          </cell>
          <cell r="F4311" t="str">
            <v>Məhsul sahibi</v>
          </cell>
          <cell r="G4311" t="str">
            <v>A</v>
          </cell>
          <cell r="H4311">
            <v>43846</v>
          </cell>
        </row>
        <row r="4312">
          <cell r="B4312" t="str">
            <v>Ələskər-zadə Mirnatiq Mirrasim</v>
          </cell>
          <cell r="C4312" t="str">
            <v>Strategiya və layihələrin idarə edilməsi departamenti</v>
          </cell>
          <cell r="D4312" t="str">
            <v>Layihələrin idarəedilməsi şöbəsi</v>
          </cell>
          <cell r="E4312" t="str">
            <v>#</v>
          </cell>
          <cell r="F4312" t="str">
            <v>Şöbə müdiri</v>
          </cell>
          <cell r="G4312" t="str">
            <v>A</v>
          </cell>
          <cell r="H4312">
            <v>45502</v>
          </cell>
        </row>
        <row r="4313">
          <cell r="B4313" t="str">
            <v>Mehdiyev Cavidan Gündüz</v>
          </cell>
          <cell r="C4313" t="str">
            <v>Strategiya və layihələrin idarə edilməsi departamenti</v>
          </cell>
          <cell r="D4313" t="str">
            <v>Layihələrin idarəedilməsi şöbəsi</v>
          </cell>
          <cell r="E4313" t="str">
            <v>#</v>
          </cell>
          <cell r="F4313" t="str">
            <v>Funksional lider</v>
          </cell>
          <cell r="G4313" t="str">
            <v>A</v>
          </cell>
          <cell r="H4313">
            <v>45561</v>
          </cell>
        </row>
        <row r="4314">
          <cell r="B4314" t="str">
            <v>Hacıyev Asif Sərdar</v>
          </cell>
          <cell r="C4314" t="str">
            <v>Strategiya və layihələrin idarə edilməsi departamenti</v>
          </cell>
          <cell r="D4314" t="str">
            <v>Layihələrin idarəedilməsi şöbəsi</v>
          </cell>
          <cell r="E4314" t="str">
            <v>#</v>
          </cell>
          <cell r="F4314" t="str">
            <v>Layihə rəhbəri</v>
          </cell>
          <cell r="G4314" t="str">
            <v>A</v>
          </cell>
          <cell r="H4314">
            <v>45328</v>
          </cell>
        </row>
        <row r="4315">
          <cell r="B4315" t="str">
            <v>Aydarova Nərmin Rüstəm</v>
          </cell>
          <cell r="C4315" t="str">
            <v>Strategiya və layihələrin idarə edilməsi departamenti</v>
          </cell>
          <cell r="D4315" t="str">
            <v>Layihələrin idarəedilməsi şöbəsi</v>
          </cell>
          <cell r="E4315" t="str">
            <v>#</v>
          </cell>
          <cell r="F4315" t="str">
            <v>Layihə rəhbəri</v>
          </cell>
          <cell r="G4315" t="str">
            <v>A</v>
          </cell>
          <cell r="H4315">
            <v>46216</v>
          </cell>
          <cell r="I4315" t="str">
            <v>Bir Payment</v>
          </cell>
        </row>
        <row r="4316">
          <cell r="B4316" t="str">
            <v>İsmayilli Ağarəhim Seymur</v>
          </cell>
          <cell r="C4316" t="str">
            <v>Strategiya və layihələrin idarə edilməsi departamenti</v>
          </cell>
          <cell r="D4316" t="str">
            <v>Layihələrin idarəedilməsi şöbəsi</v>
          </cell>
          <cell r="E4316" t="str">
            <v>#</v>
          </cell>
          <cell r="F4316" t="str">
            <v>Layihələrin idarə edilməsi üzrə ekspert</v>
          </cell>
          <cell r="G4316" t="str">
            <v>A</v>
          </cell>
          <cell r="H4316">
            <v>46216</v>
          </cell>
          <cell r="I4316" t="str">
            <v>Bir Payment</v>
          </cell>
        </row>
        <row r="4317">
          <cell r="B4317" t="str">
            <v>Quliyev Amil Mahəddin</v>
          </cell>
          <cell r="C4317" t="str">
            <v>Strategiya və layihələrin idarə edilməsi departamenti</v>
          </cell>
          <cell r="D4317" t="str">
            <v>Layihələrin idarəedilməsi şöbəsi</v>
          </cell>
          <cell r="E4317" t="str">
            <v>#</v>
          </cell>
          <cell r="F4317" t="str">
            <v>Layihələrin idarə edilməsi üzrə ekspert</v>
          </cell>
          <cell r="G4317" t="str">
            <v>A</v>
          </cell>
          <cell r="H4317">
            <v>46216</v>
          </cell>
          <cell r="I4317" t="str">
            <v>Bir Payment</v>
          </cell>
        </row>
        <row r="4318">
          <cell r="B4318" t="str">
            <v>Cəlilova Günel Eylaz</v>
          </cell>
          <cell r="C4318" t="str">
            <v>Strategiya və layihələrin idarə edilməsi departamenti</v>
          </cell>
          <cell r="D4318" t="str">
            <v>Layihələrin idarəedilməsi şöbəsi</v>
          </cell>
          <cell r="E4318" t="str">
            <v>#</v>
          </cell>
          <cell r="F4318" t="str">
            <v>Layihələrin idarə edilməsi üzrə ekspert</v>
          </cell>
          <cell r="G4318" t="str">
            <v>A</v>
          </cell>
          <cell r="H4318">
            <v>44970</v>
          </cell>
        </row>
        <row r="4319">
          <cell r="B4319" t="str">
            <v>Göyüşov Rəsul Vüqar</v>
          </cell>
          <cell r="C4319" t="str">
            <v>Strategiya və layihələrin idarə edilməsi departamenti</v>
          </cell>
          <cell r="D4319" t="str">
            <v>Layihələrin idarəedilməsi şöbəsi</v>
          </cell>
          <cell r="E4319" t="str">
            <v>#</v>
          </cell>
          <cell r="F4319" t="str">
            <v>Layihələrin idarə edilməsi üzrə ekspert</v>
          </cell>
          <cell r="G4319" t="str">
            <v>A</v>
          </cell>
          <cell r="H4319">
            <v>44860</v>
          </cell>
        </row>
        <row r="4320">
          <cell r="B4320" t="str">
            <v>Babayev Nəcəf Azər</v>
          </cell>
          <cell r="C4320" t="str">
            <v>Strategiya və layihələrin idarə edilməsi departamenti</v>
          </cell>
          <cell r="D4320" t="str">
            <v>Layihələrin idarəedilməsi şöbəsi</v>
          </cell>
          <cell r="E4320" t="str">
            <v>#</v>
          </cell>
          <cell r="F4320" t="str">
            <v>Layihələrin idarə edilməsi üzrə ekspert</v>
          </cell>
          <cell r="G4320" t="str">
            <v>A</v>
          </cell>
          <cell r="H4320">
            <v>45303</v>
          </cell>
        </row>
        <row r="4321">
          <cell r="B4321" t="str">
            <v>Süleymanov Vüsal Şəmsəddin</v>
          </cell>
          <cell r="C4321" t="str">
            <v>Strategiya və layihələrin idarə edilməsi departamenti</v>
          </cell>
          <cell r="D4321" t="str">
            <v>Layihələrin idarəedilməsi şöbəsi</v>
          </cell>
          <cell r="E4321" t="str">
            <v>#</v>
          </cell>
          <cell r="F4321" t="str">
            <v>Layihələrin idarə edilməsi üzrə ekspert</v>
          </cell>
          <cell r="G4321" t="str">
            <v>A</v>
          </cell>
          <cell r="H4321">
            <v>42263</v>
          </cell>
        </row>
        <row r="4322">
          <cell r="B4322" t="str">
            <v>Abdurrəhimova Nərmin Azər</v>
          </cell>
          <cell r="C4322" t="str">
            <v>Strategiya və layihələrin idarə edilməsi departamenti</v>
          </cell>
          <cell r="D4322" t="str">
            <v>Layihələrin idarəedilməsi şöbəsi</v>
          </cell>
          <cell r="E4322" t="str">
            <v>#</v>
          </cell>
          <cell r="F4322" t="str">
            <v>Layihələrin idarə edilməsi üzrə ekspert</v>
          </cell>
          <cell r="G4322" t="str">
            <v>A</v>
          </cell>
          <cell r="H4322">
            <v>45268</v>
          </cell>
        </row>
        <row r="4323">
          <cell r="B4323" t="str">
            <v>Rüstəmov Nazim Saləh</v>
          </cell>
          <cell r="C4323" t="str">
            <v>#</v>
          </cell>
          <cell r="D4323" t="str">
            <v>1 saylı Notariat şöbəsi</v>
          </cell>
          <cell r="E4323" t="str">
            <v>#</v>
          </cell>
          <cell r="F4323" t="str">
            <v>Müdir</v>
          </cell>
          <cell r="G4323" t="str">
            <v>A</v>
          </cell>
          <cell r="H4323">
            <v>43318</v>
          </cell>
        </row>
        <row r="4324">
          <cell r="B4324" t="str">
            <v>Binyatov Əfqan Yaqub</v>
          </cell>
          <cell r="C4324" t="str">
            <v>#</v>
          </cell>
          <cell r="D4324" t="str">
            <v>1 saylı Notariat şöbəsi</v>
          </cell>
          <cell r="E4324" t="str">
            <v>Xidmət bölməsi</v>
          </cell>
          <cell r="F4324" t="str">
            <v>Baş əməliyyatçı-kassir</v>
          </cell>
          <cell r="G4324" t="str">
            <v>A</v>
          </cell>
          <cell r="H4324">
            <v>40239</v>
          </cell>
        </row>
        <row r="4325">
          <cell r="B4325" t="str">
            <v>Süleymanlı Firudin Xəlil</v>
          </cell>
          <cell r="C4325" t="str">
            <v>#</v>
          </cell>
          <cell r="D4325" t="str">
            <v>4 saylı Notariat şöbəsi</v>
          </cell>
          <cell r="E4325" t="str">
            <v>#</v>
          </cell>
          <cell r="F4325" t="str">
            <v>Müdir</v>
          </cell>
          <cell r="G4325" t="str">
            <v>A</v>
          </cell>
          <cell r="H4325">
            <v>43283</v>
          </cell>
        </row>
        <row r="4326">
          <cell r="B4326" t="str">
            <v>Bayramov Həzrət İbadət</v>
          </cell>
          <cell r="C4326" t="str">
            <v>#</v>
          </cell>
          <cell r="D4326" t="str">
            <v>4 saylı Notariat şöbəsi</v>
          </cell>
          <cell r="E4326" t="str">
            <v>Xidmət bölməsi</v>
          </cell>
          <cell r="F4326" t="str">
            <v xml:space="preserve">Aparıcı əməliyyatçı-kassir </v>
          </cell>
          <cell r="G4326" t="str">
            <v>A</v>
          </cell>
          <cell r="H4326">
            <v>45335</v>
          </cell>
        </row>
        <row r="4327">
          <cell r="B4327" t="str">
            <v>Hüseynov Eldəniz Eldar</v>
          </cell>
          <cell r="C4327" t="str">
            <v>#</v>
          </cell>
          <cell r="D4327" t="str">
            <v>6 saylı Notariat şöbəsi</v>
          </cell>
          <cell r="E4327" t="str">
            <v>#</v>
          </cell>
          <cell r="F4327" t="str">
            <v>Müdir</v>
          </cell>
          <cell r="G4327" t="str">
            <v>A</v>
          </cell>
          <cell r="H4327">
            <v>41681</v>
          </cell>
        </row>
        <row r="4328">
          <cell r="B4328" t="str">
            <v>Zeynalov Bəxtiyar Şahan</v>
          </cell>
          <cell r="C4328" t="str">
            <v>#</v>
          </cell>
          <cell r="D4328" t="str">
            <v>7 saylı Notariat şöbəsi</v>
          </cell>
          <cell r="E4328" t="str">
            <v>#</v>
          </cell>
          <cell r="F4328" t="str">
            <v>Müdir</v>
          </cell>
          <cell r="G4328" t="str">
            <v>A</v>
          </cell>
          <cell r="H4328">
            <v>39836</v>
          </cell>
        </row>
        <row r="4329">
          <cell r="B4329" t="str">
            <v>Namətova Səbinə Samin</v>
          </cell>
          <cell r="C4329" t="str">
            <v>#</v>
          </cell>
          <cell r="D4329" t="str">
            <v>7 saylı Notariat şöbəsi</v>
          </cell>
          <cell r="E4329" t="str">
            <v>#</v>
          </cell>
          <cell r="F4329" t="str">
            <v xml:space="preserve">Kiçik əməliyyatçı-kassir </v>
          </cell>
          <cell r="G4329" t="str">
            <v>A</v>
          </cell>
          <cell r="H4329">
            <v>46267</v>
          </cell>
        </row>
        <row r="4330">
          <cell r="B4330" t="str">
            <v>Rzayev Seymur Hikmət</v>
          </cell>
          <cell r="C4330" t="str">
            <v>#</v>
          </cell>
          <cell r="D4330" t="str">
            <v>12 saylı Notariat şöbəsi</v>
          </cell>
          <cell r="E4330" t="str">
            <v>#</v>
          </cell>
          <cell r="F4330" t="str">
            <v>Müdir</v>
          </cell>
          <cell r="G4330" t="str">
            <v>A</v>
          </cell>
          <cell r="H4330">
            <v>42172</v>
          </cell>
        </row>
        <row r="4331">
          <cell r="B4331" t="str">
            <v>Umudzadə Nicat İlham</v>
          </cell>
          <cell r="C4331" t="str">
            <v>#</v>
          </cell>
          <cell r="D4331" t="str">
            <v>12 saylı Notariat şöbəsi</v>
          </cell>
          <cell r="E4331" t="str">
            <v>Xidmət bölməsi</v>
          </cell>
          <cell r="F4331" t="str">
            <v xml:space="preserve">Aparıcı əməliyyatçı-kassir </v>
          </cell>
          <cell r="G4331" t="str">
            <v>A</v>
          </cell>
          <cell r="H4331">
            <v>45356</v>
          </cell>
        </row>
        <row r="4332">
          <cell r="B4332" t="str">
            <v>Əsədov Pərviz Vahid</v>
          </cell>
          <cell r="C4332" t="str">
            <v>#</v>
          </cell>
          <cell r="D4332" t="str">
            <v>13 saylı Notariat şöbəsi</v>
          </cell>
          <cell r="E4332" t="str">
            <v>#</v>
          </cell>
          <cell r="F4332" t="str">
            <v>Müdir</v>
          </cell>
          <cell r="G4332" t="str">
            <v>A</v>
          </cell>
          <cell r="H4332">
            <v>43304</v>
          </cell>
        </row>
        <row r="4333">
          <cell r="B4333" t="str">
            <v>İsmayılova Mərmər Firdovsi</v>
          </cell>
          <cell r="C4333" t="str">
            <v>#</v>
          </cell>
          <cell r="D4333" t="str">
            <v>13 saylı Notariat şöbəsi</v>
          </cell>
          <cell r="E4333" t="str">
            <v>Xidmət bölməsi</v>
          </cell>
          <cell r="F4333" t="str">
            <v>Əməliyyatçı-kassir</v>
          </cell>
          <cell r="G4333" t="str">
            <v>A</v>
          </cell>
          <cell r="H4333">
            <v>45916</v>
          </cell>
        </row>
        <row r="4334">
          <cell r="B4334" t="str">
            <v>Əliyev Emil Kamran</v>
          </cell>
          <cell r="C4334" t="str">
            <v>#</v>
          </cell>
          <cell r="D4334" t="str">
            <v>14 saylı Notariat şöbəsi</v>
          </cell>
          <cell r="E4334" t="str">
            <v>#</v>
          </cell>
          <cell r="F4334" t="str">
            <v>Müdir</v>
          </cell>
          <cell r="G4334" t="str">
            <v>A</v>
          </cell>
          <cell r="H4334">
            <v>43063</v>
          </cell>
        </row>
        <row r="4335">
          <cell r="B4335" t="str">
            <v>Rüstəmli Ceyhun Polad</v>
          </cell>
          <cell r="C4335" t="str">
            <v>#</v>
          </cell>
          <cell r="D4335" t="str">
            <v>14 saylı Notariat şöbəsi</v>
          </cell>
          <cell r="E4335" t="str">
            <v>Xidmət bölməsi</v>
          </cell>
          <cell r="F4335" t="str">
            <v xml:space="preserve">Aparıcı əməliyyatçı-kassir </v>
          </cell>
          <cell r="G4335" t="str">
            <v>A</v>
          </cell>
          <cell r="H4335">
            <v>44425</v>
          </cell>
        </row>
        <row r="4336">
          <cell r="B4336" t="str">
            <v>İmamverdiyeva Sevil Zəki</v>
          </cell>
          <cell r="C4336" t="str">
            <v>#</v>
          </cell>
          <cell r="D4336" t="str">
            <v>14 saylı Notariat şöbəsi</v>
          </cell>
          <cell r="E4336" t="str">
            <v>İnzibati bölmə</v>
          </cell>
          <cell r="F4336" t="str">
            <v>Xadimə (0,5 ştat vahidi üzrə)</v>
          </cell>
          <cell r="G4336" t="str">
            <v>A</v>
          </cell>
          <cell r="H4336">
            <v>45398</v>
          </cell>
        </row>
        <row r="4337">
          <cell r="B4337" t="str">
            <v>Vahidov Elşad Habil</v>
          </cell>
          <cell r="C4337" t="str">
            <v>#</v>
          </cell>
          <cell r="D4337" t="str">
            <v>15 saylı Notariat şöbəsi</v>
          </cell>
          <cell r="E4337" t="str">
            <v>#</v>
          </cell>
          <cell r="F4337" t="str">
            <v>Müdir</v>
          </cell>
          <cell r="G4337" t="str">
            <v>A</v>
          </cell>
          <cell r="H4337">
            <v>37998</v>
          </cell>
        </row>
        <row r="4338">
          <cell r="B4338" t="str">
            <v>Cabbarov Vahid Müslüm</v>
          </cell>
          <cell r="C4338" t="str">
            <v>#</v>
          </cell>
          <cell r="D4338" t="str">
            <v>15 saylı Notariat şöbəsi</v>
          </cell>
          <cell r="E4338" t="str">
            <v>Xidmət bölməsi</v>
          </cell>
          <cell r="F4338" t="str">
            <v xml:space="preserve">Aparıcı əməliyyatçı-kassir </v>
          </cell>
          <cell r="G4338" t="str">
            <v>A</v>
          </cell>
          <cell r="H4338">
            <v>45308</v>
          </cell>
        </row>
        <row r="4339">
          <cell r="B4339" t="str">
            <v>Nadirov Fərid Mehman</v>
          </cell>
          <cell r="C4339" t="str">
            <v>#</v>
          </cell>
          <cell r="D4339" t="str">
            <v>16 saylı Notariat şöbəsi</v>
          </cell>
          <cell r="E4339" t="str">
            <v>#</v>
          </cell>
          <cell r="F4339" t="str">
            <v>Müdir</v>
          </cell>
          <cell r="G4339" t="str">
            <v>A</v>
          </cell>
          <cell r="H4339">
            <v>43160</v>
          </cell>
        </row>
        <row r="4340">
          <cell r="B4340" t="str">
            <v>Əmrahov Ümid Azər</v>
          </cell>
          <cell r="C4340" t="str">
            <v>#</v>
          </cell>
          <cell r="D4340" t="str">
            <v>16 saylı Notariat şöbəsi</v>
          </cell>
          <cell r="E4340" t="str">
            <v>Xidmət bölməsi</v>
          </cell>
          <cell r="F4340" t="str">
            <v>Əməliyyatçı-kassir</v>
          </cell>
          <cell r="G4340" t="str">
            <v>A</v>
          </cell>
          <cell r="H4340">
            <v>45358</v>
          </cell>
        </row>
        <row r="4341">
          <cell r="B4341" t="str">
            <v>Qasımov Kənan Etibar</v>
          </cell>
          <cell r="C4341" t="str">
            <v>#</v>
          </cell>
          <cell r="D4341" t="str">
            <v>18 saylı Notariat şöbəsi</v>
          </cell>
          <cell r="E4341" t="str">
            <v>#</v>
          </cell>
          <cell r="F4341" t="str">
            <v>Müdir</v>
          </cell>
          <cell r="G4341" t="str">
            <v>A</v>
          </cell>
          <cell r="H4341">
            <v>43305</v>
          </cell>
        </row>
        <row r="4342">
          <cell r="B4342" t="str">
            <v>Zeynalova Elnarə Rəşid</v>
          </cell>
          <cell r="C4342" t="str">
            <v>#</v>
          </cell>
          <cell r="D4342" t="str">
            <v>18 saylı Notariat şöbəsi</v>
          </cell>
          <cell r="E4342" t="str">
            <v>Xidmət bölməsi</v>
          </cell>
          <cell r="F4342" t="str">
            <v>Baş əməliyyatçı-kassir</v>
          </cell>
          <cell r="G4342" t="str">
            <v>A</v>
          </cell>
          <cell r="H4342">
            <v>39356</v>
          </cell>
        </row>
        <row r="4343">
          <cell r="B4343" t="str">
            <v>Şahbazov Renad Zakir</v>
          </cell>
          <cell r="C4343" t="str">
            <v>#</v>
          </cell>
          <cell r="D4343" t="str">
            <v>19 saylı Notariat şöbəsi</v>
          </cell>
          <cell r="E4343" t="str">
            <v>#</v>
          </cell>
          <cell r="F4343" t="str">
            <v>Müdir</v>
          </cell>
          <cell r="G4343" t="str">
            <v>A</v>
          </cell>
          <cell r="H4343">
            <v>42514</v>
          </cell>
        </row>
        <row r="4344">
          <cell r="B4344" t="str">
            <v>Mənsimov Kamran Şıxali</v>
          </cell>
          <cell r="C4344" t="str">
            <v>#</v>
          </cell>
          <cell r="D4344" t="str">
            <v>19 saylı Notariat şöbəsi</v>
          </cell>
          <cell r="E4344" t="str">
            <v>Xidmət bölməsi</v>
          </cell>
          <cell r="F4344" t="str">
            <v>Əməliyyatçı-kassir</v>
          </cell>
          <cell r="G4344" t="str">
            <v>A</v>
          </cell>
          <cell r="H4344">
            <v>45532</v>
          </cell>
        </row>
        <row r="4345">
          <cell r="B4345" t="str">
            <v>Məmmədova Mehriban Vahab</v>
          </cell>
          <cell r="C4345" t="str">
            <v>#</v>
          </cell>
          <cell r="D4345" t="str">
            <v>19 saylı Notariat şöbəsi</v>
          </cell>
          <cell r="E4345" t="str">
            <v>İnzibati bölmə</v>
          </cell>
          <cell r="F4345" t="str">
            <v>Xadimə</v>
          </cell>
          <cell r="G4345" t="str">
            <v>A</v>
          </cell>
          <cell r="H4345">
            <v>44936</v>
          </cell>
        </row>
        <row r="4346">
          <cell r="B4346" t="str">
            <v>Quliyev Elmir Tərlan</v>
          </cell>
          <cell r="C4346" t="str">
            <v>#</v>
          </cell>
          <cell r="D4346" t="str">
            <v>21 saylı Notariat şöbəsi</v>
          </cell>
          <cell r="E4346" t="str">
            <v>#</v>
          </cell>
          <cell r="F4346" t="str">
            <v>Müdir</v>
          </cell>
          <cell r="G4346" t="str">
            <v>A</v>
          </cell>
          <cell r="H4346">
            <v>44237</v>
          </cell>
        </row>
        <row r="4347">
          <cell r="B4347" t="str">
            <v>Əsgərova Ülkər Əhəd</v>
          </cell>
          <cell r="C4347" t="str">
            <v>#</v>
          </cell>
          <cell r="D4347" t="str">
            <v>21 saylı Notariat şöbəsi</v>
          </cell>
          <cell r="E4347" t="str">
            <v>Xidmət bölməsi</v>
          </cell>
          <cell r="F4347" t="str">
            <v xml:space="preserve">Baş əməliyyatçı-kassir </v>
          </cell>
          <cell r="G4347" t="str">
            <v>A</v>
          </cell>
          <cell r="H4347">
            <v>44582</v>
          </cell>
        </row>
        <row r="4348">
          <cell r="B4348" t="str">
            <v>Vəliyev Vicay Saday</v>
          </cell>
          <cell r="C4348" t="str">
            <v>#</v>
          </cell>
          <cell r="D4348" t="str">
            <v>22 saylı Notariat şöbəsi</v>
          </cell>
          <cell r="E4348" t="str">
            <v>#</v>
          </cell>
          <cell r="F4348" t="str">
            <v>Müdir</v>
          </cell>
          <cell r="G4348" t="str">
            <v>A</v>
          </cell>
          <cell r="H4348">
            <v>39744</v>
          </cell>
        </row>
        <row r="4349">
          <cell r="B4349" t="str">
            <v>Hüseynli Cəmil Elşad</v>
          </cell>
          <cell r="C4349" t="str">
            <v>#</v>
          </cell>
          <cell r="D4349" t="str">
            <v>22 saylı Notariat şöbəsi</v>
          </cell>
          <cell r="E4349" t="str">
            <v>Xidmət bölməsi</v>
          </cell>
          <cell r="F4349" t="str">
            <v>Əməliyyatçı-kassir</v>
          </cell>
          <cell r="G4349" t="str">
            <v>A</v>
          </cell>
          <cell r="H4349">
            <v>45366</v>
          </cell>
        </row>
        <row r="4350">
          <cell r="B4350" t="str">
            <v>Aslanov Telman Soltan</v>
          </cell>
          <cell r="C4350" t="str">
            <v>#</v>
          </cell>
          <cell r="D4350" t="str">
            <v>23 saylı Notariat şöbəsi</v>
          </cell>
          <cell r="E4350" t="str">
            <v>#</v>
          </cell>
          <cell r="F4350" t="str">
            <v>Müdir</v>
          </cell>
          <cell r="G4350" t="str">
            <v>A</v>
          </cell>
          <cell r="H4350">
            <v>37088</v>
          </cell>
        </row>
        <row r="4351">
          <cell r="B4351" t="str">
            <v>Yusubov Elturan İlham</v>
          </cell>
          <cell r="C4351" t="str">
            <v>#</v>
          </cell>
          <cell r="D4351" t="str">
            <v>23 saylı Notariat şöbəsi</v>
          </cell>
          <cell r="E4351" t="str">
            <v>Xidmət bölməsi</v>
          </cell>
          <cell r="F4351" t="str">
            <v xml:space="preserve">Aparıcı əməliyyatçı-kassir </v>
          </cell>
          <cell r="G4351" t="str">
            <v>A</v>
          </cell>
          <cell r="H4351">
            <v>44963</v>
          </cell>
        </row>
        <row r="4352">
          <cell r="B4352" t="str">
            <v>Osmanov Təvəkkül Osman</v>
          </cell>
          <cell r="C4352" t="str">
            <v>#</v>
          </cell>
          <cell r="D4352" t="str">
            <v>26 saylı Notariat şöbəsi</v>
          </cell>
          <cell r="E4352" t="str">
            <v>#</v>
          </cell>
          <cell r="F4352" t="str">
            <v>Müdir</v>
          </cell>
          <cell r="G4352" t="str">
            <v>A</v>
          </cell>
          <cell r="H4352">
            <v>43054</v>
          </cell>
        </row>
        <row r="4353">
          <cell r="B4353" t="str">
            <v>Məmmədov Bəlyar Vüqar</v>
          </cell>
          <cell r="C4353" t="str">
            <v>#</v>
          </cell>
          <cell r="D4353" t="str">
            <v>26 saylı Notariat şöbəsi</v>
          </cell>
          <cell r="E4353" t="str">
            <v>Xidmət bölməsi</v>
          </cell>
          <cell r="F4353" t="str">
            <v xml:space="preserve">Aparıcı əməliyyatçı-kassir </v>
          </cell>
          <cell r="G4353" t="str">
            <v>A</v>
          </cell>
          <cell r="H4353">
            <v>45308</v>
          </cell>
        </row>
        <row r="4354">
          <cell r="B4354" t="str">
            <v>Ələsgərov Elvin Rasim</v>
          </cell>
          <cell r="C4354" t="str">
            <v>#</v>
          </cell>
          <cell r="D4354" t="str">
            <v>32 saylı Notariat şöbəsi</v>
          </cell>
          <cell r="E4354" t="str">
            <v>#</v>
          </cell>
          <cell r="F4354" t="str">
            <v>Müdir</v>
          </cell>
          <cell r="G4354" t="str">
            <v>A</v>
          </cell>
          <cell r="H4354">
            <v>40338</v>
          </cell>
        </row>
        <row r="4355">
          <cell r="B4355" t="str">
            <v>Abbasov Tapdıq İlyas</v>
          </cell>
          <cell r="C4355" t="str">
            <v>#</v>
          </cell>
          <cell r="D4355" t="str">
            <v>32 saylı Notariat şöbəsi</v>
          </cell>
          <cell r="E4355" t="str">
            <v>Xidmət bölməsi</v>
          </cell>
          <cell r="F4355" t="str">
            <v>Əməliyyatçı-kassir</v>
          </cell>
          <cell r="G4355" t="str">
            <v>A</v>
          </cell>
          <cell r="H4355">
            <v>45358</v>
          </cell>
        </row>
        <row r="4356">
          <cell r="B4356" t="str">
            <v>Bayramov Seyran Bəxtiyar</v>
          </cell>
          <cell r="C4356" t="str">
            <v>#</v>
          </cell>
          <cell r="D4356" t="str">
            <v>35 saylı Notariat şöbəsi</v>
          </cell>
          <cell r="E4356" t="str">
            <v>#</v>
          </cell>
          <cell r="F4356" t="str">
            <v>Müdir</v>
          </cell>
          <cell r="G4356" t="str">
            <v>A</v>
          </cell>
          <cell r="H4356">
            <v>39479</v>
          </cell>
        </row>
        <row r="4357">
          <cell r="B4357" t="str">
            <v>Xəlilov Xəlil Feyzulla</v>
          </cell>
          <cell r="C4357" t="str">
            <v>#</v>
          </cell>
          <cell r="D4357" t="str">
            <v>35 saylı Notariat şöbəsi</v>
          </cell>
          <cell r="E4357" t="str">
            <v>Xidmət bölməsi</v>
          </cell>
          <cell r="F4357" t="str">
            <v>Baş əməliyyatçı-kassir</v>
          </cell>
          <cell r="G4357" t="str">
            <v>A</v>
          </cell>
          <cell r="H4357">
            <v>42801</v>
          </cell>
        </row>
        <row r="4358">
          <cell r="B4358" t="str">
            <v>Ağayev Həmid Akif</v>
          </cell>
          <cell r="C4358" t="str">
            <v>#</v>
          </cell>
          <cell r="D4358" t="str">
            <v>38 saylı Notariat şöbəsi</v>
          </cell>
          <cell r="E4358" t="str">
            <v>#</v>
          </cell>
          <cell r="F4358" t="str">
            <v>Müdir</v>
          </cell>
          <cell r="G4358" t="str">
            <v>A</v>
          </cell>
          <cell r="H4358">
            <v>42250</v>
          </cell>
        </row>
        <row r="4359">
          <cell r="B4359" t="str">
            <v>Hüseynli Şəbnəm Kamran</v>
          </cell>
          <cell r="C4359" t="str">
            <v>#</v>
          </cell>
          <cell r="D4359" t="str">
            <v>38 saylı Notariat şöbəsi</v>
          </cell>
          <cell r="E4359" t="str">
            <v>Xidmət bölməsi</v>
          </cell>
          <cell r="F4359" t="str">
            <v xml:space="preserve">Aparıcı əməliyyatçı-kassir </v>
          </cell>
          <cell r="G4359" t="str">
            <v>A</v>
          </cell>
          <cell r="H4359">
            <v>44713</v>
          </cell>
        </row>
        <row r="4360">
          <cell r="B4360" t="str">
            <v>Babayev Anar Faiq</v>
          </cell>
          <cell r="C4360" t="str">
            <v>#</v>
          </cell>
          <cell r="D4360" t="str">
            <v>50 saylı Notariat şöbəsi</v>
          </cell>
          <cell r="E4360" t="str">
            <v>#</v>
          </cell>
          <cell r="F4360" t="str">
            <v>Müdir</v>
          </cell>
          <cell r="G4360" t="str">
            <v>A</v>
          </cell>
          <cell r="H4360">
            <v>42500</v>
          </cell>
        </row>
        <row r="4361">
          <cell r="B4361" t="str">
            <v>Mənsumzadə Mirzəyeva Gülnar Cəbrayıl</v>
          </cell>
          <cell r="C4361" t="str">
            <v>#</v>
          </cell>
          <cell r="D4361" t="str">
            <v>50 saylı Notariat şöbəsi</v>
          </cell>
          <cell r="E4361" t="str">
            <v>Xidmət bölməsi</v>
          </cell>
          <cell r="F4361" t="str">
            <v>Baş əməliyyatçı-kassir</v>
          </cell>
          <cell r="G4361" t="str">
            <v>SM</v>
          </cell>
          <cell r="H4361">
            <v>42675</v>
          </cell>
        </row>
        <row r="4362">
          <cell r="B4362" t="str">
            <v>Məmmədli Şükufə Rəfail</v>
          </cell>
          <cell r="C4362" t="str">
            <v>#</v>
          </cell>
          <cell r="D4362" t="str">
            <v>50 saylı Notariat şöbəsi</v>
          </cell>
          <cell r="E4362" t="str">
            <v>Xidmət bölməsi</v>
          </cell>
          <cell r="F4362" t="str">
            <v>Aparıcı əməliyyatçı-kassir (müvəqqəti)</v>
          </cell>
          <cell r="G4362" t="str">
            <v>A</v>
          </cell>
          <cell r="H4362">
            <v>44859</v>
          </cell>
        </row>
        <row r="4363">
          <cell r="B4363" t="str">
            <v>Salmanlı Fərhad Nüsrəddin</v>
          </cell>
          <cell r="C4363" t="str">
            <v>#</v>
          </cell>
          <cell r="D4363" t="str">
            <v>51 saylı Notariat şöbəsi</v>
          </cell>
          <cell r="E4363" t="str">
            <v>#</v>
          </cell>
          <cell r="F4363" t="str">
            <v>Müdir</v>
          </cell>
          <cell r="G4363" t="str">
            <v>A</v>
          </cell>
          <cell r="H4363">
            <v>42380</v>
          </cell>
        </row>
        <row r="4364">
          <cell r="B4364" t="str">
            <v>Yusubov Tural Ceyhun</v>
          </cell>
          <cell r="C4364" t="str">
            <v>#</v>
          </cell>
          <cell r="D4364" t="str">
            <v>51 saylı Notariat şöbəsi</v>
          </cell>
          <cell r="E4364" t="str">
            <v>Xidmət bölməsi</v>
          </cell>
          <cell r="F4364" t="str">
            <v xml:space="preserve">Aparıcı əməliyyatçı-kassir </v>
          </cell>
          <cell r="G4364" t="str">
            <v>A</v>
          </cell>
          <cell r="H4364">
            <v>45338</v>
          </cell>
        </row>
        <row r="4365">
          <cell r="B4365" t="str">
            <v>Əhmədov Samir Tufan</v>
          </cell>
          <cell r="C4365" t="str">
            <v>#</v>
          </cell>
          <cell r="D4365" t="str">
            <v>52 saylı Notariat şöbəsi</v>
          </cell>
          <cell r="E4365" t="str">
            <v>#</v>
          </cell>
          <cell r="F4365" t="str">
            <v>Müdir</v>
          </cell>
          <cell r="G4365" t="str">
            <v>A</v>
          </cell>
          <cell r="H4365">
            <v>42892</v>
          </cell>
        </row>
        <row r="4366">
          <cell r="B4366" t="str">
            <v>Qurbanlı Əli Faiq</v>
          </cell>
          <cell r="C4366" t="str">
            <v>#</v>
          </cell>
          <cell r="D4366" t="str">
            <v>52 saylı Notariat şöbəsi</v>
          </cell>
          <cell r="E4366" t="str">
            <v>Xidmət bölməsi</v>
          </cell>
          <cell r="F4366" t="str">
            <v xml:space="preserve">Aparıcı əməliyyatçı-kassir </v>
          </cell>
          <cell r="G4366" t="str">
            <v>A</v>
          </cell>
          <cell r="H4366">
            <v>44726</v>
          </cell>
        </row>
        <row r="4367">
          <cell r="B4367" t="str">
            <v>Məmmədov Elçin Nazim</v>
          </cell>
          <cell r="C4367" t="str">
            <v>#</v>
          </cell>
          <cell r="D4367" t="str">
            <v>53 saylı Notariat şöbəsi</v>
          </cell>
          <cell r="E4367" t="str">
            <v>#</v>
          </cell>
          <cell r="F4367" t="str">
            <v>Müdir</v>
          </cell>
          <cell r="G4367" t="str">
            <v>A</v>
          </cell>
          <cell r="H4367">
            <v>45250</v>
          </cell>
        </row>
        <row r="4368">
          <cell r="B4368" t="str">
            <v>Orucov Hikmət Adil</v>
          </cell>
          <cell r="C4368" t="str">
            <v>#</v>
          </cell>
          <cell r="D4368" t="str">
            <v>53 saylı Notariat şöbəsi</v>
          </cell>
          <cell r="E4368" t="str">
            <v>Xidmət bölməsi</v>
          </cell>
          <cell r="F4368" t="str">
            <v xml:space="preserve">Aparıcı əməliyyatçı-kassir </v>
          </cell>
          <cell r="G4368" t="str">
            <v>A</v>
          </cell>
          <cell r="H4368">
            <v>45338</v>
          </cell>
        </row>
        <row r="4369">
          <cell r="B4369" t="str">
            <v>Aslanova Nərminə Səlim</v>
          </cell>
          <cell r="C4369" t="str">
            <v>#</v>
          </cell>
          <cell r="D4369" t="str">
            <v>53 saylı Notariat şöbəsi</v>
          </cell>
          <cell r="E4369" t="str">
            <v>Xidmət bölməsi</v>
          </cell>
          <cell r="F4369" t="str">
            <v>Əməliyyatçı-kassir</v>
          </cell>
          <cell r="G4369" t="str">
            <v>A</v>
          </cell>
          <cell r="H4369">
            <v>45400</v>
          </cell>
        </row>
        <row r="4370">
          <cell r="B4370" t="str">
            <v>Abbasov Rafil Rəfail</v>
          </cell>
          <cell r="C4370" t="str">
            <v>#</v>
          </cell>
          <cell r="D4370" t="str">
            <v>54 saylı Notariat şöbəsi</v>
          </cell>
          <cell r="E4370" t="str">
            <v>#</v>
          </cell>
          <cell r="F4370" t="str">
            <v>Müdir</v>
          </cell>
          <cell r="G4370" t="str">
            <v>A</v>
          </cell>
          <cell r="H4370">
            <v>43696</v>
          </cell>
        </row>
        <row r="4371">
          <cell r="B4371" t="str">
            <v>Vəlizadə Lalə Müsəddin</v>
          </cell>
          <cell r="C4371" t="str">
            <v>#</v>
          </cell>
          <cell r="D4371" t="str">
            <v>54 saylı Notariat şöbəsi</v>
          </cell>
          <cell r="E4371" t="str">
            <v>Xidmət bölməsi</v>
          </cell>
          <cell r="F4371" t="str">
            <v>Əməliyyatçı-kassir</v>
          </cell>
          <cell r="G4371" t="str">
            <v>A</v>
          </cell>
          <cell r="H4371">
            <v>45652</v>
          </cell>
        </row>
        <row r="4372">
          <cell r="B4372" t="str">
            <v>Tağıyeva Gülnarə Mais</v>
          </cell>
          <cell r="C4372" t="str">
            <v>#</v>
          </cell>
          <cell r="D4372" t="str">
            <v>Sumqayıt 1 saylı Notariat şöbəsi</v>
          </cell>
          <cell r="E4372" t="str">
            <v>#</v>
          </cell>
          <cell r="F4372" t="str">
            <v>Müdir</v>
          </cell>
          <cell r="G4372" t="str">
            <v>A</v>
          </cell>
          <cell r="H4372">
            <v>43049</v>
          </cell>
        </row>
        <row r="4373">
          <cell r="B4373" t="str">
            <v>Süleymanov Nəriman Eldar</v>
          </cell>
          <cell r="C4373" t="str">
            <v>#</v>
          </cell>
          <cell r="D4373" t="str">
            <v>Sumqayıt 1 saylı Notariat şöbəsi</v>
          </cell>
          <cell r="E4373" t="str">
            <v>Xidmət bölməsi</v>
          </cell>
          <cell r="F4373" t="str">
            <v xml:space="preserve">Aparıcı əməliyyatçı-kassir </v>
          </cell>
          <cell r="G4373" t="str">
            <v>A</v>
          </cell>
          <cell r="H4373">
            <v>45023</v>
          </cell>
        </row>
        <row r="4374">
          <cell r="B4374" t="str">
            <v>Mehdiyev Tofiq Rauf</v>
          </cell>
          <cell r="C4374" t="str">
            <v>#</v>
          </cell>
          <cell r="D4374" t="str">
            <v>Bakı 2 saylı Notariat şöbəsi</v>
          </cell>
          <cell r="E4374" t="str">
            <v>#</v>
          </cell>
          <cell r="F4374" t="str">
            <v>Müdir</v>
          </cell>
          <cell r="G4374" t="str">
            <v>A</v>
          </cell>
          <cell r="H4374">
            <v>44097</v>
          </cell>
        </row>
        <row r="4375">
          <cell r="B4375" t="str">
            <v>Bayramova Zümrüd Natiq</v>
          </cell>
          <cell r="C4375" t="str">
            <v>#</v>
          </cell>
          <cell r="D4375" t="str">
            <v>Bakı 2 saylı Notariat şöbəsi</v>
          </cell>
          <cell r="E4375" t="str">
            <v>Xidmət bölməsi</v>
          </cell>
          <cell r="F4375" t="str">
            <v>Əməliyyatçı-kassir</v>
          </cell>
          <cell r="G4375" t="str">
            <v>A</v>
          </cell>
          <cell r="H4375">
            <v>45846</v>
          </cell>
        </row>
        <row r="4376">
          <cell r="B4376" t="str">
            <v>İmanov Xəqani Allahyar</v>
          </cell>
          <cell r="C4376" t="str">
            <v>#</v>
          </cell>
          <cell r="D4376" t="str">
            <v>Bakı Limanı şöbəsi</v>
          </cell>
          <cell r="E4376" t="str">
            <v>#</v>
          </cell>
          <cell r="F4376" t="str">
            <v>Müdir</v>
          </cell>
          <cell r="G4376" t="str">
            <v>A</v>
          </cell>
          <cell r="H4376">
            <v>40330</v>
          </cell>
        </row>
        <row r="4377">
          <cell r="B4377" t="str">
            <v>Soltanov Elməddin Tacəddin</v>
          </cell>
          <cell r="C4377" t="str">
            <v>#</v>
          </cell>
          <cell r="D4377" t="str">
            <v>Bakı Limanı şöbəsi</v>
          </cell>
          <cell r="E4377" t="str">
            <v>Xidmət bölməsi</v>
          </cell>
          <cell r="F4377" t="str">
            <v>Baş əməliyyatçı-kassir</v>
          </cell>
          <cell r="G4377" t="str">
            <v>A</v>
          </cell>
          <cell r="H4377">
            <v>43104</v>
          </cell>
        </row>
        <row r="4378">
          <cell r="B4378" t="str">
            <v>Xalıqzadə Atamalı Güləli</v>
          </cell>
          <cell r="C4378" t="str">
            <v>#</v>
          </cell>
          <cell r="D4378" t="str">
            <v>Bakı Limanı şöbəsi</v>
          </cell>
          <cell r="E4378" t="str">
            <v>Xidmət bölməsi</v>
          </cell>
          <cell r="F4378" t="str">
            <v>Baş əməliyyatçı-kassir</v>
          </cell>
          <cell r="G4378" t="str">
            <v>A</v>
          </cell>
          <cell r="H4378">
            <v>43301</v>
          </cell>
        </row>
        <row r="4379">
          <cell r="B4379" t="str">
            <v>Mirzəyev Ruslan Telman</v>
          </cell>
          <cell r="C4379" t="str">
            <v>#</v>
          </cell>
          <cell r="D4379" t="str">
            <v>Bakı Limanı şöbəsi</v>
          </cell>
          <cell r="E4379" t="str">
            <v>Xidmət bölməsi</v>
          </cell>
          <cell r="F4379" t="str">
            <v>Baş əməliyyatçı-kassir</v>
          </cell>
          <cell r="G4379" t="str">
            <v>A</v>
          </cell>
          <cell r="H4379">
            <v>42597</v>
          </cell>
        </row>
        <row r="4380">
          <cell r="B4380" t="str">
            <v>Osmanov Etibar Abdulla</v>
          </cell>
          <cell r="C4380" t="str">
            <v>#</v>
          </cell>
          <cell r="D4380" t="str">
            <v>Bakı Limanı şöbəsi</v>
          </cell>
          <cell r="E4380" t="str">
            <v>Xidmət bölməsi</v>
          </cell>
          <cell r="F4380" t="str">
            <v>Baş əməliyyatçı-kassir</v>
          </cell>
          <cell r="G4380" t="str">
            <v>A</v>
          </cell>
          <cell r="H4380">
            <v>42843</v>
          </cell>
        </row>
        <row r="4381">
          <cell r="B4381" t="str">
            <v>Əliyev Nicat Rauf</v>
          </cell>
          <cell r="C4381" t="str">
            <v>#</v>
          </cell>
          <cell r="D4381" t="str">
            <v>Bakı Limanı şöbəsi</v>
          </cell>
          <cell r="E4381" t="str">
            <v>Xidmət bölməsi</v>
          </cell>
          <cell r="F4381" t="str">
            <v xml:space="preserve">Aparıcı əməliyyatçı-kassir </v>
          </cell>
          <cell r="G4381" t="str">
            <v>A</v>
          </cell>
          <cell r="H4381">
            <v>44942</v>
          </cell>
        </row>
        <row r="4382">
          <cell r="B4382" t="str">
            <v>Bayramov Zaid Valeh</v>
          </cell>
          <cell r="C4382" t="str">
            <v>#</v>
          </cell>
          <cell r="D4382" t="str">
            <v>Bakı Limanı şöbəsi</v>
          </cell>
          <cell r="E4382" t="str">
            <v>Xidmət bölməsi</v>
          </cell>
          <cell r="F4382" t="str">
            <v xml:space="preserve">Aparıcı əməliyyatçı-kassir </v>
          </cell>
          <cell r="G4382" t="str">
            <v>A</v>
          </cell>
          <cell r="H4382">
            <v>44995</v>
          </cell>
        </row>
        <row r="4383">
          <cell r="B4383" t="str">
            <v>İbrahimov Rəşid Rəşad</v>
          </cell>
          <cell r="C4383" t="str">
            <v>#</v>
          </cell>
          <cell r="D4383" t="str">
            <v>Bakı Limanı şöbəsi</v>
          </cell>
          <cell r="E4383" t="str">
            <v>Xidmət bölməsi</v>
          </cell>
          <cell r="F4383" t="str">
            <v>Əməliyyatçı-kassir</v>
          </cell>
          <cell r="G4383" t="str">
            <v>A</v>
          </cell>
          <cell r="H4383">
            <v>45845</v>
          </cell>
        </row>
        <row r="4384">
          <cell r="B4384" t="str">
            <v>Hacıyev Şahin Mustafa</v>
          </cell>
          <cell r="C4384" t="str">
            <v>#</v>
          </cell>
          <cell r="D4384" t="str">
            <v>Buzovna şöbəsi</v>
          </cell>
          <cell r="E4384" t="str">
            <v>#</v>
          </cell>
          <cell r="F4384" t="str">
            <v>Müdir</v>
          </cell>
          <cell r="G4384" t="str">
            <v>A</v>
          </cell>
          <cell r="H4384">
            <v>43230</v>
          </cell>
        </row>
        <row r="4385">
          <cell r="B4385" t="str">
            <v>İbrahimova Naibə Böyük Ağa</v>
          </cell>
          <cell r="C4385" t="str">
            <v>#</v>
          </cell>
          <cell r="D4385" t="str">
            <v>Buzovna şöbəsi</v>
          </cell>
          <cell r="E4385" t="str">
            <v>Xidmət bölməsi</v>
          </cell>
          <cell r="F4385" t="str">
            <v xml:space="preserve">Baş əməliyyatçı-kassir </v>
          </cell>
          <cell r="G4385" t="str">
            <v>A</v>
          </cell>
          <cell r="H4385">
            <v>36697</v>
          </cell>
        </row>
        <row r="4386">
          <cell r="B4386" t="str">
            <v>Kərimova Ruxsarə Nurəddin</v>
          </cell>
          <cell r="C4386" t="str">
            <v>#</v>
          </cell>
          <cell r="D4386" t="str">
            <v>Buzovna şöbəsi</v>
          </cell>
          <cell r="E4386" t="str">
            <v>Xidmət bölməsi</v>
          </cell>
          <cell r="F4386" t="str">
            <v xml:space="preserve">Aparıcı əməliyyatçı-kassir </v>
          </cell>
          <cell r="G4386" t="str">
            <v>A</v>
          </cell>
          <cell r="H4386">
            <v>36691</v>
          </cell>
        </row>
        <row r="4387">
          <cell r="B4387" t="str">
            <v>Qəhrəmanova Səkinə Yaşar</v>
          </cell>
          <cell r="C4387" t="str">
            <v>#</v>
          </cell>
          <cell r="D4387" t="str">
            <v>Buzovna şöbəsi</v>
          </cell>
          <cell r="E4387" t="str">
            <v>Xidmət bölməsi</v>
          </cell>
          <cell r="F4387" t="str">
            <v>Əməliyyatçı-kassir</v>
          </cell>
          <cell r="G4387" t="str">
            <v>A</v>
          </cell>
          <cell r="H4387">
            <v>44188</v>
          </cell>
        </row>
        <row r="4388">
          <cell r="B4388" t="str">
            <v>Hüseynova İradə Vəkil</v>
          </cell>
          <cell r="C4388" t="str">
            <v>#</v>
          </cell>
          <cell r="D4388" t="str">
            <v>Buzovna şöbəsi</v>
          </cell>
          <cell r="E4388" t="str">
            <v>İnzibati bölmə</v>
          </cell>
          <cell r="F4388" t="str">
            <v>Xadimə</v>
          </cell>
          <cell r="G4388" t="str">
            <v>A</v>
          </cell>
          <cell r="H4388">
            <v>42866</v>
          </cell>
        </row>
        <row r="4389">
          <cell r="B4389" t="str">
            <v>Skvortsova Sabina Fikrətovna</v>
          </cell>
          <cell r="C4389" t="str">
            <v>#</v>
          </cell>
          <cell r="D4389" t="str">
            <v>Dəmiryol şöbəsi</v>
          </cell>
          <cell r="E4389" t="str">
            <v>#</v>
          </cell>
          <cell r="F4389" t="str">
            <v>Müdir</v>
          </cell>
          <cell r="G4389" t="str">
            <v>A</v>
          </cell>
          <cell r="H4389">
            <v>36706</v>
          </cell>
        </row>
        <row r="4390">
          <cell r="B4390" t="str">
            <v>Poladova Yenigül İnsafəli</v>
          </cell>
          <cell r="C4390" t="str">
            <v>#</v>
          </cell>
          <cell r="D4390" t="str">
            <v>Dəmiryol şöbəsi</v>
          </cell>
          <cell r="E4390" t="str">
            <v>Xidmət bölməsi</v>
          </cell>
          <cell r="F4390" t="str">
            <v>Baş əməliyyatçı-kassir</v>
          </cell>
          <cell r="G4390" t="str">
            <v>A</v>
          </cell>
          <cell r="H4390">
            <v>36850</v>
          </cell>
        </row>
        <row r="4391">
          <cell r="B4391" t="str">
            <v>Ağayev Aslan Rasim</v>
          </cell>
          <cell r="C4391" t="str">
            <v>#</v>
          </cell>
          <cell r="D4391" t="str">
            <v>Dəmiryol şöbəsi</v>
          </cell>
          <cell r="E4391" t="str">
            <v>Xidmət bölməsi</v>
          </cell>
          <cell r="F4391" t="str">
            <v>Baş əməliyyatçı-kassir</v>
          </cell>
          <cell r="G4391" t="str">
            <v>A</v>
          </cell>
          <cell r="H4391">
            <v>42811</v>
          </cell>
        </row>
        <row r="4392">
          <cell r="B4392" t="str">
            <v>Osmanova Nigar İsmixan</v>
          </cell>
          <cell r="C4392" t="str">
            <v>#</v>
          </cell>
          <cell r="D4392" t="str">
            <v>Dəmiryol şöbəsi</v>
          </cell>
          <cell r="E4392" t="str">
            <v>Xidmət bölməsi</v>
          </cell>
          <cell r="F4392" t="str">
            <v>Kiçik əməliyyatçı-kassir</v>
          </cell>
          <cell r="G4392" t="str">
            <v>A</v>
          </cell>
          <cell r="H4392">
            <v>46007</v>
          </cell>
        </row>
        <row r="4393">
          <cell r="B4393" t="str">
            <v>Süleymanzadə Pərviz Süleyman</v>
          </cell>
          <cell r="C4393" t="str">
            <v>#</v>
          </cell>
          <cell r="D4393" t="str">
            <v>Hava limanı şöbəsi</v>
          </cell>
          <cell r="E4393" t="str">
            <v>#</v>
          </cell>
          <cell r="F4393" t="str">
            <v>Müdir</v>
          </cell>
          <cell r="G4393" t="str">
            <v>A</v>
          </cell>
          <cell r="H4393">
            <v>42473</v>
          </cell>
        </row>
        <row r="4394">
          <cell r="B4394" t="str">
            <v>Rəsulzadə Həsən Hüseyn</v>
          </cell>
          <cell r="C4394" t="str">
            <v>#</v>
          </cell>
          <cell r="D4394" t="str">
            <v>Hava limanı şöbəsi</v>
          </cell>
          <cell r="E4394" t="str">
            <v>Xidmət bölməsi</v>
          </cell>
          <cell r="F4394" t="str">
            <v>Baş əməliyyatçı-kassir</v>
          </cell>
          <cell r="G4394" t="str">
            <v>A</v>
          </cell>
          <cell r="H4394">
            <v>43395</v>
          </cell>
        </row>
        <row r="4395">
          <cell r="B4395" t="str">
            <v>Bilalzadə Ümid Firdovsi</v>
          </cell>
          <cell r="C4395" t="str">
            <v>#</v>
          </cell>
          <cell r="D4395" t="str">
            <v>Hava limanı şöbəsi</v>
          </cell>
          <cell r="E4395" t="str">
            <v>Xidmət bölməsi</v>
          </cell>
          <cell r="F4395" t="str">
            <v>Baş əməliyyatçı-kassir</v>
          </cell>
          <cell r="G4395" t="str">
            <v>A</v>
          </cell>
          <cell r="H4395">
            <v>43236</v>
          </cell>
        </row>
        <row r="4396">
          <cell r="B4396" t="str">
            <v>Əliyev Kənan Rövşən</v>
          </cell>
          <cell r="C4396" t="str">
            <v>#</v>
          </cell>
          <cell r="D4396" t="str">
            <v>Hava limanı şöbəsi</v>
          </cell>
          <cell r="E4396" t="str">
            <v>Xidmət bölməsi</v>
          </cell>
          <cell r="F4396" t="str">
            <v>Baş əməliyyatçı-kassir</v>
          </cell>
          <cell r="G4396" t="str">
            <v>A</v>
          </cell>
          <cell r="H4396">
            <v>43648</v>
          </cell>
        </row>
        <row r="4397">
          <cell r="B4397" t="str">
            <v>Səfərzadə Nurlan İzzət</v>
          </cell>
          <cell r="C4397" t="str">
            <v>#</v>
          </cell>
          <cell r="D4397" t="str">
            <v>Hava limanı şöbəsi</v>
          </cell>
          <cell r="E4397" t="str">
            <v>Xidmət bölməsi</v>
          </cell>
          <cell r="F4397" t="str">
            <v>Baş əməliyyatçı-kassir</v>
          </cell>
          <cell r="G4397" t="str">
            <v>A</v>
          </cell>
          <cell r="H4397">
            <v>43747</v>
          </cell>
        </row>
        <row r="4398">
          <cell r="B4398" t="str">
            <v>Əliyev Aqşin Alqış</v>
          </cell>
          <cell r="C4398" t="str">
            <v>#</v>
          </cell>
          <cell r="D4398" t="str">
            <v>Hava limanı şöbəsi</v>
          </cell>
          <cell r="E4398" t="str">
            <v>Xidmət bölməsi</v>
          </cell>
          <cell r="F4398" t="str">
            <v>Baş əməliyyatçı-kassir</v>
          </cell>
          <cell r="G4398" t="str">
            <v>A</v>
          </cell>
          <cell r="H4398">
            <v>43654</v>
          </cell>
        </row>
        <row r="4399">
          <cell r="B4399" t="str">
            <v xml:space="preserve">	Şavqatov Qəhrəman Azad</v>
          </cell>
          <cell r="C4399" t="str">
            <v>#</v>
          </cell>
          <cell r="D4399" t="str">
            <v>Hava limanı şöbəsi</v>
          </cell>
          <cell r="E4399" t="str">
            <v>Xidmət bölməsi</v>
          </cell>
          <cell r="F4399" t="str">
            <v>Baş əməliyyatçı-kassir</v>
          </cell>
          <cell r="G4399" t="str">
            <v>A</v>
          </cell>
          <cell r="H4399">
            <v>46076</v>
          </cell>
        </row>
        <row r="4400">
          <cell r="B4400" t="str">
            <v>Aslanov Şahin Mübarizoviç</v>
          </cell>
          <cell r="C4400" t="str">
            <v>#</v>
          </cell>
          <cell r="D4400" t="str">
            <v>Hava limanı şöbəsi</v>
          </cell>
          <cell r="E4400" t="str">
            <v>Xidmət bölməsi</v>
          </cell>
          <cell r="F4400" t="str">
            <v xml:space="preserve">Aparıcı əməliyyatçı-kassir </v>
          </cell>
          <cell r="G4400" t="str">
            <v>A</v>
          </cell>
          <cell r="H4400">
            <v>45068</v>
          </cell>
        </row>
        <row r="4401">
          <cell r="B4401" t="str">
            <v>Abdullayev Anar Yuriy</v>
          </cell>
          <cell r="C4401" t="str">
            <v>#</v>
          </cell>
          <cell r="D4401" t="str">
            <v>Hava limanı şöbəsi</v>
          </cell>
          <cell r="E4401" t="str">
            <v>Xidmət bölməsi</v>
          </cell>
          <cell r="F4401" t="str">
            <v xml:space="preserve">Aparıcı əməliyyatçı-kassir </v>
          </cell>
          <cell r="G4401" t="str">
            <v>A</v>
          </cell>
          <cell r="H4401">
            <v>45275</v>
          </cell>
        </row>
        <row r="4402">
          <cell r="B4402" t="str">
            <v>Gülməmmədov Elnur Zakir</v>
          </cell>
          <cell r="C4402" t="str">
            <v>#</v>
          </cell>
          <cell r="D4402" t="str">
            <v>Logistika şöbəsi</v>
          </cell>
          <cell r="E4402" t="str">
            <v>#</v>
          </cell>
          <cell r="F4402" t="str">
            <v>Müdir</v>
          </cell>
          <cell r="G4402" t="str">
            <v>A</v>
          </cell>
          <cell r="H4402">
            <v>39850</v>
          </cell>
        </row>
        <row r="4403">
          <cell r="B4403" t="str">
            <v>Qasımov Lətif Şiralı</v>
          </cell>
          <cell r="C4403" t="str">
            <v>#</v>
          </cell>
          <cell r="D4403" t="str">
            <v>Logistika şöbəsi</v>
          </cell>
          <cell r="E4403" t="str">
            <v>Xidmət bölməsi</v>
          </cell>
          <cell r="F4403" t="str">
            <v>Baş əməliyyatçı-kassir</v>
          </cell>
          <cell r="G4403" t="str">
            <v>A</v>
          </cell>
          <cell r="H4403">
            <v>44026</v>
          </cell>
        </row>
        <row r="4404">
          <cell r="B4404" t="str">
            <v>Abışova Günay Məhərrəm</v>
          </cell>
          <cell r="C4404" t="str">
            <v>4 saylı Bakı Asan filialı</v>
          </cell>
          <cell r="D4404" t="str">
            <v>#</v>
          </cell>
          <cell r="E4404" t="str">
            <v>#</v>
          </cell>
          <cell r="F4404" t="str">
            <v>Müdir</v>
          </cell>
          <cell r="G4404" t="str">
            <v>A</v>
          </cell>
          <cell r="H4404">
            <v>42695</v>
          </cell>
        </row>
        <row r="4405">
          <cell r="B4405" t="str">
            <v>Sanıyev Fərhad Məhəmməd</v>
          </cell>
          <cell r="C4405" t="str">
            <v>4 saylı Bakı Asan filialı</v>
          </cell>
          <cell r="D4405" t="str">
            <v>#</v>
          </cell>
          <cell r="E4405" t="str">
            <v>Xidmət bölməsi</v>
          </cell>
          <cell r="F4405" t="str">
            <v>Bölmə rəhbəri</v>
          </cell>
          <cell r="G4405" t="str">
            <v>A</v>
          </cell>
          <cell r="H4405">
            <v>39919</v>
          </cell>
        </row>
        <row r="4406">
          <cell r="B4406" t="str">
            <v>Əhmədli Elvin Qəzənfər</v>
          </cell>
          <cell r="C4406" t="str">
            <v>4 saylı Bakı Asan filialı</v>
          </cell>
          <cell r="D4406" t="str">
            <v>#</v>
          </cell>
          <cell r="E4406" t="str">
            <v>Xidmət bölməsi</v>
          </cell>
          <cell r="F4406" t="str">
            <v>Kassa üzrə aparıcı mütəxəssis</v>
          </cell>
          <cell r="G4406" t="str">
            <v>A</v>
          </cell>
          <cell r="H4406">
            <v>45369</v>
          </cell>
        </row>
        <row r="4407">
          <cell r="B4407" t="str">
            <v>Əhmədov Rəşad Bayram</v>
          </cell>
          <cell r="C4407" t="str">
            <v>4 saylı Bakı Asan filialı</v>
          </cell>
          <cell r="D4407" t="str">
            <v>#</v>
          </cell>
          <cell r="E4407" t="str">
            <v>Xidmət bölməsi</v>
          </cell>
          <cell r="F4407" t="str">
            <v>Müştərilərlə iş üzrə baş mütəxəssis</v>
          </cell>
          <cell r="G4407" t="str">
            <v>A</v>
          </cell>
          <cell r="H4407">
            <v>43034</v>
          </cell>
        </row>
        <row r="4408">
          <cell r="B4408" t="str">
            <v>Həsənov Seymur Faiq</v>
          </cell>
          <cell r="C4408" t="str">
            <v>4 saylı Bakı Asan filialı</v>
          </cell>
          <cell r="D4408" t="str">
            <v>#</v>
          </cell>
          <cell r="E4408" t="str">
            <v>Xidmət bölməsi</v>
          </cell>
          <cell r="F4408" t="str">
            <v>Baş əməliyyatçı-kassir</v>
          </cell>
          <cell r="G4408" t="str">
            <v>A</v>
          </cell>
          <cell r="H4408">
            <v>43762</v>
          </cell>
        </row>
        <row r="4409">
          <cell r="B4409" t="str">
            <v>Umarova Arzu Vaqif</v>
          </cell>
          <cell r="C4409" t="str">
            <v>4 saylı Bakı Asan filialı</v>
          </cell>
          <cell r="D4409" t="str">
            <v>#</v>
          </cell>
          <cell r="E4409" t="str">
            <v>Xidmət bölməsi</v>
          </cell>
          <cell r="F4409" t="str">
            <v xml:space="preserve">Aparıcı əməliyyatçı-kassir </v>
          </cell>
          <cell r="G4409" t="str">
            <v>SM</v>
          </cell>
          <cell r="H4409">
            <v>41852</v>
          </cell>
        </row>
        <row r="4410">
          <cell r="B4410" t="str">
            <v>Musayeva Ləman Rasim</v>
          </cell>
          <cell r="C4410" t="str">
            <v>4 saylı Bakı Asan filialı</v>
          </cell>
          <cell r="D4410" t="str">
            <v>#</v>
          </cell>
          <cell r="E4410" t="str">
            <v>Xidmət bölməsi</v>
          </cell>
          <cell r="F4410" t="str">
            <v>Baş əməliyyatçı-kassir</v>
          </cell>
          <cell r="G4410" t="str">
            <v>A</v>
          </cell>
          <cell r="H4410">
            <v>42023</v>
          </cell>
        </row>
        <row r="4411">
          <cell r="B4411" t="str">
            <v>Mehdiyeva Lalə Vaqif</v>
          </cell>
          <cell r="C4411" t="str">
            <v>4 saylı Bakı Asan filialı</v>
          </cell>
          <cell r="D4411" t="str">
            <v>#</v>
          </cell>
          <cell r="E4411" t="str">
            <v>Xidmət bölməsi</v>
          </cell>
          <cell r="F4411" t="str">
            <v xml:space="preserve">Aparıcı əməliyyatçı-kassir </v>
          </cell>
          <cell r="G4411" t="str">
            <v>A</v>
          </cell>
          <cell r="H4411">
            <v>41285</v>
          </cell>
        </row>
        <row r="4412">
          <cell r="B4412" t="str">
            <v>Mirzəzadə Taleh Tofiq</v>
          </cell>
          <cell r="C4412" t="str">
            <v>4 saylı Bakı Asan filialı</v>
          </cell>
          <cell r="D4412" t="str">
            <v>#</v>
          </cell>
          <cell r="E4412" t="str">
            <v>Xidmət bölməsi</v>
          </cell>
          <cell r="F4412" t="str">
            <v xml:space="preserve">Aparıcı əməliyyatçı-kassir </v>
          </cell>
          <cell r="G4412" t="str">
            <v>A</v>
          </cell>
          <cell r="H4412">
            <v>44685</v>
          </cell>
        </row>
        <row r="4413">
          <cell r="B4413" t="str">
            <v>MURADOV RAKHIB</v>
          </cell>
          <cell r="C4413" t="str">
            <v>4 saylı Bakı Asan filialı</v>
          </cell>
          <cell r="D4413" t="str">
            <v>#</v>
          </cell>
          <cell r="E4413" t="str">
            <v>Xidmət bölməsi</v>
          </cell>
          <cell r="F4413" t="str">
            <v>Əməliyyatçı-kassir</v>
          </cell>
          <cell r="G4413" t="str">
            <v>A</v>
          </cell>
          <cell r="H4413">
            <v>45889</v>
          </cell>
        </row>
        <row r="4414">
          <cell r="B4414" t="str">
            <v>Abadova Aygün Tahir</v>
          </cell>
          <cell r="C4414" t="str">
            <v>7 saylı Bakı Asan filialı</v>
          </cell>
          <cell r="D4414" t="str">
            <v>#</v>
          </cell>
          <cell r="E4414" t="str">
            <v>#</v>
          </cell>
          <cell r="F4414" t="str">
            <v>Müdir</v>
          </cell>
          <cell r="G4414" t="str">
            <v>A</v>
          </cell>
          <cell r="H4414">
            <v>42843</v>
          </cell>
        </row>
        <row r="4415">
          <cell r="B4415" t="str">
            <v>Məmmədov Rasim Fazil</v>
          </cell>
          <cell r="C4415" t="str">
            <v>7 saylı Bakı Asan filialı</v>
          </cell>
          <cell r="D4415" t="str">
            <v>#</v>
          </cell>
          <cell r="E4415" t="str">
            <v>Xidmət bölməsi</v>
          </cell>
          <cell r="F4415" t="str">
            <v>Müştərilərlə iş üzrə baş mütəxəssis</v>
          </cell>
          <cell r="G4415" t="str">
            <v>A</v>
          </cell>
          <cell r="H4415">
            <v>43243</v>
          </cell>
        </row>
        <row r="4416">
          <cell r="B4416" t="str">
            <v>Əhmədova Almaz Məhərrəm</v>
          </cell>
          <cell r="C4416" t="str">
            <v>7 saylı Bakı Asan filialı</v>
          </cell>
          <cell r="D4416" t="str">
            <v>#</v>
          </cell>
          <cell r="E4416" t="str">
            <v>Xidmət bölməsi</v>
          </cell>
          <cell r="F4416" t="str">
            <v>Baş əməliyyatçı-kassir</v>
          </cell>
          <cell r="G4416" t="str">
            <v>A</v>
          </cell>
          <cell r="H4416">
            <v>41586</v>
          </cell>
        </row>
        <row r="4417">
          <cell r="B4417" t="str">
            <v>Mikayılzadə Rasət Mürüvvət</v>
          </cell>
          <cell r="C4417" t="str">
            <v>7 saylı Bakı Asan filialı</v>
          </cell>
          <cell r="D4417" t="str">
            <v>#</v>
          </cell>
          <cell r="E4417" t="str">
            <v>Xidmət bölməsi</v>
          </cell>
          <cell r="F4417" t="str">
            <v xml:space="preserve">Baş əməliyyatçı-kassir </v>
          </cell>
          <cell r="G4417" t="str">
            <v>A</v>
          </cell>
          <cell r="H4417">
            <v>44721</v>
          </cell>
        </row>
        <row r="4418">
          <cell r="B4418" t="str">
            <v>Rzayeva Nəzirin Arzu</v>
          </cell>
          <cell r="C4418" t="str">
            <v>7 saylı Bakı Asan filialı</v>
          </cell>
          <cell r="D4418" t="str">
            <v>#</v>
          </cell>
          <cell r="E4418" t="str">
            <v>Xidmət bölməsi</v>
          </cell>
          <cell r="F4418" t="str">
            <v xml:space="preserve">Aparıcı əməliyyatçı-kassir </v>
          </cell>
          <cell r="G4418" t="str">
            <v>A</v>
          </cell>
          <cell r="H4418">
            <v>44945</v>
          </cell>
        </row>
        <row r="4419">
          <cell r="B4419" t="str">
            <v>Həsənova Aysel Seymur</v>
          </cell>
          <cell r="C4419" t="str">
            <v>7 saylı Bakı Asan filialı</v>
          </cell>
          <cell r="D4419" t="str">
            <v>#</v>
          </cell>
          <cell r="E4419" t="str">
            <v>Xidmət bölməsi</v>
          </cell>
          <cell r="F4419" t="str">
            <v xml:space="preserve">Aparıcı əməliyyatçı-kassir </v>
          </cell>
          <cell r="G4419" t="str">
            <v>A</v>
          </cell>
          <cell r="H4419">
            <v>44701</v>
          </cell>
        </row>
        <row r="4420">
          <cell r="B4420" t="str">
            <v>Abdullazadə Püstə Oruc</v>
          </cell>
          <cell r="C4420" t="str">
            <v>7 saylı Bakı Asan filialı</v>
          </cell>
          <cell r="D4420" t="str">
            <v>#</v>
          </cell>
          <cell r="E4420" t="str">
            <v>Xidmət bölməsi</v>
          </cell>
          <cell r="F4420" t="str">
            <v>Əməliyyatçı-kassir</v>
          </cell>
          <cell r="G4420" t="str">
            <v>SM</v>
          </cell>
          <cell r="H4420">
            <v>44958</v>
          </cell>
        </row>
        <row r="4421">
          <cell r="B4421" t="str">
            <v>Həbibli Fidan Asif</v>
          </cell>
          <cell r="C4421" t="str">
            <v>7 saylı Bakı Asan filialı</v>
          </cell>
          <cell r="D4421" t="str">
            <v>#</v>
          </cell>
          <cell r="E4421" t="str">
            <v>Xidmət bölməsi</v>
          </cell>
          <cell r="F4421" t="str">
            <v xml:space="preserve">Aparıcı əməliyyatçı-kassir </v>
          </cell>
          <cell r="G4421" t="str">
            <v>A</v>
          </cell>
          <cell r="H4421">
            <v>44858</v>
          </cell>
        </row>
        <row r="4422">
          <cell r="B4422" t="str">
            <v>Muradov Ramil Gülbala</v>
          </cell>
          <cell r="C4422" t="str">
            <v>1 saylı Sumqayıt Asan filialı</v>
          </cell>
          <cell r="D4422" t="str">
            <v>#</v>
          </cell>
          <cell r="E4422" t="str">
            <v>#</v>
          </cell>
          <cell r="F4422" t="str">
            <v>Müdir</v>
          </cell>
          <cell r="G4422" t="str">
            <v>A</v>
          </cell>
          <cell r="H4422">
            <v>42690</v>
          </cell>
        </row>
        <row r="4423">
          <cell r="B4423" t="str">
            <v>Quliyeva Ülviyə Sevindir</v>
          </cell>
          <cell r="C4423" t="str">
            <v>1 saylı Sumqayıt Asan filialı</v>
          </cell>
          <cell r="D4423" t="str">
            <v>#</v>
          </cell>
          <cell r="E4423" t="str">
            <v>Xidmət bölməsi</v>
          </cell>
          <cell r="F4423" t="str">
            <v>Müştərilərlə iş üzrə baş mütəxəssis</v>
          </cell>
          <cell r="G4423" t="str">
            <v>A</v>
          </cell>
          <cell r="H4423">
            <v>42503</v>
          </cell>
        </row>
        <row r="4424">
          <cell r="B4424" t="str">
            <v>Rəhimli Gülşən İlqar</v>
          </cell>
          <cell r="C4424" t="str">
            <v>1 saylı Sumqayıt Asan filialı</v>
          </cell>
          <cell r="D4424" t="str">
            <v>#</v>
          </cell>
          <cell r="E4424" t="str">
            <v>Xidmət bölməsi</v>
          </cell>
          <cell r="F4424" t="str">
            <v>Baş əməliyyatçı-kassir</v>
          </cell>
          <cell r="G4424" t="str">
            <v>A</v>
          </cell>
          <cell r="H4424">
            <v>43395</v>
          </cell>
        </row>
        <row r="4425">
          <cell r="B4425" t="str">
            <v>Xamiyeva Şəfiqə Məmməd</v>
          </cell>
          <cell r="C4425" t="str">
            <v>1 saylı Sumqayıt Asan filialı</v>
          </cell>
          <cell r="D4425" t="str">
            <v>#</v>
          </cell>
          <cell r="E4425" t="str">
            <v>Xidmət bölməsi</v>
          </cell>
          <cell r="F4425" t="str">
            <v xml:space="preserve">Baş əməliyyatçı-kassir </v>
          </cell>
          <cell r="G4425" t="str">
            <v>A</v>
          </cell>
          <cell r="H4425">
            <v>36684</v>
          </cell>
        </row>
        <row r="4426">
          <cell r="B4426" t="str">
            <v>Həsənova Dilbər Mübariz</v>
          </cell>
          <cell r="C4426" t="str">
            <v>1 saylı Sumqayıt Asan filialı</v>
          </cell>
          <cell r="D4426" t="str">
            <v>#</v>
          </cell>
          <cell r="E4426" t="str">
            <v>Xidmət bölməsi</v>
          </cell>
          <cell r="F4426" t="str">
            <v>Əməliyyatçı-kassir</v>
          </cell>
          <cell r="G4426" t="str">
            <v>SM</v>
          </cell>
          <cell r="H4426">
            <v>44746</v>
          </cell>
        </row>
        <row r="4427">
          <cell r="B4427" t="str">
            <v>Kərimova Aysel Şakir</v>
          </cell>
          <cell r="C4427" t="str">
            <v>1 saylı Sumqayıt Asan filialı</v>
          </cell>
          <cell r="D4427" t="str">
            <v>#</v>
          </cell>
          <cell r="E4427" t="str">
            <v>Xidmət bölməsi</v>
          </cell>
          <cell r="F4427" t="str">
            <v>Əməliyyatçı-kassir (müvəqqəti)</v>
          </cell>
          <cell r="G4427" t="str">
            <v>SM</v>
          </cell>
          <cell r="H4427">
            <v>44519</v>
          </cell>
        </row>
        <row r="4428">
          <cell r="B4428" t="str">
            <v>Həziyev Mehdi Bahadur</v>
          </cell>
          <cell r="C4428" t="str">
            <v>1 saylı Sumqayıt Asan filialı</v>
          </cell>
          <cell r="D4428" t="str">
            <v>#</v>
          </cell>
          <cell r="E4428" t="str">
            <v>Xidmət bölməsi</v>
          </cell>
          <cell r="F4428" t="str">
            <v xml:space="preserve">Aparıcı əməliyyatçı-kassir </v>
          </cell>
          <cell r="G4428" t="str">
            <v>A</v>
          </cell>
          <cell r="H4428">
            <v>44574</v>
          </cell>
        </row>
        <row r="4429">
          <cell r="B4429" t="str">
            <v>Nağıyeva Nurlana Razim</v>
          </cell>
          <cell r="C4429" t="str">
            <v>1 saylı Sumqayıt Asan filialı</v>
          </cell>
          <cell r="D4429" t="str">
            <v>#</v>
          </cell>
          <cell r="E4429" t="str">
            <v>Xidmət bölməsi</v>
          </cell>
          <cell r="F4429" t="str">
            <v xml:space="preserve">Aparıcı əməliyyatçı-kassir </v>
          </cell>
          <cell r="G4429" t="str">
            <v>HX</v>
          </cell>
          <cell r="H4429">
            <v>44889</v>
          </cell>
        </row>
        <row r="4430">
          <cell r="B4430" t="str">
            <v>Abbasova Aytac Nadir</v>
          </cell>
          <cell r="C4430" t="str">
            <v>1 saylı Sumqayıt Asan filialı</v>
          </cell>
          <cell r="D4430" t="str">
            <v>#</v>
          </cell>
          <cell r="E4430" t="str">
            <v>Xidmət bölməsi</v>
          </cell>
          <cell r="F4430" t="str">
            <v>Əməliyyatçı-kassir (müvəqqəti)</v>
          </cell>
          <cell r="G4430" t="str">
            <v>A</v>
          </cell>
          <cell r="H4430">
            <v>45378</v>
          </cell>
        </row>
        <row r="4431">
          <cell r="B4431" t="str">
            <v>Rüstəmli Əfsanə Nizami</v>
          </cell>
          <cell r="C4431" t="str">
            <v>1 saylı Sumqayıt Asan filialı</v>
          </cell>
          <cell r="D4431" t="str">
            <v>#</v>
          </cell>
          <cell r="E4431" t="str">
            <v>Xidmət bölməsi</v>
          </cell>
          <cell r="F4431" t="str">
            <v>Əməliyyatçı-kassir</v>
          </cell>
          <cell r="G4431" t="str">
            <v>A</v>
          </cell>
          <cell r="H4431">
            <v>45358</v>
          </cell>
        </row>
        <row r="4432">
          <cell r="B4432" t="str">
            <v>Abbasova Sevda Vidadi</v>
          </cell>
          <cell r="C4432" t="str">
            <v>1 saylı Sumqayıt Asan filialı</v>
          </cell>
          <cell r="D4432" t="str">
            <v>#</v>
          </cell>
          <cell r="E4432" t="str">
            <v>Xidmət bölməsi</v>
          </cell>
          <cell r="F4432" t="str">
            <v>Əməliyyatçı-kassir</v>
          </cell>
          <cell r="G4432" t="str">
            <v>A</v>
          </cell>
          <cell r="H4432">
            <v>45679</v>
          </cell>
        </row>
        <row r="4433">
          <cell r="B4433" t="str">
            <v>Məmmədova Aysel Həsənağa</v>
          </cell>
          <cell r="C4433" t="str">
            <v>2 saylı Sumqayıt Asan filialı</v>
          </cell>
          <cell r="D4433" t="str">
            <v>#</v>
          </cell>
          <cell r="E4433" t="str">
            <v>#</v>
          </cell>
          <cell r="F4433" t="str">
            <v>Müdir</v>
          </cell>
          <cell r="G4433" t="str">
            <v>HX</v>
          </cell>
          <cell r="H4433">
            <v>42605</v>
          </cell>
        </row>
        <row r="4434">
          <cell r="B4434" t="str">
            <v>Hüseynov Məmmədrza Məhəbbət</v>
          </cell>
          <cell r="C4434" t="str">
            <v>2 saylı Sumqayıt Asan filialı</v>
          </cell>
          <cell r="D4434" t="str">
            <v>#</v>
          </cell>
          <cell r="E4434" t="str">
            <v>Xidmət bölməsi</v>
          </cell>
          <cell r="F4434" t="str">
            <v>Baş əməliyyatçı-kassir</v>
          </cell>
          <cell r="G4434" t="str">
            <v>A</v>
          </cell>
          <cell r="H4434">
            <v>43628</v>
          </cell>
        </row>
        <row r="4435">
          <cell r="B4435" t="str">
            <v>Həşimov Anar İldırım</v>
          </cell>
          <cell r="C4435" t="str">
            <v>2 saylı Sumqayıt Asan filialı</v>
          </cell>
          <cell r="D4435" t="str">
            <v>#</v>
          </cell>
          <cell r="E4435" t="str">
            <v>Xidmət bölməsi</v>
          </cell>
          <cell r="F4435" t="str">
            <v>Baş əməliyyatçı-kassir</v>
          </cell>
          <cell r="G4435" t="str">
            <v>A</v>
          </cell>
          <cell r="H4435">
            <v>44148</v>
          </cell>
        </row>
        <row r="4436">
          <cell r="B4436" t="str">
            <v>Şiriyeva Şahsənəm Bəyoğlan</v>
          </cell>
          <cell r="C4436" t="str">
            <v>2 saylı Sumqayıt Asan filialı</v>
          </cell>
          <cell r="D4436" t="str">
            <v>#</v>
          </cell>
          <cell r="E4436" t="str">
            <v>Xidmət bölməsi</v>
          </cell>
          <cell r="F4436" t="str">
            <v xml:space="preserve">Aparıcı əməliyyatçı-kassir </v>
          </cell>
          <cell r="G4436" t="str">
            <v>A</v>
          </cell>
          <cell r="H4436">
            <v>44777</v>
          </cell>
        </row>
        <row r="4437">
          <cell r="B4437" t="str">
            <v>Uzakova Amaliya İntiqam</v>
          </cell>
          <cell r="C4437" t="str">
            <v>2 saylı Sumqayıt Asan filialı</v>
          </cell>
          <cell r="D4437" t="str">
            <v>#</v>
          </cell>
          <cell r="E4437" t="str">
            <v>Xidmət bölməsi</v>
          </cell>
          <cell r="F4437" t="str">
            <v xml:space="preserve">Aparıcı əməliyyatçı-kassir </v>
          </cell>
          <cell r="G4437" t="str">
            <v>A</v>
          </cell>
          <cell r="H4437">
            <v>43563</v>
          </cell>
        </row>
        <row r="4438">
          <cell r="B4438" t="str">
            <v>Rəşidi Osman Qeys</v>
          </cell>
          <cell r="C4438" t="str">
            <v>2 saylı Sumqayıt Asan filialı</v>
          </cell>
          <cell r="D4438" t="str">
            <v>#</v>
          </cell>
          <cell r="E4438" t="str">
            <v>Xidmət bölməsi</v>
          </cell>
          <cell r="F4438" t="str">
            <v>Əməliyyatçı-kassir</v>
          </cell>
          <cell r="G4438" t="str">
            <v>A</v>
          </cell>
          <cell r="H4438">
            <v>43882</v>
          </cell>
        </row>
        <row r="4439">
          <cell r="B4439" t="str">
            <v>Tağıyev Elzamin Musa</v>
          </cell>
          <cell r="C4439" t="str">
            <v>28 Mall filialı</v>
          </cell>
          <cell r="D4439" t="str">
            <v>#</v>
          </cell>
          <cell r="E4439" t="str">
            <v>#</v>
          </cell>
          <cell r="F4439" t="str">
            <v>Müdir</v>
          </cell>
          <cell r="G4439" t="str">
            <v>A</v>
          </cell>
          <cell r="H4439">
            <v>42226</v>
          </cell>
        </row>
        <row r="4440">
          <cell r="B4440" t="str">
            <v>Məhəmmədli Emil Bəxtiyar</v>
          </cell>
          <cell r="C4440" t="str">
            <v>28 Mall filialı</v>
          </cell>
          <cell r="D4440" t="str">
            <v>#</v>
          </cell>
          <cell r="E4440" t="str">
            <v>Xidmət bölməsi</v>
          </cell>
          <cell r="F4440" t="str">
            <v>Müştərilərlə iş üzrə baş mütəxəssis</v>
          </cell>
          <cell r="G4440" t="str">
            <v>A</v>
          </cell>
          <cell r="H4440">
            <v>42675</v>
          </cell>
        </row>
        <row r="4441">
          <cell r="B4441" t="str">
            <v>Əhmədov Əlövsət Mətləb</v>
          </cell>
          <cell r="C4441" t="str">
            <v>28 Mall filialı</v>
          </cell>
          <cell r="D4441" t="str">
            <v>#</v>
          </cell>
          <cell r="E4441" t="str">
            <v>Xidmət bölməsi</v>
          </cell>
          <cell r="F4441" t="str">
            <v>Müştərilərlə iş üzrə aparıcı mütəxəssis</v>
          </cell>
          <cell r="G4441" t="str">
            <v>A</v>
          </cell>
          <cell r="H4441">
            <v>44936</v>
          </cell>
        </row>
        <row r="4442">
          <cell r="B4442" t="str">
            <v>Nəsirova Aytac Tahir</v>
          </cell>
          <cell r="C4442" t="str">
            <v>28 Mall filialı</v>
          </cell>
          <cell r="D4442" t="str">
            <v>#</v>
          </cell>
          <cell r="E4442" t="str">
            <v>Xidmət bölməsi</v>
          </cell>
          <cell r="F4442" t="str">
            <v>Müştərilərlə iş üzrə aparıcı mütəxəssis</v>
          </cell>
          <cell r="G4442" t="str">
            <v>SM</v>
          </cell>
          <cell r="H4442">
            <v>44621</v>
          </cell>
        </row>
        <row r="4443">
          <cell r="B4443" t="str">
            <v>Əkbərov Fərrux Ramin</v>
          </cell>
          <cell r="C4443" t="str">
            <v>28 Mall filialı</v>
          </cell>
          <cell r="D4443" t="str">
            <v>#</v>
          </cell>
          <cell r="E4443" t="str">
            <v>Xidmət bölməsi</v>
          </cell>
          <cell r="F4443" t="str">
            <v>Müştərilərlə iş üzrə aparıcı mütəxəssis</v>
          </cell>
          <cell r="G4443" t="str">
            <v>A</v>
          </cell>
          <cell r="H4443">
            <v>44922</v>
          </cell>
        </row>
        <row r="4444">
          <cell r="B4444" t="str">
            <v>Axundova Ayşə Sərdar</v>
          </cell>
          <cell r="C4444" t="str">
            <v>28 Mall filialı</v>
          </cell>
          <cell r="D4444" t="str">
            <v>#</v>
          </cell>
          <cell r="E4444" t="str">
            <v>Xidmət bölməsi</v>
          </cell>
          <cell r="F4444" t="str">
            <v>Müştərilərlə iş üzrə aparıcı mütəxəssis</v>
          </cell>
          <cell r="G4444" t="str">
            <v>A</v>
          </cell>
          <cell r="H4444">
            <v>45127</v>
          </cell>
        </row>
        <row r="4445">
          <cell r="B4445" t="str">
            <v>Hüseynova Ülkər Etibar</v>
          </cell>
          <cell r="C4445" t="str">
            <v>28 Mall filialı</v>
          </cell>
          <cell r="D4445" t="str">
            <v>#</v>
          </cell>
          <cell r="E4445" t="str">
            <v>Xidmət bölməsi</v>
          </cell>
          <cell r="F4445" t="str">
            <v>Müştərilərlə iş üzrə mütəxəssis</v>
          </cell>
          <cell r="G4445" t="str">
            <v>A</v>
          </cell>
          <cell r="H4445">
            <v>44967</v>
          </cell>
        </row>
        <row r="4446">
          <cell r="B4446" t="str">
            <v>Alıyeva Səbinə Ramin</v>
          </cell>
          <cell r="C4446" t="str">
            <v>28 Mall filialı</v>
          </cell>
          <cell r="D4446" t="str">
            <v>#</v>
          </cell>
          <cell r="E4446" t="str">
            <v>Xidmət bölməsi</v>
          </cell>
          <cell r="F4446" t="str">
            <v>Müştərilərlə iş üzrə mütəxəssis</v>
          </cell>
          <cell r="G4446" t="str">
            <v>A</v>
          </cell>
          <cell r="H4446">
            <v>45610</v>
          </cell>
        </row>
        <row r="4447">
          <cell r="B4447" t="str">
            <v>Məmmədova Aida Bayram</v>
          </cell>
          <cell r="C4447" t="str">
            <v>28 Mall filialı</v>
          </cell>
          <cell r="D4447" t="str">
            <v>#</v>
          </cell>
          <cell r="E4447" t="str">
            <v>Xidmət bölməsi</v>
          </cell>
          <cell r="F4447" t="str">
            <v>Müştərilərlə iş üzrə mütəxəssis</v>
          </cell>
          <cell r="G4447" t="str">
            <v>A</v>
          </cell>
          <cell r="H4447">
            <v>44830</v>
          </cell>
        </row>
        <row r="4448">
          <cell r="B4448" t="str">
            <v>Qəhrəmanov Emil Eminağa</v>
          </cell>
          <cell r="C4448" t="str">
            <v>28 Mall filialı</v>
          </cell>
          <cell r="D4448" t="str">
            <v>#</v>
          </cell>
          <cell r="E4448" t="str">
            <v>Xidmət bölməsi</v>
          </cell>
          <cell r="F4448" t="str">
            <v>Kassa üzrə aparıcı mütəxəssis</v>
          </cell>
          <cell r="G4448" t="str">
            <v>A</v>
          </cell>
          <cell r="H4448">
            <v>45187</v>
          </cell>
        </row>
        <row r="4449">
          <cell r="B4449" t="str">
            <v>Oruc Orxan Namiq</v>
          </cell>
          <cell r="C4449" t="str">
            <v>28 Mall filialı</v>
          </cell>
          <cell r="D4449" t="str">
            <v>#</v>
          </cell>
          <cell r="E4449" t="str">
            <v>Xidmət bölməsi</v>
          </cell>
          <cell r="F4449" t="str">
            <v>Kassa üzrə mütəxəssis</v>
          </cell>
          <cell r="G4449" t="str">
            <v>A</v>
          </cell>
          <cell r="H4449">
            <v>45568</v>
          </cell>
        </row>
        <row r="4450">
          <cell r="B4450" t="str">
            <v>Əhmədova Ləman Zahid</v>
          </cell>
          <cell r="C4450" t="str">
            <v>28 Mall filialı</v>
          </cell>
          <cell r="D4450" t="str">
            <v>#</v>
          </cell>
          <cell r="E4450" t="str">
            <v>Xidmət bölməsi</v>
          </cell>
          <cell r="F4450" t="str">
            <v>Məlumat xidməti üzrə mütəxəssis</v>
          </cell>
          <cell r="G4450" t="str">
            <v>A</v>
          </cell>
          <cell r="H4450">
            <v>45730</v>
          </cell>
        </row>
        <row r="4451">
          <cell r="B4451" t="str">
            <v>İsmayılova Esmira Hüseyn</v>
          </cell>
          <cell r="C4451" t="str">
            <v>28 Mall filialı</v>
          </cell>
          <cell r="D4451" t="str">
            <v>#</v>
          </cell>
          <cell r="E4451" t="str">
            <v>İnzibati bölmə</v>
          </cell>
          <cell r="F4451" t="str">
            <v>Xadimə</v>
          </cell>
          <cell r="G4451" t="str">
            <v>A</v>
          </cell>
          <cell r="H4451">
            <v>36712</v>
          </cell>
        </row>
        <row r="4452">
          <cell r="B4452" t="str">
            <v>Əliyev Səbuhi Xudamizoviç</v>
          </cell>
          <cell r="C4452" t="str">
            <v>Abşeron  filialı</v>
          </cell>
          <cell r="D4452" t="str">
            <v>#</v>
          </cell>
          <cell r="E4452" t="str">
            <v>#</v>
          </cell>
          <cell r="F4452" t="str">
            <v>Müdir</v>
          </cell>
          <cell r="G4452" t="str">
            <v>A</v>
          </cell>
          <cell r="H4452">
            <v>42698</v>
          </cell>
        </row>
        <row r="4453">
          <cell r="B4453" t="str">
            <v>Aslanova Aysel Azad</v>
          </cell>
          <cell r="C4453" t="str">
            <v>Abşeron  filialı</v>
          </cell>
          <cell r="D4453" t="str">
            <v>#</v>
          </cell>
          <cell r="E4453" t="str">
            <v>Xidmət bölməsi</v>
          </cell>
          <cell r="F4453" t="str">
            <v>Bölmə rəhbəri</v>
          </cell>
          <cell r="G4453" t="str">
            <v>A</v>
          </cell>
          <cell r="H4453">
            <v>43224</v>
          </cell>
        </row>
        <row r="4454">
          <cell r="B4454" t="str">
            <v>Həşimov Əlib Aqil</v>
          </cell>
          <cell r="C4454" t="str">
            <v>Abşeron  filialı</v>
          </cell>
          <cell r="D4454" t="str">
            <v>#</v>
          </cell>
          <cell r="E4454" t="str">
            <v>Xidmət bölməsi</v>
          </cell>
          <cell r="F4454" t="str">
            <v>Müştərilərlə iş üzrə baş mütəxəssis</v>
          </cell>
          <cell r="G4454" t="str">
            <v>A</v>
          </cell>
          <cell r="H4454">
            <v>42898</v>
          </cell>
        </row>
        <row r="4455">
          <cell r="B4455" t="str">
            <v>İsmayılov Sacid Mikayıl</v>
          </cell>
          <cell r="C4455" t="str">
            <v>Abşeron  filialı</v>
          </cell>
          <cell r="D4455" t="str">
            <v>#</v>
          </cell>
          <cell r="E4455" t="str">
            <v>Xidmət bölməsi</v>
          </cell>
          <cell r="F4455" t="str">
            <v>Müştərilərlə iş üzrə baş mütəxəssis</v>
          </cell>
          <cell r="G4455" t="str">
            <v>A</v>
          </cell>
          <cell r="H4455">
            <v>43160</v>
          </cell>
        </row>
        <row r="4456">
          <cell r="B4456" t="str">
            <v>Mürşüdov Xalid Elşən</v>
          </cell>
          <cell r="C4456" t="str">
            <v>Abşeron  filialı</v>
          </cell>
          <cell r="D4456" t="str">
            <v>#</v>
          </cell>
          <cell r="E4456" t="str">
            <v>Xidmət bölməsi</v>
          </cell>
          <cell r="F4456" t="str">
            <v>Müştərilərlə iş üzrə baş mütəxəssis</v>
          </cell>
          <cell r="G4456" t="str">
            <v>A</v>
          </cell>
          <cell r="H4456">
            <v>41983</v>
          </cell>
        </row>
        <row r="4457">
          <cell r="B4457" t="str">
            <v>XXX Nərmin Nurəddin</v>
          </cell>
          <cell r="C4457" t="str">
            <v>Abşeron  filialı</v>
          </cell>
          <cell r="D4457" t="str">
            <v>#</v>
          </cell>
          <cell r="E4457" t="str">
            <v>Xidmət bölməsi</v>
          </cell>
          <cell r="F4457" t="str">
            <v>Müştərilərlə iş üzrə baş mütəxəssis</v>
          </cell>
          <cell r="G4457" t="str">
            <v>A</v>
          </cell>
          <cell r="H4457">
            <v>43675</v>
          </cell>
        </row>
        <row r="4458">
          <cell r="B4458" t="str">
            <v>Hüseynova Nərmin Ramiz</v>
          </cell>
          <cell r="C4458" t="str">
            <v>Abşeron  filialı</v>
          </cell>
          <cell r="D4458" t="str">
            <v>#</v>
          </cell>
          <cell r="E4458" t="str">
            <v>Xidmət bölməsi</v>
          </cell>
          <cell r="F4458" t="str">
            <v>Müştərilərlə iş üzrə baş mütəxəssis</v>
          </cell>
          <cell r="G4458" t="str">
            <v>A</v>
          </cell>
          <cell r="H4458">
            <v>43339</v>
          </cell>
        </row>
        <row r="4459">
          <cell r="B4459" t="str">
            <v>Abbaslı Kamran Ərəstun</v>
          </cell>
          <cell r="C4459" t="str">
            <v>Abşeron  filialı</v>
          </cell>
          <cell r="D4459" t="str">
            <v>#</v>
          </cell>
          <cell r="E4459" t="str">
            <v>Xidmət bölməsi</v>
          </cell>
          <cell r="F4459" t="str">
            <v>Müştərilərlə iş üzrə baş mütəxəssis</v>
          </cell>
          <cell r="G4459" t="str">
            <v>A</v>
          </cell>
          <cell r="H4459">
            <v>43430</v>
          </cell>
        </row>
        <row r="4460">
          <cell r="B4460" t="str">
            <v>Əsədova Humay Eldar</v>
          </cell>
          <cell r="C4460" t="str">
            <v>Abşeron  filialı</v>
          </cell>
          <cell r="D4460" t="str">
            <v>#</v>
          </cell>
          <cell r="E4460" t="str">
            <v>Xidmət bölməsi</v>
          </cell>
          <cell r="F4460" t="str">
            <v>Müştərilərlə iş üzrə baş mütəxəssis</v>
          </cell>
          <cell r="G4460" t="str">
            <v>A</v>
          </cell>
          <cell r="H4460">
            <v>42592</v>
          </cell>
        </row>
        <row r="4461">
          <cell r="B4461" t="str">
            <v>Ocaqov Hüseyn Yavər</v>
          </cell>
          <cell r="C4461" t="str">
            <v>Abşeron  filialı</v>
          </cell>
          <cell r="D4461" t="str">
            <v>#</v>
          </cell>
          <cell r="E4461" t="str">
            <v>Xidmət bölməsi</v>
          </cell>
          <cell r="F4461" t="str">
            <v>Müştərilərlə iş üzrə baş mütəxəssis</v>
          </cell>
          <cell r="G4461" t="str">
            <v>A</v>
          </cell>
          <cell r="H4461">
            <v>44617</v>
          </cell>
        </row>
        <row r="4462">
          <cell r="B4462" t="str">
            <v>Baloğlanlı Rahid Ələddin</v>
          </cell>
          <cell r="C4462" t="str">
            <v>Abşeron  filialı</v>
          </cell>
          <cell r="D4462" t="str">
            <v>#</v>
          </cell>
          <cell r="E4462" t="str">
            <v>Xidmət bölməsi</v>
          </cell>
          <cell r="F4462" t="str">
            <v>Müştərilərlə iş üzrə aparıcı mütəxəssis</v>
          </cell>
          <cell r="G4462" t="str">
            <v>A</v>
          </cell>
          <cell r="H4462">
            <v>44705</v>
          </cell>
        </row>
        <row r="4463">
          <cell r="B4463" t="str">
            <v>Əkbərov Eltun Xəzail</v>
          </cell>
          <cell r="C4463" t="str">
            <v>Abşeron  filialı</v>
          </cell>
          <cell r="D4463" t="str">
            <v>#</v>
          </cell>
          <cell r="E4463" t="str">
            <v>Xidmət bölməsi</v>
          </cell>
          <cell r="F4463" t="str">
            <v>Müştərilərlə iş üzrə baş mütəxəssis</v>
          </cell>
          <cell r="G4463" t="str">
            <v>A</v>
          </cell>
          <cell r="H4463">
            <v>43383</v>
          </cell>
        </row>
        <row r="4464">
          <cell r="B4464" t="str">
            <v>Kəlbiyeva Nigar Yusif</v>
          </cell>
          <cell r="C4464" t="str">
            <v>Abşeron  filialı</v>
          </cell>
          <cell r="D4464" t="str">
            <v>#</v>
          </cell>
          <cell r="E4464" t="str">
            <v>Xidmət bölməsi</v>
          </cell>
          <cell r="F4464" t="str">
            <v>Müştərilərlə iş üzrə aparıcı mütəxəssis</v>
          </cell>
          <cell r="G4464" t="str">
            <v>A</v>
          </cell>
          <cell r="H4464">
            <v>44995</v>
          </cell>
        </row>
        <row r="4465">
          <cell r="B4465" t="str">
            <v>Quliyeva Lalə Həsən</v>
          </cell>
          <cell r="C4465" t="str">
            <v>Abşeron  filialı</v>
          </cell>
          <cell r="D4465" t="str">
            <v>#</v>
          </cell>
          <cell r="E4465" t="str">
            <v>Xidmət bölməsi</v>
          </cell>
          <cell r="F4465" t="str">
            <v>Müştərilərlə iş üzrə aparıcı mütəxəssis</v>
          </cell>
          <cell r="G4465" t="str">
            <v>A</v>
          </cell>
          <cell r="H4465">
            <v>45628</v>
          </cell>
        </row>
        <row r="4466">
          <cell r="B4466" t="str">
            <v>Hacıyeva Həsrət Vüqar</v>
          </cell>
          <cell r="C4466" t="str">
            <v>Abşeron  filialı</v>
          </cell>
          <cell r="D4466" t="str">
            <v>#</v>
          </cell>
          <cell r="E4466" t="str">
            <v>Xidmət bölməsi</v>
          </cell>
          <cell r="F4466" t="str">
            <v>Müştərilərlə iş üzrə mütəxəssis</v>
          </cell>
          <cell r="G4466" t="str">
            <v>A</v>
          </cell>
          <cell r="H4466">
            <v>45050</v>
          </cell>
        </row>
        <row r="4467">
          <cell r="B4467" t="str">
            <v>Siyahova Aytac Habil</v>
          </cell>
          <cell r="C4467" t="str">
            <v>Abşeron  filialı</v>
          </cell>
          <cell r="D4467" t="str">
            <v>#</v>
          </cell>
          <cell r="E4467" t="str">
            <v>Xidmət bölməsi</v>
          </cell>
          <cell r="F4467" t="str">
            <v>Müştərilərlə iş üzrə mütəxəssis</v>
          </cell>
          <cell r="G4467" t="str">
            <v>A</v>
          </cell>
          <cell r="H4467">
            <v>44594</v>
          </cell>
        </row>
        <row r="4468">
          <cell r="B4468" t="str">
            <v>Xəlilova Aytən Allahverdi</v>
          </cell>
          <cell r="C4468" t="str">
            <v>Abşeron  filialı</v>
          </cell>
          <cell r="D4468" t="str">
            <v>#</v>
          </cell>
          <cell r="E4468" t="str">
            <v>Xidmət bölməsi</v>
          </cell>
          <cell r="F4468" t="str">
            <v>Müştərilərlə iş üzrə mütəxəssis</v>
          </cell>
          <cell r="G4468" t="str">
            <v>A</v>
          </cell>
          <cell r="H4468">
            <v>45646</v>
          </cell>
        </row>
        <row r="4469">
          <cell r="B4469" t="str">
            <v>Mehtiyev Tural İnsaf</v>
          </cell>
          <cell r="C4469" t="str">
            <v>Abşeron  filialı</v>
          </cell>
          <cell r="D4469" t="str">
            <v>#</v>
          </cell>
          <cell r="E4469" t="str">
            <v>Xidmət bölməsi</v>
          </cell>
          <cell r="F4469" t="str">
            <v>Kassa üzrə baş mütəxəssis</v>
          </cell>
          <cell r="G4469" t="str">
            <v>A</v>
          </cell>
          <cell r="H4469">
            <v>42781</v>
          </cell>
        </row>
        <row r="4470">
          <cell r="B4470" t="str">
            <v>Rüstəmli Lalə Ziyad</v>
          </cell>
          <cell r="C4470" t="str">
            <v>Abşeron  filialı</v>
          </cell>
          <cell r="D4470" t="str">
            <v>#</v>
          </cell>
          <cell r="E4470" t="str">
            <v>Xidmət bölməsi</v>
          </cell>
          <cell r="F4470" t="str">
            <v>Kassa üzrə mütəxəssis</v>
          </cell>
          <cell r="G4470" t="str">
            <v>A</v>
          </cell>
          <cell r="H4470">
            <v>45012</v>
          </cell>
        </row>
        <row r="4471">
          <cell r="B4471" t="str">
            <v>Məmmədli Məmmədhüseyn Niyaməddin</v>
          </cell>
          <cell r="C4471" t="str">
            <v>Abşeron  filialı</v>
          </cell>
          <cell r="D4471" t="str">
            <v>#</v>
          </cell>
          <cell r="E4471" t="str">
            <v>Xidmət bölməsi</v>
          </cell>
          <cell r="F4471" t="str">
            <v>Kassa üzrə mütəxəssis</v>
          </cell>
          <cell r="G4471" t="str">
            <v>A</v>
          </cell>
          <cell r="H4471">
            <v>45356</v>
          </cell>
        </row>
        <row r="4472">
          <cell r="B4472" t="str">
            <v>Kərimova Zərifə Yusif</v>
          </cell>
          <cell r="C4472" t="str">
            <v>Abşeron  filialı</v>
          </cell>
          <cell r="D4472" t="str">
            <v>#</v>
          </cell>
          <cell r="E4472" t="str">
            <v>Xidmət bölməsi</v>
          </cell>
          <cell r="F4472" t="str">
            <v>Baş əməliyyatçı-kassir</v>
          </cell>
          <cell r="G4472" t="str">
            <v>A</v>
          </cell>
          <cell r="H4472">
            <v>38355</v>
          </cell>
        </row>
        <row r="4473">
          <cell r="B4473" t="str">
            <v>Yunusova Aytən Çingiz</v>
          </cell>
          <cell r="C4473" t="str">
            <v>Abşeron  filialı</v>
          </cell>
          <cell r="D4473" t="str">
            <v>#</v>
          </cell>
          <cell r="E4473" t="str">
            <v>Xidmət bölməsi</v>
          </cell>
          <cell r="F4473" t="str">
            <v>Əməliyyatçı-kassir</v>
          </cell>
          <cell r="G4473" t="str">
            <v>A</v>
          </cell>
          <cell r="H4473">
            <v>43209</v>
          </cell>
        </row>
        <row r="4474">
          <cell r="B4474" t="str">
            <v>Məhərrəmova Narınc Yunis</v>
          </cell>
          <cell r="C4474" t="str">
            <v>Abşeron  filialı</v>
          </cell>
          <cell r="D4474" t="str">
            <v>#</v>
          </cell>
          <cell r="E4474" t="str">
            <v>Xidmət bölməsi</v>
          </cell>
          <cell r="F4474" t="str">
            <v>Məlumat xidməti üzrə aparıcı mütəxəssis</v>
          </cell>
          <cell r="G4474" t="str">
            <v>SM</v>
          </cell>
          <cell r="H4474">
            <v>45023</v>
          </cell>
        </row>
        <row r="4475">
          <cell r="B4475" t="str">
            <v>Əliməmmədova Arzu Ağalar</v>
          </cell>
          <cell r="C4475" t="str">
            <v>Abşeron  filialı</v>
          </cell>
          <cell r="D4475" t="str">
            <v>#</v>
          </cell>
          <cell r="E4475" t="str">
            <v>Xidmət bölməsi</v>
          </cell>
          <cell r="F4475" t="str">
            <v>Məlumat xidməti üzrə kiçik mütəxəssis (müvəqqəti)</v>
          </cell>
          <cell r="G4475" t="str">
            <v>A</v>
          </cell>
          <cell r="H4475">
            <v>46135</v>
          </cell>
        </row>
        <row r="4476">
          <cell r="B4476" t="str">
            <v>İmanov Sənan Vəkil</v>
          </cell>
          <cell r="C4476" t="str">
            <v>Abşeron  filialı</v>
          </cell>
          <cell r="D4476" t="str">
            <v>#</v>
          </cell>
          <cell r="E4476" t="str">
            <v>Mikro kredit bölməsi</v>
          </cell>
          <cell r="F4476" t="str">
            <v>Bölmə rəhbəri</v>
          </cell>
          <cell r="G4476" t="str">
            <v>A</v>
          </cell>
          <cell r="H4476">
            <v>45258</v>
          </cell>
        </row>
        <row r="4477">
          <cell r="B4477" t="str">
            <v>Rəhimli Firidun Firdovsi</v>
          </cell>
          <cell r="C4477" t="str">
            <v>Abşeron  filialı</v>
          </cell>
          <cell r="D4477" t="str">
            <v>#</v>
          </cell>
          <cell r="E4477" t="str">
            <v>Mikro kredit bölməsi</v>
          </cell>
          <cell r="F4477" t="str">
            <v>Aparıcı mütəxəssis</v>
          </cell>
          <cell r="G4477" t="str">
            <v>A</v>
          </cell>
          <cell r="H4477">
            <v>44676</v>
          </cell>
        </row>
        <row r="4478">
          <cell r="B4478" t="str">
            <v>Babayev Rəbbi Vüqar</v>
          </cell>
          <cell r="C4478" t="str">
            <v>Abşeron  filialı</v>
          </cell>
          <cell r="D4478" t="str">
            <v>#</v>
          </cell>
          <cell r="E4478" t="str">
            <v>Mikro kredit bölməsi</v>
          </cell>
          <cell r="F4478" t="str">
            <v>Mütəxəssis</v>
          </cell>
          <cell r="G4478" t="str">
            <v>A</v>
          </cell>
          <cell r="H4478">
            <v>45463</v>
          </cell>
        </row>
        <row r="4479">
          <cell r="B4479" t="str">
            <v>Quluyev Toğrul Gəray</v>
          </cell>
          <cell r="C4479" t="str">
            <v>Abşeron  filialı</v>
          </cell>
          <cell r="D4479" t="str">
            <v>#</v>
          </cell>
          <cell r="E4479" t="str">
            <v>Mikro kredit bölməsi</v>
          </cell>
          <cell r="F4479" t="str">
            <v>Mütəxəssis</v>
          </cell>
          <cell r="G4479" t="str">
            <v>A</v>
          </cell>
          <cell r="H4479">
            <v>45751</v>
          </cell>
        </row>
        <row r="4480">
          <cell r="B4480" t="str">
            <v>Həsənov Şahmar Atif</v>
          </cell>
          <cell r="C4480" t="str">
            <v>Abşeron  filialı</v>
          </cell>
          <cell r="D4480" t="str">
            <v>#</v>
          </cell>
          <cell r="E4480" t="str">
            <v>Mikro kredit bölməsi</v>
          </cell>
          <cell r="F4480" t="str">
            <v>Kiçik mütəxəssis</v>
          </cell>
          <cell r="G4480" t="str">
            <v>A</v>
          </cell>
          <cell r="H4480">
            <v>45947</v>
          </cell>
        </row>
        <row r="4481">
          <cell r="B4481" t="str">
            <v>İsrafilova Səidə Qurban</v>
          </cell>
          <cell r="C4481" t="str">
            <v>Abşeron  filialı</v>
          </cell>
          <cell r="D4481" t="str">
            <v>#</v>
          </cell>
          <cell r="E4481" t="str">
            <v>İnzibati bölmə</v>
          </cell>
          <cell r="F4481" t="str">
            <v>Xadimə</v>
          </cell>
          <cell r="G4481" t="str">
            <v>A</v>
          </cell>
          <cell r="H4481">
            <v>43640</v>
          </cell>
        </row>
        <row r="4482">
          <cell r="B4482" t="str">
            <v>Mikayılov Tofiq Rafiq</v>
          </cell>
          <cell r="C4482" t="str">
            <v>Ağ şəhər KOB mərkəzi filialı</v>
          </cell>
          <cell r="D4482" t="str">
            <v>#</v>
          </cell>
          <cell r="E4482" t="str">
            <v>#</v>
          </cell>
          <cell r="F4482" t="str">
            <v>Müdir</v>
          </cell>
          <cell r="G4482" t="str">
            <v>A</v>
          </cell>
          <cell r="H4482">
            <v>42417</v>
          </cell>
        </row>
        <row r="4483">
          <cell r="B4483" t="str">
            <v>Qəniyev Sübhan İslam</v>
          </cell>
          <cell r="C4483" t="str">
            <v>Ağ şəhər KOB mərkəzi filialı</v>
          </cell>
          <cell r="D4483" t="str">
            <v>#</v>
          </cell>
          <cell r="E4483" t="str">
            <v>Xidmət bölməsi</v>
          </cell>
          <cell r="F4483" t="str">
            <v>Kassa üzrə baş mütəxəssis</v>
          </cell>
          <cell r="G4483" t="str">
            <v>A</v>
          </cell>
          <cell r="H4483">
            <v>43573</v>
          </cell>
        </row>
        <row r="4484">
          <cell r="B4484" t="str">
            <v>Cəfərli Səid Zöhrab</v>
          </cell>
          <cell r="C4484" t="str">
            <v>Ağ şəhər KOB mərkəzi filialı</v>
          </cell>
          <cell r="D4484" t="str">
            <v>#</v>
          </cell>
          <cell r="E4484" t="str">
            <v>Xidmət bölməsi</v>
          </cell>
          <cell r="F4484" t="str">
            <v>Kassa üzrə mütəxəssis</v>
          </cell>
          <cell r="G4484" t="str">
            <v>A</v>
          </cell>
          <cell r="H4484">
            <v>45911</v>
          </cell>
        </row>
        <row r="4485">
          <cell r="B4485" t="str">
            <v>Əliyev Əliağa Firudin</v>
          </cell>
          <cell r="C4485" t="str">
            <v>Ağ şəhər KOB mərkəzi filialı</v>
          </cell>
          <cell r="D4485" t="str">
            <v>#</v>
          </cell>
          <cell r="E4485" t="str">
            <v>Xidmət bölməsi</v>
          </cell>
          <cell r="F4485" t="str">
            <v>İpoteka üzrə baş mütəxəssis</v>
          </cell>
          <cell r="G4485" t="str">
            <v>A</v>
          </cell>
          <cell r="H4485">
            <v>43692</v>
          </cell>
        </row>
        <row r="4486">
          <cell r="B4486" t="str">
            <v>Cahangirli Günay Bəxtiyar</v>
          </cell>
          <cell r="C4486" t="str">
            <v>Ağ şəhər KOB mərkəzi filialı</v>
          </cell>
          <cell r="D4486" t="str">
            <v>#</v>
          </cell>
          <cell r="E4486" t="str">
            <v>Xidmət bölməsi</v>
          </cell>
          <cell r="F4486" t="str">
            <v>Müştərilərlə iş üzrə baş mütəxəssis</v>
          </cell>
          <cell r="G4486" t="str">
            <v>A</v>
          </cell>
          <cell r="H4486">
            <v>42685</v>
          </cell>
        </row>
        <row r="4487">
          <cell r="B4487" t="str">
            <v>Cəfərova Nərmin Anar</v>
          </cell>
          <cell r="C4487" t="str">
            <v>Ağ şəhər KOB mərkəzi filialı</v>
          </cell>
          <cell r="D4487" t="str">
            <v>#</v>
          </cell>
          <cell r="E4487" t="str">
            <v>Xidmət bölməsi</v>
          </cell>
          <cell r="F4487" t="str">
            <v>Müştərilərlə iş üzrə baş mütəxəssis</v>
          </cell>
          <cell r="G4487" t="str">
            <v>A</v>
          </cell>
          <cell r="H4487">
            <v>43731</v>
          </cell>
        </row>
        <row r="4488">
          <cell r="B4488" t="str">
            <v>Qocayeva Nərgiz İbrahim</v>
          </cell>
          <cell r="C4488" t="str">
            <v>Ağ şəhər KOB mərkəzi filialı</v>
          </cell>
          <cell r="D4488" t="str">
            <v>#</v>
          </cell>
          <cell r="E4488" t="str">
            <v>Xidmət bölməsi</v>
          </cell>
          <cell r="F4488" t="str">
            <v>Müştərilərlə iş üzrə aparıcı mütəxəssis</v>
          </cell>
          <cell r="G4488" t="str">
            <v>A</v>
          </cell>
          <cell r="H4488">
            <v>39351</v>
          </cell>
        </row>
        <row r="4489">
          <cell r="B4489" t="str">
            <v>İsgəndərova Əfsanə Daşqın</v>
          </cell>
          <cell r="C4489" t="str">
            <v>Ağ şəhər KOB mərkəzi filialı</v>
          </cell>
          <cell r="D4489" t="str">
            <v>#</v>
          </cell>
          <cell r="E4489" t="str">
            <v>Xidmət bölməsi</v>
          </cell>
          <cell r="F4489" t="str">
            <v>Məlumat xidməti üzrə mütəxəssis</v>
          </cell>
          <cell r="G4489" t="str">
            <v>A</v>
          </cell>
          <cell r="H4489">
            <v>45644</v>
          </cell>
        </row>
        <row r="4490">
          <cell r="B4490" t="str">
            <v>Qaraxanova Gülanə Rahat</v>
          </cell>
          <cell r="C4490" t="str">
            <v>Ağ şəhər KOB mərkəzi filialı</v>
          </cell>
          <cell r="D4490" t="str">
            <v>#</v>
          </cell>
          <cell r="E4490" t="str">
            <v>İnzibati bölmə</v>
          </cell>
          <cell r="F4490" t="str">
            <v>Xadimə</v>
          </cell>
          <cell r="G4490" t="str">
            <v>A</v>
          </cell>
          <cell r="H4490">
            <v>45201</v>
          </cell>
        </row>
        <row r="4491">
          <cell r="B4491" t="str">
            <v>Əsədov İlqar Aydın</v>
          </cell>
          <cell r="C4491" t="str">
            <v>Azadlıq filialı</v>
          </cell>
          <cell r="D4491" t="str">
            <v>#</v>
          </cell>
          <cell r="E4491" t="str">
            <v>#</v>
          </cell>
          <cell r="F4491" t="str">
            <v>Müdir</v>
          </cell>
          <cell r="G4491" t="str">
            <v>A</v>
          </cell>
          <cell r="H4491">
            <v>40851</v>
          </cell>
        </row>
        <row r="4492">
          <cell r="B4492" t="str">
            <v>Əliyeva Elnurə Gülqasım</v>
          </cell>
          <cell r="C4492" t="str">
            <v>Azadlıq filialı</v>
          </cell>
          <cell r="D4492" t="str">
            <v>#</v>
          </cell>
          <cell r="E4492" t="str">
            <v>Xidmət bölməsi</v>
          </cell>
          <cell r="F4492" t="str">
            <v>Kassa üzrə baş mütəxəssis</v>
          </cell>
          <cell r="G4492" t="str">
            <v>A</v>
          </cell>
          <cell r="H4492">
            <v>40452</v>
          </cell>
        </row>
        <row r="4493">
          <cell r="B4493" t="str">
            <v>Rəsulzadə Nəriman Telman</v>
          </cell>
          <cell r="C4493" t="str">
            <v>Azadlıq filialı</v>
          </cell>
          <cell r="D4493" t="str">
            <v>#</v>
          </cell>
          <cell r="E4493" t="str">
            <v>Xidmət bölməsi</v>
          </cell>
          <cell r="F4493" t="str">
            <v>Kassa üzrə mütəxəssis</v>
          </cell>
          <cell r="G4493" t="str">
            <v>A</v>
          </cell>
          <cell r="H4493">
            <v>45875</v>
          </cell>
        </row>
        <row r="4494">
          <cell r="B4494" t="str">
            <v>Xanməmmədov Rəvan Rahil</v>
          </cell>
          <cell r="C4494" t="str">
            <v>Azadlıq filialı</v>
          </cell>
          <cell r="D4494" t="str">
            <v>#</v>
          </cell>
          <cell r="E4494" t="str">
            <v>Xidmət bölməsi</v>
          </cell>
          <cell r="F4494" t="str">
            <v>Bölmə rəhbəri</v>
          </cell>
          <cell r="G4494" t="str">
            <v>A</v>
          </cell>
          <cell r="H4494">
            <v>41745</v>
          </cell>
        </row>
        <row r="4495">
          <cell r="B4495" t="str">
            <v>Əliyev Tural Habil</v>
          </cell>
          <cell r="C4495" t="str">
            <v>Azadlıq filialı</v>
          </cell>
          <cell r="D4495" t="str">
            <v>#</v>
          </cell>
          <cell r="E4495" t="str">
            <v>Xidmət bölməsi</v>
          </cell>
          <cell r="F4495" t="str">
            <v>Müştərilərlə iş üzrə baş mütəxəssis</v>
          </cell>
          <cell r="G4495" t="str">
            <v>A</v>
          </cell>
          <cell r="H4495">
            <v>44607</v>
          </cell>
        </row>
        <row r="4496">
          <cell r="B4496" t="str">
            <v>İsmayılov Fərid Məhəmməd</v>
          </cell>
          <cell r="C4496" t="str">
            <v>Azadlıq filialı</v>
          </cell>
          <cell r="D4496" t="str">
            <v>#</v>
          </cell>
          <cell r="E4496" t="str">
            <v>Xidmət bölməsi</v>
          </cell>
          <cell r="F4496" t="str">
            <v>Müştərilərlə iş üzrə baş mütəxəssis</v>
          </cell>
          <cell r="G4496" t="str">
            <v>A</v>
          </cell>
          <cell r="H4496">
            <v>43717</v>
          </cell>
        </row>
        <row r="4497">
          <cell r="B4497" t="str">
            <v>İbrahimova Günel Zabit</v>
          </cell>
          <cell r="C4497" t="str">
            <v>Azadlıq filialı</v>
          </cell>
          <cell r="D4497" t="str">
            <v>#</v>
          </cell>
          <cell r="E4497" t="str">
            <v>Xidmət bölməsi</v>
          </cell>
          <cell r="F4497" t="str">
            <v>Müştərilərlə iş üzrə baş mütəxəssis</v>
          </cell>
          <cell r="G4497" t="str">
            <v>HX</v>
          </cell>
          <cell r="H4497">
            <v>43824</v>
          </cell>
        </row>
        <row r="4498">
          <cell r="B4498" t="str">
            <v>Əyyubov Nicat Yusif</v>
          </cell>
          <cell r="C4498" t="str">
            <v>Azadlıq filialı</v>
          </cell>
          <cell r="D4498" t="str">
            <v>#</v>
          </cell>
          <cell r="E4498" t="str">
            <v>Xidmət bölməsi</v>
          </cell>
          <cell r="F4498" t="str">
            <v>Müştərilərlə iş üzrə aparıcı mütəxəssis</v>
          </cell>
          <cell r="G4498" t="str">
            <v>A</v>
          </cell>
          <cell r="H4498">
            <v>44810</v>
          </cell>
        </row>
        <row r="4499">
          <cell r="B4499" t="str">
            <v>Heydərli Ülkər Akif</v>
          </cell>
          <cell r="C4499" t="str">
            <v>Azadlıq filialı</v>
          </cell>
          <cell r="D4499" t="str">
            <v>#</v>
          </cell>
          <cell r="E4499" t="str">
            <v>Xidmət bölməsi</v>
          </cell>
          <cell r="F4499" t="str">
            <v>Müştərilərlə iş üzrə aparıcı mütəxəssis</v>
          </cell>
          <cell r="G4499" t="str">
            <v>A</v>
          </cell>
          <cell r="H4499">
            <v>42500</v>
          </cell>
        </row>
        <row r="4500">
          <cell r="B4500" t="str">
            <v>Rzalı Elvin Vidadi</v>
          </cell>
          <cell r="C4500" t="str">
            <v>Azadlıq filialı</v>
          </cell>
          <cell r="D4500" t="str">
            <v>#</v>
          </cell>
          <cell r="E4500" t="str">
            <v>Xidmət bölməsi</v>
          </cell>
          <cell r="F4500" t="str">
            <v>Müştərilərlə iş üzrə baş mütəxəssis</v>
          </cell>
          <cell r="G4500" t="str">
            <v>A</v>
          </cell>
          <cell r="H4500">
            <v>44587</v>
          </cell>
        </row>
        <row r="4501">
          <cell r="B4501" t="str">
            <v>Əskərov Seymur Mirsudef</v>
          </cell>
          <cell r="C4501" t="str">
            <v>Azadlıq filialı</v>
          </cell>
          <cell r="D4501" t="str">
            <v>#</v>
          </cell>
          <cell r="E4501" t="str">
            <v>Xidmət bölməsi</v>
          </cell>
          <cell r="F4501" t="str">
            <v>Müştərilərlə iş üzrə aparıcı mütəxəssis</v>
          </cell>
          <cell r="G4501" t="str">
            <v>A</v>
          </cell>
          <cell r="H4501">
            <v>44720</v>
          </cell>
        </row>
        <row r="4502">
          <cell r="B4502" t="str">
            <v>Quliyeva Ülviyyə Zaur</v>
          </cell>
          <cell r="C4502" t="str">
            <v>Azadlıq filialı</v>
          </cell>
          <cell r="D4502" t="str">
            <v>#</v>
          </cell>
          <cell r="E4502" t="str">
            <v>Xidmət bölməsi</v>
          </cell>
          <cell r="F4502" t="str">
            <v>Müştərilərlə iş üzrə mütəxəssis</v>
          </cell>
          <cell r="G4502" t="str">
            <v>A</v>
          </cell>
          <cell r="H4502">
            <v>44536</v>
          </cell>
        </row>
        <row r="4503">
          <cell r="B4503" t="str">
            <v xml:space="preserve">	Yüzbaşova Ətrabə Rafiq</v>
          </cell>
          <cell r="C4503" t="str">
            <v>Azadlıq filialı</v>
          </cell>
          <cell r="D4503" t="str">
            <v>#</v>
          </cell>
          <cell r="E4503" t="str">
            <v>Xidmət bölməsi</v>
          </cell>
          <cell r="F4503" t="str">
            <v>Məlumat xidməti üzrə kiçik mütəxəssis</v>
          </cell>
          <cell r="G4503" t="str">
            <v>A</v>
          </cell>
          <cell r="H4503">
            <v>46097</v>
          </cell>
        </row>
        <row r="4504">
          <cell r="B4504" t="str">
            <v>Qurbanova Bahar Həsən</v>
          </cell>
          <cell r="C4504" t="str">
            <v>Azadlıq filialı</v>
          </cell>
          <cell r="D4504" t="str">
            <v>#</v>
          </cell>
          <cell r="E4504" t="str">
            <v>İnzibati bölmə</v>
          </cell>
          <cell r="F4504" t="str">
            <v>Xadimə</v>
          </cell>
          <cell r="G4504" t="str">
            <v>A</v>
          </cell>
          <cell r="H4504">
            <v>44537</v>
          </cell>
        </row>
        <row r="4505">
          <cell r="B4505" t="str">
            <v>Cabbarov Xaliq Telman</v>
          </cell>
          <cell r="C4505" t="str">
            <v>Azadlıq filialı</v>
          </cell>
          <cell r="D4505" t="str">
            <v>#</v>
          </cell>
          <cell r="E4505" t="str">
            <v>Mikro kredit bölməsi</v>
          </cell>
          <cell r="F4505" t="str">
            <v>Bölmə rəhbəri</v>
          </cell>
          <cell r="G4505" t="str">
            <v>A</v>
          </cell>
          <cell r="H4505">
            <v>44776</v>
          </cell>
        </row>
        <row r="4506">
          <cell r="B4506" t="str">
            <v>İsmayılov Fuad Arzu</v>
          </cell>
          <cell r="C4506" t="str">
            <v>Azadlıq filialı</v>
          </cell>
          <cell r="D4506" t="str">
            <v>#</v>
          </cell>
          <cell r="E4506" t="str">
            <v>Mikro kredit bölməsi</v>
          </cell>
          <cell r="F4506" t="str">
            <v>Baş mütəxəssis</v>
          </cell>
          <cell r="G4506" t="str">
            <v>A</v>
          </cell>
          <cell r="H4506">
            <v>44608</v>
          </cell>
        </row>
        <row r="4507">
          <cell r="B4507" t="str">
            <v>Məmmədzadə Vahid İslam</v>
          </cell>
          <cell r="C4507" t="str">
            <v>Azadlıq filialı</v>
          </cell>
          <cell r="D4507" t="str">
            <v>#</v>
          </cell>
          <cell r="E4507" t="str">
            <v>Mikro kredit bölməsi</v>
          </cell>
          <cell r="F4507" t="str">
            <v>Baş mütəxəssis</v>
          </cell>
          <cell r="G4507" t="str">
            <v>A</v>
          </cell>
          <cell r="H4507">
            <v>43727</v>
          </cell>
        </row>
        <row r="4508">
          <cell r="B4508" t="str">
            <v>Əlizadə Əlisəfa Məhərrəm</v>
          </cell>
          <cell r="C4508" t="str">
            <v>Azadlıq filialı</v>
          </cell>
          <cell r="D4508" t="str">
            <v>#</v>
          </cell>
          <cell r="E4508" t="str">
            <v>Mikro kredit bölməsi</v>
          </cell>
          <cell r="F4508" t="str">
            <v>Baş mütəxəssis</v>
          </cell>
          <cell r="G4508" t="str">
            <v>A</v>
          </cell>
          <cell r="H4508">
            <v>44567</v>
          </cell>
        </row>
        <row r="4509">
          <cell r="B4509" t="str">
            <v>Ələkbərov Orxan Ədalət</v>
          </cell>
          <cell r="C4509" t="str">
            <v>Azadlıq filialı</v>
          </cell>
          <cell r="D4509" t="str">
            <v>#</v>
          </cell>
          <cell r="E4509" t="str">
            <v>Mikro kredit bölməsi</v>
          </cell>
          <cell r="F4509" t="str">
            <v>Mütəxəssis</v>
          </cell>
          <cell r="G4509" t="str">
            <v>A</v>
          </cell>
          <cell r="H4509">
            <v>45842</v>
          </cell>
        </row>
        <row r="4510">
          <cell r="B4510" t="str">
            <v>Cəlilli Tural Aydın</v>
          </cell>
          <cell r="C4510" t="str">
            <v>Bakıxanov filialı</v>
          </cell>
          <cell r="D4510" t="str">
            <v>#</v>
          </cell>
          <cell r="E4510" t="str">
            <v>#</v>
          </cell>
          <cell r="F4510" t="str">
            <v>Müdir</v>
          </cell>
          <cell r="G4510" t="str">
            <v>A</v>
          </cell>
          <cell r="H4510">
            <v>43168</v>
          </cell>
        </row>
        <row r="4511">
          <cell r="B4511" t="str">
            <v>Ocaqverdiyev Hikmət Camal</v>
          </cell>
          <cell r="C4511" t="str">
            <v>Bakıxanov filialı</v>
          </cell>
          <cell r="D4511" t="str">
            <v>#</v>
          </cell>
          <cell r="E4511" t="str">
            <v>Xidmət bölməsi</v>
          </cell>
          <cell r="F4511" t="str">
            <v>Bölmə rəhbəri</v>
          </cell>
          <cell r="G4511" t="str">
            <v>A</v>
          </cell>
          <cell r="H4511">
            <v>42604</v>
          </cell>
        </row>
        <row r="4512">
          <cell r="B4512" t="str">
            <v>İsmayılzadə Üzeyir Əmrail</v>
          </cell>
          <cell r="C4512" t="str">
            <v>Bakıxanov filialı</v>
          </cell>
          <cell r="D4512" t="str">
            <v>#</v>
          </cell>
          <cell r="E4512" t="str">
            <v>Xidmət bölməsi</v>
          </cell>
          <cell r="F4512" t="str">
            <v>Kassa üzrə baş mütəxəssis</v>
          </cell>
          <cell r="G4512" t="str">
            <v>A</v>
          </cell>
          <cell r="H4512">
            <v>42772</v>
          </cell>
        </row>
        <row r="4513">
          <cell r="B4513" t="str">
            <v>Cavadova Türkanə Cəbrayıl</v>
          </cell>
          <cell r="C4513" t="str">
            <v>Bakıxanov filialı</v>
          </cell>
          <cell r="D4513" t="str">
            <v>#</v>
          </cell>
          <cell r="E4513" t="str">
            <v>Xidmət bölməsi</v>
          </cell>
          <cell r="F4513" t="str">
            <v>Kassa üzrə aparıcı mütəxəssis</v>
          </cell>
          <cell r="G4513" t="str">
            <v>A</v>
          </cell>
          <cell r="H4513">
            <v>44967</v>
          </cell>
        </row>
        <row r="4514">
          <cell r="B4514" t="str">
            <v>Əliyev Davud Maarif</v>
          </cell>
          <cell r="C4514" t="str">
            <v>Bakıxanov filialı</v>
          </cell>
          <cell r="D4514" t="str">
            <v>#</v>
          </cell>
          <cell r="E4514" t="str">
            <v>Xidmət bölməsi</v>
          </cell>
          <cell r="F4514" t="str">
            <v>Kassa üzrə mütəxəssis</v>
          </cell>
          <cell r="G4514" t="str">
            <v>A</v>
          </cell>
          <cell r="H4514">
            <v>45982</v>
          </cell>
        </row>
        <row r="4515">
          <cell r="B4515" t="str">
            <v>Həsənəliyev Samir Misir</v>
          </cell>
          <cell r="C4515" t="str">
            <v>Bakıxanov filialı</v>
          </cell>
          <cell r="D4515" t="str">
            <v>#</v>
          </cell>
          <cell r="E4515" t="str">
            <v>Xidmət bölməsi</v>
          </cell>
          <cell r="F4515" t="str">
            <v>Müştərilərlə iş üzrə baş mütəxəssis</v>
          </cell>
          <cell r="G4515" t="str">
            <v>A</v>
          </cell>
          <cell r="H4515">
            <v>43493</v>
          </cell>
        </row>
        <row r="4516">
          <cell r="B4516" t="str">
            <v>Mustafayev Anar Mikayıl</v>
          </cell>
          <cell r="C4516" t="str">
            <v>Bakıxanov filialı</v>
          </cell>
          <cell r="D4516" t="str">
            <v>#</v>
          </cell>
          <cell r="E4516" t="str">
            <v>Xidmət bölməsi</v>
          </cell>
          <cell r="F4516" t="str">
            <v>Müştərilərlə iş üzrə baş mütəxəssis</v>
          </cell>
          <cell r="G4516" t="str">
            <v>A</v>
          </cell>
          <cell r="H4516">
            <v>42562</v>
          </cell>
        </row>
        <row r="4517">
          <cell r="B4517" t="str">
            <v>Əliyev Tural Tofiq</v>
          </cell>
          <cell r="C4517" t="str">
            <v>Bakıxanov filialı</v>
          </cell>
          <cell r="D4517" t="str">
            <v>#</v>
          </cell>
          <cell r="E4517" t="str">
            <v>Xidmət bölməsi</v>
          </cell>
          <cell r="F4517" t="str">
            <v>Müştərilərlə iş üzrə baş mütəxəssis</v>
          </cell>
          <cell r="G4517" t="str">
            <v>A</v>
          </cell>
          <cell r="H4517">
            <v>42809</v>
          </cell>
        </row>
        <row r="4518">
          <cell r="B4518" t="str">
            <v>Ağcayev Natiq Fazil</v>
          </cell>
          <cell r="C4518" t="str">
            <v>Bakıxanov filialı</v>
          </cell>
          <cell r="D4518" t="str">
            <v>#</v>
          </cell>
          <cell r="E4518" t="str">
            <v>Xidmət bölməsi</v>
          </cell>
          <cell r="F4518" t="str">
            <v>Müştərilərlə iş üzrə baş mütəxəssis</v>
          </cell>
          <cell r="G4518" t="str">
            <v>A</v>
          </cell>
          <cell r="H4518">
            <v>42709</v>
          </cell>
        </row>
        <row r="4519">
          <cell r="B4519" t="str">
            <v>Əliyeva Svetlana Əjdər</v>
          </cell>
          <cell r="C4519" t="str">
            <v>Bakıxanov filialı</v>
          </cell>
          <cell r="D4519" t="str">
            <v>#</v>
          </cell>
          <cell r="E4519" t="str">
            <v>Xidmət bölməsi</v>
          </cell>
          <cell r="F4519" t="str">
            <v>Müştərilərlə iş üzrə baş mütəxəssis</v>
          </cell>
          <cell r="G4519" t="str">
            <v>A</v>
          </cell>
          <cell r="H4519">
            <v>41835</v>
          </cell>
        </row>
        <row r="4520">
          <cell r="B4520" t="str">
            <v>Bəxtiyarova Aybəniz Abuzər</v>
          </cell>
          <cell r="C4520" t="str">
            <v>Bakıxanov filialı</v>
          </cell>
          <cell r="D4520" t="str">
            <v>#</v>
          </cell>
          <cell r="E4520" t="str">
            <v>Xidmət bölməsi</v>
          </cell>
          <cell r="F4520" t="str">
            <v>Müştərilərlə iş üzrə baş mütəxəssis</v>
          </cell>
          <cell r="G4520" t="str">
            <v>A</v>
          </cell>
          <cell r="H4520">
            <v>41311</v>
          </cell>
        </row>
        <row r="4521">
          <cell r="B4521" t="str">
            <v>Cəfərov Cəfər Vidadi</v>
          </cell>
          <cell r="C4521" t="str">
            <v>Bakıxanov filialı</v>
          </cell>
          <cell r="D4521" t="str">
            <v>#</v>
          </cell>
          <cell r="E4521" t="str">
            <v>Xidmət bölməsi</v>
          </cell>
          <cell r="F4521" t="str">
            <v>Müştərilərlə iş üzrə baş mütəxəssis</v>
          </cell>
          <cell r="G4521" t="str">
            <v>A</v>
          </cell>
          <cell r="H4521">
            <v>42942</v>
          </cell>
        </row>
        <row r="4522">
          <cell r="B4522" t="str">
            <v>Həsənova Günel Ramiz</v>
          </cell>
          <cell r="C4522" t="str">
            <v>Bakıxanov filialı</v>
          </cell>
          <cell r="D4522" t="str">
            <v>#</v>
          </cell>
          <cell r="E4522" t="str">
            <v>Xidmət bölməsi</v>
          </cell>
          <cell r="F4522" t="str">
            <v>Müştərilərlə iş üzrə baş mütəxəssis</v>
          </cell>
          <cell r="G4522" t="str">
            <v>A</v>
          </cell>
          <cell r="H4522">
            <v>44587</v>
          </cell>
        </row>
        <row r="4523">
          <cell r="B4523" t="str">
            <v>Vəliyeva İlhamə İlham</v>
          </cell>
          <cell r="C4523" t="str">
            <v>Bakıxanov filialı</v>
          </cell>
          <cell r="D4523" t="str">
            <v>#</v>
          </cell>
          <cell r="E4523" t="str">
            <v>Xidmət bölməsi</v>
          </cell>
          <cell r="F4523" t="str">
            <v>Müştərilərlə iş üzrə baş mütəxəssis</v>
          </cell>
          <cell r="G4523" t="str">
            <v>A</v>
          </cell>
          <cell r="H4523">
            <v>39916</v>
          </cell>
        </row>
        <row r="4524">
          <cell r="B4524" t="str">
            <v>Atayeva Fidan Nazim</v>
          </cell>
          <cell r="C4524" t="str">
            <v>Bakıxanov filialı</v>
          </cell>
          <cell r="D4524" t="str">
            <v>#</v>
          </cell>
          <cell r="E4524" t="str">
            <v>Xidmət bölməsi</v>
          </cell>
          <cell r="F4524" t="str">
            <v>Müştərilərlə iş üzrə baş mütəxəssis</v>
          </cell>
          <cell r="G4524" t="str">
            <v>A</v>
          </cell>
          <cell r="H4524">
            <v>43354</v>
          </cell>
        </row>
        <row r="4525">
          <cell r="B4525" t="str">
            <v>Yusubova Günel Elman</v>
          </cell>
          <cell r="C4525" t="str">
            <v>Bakıxanov filialı</v>
          </cell>
          <cell r="D4525" t="str">
            <v>#</v>
          </cell>
          <cell r="E4525" t="str">
            <v>Xidmət bölməsi</v>
          </cell>
          <cell r="F4525" t="str">
            <v>Müştərilərlə iş üzrə aparıcı mütəxəssis</v>
          </cell>
          <cell r="G4525" t="str">
            <v>A</v>
          </cell>
          <cell r="H4525">
            <v>44635</v>
          </cell>
        </row>
        <row r="4526">
          <cell r="B4526" t="str">
            <v>Xəlilli Aydan Cabir</v>
          </cell>
          <cell r="C4526" t="str">
            <v>Bakıxanov filialı</v>
          </cell>
          <cell r="D4526" t="str">
            <v>#</v>
          </cell>
          <cell r="E4526" t="str">
            <v>Xidmət bölməsi</v>
          </cell>
          <cell r="F4526" t="str">
            <v>Müştərilərlə iş üzrə aparıcı mütəxəssis</v>
          </cell>
          <cell r="G4526" t="str">
            <v>A</v>
          </cell>
          <cell r="H4526">
            <v>44910</v>
          </cell>
        </row>
        <row r="4527">
          <cell r="B4527" t="str">
            <v>Qurbanova Nigar İlqar</v>
          </cell>
          <cell r="C4527" t="str">
            <v>Bakıxanov filialı</v>
          </cell>
          <cell r="D4527" t="str">
            <v>#</v>
          </cell>
          <cell r="E4527" t="str">
            <v>Xidmət bölməsi</v>
          </cell>
          <cell r="F4527" t="str">
            <v>Müştərilərlə iş üzrə aparıcı mütəxəssis</v>
          </cell>
          <cell r="G4527" t="str">
            <v>A</v>
          </cell>
          <cell r="H4527">
            <v>44487</v>
          </cell>
        </row>
        <row r="4528">
          <cell r="B4528" t="str">
            <v>Qəhrəmanov Əlisoltan Arif</v>
          </cell>
          <cell r="C4528" t="str">
            <v>Bakıxanov filialı</v>
          </cell>
          <cell r="D4528" t="str">
            <v>#</v>
          </cell>
          <cell r="E4528" t="str">
            <v>Xidmət bölməsi</v>
          </cell>
          <cell r="F4528" t="str">
            <v>Müştərilərlə iş üzrə baş mütəxəssis</v>
          </cell>
          <cell r="G4528" t="str">
            <v>A</v>
          </cell>
          <cell r="H4528">
            <v>43699</v>
          </cell>
        </row>
        <row r="4529">
          <cell r="B4529" t="str">
            <v>Hüseynova Aysel Qalib</v>
          </cell>
          <cell r="C4529" t="str">
            <v>Bakıxanov filialı</v>
          </cell>
          <cell r="D4529" t="str">
            <v>#</v>
          </cell>
          <cell r="E4529" t="str">
            <v>Xidmət bölməsi</v>
          </cell>
          <cell r="F4529" t="str">
            <v>Müştərilərlə iş üzrə aparıcı mütəxəssis</v>
          </cell>
          <cell r="G4529" t="str">
            <v>A</v>
          </cell>
          <cell r="H4529">
            <v>44172</v>
          </cell>
        </row>
        <row r="4530">
          <cell r="B4530" t="str">
            <v>Abdullayeva Zəhra Əziz</v>
          </cell>
          <cell r="C4530" t="str">
            <v>Bakıxanov filialı</v>
          </cell>
          <cell r="D4530" t="str">
            <v>#</v>
          </cell>
          <cell r="E4530" t="str">
            <v>Xidmət bölməsi</v>
          </cell>
          <cell r="F4530" t="str">
            <v>Müştərilərlə iş üzrə mütəxəssis</v>
          </cell>
          <cell r="G4530" t="str">
            <v>SM</v>
          </cell>
          <cell r="H4530">
            <v>45210</v>
          </cell>
        </row>
        <row r="4531">
          <cell r="B4531" t="str">
            <v>Abbasova Ləman Rafiq</v>
          </cell>
          <cell r="C4531" t="str">
            <v>Bakıxanov filialı</v>
          </cell>
          <cell r="D4531" t="str">
            <v>#</v>
          </cell>
          <cell r="E4531" t="str">
            <v>Xidmət bölməsi</v>
          </cell>
          <cell r="F4531" t="str">
            <v>Müştərilərlə iş üzrə mütəxəssis (müvəqqəti)</v>
          </cell>
          <cell r="G4531" t="str">
            <v>A</v>
          </cell>
          <cell r="H4531">
            <v>45341</v>
          </cell>
        </row>
        <row r="4532">
          <cell r="B4532" t="str">
            <v>Tapdıqlı Aytac Namiq</v>
          </cell>
          <cell r="C4532" t="str">
            <v>Bakıxanov filialı</v>
          </cell>
          <cell r="D4532" t="str">
            <v>#</v>
          </cell>
          <cell r="E4532" t="str">
            <v>Xidmət bölməsi</v>
          </cell>
          <cell r="F4532" t="str">
            <v>Məlumat xidməti üzrə mütəxəssis</v>
          </cell>
          <cell r="G4532" t="str">
            <v>A</v>
          </cell>
          <cell r="H4532">
            <v>45363</v>
          </cell>
        </row>
        <row r="4533">
          <cell r="B4533" t="str">
            <v>Rüstəmov Rüstəm Nəriman</v>
          </cell>
          <cell r="C4533" t="str">
            <v>Bakıxanov filialı</v>
          </cell>
          <cell r="D4533" t="str">
            <v>#</v>
          </cell>
          <cell r="E4533" t="str">
            <v>Mikro kredit bölməsi</v>
          </cell>
          <cell r="F4533" t="str">
            <v>Bölmə rəhbəri</v>
          </cell>
          <cell r="G4533" t="str">
            <v>A</v>
          </cell>
          <cell r="H4533">
            <v>44354</v>
          </cell>
        </row>
        <row r="4534">
          <cell r="B4534" t="str">
            <v>Əliyev Əli Elman</v>
          </cell>
          <cell r="C4534" t="str">
            <v>Bakıxanov filialı</v>
          </cell>
          <cell r="D4534" t="str">
            <v>#</v>
          </cell>
          <cell r="E4534" t="str">
            <v>Mikro kredit bölməsi</v>
          </cell>
          <cell r="F4534" t="str">
            <v>Baş mütəxəssis</v>
          </cell>
          <cell r="G4534" t="str">
            <v>A</v>
          </cell>
          <cell r="H4534">
            <v>44625</v>
          </cell>
        </row>
        <row r="4535">
          <cell r="B4535" t="str">
            <v>Oruczadə Əmrah Rəzail</v>
          </cell>
          <cell r="C4535" t="str">
            <v>Bakıxanov filialı</v>
          </cell>
          <cell r="D4535" t="str">
            <v>#</v>
          </cell>
          <cell r="E4535" t="str">
            <v>Mikro kredit bölməsi</v>
          </cell>
          <cell r="F4535" t="str">
            <v>Mütəxəssis</v>
          </cell>
          <cell r="G4535" t="str">
            <v>A</v>
          </cell>
          <cell r="H4535">
            <v>45219</v>
          </cell>
        </row>
        <row r="4536">
          <cell r="B4536" t="str">
            <v>Fətullayev Əli Ağakərim</v>
          </cell>
          <cell r="C4536" t="str">
            <v>Bakıxanov filialı</v>
          </cell>
          <cell r="D4536" t="str">
            <v>#</v>
          </cell>
          <cell r="E4536" t="str">
            <v>Mikro kredit bölməsi</v>
          </cell>
          <cell r="F4536" t="str">
            <v>Kiçik mütəxəssis</v>
          </cell>
          <cell r="G4536" t="str">
            <v>A</v>
          </cell>
          <cell r="H4536">
            <v>46143</v>
          </cell>
        </row>
        <row r="4537">
          <cell r="B4537" t="str">
            <v>Vəliyeva Şahnaz İnqilab</v>
          </cell>
          <cell r="C4537" t="str">
            <v>Bakıxanov filialı</v>
          </cell>
          <cell r="D4537" t="str">
            <v>#</v>
          </cell>
          <cell r="E4537" t="str">
            <v>İnzibati bölmə</v>
          </cell>
          <cell r="F4537" t="str">
            <v>Xadimə</v>
          </cell>
          <cell r="G4537" t="str">
            <v>A</v>
          </cell>
          <cell r="H4537">
            <v>46181</v>
          </cell>
        </row>
        <row r="4538">
          <cell r="B4538" t="str">
            <v>Rüstəmov Elvin Zakir</v>
          </cell>
          <cell r="C4538" t="str">
            <v>Binəqədi filialı</v>
          </cell>
          <cell r="D4538" t="str">
            <v>#</v>
          </cell>
          <cell r="E4538" t="str">
            <v>#</v>
          </cell>
          <cell r="F4538" t="str">
            <v>Müdir</v>
          </cell>
          <cell r="G4538" t="str">
            <v>A</v>
          </cell>
          <cell r="H4538">
            <v>39756</v>
          </cell>
        </row>
        <row r="4539">
          <cell r="B4539" t="str">
            <v>İbrahimov Vüqar Azər</v>
          </cell>
          <cell r="C4539" t="str">
            <v>Binəqədi filialı</v>
          </cell>
          <cell r="D4539" t="str">
            <v>#</v>
          </cell>
          <cell r="E4539" t="str">
            <v>Xidmət bölməsi</v>
          </cell>
          <cell r="F4539" t="str">
            <v>Bölmə rəhbəri</v>
          </cell>
          <cell r="G4539" t="str">
            <v>A</v>
          </cell>
          <cell r="H4539">
            <v>42387</v>
          </cell>
        </row>
        <row r="4540">
          <cell r="B4540" t="str">
            <v>Abdullayeva Aygün Qiyam</v>
          </cell>
          <cell r="C4540" t="str">
            <v>Binəqədi filialı</v>
          </cell>
          <cell r="D4540" t="str">
            <v>#</v>
          </cell>
          <cell r="E4540" t="str">
            <v>Xidmət bölməsi</v>
          </cell>
          <cell r="F4540" t="str">
            <v>Kassa üzrə baş mütəxəssis</v>
          </cell>
          <cell r="G4540" t="str">
            <v>A</v>
          </cell>
          <cell r="H4540">
            <v>42318</v>
          </cell>
        </row>
        <row r="4541">
          <cell r="B4541" t="str">
            <v>Əliyev Ceyhun Yasər</v>
          </cell>
          <cell r="C4541" t="str">
            <v>Binəqədi filialı</v>
          </cell>
          <cell r="D4541" t="str">
            <v>#</v>
          </cell>
          <cell r="E4541" t="str">
            <v>Xidmət bölməsi</v>
          </cell>
          <cell r="F4541" t="str">
            <v>Kassa üzrə baş mütəxəssis</v>
          </cell>
          <cell r="G4541" t="str">
            <v>A</v>
          </cell>
          <cell r="H4541">
            <v>43367</v>
          </cell>
        </row>
        <row r="4542">
          <cell r="B4542" t="str">
            <v>Səmədli Elmir Pərviz</v>
          </cell>
          <cell r="C4542" t="str">
            <v>Binəqədi filialı</v>
          </cell>
          <cell r="D4542" t="str">
            <v>#</v>
          </cell>
          <cell r="E4542" t="str">
            <v>Xidmət bölməsi</v>
          </cell>
          <cell r="F4542" t="str">
            <v>Kassa üzrə mütəxəssis</v>
          </cell>
          <cell r="G4542" t="str">
            <v>A</v>
          </cell>
          <cell r="H4542">
            <v>45932</v>
          </cell>
        </row>
        <row r="4543">
          <cell r="B4543" t="str">
            <v>Məmmədova Aybəniz Sudeyif</v>
          </cell>
          <cell r="C4543" t="str">
            <v>Binəqədi filialı</v>
          </cell>
          <cell r="D4543" t="str">
            <v>#</v>
          </cell>
          <cell r="E4543" t="str">
            <v>Xidmət bölməsi</v>
          </cell>
          <cell r="F4543" t="str">
            <v>Məlumat xidməti üzrə aparıcı mütəxəssis</v>
          </cell>
          <cell r="G4543" t="str">
            <v>A</v>
          </cell>
          <cell r="H4543">
            <v>45265</v>
          </cell>
        </row>
        <row r="4544">
          <cell r="B4544" t="str">
            <v>Nəsirova Şövkət Mahmud</v>
          </cell>
          <cell r="C4544" t="str">
            <v>Binəqədi filialı</v>
          </cell>
          <cell r="D4544" t="str">
            <v>#</v>
          </cell>
          <cell r="E4544" t="str">
            <v>Xidmət bölməsi</v>
          </cell>
          <cell r="F4544" t="str">
            <v>Məlumat xidməti üzrə kiçik mütəxəssis</v>
          </cell>
          <cell r="G4544" t="str">
            <v>A</v>
          </cell>
          <cell r="H4544">
            <v>46155</v>
          </cell>
        </row>
        <row r="4545">
          <cell r="B4545" t="str">
            <v>Əhmədli Günel Adil</v>
          </cell>
          <cell r="C4545" t="str">
            <v>Binəqədi filialı</v>
          </cell>
          <cell r="D4545" t="str">
            <v>#</v>
          </cell>
          <cell r="E4545" t="str">
            <v>Xidmət bölməsi</v>
          </cell>
          <cell r="F4545" t="str">
            <v>müştərilərlə iş üzrə baş mütəxəssis</v>
          </cell>
          <cell r="G4545" t="str">
            <v>A</v>
          </cell>
          <cell r="H4545">
            <v>42760</v>
          </cell>
        </row>
        <row r="4546">
          <cell r="B4546" t="str">
            <v>Ələkbərova Züleyxa Ələsgər</v>
          </cell>
          <cell r="C4546" t="str">
            <v>Binəqədi filialı</v>
          </cell>
          <cell r="D4546" t="str">
            <v>#</v>
          </cell>
          <cell r="E4546" t="str">
            <v>Xidmət bölməsi</v>
          </cell>
          <cell r="F4546" t="str">
            <v>Müştərilərlə iş üzrə baş mütəxəssis</v>
          </cell>
          <cell r="G4546" t="str">
            <v>HX</v>
          </cell>
          <cell r="H4546">
            <v>42667</v>
          </cell>
        </row>
        <row r="4547">
          <cell r="B4547" t="str">
            <v>Ələkbərzadə Nurlan Allahverdi</v>
          </cell>
          <cell r="C4547" t="str">
            <v>Binəqədi filialı</v>
          </cell>
          <cell r="D4547" t="str">
            <v>#</v>
          </cell>
          <cell r="E4547" t="str">
            <v>Xidmət bölməsi</v>
          </cell>
          <cell r="F4547" t="str">
            <v>Müştərilərlə iş üzrə baş mütəxəssis</v>
          </cell>
          <cell r="G4547" t="str">
            <v>A</v>
          </cell>
          <cell r="H4547">
            <v>41036</v>
          </cell>
        </row>
        <row r="4548">
          <cell r="B4548" t="str">
            <v>Alməmmədova Rəna Fəxrəddin</v>
          </cell>
          <cell r="C4548" t="str">
            <v>Binəqədi filialı</v>
          </cell>
          <cell r="D4548" t="str">
            <v>#</v>
          </cell>
          <cell r="E4548" t="str">
            <v>Xidmət bölməsi</v>
          </cell>
          <cell r="F4548" t="str">
            <v>Müştərilərlə iş üzrə aparıcı mütəxəssis</v>
          </cell>
          <cell r="G4548" t="str">
            <v>A</v>
          </cell>
          <cell r="H4548">
            <v>43054</v>
          </cell>
        </row>
        <row r="4549">
          <cell r="B4549" t="str">
            <v>Süleymanzadə Kəmalə Əjdər</v>
          </cell>
          <cell r="C4549" t="str">
            <v>Binəqədi filialı</v>
          </cell>
          <cell r="D4549" t="str">
            <v>#</v>
          </cell>
          <cell r="E4549" t="str">
            <v>Xidmət bölməsi</v>
          </cell>
          <cell r="F4549" t="str">
            <v>Müştərilərlə iş üzrə baş mütəxəssis</v>
          </cell>
          <cell r="G4549" t="str">
            <v>A</v>
          </cell>
          <cell r="H4549">
            <v>43823</v>
          </cell>
        </row>
        <row r="4550">
          <cell r="B4550" t="str">
            <v>Məmmədəliyeva Jalə Yadigar</v>
          </cell>
          <cell r="C4550" t="str">
            <v>Binəqədi filialı</v>
          </cell>
          <cell r="D4550" t="str">
            <v>#</v>
          </cell>
          <cell r="E4550" t="str">
            <v>Xidmət bölməsi</v>
          </cell>
          <cell r="F4550" t="str">
            <v>Müştərilərlə iş üzrə aparıcı mütəxəssis</v>
          </cell>
          <cell r="G4550" t="str">
            <v>SM</v>
          </cell>
          <cell r="H4550">
            <v>44572</v>
          </cell>
        </row>
        <row r="4551">
          <cell r="B4551" t="str">
            <v>Xələfli Nurlan Nəriman</v>
          </cell>
          <cell r="C4551" t="str">
            <v>Binəqədi filialı</v>
          </cell>
          <cell r="D4551" t="str">
            <v>#</v>
          </cell>
          <cell r="E4551" t="str">
            <v>Xidmət bölməsi</v>
          </cell>
          <cell r="F4551" t="str">
            <v>Müştərilərlə iş üzrə aparıcı mütəxəssis</v>
          </cell>
          <cell r="G4551" t="str">
            <v>A</v>
          </cell>
          <cell r="H4551">
            <v>45176</v>
          </cell>
        </row>
        <row r="4552">
          <cell r="B4552" t="str">
            <v>Əlizadə Pərviz Raqif</v>
          </cell>
          <cell r="C4552" t="str">
            <v>Binəqədi filialı</v>
          </cell>
          <cell r="D4552" t="str">
            <v>#</v>
          </cell>
          <cell r="E4552" t="str">
            <v>Xidmət bölməsi</v>
          </cell>
          <cell r="F4552" t="str">
            <v>Müştərilərlə iş üzrə aparıcı mütəxəssis</v>
          </cell>
          <cell r="G4552" t="str">
            <v>A</v>
          </cell>
          <cell r="H4552">
            <v>43864</v>
          </cell>
        </row>
        <row r="4553">
          <cell r="B4553" t="str">
            <v>Bağırlı Çinarə Azər</v>
          </cell>
          <cell r="C4553" t="str">
            <v>Binəqədi filialı</v>
          </cell>
          <cell r="D4553" t="str">
            <v>#</v>
          </cell>
          <cell r="E4553" t="str">
            <v>Xidmət bölməsi</v>
          </cell>
          <cell r="F4553" t="str">
            <v>Müştərilərlə iş üzrə aparıcı mütəxəssis</v>
          </cell>
          <cell r="G4553" t="str">
            <v>A</v>
          </cell>
          <cell r="H4553">
            <v>44419</v>
          </cell>
        </row>
        <row r="4554">
          <cell r="B4554" t="str">
            <v>Muradov Xəyal Yaşar</v>
          </cell>
          <cell r="C4554" t="str">
            <v>Binəqədi filialı</v>
          </cell>
          <cell r="D4554" t="str">
            <v>#</v>
          </cell>
          <cell r="E4554" t="str">
            <v>Xidmət bölməsi</v>
          </cell>
          <cell r="F4554" t="str">
            <v>Müştərilərlə iş üzrə aparıcı mütəxəssis</v>
          </cell>
          <cell r="G4554" t="str">
            <v>A</v>
          </cell>
          <cell r="H4554">
            <v>44936</v>
          </cell>
        </row>
        <row r="4555">
          <cell r="B4555" t="str">
            <v>Aslan Müşərrəf Əlisəftər</v>
          </cell>
          <cell r="C4555" t="str">
            <v>Binəqədi filialı</v>
          </cell>
          <cell r="D4555" t="str">
            <v>#</v>
          </cell>
          <cell r="E4555" t="str">
            <v>Xidmət bölməsi</v>
          </cell>
          <cell r="F4555" t="str">
            <v>Müştərilərlə iş üzrə aparıcı mütəxəssis</v>
          </cell>
          <cell r="G4555" t="str">
            <v>SM</v>
          </cell>
          <cell r="H4555">
            <v>43238</v>
          </cell>
        </row>
        <row r="4556">
          <cell r="B4556" t="str">
            <v>Babayeva Günel Raqib</v>
          </cell>
          <cell r="C4556" t="str">
            <v>Binəqədi filialı</v>
          </cell>
          <cell r="D4556" t="str">
            <v>#</v>
          </cell>
          <cell r="E4556" t="str">
            <v>Xidmət bölməsi</v>
          </cell>
          <cell r="F4556" t="str">
            <v>Müştərilərlə iş üzrə kiçik mütəxəssis (müvəqqəti)</v>
          </cell>
          <cell r="G4556" t="str">
            <v>A</v>
          </cell>
          <cell r="H4556">
            <v>46232</v>
          </cell>
        </row>
        <row r="4557">
          <cell r="B4557" t="str">
            <v>Musayev Samir Famil</v>
          </cell>
          <cell r="C4557" t="str">
            <v>Binəqədi filialı</v>
          </cell>
          <cell r="D4557" t="str">
            <v>#</v>
          </cell>
          <cell r="E4557" t="str">
            <v>Xidmət bölməsi</v>
          </cell>
          <cell r="F4557" t="str">
            <v>Müştərilərlə iş üzrə aparıcı mütəxəssis</v>
          </cell>
          <cell r="G4557" t="str">
            <v>A</v>
          </cell>
          <cell r="H4557">
            <v>42572</v>
          </cell>
        </row>
        <row r="4558">
          <cell r="B4558" t="str">
            <v>Qurbanlı Aliyə Sahib</v>
          </cell>
          <cell r="C4558" t="str">
            <v>Binəqədi filialı</v>
          </cell>
          <cell r="D4558" t="str">
            <v>#</v>
          </cell>
          <cell r="E4558" t="str">
            <v>Xidmət bölməsi</v>
          </cell>
          <cell r="F4558" t="str">
            <v>Müştərilərlə iş üzrə aparıcı mütəxəssis</v>
          </cell>
          <cell r="G4558" t="str">
            <v>A</v>
          </cell>
          <cell r="H4558">
            <v>44635</v>
          </cell>
        </row>
        <row r="4559">
          <cell r="B4559" t="str">
            <v>Məmmədova Aytən Firdosi</v>
          </cell>
          <cell r="C4559" t="str">
            <v>Binəqədi filialı</v>
          </cell>
          <cell r="D4559" t="str">
            <v>#</v>
          </cell>
          <cell r="E4559" t="str">
            <v>Xidmət bölməsi</v>
          </cell>
          <cell r="F4559" t="str">
            <v>Müştərilərlə iş üzrə baş mütəxəssis</v>
          </cell>
          <cell r="G4559" t="str">
            <v>A</v>
          </cell>
          <cell r="H4559">
            <v>42723</v>
          </cell>
        </row>
        <row r="4560">
          <cell r="B4560" t="str">
            <v>Əhmədova Nərmin Səfər</v>
          </cell>
          <cell r="C4560" t="str">
            <v>Binəqədi filialı</v>
          </cell>
          <cell r="D4560" t="str">
            <v>#</v>
          </cell>
          <cell r="E4560" t="str">
            <v>Xidmət bölməsi</v>
          </cell>
          <cell r="F4560" t="str">
            <v>Müştərilərlə iş üzrə mütəxəssis</v>
          </cell>
          <cell r="G4560" t="str">
            <v>A</v>
          </cell>
          <cell r="H4560">
            <v>44657</v>
          </cell>
        </row>
        <row r="4561">
          <cell r="B4561" t="str">
            <v>Verdiyeva Gülər Mehman</v>
          </cell>
          <cell r="C4561" t="str">
            <v>Binəqədi filialı</v>
          </cell>
          <cell r="D4561" t="str">
            <v>#</v>
          </cell>
          <cell r="E4561" t="str">
            <v>Xidmət bölməsi</v>
          </cell>
          <cell r="F4561" t="str">
            <v>Müştərilərlə iş üzrə mütəxəssis</v>
          </cell>
          <cell r="G4561" t="str">
            <v>HX</v>
          </cell>
          <cell r="H4561">
            <v>45236</v>
          </cell>
        </row>
        <row r="4562">
          <cell r="B4562" t="str">
            <v>Cəlilova Solmaz Bəxtiyar</v>
          </cell>
          <cell r="C4562" t="str">
            <v>Binəqədi filialı</v>
          </cell>
          <cell r="D4562" t="str">
            <v>#</v>
          </cell>
          <cell r="E4562" t="str">
            <v>Xidmət bölməsi</v>
          </cell>
          <cell r="F4562" t="str">
            <v>Müştərilərlə iş üzrə mütəxəssis (müvəqqəti)</v>
          </cell>
          <cell r="G4562" t="str">
            <v>A</v>
          </cell>
          <cell r="H4562">
            <v>46254</v>
          </cell>
        </row>
        <row r="4563">
          <cell r="B4563" t="str">
            <v>Calalzadə Tural Camal</v>
          </cell>
          <cell r="C4563" t="str">
            <v>Binəqədi filialı</v>
          </cell>
          <cell r="D4563" t="str">
            <v>#</v>
          </cell>
          <cell r="E4563" t="str">
            <v>Xidmət bölməsi</v>
          </cell>
          <cell r="F4563" t="str">
            <v>Müştərilərlə iş üzrə mütəxəssis (müvəqqəti)</v>
          </cell>
          <cell r="G4563" t="str">
            <v>A</v>
          </cell>
          <cell r="H4563">
            <v>46279</v>
          </cell>
        </row>
        <row r="4564">
          <cell r="B4564" t="str">
            <v>Əliyeva Nuray Suludin</v>
          </cell>
          <cell r="C4564" t="str">
            <v>Binəqədi filialı</v>
          </cell>
          <cell r="D4564" t="str">
            <v>#</v>
          </cell>
          <cell r="E4564" t="str">
            <v>Xidmət bölməsi</v>
          </cell>
          <cell r="F4564" t="str">
            <v>Müştərilərlə iş üzrə mütəxəssis</v>
          </cell>
          <cell r="G4564" t="str">
            <v>A</v>
          </cell>
          <cell r="H4564">
            <v>44606</v>
          </cell>
        </row>
        <row r="4565">
          <cell r="B4565" t="str">
            <v>Kərimov Pərvin Telman</v>
          </cell>
          <cell r="C4565" t="str">
            <v>Binəqədi filialı</v>
          </cell>
          <cell r="D4565" t="str">
            <v>#</v>
          </cell>
          <cell r="E4565" t="str">
            <v>Xidmət bölməsi</v>
          </cell>
          <cell r="F4565" t="str">
            <v>Müştərilərlə iş üzrə mütəxəssis</v>
          </cell>
          <cell r="G4565" t="str">
            <v>A</v>
          </cell>
          <cell r="H4565">
            <v>45559</v>
          </cell>
        </row>
        <row r="4566">
          <cell r="B4566" t="str">
            <v>Abasov Vüqar Əli</v>
          </cell>
          <cell r="C4566" t="str">
            <v>Binəqədi filialı</v>
          </cell>
          <cell r="D4566" t="str">
            <v>#</v>
          </cell>
          <cell r="E4566" t="str">
            <v>Xidmət bölməsi</v>
          </cell>
          <cell r="F4566" t="str">
            <v>Müştərilərlə iş üzrə mütəxəssis</v>
          </cell>
          <cell r="G4566" t="str">
            <v>A</v>
          </cell>
          <cell r="H4566">
            <v>44820</v>
          </cell>
        </row>
        <row r="4567">
          <cell r="B4567" t="str">
            <v>Rüstəmli Rüfət Nail</v>
          </cell>
          <cell r="C4567" t="str">
            <v>Binəqədi filialı</v>
          </cell>
          <cell r="D4567" t="str">
            <v>#</v>
          </cell>
          <cell r="E4567" t="str">
            <v>Xidmət bölməsi</v>
          </cell>
          <cell r="F4567" t="str">
            <v>Müştərilərlə iş üzrə mütəxəssis</v>
          </cell>
          <cell r="G4567" t="str">
            <v>A</v>
          </cell>
          <cell r="H4567">
            <v>45779</v>
          </cell>
        </row>
        <row r="4568">
          <cell r="B4568" t="str">
            <v>Məmmədov Elmin Salah</v>
          </cell>
          <cell r="C4568" t="str">
            <v>Binəqədi filialı</v>
          </cell>
          <cell r="D4568" t="str">
            <v>#</v>
          </cell>
          <cell r="E4568" t="str">
            <v>Xidmət bölməsi</v>
          </cell>
          <cell r="F4568" t="str">
            <v>Kiçik əməliyyatçı-kassir</v>
          </cell>
          <cell r="G4568" t="str">
            <v>A</v>
          </cell>
          <cell r="H4568">
            <v>46163</v>
          </cell>
        </row>
        <row r="4569">
          <cell r="B4569" t="str">
            <v>Qəhrəmanova Gülnarə Ziyad</v>
          </cell>
          <cell r="C4569" t="str">
            <v>Binəqədi filialı</v>
          </cell>
          <cell r="D4569" t="str">
            <v>#</v>
          </cell>
          <cell r="E4569" t="str">
            <v>İnzibati bölmə</v>
          </cell>
          <cell r="F4569" t="str">
            <v>Xadimə</v>
          </cell>
          <cell r="G4569" t="str">
            <v>A</v>
          </cell>
          <cell r="H4569">
            <v>42627</v>
          </cell>
        </row>
        <row r="4570">
          <cell r="B4570" t="str">
            <v>İbrahimov Elvin Həsən</v>
          </cell>
          <cell r="C4570" t="str">
            <v>Binəqədi filialı</v>
          </cell>
          <cell r="D4570" t="str">
            <v>#</v>
          </cell>
          <cell r="E4570" t="str">
            <v>Mikro kredit bölməsi</v>
          </cell>
          <cell r="F4570" t="str">
            <v>Bölmə rəhbəri</v>
          </cell>
          <cell r="G4570" t="str">
            <v>A</v>
          </cell>
          <cell r="H4570">
            <v>45023</v>
          </cell>
        </row>
        <row r="4571">
          <cell r="B4571" t="str">
            <v>İbrahimov Rahib Rafiq</v>
          </cell>
          <cell r="C4571" t="str">
            <v>Binəqədi filialı</v>
          </cell>
          <cell r="D4571" t="str">
            <v>#</v>
          </cell>
          <cell r="E4571" t="str">
            <v>Mikro kredit bölməsi</v>
          </cell>
          <cell r="F4571" t="str">
            <v>Baş mütəxəssis</v>
          </cell>
          <cell r="G4571" t="str">
            <v>A</v>
          </cell>
          <cell r="H4571">
            <v>45050</v>
          </cell>
        </row>
        <row r="4572">
          <cell r="B4572" t="str">
            <v>Teymurxanlı Nicat Azad</v>
          </cell>
          <cell r="C4572" t="str">
            <v>Binəqədi filialı</v>
          </cell>
          <cell r="D4572" t="str">
            <v>#</v>
          </cell>
          <cell r="E4572" t="str">
            <v>Mikro kredit bölməsi</v>
          </cell>
          <cell r="F4572" t="str">
            <v>Aparıcı mütəxəssis</v>
          </cell>
          <cell r="G4572" t="str">
            <v>A</v>
          </cell>
          <cell r="H4572">
            <v>44788</v>
          </cell>
        </row>
        <row r="4573">
          <cell r="B4573" t="str">
            <v>Hüseynov Məhəmməd Sevindik</v>
          </cell>
          <cell r="C4573" t="str">
            <v>Binəqədi filialı</v>
          </cell>
          <cell r="D4573" t="str">
            <v>#</v>
          </cell>
          <cell r="E4573" t="str">
            <v>Mikro kredit bölməsi</v>
          </cell>
          <cell r="F4573" t="str">
            <v>Mütəxəssis</v>
          </cell>
          <cell r="G4573" t="str">
            <v>A</v>
          </cell>
          <cell r="H4573">
            <v>45645</v>
          </cell>
        </row>
        <row r="4574">
          <cell r="B4574" t="str">
            <v>Abuşov Orxan Əlvan</v>
          </cell>
          <cell r="C4574" t="str">
            <v>Binəqədi filialı</v>
          </cell>
          <cell r="D4574" t="str">
            <v>#</v>
          </cell>
          <cell r="E4574" t="str">
            <v>Mikro kredit bölməsi</v>
          </cell>
          <cell r="F4574" t="str">
            <v>Kiçik mütəxəssis</v>
          </cell>
          <cell r="G4574" t="str">
            <v>A</v>
          </cell>
          <cell r="H4574">
            <v>45828</v>
          </cell>
        </row>
        <row r="4575">
          <cell r="B4575" t="str">
            <v>Orucov Əli Bəxtiyar</v>
          </cell>
          <cell r="C4575" t="str">
            <v>Bravo 2 filialı</v>
          </cell>
          <cell r="D4575" t="str">
            <v>#</v>
          </cell>
          <cell r="E4575" t="str">
            <v>#</v>
          </cell>
          <cell r="F4575" t="str">
            <v>Müdir</v>
          </cell>
          <cell r="G4575" t="str">
            <v>A</v>
          </cell>
          <cell r="H4575">
            <v>41551</v>
          </cell>
        </row>
        <row r="4576">
          <cell r="B4576" t="str">
            <v>Şəmiyev Vüqar Təriş</v>
          </cell>
          <cell r="C4576" t="str">
            <v>Bravo 2 filialı</v>
          </cell>
          <cell r="D4576" t="str">
            <v>#</v>
          </cell>
          <cell r="E4576" t="str">
            <v>Xidmət bölməsi</v>
          </cell>
          <cell r="F4576" t="str">
            <v>Kassa üzrə baş mütəxəssis</v>
          </cell>
          <cell r="G4576" t="str">
            <v>A</v>
          </cell>
          <cell r="H4576">
            <v>42444</v>
          </cell>
        </row>
        <row r="4577">
          <cell r="B4577" t="str">
            <v>Şahsuvarov Rahib Ramiz</v>
          </cell>
          <cell r="C4577" t="str">
            <v>Bravo 2 filialı</v>
          </cell>
          <cell r="D4577" t="str">
            <v>#</v>
          </cell>
          <cell r="E4577" t="str">
            <v>Xidmət bölməsi</v>
          </cell>
          <cell r="F4577" t="str">
            <v>Kassa üzrə baş mütəxəssis</v>
          </cell>
          <cell r="G4577" t="str">
            <v>A</v>
          </cell>
          <cell r="H4577">
            <v>42467</v>
          </cell>
        </row>
        <row r="4578">
          <cell r="B4578" t="str">
            <v>Nuri Türkan Səfər</v>
          </cell>
          <cell r="C4578" t="str">
            <v>Bravo 2 filialı</v>
          </cell>
          <cell r="D4578" t="str">
            <v>#</v>
          </cell>
          <cell r="E4578" t="str">
            <v>Xidmət bölməsi</v>
          </cell>
          <cell r="F4578" t="str">
            <v>Məlumat xidməti üzrə aparıcı mütəxəssis</v>
          </cell>
          <cell r="G4578" t="str">
            <v>A</v>
          </cell>
          <cell r="H4578">
            <v>45275</v>
          </cell>
        </row>
        <row r="4579">
          <cell r="B4579" t="str">
            <v>Əliyeva Şəhla Kamil</v>
          </cell>
          <cell r="C4579" t="str">
            <v>Bravo 2 filialı</v>
          </cell>
          <cell r="D4579" t="str">
            <v>#</v>
          </cell>
          <cell r="E4579" t="str">
            <v>Xidmət bölməsi</v>
          </cell>
          <cell r="F4579" t="str">
            <v>Müştərilərlə iş üzrə baş mütəxəssis</v>
          </cell>
          <cell r="G4579" t="str">
            <v>A</v>
          </cell>
          <cell r="H4579">
            <v>39687</v>
          </cell>
        </row>
        <row r="4580">
          <cell r="B4580" t="str">
            <v>Şabanlı Əli Zaur</v>
          </cell>
          <cell r="C4580" t="str">
            <v>Bravo 2 filialı</v>
          </cell>
          <cell r="D4580" t="str">
            <v>#</v>
          </cell>
          <cell r="E4580" t="str">
            <v>Xidmət bölməsi</v>
          </cell>
          <cell r="F4580" t="str">
            <v>Müştərilərlə iş üzrə baş mütəxəssis</v>
          </cell>
          <cell r="G4580" t="str">
            <v>A</v>
          </cell>
          <cell r="H4580">
            <v>43717</v>
          </cell>
        </row>
        <row r="4581">
          <cell r="B4581" t="str">
            <v>Hüseynova Səma Osman</v>
          </cell>
          <cell r="C4581" t="str">
            <v>Bravo 2 filialı</v>
          </cell>
          <cell r="D4581" t="str">
            <v>#</v>
          </cell>
          <cell r="E4581" t="str">
            <v>Xidmət bölməsi</v>
          </cell>
          <cell r="F4581" t="str">
            <v>Müştərilərlə iş üzrə baş mütəxəssis</v>
          </cell>
          <cell r="G4581" t="str">
            <v>A</v>
          </cell>
          <cell r="H4581">
            <v>42619</v>
          </cell>
        </row>
        <row r="4582">
          <cell r="B4582" t="str">
            <v>Dadaşov Tahir Azər</v>
          </cell>
          <cell r="C4582" t="str">
            <v>Bravo 2 filialı</v>
          </cell>
          <cell r="D4582" t="str">
            <v>#</v>
          </cell>
          <cell r="E4582" t="str">
            <v>Xidmət bölməsi</v>
          </cell>
          <cell r="F4582" t="str">
            <v>Müştərilərlə iş üzrə baş mütəxəssis</v>
          </cell>
          <cell r="G4582" t="str">
            <v>A</v>
          </cell>
          <cell r="H4582">
            <v>42972</v>
          </cell>
        </row>
        <row r="4583">
          <cell r="B4583" t="str">
            <v>Haqverdiyev Ayxan Etibar</v>
          </cell>
          <cell r="C4583" t="str">
            <v>Bravo 2 filialı</v>
          </cell>
          <cell r="D4583" t="str">
            <v>#</v>
          </cell>
          <cell r="E4583" t="str">
            <v>Xidmət bölməsi</v>
          </cell>
          <cell r="F4583" t="str">
            <v>Müştərilərlə iş üzrə baş mütəxəssis</v>
          </cell>
          <cell r="G4583" t="str">
            <v>A</v>
          </cell>
          <cell r="H4583">
            <v>42810</v>
          </cell>
        </row>
        <row r="4584">
          <cell r="B4584" t="str">
            <v>Hacıyeva Sənəm Kamal</v>
          </cell>
          <cell r="C4584" t="str">
            <v>Bravo 2 filialı</v>
          </cell>
          <cell r="D4584" t="str">
            <v>#</v>
          </cell>
          <cell r="E4584" t="str">
            <v>Xidmət bölməsi</v>
          </cell>
          <cell r="F4584" t="str">
            <v>Müştərilərlə iş üzrə aparıcı mütəxəssis</v>
          </cell>
          <cell r="G4584" t="str">
            <v>A</v>
          </cell>
          <cell r="H4584">
            <v>44546</v>
          </cell>
        </row>
        <row r="4585">
          <cell r="B4585" t="str">
            <v>Əliyeva Əminə Rzaqulu</v>
          </cell>
          <cell r="C4585" t="str">
            <v>Bravo 2 filialı</v>
          </cell>
          <cell r="D4585" t="str">
            <v>#</v>
          </cell>
          <cell r="E4585" t="str">
            <v>İnzibati bölmə</v>
          </cell>
          <cell r="F4585" t="str">
            <v>Xadimə</v>
          </cell>
          <cell r="G4585" t="str">
            <v>A</v>
          </cell>
          <cell r="H4585">
            <v>43507</v>
          </cell>
        </row>
        <row r="4586">
          <cell r="B4586" t="str">
            <v>Ağayev Rüfət Firuz</v>
          </cell>
          <cell r="C4586" t="str">
            <v>Bravo 3 filialı</v>
          </cell>
          <cell r="D4586" t="str">
            <v>#</v>
          </cell>
          <cell r="E4586" t="str">
            <v>#</v>
          </cell>
          <cell r="F4586" t="str">
            <v>Müdir</v>
          </cell>
          <cell r="G4586" t="str">
            <v>A</v>
          </cell>
          <cell r="H4586">
            <v>38387</v>
          </cell>
        </row>
        <row r="4587">
          <cell r="B4587" t="str">
            <v>Baxşıyev Nazir Ramiz</v>
          </cell>
          <cell r="C4587" t="str">
            <v>Bravo 3 filialı</v>
          </cell>
          <cell r="D4587" t="str">
            <v>#</v>
          </cell>
          <cell r="E4587" t="str">
            <v>Xidmət bölməsi</v>
          </cell>
          <cell r="F4587" t="str">
            <v>Kassa üzrə baş mütəxəssis</v>
          </cell>
          <cell r="G4587" t="str">
            <v>A</v>
          </cell>
          <cell r="H4587">
            <v>42881</v>
          </cell>
        </row>
        <row r="4588">
          <cell r="B4588" t="str">
            <v>Süleymanova Nigar Ədalət</v>
          </cell>
          <cell r="C4588" t="str">
            <v>Bravo 3 filialı</v>
          </cell>
          <cell r="D4588" t="str">
            <v>#</v>
          </cell>
          <cell r="E4588" t="str">
            <v>Xidmət bölməsi</v>
          </cell>
          <cell r="F4588" t="str">
            <v>Kassa üzrə mütəxəssis</v>
          </cell>
          <cell r="G4588" t="str">
            <v>A</v>
          </cell>
          <cell r="H4588">
            <v>45813</v>
          </cell>
        </row>
        <row r="4589">
          <cell r="B4589" t="str">
            <v>Rəsulov Ədalət Rəsul</v>
          </cell>
          <cell r="C4589" t="str">
            <v>Bravo 3 filialı</v>
          </cell>
          <cell r="D4589" t="str">
            <v>#</v>
          </cell>
          <cell r="E4589" t="str">
            <v>Xidmət bölməsi</v>
          </cell>
          <cell r="F4589" t="str">
            <v>Müştərilərlə iş üzrə baş mütəxəssis</v>
          </cell>
          <cell r="G4589" t="str">
            <v>A</v>
          </cell>
          <cell r="H4589">
            <v>42850</v>
          </cell>
        </row>
        <row r="4590">
          <cell r="B4590" t="str">
            <v>Seyidova Aida Teyyub</v>
          </cell>
          <cell r="C4590" t="str">
            <v>Bravo 3 filialı</v>
          </cell>
          <cell r="D4590" t="str">
            <v>#</v>
          </cell>
          <cell r="E4590" t="str">
            <v>Xidmət bölməsi</v>
          </cell>
          <cell r="F4590" t="str">
            <v>Müştərilərlə iş üzrə baş mütəxəssis</v>
          </cell>
          <cell r="G4590" t="str">
            <v>A</v>
          </cell>
          <cell r="H4590">
            <v>42485</v>
          </cell>
        </row>
        <row r="4591">
          <cell r="B4591" t="str">
            <v>Mirzəyev Səid Vahid</v>
          </cell>
          <cell r="C4591" t="str">
            <v>Bravo 3 filialı</v>
          </cell>
          <cell r="D4591" t="str">
            <v>#</v>
          </cell>
          <cell r="E4591" t="str">
            <v>Xidmət bölməsi</v>
          </cell>
          <cell r="F4591" t="str">
            <v>Müştərilərlə iş üzrə baş mütəxəssis</v>
          </cell>
          <cell r="G4591" t="str">
            <v>A</v>
          </cell>
          <cell r="H4591">
            <v>42509</v>
          </cell>
        </row>
        <row r="4592">
          <cell r="B4592" t="str">
            <v>Həsənova Samirə İlham</v>
          </cell>
          <cell r="C4592" t="str">
            <v>Bravo 3 filialı</v>
          </cell>
          <cell r="D4592" t="str">
            <v>#</v>
          </cell>
          <cell r="E4592" t="str">
            <v>Xidmət bölməsi</v>
          </cell>
          <cell r="F4592" t="str">
            <v>Müştərilərlə iş üzrə aparıcı mütəxəssis</v>
          </cell>
          <cell r="G4592" t="str">
            <v>A</v>
          </cell>
          <cell r="H4592">
            <v>43661</v>
          </cell>
        </row>
        <row r="4593">
          <cell r="B4593" t="str">
            <v>Abdulkərimov Abdulkərim Sadıq</v>
          </cell>
          <cell r="C4593" t="str">
            <v>Bravo 3 filialı</v>
          </cell>
          <cell r="D4593" t="str">
            <v>#</v>
          </cell>
          <cell r="E4593" t="str">
            <v>Xidmət bölməsi</v>
          </cell>
          <cell r="F4593" t="str">
            <v>Müştərilərlə iş üzrə aparıcı mütəxəssis</v>
          </cell>
          <cell r="G4593" t="str">
            <v>A</v>
          </cell>
          <cell r="H4593">
            <v>44698</v>
          </cell>
        </row>
        <row r="4594">
          <cell r="B4594" t="str">
            <v>Qocayeva Səlimnaz Vüqar</v>
          </cell>
          <cell r="C4594" t="str">
            <v>Bravo 3 filialı</v>
          </cell>
          <cell r="D4594" t="str">
            <v>#</v>
          </cell>
          <cell r="E4594" t="str">
            <v>Xidmət bölməsi</v>
          </cell>
          <cell r="F4594" t="str">
            <v>Məlumat xidməti üzrə mütəxəssis</v>
          </cell>
          <cell r="G4594" t="str">
            <v>A</v>
          </cell>
          <cell r="H4594">
            <v>45841</v>
          </cell>
        </row>
        <row r="4595">
          <cell r="B4595" t="str">
            <v>Şükürova Cəmalə Rəşid</v>
          </cell>
          <cell r="C4595" t="str">
            <v>Bravo 3 filialı</v>
          </cell>
          <cell r="D4595" t="str">
            <v>#</v>
          </cell>
          <cell r="E4595" t="str">
            <v>İnzibati bölmə</v>
          </cell>
          <cell r="F4595" t="str">
            <v>Xadimə</v>
          </cell>
          <cell r="G4595" t="str">
            <v>A</v>
          </cell>
          <cell r="H4595">
            <v>43531</v>
          </cell>
        </row>
        <row r="4596">
          <cell r="B4596" t="str">
            <v>Nəsirov Musa Nazim</v>
          </cell>
          <cell r="C4596" t="str">
            <v>Cəfər Cabbarlı filialı</v>
          </cell>
          <cell r="D4596" t="str">
            <v>#</v>
          </cell>
          <cell r="E4596" t="str">
            <v>#</v>
          </cell>
          <cell r="F4596" t="str">
            <v>Müdir</v>
          </cell>
          <cell r="G4596" t="str">
            <v>A</v>
          </cell>
          <cell r="H4596">
            <v>41554</v>
          </cell>
        </row>
        <row r="4597">
          <cell r="B4597" t="str">
            <v>Məmmədova Günay Süleyman</v>
          </cell>
          <cell r="C4597" t="str">
            <v>Cəfər Cabbarlı filialı</v>
          </cell>
          <cell r="D4597" t="str">
            <v>#</v>
          </cell>
          <cell r="E4597" t="str">
            <v>Xidmət bölməsi</v>
          </cell>
          <cell r="F4597" t="str">
            <v>Kassa üzrə baş mütəxəssis</v>
          </cell>
          <cell r="G4597" t="str">
            <v>A</v>
          </cell>
          <cell r="H4597">
            <v>38587</v>
          </cell>
        </row>
        <row r="4598">
          <cell r="B4598" t="str">
            <v>Şəfiyeva Sevil Əlicəfər</v>
          </cell>
          <cell r="C4598" t="str">
            <v>Cəfər Cabbarlı filialı</v>
          </cell>
          <cell r="D4598" t="str">
            <v>#</v>
          </cell>
          <cell r="E4598" t="str">
            <v>Xidmət bölməsi</v>
          </cell>
          <cell r="F4598" t="str">
            <v>Kassa üzrə baş mütəxəssis</v>
          </cell>
          <cell r="G4598" t="str">
            <v>A</v>
          </cell>
          <cell r="H4598">
            <v>38958</v>
          </cell>
        </row>
        <row r="4599">
          <cell r="B4599" t="str">
            <v>Rüstəmli Fəridə Elman</v>
          </cell>
          <cell r="C4599" t="str">
            <v>Cəfər Cabbarlı filialı</v>
          </cell>
          <cell r="D4599" t="str">
            <v>#</v>
          </cell>
          <cell r="E4599" t="str">
            <v>Xidmət bölməsi</v>
          </cell>
          <cell r="F4599" t="str">
            <v>Kassa üzrə mütəxəssis</v>
          </cell>
          <cell r="G4599" t="str">
            <v>SM</v>
          </cell>
          <cell r="H4599">
            <v>44186</v>
          </cell>
        </row>
        <row r="4600">
          <cell r="B4600" t="str">
            <v>Cəfərov Nicat Hazarxan</v>
          </cell>
          <cell r="C4600" t="str">
            <v>Cəfər Cabbarlı filialı</v>
          </cell>
          <cell r="D4600" t="str">
            <v>#</v>
          </cell>
          <cell r="E4600" t="str">
            <v>Xidmət bölməsi</v>
          </cell>
          <cell r="F4600" t="str">
            <v>Kassa üzrə aparıcı mütəxəssis (müvəqqəti)</v>
          </cell>
          <cell r="G4600" t="str">
            <v>A</v>
          </cell>
          <cell r="H4600">
            <v>44916</v>
          </cell>
        </row>
        <row r="4601">
          <cell r="B4601" t="str">
            <v>Təhməzova Güllü Nemət</v>
          </cell>
          <cell r="C4601" t="str">
            <v>Cəfər Cabbarlı filialı</v>
          </cell>
          <cell r="D4601" t="str">
            <v>#</v>
          </cell>
          <cell r="E4601" t="str">
            <v>Xidmət bölməsi</v>
          </cell>
          <cell r="F4601" t="str">
            <v>Məlumat xidməti üzrə aparıcı mütəxəssis</v>
          </cell>
          <cell r="G4601" t="str">
            <v>HX</v>
          </cell>
          <cell r="H4601">
            <v>45245</v>
          </cell>
        </row>
        <row r="4602">
          <cell r="B4602" t="str">
            <v>Tağızadə Nərminə Rauf</v>
          </cell>
          <cell r="C4602" t="str">
            <v>Cəfər Cabbarlı filialı</v>
          </cell>
          <cell r="D4602" t="str">
            <v>#</v>
          </cell>
          <cell r="E4602" t="str">
            <v>Xidmət bölməsi</v>
          </cell>
          <cell r="F4602" t="str">
            <v>Müştərilərlə iş üzrə baş mütəxəssis</v>
          </cell>
          <cell r="G4602" t="str">
            <v>A</v>
          </cell>
          <cell r="H4602">
            <v>39832</v>
          </cell>
        </row>
        <row r="4603">
          <cell r="B4603" t="str">
            <v>Babayeva Suğra Nadir</v>
          </cell>
          <cell r="C4603" t="str">
            <v>Cəfər Cabbarlı filialı</v>
          </cell>
          <cell r="D4603" t="str">
            <v>#</v>
          </cell>
          <cell r="E4603" t="str">
            <v>Xidmət bölməsi</v>
          </cell>
          <cell r="F4603" t="str">
            <v>Müştərilərlə iş üzrə baş mütəxəssis</v>
          </cell>
          <cell r="G4603" t="str">
            <v>A</v>
          </cell>
          <cell r="H4603">
            <v>43710</v>
          </cell>
        </row>
        <row r="4604">
          <cell r="B4604" t="str">
            <v>İsgəndərli Fərhad Məhəmməd</v>
          </cell>
          <cell r="C4604" t="str">
            <v>Cəfər Cabbarlı filialı</v>
          </cell>
          <cell r="D4604" t="str">
            <v>#</v>
          </cell>
          <cell r="E4604" t="str">
            <v>Xidmət bölməsi</v>
          </cell>
          <cell r="F4604" t="str">
            <v>Müştərilərlə iş üzrə baş mütəxəssis</v>
          </cell>
          <cell r="G4604" t="str">
            <v>A</v>
          </cell>
          <cell r="H4604">
            <v>43700</v>
          </cell>
        </row>
        <row r="4605">
          <cell r="B4605" t="str">
            <v>Əliyev Pərvin Vilayət</v>
          </cell>
          <cell r="C4605" t="str">
            <v>Cəfər Cabbarlı filialı</v>
          </cell>
          <cell r="D4605" t="str">
            <v>#</v>
          </cell>
          <cell r="E4605" t="str">
            <v>Xidmət bölməsi</v>
          </cell>
          <cell r="F4605" t="str">
            <v>Müştərilərlə iş üzrə baş mütəxəssis</v>
          </cell>
          <cell r="G4605" t="str">
            <v>A</v>
          </cell>
          <cell r="H4605">
            <v>44600</v>
          </cell>
        </row>
        <row r="4606">
          <cell r="B4606" t="str">
            <v>Heydərli Vahab Elxan</v>
          </cell>
          <cell r="C4606" t="str">
            <v>Cəfər Cabbarlı filialı</v>
          </cell>
          <cell r="D4606" t="str">
            <v>#</v>
          </cell>
          <cell r="E4606" t="str">
            <v>Xidmət bölməsi</v>
          </cell>
          <cell r="F4606" t="str">
            <v>Müştərilərlə iş üzrə baş mütəxəssis</v>
          </cell>
          <cell r="G4606" t="str">
            <v>A</v>
          </cell>
          <cell r="H4606">
            <v>43509</v>
          </cell>
        </row>
        <row r="4607">
          <cell r="B4607" t="str">
            <v>Rzayeva Səmayə Cabir</v>
          </cell>
          <cell r="C4607" t="str">
            <v>Cəfər Cabbarlı filialı</v>
          </cell>
          <cell r="D4607" t="str">
            <v>#</v>
          </cell>
          <cell r="E4607" t="str">
            <v>Xidmət bölməsi</v>
          </cell>
          <cell r="F4607" t="str">
            <v>Müştərilərlə iş üzrə mütəxəssis</v>
          </cell>
          <cell r="G4607" t="str">
            <v>A</v>
          </cell>
          <cell r="H4607">
            <v>45891</v>
          </cell>
        </row>
        <row r="4608">
          <cell r="B4608" t="str">
            <v>Xəlilova Aygün Rövşən</v>
          </cell>
          <cell r="C4608" t="str">
            <v>Cəfər Cabbarlı filialı</v>
          </cell>
          <cell r="D4608" t="str">
            <v>#</v>
          </cell>
          <cell r="E4608" t="str">
            <v>Xidmət bölməsi</v>
          </cell>
          <cell r="F4608" t="str">
            <v>Müştərilərlə iş üzrə mütəxəssis</v>
          </cell>
          <cell r="G4608" t="str">
            <v>A</v>
          </cell>
          <cell r="H4608">
            <v>45643</v>
          </cell>
        </row>
        <row r="4609">
          <cell r="B4609" t="str">
            <v>Qurbanov Yaqub Eldəniz</v>
          </cell>
          <cell r="C4609" t="str">
            <v>Cəfər Cabbarlı filialı</v>
          </cell>
          <cell r="D4609" t="str">
            <v>#</v>
          </cell>
          <cell r="E4609" t="str">
            <v>Xidmət bölməsi</v>
          </cell>
          <cell r="F4609" t="str">
            <v>Müştərilərlə iş üzrə mütəxəssis</v>
          </cell>
          <cell r="G4609" t="str">
            <v>A</v>
          </cell>
          <cell r="H4609">
            <v>45800</v>
          </cell>
        </row>
        <row r="4610">
          <cell r="B4610" t="str">
            <v>Rəfiyeva Dilşad Süleyman</v>
          </cell>
          <cell r="C4610" t="str">
            <v>Cəfər Cabbarlı filialı</v>
          </cell>
          <cell r="D4610" t="str">
            <v>#</v>
          </cell>
          <cell r="E4610" t="str">
            <v>İnzibati bölmə</v>
          </cell>
          <cell r="F4610" t="str">
            <v>Xadimə</v>
          </cell>
          <cell r="G4610" t="str">
            <v>A</v>
          </cell>
          <cell r="H4610">
            <v>40634</v>
          </cell>
        </row>
        <row r="4611">
          <cell r="B4611" t="str">
            <v>Məhərrəmzadə Anar Arif</v>
          </cell>
          <cell r="C4611" t="str">
            <v>Əhmədli filialı</v>
          </cell>
          <cell r="D4611" t="str">
            <v>#</v>
          </cell>
          <cell r="E4611" t="str">
            <v>#</v>
          </cell>
          <cell r="F4611" t="str">
            <v>Müdir</v>
          </cell>
          <cell r="G4611" t="str">
            <v>A</v>
          </cell>
          <cell r="H4611">
            <v>41551</v>
          </cell>
        </row>
        <row r="4612">
          <cell r="B4612" t="str">
            <v>Musayev Tərlan Elxan</v>
          </cell>
          <cell r="C4612" t="str">
            <v>Əhmədli filialı</v>
          </cell>
          <cell r="D4612" t="str">
            <v>#</v>
          </cell>
          <cell r="E4612" t="str">
            <v>Xidmət bölməsi</v>
          </cell>
          <cell r="F4612" t="str">
            <v>Bölmə rəhbəri</v>
          </cell>
          <cell r="G4612" t="str">
            <v>A</v>
          </cell>
          <cell r="H4612">
            <v>40387</v>
          </cell>
        </row>
        <row r="4613">
          <cell r="B4613" t="str">
            <v>Dibirov Fuad Rasim</v>
          </cell>
          <cell r="C4613" t="str">
            <v>Əhmədli filialı</v>
          </cell>
          <cell r="D4613" t="str">
            <v>#</v>
          </cell>
          <cell r="E4613" t="str">
            <v>Xidmət bölməsi</v>
          </cell>
          <cell r="F4613" t="str">
            <v>Kassa üzrə aparıcı mütəxəssis</v>
          </cell>
          <cell r="G4613" t="str">
            <v>A</v>
          </cell>
          <cell r="H4613">
            <v>44915</v>
          </cell>
        </row>
        <row r="4614">
          <cell r="B4614" t="str">
            <v>Əlizadə Elnar Məmməd</v>
          </cell>
          <cell r="C4614" t="str">
            <v>Əhmədli filialı</v>
          </cell>
          <cell r="D4614" t="str">
            <v>#</v>
          </cell>
          <cell r="E4614" t="str">
            <v>Xidmət bölməsi</v>
          </cell>
          <cell r="F4614" t="str">
            <v>Kassa üzrə mütəxəssis</v>
          </cell>
          <cell r="G4614" t="str">
            <v>A</v>
          </cell>
          <cell r="H4614">
            <v>45707</v>
          </cell>
        </row>
        <row r="4615">
          <cell r="B4615" t="str">
            <v>Aslanova Tamara Mübariz</v>
          </cell>
          <cell r="C4615" t="str">
            <v>Əhmədli filialı</v>
          </cell>
          <cell r="D4615" t="str">
            <v>#</v>
          </cell>
          <cell r="E4615" t="str">
            <v>Xidmət bölməsi</v>
          </cell>
          <cell r="F4615" t="str">
            <v>Əməliyyatçı-kassir</v>
          </cell>
          <cell r="G4615" t="str">
            <v>A</v>
          </cell>
          <cell r="H4615">
            <v>45916</v>
          </cell>
        </row>
        <row r="4616">
          <cell r="B4616" t="str">
            <v>Əlizadə Xuraman Pənah</v>
          </cell>
          <cell r="C4616" t="str">
            <v>Əhmədli filialı</v>
          </cell>
          <cell r="D4616" t="str">
            <v>#</v>
          </cell>
          <cell r="E4616" t="str">
            <v>Xidmət bölməsi</v>
          </cell>
          <cell r="F4616" t="str">
            <v>Məlumat xidməti üzrə mütəxəssis</v>
          </cell>
          <cell r="G4616" t="str">
            <v>A</v>
          </cell>
          <cell r="H4616">
            <v>45693</v>
          </cell>
        </row>
        <row r="4617">
          <cell r="B4617" t="str">
            <v>İmamverdiyeva İlqarə Ramin</v>
          </cell>
          <cell r="C4617" t="str">
            <v>Əhmədli filialı</v>
          </cell>
          <cell r="D4617" t="str">
            <v>#</v>
          </cell>
          <cell r="E4617" t="str">
            <v>Xidmət bölməsi</v>
          </cell>
          <cell r="F4617" t="str">
            <v>Məlumat xidməti üzrə mütəxəssis</v>
          </cell>
          <cell r="G4617" t="str">
            <v>A</v>
          </cell>
          <cell r="H4617">
            <v>45264</v>
          </cell>
        </row>
        <row r="4618">
          <cell r="B4618" t="str">
            <v>Əzimova Gülbəniz Mamed</v>
          </cell>
          <cell r="C4618" t="str">
            <v>Əhmədli filialı</v>
          </cell>
          <cell r="D4618" t="str">
            <v>#</v>
          </cell>
          <cell r="E4618" t="str">
            <v>Xidmət bölməsi</v>
          </cell>
          <cell r="F4618" t="str">
            <v>Müştərilərlə iş üzrə baş mütəxəssis</v>
          </cell>
          <cell r="G4618" t="str">
            <v>A</v>
          </cell>
          <cell r="H4618">
            <v>42527</v>
          </cell>
        </row>
        <row r="4619">
          <cell r="B4619" t="str">
            <v>Vəliyeva Nərmin Saleh</v>
          </cell>
          <cell r="C4619" t="str">
            <v>Əhmədli filialı</v>
          </cell>
          <cell r="D4619" t="str">
            <v>#</v>
          </cell>
          <cell r="E4619" t="str">
            <v>Xidmət bölməsi</v>
          </cell>
          <cell r="F4619" t="str">
            <v>Müştərilərlə iş üzrə aparıcı mütəxəssis</v>
          </cell>
          <cell r="G4619" t="str">
            <v>SM</v>
          </cell>
          <cell r="H4619">
            <v>43840</v>
          </cell>
        </row>
        <row r="4620">
          <cell r="B4620" t="str">
            <v>İsgəndərova Fatimə Şəfaət</v>
          </cell>
          <cell r="C4620" t="str">
            <v>Əhmədli filialı</v>
          </cell>
          <cell r="D4620" t="str">
            <v>#</v>
          </cell>
          <cell r="E4620" t="str">
            <v>Xidmət bölməsi</v>
          </cell>
          <cell r="F4620" t="str">
            <v>Müştərilərlə iş üzrə mütəxəssis (müvəqqəti)</v>
          </cell>
          <cell r="G4620" t="str">
            <v>A</v>
          </cell>
          <cell r="H4620">
            <v>46209</v>
          </cell>
        </row>
        <row r="4621">
          <cell r="B4621" t="str">
            <v>Bəylərova Süleymanova Sevilə Sərdar</v>
          </cell>
          <cell r="C4621" t="str">
            <v>Əhmədli filialı</v>
          </cell>
          <cell r="D4621" t="str">
            <v>#</v>
          </cell>
          <cell r="E4621" t="str">
            <v>Xidmət bölməsi</v>
          </cell>
          <cell r="F4621" t="str">
            <v>Müştərilərlə iş üzrə baş mütəxəssis</v>
          </cell>
          <cell r="G4621" t="str">
            <v>A</v>
          </cell>
          <cell r="H4621">
            <v>42838</v>
          </cell>
        </row>
        <row r="4622">
          <cell r="B4622" t="str">
            <v>Allahverdili İnarə Ramazan</v>
          </cell>
          <cell r="C4622" t="str">
            <v>Əhmədli filialı</v>
          </cell>
          <cell r="D4622" t="str">
            <v>#</v>
          </cell>
          <cell r="E4622" t="str">
            <v>Xidmət bölməsi</v>
          </cell>
          <cell r="F4622" t="str">
            <v>Müştərilərlə iş üzrə baş mütəxəssis</v>
          </cell>
          <cell r="G4622" t="str">
            <v>A</v>
          </cell>
          <cell r="H4622">
            <v>43018</v>
          </cell>
        </row>
        <row r="4623">
          <cell r="B4623" t="str">
            <v>Əliyev Əli Əsgər</v>
          </cell>
          <cell r="C4623" t="str">
            <v>Əhmədli filialı</v>
          </cell>
          <cell r="D4623" t="str">
            <v>#</v>
          </cell>
          <cell r="E4623" t="str">
            <v>Xidmət bölməsi</v>
          </cell>
          <cell r="F4623" t="str">
            <v>Müştərilərlə iş üzrə baş mütəxəssis</v>
          </cell>
          <cell r="G4623" t="str">
            <v>A</v>
          </cell>
          <cell r="H4623">
            <v>44610</v>
          </cell>
        </row>
        <row r="4624">
          <cell r="B4624" t="str">
            <v>Abdullayeva Səbinə Rövşən</v>
          </cell>
          <cell r="C4624" t="str">
            <v>Əhmədli filialı</v>
          </cell>
          <cell r="D4624" t="str">
            <v>#</v>
          </cell>
          <cell r="E4624" t="str">
            <v>Xidmət bölməsi</v>
          </cell>
          <cell r="F4624" t="str">
            <v>Müştərilərlə iş üzrə baş mütəxəssis</v>
          </cell>
          <cell r="G4624" t="str">
            <v>A</v>
          </cell>
          <cell r="H4624">
            <v>42513</v>
          </cell>
        </row>
        <row r="4625">
          <cell r="B4625" t="str">
            <v>Məcidzadə Jalə Natiq</v>
          </cell>
          <cell r="C4625" t="str">
            <v>Əhmədli filialı</v>
          </cell>
          <cell r="D4625" t="str">
            <v>#</v>
          </cell>
          <cell r="E4625" t="str">
            <v>Xidmət bölməsi</v>
          </cell>
          <cell r="F4625" t="str">
            <v>Müştərilərlə iş üzrə aparıcı mütəxəssis</v>
          </cell>
          <cell r="G4625" t="str">
            <v>A</v>
          </cell>
          <cell r="H4625">
            <v>43692</v>
          </cell>
        </row>
        <row r="4626">
          <cell r="B4626" t="str">
            <v>Hüseynli İsmayıl Malik</v>
          </cell>
          <cell r="C4626" t="str">
            <v>Əhmədli filialı</v>
          </cell>
          <cell r="D4626" t="str">
            <v>#</v>
          </cell>
          <cell r="E4626" t="str">
            <v>Xidmət bölməsi</v>
          </cell>
          <cell r="F4626" t="str">
            <v>Müştərilərlə iş üzrə baş mütəxəssis</v>
          </cell>
          <cell r="G4626" t="str">
            <v>A</v>
          </cell>
          <cell r="H4626">
            <v>44238</v>
          </cell>
        </row>
        <row r="4627">
          <cell r="B4627" t="str">
            <v>Abbasov Abbas İlham</v>
          </cell>
          <cell r="C4627" t="str">
            <v>Əhmədli filialı</v>
          </cell>
          <cell r="D4627" t="str">
            <v>#</v>
          </cell>
          <cell r="E4627" t="str">
            <v>Xidmət bölməsi</v>
          </cell>
          <cell r="F4627" t="str">
            <v>Müştərilərlə iş üzrə aparıcı mütəxəssis</v>
          </cell>
          <cell r="G4627" t="str">
            <v>A</v>
          </cell>
          <cell r="H4627">
            <v>44673</v>
          </cell>
        </row>
        <row r="4628">
          <cell r="B4628" t="str">
            <v>Məhəmmədli Gülnarə Mehman</v>
          </cell>
          <cell r="C4628" t="str">
            <v>Əhmədli filialı</v>
          </cell>
          <cell r="D4628" t="str">
            <v>#</v>
          </cell>
          <cell r="E4628" t="str">
            <v>Xidmət bölməsi</v>
          </cell>
          <cell r="F4628" t="str">
            <v>Müştərilərlə iş üzrə aparıcı mütəxəssis</v>
          </cell>
          <cell r="G4628" t="str">
            <v>SM</v>
          </cell>
          <cell r="H4628">
            <v>43392</v>
          </cell>
        </row>
        <row r="4629">
          <cell r="B4629" t="str">
            <v>Bayramlı Sabrina İsrafil</v>
          </cell>
          <cell r="C4629" t="str">
            <v>Əhmədli filialı</v>
          </cell>
          <cell r="D4629" t="str">
            <v>#</v>
          </cell>
          <cell r="E4629" t="str">
            <v>Xidmət bölməsi</v>
          </cell>
          <cell r="F4629" t="str">
            <v>Müştərilərlə iş üzrə aparıcı mütəxəssis</v>
          </cell>
          <cell r="G4629" t="str">
            <v>A</v>
          </cell>
          <cell r="H4629">
            <v>44839</v>
          </cell>
        </row>
        <row r="4630">
          <cell r="B4630" t="str">
            <v>Xəlilov Vahid Cavanşir</v>
          </cell>
          <cell r="C4630" t="str">
            <v>Əhmədli filialı</v>
          </cell>
          <cell r="D4630" t="str">
            <v>#</v>
          </cell>
          <cell r="E4630" t="str">
            <v>Xidmət bölməsi</v>
          </cell>
          <cell r="F4630" t="str">
            <v>Müştərilərlə iş üzrə aparıcı mütəxəssis</v>
          </cell>
          <cell r="G4630" t="str">
            <v>A</v>
          </cell>
          <cell r="H4630">
            <v>44697</v>
          </cell>
        </row>
        <row r="4631">
          <cell r="B4631" t="str">
            <v>Məsimova Fəridə Şəmistan</v>
          </cell>
          <cell r="C4631" t="str">
            <v>Əhmədli filialı</v>
          </cell>
          <cell r="D4631" t="str">
            <v>#</v>
          </cell>
          <cell r="E4631" t="str">
            <v>Xidmət bölməsi</v>
          </cell>
          <cell r="F4631" t="str">
            <v>Müştərilərlə iş üzrə aparıcı mütəxəssis</v>
          </cell>
          <cell r="G4631" t="str">
            <v>A</v>
          </cell>
          <cell r="H4631">
            <v>42531</v>
          </cell>
        </row>
        <row r="4632">
          <cell r="B4632" t="str">
            <v>Məhəmmədov Ömər Fuad</v>
          </cell>
          <cell r="C4632" t="str">
            <v>Əhmədli filialı</v>
          </cell>
          <cell r="D4632" t="str">
            <v>#</v>
          </cell>
          <cell r="E4632" t="str">
            <v>Xidmət bölməsi</v>
          </cell>
          <cell r="F4632" t="str">
            <v>Müştərilərlə iş üzrə mütəxəssis</v>
          </cell>
          <cell r="G4632" t="str">
            <v>A</v>
          </cell>
          <cell r="H4632">
            <v>45785</v>
          </cell>
        </row>
        <row r="4633">
          <cell r="B4633" t="str">
            <v>Əliyeva Aytən Asəf</v>
          </cell>
          <cell r="C4633" t="str">
            <v>Əhmədli filialı</v>
          </cell>
          <cell r="D4633" t="str">
            <v>#</v>
          </cell>
          <cell r="E4633" t="str">
            <v>Xidmət bölməsi</v>
          </cell>
          <cell r="F4633" t="str">
            <v>Müştərilərlə iş üzrə mütəxəssis</v>
          </cell>
          <cell r="G4633" t="str">
            <v>HX</v>
          </cell>
          <cell r="H4633">
            <v>45286</v>
          </cell>
        </row>
        <row r="4634">
          <cell r="B4634" t="str">
            <v>Alıyev Əliş Mahir</v>
          </cell>
          <cell r="C4634" t="str">
            <v>Əhmədli filialı</v>
          </cell>
          <cell r="D4634" t="str">
            <v>#</v>
          </cell>
          <cell r="E4634" t="str">
            <v>Xidmət bölməsi</v>
          </cell>
          <cell r="F4634" t="str">
            <v>Müştərilərlə iş üzrə mütəxəssis</v>
          </cell>
          <cell r="G4634" t="str">
            <v>A</v>
          </cell>
          <cell r="H4634">
            <v>45882</v>
          </cell>
        </row>
        <row r="4635">
          <cell r="B4635" t="str">
            <v>Kərimova Mahizər İkram</v>
          </cell>
          <cell r="C4635" t="str">
            <v>Əhmədli filialı</v>
          </cell>
          <cell r="D4635" t="str">
            <v>#</v>
          </cell>
          <cell r="E4635" t="str">
            <v>İnzibati bölmə</v>
          </cell>
          <cell r="F4635" t="str">
            <v>Xadimə</v>
          </cell>
          <cell r="G4635" t="str">
            <v>A</v>
          </cell>
          <cell r="H4635">
            <v>45307</v>
          </cell>
        </row>
        <row r="4636">
          <cell r="B4636" t="str">
            <v>Əliyev Heydər Vahid</v>
          </cell>
          <cell r="C4636" t="str">
            <v>Masazır filialı</v>
          </cell>
          <cell r="D4636" t="str">
            <v>#</v>
          </cell>
          <cell r="E4636" t="str">
            <v>#</v>
          </cell>
          <cell r="F4636" t="str">
            <v>Müdir</v>
          </cell>
          <cell r="G4636" t="str">
            <v>A</v>
          </cell>
          <cell r="H4636">
            <v>43175</v>
          </cell>
        </row>
        <row r="4637">
          <cell r="B4637" t="str">
            <v>Quliyev Kənan Füzuli</v>
          </cell>
          <cell r="C4637" t="str">
            <v>Masazır filialı</v>
          </cell>
          <cell r="D4637" t="str">
            <v>#</v>
          </cell>
          <cell r="E4637" t="str">
            <v>Xidmət bölməsi</v>
          </cell>
          <cell r="F4637" t="str">
            <v>Kassa üzrə baş mütəxəssis</v>
          </cell>
          <cell r="G4637" t="str">
            <v>A</v>
          </cell>
          <cell r="H4637">
            <v>42772</v>
          </cell>
        </row>
        <row r="4638">
          <cell r="B4638" t="str">
            <v>Əzizov Firdovsi Qulamhüseyn</v>
          </cell>
          <cell r="C4638" t="str">
            <v>Masazır filialı</v>
          </cell>
          <cell r="D4638" t="str">
            <v>#</v>
          </cell>
          <cell r="E4638" t="str">
            <v>Xidmət bölməsi</v>
          </cell>
          <cell r="F4638" t="str">
            <v>Müştərilərlə iş üzrə baş mütəxəssis</v>
          </cell>
          <cell r="G4638" t="str">
            <v>A</v>
          </cell>
          <cell r="H4638">
            <v>43285</v>
          </cell>
        </row>
        <row r="4639">
          <cell r="B4639" t="str">
            <v>Hacıyev Məhəbbət Məmmədağa</v>
          </cell>
          <cell r="C4639" t="str">
            <v>Masazır filialı</v>
          </cell>
          <cell r="D4639" t="str">
            <v>#</v>
          </cell>
          <cell r="E4639" t="str">
            <v>Xidmət bölməsi</v>
          </cell>
          <cell r="F4639" t="str">
            <v>Müştərilərlə iş üzrə aparıcı mütəxəssis</v>
          </cell>
          <cell r="G4639" t="str">
            <v>A</v>
          </cell>
          <cell r="H4639">
            <v>45166</v>
          </cell>
        </row>
        <row r="4640">
          <cell r="B4640" t="str">
            <v>Səmədzadə Rəmzi Səxavət</v>
          </cell>
          <cell r="C4640" t="str">
            <v>Masazır filialı</v>
          </cell>
          <cell r="D4640" t="str">
            <v>#</v>
          </cell>
          <cell r="E4640" t="str">
            <v>Xidmət bölməsi</v>
          </cell>
          <cell r="F4640" t="str">
            <v>Müştərilərlə iş üzrə aparıcı mütəxəssis</v>
          </cell>
          <cell r="G4640" t="str">
            <v>A</v>
          </cell>
          <cell r="H4640">
            <v>44932</v>
          </cell>
        </row>
        <row r="4641">
          <cell r="B4641" t="str">
            <v>Ələkbərli Aytac Ələkbər</v>
          </cell>
          <cell r="C4641" t="str">
            <v>Masazır filialı</v>
          </cell>
          <cell r="D4641" t="str">
            <v>#</v>
          </cell>
          <cell r="E4641" t="str">
            <v>Xidmət bölməsi</v>
          </cell>
          <cell r="F4641" t="str">
            <v>Məlumat xidməti üzrə aparıcı mütəxəssis</v>
          </cell>
          <cell r="G4641" t="str">
            <v>A</v>
          </cell>
          <cell r="H4641">
            <v>45244</v>
          </cell>
        </row>
        <row r="4642">
          <cell r="B4642" t="str">
            <v>Şahmuradova Hədiyə Məsi</v>
          </cell>
          <cell r="C4642" t="str">
            <v>Masazır filialı</v>
          </cell>
          <cell r="D4642" t="str">
            <v>#</v>
          </cell>
          <cell r="E4642" t="str">
            <v>İnzibati bölmə</v>
          </cell>
          <cell r="F4642" t="str">
            <v>Xadimə</v>
          </cell>
          <cell r="G4642" t="str">
            <v>A</v>
          </cell>
          <cell r="H4642">
            <v>43620</v>
          </cell>
        </row>
        <row r="4643">
          <cell r="B4643" t="str">
            <v>Hüseynov Samir Əlipaşa</v>
          </cell>
          <cell r="C4643" t="str">
            <v>Fərhad Fərhadlı filialı</v>
          </cell>
          <cell r="D4643" t="str">
            <v>#</v>
          </cell>
          <cell r="E4643" t="str">
            <v>#</v>
          </cell>
          <cell r="F4643" t="str">
            <v>Müdir</v>
          </cell>
          <cell r="G4643" t="str">
            <v>A</v>
          </cell>
          <cell r="H4643">
            <v>41631</v>
          </cell>
        </row>
        <row r="4644">
          <cell r="B4644" t="str">
            <v>Hüseynov Yaşar Nüşrəvan</v>
          </cell>
          <cell r="C4644" t="str">
            <v>Fərhad Fərhadlı filialı</v>
          </cell>
          <cell r="D4644" t="str">
            <v>#</v>
          </cell>
          <cell r="E4644" t="str">
            <v>Xidmət bölməsi</v>
          </cell>
          <cell r="F4644" t="str">
            <v>Kassa üzrə baş mütəxəssis</v>
          </cell>
          <cell r="G4644" t="str">
            <v>A</v>
          </cell>
          <cell r="H4644">
            <v>37202</v>
          </cell>
        </row>
        <row r="4645">
          <cell r="B4645" t="str">
            <v>Rüstəmova Elnurə Nəsibulla</v>
          </cell>
          <cell r="C4645" t="str">
            <v>Fərhad Fərhadlı filialı</v>
          </cell>
          <cell r="D4645" t="str">
            <v>#</v>
          </cell>
          <cell r="E4645" t="str">
            <v>Xidmət bölməsi</v>
          </cell>
          <cell r="F4645" t="str">
            <v>Kassa üzrə mütəxəssis</v>
          </cell>
          <cell r="G4645" t="str">
            <v>A</v>
          </cell>
          <cell r="H4645">
            <v>45684</v>
          </cell>
        </row>
        <row r="4646">
          <cell r="B4646" t="str">
            <v>Şərifov Elvin Məhyəddin</v>
          </cell>
          <cell r="C4646" t="str">
            <v>Fərhad Fərhadlı filialı</v>
          </cell>
          <cell r="D4646" t="str">
            <v>#</v>
          </cell>
          <cell r="E4646" t="str">
            <v>Xidmət bölməsi</v>
          </cell>
          <cell r="F4646" t="str">
            <v>Müştərilərlə iş üzrə baş mütəxəssis</v>
          </cell>
          <cell r="G4646" t="str">
            <v>A</v>
          </cell>
          <cell r="H4646">
            <v>44083</v>
          </cell>
        </row>
        <row r="4647">
          <cell r="B4647" t="str">
            <v>Ağayev Ceyhun İmran</v>
          </cell>
          <cell r="C4647" t="str">
            <v>Fərhad Fərhadlı filialı</v>
          </cell>
          <cell r="D4647" t="str">
            <v>#</v>
          </cell>
          <cell r="E4647" t="str">
            <v>Xidmət bölməsi</v>
          </cell>
          <cell r="F4647" t="str">
            <v>Müştərilərlə iş üzrə baş mütəxəssis</v>
          </cell>
          <cell r="G4647" t="str">
            <v>A</v>
          </cell>
          <cell r="H4647">
            <v>38733</v>
          </cell>
        </row>
        <row r="4648">
          <cell r="B4648" t="str">
            <v>Nəbiyeva Xatirə Akif</v>
          </cell>
          <cell r="C4648" t="str">
            <v>Fərhad Fərhadlı filialı</v>
          </cell>
          <cell r="D4648" t="str">
            <v>#</v>
          </cell>
          <cell r="E4648" t="str">
            <v>Xidmət bölməsi</v>
          </cell>
          <cell r="F4648" t="str">
            <v>Müştərilərlə iş üzrə baş mütəxəssis</v>
          </cell>
          <cell r="G4648" t="str">
            <v>A</v>
          </cell>
          <cell r="H4648">
            <v>40031</v>
          </cell>
        </row>
        <row r="4649">
          <cell r="B4649" t="str">
            <v>Nəcəfov Səbuhi Nizami</v>
          </cell>
          <cell r="C4649" t="str">
            <v>Fərhad Fərhadlı filialı</v>
          </cell>
          <cell r="D4649" t="str">
            <v>#</v>
          </cell>
          <cell r="E4649" t="str">
            <v>Xidmət bölməsi</v>
          </cell>
          <cell r="F4649" t="str">
            <v>Müştərilərlə iş üzrə baş mütəxəssis</v>
          </cell>
          <cell r="G4649" t="str">
            <v>A</v>
          </cell>
          <cell r="H4649">
            <v>43679</v>
          </cell>
        </row>
        <row r="4650">
          <cell r="B4650" t="str">
            <v>Hacıyeva Şövkət Rahib</v>
          </cell>
          <cell r="C4650" t="str">
            <v>Fərhad Fərhadlı filialı</v>
          </cell>
          <cell r="D4650" t="str">
            <v>#</v>
          </cell>
          <cell r="E4650" t="str">
            <v>Xidmət bölməsi</v>
          </cell>
          <cell r="F4650" t="str">
            <v>Müştərilərlə iş üzrə mütəxəssis</v>
          </cell>
          <cell r="G4650" t="str">
            <v>A</v>
          </cell>
          <cell r="H4650">
            <v>45064</v>
          </cell>
        </row>
        <row r="4651">
          <cell r="B4651" t="str">
            <v>Ağazadə Aysel Xaqani</v>
          </cell>
          <cell r="C4651" t="str">
            <v>Fərhad Fərhadlı filialı</v>
          </cell>
          <cell r="D4651" t="str">
            <v>#</v>
          </cell>
          <cell r="E4651" t="str">
            <v>Xidmət bölməsi</v>
          </cell>
          <cell r="F4651" t="str">
            <v>Müştərilərlə iş üzrə mütəxəssis</v>
          </cell>
          <cell r="G4651" t="str">
            <v>A</v>
          </cell>
          <cell r="H4651">
            <v>44945</v>
          </cell>
        </row>
        <row r="4652">
          <cell r="B4652" t="str">
            <v>Yusubov Orxan Çərkəz</v>
          </cell>
          <cell r="C4652" t="str">
            <v>Fərhad Fərhadlı filialı</v>
          </cell>
          <cell r="D4652" t="str">
            <v>#</v>
          </cell>
          <cell r="E4652" t="str">
            <v>Xidmət bölməsi</v>
          </cell>
          <cell r="F4652" t="str">
            <v>Müştərilərlə iş üzrə aparıcı mütəxəssis</v>
          </cell>
          <cell r="G4652" t="str">
            <v>A</v>
          </cell>
          <cell r="H4652">
            <v>42278</v>
          </cell>
        </row>
        <row r="4653">
          <cell r="B4653" t="str">
            <v>Bayramlı Leyla Nadir</v>
          </cell>
          <cell r="C4653" t="str">
            <v>Fərhad Fərhadlı filialı</v>
          </cell>
          <cell r="D4653" t="str">
            <v>#</v>
          </cell>
          <cell r="E4653" t="str">
            <v>Xidmət bölməsi</v>
          </cell>
          <cell r="F4653" t="str">
            <v>Müştərilərlə iş üzrə aparıcı mütəxəssis</v>
          </cell>
          <cell r="G4653" t="str">
            <v>A</v>
          </cell>
          <cell r="H4653">
            <v>44623</v>
          </cell>
        </row>
        <row r="4654">
          <cell r="B4654" t="str">
            <v>Balagözov Musa Tacir</v>
          </cell>
          <cell r="C4654" t="str">
            <v>Fərhad Fərhadlı filialı</v>
          </cell>
          <cell r="D4654" t="str">
            <v>#</v>
          </cell>
          <cell r="E4654" t="str">
            <v>Xidmət bölməsi</v>
          </cell>
          <cell r="F4654" t="str">
            <v>Müştərilərlə iş üzrə aparıcı mütəxəssis</v>
          </cell>
          <cell r="G4654" t="str">
            <v>A</v>
          </cell>
          <cell r="H4654">
            <v>44979</v>
          </cell>
        </row>
        <row r="4655">
          <cell r="B4655" t="str">
            <v>Məmmədzadə Aynurə Ələsgər</v>
          </cell>
          <cell r="C4655" t="str">
            <v>Fərhad Fərhadlı filialı</v>
          </cell>
          <cell r="D4655" t="str">
            <v>#</v>
          </cell>
          <cell r="E4655" t="str">
            <v>Xidmət bölməsi</v>
          </cell>
          <cell r="F4655" t="str">
            <v>Məlumat xidməti üzrə aparıcı mütəxəssis</v>
          </cell>
          <cell r="G4655" t="str">
            <v>A</v>
          </cell>
          <cell r="H4655">
            <v>44889</v>
          </cell>
        </row>
        <row r="4656">
          <cell r="B4656" t="str">
            <v>İbrahimova Svetlana Məmməd</v>
          </cell>
          <cell r="C4656" t="str">
            <v>Fərhad Fərhadlı filialı</v>
          </cell>
          <cell r="D4656" t="str">
            <v>#</v>
          </cell>
          <cell r="E4656" t="str">
            <v>İnzibati bölmə</v>
          </cell>
          <cell r="F4656" t="str">
            <v>Xadimə</v>
          </cell>
          <cell r="G4656" t="str">
            <v>A</v>
          </cell>
          <cell r="H4656">
            <v>44903</v>
          </cell>
        </row>
        <row r="4657">
          <cell r="B4657" t="str">
            <v>Əliyev Sabir Əli</v>
          </cell>
          <cell r="C4657" t="str">
            <v>Gənclik filialı</v>
          </cell>
          <cell r="D4657" t="str">
            <v>#</v>
          </cell>
          <cell r="E4657" t="str">
            <v>#</v>
          </cell>
          <cell r="F4657" t="str">
            <v>Müdir</v>
          </cell>
          <cell r="G4657" t="str">
            <v>A</v>
          </cell>
          <cell r="H4657">
            <v>38629</v>
          </cell>
        </row>
        <row r="4658">
          <cell r="B4658" t="str">
            <v>Verdiyeva Vüsalə Oqtay</v>
          </cell>
          <cell r="C4658" t="str">
            <v>Gənclik filialı</v>
          </cell>
          <cell r="D4658" t="str">
            <v>#</v>
          </cell>
          <cell r="E4658" t="str">
            <v>Xidmət bölməsi</v>
          </cell>
          <cell r="F4658" t="str">
            <v>Kassa üzrə baş mütəxəssis</v>
          </cell>
          <cell r="G4658" t="str">
            <v>A</v>
          </cell>
          <cell r="H4658">
            <v>38698</v>
          </cell>
        </row>
        <row r="4659">
          <cell r="B4659" t="str">
            <v>Qurbanov Sadiq Namiq</v>
          </cell>
          <cell r="C4659" t="str">
            <v>Gənclik filialı</v>
          </cell>
          <cell r="D4659" t="str">
            <v>#</v>
          </cell>
          <cell r="E4659" t="str">
            <v>Xidmət bölməsi</v>
          </cell>
          <cell r="F4659" t="str">
            <v>Kassa üzrə baş mütəxəssis</v>
          </cell>
          <cell r="G4659" t="str">
            <v>A</v>
          </cell>
          <cell r="H4659">
            <v>44425</v>
          </cell>
        </row>
        <row r="4660">
          <cell r="B4660" t="str">
            <v>Rəhimov Vüqar Əlibaba</v>
          </cell>
          <cell r="C4660" t="str">
            <v>Gənclik filialı</v>
          </cell>
          <cell r="D4660" t="str">
            <v>#</v>
          </cell>
          <cell r="E4660" t="str">
            <v>Xidmət bölməsi</v>
          </cell>
          <cell r="F4660" t="str">
            <v>Kassa üzrə mütəxəssis</v>
          </cell>
          <cell r="G4660" t="str">
            <v>A</v>
          </cell>
          <cell r="H4660">
            <v>45408</v>
          </cell>
        </row>
        <row r="4661">
          <cell r="B4661" t="str">
            <v>Tarverdiyeva Samirə Məlikməmməd</v>
          </cell>
          <cell r="C4661" t="str">
            <v>Gənclik filialı</v>
          </cell>
          <cell r="D4661" t="str">
            <v>#</v>
          </cell>
          <cell r="E4661" t="str">
            <v>Xidmət bölməsi</v>
          </cell>
          <cell r="F4661" t="str">
            <v>Müştərilərlə iş üzrə aparıcı mütəxəssis</v>
          </cell>
          <cell r="G4661" t="str">
            <v>A</v>
          </cell>
          <cell r="H4661">
            <v>40247</v>
          </cell>
        </row>
        <row r="4662">
          <cell r="B4662" t="str">
            <v>Cəfərova Röya Rafiq</v>
          </cell>
          <cell r="C4662" t="str">
            <v>Gənclik filialı</v>
          </cell>
          <cell r="D4662" t="str">
            <v>#</v>
          </cell>
          <cell r="E4662" t="str">
            <v>Xidmət bölməsi</v>
          </cell>
          <cell r="F4662" t="str">
            <v>Müştərilərlə iş üzrə aparıcı mütəxəssis</v>
          </cell>
          <cell r="G4662" t="str">
            <v>A</v>
          </cell>
          <cell r="H4662">
            <v>41701</v>
          </cell>
        </row>
        <row r="4663">
          <cell r="B4663" t="str">
            <v>Məmmədov Elgün Elçin</v>
          </cell>
          <cell r="C4663" t="str">
            <v>Gənclik filialı</v>
          </cell>
          <cell r="D4663" t="str">
            <v>#</v>
          </cell>
          <cell r="E4663" t="str">
            <v>Xidmət bölməsi</v>
          </cell>
          <cell r="F4663" t="str">
            <v>Müştərilərlə iş üzrə aparıcı mütəxəssis</v>
          </cell>
          <cell r="G4663" t="str">
            <v>A</v>
          </cell>
          <cell r="H4663">
            <v>44795</v>
          </cell>
        </row>
        <row r="4664">
          <cell r="B4664" t="str">
            <v>Abdullayeva Nərgiz Alvin</v>
          </cell>
          <cell r="C4664" t="str">
            <v>Gənclik filialı</v>
          </cell>
          <cell r="D4664" t="str">
            <v>#</v>
          </cell>
          <cell r="E4664" t="str">
            <v>Xidmət bölməsi</v>
          </cell>
          <cell r="F4664" t="str">
            <v>Müştərilərlə iş üzrə aparıcı mütəxəssis</v>
          </cell>
          <cell r="G4664" t="str">
            <v>A</v>
          </cell>
          <cell r="H4664">
            <v>43809</v>
          </cell>
        </row>
        <row r="4665">
          <cell r="B4665" t="str">
            <v>Məmmədov Elgün Azər</v>
          </cell>
          <cell r="C4665" t="str">
            <v>Gənclik filialı</v>
          </cell>
          <cell r="D4665" t="str">
            <v>#</v>
          </cell>
          <cell r="E4665" t="str">
            <v>Xidmət bölməsi</v>
          </cell>
          <cell r="F4665" t="str">
            <v>Müştərilərlə iş üzrə aparıcı mütəxəssis</v>
          </cell>
          <cell r="G4665" t="str">
            <v>A</v>
          </cell>
          <cell r="H4665">
            <v>44656</v>
          </cell>
        </row>
        <row r="4666">
          <cell r="B4666" t="str">
            <v xml:space="preserve">	Tağıyeva Güllü Elvin</v>
          </cell>
          <cell r="C4666" t="str">
            <v>Gənclik filialı</v>
          </cell>
          <cell r="D4666" t="str">
            <v>#</v>
          </cell>
          <cell r="E4666" t="str">
            <v>Xidmət bölməsi</v>
          </cell>
          <cell r="F4666" t="str">
            <v>Müştərilərlə iş üzrə kiçik mütəxəssis</v>
          </cell>
          <cell r="G4666" t="str">
            <v>A</v>
          </cell>
          <cell r="H4666">
            <v>46097</v>
          </cell>
        </row>
        <row r="4667">
          <cell r="B4667" t="str">
            <v>Bağmanova Ülviyyə Alı</v>
          </cell>
          <cell r="C4667" t="str">
            <v>Gənclik filialı</v>
          </cell>
          <cell r="D4667" t="str">
            <v>#</v>
          </cell>
          <cell r="E4667" t="str">
            <v>Xidmət bölməsi</v>
          </cell>
          <cell r="F4667" t="str">
            <v>Məlumat xidməti üzrə mütəxəssis</v>
          </cell>
          <cell r="G4667" t="str">
            <v>A</v>
          </cell>
          <cell r="H4667">
            <v>45652</v>
          </cell>
        </row>
        <row r="4668">
          <cell r="B4668" t="str">
            <v>Bağıyeva Cəvahir İmamyar</v>
          </cell>
          <cell r="C4668" t="str">
            <v>Gənclik filialı</v>
          </cell>
          <cell r="D4668" t="str">
            <v>#</v>
          </cell>
          <cell r="E4668" t="str">
            <v>İnzibati bölmə</v>
          </cell>
          <cell r="F4668" t="str">
            <v>Xadimə</v>
          </cell>
          <cell r="G4668" t="str">
            <v>A</v>
          </cell>
          <cell r="H4668">
            <v>38821</v>
          </cell>
        </row>
        <row r="4669">
          <cell r="B4669" t="str">
            <v>Hüseyn-zadə Tatyana Aleksandrovna</v>
          </cell>
          <cell r="C4669" t="str">
            <v>Gənclik filialı</v>
          </cell>
          <cell r="D4669" t="str">
            <v>#</v>
          </cell>
          <cell r="E4669" t="str">
            <v>İnzibati bölmə</v>
          </cell>
          <cell r="F4669" t="str">
            <v>Xadimə</v>
          </cell>
          <cell r="G4669" t="str">
            <v>A</v>
          </cell>
          <cell r="H4669">
            <v>41071</v>
          </cell>
        </row>
        <row r="4670">
          <cell r="B4670" t="str">
            <v>Hacıyev Mehman Məhəmmədəli</v>
          </cell>
          <cell r="C4670" t="str">
            <v>Gənclik mall filialı</v>
          </cell>
          <cell r="D4670" t="str">
            <v>#</v>
          </cell>
          <cell r="E4670" t="str">
            <v>#</v>
          </cell>
          <cell r="F4670" t="str">
            <v>Müdir</v>
          </cell>
          <cell r="G4670" t="str">
            <v>A</v>
          </cell>
          <cell r="H4670">
            <v>41897</v>
          </cell>
        </row>
        <row r="4671">
          <cell r="B4671" t="str">
            <v>Cəfərova Aytən Mehman</v>
          </cell>
          <cell r="C4671" t="str">
            <v>Gənclik mall filialı</v>
          </cell>
          <cell r="D4671" t="str">
            <v>#</v>
          </cell>
          <cell r="E4671" t="str">
            <v>Xidmət bölməsi</v>
          </cell>
          <cell r="F4671" t="str">
            <v>Kassa üzrə baş mütəxəssis</v>
          </cell>
          <cell r="G4671" t="str">
            <v>A</v>
          </cell>
          <cell r="H4671">
            <v>42509</v>
          </cell>
        </row>
        <row r="4672">
          <cell r="B4672" t="str">
            <v>Məlikov Ruslan Faiq</v>
          </cell>
          <cell r="C4672" t="str">
            <v>Gənclik mall filialı</v>
          </cell>
          <cell r="D4672" t="str">
            <v>#</v>
          </cell>
          <cell r="E4672" t="str">
            <v>Xidmət bölməsi</v>
          </cell>
          <cell r="F4672" t="str">
            <v>Kassa üzrə baş mütəxəssis</v>
          </cell>
          <cell r="G4672" t="str">
            <v>A</v>
          </cell>
          <cell r="H4672">
            <v>43133</v>
          </cell>
        </row>
        <row r="4673">
          <cell r="B4673" t="str">
            <v>Seyidov Ağarza Ehram</v>
          </cell>
          <cell r="C4673" t="str">
            <v>Gənclik mall filialı</v>
          </cell>
          <cell r="D4673" t="str">
            <v>#</v>
          </cell>
          <cell r="E4673" t="str">
            <v>Xidmət bölməsi</v>
          </cell>
          <cell r="F4673" t="str">
            <v>Kassa üzrə aparıcı mütəxəssis</v>
          </cell>
          <cell r="G4673" t="str">
            <v>A</v>
          </cell>
          <cell r="H4673">
            <v>44546</v>
          </cell>
        </row>
        <row r="4674">
          <cell r="B4674" t="str">
            <v>Rüstəmova İlahə Taleh</v>
          </cell>
          <cell r="C4674" t="str">
            <v>Gənclik mall filialı</v>
          </cell>
          <cell r="D4674" t="str">
            <v>#</v>
          </cell>
          <cell r="E4674" t="str">
            <v>Xidmət bölməsi</v>
          </cell>
          <cell r="F4674" t="str">
            <v>Məlumat xidməti üzrə mütəxəssis</v>
          </cell>
          <cell r="G4674" t="str">
            <v>A</v>
          </cell>
          <cell r="H4674">
            <v>45846</v>
          </cell>
        </row>
        <row r="4675">
          <cell r="B4675" t="str">
            <v>Qubadov Məhəmməd Yadulla</v>
          </cell>
          <cell r="C4675" t="str">
            <v>Gənclik mall filialı</v>
          </cell>
          <cell r="D4675" t="str">
            <v>#</v>
          </cell>
          <cell r="E4675" t="str">
            <v>Xidmət bölməsi</v>
          </cell>
          <cell r="F4675" t="str">
            <v>Bölmə rəhbəri</v>
          </cell>
          <cell r="G4675" t="str">
            <v>A</v>
          </cell>
          <cell r="H4675">
            <v>42136</v>
          </cell>
        </row>
        <row r="4676">
          <cell r="B4676" t="str">
            <v>Əlizadə Şəbnəm Natiq</v>
          </cell>
          <cell r="C4676" t="str">
            <v>Gənclik mall filialı</v>
          </cell>
          <cell r="D4676" t="str">
            <v>#</v>
          </cell>
          <cell r="E4676" t="str">
            <v>Xidmət bölməsi</v>
          </cell>
          <cell r="F4676" t="str">
            <v>Müştərilərlə iş üzrə baş mütəxəssis</v>
          </cell>
          <cell r="G4676" t="str">
            <v>A</v>
          </cell>
          <cell r="H4676">
            <v>42019</v>
          </cell>
        </row>
        <row r="4677">
          <cell r="B4677" t="str">
            <v>Babazadə Fərid Muqəddin</v>
          </cell>
          <cell r="C4677" t="str">
            <v>Gənclik mall filialı</v>
          </cell>
          <cell r="D4677" t="str">
            <v>#</v>
          </cell>
          <cell r="E4677" t="str">
            <v>Xidmət bölməsi</v>
          </cell>
          <cell r="F4677" t="str">
            <v>Müştərilərlə iş üzrə baş mütəxəssis</v>
          </cell>
          <cell r="G4677" t="str">
            <v>A</v>
          </cell>
          <cell r="H4677">
            <v>43290</v>
          </cell>
        </row>
        <row r="4678">
          <cell r="B4678" t="str">
            <v>Seyidov Miri Ağalar</v>
          </cell>
          <cell r="C4678" t="str">
            <v>Gənclik mall filialı</v>
          </cell>
          <cell r="D4678" t="str">
            <v>#</v>
          </cell>
          <cell r="E4678" t="str">
            <v>Xidmət bölməsi</v>
          </cell>
          <cell r="F4678" t="str">
            <v>Müştərilərlə iş üzrə baş mütəxəssis</v>
          </cell>
          <cell r="G4678" t="str">
            <v>A</v>
          </cell>
          <cell r="H4678">
            <v>43755</v>
          </cell>
        </row>
        <row r="4679">
          <cell r="B4679" t="str">
            <v>Abasov Vasif Mirzə</v>
          </cell>
          <cell r="C4679" t="str">
            <v>Gənclik mall filialı</v>
          </cell>
          <cell r="D4679" t="str">
            <v>#</v>
          </cell>
          <cell r="E4679" t="str">
            <v>Xidmət bölməsi</v>
          </cell>
          <cell r="F4679" t="str">
            <v>Müştərilərlə iş üzrə baş mütəxəssis</v>
          </cell>
          <cell r="G4679" t="str">
            <v>A</v>
          </cell>
          <cell r="H4679">
            <v>44655</v>
          </cell>
        </row>
        <row r="4680">
          <cell r="B4680" t="str">
            <v>Turabov Turan Zöhrab</v>
          </cell>
          <cell r="C4680" t="str">
            <v>Gənclik mall filialı</v>
          </cell>
          <cell r="D4680" t="str">
            <v>#</v>
          </cell>
          <cell r="E4680" t="str">
            <v>Xidmət bölməsi</v>
          </cell>
          <cell r="F4680" t="str">
            <v>Müştərilərlə iş üzrə baş mütəxəssis</v>
          </cell>
          <cell r="G4680" t="str">
            <v>A</v>
          </cell>
          <cell r="H4680">
            <v>43017</v>
          </cell>
        </row>
        <row r="4681">
          <cell r="B4681" t="str">
            <v>Nəbili Muxtar Tahir</v>
          </cell>
          <cell r="C4681" t="str">
            <v>Gənclik mall filialı</v>
          </cell>
          <cell r="D4681" t="str">
            <v>#</v>
          </cell>
          <cell r="E4681" t="str">
            <v>Xidmət bölməsi</v>
          </cell>
          <cell r="F4681" t="str">
            <v>Müştərilərlə iş üzrə aparıcı mütəxəssis</v>
          </cell>
          <cell r="G4681" t="str">
            <v>A</v>
          </cell>
          <cell r="H4681">
            <v>44659</v>
          </cell>
        </row>
        <row r="4682">
          <cell r="B4682" t="str">
            <v>Məmmədov İlham Natiq</v>
          </cell>
          <cell r="C4682" t="str">
            <v>Gənclik mall filialı</v>
          </cell>
          <cell r="D4682" t="str">
            <v>#</v>
          </cell>
          <cell r="E4682" t="str">
            <v>Xidmət bölməsi</v>
          </cell>
          <cell r="F4682" t="str">
            <v>Müştərilərlə iş üzrə aparıcı mütəxəssis</v>
          </cell>
          <cell r="G4682" t="str">
            <v>A</v>
          </cell>
          <cell r="H4682">
            <v>44516</v>
          </cell>
        </row>
        <row r="4683">
          <cell r="B4683" t="str">
            <v>Məmmədzadə Tamilla Seymur</v>
          </cell>
          <cell r="C4683" t="str">
            <v>Gənclik mall filialı</v>
          </cell>
          <cell r="D4683" t="str">
            <v>#</v>
          </cell>
          <cell r="E4683" t="str">
            <v>Xidmət bölməsi</v>
          </cell>
          <cell r="F4683" t="str">
            <v>Müştərilərlə iş üzrə mütəxəssis</v>
          </cell>
          <cell r="G4683" t="str">
            <v>A</v>
          </cell>
          <cell r="H4683">
            <v>45132</v>
          </cell>
        </row>
        <row r="4684">
          <cell r="B4684" t="str">
            <v>İsmayılova Lamiyə Məzahir</v>
          </cell>
          <cell r="C4684" t="str">
            <v>Gənclik mall filialı</v>
          </cell>
          <cell r="D4684" t="str">
            <v>#</v>
          </cell>
          <cell r="E4684" t="str">
            <v>Xidmət bölməsi</v>
          </cell>
          <cell r="F4684" t="str">
            <v>Müştərilərlə iş üzrə mütəxəssis</v>
          </cell>
          <cell r="G4684" t="str">
            <v>A</v>
          </cell>
          <cell r="H4684">
            <v>45142</v>
          </cell>
        </row>
        <row r="4685">
          <cell r="B4685" t="str">
            <v>Həsənzadə Kənan İlham</v>
          </cell>
          <cell r="C4685" t="str">
            <v>Gənclik mall filialı</v>
          </cell>
          <cell r="D4685" t="str">
            <v>#</v>
          </cell>
          <cell r="E4685" t="str">
            <v>Xidmət bölməsi</v>
          </cell>
          <cell r="F4685" t="str">
            <v>Müştərilərlə iş üzrə mütəxəssis</v>
          </cell>
          <cell r="G4685" t="str">
            <v>A</v>
          </cell>
          <cell r="H4685">
            <v>45684</v>
          </cell>
        </row>
        <row r="4686">
          <cell r="B4686" t="str">
            <v>Umudova Rəxşəndə Rəhim</v>
          </cell>
          <cell r="C4686" t="str">
            <v>Gənclik mall filialı</v>
          </cell>
          <cell r="D4686" t="str">
            <v>#</v>
          </cell>
          <cell r="E4686" t="str">
            <v>İnzibati bölmə</v>
          </cell>
          <cell r="F4686" t="str">
            <v>Xadimə</v>
          </cell>
          <cell r="G4686" t="str">
            <v>A</v>
          </cell>
          <cell r="H4686">
            <v>44826</v>
          </cell>
        </row>
        <row r="4687">
          <cell r="B4687" t="str">
            <v>Aslanov Kamran Məzahir</v>
          </cell>
          <cell r="C4687" t="str">
            <v>Həzi Aslanov filialı</v>
          </cell>
          <cell r="D4687" t="str">
            <v>#</v>
          </cell>
          <cell r="E4687" t="str">
            <v>#</v>
          </cell>
          <cell r="F4687" t="str">
            <v>Müdir</v>
          </cell>
          <cell r="G4687" t="str">
            <v>A</v>
          </cell>
          <cell r="H4687">
            <v>43245</v>
          </cell>
        </row>
        <row r="4688">
          <cell r="B4688" t="str">
            <v>Şahmarov Rauf Zakir</v>
          </cell>
          <cell r="C4688" t="str">
            <v>Həzi Aslanov filialı</v>
          </cell>
          <cell r="D4688" t="str">
            <v>#</v>
          </cell>
          <cell r="E4688" t="str">
            <v>Xidmət bölməsi</v>
          </cell>
          <cell r="F4688" t="str">
            <v>Kassa üzrə baş mütəxəssis</v>
          </cell>
          <cell r="G4688" t="str">
            <v>A</v>
          </cell>
          <cell r="H4688">
            <v>41043</v>
          </cell>
        </row>
        <row r="4689">
          <cell r="B4689" t="str">
            <v>Cəfərov İslam İbrahim</v>
          </cell>
          <cell r="C4689" t="str">
            <v>Həzi Aslanov filialı</v>
          </cell>
          <cell r="D4689" t="str">
            <v>#</v>
          </cell>
          <cell r="E4689" t="str">
            <v>Xidmət bölməsi</v>
          </cell>
          <cell r="F4689" t="str">
            <v>Kassa üzrə aparıcı mütəxəssis</v>
          </cell>
          <cell r="G4689" t="str">
            <v>A</v>
          </cell>
          <cell r="H4689">
            <v>36689</v>
          </cell>
        </row>
        <row r="4690">
          <cell r="B4690" t="str">
            <v>Həsənzadə Raminə Elburus</v>
          </cell>
          <cell r="C4690" t="str">
            <v>Həzi Aslanov filialı</v>
          </cell>
          <cell r="D4690" t="str">
            <v>#</v>
          </cell>
          <cell r="E4690" t="str">
            <v>Xidmət bölməsi</v>
          </cell>
          <cell r="F4690" t="str">
            <v>Məlumat xidməti üzrə aparıcı mütəxəssis</v>
          </cell>
          <cell r="G4690" t="str">
            <v>SM</v>
          </cell>
          <cell r="H4690">
            <v>44887</v>
          </cell>
        </row>
        <row r="4691">
          <cell r="B4691" t="str">
            <v>Əlizadə Nərmin Aqil</v>
          </cell>
          <cell r="C4691" t="str">
            <v>Həzi Aslanov filialı</v>
          </cell>
          <cell r="D4691" t="str">
            <v>#</v>
          </cell>
          <cell r="E4691" t="str">
            <v>Xidmət bölməsi</v>
          </cell>
          <cell r="F4691" t="str">
            <v>Məlumat xidməti üzrə aparıcı mütəxəssis</v>
          </cell>
          <cell r="G4691" t="str">
            <v>A</v>
          </cell>
          <cell r="H4691">
            <v>44558</v>
          </cell>
        </row>
        <row r="4692">
          <cell r="B4692" t="str">
            <v>Fərzalıyev Zaur Zaməddin</v>
          </cell>
          <cell r="C4692" t="str">
            <v>Həzi Aslanov filialı</v>
          </cell>
          <cell r="D4692" t="str">
            <v>#</v>
          </cell>
          <cell r="E4692" t="str">
            <v>Xidmət bölməsi</v>
          </cell>
          <cell r="F4692" t="str">
            <v>Müştərilərlə iş üzrə baş mütəxəssis</v>
          </cell>
          <cell r="G4692" t="str">
            <v>A</v>
          </cell>
          <cell r="H4692">
            <v>42082</v>
          </cell>
        </row>
        <row r="4693">
          <cell r="B4693" t="str">
            <v>Sadıqova Sevda Məzahir</v>
          </cell>
          <cell r="C4693" t="str">
            <v>Həzi Aslanov filialı</v>
          </cell>
          <cell r="D4693" t="str">
            <v>#</v>
          </cell>
          <cell r="E4693" t="str">
            <v>Xidmət bölməsi</v>
          </cell>
          <cell r="F4693" t="str">
            <v>Müştərilərlə iş üzrə baş mütəxəssis</v>
          </cell>
          <cell r="G4693" t="str">
            <v>A</v>
          </cell>
          <cell r="H4693">
            <v>42786</v>
          </cell>
        </row>
        <row r="4694">
          <cell r="B4694" t="str">
            <v>Həsənli Eldar Əhəd</v>
          </cell>
          <cell r="C4694" t="str">
            <v>Həzi Aslanov filialı</v>
          </cell>
          <cell r="D4694" t="str">
            <v>#</v>
          </cell>
          <cell r="E4694" t="str">
            <v>Xidmət bölməsi</v>
          </cell>
          <cell r="F4694" t="str">
            <v>Müştərilərlə iş üzrə baş mütəxəssis</v>
          </cell>
          <cell r="G4694" t="str">
            <v>A</v>
          </cell>
          <cell r="H4694">
            <v>39854</v>
          </cell>
        </row>
        <row r="4695">
          <cell r="B4695" t="str">
            <v>Tağıyev Pərvin Eldar</v>
          </cell>
          <cell r="C4695" t="str">
            <v>Həzi Aslanov filialı</v>
          </cell>
          <cell r="D4695" t="str">
            <v>#</v>
          </cell>
          <cell r="E4695" t="str">
            <v>Xidmət bölməsi</v>
          </cell>
          <cell r="F4695" t="str">
            <v>Müştərilərlə iş üzrə baş mütəxəssis</v>
          </cell>
          <cell r="G4695" t="str">
            <v>A</v>
          </cell>
          <cell r="H4695">
            <v>42333</v>
          </cell>
        </row>
        <row r="4696">
          <cell r="B4696" t="str">
            <v>Nuriyeva Aysel Alı</v>
          </cell>
          <cell r="C4696" t="str">
            <v>Həzi Aslanov filialı</v>
          </cell>
          <cell r="D4696" t="str">
            <v>#</v>
          </cell>
          <cell r="E4696" t="str">
            <v>Xidmət bölməsi</v>
          </cell>
          <cell r="F4696" t="str">
            <v>Müştərilərlə iş üzrə baş mütəxəssis</v>
          </cell>
          <cell r="G4696" t="str">
            <v>A</v>
          </cell>
          <cell r="H4696">
            <v>42405</v>
          </cell>
        </row>
        <row r="4697">
          <cell r="B4697" t="str">
            <v>Əliyev Fərhad Süleyman</v>
          </cell>
          <cell r="C4697" t="str">
            <v>Həzi Aslanov filialı</v>
          </cell>
          <cell r="D4697" t="str">
            <v>#</v>
          </cell>
          <cell r="E4697" t="str">
            <v>Xidmət bölməsi</v>
          </cell>
          <cell r="F4697" t="str">
            <v>Müştərilərlə iş üzrə baş mütəxəssis</v>
          </cell>
          <cell r="G4697" t="str">
            <v>A</v>
          </cell>
          <cell r="H4697">
            <v>44610</v>
          </cell>
        </row>
        <row r="4698">
          <cell r="B4698" t="str">
            <v>Qəmbərova-Mirzəyeva Günel Adil</v>
          </cell>
          <cell r="C4698" t="str">
            <v>Həzi Aslanov filialı</v>
          </cell>
          <cell r="D4698" t="str">
            <v>#</v>
          </cell>
          <cell r="E4698" t="str">
            <v>Xidmət bölməsi</v>
          </cell>
          <cell r="F4698" t="str">
            <v>Müştərilərlə iş üzrə aparıcı mütəxəssis</v>
          </cell>
          <cell r="G4698" t="str">
            <v>A</v>
          </cell>
          <cell r="H4698">
            <v>42508</v>
          </cell>
        </row>
        <row r="4699">
          <cell r="B4699" t="str">
            <v>Abdullayeva Səadət Akif</v>
          </cell>
          <cell r="C4699" t="str">
            <v>Həzi Aslanov filialı</v>
          </cell>
          <cell r="D4699" t="str">
            <v>#</v>
          </cell>
          <cell r="E4699" t="str">
            <v>Xidmət bölməsi</v>
          </cell>
          <cell r="F4699" t="str">
            <v>Müştərilərlə iş üzrə baş mütəxəssis</v>
          </cell>
          <cell r="G4699" t="str">
            <v>A</v>
          </cell>
          <cell r="H4699">
            <v>43720</v>
          </cell>
        </row>
        <row r="4700">
          <cell r="B4700" t="str">
            <v>Bəşirli Vüsalə Sərvaz</v>
          </cell>
          <cell r="C4700" t="str">
            <v>Həzi Aslanov filialı</v>
          </cell>
          <cell r="D4700" t="str">
            <v>#</v>
          </cell>
          <cell r="E4700" t="str">
            <v>Xidmət bölməsi</v>
          </cell>
          <cell r="F4700" t="str">
            <v>Müştərilərlə iş üzrə baş mütəxəssis</v>
          </cell>
          <cell r="G4700" t="str">
            <v>A</v>
          </cell>
          <cell r="H4700">
            <v>40232</v>
          </cell>
        </row>
        <row r="4701">
          <cell r="B4701" t="str">
            <v>Hüseynli Turan Əbülfət</v>
          </cell>
          <cell r="C4701" t="str">
            <v>Həzi Aslanov filialı</v>
          </cell>
          <cell r="D4701" t="str">
            <v>#</v>
          </cell>
          <cell r="E4701" t="str">
            <v>Xidmət bölməsi</v>
          </cell>
          <cell r="F4701" t="str">
            <v>Müştərilərlə iş üzrə mütəxəssis</v>
          </cell>
          <cell r="G4701" t="str">
            <v>A</v>
          </cell>
          <cell r="H4701">
            <v>45755</v>
          </cell>
        </row>
        <row r="4702">
          <cell r="B4702" t="str">
            <v>Həmişəzadə Nihad Azad</v>
          </cell>
          <cell r="C4702" t="str">
            <v>Həzi Aslanov filialı</v>
          </cell>
          <cell r="D4702" t="str">
            <v>#</v>
          </cell>
          <cell r="E4702" t="str">
            <v>Xidmət bölməsi</v>
          </cell>
          <cell r="F4702" t="str">
            <v>Müştərilərlə iş üzrə aparıcı mütəxəssis</v>
          </cell>
          <cell r="G4702" t="str">
            <v>A</v>
          </cell>
          <cell r="H4702">
            <v>45289</v>
          </cell>
        </row>
        <row r="4703">
          <cell r="B4703" t="str">
            <v>Piriyeva Sevil Siyavuş</v>
          </cell>
          <cell r="C4703" t="str">
            <v>Həzi Aslanov filialı</v>
          </cell>
          <cell r="D4703" t="str">
            <v>#</v>
          </cell>
          <cell r="E4703" t="str">
            <v>Xidmət bölməsi</v>
          </cell>
          <cell r="F4703" t="str">
            <v>Müştərilərlə iş üzrə mütəxəssis</v>
          </cell>
          <cell r="G4703" t="str">
            <v>SM</v>
          </cell>
          <cell r="H4703">
            <v>44543</v>
          </cell>
        </row>
        <row r="4704">
          <cell r="B4704" t="str">
            <v>Əmiralıyeva Zenfira Natiq</v>
          </cell>
          <cell r="C4704" t="str">
            <v>Həzi Aslanov filialı</v>
          </cell>
          <cell r="D4704" t="str">
            <v>#</v>
          </cell>
          <cell r="E4704" t="str">
            <v>Xidmət bölməsi</v>
          </cell>
          <cell r="F4704" t="str">
            <v>Müştərilərlə iş üzrə aparıcı mütəxəssis(müvəqqəti)</v>
          </cell>
          <cell r="G4704" t="str">
            <v>A</v>
          </cell>
          <cell r="H4704">
            <v>44840</v>
          </cell>
        </row>
        <row r="4705">
          <cell r="B4705" t="str">
            <v>Cəlilzadə Yaqut Tariyel</v>
          </cell>
          <cell r="C4705" t="str">
            <v>Həzi Aslanov filialı</v>
          </cell>
          <cell r="D4705" t="str">
            <v>#</v>
          </cell>
          <cell r="E4705" t="str">
            <v>Xidmət bölməsi</v>
          </cell>
          <cell r="F4705" t="str">
            <v>Müştərilərlə iş üzrə kiçik mütəxəssis</v>
          </cell>
          <cell r="G4705" t="str">
            <v>A</v>
          </cell>
          <cell r="H4705">
            <v>45729</v>
          </cell>
        </row>
        <row r="4706">
          <cell r="B4706" t="str">
            <v>Ömərova Bəşarə Xəlil</v>
          </cell>
          <cell r="C4706" t="str">
            <v>Həzi Aslanov filialı</v>
          </cell>
          <cell r="D4706" t="str">
            <v>#</v>
          </cell>
          <cell r="E4706" t="str">
            <v>İnzibati bölmə</v>
          </cell>
          <cell r="F4706" t="str">
            <v>Xadimə</v>
          </cell>
          <cell r="G4706" t="str">
            <v>A</v>
          </cell>
          <cell r="H4706">
            <v>39022</v>
          </cell>
        </row>
        <row r="4707">
          <cell r="B4707" t="str">
            <v>Yunusov Samir Sabir</v>
          </cell>
          <cell r="C4707" t="str">
            <v>Hüseyn Cavid filialı</v>
          </cell>
          <cell r="D4707" t="str">
            <v>#</v>
          </cell>
          <cell r="E4707" t="str">
            <v>#</v>
          </cell>
          <cell r="F4707" t="str">
            <v>Müdir</v>
          </cell>
          <cell r="G4707" t="str">
            <v>A</v>
          </cell>
          <cell r="H4707">
            <v>42187</v>
          </cell>
        </row>
        <row r="4708">
          <cell r="B4708" t="str">
            <v>Nəbiyev Rəfayıl Comart</v>
          </cell>
          <cell r="C4708" t="str">
            <v>Hüseyn Cavid filialı</v>
          </cell>
          <cell r="D4708" t="str">
            <v>#</v>
          </cell>
          <cell r="E4708" t="str">
            <v>Xidmət bölməsi</v>
          </cell>
          <cell r="F4708" t="str">
            <v>Kassa üzrə baş mütəxəssis</v>
          </cell>
          <cell r="G4708" t="str">
            <v>A</v>
          </cell>
          <cell r="H4708">
            <v>36697</v>
          </cell>
        </row>
        <row r="4709">
          <cell r="B4709" t="str">
            <v>Bastanova Nigar Vüqar</v>
          </cell>
          <cell r="C4709" t="str">
            <v>Hüseyn Cavid filialı</v>
          </cell>
          <cell r="D4709" t="str">
            <v>#</v>
          </cell>
          <cell r="E4709" t="str">
            <v>Xidmət bölməsi</v>
          </cell>
          <cell r="F4709" t="str">
            <v>Kassa üzrə mütəxəssis</v>
          </cell>
          <cell r="G4709" t="str">
            <v>A</v>
          </cell>
          <cell r="H4709">
            <v>45876</v>
          </cell>
        </row>
        <row r="4710">
          <cell r="B4710" t="str">
            <v>İbrahimli Türkan Rəfail</v>
          </cell>
          <cell r="C4710" t="str">
            <v>Hüseyn Cavid filialı</v>
          </cell>
          <cell r="D4710" t="str">
            <v>#</v>
          </cell>
          <cell r="E4710" t="str">
            <v>Xidmət bölməsi</v>
          </cell>
          <cell r="F4710" t="str">
            <v>Müştərilərlə iş üzrə aparıcı mütəxəssis</v>
          </cell>
          <cell r="G4710" t="str">
            <v>SM</v>
          </cell>
          <cell r="H4710">
            <v>43598</v>
          </cell>
        </row>
        <row r="4711">
          <cell r="B4711" t="str">
            <v>Məmmədova Gülnaz Rəsul</v>
          </cell>
          <cell r="C4711" t="str">
            <v>Hüseyn Cavid filialı</v>
          </cell>
          <cell r="D4711" t="str">
            <v>#</v>
          </cell>
          <cell r="E4711" t="str">
            <v>Xidmət bölməsi</v>
          </cell>
          <cell r="F4711" t="str">
            <v>Müştərilərlə iş üzrə aparıcı mütəxəssis(müvəqqəti)</v>
          </cell>
          <cell r="G4711" t="str">
            <v>A</v>
          </cell>
          <cell r="H4711">
            <v>44776</v>
          </cell>
        </row>
        <row r="4712">
          <cell r="B4712" t="str">
            <v>Qurbanova Nərmin Nəriman</v>
          </cell>
          <cell r="C4712" t="str">
            <v>Hüseyn Cavid filialı</v>
          </cell>
          <cell r="D4712" t="str">
            <v>#</v>
          </cell>
          <cell r="E4712" t="str">
            <v>Xidmət bölməsi</v>
          </cell>
          <cell r="F4712" t="str">
            <v>Müştərilərlə iş üzrə aparıcı mütəxəssis</v>
          </cell>
          <cell r="G4712" t="str">
            <v>A</v>
          </cell>
          <cell r="H4712">
            <v>43356</v>
          </cell>
        </row>
        <row r="4713">
          <cell r="B4713" t="str">
            <v>Ağaliyev Nurlan Eyvaz</v>
          </cell>
          <cell r="C4713" t="str">
            <v>Hüseyn Cavid filialı</v>
          </cell>
          <cell r="D4713" t="str">
            <v>#</v>
          </cell>
          <cell r="E4713" t="str">
            <v>Xidmət bölməsi</v>
          </cell>
          <cell r="F4713" t="str">
            <v>Müştərilərlə iş üzrə baş mütəxəssis</v>
          </cell>
          <cell r="G4713" t="str">
            <v>A</v>
          </cell>
          <cell r="H4713">
            <v>43825</v>
          </cell>
        </row>
        <row r="4714">
          <cell r="B4714" t="str">
            <v>Musayeva Bəşirli Nigar Akif</v>
          </cell>
          <cell r="C4714" t="str">
            <v>Hüseyn Cavid filialı</v>
          </cell>
          <cell r="D4714" t="str">
            <v>#</v>
          </cell>
          <cell r="E4714" t="str">
            <v>Xidmət bölməsi</v>
          </cell>
          <cell r="F4714" t="str">
            <v>Müştərilərlə iş üzrə aparıcı mütəxəssis</v>
          </cell>
          <cell r="G4714" t="str">
            <v>A</v>
          </cell>
          <cell r="H4714">
            <v>44587</v>
          </cell>
        </row>
        <row r="4715">
          <cell r="B4715" t="str">
            <v>Qasımov Kənan Müşfiq</v>
          </cell>
          <cell r="C4715" t="str">
            <v>Hüseyn Cavid filialı</v>
          </cell>
          <cell r="D4715" t="str">
            <v>#</v>
          </cell>
          <cell r="E4715" t="str">
            <v>Xidmət bölməsi</v>
          </cell>
          <cell r="F4715" t="str">
            <v>Müştərilərlə iş üzrə mütəxəssis</v>
          </cell>
          <cell r="G4715" t="str">
            <v>A</v>
          </cell>
          <cell r="H4715">
            <v>45538</v>
          </cell>
        </row>
        <row r="4716">
          <cell r="B4716" t="str">
            <v>Şahbazova Rəziyyə Rəcəb</v>
          </cell>
          <cell r="C4716" t="str">
            <v>Hüseyn Cavid filialı</v>
          </cell>
          <cell r="D4716" t="str">
            <v>#</v>
          </cell>
          <cell r="E4716" t="str">
            <v>Xidmət bölməsi</v>
          </cell>
          <cell r="F4716" t="str">
            <v>Məlumat xidməti üzrə aparıcı mütəxəssis</v>
          </cell>
          <cell r="G4716" t="str">
            <v>A</v>
          </cell>
          <cell r="H4716">
            <v>45335</v>
          </cell>
        </row>
        <row r="4717">
          <cell r="B4717" t="str">
            <v>Niyazova Təhminə Oruc</v>
          </cell>
          <cell r="C4717" t="str">
            <v>Hüseyn Cavid filialı</v>
          </cell>
          <cell r="D4717" t="str">
            <v>#</v>
          </cell>
          <cell r="E4717" t="str">
            <v>İnzibati bölmə</v>
          </cell>
          <cell r="F4717" t="str">
            <v>Xadimə</v>
          </cell>
          <cell r="G4717" t="str">
            <v>A</v>
          </cell>
          <cell r="H4717">
            <v>45246</v>
          </cell>
        </row>
        <row r="4718">
          <cell r="B4718" t="str">
            <v>Sadıqov Anar Tofiq</v>
          </cell>
          <cell r="C4718" t="str">
            <v>Xəzər filialı</v>
          </cell>
          <cell r="D4718" t="str">
            <v>#</v>
          </cell>
          <cell r="E4718" t="str">
            <v>#</v>
          </cell>
          <cell r="F4718" t="str">
            <v>Müdir</v>
          </cell>
          <cell r="G4718" t="str">
            <v>A</v>
          </cell>
          <cell r="H4718">
            <v>42954</v>
          </cell>
        </row>
        <row r="4719">
          <cell r="B4719" t="str">
            <v>Əzimli Həbib Fazil</v>
          </cell>
          <cell r="C4719" t="str">
            <v>Xəzər filialı</v>
          </cell>
          <cell r="D4719" t="str">
            <v>#</v>
          </cell>
          <cell r="E4719" t="str">
            <v>Xidmət bölməsi</v>
          </cell>
          <cell r="F4719" t="str">
            <v>Bölmə rəhbəri</v>
          </cell>
          <cell r="G4719" t="str">
            <v>A</v>
          </cell>
          <cell r="H4719">
            <v>44880</v>
          </cell>
        </row>
        <row r="4720">
          <cell r="B4720" t="str">
            <v>Mamedov İlkin Novruz</v>
          </cell>
          <cell r="C4720" t="str">
            <v>Xəzər filialı</v>
          </cell>
          <cell r="D4720" t="str">
            <v>#</v>
          </cell>
          <cell r="E4720" t="str">
            <v>Xidmət bölməsi</v>
          </cell>
          <cell r="F4720" t="str">
            <v xml:space="preserve">Baş əməliyyatçı-kassir </v>
          </cell>
          <cell r="G4720" t="str">
            <v>A</v>
          </cell>
          <cell r="H4720">
            <v>43885</v>
          </cell>
        </row>
        <row r="4721">
          <cell r="B4721" t="str">
            <v>Yusifova Aytən Mirzə</v>
          </cell>
          <cell r="C4721" t="str">
            <v>Xəzər filialı</v>
          </cell>
          <cell r="D4721" t="str">
            <v>#</v>
          </cell>
          <cell r="E4721" t="str">
            <v>Xidmət bölməsi</v>
          </cell>
          <cell r="F4721" t="str">
            <v>Əməliyyatçı-kassir</v>
          </cell>
          <cell r="G4721" t="str">
            <v>SM</v>
          </cell>
          <cell r="H4721">
            <v>44951</v>
          </cell>
        </row>
        <row r="4722">
          <cell r="B4722" t="str">
            <v>Adilova Xəyalə Famil</v>
          </cell>
          <cell r="C4722" t="str">
            <v>Xəzər filialı</v>
          </cell>
          <cell r="D4722" t="str">
            <v>#</v>
          </cell>
          <cell r="E4722" t="str">
            <v>Xidmət bölməsi</v>
          </cell>
          <cell r="F4722" t="str">
            <v>Əməliyyatçı-kassir(müvəqqəti)</v>
          </cell>
          <cell r="G4722" t="str">
            <v>A</v>
          </cell>
          <cell r="H4722">
            <v>45602</v>
          </cell>
        </row>
        <row r="4723">
          <cell r="B4723" t="str">
            <v>Rüstəmova Xanım Firuz</v>
          </cell>
          <cell r="C4723" t="str">
            <v>Xəzər filialı</v>
          </cell>
          <cell r="D4723" t="str">
            <v>#</v>
          </cell>
          <cell r="E4723" t="str">
            <v>Xidmət bölməsi</v>
          </cell>
          <cell r="F4723" t="str">
            <v>Əməliyyatçı-kassir</v>
          </cell>
          <cell r="G4723" t="str">
            <v>SM</v>
          </cell>
          <cell r="H4723">
            <v>45251</v>
          </cell>
        </row>
        <row r="4724">
          <cell r="B4724" t="str">
            <v>Eyvazov Orxan Osman</v>
          </cell>
          <cell r="C4724" t="str">
            <v>Xəzər filialı</v>
          </cell>
          <cell r="D4724" t="str">
            <v>#</v>
          </cell>
          <cell r="E4724" t="str">
            <v>Xidmət bölməsi</v>
          </cell>
          <cell r="F4724" t="str">
            <v>Əməliyyatçı-kassir(müvəqqəti)</v>
          </cell>
          <cell r="G4724" t="str">
            <v>A</v>
          </cell>
          <cell r="H4724">
            <v>45629</v>
          </cell>
        </row>
        <row r="4725">
          <cell r="B4725" t="str">
            <v>Əliyev Elvin Xozeyn</v>
          </cell>
          <cell r="C4725" t="str">
            <v>Xəzər filialı</v>
          </cell>
          <cell r="D4725" t="str">
            <v>#</v>
          </cell>
          <cell r="E4725" t="str">
            <v>Xidmət bölməsi</v>
          </cell>
          <cell r="F4725" t="str">
            <v>Əməliyyatçı-kassir</v>
          </cell>
          <cell r="G4725" t="str">
            <v>A</v>
          </cell>
          <cell r="H4725">
            <v>45909</v>
          </cell>
        </row>
        <row r="4726">
          <cell r="B4726" t="str">
            <v>Azadlı Nübar Əzizbala</v>
          </cell>
          <cell r="C4726" t="str">
            <v>Xəzər filialı</v>
          </cell>
          <cell r="D4726" t="str">
            <v>#</v>
          </cell>
          <cell r="E4726" t="str">
            <v>Xidmət bölməsi</v>
          </cell>
          <cell r="F4726" t="str">
            <v>Əməliyyatçı-kassir</v>
          </cell>
          <cell r="G4726" t="str">
            <v>A</v>
          </cell>
          <cell r="H4726">
            <v>45982</v>
          </cell>
        </row>
        <row r="4727">
          <cell r="B4727" t="str">
            <v>Əlibəyli Əli Rizvan</v>
          </cell>
          <cell r="C4727" t="str">
            <v>Xəzər filialı</v>
          </cell>
          <cell r="D4727" t="str">
            <v>#</v>
          </cell>
          <cell r="E4727" t="str">
            <v>Xidmət bölməsi</v>
          </cell>
          <cell r="F4727" t="str">
            <v>Kassa üzrə mütəxəssis</v>
          </cell>
          <cell r="G4727" t="str">
            <v>A</v>
          </cell>
          <cell r="H4727">
            <v>45519</v>
          </cell>
        </row>
        <row r="4728">
          <cell r="B4728" t="str">
            <v>Musazadə Əliməhəmməd Şövqi</v>
          </cell>
          <cell r="C4728" t="str">
            <v>Xəzər filialı</v>
          </cell>
          <cell r="D4728" t="str">
            <v>#</v>
          </cell>
          <cell r="E4728" t="str">
            <v>Xidmət bölməsi</v>
          </cell>
          <cell r="F4728" t="str">
            <v>Kassa üzrə mütəxəssis</v>
          </cell>
          <cell r="G4728" t="str">
            <v>A</v>
          </cell>
          <cell r="H4728">
            <v>45652</v>
          </cell>
        </row>
        <row r="4729">
          <cell r="B4729" t="str">
            <v>Qazıyeva Nərmin İbrahim</v>
          </cell>
          <cell r="C4729" t="str">
            <v>Xəzər filialı</v>
          </cell>
          <cell r="D4729" t="str">
            <v>#</v>
          </cell>
          <cell r="E4729" t="str">
            <v>Xidmət bölməsi</v>
          </cell>
          <cell r="F4729" t="str">
            <v>Məlumat xidməti üzrə mütəxəssis</v>
          </cell>
          <cell r="G4729" t="str">
            <v>A</v>
          </cell>
          <cell r="H4729">
            <v>45694</v>
          </cell>
        </row>
        <row r="4730">
          <cell r="B4730" t="str">
            <v>Mehdiyeva Ülviyyə Mehbalı</v>
          </cell>
          <cell r="C4730" t="str">
            <v>Xəzər filialı</v>
          </cell>
          <cell r="D4730" t="str">
            <v>#</v>
          </cell>
          <cell r="E4730" t="str">
            <v>Xidmət bölməsi</v>
          </cell>
          <cell r="F4730" t="str">
            <v>Müştərilərlə iş üzrə baş mütəxəssis</v>
          </cell>
          <cell r="G4730" t="str">
            <v>A</v>
          </cell>
          <cell r="H4730">
            <v>39920</v>
          </cell>
        </row>
        <row r="4731">
          <cell r="B4731" t="str">
            <v>Ağayev Mirfazil Mirqabil</v>
          </cell>
          <cell r="C4731" t="str">
            <v>Xəzər filialı</v>
          </cell>
          <cell r="D4731" t="str">
            <v>#</v>
          </cell>
          <cell r="E4731" t="str">
            <v>Xidmət bölməsi</v>
          </cell>
          <cell r="F4731" t="str">
            <v>Müştərilərlə iş üzrə baş mütəxəssis</v>
          </cell>
          <cell r="G4731" t="str">
            <v>A</v>
          </cell>
          <cell r="H4731">
            <v>43238</v>
          </cell>
        </row>
        <row r="4732">
          <cell r="B4732" t="str">
            <v>İsmayılov Səddam Nəriman</v>
          </cell>
          <cell r="C4732" t="str">
            <v>Xəzər filialı</v>
          </cell>
          <cell r="D4732" t="str">
            <v>#</v>
          </cell>
          <cell r="E4732" t="str">
            <v>Xidmət bölməsi</v>
          </cell>
          <cell r="F4732" t="str">
            <v>Müştərilərlə iş üzrə baş mütəxəssis</v>
          </cell>
          <cell r="G4732" t="str">
            <v>A</v>
          </cell>
          <cell r="H4732">
            <v>44536</v>
          </cell>
        </row>
        <row r="4733">
          <cell r="B4733" t="str">
            <v>Səfərova Leyla Məmmədağa</v>
          </cell>
          <cell r="C4733" t="str">
            <v>Xəzər filialı</v>
          </cell>
          <cell r="D4733" t="str">
            <v>#</v>
          </cell>
          <cell r="E4733" t="str">
            <v>Xidmət bölməsi</v>
          </cell>
          <cell r="F4733" t="str">
            <v>Müştərilərlə iş üzrə baş mütəxəssis</v>
          </cell>
          <cell r="G4733" t="str">
            <v>A</v>
          </cell>
          <cell r="H4733">
            <v>45166</v>
          </cell>
        </row>
        <row r="4734">
          <cell r="B4734" t="str">
            <v>Hüseynli Nahid Nadir</v>
          </cell>
          <cell r="C4734" t="str">
            <v>Xəzər filialı</v>
          </cell>
          <cell r="D4734" t="str">
            <v>#</v>
          </cell>
          <cell r="E4734" t="str">
            <v>Xidmət bölməsi</v>
          </cell>
          <cell r="F4734" t="str">
            <v>Müştərilərlə iş üzrə mütəxəssis</v>
          </cell>
          <cell r="G4734" t="str">
            <v>A</v>
          </cell>
          <cell r="H4734">
            <v>44123</v>
          </cell>
        </row>
        <row r="4735">
          <cell r="B4735" t="str">
            <v>Tağıyev Samir Məhəd</v>
          </cell>
          <cell r="C4735" t="str">
            <v>Xəzər filialı</v>
          </cell>
          <cell r="D4735" t="str">
            <v>#</v>
          </cell>
          <cell r="E4735" t="str">
            <v>Xidmət bölməsi</v>
          </cell>
          <cell r="F4735" t="str">
            <v>Müştərilərlə iş üzrə aparıcı mütəxəssis</v>
          </cell>
          <cell r="G4735" t="str">
            <v>A</v>
          </cell>
          <cell r="H4735">
            <v>44603</v>
          </cell>
        </row>
        <row r="4736">
          <cell r="B4736" t="str">
            <v>Mövlamlı Rumiyyə Rövşən</v>
          </cell>
          <cell r="C4736" t="str">
            <v>Xəzər filialı</v>
          </cell>
          <cell r="D4736" t="str">
            <v>#</v>
          </cell>
          <cell r="E4736" t="str">
            <v>Xidmət bölməsi</v>
          </cell>
          <cell r="F4736" t="str">
            <v>Müştərilərlə iş üzrə aparıcı mütəxəssis</v>
          </cell>
          <cell r="G4736" t="str">
            <v>SM</v>
          </cell>
          <cell r="H4736">
            <v>44599</v>
          </cell>
        </row>
        <row r="4737">
          <cell r="B4737" t="str">
            <v>Qurbanova Səbinə Ramiz</v>
          </cell>
          <cell r="C4737" t="str">
            <v>Xəzər filialı</v>
          </cell>
          <cell r="D4737" t="str">
            <v>#</v>
          </cell>
          <cell r="E4737" t="str">
            <v>Xidmət bölməsi</v>
          </cell>
          <cell r="F4737" t="str">
            <v>Müştərilərlə iş üzrə kiçik mütəxəssis (müvəqqəti)</v>
          </cell>
          <cell r="G4737" t="str">
            <v>A</v>
          </cell>
          <cell r="H4737">
            <v>46009</v>
          </cell>
        </row>
        <row r="4738">
          <cell r="B4738" t="str">
            <v>Məmmədov Əyyub Muğan</v>
          </cell>
          <cell r="C4738" t="str">
            <v>Xəzər filialı</v>
          </cell>
          <cell r="D4738" t="str">
            <v>#</v>
          </cell>
          <cell r="E4738" t="str">
            <v>Xidmət bölməsi</v>
          </cell>
          <cell r="F4738" t="str">
            <v>Müştərilərlə iş üzrə aparıcı mütəxəssis</v>
          </cell>
          <cell r="G4738" t="str">
            <v>A</v>
          </cell>
          <cell r="H4738">
            <v>44655</v>
          </cell>
        </row>
        <row r="4739">
          <cell r="B4739" t="str">
            <v>Kazımzadə Elvira Etibar</v>
          </cell>
          <cell r="C4739" t="str">
            <v>Xəzər filialı</v>
          </cell>
          <cell r="D4739" t="str">
            <v>#</v>
          </cell>
          <cell r="E4739" t="str">
            <v>Xidmət bölməsi</v>
          </cell>
          <cell r="F4739" t="str">
            <v>Müştərilərlə iş üzrə mütəxəssis</v>
          </cell>
          <cell r="G4739" t="str">
            <v>A</v>
          </cell>
          <cell r="H4739">
            <v>45589</v>
          </cell>
        </row>
        <row r="4740">
          <cell r="B4740" t="str">
            <v>Sadıqov Rəşad Ağa</v>
          </cell>
          <cell r="C4740" t="str">
            <v>Xəzər filialı</v>
          </cell>
          <cell r="D4740" t="str">
            <v>#</v>
          </cell>
          <cell r="E4740" t="str">
            <v>Mikro kredit bölməsi</v>
          </cell>
          <cell r="F4740" t="str">
            <v>Bölmə rəhbəri</v>
          </cell>
          <cell r="G4740" t="str">
            <v>A</v>
          </cell>
          <cell r="H4740">
            <v>44547</v>
          </cell>
        </row>
        <row r="4741">
          <cell r="B4741" t="str">
            <v>Süleymanov Pərvin Natiq</v>
          </cell>
          <cell r="C4741" t="str">
            <v>Xəzər filialı</v>
          </cell>
          <cell r="D4741" t="str">
            <v>#</v>
          </cell>
          <cell r="E4741" t="str">
            <v>Mikro kredit bölməsi</v>
          </cell>
          <cell r="F4741" t="str">
            <v>Aparıcı mütəxəssis</v>
          </cell>
          <cell r="G4741" t="str">
            <v>A</v>
          </cell>
          <cell r="H4741">
            <v>44494</v>
          </cell>
        </row>
        <row r="4742">
          <cell r="B4742" t="str">
            <v>Quluzadə İsmayıl Müşfiq</v>
          </cell>
          <cell r="C4742" t="str">
            <v>Xəzər filialı</v>
          </cell>
          <cell r="D4742" t="str">
            <v>#</v>
          </cell>
          <cell r="E4742" t="str">
            <v>Mikro kredit bölməsi</v>
          </cell>
          <cell r="F4742" t="str">
            <v>Mütəxəssis</v>
          </cell>
          <cell r="G4742" t="str">
            <v>A</v>
          </cell>
          <cell r="H4742">
            <v>45209</v>
          </cell>
        </row>
        <row r="4743">
          <cell r="B4743" t="str">
            <v>Namaz-zadə Azər Bəxtiyar</v>
          </cell>
          <cell r="C4743" t="str">
            <v>Xəzər filialı</v>
          </cell>
          <cell r="D4743" t="str">
            <v>#</v>
          </cell>
          <cell r="E4743" t="str">
            <v>Mikro kredit bölməsi</v>
          </cell>
          <cell r="F4743" t="str">
            <v>Mütəxəssis</v>
          </cell>
          <cell r="G4743" t="str">
            <v>A</v>
          </cell>
          <cell r="H4743">
            <v>46238</v>
          </cell>
        </row>
        <row r="4744">
          <cell r="B4744" t="str">
            <v>Kərimov Hüseyn Müşviq</v>
          </cell>
          <cell r="C4744" t="str">
            <v>Xəzər filialı</v>
          </cell>
          <cell r="D4744" t="str">
            <v>#</v>
          </cell>
          <cell r="E4744" t="str">
            <v>Mikro kredit bölməsi</v>
          </cell>
          <cell r="F4744" t="str">
            <v>Kiçik mütəxəssis</v>
          </cell>
          <cell r="G4744" t="str">
            <v>A</v>
          </cell>
          <cell r="H4744">
            <v>45820</v>
          </cell>
        </row>
        <row r="4745">
          <cell r="B4745" t="str">
            <v>Əliyev Nicat Yasin</v>
          </cell>
          <cell r="C4745" t="str">
            <v>Xırdalan filialı</v>
          </cell>
          <cell r="D4745" t="str">
            <v>#</v>
          </cell>
          <cell r="E4745" t="str">
            <v>#</v>
          </cell>
          <cell r="F4745" t="str">
            <v>Müdir</v>
          </cell>
          <cell r="G4745" t="str">
            <v>A</v>
          </cell>
          <cell r="H4745">
            <v>39664</v>
          </cell>
        </row>
        <row r="4746">
          <cell r="B4746" t="str">
            <v>Şamilova Sevinc Ramiz</v>
          </cell>
          <cell r="C4746" t="str">
            <v>Xırdalan filialı</v>
          </cell>
          <cell r="D4746" t="str">
            <v>#</v>
          </cell>
          <cell r="E4746" t="str">
            <v>Xidmət bölməsi</v>
          </cell>
          <cell r="F4746" t="str">
            <v>Kassa üzrə baş mütəxəssis</v>
          </cell>
          <cell r="G4746" t="str">
            <v>A</v>
          </cell>
          <cell r="H4746">
            <v>42752</v>
          </cell>
        </row>
        <row r="4747">
          <cell r="B4747" t="str">
            <v>Şıxəliyev Şəfahət Həmdulla</v>
          </cell>
          <cell r="C4747" t="str">
            <v>Xırdalan filialı</v>
          </cell>
          <cell r="D4747" t="str">
            <v>#</v>
          </cell>
          <cell r="E4747" t="str">
            <v>Xidmət bölməsi</v>
          </cell>
          <cell r="F4747" t="str">
            <v>Kassa üzrə baş mütəxəssis</v>
          </cell>
          <cell r="G4747" t="str">
            <v>A</v>
          </cell>
          <cell r="H4747">
            <v>36801</v>
          </cell>
        </row>
        <row r="4748">
          <cell r="B4748" t="str">
            <v>Baharova Sevinc Ramazan</v>
          </cell>
          <cell r="C4748" t="str">
            <v>Xırdalan filialı</v>
          </cell>
          <cell r="D4748" t="str">
            <v>#</v>
          </cell>
          <cell r="E4748" t="str">
            <v>Xidmət bölməsi</v>
          </cell>
          <cell r="F4748" t="str">
            <v>Məlumat xidməti üzrə mütəxəssis</v>
          </cell>
          <cell r="G4748" t="str">
            <v>SM</v>
          </cell>
          <cell r="H4748">
            <v>44845</v>
          </cell>
        </row>
        <row r="4749">
          <cell r="B4749" t="str">
            <v>Cəbrayılova Lalə Fəxrəddin</v>
          </cell>
          <cell r="C4749" t="str">
            <v>Xırdalan filialı</v>
          </cell>
          <cell r="D4749" t="str">
            <v>#</v>
          </cell>
          <cell r="E4749" t="str">
            <v>Xidmət bölməsi</v>
          </cell>
          <cell r="F4749" t="str">
            <v>Məlumat xidməti üzrə mütəxəssis (müvəqqəti)</v>
          </cell>
          <cell r="G4749" t="str">
            <v>A</v>
          </cell>
          <cell r="H4749">
            <v>45652</v>
          </cell>
        </row>
        <row r="4750">
          <cell r="B4750" t="str">
            <v>Abdullayev Rahim Rahu</v>
          </cell>
          <cell r="C4750" t="str">
            <v>Xırdalan filialı</v>
          </cell>
          <cell r="D4750" t="str">
            <v>#</v>
          </cell>
          <cell r="E4750" t="str">
            <v>Xidmət bölməsi</v>
          </cell>
          <cell r="F4750" t="str">
            <v>Müştərilərlə iş üzrə baş mütəxəssis</v>
          </cell>
          <cell r="G4750" t="str">
            <v>A</v>
          </cell>
          <cell r="H4750">
            <v>42467</v>
          </cell>
        </row>
        <row r="4751">
          <cell r="B4751" t="str">
            <v>Qurbanova Aynurə Akif</v>
          </cell>
          <cell r="C4751" t="str">
            <v>Xırdalan filialı</v>
          </cell>
          <cell r="D4751" t="str">
            <v>#</v>
          </cell>
          <cell r="E4751" t="str">
            <v>Xidmət bölməsi</v>
          </cell>
          <cell r="F4751" t="str">
            <v>Müştərilərlə iş üzrə baş mütəxəssis</v>
          </cell>
          <cell r="G4751" t="str">
            <v>A</v>
          </cell>
          <cell r="H4751">
            <v>39633</v>
          </cell>
        </row>
        <row r="4752">
          <cell r="B4752" t="str">
            <v>Bəbirov Vüsal Qabil</v>
          </cell>
          <cell r="C4752" t="str">
            <v>Xırdalan filialı</v>
          </cell>
          <cell r="D4752" t="str">
            <v>#</v>
          </cell>
          <cell r="E4752" t="str">
            <v>Xidmət bölməsi</v>
          </cell>
          <cell r="F4752" t="str">
            <v>Müştərilərlə iş üzrə baş mütəxəssis</v>
          </cell>
          <cell r="G4752" t="str">
            <v>A</v>
          </cell>
          <cell r="H4752">
            <v>43116</v>
          </cell>
        </row>
        <row r="4753">
          <cell r="B4753" t="str">
            <v>Abbasov Hümbət Marif</v>
          </cell>
          <cell r="C4753" t="str">
            <v>Xırdalan filialı</v>
          </cell>
          <cell r="D4753" t="str">
            <v>#</v>
          </cell>
          <cell r="E4753" t="str">
            <v>Xidmət bölməsi</v>
          </cell>
          <cell r="F4753" t="str">
            <v>Müştərilərlə iş üzrə baş mütəxəssis</v>
          </cell>
          <cell r="G4753" t="str">
            <v>A</v>
          </cell>
          <cell r="H4753">
            <v>42125</v>
          </cell>
        </row>
        <row r="4754">
          <cell r="B4754" t="str">
            <v>İsmayılov Azər Əsəd</v>
          </cell>
          <cell r="C4754" t="str">
            <v>Xırdalan filialı</v>
          </cell>
          <cell r="D4754" t="str">
            <v>#</v>
          </cell>
          <cell r="E4754" t="str">
            <v>Xidmət bölməsi</v>
          </cell>
          <cell r="F4754" t="str">
            <v>Müştərilərlə iş üzrə aparıcı mütəxəssis</v>
          </cell>
          <cell r="G4754" t="str">
            <v>A</v>
          </cell>
          <cell r="H4754">
            <v>38310</v>
          </cell>
        </row>
        <row r="4755">
          <cell r="B4755" t="str">
            <v>Xəlilova Ceyhunə Üzeyir</v>
          </cell>
          <cell r="C4755" t="str">
            <v>Xırdalan filialı</v>
          </cell>
          <cell r="D4755" t="str">
            <v>#</v>
          </cell>
          <cell r="E4755" t="str">
            <v>Xidmət bölməsi</v>
          </cell>
          <cell r="F4755" t="str">
            <v>Müştərilərlə iş üzrə baş mütəxəssis</v>
          </cell>
          <cell r="G4755" t="str">
            <v>A</v>
          </cell>
          <cell r="H4755">
            <v>42751</v>
          </cell>
        </row>
        <row r="4756">
          <cell r="B4756" t="str">
            <v>Həsənzadə Fidan Maqsud</v>
          </cell>
          <cell r="C4756" t="str">
            <v>Xırdalan filialı</v>
          </cell>
          <cell r="D4756" t="str">
            <v>#</v>
          </cell>
          <cell r="E4756" t="str">
            <v>Xidmət bölməsi</v>
          </cell>
          <cell r="F4756" t="str">
            <v>Müştərilərlə iş üzrə aparıcı mütəxəssis</v>
          </cell>
          <cell r="G4756" t="str">
            <v>A</v>
          </cell>
          <cell r="H4756">
            <v>44608</v>
          </cell>
        </row>
        <row r="4757">
          <cell r="B4757" t="str">
            <v>Muxtarova Aysən İlham</v>
          </cell>
          <cell r="C4757" t="str">
            <v>Xırdalan filialı</v>
          </cell>
          <cell r="D4757" t="str">
            <v>#</v>
          </cell>
          <cell r="E4757" t="str">
            <v>Xidmət bölməsi</v>
          </cell>
          <cell r="F4757" t="str">
            <v>Müştərilərlə iş üzrə aparıcı mütəxəssis</v>
          </cell>
          <cell r="G4757" t="str">
            <v>A</v>
          </cell>
          <cell r="H4757">
            <v>43406</v>
          </cell>
        </row>
        <row r="4758">
          <cell r="B4758" t="str">
            <v>Cəlilova Şəhla Rauf</v>
          </cell>
          <cell r="C4758" t="str">
            <v>Xırdalan filialı</v>
          </cell>
          <cell r="D4758" t="str">
            <v>#</v>
          </cell>
          <cell r="E4758" t="str">
            <v>Xidmət bölməsi</v>
          </cell>
          <cell r="F4758" t="str">
            <v>Müştərilərlə iş üzrə mütəxəssis</v>
          </cell>
          <cell r="G4758" t="str">
            <v>HX</v>
          </cell>
          <cell r="H4758">
            <v>45384</v>
          </cell>
        </row>
        <row r="4759">
          <cell r="B4759" t="str">
            <v>Orucov Raciv İbad</v>
          </cell>
          <cell r="C4759" t="str">
            <v>Xırdalan filialı</v>
          </cell>
          <cell r="D4759" t="str">
            <v>#</v>
          </cell>
          <cell r="E4759" t="str">
            <v>Xidmət bölməsi</v>
          </cell>
          <cell r="F4759" t="str">
            <v>Müştərilərlə iş üzrə aparıcı mütəxəssis (müvəqqəti)</v>
          </cell>
          <cell r="G4759" t="str">
            <v>A</v>
          </cell>
          <cell r="H4759">
            <v>44532</v>
          </cell>
        </row>
        <row r="4760">
          <cell r="B4760" t="str">
            <v>Alızadə Günay Murad</v>
          </cell>
          <cell r="C4760" t="str">
            <v>Xırdalan filialı</v>
          </cell>
          <cell r="D4760" t="str">
            <v>#</v>
          </cell>
          <cell r="E4760" t="str">
            <v>Xidmət bölməsi</v>
          </cell>
          <cell r="F4760" t="str">
            <v>Müştərilərlə iş üzrə aparıcı mütəxəssis</v>
          </cell>
          <cell r="G4760" t="str">
            <v>A</v>
          </cell>
          <cell r="H4760">
            <v>43383</v>
          </cell>
        </row>
        <row r="4761">
          <cell r="B4761" t="str">
            <v>Garayev Taleh Sabir</v>
          </cell>
          <cell r="C4761" t="str">
            <v>Xırdalan filialı</v>
          </cell>
          <cell r="D4761" t="str">
            <v>#</v>
          </cell>
          <cell r="E4761" t="str">
            <v>Xidmət bölməsi</v>
          </cell>
          <cell r="F4761" t="str">
            <v>Müştərilərlə iş üzrə mütəxəssis</v>
          </cell>
          <cell r="G4761" t="str">
            <v>A</v>
          </cell>
          <cell r="H4761">
            <v>45891</v>
          </cell>
        </row>
        <row r="4762">
          <cell r="B4762" t="str">
            <v>Yahyayeva Sənubər Əhmədağa</v>
          </cell>
          <cell r="C4762" t="str">
            <v>Xırdalan filialı</v>
          </cell>
          <cell r="D4762" t="str">
            <v>#</v>
          </cell>
          <cell r="E4762" t="str">
            <v>İnzibati bölmə</v>
          </cell>
          <cell r="F4762" t="str">
            <v>Xadimə</v>
          </cell>
          <cell r="G4762" t="str">
            <v>A</v>
          </cell>
          <cell r="H4762">
            <v>45651</v>
          </cell>
        </row>
        <row r="4763">
          <cell r="B4763" t="str">
            <v>Məmmədov Nurlan Eldar</v>
          </cell>
          <cell r="C4763" t="str">
            <v>İçərişəhər filialı</v>
          </cell>
          <cell r="D4763" t="str">
            <v>#</v>
          </cell>
          <cell r="E4763" t="str">
            <v>#</v>
          </cell>
          <cell r="F4763" t="str">
            <v>Müdir</v>
          </cell>
          <cell r="G4763" t="str">
            <v>A</v>
          </cell>
          <cell r="H4763">
            <v>42342</v>
          </cell>
        </row>
        <row r="4764">
          <cell r="B4764" t="str">
            <v>Zülfüqarova Rəfiqa Nazim</v>
          </cell>
          <cell r="C4764" t="str">
            <v>İçərişəhər filialı</v>
          </cell>
          <cell r="D4764" t="str">
            <v>#</v>
          </cell>
          <cell r="E4764" t="str">
            <v>Xidmət bölməsi</v>
          </cell>
          <cell r="F4764" t="str">
            <v>Kassa üzrə baş mütəxəssis</v>
          </cell>
          <cell r="G4764" t="str">
            <v>A</v>
          </cell>
          <cell r="H4764">
            <v>42241</v>
          </cell>
        </row>
        <row r="4765">
          <cell r="B4765" t="str">
            <v>Məmmədzadə Ülvi Nazim</v>
          </cell>
          <cell r="C4765" t="str">
            <v>İçərişəhər filialı</v>
          </cell>
          <cell r="D4765" t="str">
            <v>#</v>
          </cell>
          <cell r="E4765" t="str">
            <v>Xidmət bölməsi</v>
          </cell>
          <cell r="F4765" t="str">
            <v>Müştərilərlə iş üzrə baş mütəxəssis</v>
          </cell>
          <cell r="G4765" t="str">
            <v>A</v>
          </cell>
          <cell r="H4765">
            <v>43199</v>
          </cell>
        </row>
        <row r="4766">
          <cell r="B4766" t="str">
            <v>Rəfiyeva Aydan Qurban</v>
          </cell>
          <cell r="C4766" t="str">
            <v>İçərişəhər filialı</v>
          </cell>
          <cell r="D4766" t="str">
            <v>#</v>
          </cell>
          <cell r="E4766" t="str">
            <v>Xidmət bölməsi</v>
          </cell>
          <cell r="F4766" t="str">
            <v>Müştərilərlə iş üzrə aparıcı mütəxəssis</v>
          </cell>
          <cell r="G4766" t="str">
            <v>A</v>
          </cell>
          <cell r="H4766">
            <v>44882</v>
          </cell>
        </row>
        <row r="4767">
          <cell r="B4767" t="str">
            <v>İsgəndərova Rəsmiyyə İbrahim</v>
          </cell>
          <cell r="C4767" t="str">
            <v>İçərişəhər filialı</v>
          </cell>
          <cell r="D4767" t="str">
            <v>#</v>
          </cell>
          <cell r="E4767" t="str">
            <v>İnzibati bölmə</v>
          </cell>
          <cell r="F4767" t="str">
            <v>Xadimə</v>
          </cell>
          <cell r="G4767" t="str">
            <v>A</v>
          </cell>
          <cell r="H4767">
            <v>44915</v>
          </cell>
        </row>
        <row r="4768">
          <cell r="B4768" t="str">
            <v>Səfərov Elnur Qurban</v>
          </cell>
          <cell r="C4768" t="str">
            <v>İnşaatçılar filialı</v>
          </cell>
          <cell r="D4768" t="str">
            <v>#</v>
          </cell>
          <cell r="E4768" t="str">
            <v>#</v>
          </cell>
          <cell r="F4768" t="str">
            <v>Müdir</v>
          </cell>
          <cell r="G4768" t="str">
            <v>A</v>
          </cell>
          <cell r="H4768">
            <v>42269</v>
          </cell>
        </row>
        <row r="4769">
          <cell r="B4769" t="str">
            <v>Zeynalov Anar Lətif</v>
          </cell>
          <cell r="C4769" t="str">
            <v>İnşaatçılar filialı</v>
          </cell>
          <cell r="D4769" t="str">
            <v>#</v>
          </cell>
          <cell r="E4769" t="str">
            <v>Xidmət bölməsi</v>
          </cell>
          <cell r="F4769" t="str">
            <v>Bölmə rəhbəri</v>
          </cell>
          <cell r="G4769" t="str">
            <v>A</v>
          </cell>
          <cell r="H4769">
            <v>42970</v>
          </cell>
        </row>
        <row r="4770">
          <cell r="B4770" t="str">
            <v>Şeyxzadə Tofiq Rza</v>
          </cell>
          <cell r="C4770" t="str">
            <v>İnşaatçılar filialı</v>
          </cell>
          <cell r="D4770" t="str">
            <v>#</v>
          </cell>
          <cell r="E4770" t="str">
            <v>Xidmət bölməsi</v>
          </cell>
          <cell r="F4770" t="str">
            <v>Kassa üzrə baş mütəxəssis</v>
          </cell>
          <cell r="G4770" t="str">
            <v>A</v>
          </cell>
          <cell r="H4770">
            <v>42780</v>
          </cell>
        </row>
        <row r="4771">
          <cell r="B4771" t="str">
            <v>Abbasova Gülcan Şakir</v>
          </cell>
          <cell r="C4771" t="str">
            <v>İnşaatçılar filialı</v>
          </cell>
          <cell r="D4771" t="str">
            <v>#</v>
          </cell>
          <cell r="E4771" t="str">
            <v>Xidmət bölməsi</v>
          </cell>
          <cell r="F4771" t="str">
            <v>Kassa üzrə baş mütəxəssis</v>
          </cell>
          <cell r="G4771" t="str">
            <v>A</v>
          </cell>
          <cell r="H4771">
            <v>42417</v>
          </cell>
        </row>
        <row r="4772">
          <cell r="B4772" t="str">
            <v>Ağayev Mehman Teyyub</v>
          </cell>
          <cell r="C4772" t="str">
            <v>İnşaatçılar filialı</v>
          </cell>
          <cell r="D4772" t="str">
            <v>#</v>
          </cell>
          <cell r="E4772" t="str">
            <v>Xidmət bölməsi</v>
          </cell>
          <cell r="F4772" t="str">
            <v>Baş əməliyyatçı-kassir</v>
          </cell>
          <cell r="G4772" t="str">
            <v>A</v>
          </cell>
          <cell r="H4772">
            <v>39022</v>
          </cell>
        </row>
        <row r="4773">
          <cell r="B4773" t="str">
            <v>Vəlibəyova Aynur Kamil</v>
          </cell>
          <cell r="C4773" t="str">
            <v>İnşaatçılar filialı</v>
          </cell>
          <cell r="D4773" t="str">
            <v>#</v>
          </cell>
          <cell r="E4773" t="str">
            <v>Xidmət bölməsi</v>
          </cell>
          <cell r="F4773" t="str">
            <v>Müştərilərlə iş üzrə baş mütəxəssis</v>
          </cell>
          <cell r="G4773" t="str">
            <v>A</v>
          </cell>
          <cell r="H4773">
            <v>38411</v>
          </cell>
        </row>
        <row r="4774">
          <cell r="B4774" t="str">
            <v>Sadıqlı Aida Sadıq</v>
          </cell>
          <cell r="C4774" t="str">
            <v>İnşaatçılar filialı</v>
          </cell>
          <cell r="D4774" t="str">
            <v>#</v>
          </cell>
          <cell r="E4774" t="str">
            <v>Xidmət bölməsi</v>
          </cell>
          <cell r="F4774" t="str">
            <v>Müştərilərlə iş üzrə baş mütəxəssis</v>
          </cell>
          <cell r="G4774" t="str">
            <v>SM</v>
          </cell>
          <cell r="H4774">
            <v>42790</v>
          </cell>
        </row>
        <row r="4775">
          <cell r="B4775" t="str">
            <v>Seyidova Əzizə Elşən</v>
          </cell>
          <cell r="C4775" t="str">
            <v>İnşaatçılar filialı</v>
          </cell>
          <cell r="D4775" t="str">
            <v>#</v>
          </cell>
          <cell r="E4775" t="str">
            <v>Xidmət bölməsi</v>
          </cell>
          <cell r="F4775" t="str">
            <v>Müştərilərlə iş üzrə baş mütəxəssis</v>
          </cell>
          <cell r="G4775" t="str">
            <v>SM</v>
          </cell>
          <cell r="H4775">
            <v>41198</v>
          </cell>
        </row>
        <row r="4776">
          <cell r="B4776" t="str">
            <v>Məmmədov Toğrul Adil</v>
          </cell>
          <cell r="C4776" t="str">
            <v>İnşaatçılar filialı</v>
          </cell>
          <cell r="D4776" t="str">
            <v>#</v>
          </cell>
          <cell r="E4776" t="str">
            <v>Xidmət bölməsi</v>
          </cell>
          <cell r="F4776" t="str">
            <v>Müştərilərlə iş üzrə kiçik mütəxəssis (müvəqqəti)</v>
          </cell>
          <cell r="G4776" t="str">
            <v>A</v>
          </cell>
          <cell r="H4776">
            <v>46281</v>
          </cell>
        </row>
        <row r="4777">
          <cell r="B4777" t="str">
            <v>İlyasov İlkin Çingiz</v>
          </cell>
          <cell r="C4777" t="str">
            <v>İnşaatçılar filialı</v>
          </cell>
          <cell r="D4777" t="str">
            <v>#</v>
          </cell>
          <cell r="E4777" t="str">
            <v>Xidmət bölməsi</v>
          </cell>
          <cell r="F4777" t="str">
            <v>Müştərilərlə iş üzrə baş mütəxəssis</v>
          </cell>
          <cell r="G4777" t="str">
            <v>A</v>
          </cell>
          <cell r="H4777">
            <v>44179</v>
          </cell>
        </row>
        <row r="4778">
          <cell r="B4778" t="str">
            <v>Xanpəriyev Ayaz Vaqif</v>
          </cell>
          <cell r="C4778" t="str">
            <v>İnşaatçılar filialı</v>
          </cell>
          <cell r="D4778" t="str">
            <v>#</v>
          </cell>
          <cell r="E4778" t="str">
            <v>Xidmət bölməsi</v>
          </cell>
          <cell r="F4778" t="str">
            <v>Müştərilərlə iş üzrə baş mütəxəssis</v>
          </cell>
          <cell r="G4778" t="str">
            <v>A</v>
          </cell>
          <cell r="H4778">
            <v>42804</v>
          </cell>
        </row>
        <row r="4779">
          <cell r="B4779" t="str">
            <v>Süleymanlı Orxan Yaqub</v>
          </cell>
          <cell r="C4779" t="str">
            <v>İnşaatçılar filialı</v>
          </cell>
          <cell r="D4779" t="str">
            <v>#</v>
          </cell>
          <cell r="E4779" t="str">
            <v>Xidmət bölməsi</v>
          </cell>
          <cell r="F4779" t="str">
            <v>Müştərilərlə iş üzrə baş mütəxəssis</v>
          </cell>
          <cell r="G4779" t="str">
            <v>A</v>
          </cell>
          <cell r="H4779">
            <v>43348</v>
          </cell>
        </row>
        <row r="4780">
          <cell r="B4780" t="str">
            <v>Rəhimbəyov Həsən Rəhim</v>
          </cell>
          <cell r="C4780" t="str">
            <v>İnşaatçılar filialı</v>
          </cell>
          <cell r="D4780" t="str">
            <v>#</v>
          </cell>
          <cell r="E4780" t="str">
            <v>Xidmət bölməsi</v>
          </cell>
          <cell r="F4780" t="str">
            <v>Müştərilərlə iş üzrə baş mütəxəssis</v>
          </cell>
          <cell r="G4780" t="str">
            <v>A</v>
          </cell>
          <cell r="H4780">
            <v>43577</v>
          </cell>
        </row>
        <row r="4781">
          <cell r="B4781" t="str">
            <v>Təhməzova Türkan Rauf</v>
          </cell>
          <cell r="C4781" t="str">
            <v>İnşaatçılar filialı</v>
          </cell>
          <cell r="D4781" t="str">
            <v>#</v>
          </cell>
          <cell r="E4781" t="str">
            <v>Xidmət bölməsi</v>
          </cell>
          <cell r="F4781" t="str">
            <v>Müştərilərlə iş üzrə baş mütəxəssis</v>
          </cell>
          <cell r="G4781" t="str">
            <v>A</v>
          </cell>
          <cell r="H4781">
            <v>44624</v>
          </cell>
        </row>
        <row r="4782">
          <cell r="B4782" t="str">
            <v>Əlizadə Nərmin Vaqif</v>
          </cell>
          <cell r="C4782" t="str">
            <v>İnşaatçılar filialı</v>
          </cell>
          <cell r="D4782" t="str">
            <v>#</v>
          </cell>
          <cell r="E4782" t="str">
            <v>Xidmət bölməsi</v>
          </cell>
          <cell r="F4782" t="str">
            <v>Müştərilərlə iş üzrə baş mütəxəssis</v>
          </cell>
          <cell r="G4782" t="str">
            <v>A</v>
          </cell>
          <cell r="H4782">
            <v>44594</v>
          </cell>
        </row>
        <row r="4783">
          <cell r="B4783" t="str">
            <v>Qaraşlı Abasova Şükriyyə Yusif</v>
          </cell>
          <cell r="C4783" t="str">
            <v>İnşaatçılar filialı</v>
          </cell>
          <cell r="D4783" t="str">
            <v>#</v>
          </cell>
          <cell r="E4783" t="str">
            <v>Xidmət bölməsi</v>
          </cell>
          <cell r="F4783" t="str">
            <v>Müştərilərlə iş üzrə baş mütəxəssis</v>
          </cell>
          <cell r="G4783" t="str">
            <v>A</v>
          </cell>
          <cell r="H4783">
            <v>43258</v>
          </cell>
        </row>
        <row r="4784">
          <cell r="B4784" t="str">
            <v>Əlizadə Zaur Məlyəddin</v>
          </cell>
          <cell r="C4784" t="str">
            <v>İnşaatçılar filialı</v>
          </cell>
          <cell r="D4784" t="str">
            <v>#</v>
          </cell>
          <cell r="E4784" t="str">
            <v>Xidmət bölməsi</v>
          </cell>
          <cell r="F4784" t="str">
            <v>Müştərilərlə iş üzrə aparıcı mütəxəssis</v>
          </cell>
          <cell r="G4784" t="str">
            <v>A</v>
          </cell>
          <cell r="H4784">
            <v>44578</v>
          </cell>
        </row>
        <row r="4785">
          <cell r="B4785" t="str">
            <v>Dünyamalıyev Fuad Fərhad</v>
          </cell>
          <cell r="C4785" t="str">
            <v>İnşaatçılar filialı</v>
          </cell>
          <cell r="D4785" t="str">
            <v>#</v>
          </cell>
          <cell r="E4785" t="str">
            <v>Xidmət bölməsi</v>
          </cell>
          <cell r="F4785" t="str">
            <v>Müştərilərlə iş üzrə aparıcı mütəxəssis</v>
          </cell>
          <cell r="G4785" t="str">
            <v>A</v>
          </cell>
          <cell r="H4785">
            <v>44945</v>
          </cell>
        </row>
        <row r="4786">
          <cell r="B4786" t="str">
            <v>Fərzəliyev Tural Yaşar</v>
          </cell>
          <cell r="C4786" t="str">
            <v>İnşaatçılar filialı</v>
          </cell>
          <cell r="D4786" t="str">
            <v>#</v>
          </cell>
          <cell r="E4786" t="str">
            <v>Xidmət bölməsi</v>
          </cell>
          <cell r="F4786" t="str">
            <v>Müştərilərlə iş üzrə aparıcı mütəxəssis</v>
          </cell>
          <cell r="G4786" t="str">
            <v>A</v>
          </cell>
          <cell r="H4786">
            <v>44123</v>
          </cell>
        </row>
        <row r="4787">
          <cell r="B4787" t="str">
            <v>Hüseynli Gülnamə Asif</v>
          </cell>
          <cell r="C4787" t="str">
            <v>İnşaatçılar filialı</v>
          </cell>
          <cell r="D4787" t="str">
            <v>#</v>
          </cell>
          <cell r="E4787" t="str">
            <v>Xidmət bölməsi</v>
          </cell>
          <cell r="F4787" t="str">
            <v>Müştərilərlə iş üzrə aparıcı mütəxəssis</v>
          </cell>
          <cell r="G4787" t="str">
            <v>A</v>
          </cell>
          <cell r="H4787">
            <v>43698</v>
          </cell>
        </row>
        <row r="4788">
          <cell r="B4788" t="str">
            <v>Quluzadə Müzayə Oruc</v>
          </cell>
          <cell r="C4788" t="str">
            <v>İnşaatçılar filialı</v>
          </cell>
          <cell r="D4788" t="str">
            <v>#</v>
          </cell>
          <cell r="E4788" t="str">
            <v>Xidmət bölməsi</v>
          </cell>
          <cell r="F4788" t="str">
            <v>Müştərilərlə iş üzrə aparıcı mütəxəssis</v>
          </cell>
          <cell r="G4788" t="str">
            <v>A</v>
          </cell>
          <cell r="H4788">
            <v>45036</v>
          </cell>
        </row>
        <row r="4789">
          <cell r="B4789" t="str">
            <v>Cəmilova Qızılgül Məhərrəm</v>
          </cell>
          <cell r="C4789" t="str">
            <v>İnşaatçılar filialı</v>
          </cell>
          <cell r="D4789" t="str">
            <v>#</v>
          </cell>
          <cell r="E4789" t="str">
            <v>Xidmət bölməsi</v>
          </cell>
          <cell r="F4789" t="str">
            <v>Müştərilərlə iş üzrə mütəxəssis</v>
          </cell>
          <cell r="G4789" t="str">
            <v>A</v>
          </cell>
          <cell r="H4789">
            <v>44782</v>
          </cell>
        </row>
        <row r="4790">
          <cell r="B4790" t="str">
            <v>Əhmədzadə Aysel Anar</v>
          </cell>
          <cell r="C4790" t="str">
            <v>İnşaatçılar filialı</v>
          </cell>
          <cell r="D4790" t="str">
            <v>#</v>
          </cell>
          <cell r="E4790" t="str">
            <v>Xidmət bölməsi</v>
          </cell>
          <cell r="F4790" t="str">
            <v>Müştərilərlə iş üzrə mütəxəssis</v>
          </cell>
          <cell r="G4790" t="str">
            <v>A</v>
          </cell>
          <cell r="H4790">
            <v>45653</v>
          </cell>
        </row>
        <row r="4791">
          <cell r="B4791" t="str">
            <v>Hacızadə Tərlan Natiq</v>
          </cell>
          <cell r="C4791" t="str">
            <v>İnşaatçılar filialı</v>
          </cell>
          <cell r="D4791" t="str">
            <v>#</v>
          </cell>
          <cell r="E4791" t="str">
            <v>Xidmət bölməsi</v>
          </cell>
          <cell r="F4791" t="str">
            <v>Məlumat xidməti üzrə aparıcı mütəxəssis</v>
          </cell>
          <cell r="G4791" t="str">
            <v>A</v>
          </cell>
          <cell r="H4791">
            <v>44312</v>
          </cell>
        </row>
        <row r="4792">
          <cell r="B4792" t="str">
            <v>Qarayeva Rahidə Mehman</v>
          </cell>
          <cell r="C4792" t="str">
            <v>İnşaatçılar filialı</v>
          </cell>
          <cell r="D4792" t="str">
            <v>#</v>
          </cell>
          <cell r="E4792" t="str">
            <v>Xidmət bölməsi</v>
          </cell>
          <cell r="F4792" t="str">
            <v>Məlumat xidməti üzrə kiçik mütəxəssis</v>
          </cell>
          <cell r="G4792" t="str">
            <v>A</v>
          </cell>
          <cell r="H4792">
            <v>46140</v>
          </cell>
        </row>
        <row r="4793">
          <cell r="B4793" t="str">
            <v>İsmiyev Amil Zabil</v>
          </cell>
          <cell r="C4793" t="str">
            <v>İnşaatçılar filialı</v>
          </cell>
          <cell r="D4793" t="str">
            <v>#</v>
          </cell>
          <cell r="E4793" t="str">
            <v>Mikro kredit bölməsi</v>
          </cell>
          <cell r="F4793" t="str">
            <v>Bölmə rəhbəri</v>
          </cell>
          <cell r="G4793" t="str">
            <v>A</v>
          </cell>
          <cell r="H4793">
            <v>44574</v>
          </cell>
        </row>
        <row r="4794">
          <cell r="B4794" t="str">
            <v>Surxayzadə Nurlan Rafiq</v>
          </cell>
          <cell r="C4794" t="str">
            <v>İnşaatçılar filialı</v>
          </cell>
          <cell r="D4794" t="str">
            <v>#</v>
          </cell>
          <cell r="E4794" t="str">
            <v>Mikro kredit bölməsi</v>
          </cell>
          <cell r="F4794" t="str">
            <v>Baş mütəxəssis</v>
          </cell>
          <cell r="G4794" t="str">
            <v>A</v>
          </cell>
          <cell r="H4794">
            <v>44568</v>
          </cell>
        </row>
        <row r="4795">
          <cell r="B4795" t="str">
            <v>Heydərzadə Xəyal Abbasqulu</v>
          </cell>
          <cell r="C4795" t="str">
            <v>İnşaatçılar filialı</v>
          </cell>
          <cell r="D4795" t="str">
            <v>#</v>
          </cell>
          <cell r="E4795" t="str">
            <v>Mikro kredit bölməsi</v>
          </cell>
          <cell r="F4795" t="str">
            <v>Aparıcı mütəxəssis</v>
          </cell>
          <cell r="G4795" t="str">
            <v>A</v>
          </cell>
          <cell r="H4795">
            <v>44902</v>
          </cell>
        </row>
        <row r="4796">
          <cell r="B4796" t="str">
            <v>Qəmbərov Samir Sadıq</v>
          </cell>
          <cell r="C4796" t="str">
            <v>İnşaatçılar filialı</v>
          </cell>
          <cell r="D4796" t="str">
            <v>#</v>
          </cell>
          <cell r="E4796" t="str">
            <v>Mikro kredit bölməsi</v>
          </cell>
          <cell r="F4796" t="str">
            <v>Aparıcı mütəxəssis</v>
          </cell>
          <cell r="G4796" t="str">
            <v>A</v>
          </cell>
          <cell r="H4796">
            <v>45516</v>
          </cell>
        </row>
        <row r="4797">
          <cell r="B4797" t="str">
            <v>Mahmudlu Murad Aydın</v>
          </cell>
          <cell r="C4797" t="str">
            <v>İnşaatçılar filialı</v>
          </cell>
          <cell r="D4797" t="str">
            <v>#</v>
          </cell>
          <cell r="E4797" t="str">
            <v>Mikro kredit bölməsi</v>
          </cell>
          <cell r="F4797" t="str">
            <v>Mütəxəssis</v>
          </cell>
          <cell r="G4797" t="str">
            <v>A</v>
          </cell>
          <cell r="H4797">
            <v>45842</v>
          </cell>
        </row>
        <row r="4798">
          <cell r="B4798" t="str">
            <v>Mədətova Sabahgül Abış</v>
          </cell>
          <cell r="C4798" t="str">
            <v>İnşaatçılar filialı</v>
          </cell>
          <cell r="D4798" t="str">
            <v>#</v>
          </cell>
          <cell r="E4798" t="str">
            <v>İnzibati bölmə</v>
          </cell>
          <cell r="F4798" t="str">
            <v>Xadimə</v>
          </cell>
          <cell r="G4798" t="str">
            <v>A</v>
          </cell>
          <cell r="H4798">
            <v>42573</v>
          </cell>
        </row>
        <row r="4799">
          <cell r="B4799" t="str">
            <v>Səmədov Əhəd Ələkbər</v>
          </cell>
          <cell r="C4799" t="str">
            <v>KOB mərkəzi filialı</v>
          </cell>
          <cell r="D4799" t="str">
            <v>#</v>
          </cell>
          <cell r="E4799" t="str">
            <v>#</v>
          </cell>
          <cell r="F4799" t="str">
            <v>Müdir</v>
          </cell>
          <cell r="G4799" t="str">
            <v>A</v>
          </cell>
          <cell r="H4799">
            <v>43061</v>
          </cell>
        </row>
        <row r="4800">
          <cell r="B4800" t="str">
            <v>Yusifov İntiqam İxdiyar</v>
          </cell>
          <cell r="C4800" t="str">
            <v>KOB mərkəzi filialı</v>
          </cell>
          <cell r="D4800" t="str">
            <v>#</v>
          </cell>
          <cell r="E4800" t="str">
            <v>Xidmət bölməsi</v>
          </cell>
          <cell r="F4800" t="str">
            <v>Baş əməliyyatçı-kassir</v>
          </cell>
          <cell r="G4800" t="str">
            <v>A</v>
          </cell>
          <cell r="H4800">
            <v>44179</v>
          </cell>
        </row>
        <row r="4801">
          <cell r="B4801" t="str">
            <v>Alqayeva Ayşə Ramazan</v>
          </cell>
          <cell r="C4801" t="str">
            <v>KOB mərkəzi filialı</v>
          </cell>
          <cell r="D4801" t="str">
            <v>#</v>
          </cell>
          <cell r="E4801" t="str">
            <v>Xidmət bölməsi</v>
          </cell>
          <cell r="F4801" t="str">
            <v>Kassa üzrə aparıcı mütəxəssis</v>
          </cell>
          <cell r="G4801" t="str">
            <v>A</v>
          </cell>
          <cell r="H4801">
            <v>45234</v>
          </cell>
        </row>
        <row r="4802">
          <cell r="B4802" t="str">
            <v>Şahbazlı Zərrin Zəfər</v>
          </cell>
          <cell r="C4802" t="str">
            <v>KOB mərkəzi filialı</v>
          </cell>
          <cell r="D4802" t="str">
            <v>#</v>
          </cell>
          <cell r="E4802" t="str">
            <v>Xidmət bölməsi</v>
          </cell>
          <cell r="F4802" t="str">
            <v>Məlumat xidməti üzrə aparıcı mütəxəssis</v>
          </cell>
          <cell r="G4802" t="str">
            <v>A</v>
          </cell>
          <cell r="H4802">
            <v>44686</v>
          </cell>
        </row>
        <row r="4803">
          <cell r="B4803" t="str">
            <v>Hüseynova Jalə Nazim</v>
          </cell>
          <cell r="C4803" t="str">
            <v>KOB mərkəzi filialı</v>
          </cell>
          <cell r="D4803" t="str">
            <v>#</v>
          </cell>
          <cell r="E4803" t="str">
            <v>Xidmət bölməsi</v>
          </cell>
          <cell r="F4803" t="str">
            <v>Müştərilərlə iş üzrə baş mütəxəssis</v>
          </cell>
          <cell r="G4803" t="str">
            <v>A</v>
          </cell>
          <cell r="H4803">
            <v>43367</v>
          </cell>
        </row>
        <row r="4804">
          <cell r="B4804" t="str">
            <v>Fətəlizadə Türkan İlqar</v>
          </cell>
          <cell r="C4804" t="str">
            <v>KOB mərkəzi filialı</v>
          </cell>
          <cell r="D4804" t="str">
            <v>#</v>
          </cell>
          <cell r="E4804" t="str">
            <v>Xidmət bölməsi</v>
          </cell>
          <cell r="F4804" t="str">
            <v>Müştərilərlə iş üzrə aparıcı mütəxəssis</v>
          </cell>
          <cell r="G4804" t="str">
            <v>A</v>
          </cell>
          <cell r="H4804">
            <v>44673</v>
          </cell>
        </row>
        <row r="4805">
          <cell r="B4805" t="str">
            <v>Axundova Səbinə Kamil</v>
          </cell>
          <cell r="C4805" t="str">
            <v>KOB mərkəzi filialı</v>
          </cell>
          <cell r="D4805" t="str">
            <v>#</v>
          </cell>
          <cell r="E4805" t="str">
            <v>Xidmət bölməsi</v>
          </cell>
          <cell r="F4805" t="str">
            <v>Müştərilərlə iş üzrə aparıcı mütəxəssis</v>
          </cell>
          <cell r="G4805" t="str">
            <v>A</v>
          </cell>
          <cell r="H4805">
            <v>43720</v>
          </cell>
        </row>
        <row r="4806">
          <cell r="B4806" t="str">
            <v>Mahmudova Şəfəq Elşad</v>
          </cell>
          <cell r="C4806" t="str">
            <v>KOB mərkəzi filialı</v>
          </cell>
          <cell r="D4806" t="str">
            <v>#</v>
          </cell>
          <cell r="E4806" t="str">
            <v>Xidmət bölməsi</v>
          </cell>
          <cell r="F4806" t="str">
            <v>Müştərilərlə iş üzrə mütəxəssis</v>
          </cell>
          <cell r="G4806" t="str">
            <v>SM</v>
          </cell>
          <cell r="H4806">
            <v>45250</v>
          </cell>
        </row>
        <row r="4807">
          <cell r="B4807" t="str">
            <v>Dadaşova Səbinə Rasim</v>
          </cell>
          <cell r="C4807" t="str">
            <v>KOB mərkəzi filialı</v>
          </cell>
          <cell r="D4807" t="str">
            <v>#</v>
          </cell>
          <cell r="E4807" t="str">
            <v>Xidmət bölməsi</v>
          </cell>
          <cell r="F4807" t="str">
            <v>Müştərilərlə iş üzrə aparıcı mütəxəssis(müvəqqəti)</v>
          </cell>
          <cell r="G4807" t="str">
            <v>A</v>
          </cell>
          <cell r="H4807">
            <v>45132</v>
          </cell>
        </row>
        <row r="4808">
          <cell r="B4808" t="str">
            <v>Hüseynova Afət Əli</v>
          </cell>
          <cell r="C4808" t="str">
            <v>KOB mərkəzi filialı</v>
          </cell>
          <cell r="D4808" t="str">
            <v>#</v>
          </cell>
          <cell r="E4808" t="str">
            <v>İnzibati bölmə</v>
          </cell>
          <cell r="F4808" t="str">
            <v>Xadimə</v>
          </cell>
          <cell r="G4808" t="str">
            <v>A</v>
          </cell>
          <cell r="H4808">
            <v>44424</v>
          </cell>
        </row>
        <row r="4809">
          <cell r="B4809" t="str">
            <v>Yeylağəliyeva Jalə Elman</v>
          </cell>
          <cell r="C4809" t="str">
            <v>KOB filialı</v>
          </cell>
          <cell r="D4809" t="str">
            <v>#</v>
          </cell>
          <cell r="E4809" t="str">
            <v>Xidmət bölməsi</v>
          </cell>
          <cell r="F4809" t="str">
            <v xml:space="preserve">Aparıcı əməliyyatçı-kassir </v>
          </cell>
          <cell r="G4809" t="str">
            <v>A</v>
          </cell>
          <cell r="H4809">
            <v>44784</v>
          </cell>
        </row>
        <row r="4810">
          <cell r="B4810" t="str">
            <v>Nəsirov Cahid Natiq</v>
          </cell>
          <cell r="C4810" t="str">
            <v>KOB filialı</v>
          </cell>
          <cell r="D4810" t="str">
            <v>#</v>
          </cell>
          <cell r="E4810" t="str">
            <v>Xidmət bölməsi</v>
          </cell>
          <cell r="F4810" t="str">
            <v xml:space="preserve">Aparıcı əməliyyatçı-kassir </v>
          </cell>
          <cell r="G4810" t="str">
            <v>A</v>
          </cell>
          <cell r="H4810">
            <v>45234</v>
          </cell>
        </row>
        <row r="4811">
          <cell r="B4811" t="str">
            <v>Nəsibli Vüsalə Əbülfəz</v>
          </cell>
          <cell r="C4811" t="str">
            <v>KOB filialı</v>
          </cell>
          <cell r="D4811" t="str">
            <v>#</v>
          </cell>
          <cell r="E4811" t="str">
            <v>Xidmət bölməsi</v>
          </cell>
          <cell r="F4811" t="str">
            <v>Əməliyyatçı-kassir</v>
          </cell>
          <cell r="G4811" t="str">
            <v>A</v>
          </cell>
          <cell r="H4811">
            <v>45730</v>
          </cell>
        </row>
        <row r="4812">
          <cell r="B4812" t="str">
            <v>Əliyev Nahid Cəmil</v>
          </cell>
          <cell r="C4812" t="str">
            <v>Qara Qarayev filialı</v>
          </cell>
          <cell r="D4812" t="str">
            <v>#</v>
          </cell>
          <cell r="E4812" t="str">
            <v>#</v>
          </cell>
          <cell r="F4812" t="str">
            <v>Müdir</v>
          </cell>
          <cell r="G4812" t="str">
            <v>A</v>
          </cell>
          <cell r="H4812">
            <v>41061</v>
          </cell>
        </row>
        <row r="4813">
          <cell r="B4813" t="str">
            <v>İsmayılov Orxan Eldar</v>
          </cell>
          <cell r="C4813" t="str">
            <v>Qara Qarayev filialı</v>
          </cell>
          <cell r="D4813" t="str">
            <v>#</v>
          </cell>
          <cell r="E4813" t="str">
            <v>Xidmət bölməsi</v>
          </cell>
          <cell r="F4813" t="str">
            <v>Bölmə rəhbəri</v>
          </cell>
          <cell r="G4813" t="str">
            <v>A</v>
          </cell>
          <cell r="H4813">
            <v>42383</v>
          </cell>
        </row>
        <row r="4814">
          <cell r="B4814" t="str">
            <v>Vəliyev Kamran Vəfa</v>
          </cell>
          <cell r="C4814" t="str">
            <v>Qara Qarayev filialı</v>
          </cell>
          <cell r="D4814" t="str">
            <v>#</v>
          </cell>
          <cell r="E4814" t="str">
            <v>Xidmət bölməsi</v>
          </cell>
          <cell r="F4814" t="str">
            <v>Kassa üzrə aparıcı mütəxəssis</v>
          </cell>
          <cell r="G4814" t="str">
            <v>A</v>
          </cell>
          <cell r="H4814">
            <v>45525</v>
          </cell>
        </row>
        <row r="4815">
          <cell r="B4815" t="str">
            <v>Hüseynova Ləman Çingiz</v>
          </cell>
          <cell r="C4815" t="str">
            <v>Qara Qarayev filialı</v>
          </cell>
          <cell r="D4815" t="str">
            <v>#</v>
          </cell>
          <cell r="E4815" t="str">
            <v>Xidmət bölməsi</v>
          </cell>
          <cell r="F4815" t="str">
            <v>Kassa üzrə aparıcı mütəxəssis</v>
          </cell>
          <cell r="G4815" t="str">
            <v>A</v>
          </cell>
          <cell r="H4815">
            <v>43651</v>
          </cell>
        </row>
        <row r="4816">
          <cell r="B4816" t="str">
            <v>Şabanova Sənubər Anar</v>
          </cell>
          <cell r="C4816" t="str">
            <v>Qara Qarayev filialı</v>
          </cell>
          <cell r="D4816" t="str">
            <v>#</v>
          </cell>
          <cell r="E4816" t="str">
            <v>Xidmət bölməsi</v>
          </cell>
          <cell r="F4816" t="str">
            <v>Əməliyyatçı-kassir</v>
          </cell>
          <cell r="G4816" t="str">
            <v>HX</v>
          </cell>
          <cell r="H4816">
            <v>45751</v>
          </cell>
        </row>
        <row r="4817">
          <cell r="B4817" t="str">
            <v>Məmmədli Nərminə Ziyad</v>
          </cell>
          <cell r="C4817" t="str">
            <v>Qara Qarayev filialı</v>
          </cell>
          <cell r="D4817" t="str">
            <v>#</v>
          </cell>
          <cell r="E4817" t="str">
            <v>Xidmət bölməsi</v>
          </cell>
          <cell r="F4817" t="str">
            <v>Kiçik əməliyyatçı-kassir (müvəqqəti)</v>
          </cell>
          <cell r="G4817" t="str">
            <v>A</v>
          </cell>
          <cell r="H4817">
            <v>46220</v>
          </cell>
        </row>
        <row r="4818">
          <cell r="B4818" t="str">
            <v>Bayramova Sevinc Mirzəxan</v>
          </cell>
          <cell r="C4818" t="str">
            <v>Qara Qarayev filialı</v>
          </cell>
          <cell r="D4818" t="str">
            <v>#</v>
          </cell>
          <cell r="E4818" t="str">
            <v>Xidmət bölməsi</v>
          </cell>
          <cell r="F4818" t="str">
            <v>Müştərilərlə iş üzrə baş mütəxəssis</v>
          </cell>
          <cell r="G4818" t="str">
            <v>A</v>
          </cell>
          <cell r="H4818">
            <v>38607</v>
          </cell>
        </row>
        <row r="4819">
          <cell r="B4819" t="str">
            <v>Eyvazova Sona Gülmurad</v>
          </cell>
          <cell r="C4819" t="str">
            <v>Qara Qarayev filialı</v>
          </cell>
          <cell r="D4819" t="str">
            <v>#</v>
          </cell>
          <cell r="E4819" t="str">
            <v>Xidmət bölməsi</v>
          </cell>
          <cell r="F4819" t="str">
            <v>Müştərilərlə iş üzrə baş mütəxəssis</v>
          </cell>
          <cell r="G4819" t="str">
            <v>A</v>
          </cell>
          <cell r="H4819">
            <v>43063</v>
          </cell>
        </row>
        <row r="4820">
          <cell r="B4820" t="str">
            <v>Qəribov Əli Şərif</v>
          </cell>
          <cell r="C4820" t="str">
            <v>Qara Qarayev filialı</v>
          </cell>
          <cell r="D4820" t="str">
            <v>#</v>
          </cell>
          <cell r="E4820" t="str">
            <v>Xidmət bölməsi</v>
          </cell>
          <cell r="F4820" t="str">
            <v>Müştərilərlə iş üzrə aparıcı mütəxəssis</v>
          </cell>
          <cell r="G4820" t="str">
            <v>A</v>
          </cell>
          <cell r="H4820">
            <v>44096</v>
          </cell>
        </row>
        <row r="4821">
          <cell r="B4821" t="str">
            <v>Nəsiri Miramil Mirhadı</v>
          </cell>
          <cell r="C4821" t="str">
            <v>Qara Qarayev filialı</v>
          </cell>
          <cell r="D4821" t="str">
            <v>#</v>
          </cell>
          <cell r="E4821" t="str">
            <v>Xidmət bölməsi</v>
          </cell>
          <cell r="F4821" t="str">
            <v>Müştərilərlə iş üzrə baş mütəxəssis</v>
          </cell>
          <cell r="G4821" t="str">
            <v>A</v>
          </cell>
          <cell r="H4821">
            <v>42858</v>
          </cell>
        </row>
        <row r="4822">
          <cell r="B4822" t="str">
            <v>Həbillahov Famil Yaşar</v>
          </cell>
          <cell r="C4822" t="str">
            <v>Qara Qarayev filialı</v>
          </cell>
          <cell r="D4822" t="str">
            <v>#</v>
          </cell>
          <cell r="E4822" t="str">
            <v>Xidmət bölməsi</v>
          </cell>
          <cell r="F4822" t="str">
            <v>Müştərilərlə iş üzrə aparıcı mütəxəssis</v>
          </cell>
          <cell r="G4822" t="str">
            <v>A</v>
          </cell>
          <cell r="H4822">
            <v>45050</v>
          </cell>
        </row>
        <row r="4823">
          <cell r="B4823" t="str">
            <v>Həsənli Sevil Bəxtiyar</v>
          </cell>
          <cell r="C4823" t="str">
            <v>Qara Qarayev filialı</v>
          </cell>
          <cell r="D4823" t="str">
            <v>#</v>
          </cell>
          <cell r="E4823" t="str">
            <v>Xidmət bölməsi</v>
          </cell>
          <cell r="F4823" t="str">
            <v>Müştərilərlə iş üzrə aparıcı mütəxəssis</v>
          </cell>
          <cell r="G4823" t="str">
            <v>A</v>
          </cell>
          <cell r="H4823">
            <v>44806</v>
          </cell>
        </row>
        <row r="4824">
          <cell r="B4824" t="str">
            <v>Seyidli Nərmin Azər</v>
          </cell>
          <cell r="C4824" t="str">
            <v>Qara Qarayev filialı</v>
          </cell>
          <cell r="D4824" t="str">
            <v>#</v>
          </cell>
          <cell r="E4824" t="str">
            <v>Xidmət bölməsi</v>
          </cell>
          <cell r="F4824" t="str">
            <v>Müştərilərlə iş üzrə aparıcı mütəxəssis</v>
          </cell>
          <cell r="G4824" t="str">
            <v>A</v>
          </cell>
          <cell r="H4824">
            <v>44571</v>
          </cell>
        </row>
        <row r="4825">
          <cell r="B4825" t="str">
            <v>Əsədov Hikmət Əsrafıl</v>
          </cell>
          <cell r="C4825" t="str">
            <v>Qara Qarayev filialı</v>
          </cell>
          <cell r="D4825" t="str">
            <v>#</v>
          </cell>
          <cell r="E4825" t="str">
            <v>Xidmət bölməsi</v>
          </cell>
          <cell r="F4825" t="str">
            <v>Müştərilərlə iş üzrə aparıcı mütəxəssis</v>
          </cell>
          <cell r="G4825" t="str">
            <v>A</v>
          </cell>
          <cell r="H4825">
            <v>44965</v>
          </cell>
        </row>
        <row r="4826">
          <cell r="B4826" t="str">
            <v>Cəfərova Fidan Gülağa</v>
          </cell>
          <cell r="C4826" t="str">
            <v>Qara Qarayev filialı</v>
          </cell>
          <cell r="D4826" t="str">
            <v>#</v>
          </cell>
          <cell r="E4826" t="str">
            <v>Xidmət bölməsi</v>
          </cell>
          <cell r="F4826" t="str">
            <v>Müştərilərlə iş üzrə aparıcı mütəxəssis</v>
          </cell>
          <cell r="G4826" t="str">
            <v>HX</v>
          </cell>
          <cell r="H4826">
            <v>44715</v>
          </cell>
        </row>
        <row r="4827">
          <cell r="B4827" t="str">
            <v>Zeynallı Şəbnəm Oruc</v>
          </cell>
          <cell r="C4827" t="str">
            <v>Qara Qarayev filialı</v>
          </cell>
          <cell r="D4827" t="str">
            <v>#</v>
          </cell>
          <cell r="E4827" t="str">
            <v>Xidmət bölməsi</v>
          </cell>
          <cell r="F4827" t="str">
            <v>Müştərilərlə iş üzrə aparıcı mütəxəssis</v>
          </cell>
          <cell r="G4827" t="str">
            <v>A</v>
          </cell>
          <cell r="H4827">
            <v>43054</v>
          </cell>
        </row>
        <row r="4828">
          <cell r="B4828" t="str">
            <v>Məmmədova Zəhra Məmməd</v>
          </cell>
          <cell r="C4828" t="str">
            <v>Qara Qarayev filialı</v>
          </cell>
          <cell r="D4828" t="str">
            <v>#</v>
          </cell>
          <cell r="E4828" t="str">
            <v>Xidmət bölməsi</v>
          </cell>
          <cell r="F4828" t="str">
            <v>Müştərilərlə iş üzrə aparıcı mütəxəssis</v>
          </cell>
          <cell r="G4828" t="str">
            <v>A</v>
          </cell>
          <cell r="H4828">
            <v>43297</v>
          </cell>
        </row>
        <row r="4829">
          <cell r="B4829" t="str">
            <v>Cabbarova Sara Elçin</v>
          </cell>
          <cell r="C4829" t="str">
            <v>Qara Qarayev filialı</v>
          </cell>
          <cell r="D4829" t="str">
            <v>#</v>
          </cell>
          <cell r="E4829" t="str">
            <v>Xidmət bölməsi</v>
          </cell>
          <cell r="F4829" t="str">
            <v>Müştərilərlə iş üzrə aparıcı mütəxəssis</v>
          </cell>
          <cell r="G4829" t="str">
            <v>A</v>
          </cell>
          <cell r="H4829">
            <v>44845</v>
          </cell>
        </row>
        <row r="4830">
          <cell r="B4830" t="str">
            <v>Süleymanova Tamara Valeh</v>
          </cell>
          <cell r="C4830" t="str">
            <v>Qara Qarayev filialı</v>
          </cell>
          <cell r="D4830" t="str">
            <v>#</v>
          </cell>
          <cell r="E4830" t="str">
            <v>Xidmət bölməsi</v>
          </cell>
          <cell r="F4830" t="str">
            <v>Müştərilərlə iş üzrə aparıcı mütəxəssis</v>
          </cell>
          <cell r="G4830" t="str">
            <v>A</v>
          </cell>
          <cell r="H4830">
            <v>44566</v>
          </cell>
        </row>
        <row r="4831">
          <cell r="B4831" t="str">
            <v>Cəlilova Cəmilə Cəlil</v>
          </cell>
          <cell r="C4831" t="str">
            <v>Qara Qarayev filialı</v>
          </cell>
          <cell r="D4831" t="str">
            <v>#</v>
          </cell>
          <cell r="E4831" t="str">
            <v>Xidmət bölməsi</v>
          </cell>
          <cell r="F4831" t="str">
            <v>Müştərilərlə iş üzrə mütəxəssis</v>
          </cell>
          <cell r="G4831" t="str">
            <v>A</v>
          </cell>
          <cell r="H4831">
            <v>45693</v>
          </cell>
        </row>
        <row r="4832">
          <cell r="B4832" t="str">
            <v>Eminli Humay Ruslan</v>
          </cell>
          <cell r="C4832" t="str">
            <v>Qara Qarayev filialı</v>
          </cell>
          <cell r="D4832" t="str">
            <v>#</v>
          </cell>
          <cell r="E4832" t="str">
            <v>Xidmət bölməsi</v>
          </cell>
          <cell r="F4832" t="str">
            <v>Müştərilərlə iş üzrə mütəxəssis</v>
          </cell>
          <cell r="G4832" t="str">
            <v>A</v>
          </cell>
          <cell r="H4832">
            <v>45602</v>
          </cell>
        </row>
        <row r="4833">
          <cell r="B4833" t="str">
            <v>Əlizadə Şükufə Süleyman</v>
          </cell>
          <cell r="C4833" t="str">
            <v>Qara Qarayev filialı</v>
          </cell>
          <cell r="D4833" t="str">
            <v>#</v>
          </cell>
          <cell r="E4833" t="str">
            <v>Xidmət bölməsi</v>
          </cell>
          <cell r="F4833" t="str">
            <v>Məlumat xidməti üzrə mütəxəssis</v>
          </cell>
          <cell r="G4833" t="str">
            <v>SM</v>
          </cell>
          <cell r="H4833">
            <v>45383</v>
          </cell>
        </row>
        <row r="4834">
          <cell r="B4834" t="str">
            <v>Quluzadə Fidan Rahib</v>
          </cell>
          <cell r="C4834" t="str">
            <v>Qara Qarayev filialı</v>
          </cell>
          <cell r="D4834" t="str">
            <v>#</v>
          </cell>
          <cell r="E4834" t="str">
            <v>Xidmət bölməsi</v>
          </cell>
          <cell r="F4834" t="str">
            <v>Məlumat xidməti üzrə kiçik mütəxəssis (müvəqqəti)</v>
          </cell>
          <cell r="G4834" t="str">
            <v>A</v>
          </cell>
          <cell r="H4834">
            <v>46210</v>
          </cell>
        </row>
        <row r="4835">
          <cell r="B4835" t="str">
            <v>Xəlilova Sevanə Alqış</v>
          </cell>
          <cell r="C4835" t="str">
            <v>Qara Qarayev filialı</v>
          </cell>
          <cell r="D4835" t="str">
            <v>#</v>
          </cell>
          <cell r="E4835" t="str">
            <v>Xidmət bölməsi</v>
          </cell>
          <cell r="F4835" t="str">
            <v>Məlumat xidməti üzrə mütəxəssis</v>
          </cell>
          <cell r="G4835" t="str">
            <v>A</v>
          </cell>
          <cell r="H4835">
            <v>45785</v>
          </cell>
        </row>
        <row r="4836">
          <cell r="B4836" t="str">
            <v>Muradova Mirzadə Mirəkbər</v>
          </cell>
          <cell r="C4836" t="str">
            <v>Qara Qarayev filialı</v>
          </cell>
          <cell r="D4836" t="str">
            <v>#</v>
          </cell>
          <cell r="E4836" t="str">
            <v>İnzibati bölmə</v>
          </cell>
          <cell r="F4836" t="str">
            <v>Xadimə</v>
          </cell>
          <cell r="G4836" t="str">
            <v>A</v>
          </cell>
          <cell r="H4836">
            <v>36893</v>
          </cell>
        </row>
        <row r="4837">
          <cell r="B4837" t="str">
            <v>Həsənov Azər Ələddin</v>
          </cell>
          <cell r="C4837" t="str">
            <v>Qara Qarayev filialı</v>
          </cell>
          <cell r="D4837" t="str">
            <v>#</v>
          </cell>
          <cell r="E4837" t="str">
            <v>Mikro kredit bölməsi</v>
          </cell>
          <cell r="F4837" t="str">
            <v>Bölmə rəhbəri</v>
          </cell>
          <cell r="G4837" t="str">
            <v>A</v>
          </cell>
          <cell r="H4837">
            <v>44363</v>
          </cell>
        </row>
        <row r="4838">
          <cell r="B4838" t="str">
            <v>Əlizadə Qardaşəli Tehran</v>
          </cell>
          <cell r="C4838" t="str">
            <v>Qara Qarayev filialı</v>
          </cell>
          <cell r="D4838" t="str">
            <v>#</v>
          </cell>
          <cell r="E4838" t="str">
            <v>Mikro kredit bölməsi</v>
          </cell>
          <cell r="F4838" t="str">
            <v>Aparıcı mütəxəssis</v>
          </cell>
          <cell r="G4838" t="str">
            <v>A</v>
          </cell>
          <cell r="H4838">
            <v>44714</v>
          </cell>
        </row>
        <row r="4839">
          <cell r="B4839" t="str">
            <v>Mustafayev Ariz Faiq</v>
          </cell>
          <cell r="C4839" t="str">
            <v>Qara Qarayev filialı</v>
          </cell>
          <cell r="D4839" t="str">
            <v>#</v>
          </cell>
          <cell r="E4839" t="str">
            <v>Mikro kredit bölməsi</v>
          </cell>
          <cell r="F4839" t="str">
            <v>Mütəxəssis</v>
          </cell>
          <cell r="G4839" t="str">
            <v>A</v>
          </cell>
          <cell r="H4839">
            <v>44539</v>
          </cell>
        </row>
        <row r="4840">
          <cell r="B4840" t="str">
            <v>Süleymanlı Ayxan Afiq</v>
          </cell>
          <cell r="C4840" t="str">
            <v>Qara Qarayev filialı</v>
          </cell>
          <cell r="D4840" t="str">
            <v>#</v>
          </cell>
          <cell r="E4840" t="str">
            <v>Mikro kredit bölməsi</v>
          </cell>
          <cell r="F4840" t="str">
            <v>Mütəxəssis</v>
          </cell>
          <cell r="G4840" t="str">
            <v>A</v>
          </cell>
          <cell r="H4840">
            <v>46216</v>
          </cell>
        </row>
        <row r="4841">
          <cell r="B4841" t="str">
            <v>Qasımov Yusif Qasım</v>
          </cell>
          <cell r="C4841" t="str">
            <v>Qara Qarayev filialı</v>
          </cell>
          <cell r="D4841" t="str">
            <v>#</v>
          </cell>
          <cell r="E4841" t="str">
            <v>Mikro kredit bölməsi</v>
          </cell>
          <cell r="F4841" t="str">
            <v>Mütəxəssis</v>
          </cell>
          <cell r="G4841" t="str">
            <v>A</v>
          </cell>
          <cell r="H4841">
            <v>46216</v>
          </cell>
        </row>
        <row r="4842">
          <cell r="B4842" t="str">
            <v>Məmmədov Elşən Valeh</v>
          </cell>
          <cell r="C4842" t="str">
            <v>Qaradağ  filialı</v>
          </cell>
          <cell r="D4842" t="str">
            <v>#</v>
          </cell>
          <cell r="E4842" t="str">
            <v>#</v>
          </cell>
          <cell r="F4842" t="str">
            <v>Müdir</v>
          </cell>
          <cell r="G4842" t="str">
            <v>A</v>
          </cell>
          <cell r="H4842">
            <v>42229</v>
          </cell>
        </row>
        <row r="4843">
          <cell r="B4843" t="str">
            <v>Süleymanov Röyal Səbuhi</v>
          </cell>
          <cell r="C4843" t="str">
            <v>Qaradağ  filialı</v>
          </cell>
          <cell r="D4843" t="str">
            <v>#</v>
          </cell>
          <cell r="E4843" t="str">
            <v>Xidmət bölməsi</v>
          </cell>
          <cell r="F4843" t="str">
            <v>Kassa üzrə aparıcı mütəxəssis</v>
          </cell>
          <cell r="G4843" t="str">
            <v>A</v>
          </cell>
          <cell r="H4843">
            <v>45537</v>
          </cell>
        </row>
        <row r="4844">
          <cell r="B4844" t="str">
            <v>Namazzadə Elmar Kamandar</v>
          </cell>
          <cell r="C4844" t="str">
            <v>Qaradağ  filialı</v>
          </cell>
          <cell r="D4844" t="str">
            <v>#</v>
          </cell>
          <cell r="E4844" t="str">
            <v>Xidmət bölməsi</v>
          </cell>
          <cell r="F4844" t="str">
            <v>Kassa üzrə aparıcı mütəxəssis</v>
          </cell>
          <cell r="G4844" t="str">
            <v>A</v>
          </cell>
          <cell r="H4844">
            <v>45264</v>
          </cell>
        </row>
        <row r="4845">
          <cell r="B4845" t="str">
            <v xml:space="preserve"> Məmmədli Ülkər Elxan</v>
          </cell>
          <cell r="C4845" t="str">
            <v>Qaradağ  filialı</v>
          </cell>
          <cell r="D4845" t="str">
            <v>#</v>
          </cell>
          <cell r="E4845" t="str">
            <v>Xidmət bölməsi</v>
          </cell>
          <cell r="F4845" t="str">
            <v>Məlumat xidməti üzrə mütəxəssis</v>
          </cell>
          <cell r="G4845" t="str">
            <v>A</v>
          </cell>
          <cell r="H4845">
            <v>45925</v>
          </cell>
        </row>
        <row r="4846">
          <cell r="B4846" t="str">
            <v>Ramazanlı Ramazan Pərviz</v>
          </cell>
          <cell r="C4846" t="str">
            <v>Qaradağ  filialı</v>
          </cell>
          <cell r="D4846" t="str">
            <v>#</v>
          </cell>
          <cell r="E4846" t="str">
            <v>Xidmət bölməsi</v>
          </cell>
          <cell r="F4846" t="str">
            <v>Müştərilərlə iş üzrə baş mütəxəssis</v>
          </cell>
          <cell r="G4846" t="str">
            <v>A</v>
          </cell>
          <cell r="H4846">
            <v>42342</v>
          </cell>
        </row>
        <row r="4847">
          <cell r="B4847" t="str">
            <v>Quluzadə Nahid Fizuli</v>
          </cell>
          <cell r="C4847" t="str">
            <v>Qaradağ  filialı</v>
          </cell>
          <cell r="D4847" t="str">
            <v>#</v>
          </cell>
          <cell r="E4847" t="str">
            <v>Xidmət bölməsi</v>
          </cell>
          <cell r="F4847" t="str">
            <v>Müştərilərlə iş üzrə baş mütəxəssis</v>
          </cell>
          <cell r="G4847" t="str">
            <v>A</v>
          </cell>
          <cell r="H4847">
            <v>43672</v>
          </cell>
        </row>
        <row r="4848">
          <cell r="B4848" t="str">
            <v>Mirzəyev Pərvin İlham</v>
          </cell>
          <cell r="C4848" t="str">
            <v>Qaradağ  filialı</v>
          </cell>
          <cell r="D4848" t="str">
            <v>#</v>
          </cell>
          <cell r="E4848" t="str">
            <v>Xidmət bölməsi</v>
          </cell>
          <cell r="F4848" t="str">
            <v>Bölmə rəhbəri</v>
          </cell>
          <cell r="G4848" t="str">
            <v>A</v>
          </cell>
          <cell r="H4848">
            <v>42593</v>
          </cell>
        </row>
        <row r="4849">
          <cell r="B4849" t="str">
            <v>Abdullayev Qadir Vilayət</v>
          </cell>
          <cell r="C4849" t="str">
            <v>Qaradağ  filialı</v>
          </cell>
          <cell r="D4849" t="str">
            <v>#</v>
          </cell>
          <cell r="E4849" t="str">
            <v>Xidmət bölməsi</v>
          </cell>
          <cell r="F4849" t="str">
            <v>Müştərilərlə iş üzrə baş mütəxəssis</v>
          </cell>
          <cell r="G4849" t="str">
            <v>A</v>
          </cell>
          <cell r="H4849">
            <v>43664</v>
          </cell>
        </row>
        <row r="4850">
          <cell r="B4850" t="str">
            <v>İsmayılov İsmayıl Saleh</v>
          </cell>
          <cell r="C4850" t="str">
            <v>Qaradağ  filialı</v>
          </cell>
          <cell r="D4850" t="str">
            <v>#</v>
          </cell>
          <cell r="E4850" t="str">
            <v>Xidmət bölməsi</v>
          </cell>
          <cell r="F4850" t="str">
            <v>Müştərilərlə iş üzrə baş mütəxəssis</v>
          </cell>
          <cell r="G4850" t="str">
            <v>A</v>
          </cell>
          <cell r="H4850">
            <v>44608</v>
          </cell>
        </row>
        <row r="4851">
          <cell r="B4851" t="str">
            <v>Məmmədov Ramil Famil</v>
          </cell>
          <cell r="C4851" t="str">
            <v>Qaradağ  filialı</v>
          </cell>
          <cell r="D4851" t="str">
            <v>#</v>
          </cell>
          <cell r="E4851" t="str">
            <v>Xidmət bölməsi</v>
          </cell>
          <cell r="F4851" t="str">
            <v>Müştərilərlə iş üzrə mütəxəssis</v>
          </cell>
          <cell r="G4851" t="str">
            <v>A</v>
          </cell>
          <cell r="H4851">
            <v>45128</v>
          </cell>
        </row>
        <row r="4852">
          <cell r="B4852" t="str">
            <v>Mirzəyeva Aynur Aliko</v>
          </cell>
          <cell r="C4852" t="str">
            <v>Qaradağ  filialı</v>
          </cell>
          <cell r="D4852" t="str">
            <v>#</v>
          </cell>
          <cell r="E4852" t="str">
            <v>Xidmət bölməsi</v>
          </cell>
          <cell r="F4852" t="str">
            <v>Müştərilərlə iş üzrə aparıcı mütəxəssis</v>
          </cell>
          <cell r="G4852" t="str">
            <v>A</v>
          </cell>
          <cell r="H4852">
            <v>36691</v>
          </cell>
        </row>
        <row r="4853">
          <cell r="B4853" t="str">
            <v>Məmmədli Tamara Ramiz</v>
          </cell>
          <cell r="C4853" t="str">
            <v>Qaradağ  filialı</v>
          </cell>
          <cell r="D4853" t="str">
            <v>#</v>
          </cell>
          <cell r="E4853" t="str">
            <v>Xidmət bölməsi</v>
          </cell>
          <cell r="F4853" t="str">
            <v>Müştərilərlə iş üzrə aparıcı mütəxəssis</v>
          </cell>
          <cell r="G4853" t="str">
            <v>A</v>
          </cell>
          <cell r="H4853">
            <v>45250</v>
          </cell>
        </row>
        <row r="4854">
          <cell r="B4854" t="str">
            <v>Abbasova Röyalə Müşviq</v>
          </cell>
          <cell r="C4854" t="str">
            <v>Qaradağ  filialı</v>
          </cell>
          <cell r="D4854" t="str">
            <v>#</v>
          </cell>
          <cell r="E4854" t="str">
            <v>Xidmət bölməsi</v>
          </cell>
          <cell r="F4854" t="str">
            <v>Müştərilərlə iş üzrə mütəxəssis</v>
          </cell>
          <cell r="G4854" t="str">
            <v>A</v>
          </cell>
          <cell r="H4854">
            <v>45623</v>
          </cell>
        </row>
        <row r="4855">
          <cell r="B4855" t="str">
            <v>Əhmədova Fidan Təhmasib</v>
          </cell>
          <cell r="C4855" t="str">
            <v>Qaradağ  filialı</v>
          </cell>
          <cell r="D4855" t="str">
            <v>#</v>
          </cell>
          <cell r="E4855" t="str">
            <v>Xidmət bölməsi</v>
          </cell>
          <cell r="F4855" t="str">
            <v>Müştərilərlə iş üzrə mütəxəssis</v>
          </cell>
          <cell r="G4855" t="str">
            <v>A</v>
          </cell>
          <cell r="H4855">
            <v>45023</v>
          </cell>
        </row>
        <row r="4856">
          <cell r="B4856" t="str">
            <v>Nadirli Aytac Fariz</v>
          </cell>
          <cell r="C4856" t="str">
            <v>Qaradağ  filialı</v>
          </cell>
          <cell r="D4856" t="str">
            <v>#</v>
          </cell>
          <cell r="E4856" t="str">
            <v>Xidmət bölməsi</v>
          </cell>
          <cell r="F4856" t="str">
            <v>Müştərilərlə iş üzrə mütəxəssis</v>
          </cell>
          <cell r="G4856" t="str">
            <v>A</v>
          </cell>
          <cell r="H4856">
            <v>44140</v>
          </cell>
        </row>
        <row r="4857">
          <cell r="B4857" t="str">
            <v>Hüseynova Sevda Dünyamalı</v>
          </cell>
          <cell r="C4857" t="str">
            <v>Qaradağ  filialı</v>
          </cell>
          <cell r="D4857" t="str">
            <v>#</v>
          </cell>
          <cell r="E4857" t="str">
            <v>İnzibati bölmə</v>
          </cell>
          <cell r="F4857" t="str">
            <v>Xadimə</v>
          </cell>
          <cell r="G4857" t="str">
            <v>A</v>
          </cell>
          <cell r="H4857">
            <v>40238</v>
          </cell>
        </row>
        <row r="4858">
          <cell r="B4858" t="str">
            <v>Əhmədov Turab Xanhüseyn</v>
          </cell>
          <cell r="C4858" t="str">
            <v>Qubadlı filialı</v>
          </cell>
          <cell r="D4858" t="str">
            <v>#</v>
          </cell>
          <cell r="E4858" t="str">
            <v>#</v>
          </cell>
          <cell r="F4858" t="str">
            <v>Müdir</v>
          </cell>
          <cell r="G4858" t="str">
            <v>A</v>
          </cell>
          <cell r="H4858">
            <v>39128</v>
          </cell>
        </row>
        <row r="4859">
          <cell r="B4859" t="str">
            <v>Şükürov İntiqam Mehman</v>
          </cell>
          <cell r="C4859" t="str">
            <v>Qubadlı filialı</v>
          </cell>
          <cell r="D4859" t="str">
            <v>#</v>
          </cell>
          <cell r="E4859" t="str">
            <v>Xidmət bölməsi</v>
          </cell>
          <cell r="F4859" t="str">
            <v>Kassa üzrə baş mütəxəssis</v>
          </cell>
          <cell r="G4859" t="str">
            <v>A</v>
          </cell>
          <cell r="H4859">
            <v>42711</v>
          </cell>
        </row>
        <row r="4860">
          <cell r="B4860" t="str">
            <v>Namazov Vəkil Vüqar</v>
          </cell>
          <cell r="C4860" t="str">
            <v>Qubadlı filialı</v>
          </cell>
          <cell r="D4860" t="str">
            <v>#</v>
          </cell>
          <cell r="E4860" t="str">
            <v>Xidmət bölməsi</v>
          </cell>
          <cell r="F4860" t="str">
            <v>Kassa üzrə mütəxəssis</v>
          </cell>
          <cell r="G4860" t="str">
            <v>A</v>
          </cell>
          <cell r="H4860">
            <v>45911</v>
          </cell>
        </row>
        <row r="4861">
          <cell r="B4861" t="str">
            <v>Bağırova Lamiə İsmayıl</v>
          </cell>
          <cell r="C4861" t="str">
            <v>Qubadlı filialı</v>
          </cell>
          <cell r="D4861" t="str">
            <v>#</v>
          </cell>
          <cell r="E4861" t="str">
            <v>Xidmət bölməsi</v>
          </cell>
          <cell r="F4861" t="str">
            <v>Məlumat xidməti üzrə mütəxəssis</v>
          </cell>
          <cell r="G4861" t="str">
            <v>HX</v>
          </cell>
          <cell r="H4861">
            <v>45237</v>
          </cell>
        </row>
        <row r="4862">
          <cell r="B4862" t="str">
            <v>Məmmədova Şəlalə İsmayıl</v>
          </cell>
          <cell r="C4862" t="str">
            <v>Qubadlı filialı</v>
          </cell>
          <cell r="D4862" t="str">
            <v>#</v>
          </cell>
          <cell r="E4862" t="str">
            <v>Xidmət bölməsi</v>
          </cell>
          <cell r="F4862" t="str">
            <v>Məlumat xidməti üzrə mütəxəssis (müvəqqəti)</v>
          </cell>
          <cell r="G4862" t="str">
            <v>A</v>
          </cell>
          <cell r="H4862">
            <v>44757</v>
          </cell>
        </row>
        <row r="4863">
          <cell r="B4863" t="str">
            <v>Əlizadə Əsabəli Yaşar</v>
          </cell>
          <cell r="C4863" t="str">
            <v>Qubadlı filialı</v>
          </cell>
          <cell r="D4863" t="str">
            <v>#</v>
          </cell>
          <cell r="E4863" t="str">
            <v>Xidmət bölməsi</v>
          </cell>
          <cell r="F4863" t="str">
            <v>Müştərilərlə iş üzrə baş mütəxəssis</v>
          </cell>
          <cell r="G4863" t="str">
            <v>A</v>
          </cell>
          <cell r="H4863">
            <v>43132</v>
          </cell>
        </row>
        <row r="4864">
          <cell r="B4864" t="str">
            <v>Mehdiyev Elvin Eldar</v>
          </cell>
          <cell r="C4864" t="str">
            <v>Qubadlı filialı</v>
          </cell>
          <cell r="D4864" t="str">
            <v>#</v>
          </cell>
          <cell r="E4864" t="str">
            <v>Xidmət bölməsi</v>
          </cell>
          <cell r="F4864" t="str">
            <v>Müştərilərlə iş üzrə baş mütəxəssis</v>
          </cell>
          <cell r="G4864" t="str">
            <v>A</v>
          </cell>
          <cell r="H4864">
            <v>40630</v>
          </cell>
        </row>
        <row r="4865">
          <cell r="B4865" t="str">
            <v>Xudabaxşov Vüsal Mirzəbaba</v>
          </cell>
          <cell r="C4865" t="str">
            <v>Qubadlı filialı</v>
          </cell>
          <cell r="D4865" t="str">
            <v>#</v>
          </cell>
          <cell r="E4865" t="str">
            <v>Xidmət bölməsi</v>
          </cell>
          <cell r="F4865" t="str">
            <v>Müştərilərlə iş üzrə baş mütəxəssis</v>
          </cell>
          <cell r="G4865" t="str">
            <v>A</v>
          </cell>
          <cell r="H4865">
            <v>42500</v>
          </cell>
        </row>
        <row r="4866">
          <cell r="B4866" t="str">
            <v>İbrahimova Vəfa Həsən</v>
          </cell>
          <cell r="C4866" t="str">
            <v>Qubadlı filialı</v>
          </cell>
          <cell r="D4866" t="str">
            <v>#</v>
          </cell>
          <cell r="E4866" t="str">
            <v>Xidmət bölməsi</v>
          </cell>
          <cell r="F4866" t="str">
            <v>Müştərilərlə iş üzrə baş mütəxəssis</v>
          </cell>
          <cell r="G4866" t="str">
            <v>A</v>
          </cell>
          <cell r="H4866">
            <v>43696</v>
          </cell>
        </row>
        <row r="4867">
          <cell r="B4867" t="str">
            <v>Qasımova Aysel İlham</v>
          </cell>
          <cell r="C4867" t="str">
            <v>Qubadlı filialı</v>
          </cell>
          <cell r="D4867" t="str">
            <v>#</v>
          </cell>
          <cell r="E4867" t="str">
            <v>Xidmət bölməsi</v>
          </cell>
          <cell r="F4867" t="str">
            <v>Müştərilərlə iş üzrə baş mütəxəssis</v>
          </cell>
          <cell r="G4867" t="str">
            <v>A</v>
          </cell>
          <cell r="H4867">
            <v>42842</v>
          </cell>
        </row>
        <row r="4868">
          <cell r="B4868" t="str">
            <v>Qəhrəmanova Gülsayad İlham</v>
          </cell>
          <cell r="C4868" t="str">
            <v>Qubadlı filialı</v>
          </cell>
          <cell r="D4868" t="str">
            <v>#</v>
          </cell>
          <cell r="E4868" t="str">
            <v>Xidmət bölməsi</v>
          </cell>
          <cell r="F4868" t="str">
            <v>Müştərilərlə iş üzrə baş mütəxəssis</v>
          </cell>
          <cell r="G4868" t="str">
            <v>A</v>
          </cell>
          <cell r="H4868">
            <v>39974</v>
          </cell>
        </row>
        <row r="4869">
          <cell r="B4869" t="str">
            <v>Qarayeva Nərmin Şahin</v>
          </cell>
          <cell r="C4869" t="str">
            <v>Qubadlı filialı</v>
          </cell>
          <cell r="D4869" t="str">
            <v>#</v>
          </cell>
          <cell r="E4869" t="str">
            <v>Xidmət bölməsi</v>
          </cell>
          <cell r="F4869" t="str">
            <v>Müştərilərlə iş üzrə aparıcı mütəxəssis</v>
          </cell>
          <cell r="G4869" t="str">
            <v>A</v>
          </cell>
          <cell r="H4869">
            <v>43700</v>
          </cell>
        </row>
        <row r="4870">
          <cell r="B4870" t="str">
            <v>Mikayılova Nəzrin Nazim</v>
          </cell>
          <cell r="C4870" t="str">
            <v>Qubadlı filialı</v>
          </cell>
          <cell r="D4870" t="str">
            <v>#</v>
          </cell>
          <cell r="E4870" t="str">
            <v>Xidmət bölməsi</v>
          </cell>
          <cell r="F4870" t="str">
            <v>Müştərilərlə iş üzrə mütəxəssis</v>
          </cell>
          <cell r="G4870" t="str">
            <v>A</v>
          </cell>
          <cell r="H4870">
            <v>45730</v>
          </cell>
        </row>
        <row r="4871">
          <cell r="B4871" t="str">
            <v>Gəncəliyeva Ruhəngiz Telman</v>
          </cell>
          <cell r="C4871" t="str">
            <v>Qubadlı filialı</v>
          </cell>
          <cell r="D4871" t="str">
            <v>#</v>
          </cell>
          <cell r="E4871" t="str">
            <v>İnzibati bölmə</v>
          </cell>
          <cell r="F4871" t="str">
            <v>Xadimə</v>
          </cell>
          <cell r="G4871" t="str">
            <v>A</v>
          </cell>
          <cell r="H4871">
            <v>45000</v>
          </cell>
        </row>
        <row r="4872">
          <cell r="B4872" t="str">
            <v>Mustafayev Anar Musa</v>
          </cell>
          <cell r="C4872" t="str">
            <v>Məhəmməd Hadi filialı</v>
          </cell>
          <cell r="D4872" t="str">
            <v>#</v>
          </cell>
          <cell r="E4872" t="str">
            <v>#</v>
          </cell>
          <cell r="F4872" t="str">
            <v>Müdir</v>
          </cell>
          <cell r="G4872" t="str">
            <v>A</v>
          </cell>
          <cell r="H4872">
            <v>42184</v>
          </cell>
        </row>
        <row r="4873">
          <cell r="B4873" t="str">
            <v>Əliyeva Aytac Əliyar</v>
          </cell>
          <cell r="C4873" t="str">
            <v>Məhəmməd Hadi filialı</v>
          </cell>
          <cell r="D4873" t="str">
            <v>#</v>
          </cell>
          <cell r="E4873" t="str">
            <v>Xidmət bölməsi</v>
          </cell>
          <cell r="F4873" t="str">
            <v>Kassa üzrə aparıcı mütəxəssis</v>
          </cell>
          <cell r="G4873" t="str">
            <v>SM</v>
          </cell>
          <cell r="H4873">
            <v>45177</v>
          </cell>
        </row>
        <row r="4874">
          <cell r="B4874" t="str">
            <v>Mikayılzadə Şahin Ariz</v>
          </cell>
          <cell r="C4874" t="str">
            <v>Məhəmməd Hadi filialı</v>
          </cell>
          <cell r="D4874" t="str">
            <v>#</v>
          </cell>
          <cell r="E4874" t="str">
            <v>Xidmət bölməsi</v>
          </cell>
          <cell r="F4874" t="str">
            <v>Kassa üzrə mütəxəssis (müvəqqəti)</v>
          </cell>
          <cell r="G4874" t="str">
            <v>A</v>
          </cell>
          <cell r="H4874">
            <v>45932</v>
          </cell>
        </row>
        <row r="4875">
          <cell r="B4875" t="str">
            <v>Əliyev Vüqar Məzahir</v>
          </cell>
          <cell r="C4875" t="str">
            <v>Məhəmməd Hadi filialı</v>
          </cell>
          <cell r="D4875" t="str">
            <v>#</v>
          </cell>
          <cell r="E4875" t="str">
            <v>Xidmət bölməsi</v>
          </cell>
          <cell r="F4875" t="str">
            <v>Müştərilərlə iş üzrə baş mütəxəssis</v>
          </cell>
          <cell r="G4875" t="str">
            <v>A</v>
          </cell>
          <cell r="H4875">
            <v>41774</v>
          </cell>
        </row>
        <row r="4876">
          <cell r="B4876" t="str">
            <v>Cəfərova Vüsalə İbrahim</v>
          </cell>
          <cell r="C4876" t="str">
            <v>Məhəmməd Hadi filialı</v>
          </cell>
          <cell r="D4876" t="str">
            <v>#</v>
          </cell>
          <cell r="E4876" t="str">
            <v>Xidmət bölməsi</v>
          </cell>
          <cell r="F4876" t="str">
            <v>Müştərilərlə iş üzrə baş mütəxəssis</v>
          </cell>
          <cell r="G4876" t="str">
            <v>A</v>
          </cell>
          <cell r="H4876">
            <v>42758</v>
          </cell>
        </row>
        <row r="4877">
          <cell r="B4877" t="str">
            <v>Cəfərzadə Nahid Vahid</v>
          </cell>
          <cell r="C4877" t="str">
            <v>Məhəmməd Hadi filialı</v>
          </cell>
          <cell r="D4877" t="str">
            <v>#</v>
          </cell>
          <cell r="E4877" t="str">
            <v>Xidmət bölməsi</v>
          </cell>
          <cell r="F4877" t="str">
            <v>Müştərilərlə iş üzrə baş mütəxəssis</v>
          </cell>
          <cell r="G4877" t="str">
            <v>A</v>
          </cell>
          <cell r="H4877">
            <v>43346</v>
          </cell>
        </row>
        <row r="4878">
          <cell r="B4878" t="str">
            <v>Məhərrəmli Aysel Mübariz</v>
          </cell>
          <cell r="C4878" t="str">
            <v>Məhəmməd Hadi filialı</v>
          </cell>
          <cell r="D4878" t="str">
            <v>#</v>
          </cell>
          <cell r="E4878" t="str">
            <v>Xidmət bölməsi</v>
          </cell>
          <cell r="F4878" t="str">
            <v>Müştərilərlə iş üzrə aparıcı mütəxəssis</v>
          </cell>
          <cell r="G4878" t="str">
            <v>SM</v>
          </cell>
          <cell r="H4878">
            <v>43815</v>
          </cell>
        </row>
        <row r="4879">
          <cell r="B4879" t="str">
            <v>İbişli Həbibə Əfsər</v>
          </cell>
          <cell r="C4879" t="str">
            <v>Məhəmməd Hadi filialı</v>
          </cell>
          <cell r="D4879" t="str">
            <v>#</v>
          </cell>
          <cell r="E4879" t="str">
            <v>Xidmət bölməsi</v>
          </cell>
          <cell r="F4879" t="str">
            <v>Müştərilərlə iş üzrə mütəxəssis (müvəqqəti)</v>
          </cell>
          <cell r="G4879" t="str">
            <v>A</v>
          </cell>
          <cell r="H4879">
            <v>45908</v>
          </cell>
        </row>
        <row r="4880">
          <cell r="B4880" t="str">
            <v>Şirvanov Xəyal Şəfaddin</v>
          </cell>
          <cell r="C4880" t="str">
            <v>Məhəmməd Hadi filialı</v>
          </cell>
          <cell r="D4880" t="str">
            <v>#</v>
          </cell>
          <cell r="E4880" t="str">
            <v>Xidmət bölməsi</v>
          </cell>
          <cell r="F4880" t="str">
            <v>Müştərilərlə iş üzrə baş mütəxəssis</v>
          </cell>
          <cell r="G4880" t="str">
            <v>A</v>
          </cell>
          <cell r="H4880">
            <v>44120</v>
          </cell>
        </row>
        <row r="4881">
          <cell r="B4881" t="str">
            <v>Səfərova Hürmələk Nəsimi</v>
          </cell>
          <cell r="C4881" t="str">
            <v>Məhəmməd Hadi filialı</v>
          </cell>
          <cell r="D4881" t="str">
            <v>#</v>
          </cell>
          <cell r="E4881" t="str">
            <v>Xidmət bölməsi</v>
          </cell>
          <cell r="F4881" t="str">
            <v>Müştərilərlə iş üzrə baş mütəxəssis</v>
          </cell>
          <cell r="G4881" t="str">
            <v>HX</v>
          </cell>
          <cell r="H4881">
            <v>44155</v>
          </cell>
        </row>
        <row r="4882">
          <cell r="B4882" t="str">
            <v>Bəylərli Abbaslı Səma Aydın</v>
          </cell>
          <cell r="C4882" t="str">
            <v>Məhəmməd Hadi filialı</v>
          </cell>
          <cell r="D4882" t="str">
            <v>#</v>
          </cell>
          <cell r="E4882" t="str">
            <v>Xidmət bölməsi</v>
          </cell>
          <cell r="F4882" t="str">
            <v>Müştərilərlə iş üzrə mütəxəssis</v>
          </cell>
          <cell r="G4882" t="str">
            <v>SM</v>
          </cell>
          <cell r="H4882">
            <v>44995</v>
          </cell>
        </row>
        <row r="4883">
          <cell r="B4883" t="str">
            <v>Məmmədzadə Gülnaz Elşən</v>
          </cell>
          <cell r="C4883" t="str">
            <v>Məhəmməd Hadi filialı</v>
          </cell>
          <cell r="D4883" t="str">
            <v>#</v>
          </cell>
          <cell r="E4883" t="str">
            <v>Xidmət bölməsi</v>
          </cell>
          <cell r="F4883" t="str">
            <v>Müştərilərlə iş üzrə mütəxəssis</v>
          </cell>
          <cell r="G4883" t="str">
            <v>A</v>
          </cell>
          <cell r="H4883">
            <v>45751</v>
          </cell>
        </row>
        <row r="4884">
          <cell r="B4884" t="str">
            <v>Bəşirli Aysel Qabil</v>
          </cell>
          <cell r="C4884" t="str">
            <v>Məhəmməd Hadi filialı</v>
          </cell>
          <cell r="D4884" t="str">
            <v>#</v>
          </cell>
          <cell r="E4884" t="str">
            <v>Xidmət bölməsi</v>
          </cell>
          <cell r="F4884" t="str">
            <v>Müştərilərlə iş üzrə mütəxəssis</v>
          </cell>
          <cell r="G4884" t="str">
            <v>A</v>
          </cell>
          <cell r="H4884">
            <v>45272</v>
          </cell>
        </row>
        <row r="4885">
          <cell r="B4885" t="str">
            <v>Əkbərova Səlimə Rəfail</v>
          </cell>
          <cell r="C4885" t="str">
            <v>Məhəmməd Hadi filialı</v>
          </cell>
          <cell r="D4885" t="str">
            <v>#</v>
          </cell>
          <cell r="E4885" t="str">
            <v>Xidmət bölməsi</v>
          </cell>
          <cell r="F4885" t="str">
            <v>Müştərilərlə iş üzrə mütəxəssis</v>
          </cell>
          <cell r="G4885" t="str">
            <v>A</v>
          </cell>
          <cell r="H4885">
            <v>44827</v>
          </cell>
        </row>
        <row r="4886">
          <cell r="B4886" t="str">
            <v>Məmmədova Zərifə Əhliman</v>
          </cell>
          <cell r="C4886" t="str">
            <v>Məhəmməd Hadi filialı</v>
          </cell>
          <cell r="D4886" t="str">
            <v>#</v>
          </cell>
          <cell r="E4886" t="str">
            <v>Xidmət bölməsi</v>
          </cell>
          <cell r="F4886" t="str">
            <v>Məlumat xidməti üzrə kiçik mütəxəssis</v>
          </cell>
          <cell r="G4886" t="str">
            <v>A</v>
          </cell>
          <cell r="H4886">
            <v>46125</v>
          </cell>
        </row>
        <row r="4887">
          <cell r="B4887" t="str">
            <v>Mailova Günay Süleyman</v>
          </cell>
          <cell r="C4887" t="str">
            <v>Məhəmməd Hadi filialı</v>
          </cell>
          <cell r="D4887" t="str">
            <v>#</v>
          </cell>
          <cell r="E4887" t="str">
            <v>İnzibati bölmə</v>
          </cell>
          <cell r="F4887" t="str">
            <v>Xadimə</v>
          </cell>
          <cell r="G4887" t="str">
            <v>A</v>
          </cell>
          <cell r="H4887">
            <v>41290</v>
          </cell>
        </row>
        <row r="4888">
          <cell r="B4888" t="str">
            <v>Əkbərov Samir Əkbər</v>
          </cell>
          <cell r="C4888" t="str">
            <v>Mərkəz filialı</v>
          </cell>
          <cell r="D4888" t="str">
            <v>#</v>
          </cell>
          <cell r="E4888" t="str">
            <v>#</v>
          </cell>
          <cell r="F4888" t="str">
            <v>Müdir</v>
          </cell>
          <cell r="G4888" t="str">
            <v>A</v>
          </cell>
          <cell r="H4888">
            <v>43815</v>
          </cell>
        </row>
        <row r="4889">
          <cell r="B4889" t="str">
            <v>Məhərrəmli Rüfət Adil</v>
          </cell>
          <cell r="C4889" t="str">
            <v>Mərkəz filialı</v>
          </cell>
          <cell r="D4889" t="str">
            <v>#</v>
          </cell>
          <cell r="E4889" t="str">
            <v>Xidmət bölməsi</v>
          </cell>
          <cell r="F4889" t="str">
            <v>Bölmə rəhbəri</v>
          </cell>
          <cell r="G4889" t="str">
            <v>A</v>
          </cell>
          <cell r="H4889">
            <v>42984</v>
          </cell>
        </row>
        <row r="4890">
          <cell r="B4890" t="str">
            <v>Nağızadə Elvin Fikrət</v>
          </cell>
          <cell r="C4890" t="str">
            <v>Mərkəz filialı</v>
          </cell>
          <cell r="D4890" t="str">
            <v>#</v>
          </cell>
          <cell r="E4890" t="str">
            <v>Xidmət bölməsi</v>
          </cell>
          <cell r="F4890" t="str">
            <v>İpoteka üzrə baş mütəxəssis</v>
          </cell>
          <cell r="G4890" t="str">
            <v>A</v>
          </cell>
          <cell r="H4890">
            <v>42894</v>
          </cell>
        </row>
        <row r="4891">
          <cell r="B4891" t="str">
            <v>Mədətli Fikrət İlham</v>
          </cell>
          <cell r="C4891" t="str">
            <v>Mərkəz filialı</v>
          </cell>
          <cell r="D4891" t="str">
            <v>#</v>
          </cell>
          <cell r="E4891" t="str">
            <v>Xidmət bölməsi</v>
          </cell>
          <cell r="F4891" t="str">
            <v>İpoteka üzrə baş mütəxəssis</v>
          </cell>
          <cell r="G4891" t="str">
            <v>A</v>
          </cell>
          <cell r="H4891">
            <v>44718</v>
          </cell>
        </row>
        <row r="4892">
          <cell r="B4892" t="str">
            <v>Quliyev Rüstəm Ədalət</v>
          </cell>
          <cell r="C4892" t="str">
            <v>Mərkəz filialı</v>
          </cell>
          <cell r="D4892" t="str">
            <v>#</v>
          </cell>
          <cell r="E4892" t="str">
            <v>Xidmət bölməsi</v>
          </cell>
          <cell r="F4892" t="str">
            <v>İpoteka üzrə aparıcı mütəxəssis</v>
          </cell>
          <cell r="G4892" t="str">
            <v>A</v>
          </cell>
          <cell r="H4892">
            <v>45132</v>
          </cell>
        </row>
        <row r="4893">
          <cell r="B4893" t="str">
            <v>İsmayılov Kənan Nadir</v>
          </cell>
          <cell r="C4893" t="str">
            <v>Mərkəz filialı</v>
          </cell>
          <cell r="D4893" t="str">
            <v>#</v>
          </cell>
          <cell r="E4893" t="str">
            <v>Xidmət bölməsi</v>
          </cell>
          <cell r="F4893" t="str">
            <v>Kassa üzrə mütəxəssis</v>
          </cell>
          <cell r="G4893" t="str">
            <v>A</v>
          </cell>
          <cell r="H4893">
            <v>45425</v>
          </cell>
        </row>
        <row r="4894">
          <cell r="B4894" t="str">
            <v>Abduləhədov Fərid Nəzər</v>
          </cell>
          <cell r="C4894" t="str">
            <v>Mərkəz filialı</v>
          </cell>
          <cell r="D4894" t="str">
            <v>#</v>
          </cell>
          <cell r="E4894" t="str">
            <v>Xidmət bölməsi</v>
          </cell>
          <cell r="F4894" t="str">
            <v>Kassa üzrə mütəxəssis</v>
          </cell>
          <cell r="G4894" t="str">
            <v>A</v>
          </cell>
          <cell r="H4894">
            <v>46164</v>
          </cell>
        </row>
        <row r="4895">
          <cell r="B4895" t="str">
            <v>Rəhimova Aygün Mehman</v>
          </cell>
          <cell r="C4895" t="str">
            <v>Mərkəz filialı</v>
          </cell>
          <cell r="D4895" t="str">
            <v>#</v>
          </cell>
          <cell r="E4895" t="str">
            <v>Xidmət bölməsi</v>
          </cell>
          <cell r="F4895" t="str">
            <v>Kassa üzrə baş mütəxəssis</v>
          </cell>
          <cell r="G4895" t="str">
            <v>A</v>
          </cell>
          <cell r="H4895">
            <v>40974</v>
          </cell>
        </row>
        <row r="4896">
          <cell r="B4896" t="str">
            <v>Həsənli İlqar Əlimürsəl</v>
          </cell>
          <cell r="C4896" t="str">
            <v>Mərkəz filialı</v>
          </cell>
          <cell r="D4896" t="str">
            <v>#</v>
          </cell>
          <cell r="E4896" t="str">
            <v>Xidmət bölməsi</v>
          </cell>
          <cell r="F4896" t="str">
            <v>Kassa üzrə aparıcı mütəxəssis</v>
          </cell>
          <cell r="G4896" t="str">
            <v>A</v>
          </cell>
          <cell r="H4896">
            <v>45679</v>
          </cell>
        </row>
        <row r="4897">
          <cell r="B4897" t="str">
            <v>Əsgərzadə Məhəmməd Şahin</v>
          </cell>
          <cell r="C4897" t="str">
            <v>Mərkəz filialı</v>
          </cell>
          <cell r="D4897" t="str">
            <v>#</v>
          </cell>
          <cell r="E4897" t="str">
            <v>Xidmət bölməsi</v>
          </cell>
          <cell r="F4897" t="str">
            <v>Kassa üzrə aparıcı mütəxəssis</v>
          </cell>
          <cell r="G4897" t="str">
            <v>A</v>
          </cell>
          <cell r="H4897">
            <v>44844</v>
          </cell>
        </row>
        <row r="4898">
          <cell r="B4898" t="str">
            <v>Məmmədov Həmzə Məsud</v>
          </cell>
          <cell r="C4898" t="str">
            <v>Mərkəz filialı</v>
          </cell>
          <cell r="D4898" t="str">
            <v>#</v>
          </cell>
          <cell r="E4898" t="str">
            <v>Xidmət bölməsi</v>
          </cell>
          <cell r="F4898" t="str">
            <v>Kassa üzrə mütəxəssis</v>
          </cell>
          <cell r="G4898" t="str">
            <v>A</v>
          </cell>
          <cell r="H4898">
            <v>45583</v>
          </cell>
        </row>
        <row r="4899">
          <cell r="B4899" t="str">
            <v>Hüseynzadə Rəşad Vüsal</v>
          </cell>
          <cell r="C4899" t="str">
            <v>Mərkəz filialı</v>
          </cell>
          <cell r="D4899" t="str">
            <v>#</v>
          </cell>
          <cell r="E4899" t="str">
            <v>Xidmət bölməsi</v>
          </cell>
          <cell r="F4899" t="str">
            <v>Kassa üzrə kiçik mütəxəssis</v>
          </cell>
          <cell r="G4899" t="str">
            <v>A</v>
          </cell>
          <cell r="H4899">
            <v>46128</v>
          </cell>
        </row>
        <row r="4900">
          <cell r="B4900" t="str">
            <v>İbrahimli Əli İlqar</v>
          </cell>
          <cell r="C4900" t="str">
            <v>Mərkəz filialı</v>
          </cell>
          <cell r="D4900" t="str">
            <v>#</v>
          </cell>
          <cell r="E4900" t="str">
            <v>Xidmət bölməsi</v>
          </cell>
          <cell r="F4900" t="str">
            <v>Kassa üzrə kiçik mütəxəssis</v>
          </cell>
          <cell r="G4900" t="str">
            <v>A</v>
          </cell>
          <cell r="H4900">
            <v>46206</v>
          </cell>
        </row>
        <row r="4901">
          <cell r="B4901" t="str">
            <v>Ələkbərli Günel Əlfəddin</v>
          </cell>
          <cell r="C4901" t="str">
            <v>Mərkəz filialı</v>
          </cell>
          <cell r="D4901" t="str">
            <v>#</v>
          </cell>
          <cell r="E4901" t="str">
            <v>Xidmət bölməsi</v>
          </cell>
          <cell r="F4901" t="str">
            <v>Məlumat xidməti üzrə aparıcı mütəxəssis</v>
          </cell>
          <cell r="G4901" t="str">
            <v>SM</v>
          </cell>
          <cell r="H4901">
            <v>44672</v>
          </cell>
        </row>
        <row r="4902">
          <cell r="B4902" t="str">
            <v>Mustafayeva Reyhan İlqar</v>
          </cell>
          <cell r="C4902" t="str">
            <v>Mərkəz filialı</v>
          </cell>
          <cell r="D4902" t="str">
            <v>#</v>
          </cell>
          <cell r="E4902" t="str">
            <v>Xidmət bölməsi</v>
          </cell>
          <cell r="F4902" t="str">
            <v>Məlumat xidməti üzrə kiçik mütəxəssis (müvəqqəti)</v>
          </cell>
          <cell r="G4902" t="str">
            <v>A</v>
          </cell>
          <cell r="H4902">
            <v>46204</v>
          </cell>
        </row>
        <row r="4903">
          <cell r="B4903" t="str">
            <v>Rəhimli Zərnigar Natiq</v>
          </cell>
          <cell r="C4903" t="str">
            <v>Mərkəz filialı</v>
          </cell>
          <cell r="D4903" t="str">
            <v>#</v>
          </cell>
          <cell r="E4903" t="str">
            <v>Xidmət bölməsi</v>
          </cell>
          <cell r="F4903" t="str">
            <v>Məlumat xidməti üzrə aparıcı mütəxəssis</v>
          </cell>
          <cell r="G4903" t="str">
            <v>SM</v>
          </cell>
          <cell r="H4903">
            <v>43790</v>
          </cell>
        </row>
        <row r="4904">
          <cell r="B4904" t="str">
            <v>Əliyev Murad Bakir</v>
          </cell>
          <cell r="C4904" t="str">
            <v>Mərkəz filialı</v>
          </cell>
          <cell r="D4904" t="str">
            <v>#</v>
          </cell>
          <cell r="E4904" t="str">
            <v>Xidmət bölməsi</v>
          </cell>
          <cell r="F4904" t="str">
            <v>Məlumat xidməti üzrə kiçik mütəxəssis (müvəqqəti)</v>
          </cell>
          <cell r="G4904" t="str">
            <v>A</v>
          </cell>
          <cell r="H4904">
            <v>46125</v>
          </cell>
        </row>
        <row r="4905">
          <cell r="B4905" t="str">
            <v>Nəzərova Səbinə Arif</v>
          </cell>
          <cell r="C4905" t="str">
            <v>Mərkəz filialı</v>
          </cell>
          <cell r="D4905" t="str">
            <v>#</v>
          </cell>
          <cell r="E4905" t="str">
            <v>Xidmət bölməsi</v>
          </cell>
          <cell r="F4905" t="str">
            <v>Məlumat xidməti üzrə aparıcı mütəxəssis</v>
          </cell>
          <cell r="G4905" t="str">
            <v>A</v>
          </cell>
          <cell r="H4905">
            <v>45023</v>
          </cell>
        </row>
        <row r="4906">
          <cell r="B4906" t="str">
            <v>Zeynalova Leyla Tahir</v>
          </cell>
          <cell r="C4906" t="str">
            <v>Mərkəz filialı</v>
          </cell>
          <cell r="D4906" t="str">
            <v>#</v>
          </cell>
          <cell r="E4906" t="str">
            <v>Xidmət bölməsi</v>
          </cell>
          <cell r="F4906" t="str">
            <v>Məlumat xidməti üzrə kiçik mütəxəssis</v>
          </cell>
          <cell r="G4906" t="str">
            <v>A</v>
          </cell>
          <cell r="H4906">
            <v>44881</v>
          </cell>
        </row>
        <row r="4907">
          <cell r="B4907" t="str">
            <v>Rzalı Aysel Rüstəm</v>
          </cell>
          <cell r="C4907" t="str">
            <v>Mərkəz filialı</v>
          </cell>
          <cell r="D4907" t="str">
            <v>#</v>
          </cell>
          <cell r="E4907" t="str">
            <v>Xidmət bölməsi</v>
          </cell>
          <cell r="F4907" t="str">
            <v>Məlumat xidməti üzrə mütəxəssis (müvəqqəti)</v>
          </cell>
          <cell r="G4907" t="str">
            <v>SM</v>
          </cell>
          <cell r="H4907">
            <v>45365</v>
          </cell>
        </row>
        <row r="4908">
          <cell r="B4908" t="str">
            <v>Alıyeva Nərmin Faiq</v>
          </cell>
          <cell r="C4908" t="str">
            <v>Mərkəz filialı</v>
          </cell>
          <cell r="D4908" t="str">
            <v>#</v>
          </cell>
          <cell r="E4908" t="str">
            <v>Xidmət bölməsi</v>
          </cell>
          <cell r="F4908" t="str">
            <v>Məlumat xidməti üzrə mütəxəssis</v>
          </cell>
          <cell r="G4908" t="str">
            <v>SM</v>
          </cell>
          <cell r="H4908">
            <v>45286</v>
          </cell>
        </row>
        <row r="4909">
          <cell r="B4909" t="str">
            <v>Gülbalayeva Gülzar Rüfət</v>
          </cell>
          <cell r="C4909" t="str">
            <v>Mərkəz filialı</v>
          </cell>
          <cell r="D4909" t="str">
            <v>#</v>
          </cell>
          <cell r="E4909" t="str">
            <v>Xidmət bölməsi</v>
          </cell>
          <cell r="F4909" t="str">
            <v>Məlumat xidməti üzrə mütəxəssis</v>
          </cell>
          <cell r="G4909" t="str">
            <v>A</v>
          </cell>
          <cell r="H4909">
            <v>45693</v>
          </cell>
        </row>
        <row r="4910">
          <cell r="B4910" t="str">
            <v>Caniyeva Aysel Mahir</v>
          </cell>
          <cell r="C4910" t="str">
            <v>Mərkəz filialı</v>
          </cell>
          <cell r="D4910" t="str">
            <v>#</v>
          </cell>
          <cell r="E4910" t="str">
            <v>Xidmət bölməsi</v>
          </cell>
          <cell r="F4910" t="str">
            <v>Məlumat xidməti üzrə kiçik mütəxəssis</v>
          </cell>
          <cell r="G4910" t="str">
            <v>A</v>
          </cell>
          <cell r="H4910">
            <v>46134</v>
          </cell>
        </row>
        <row r="4911">
          <cell r="B4911" t="str">
            <v>Osmanova Əsmayə Həbib</v>
          </cell>
          <cell r="C4911" t="str">
            <v>Mərkəz filialı</v>
          </cell>
          <cell r="D4911" t="str">
            <v>#</v>
          </cell>
          <cell r="E4911" t="str">
            <v>Xidmət bölməsi</v>
          </cell>
          <cell r="F4911" t="str">
            <v>Məlumat xidməti üzrə kiçik mütəxəssis</v>
          </cell>
          <cell r="G4911" t="str">
            <v>A</v>
          </cell>
          <cell r="H4911">
            <v>46140</v>
          </cell>
        </row>
        <row r="4912">
          <cell r="B4912" t="str">
            <v>Bədəlova Nəzrin Pərviz</v>
          </cell>
          <cell r="C4912" t="str">
            <v>Mərkəz filialı</v>
          </cell>
          <cell r="D4912" t="str">
            <v>#</v>
          </cell>
          <cell r="E4912" t="str">
            <v>Xidmət bölməsi</v>
          </cell>
          <cell r="F4912" t="str">
            <v>Məlumat xidməti üzrə kiçik mütəxəssis</v>
          </cell>
          <cell r="G4912" t="str">
            <v>A</v>
          </cell>
          <cell r="H4912">
            <v>46143</v>
          </cell>
        </row>
        <row r="4913">
          <cell r="B4913" t="str">
            <v>Rəhimzadə Fatimə Ceyhun</v>
          </cell>
          <cell r="C4913" t="str">
            <v>Mərkəz filialı</v>
          </cell>
          <cell r="D4913" t="str">
            <v>#</v>
          </cell>
          <cell r="E4913" t="str">
            <v>Xidmət bölməsi</v>
          </cell>
          <cell r="F4913" t="str">
            <v>Məlumat xidməti üzrə kiçik mütəxəssis</v>
          </cell>
          <cell r="G4913" t="str">
            <v>A</v>
          </cell>
          <cell r="H4913">
            <v>46178</v>
          </cell>
        </row>
        <row r="4914">
          <cell r="B4914" t="str">
            <v>Mürsəlova Aylin Vüqar</v>
          </cell>
          <cell r="C4914" t="str">
            <v>Mərkəz filialı</v>
          </cell>
          <cell r="D4914" t="str">
            <v>#</v>
          </cell>
          <cell r="E4914" t="str">
            <v>Xidmət bölməsi</v>
          </cell>
          <cell r="F4914" t="str">
            <v>Məlumat xidməti üzrə kiçik mütəxəssis</v>
          </cell>
          <cell r="G4914" t="str">
            <v>A</v>
          </cell>
          <cell r="H4914">
            <v>46238</v>
          </cell>
        </row>
        <row r="4915">
          <cell r="B4915" t="str">
            <v>Zeynalova Aytən Bəxtiyar</v>
          </cell>
          <cell r="C4915" t="str">
            <v>Mərkəz filialı</v>
          </cell>
          <cell r="D4915" t="str">
            <v>#</v>
          </cell>
          <cell r="E4915" t="str">
            <v>Xidmət bölməsi</v>
          </cell>
          <cell r="F4915" t="str">
            <v>Məlumat xidməti üzrə kiçik mütəxəssis</v>
          </cell>
          <cell r="G4915" t="str">
            <v>A</v>
          </cell>
          <cell r="H4915">
            <v>46205</v>
          </cell>
        </row>
        <row r="4916">
          <cell r="B4916" t="str">
            <v>Bayramov Rasim Amiran</v>
          </cell>
          <cell r="C4916" t="str">
            <v>Mərkəz filialı</v>
          </cell>
          <cell r="D4916" t="str">
            <v>#</v>
          </cell>
          <cell r="E4916" t="str">
            <v>Xidmət bölməsi</v>
          </cell>
          <cell r="F4916" t="str">
            <v>Müştərilərlə iş üzrə baş mütəxəssis</v>
          </cell>
          <cell r="G4916" t="str">
            <v>A</v>
          </cell>
          <cell r="H4916">
            <v>43199</v>
          </cell>
        </row>
        <row r="4917">
          <cell r="B4917" t="str">
            <v>Şərifzadə Ülviyyə Rövşən</v>
          </cell>
          <cell r="C4917" t="str">
            <v>Mərkəz filialı</v>
          </cell>
          <cell r="D4917" t="str">
            <v>#</v>
          </cell>
          <cell r="E4917" t="str">
            <v>Xidmət bölməsi</v>
          </cell>
          <cell r="F4917" t="str">
            <v>Müştərilərlə iş üzrə baş mütəxəssis</v>
          </cell>
          <cell r="G4917" t="str">
            <v>A</v>
          </cell>
          <cell r="H4917">
            <v>42702</v>
          </cell>
        </row>
        <row r="4918">
          <cell r="B4918" t="str">
            <v>Rüstəmzadə Dünya Polad</v>
          </cell>
          <cell r="C4918" t="str">
            <v>Mərkəz filialı</v>
          </cell>
          <cell r="D4918" t="str">
            <v>#</v>
          </cell>
          <cell r="E4918" t="str">
            <v>Xidmət bölməsi</v>
          </cell>
          <cell r="F4918" t="str">
            <v>Müştərilərlə iş üzrə baş mütəxəssis</v>
          </cell>
          <cell r="G4918" t="str">
            <v>A</v>
          </cell>
          <cell r="H4918">
            <v>44571</v>
          </cell>
        </row>
        <row r="4919">
          <cell r="B4919" t="str">
            <v>Məmmədzadə Nəzrin Vüqar</v>
          </cell>
          <cell r="C4919" t="str">
            <v>Mərkəz filialı</v>
          </cell>
          <cell r="D4919" t="str">
            <v>#</v>
          </cell>
          <cell r="E4919" t="str">
            <v>Xidmət bölməsi</v>
          </cell>
          <cell r="F4919" t="str">
            <v>Müştərilərlə iş üzrə aparıcı mütəxəssis</v>
          </cell>
          <cell r="G4919" t="str">
            <v>SM</v>
          </cell>
          <cell r="H4919">
            <v>44587</v>
          </cell>
        </row>
        <row r="4920">
          <cell r="B4920" t="str">
            <v>Süleymanov  Fərid Niyazi</v>
          </cell>
          <cell r="C4920" t="str">
            <v>Mərkəz filialı</v>
          </cell>
          <cell r="D4920" t="str">
            <v>#</v>
          </cell>
          <cell r="E4920" t="str">
            <v>Xidmət bölməsi</v>
          </cell>
          <cell r="F4920" t="str">
            <v>Müştərilərlə iş üzrə kiçik mütəxəssis (müvəqqəti)</v>
          </cell>
          <cell r="G4920" t="str">
            <v>A</v>
          </cell>
          <cell r="H4920">
            <v>46146</v>
          </cell>
        </row>
        <row r="4921">
          <cell r="B4921" t="str">
            <v>Səmədli Könül Faiq</v>
          </cell>
          <cell r="C4921" t="str">
            <v>Mərkəz filialı</v>
          </cell>
          <cell r="D4921" t="str">
            <v>#</v>
          </cell>
          <cell r="E4921" t="str">
            <v>Xidmət bölməsi</v>
          </cell>
          <cell r="F4921" t="str">
            <v>Müştərilərlə iş üzrə aparıcı mütəxəssis</v>
          </cell>
          <cell r="G4921" t="str">
            <v>SM</v>
          </cell>
          <cell r="H4921">
            <v>44237</v>
          </cell>
        </row>
        <row r="4922">
          <cell r="B4922" t="str">
            <v>Paşazadə Gültac Yaqub</v>
          </cell>
          <cell r="C4922" t="str">
            <v>Mərkəz filialı</v>
          </cell>
          <cell r="D4922" t="str">
            <v>#</v>
          </cell>
          <cell r="E4922" t="str">
            <v>Xidmət bölməsi</v>
          </cell>
          <cell r="F4922" t="str">
            <v>Müştərilərlə iş üzrə kiçik mütəxəssis (müvəqqəti)</v>
          </cell>
          <cell r="G4922" t="str">
            <v>A</v>
          </cell>
          <cell r="H4922">
            <v>45700</v>
          </cell>
        </row>
        <row r="4923">
          <cell r="B4923" t="str">
            <v>Ələkbərova Gülnar Rövşən</v>
          </cell>
          <cell r="C4923" t="str">
            <v>Mərkəz filialı</v>
          </cell>
          <cell r="D4923" t="str">
            <v>#</v>
          </cell>
          <cell r="E4923" t="str">
            <v>Xidmət bölməsi</v>
          </cell>
          <cell r="F4923" t="str">
            <v>Müştərilərlə iş üzrə aparıcı mütəxəssis</v>
          </cell>
          <cell r="G4923" t="str">
            <v>SM</v>
          </cell>
          <cell r="H4923">
            <v>44026</v>
          </cell>
        </row>
        <row r="4924">
          <cell r="B4924" t="str">
            <v>İsmayılova Natəvan Zakir</v>
          </cell>
          <cell r="C4924" t="str">
            <v>Mərkəz filialı</v>
          </cell>
          <cell r="D4924" t="str">
            <v>#</v>
          </cell>
          <cell r="E4924" t="str">
            <v>Xidmət bölməsi</v>
          </cell>
          <cell r="F4924" t="str">
            <v>Müştərilərlə iş üzrə mütəxəssis (müvəqqəti)</v>
          </cell>
          <cell r="G4924" t="str">
            <v>A</v>
          </cell>
          <cell r="H4924">
            <v>45621</v>
          </cell>
        </row>
        <row r="4925">
          <cell r="B4925" t="str">
            <v>Kazımova Elmira Cahangir</v>
          </cell>
          <cell r="C4925" t="str">
            <v>Mərkəz filialı</v>
          </cell>
          <cell r="D4925" t="str">
            <v>#</v>
          </cell>
          <cell r="E4925" t="str">
            <v>Xidmət bölməsi</v>
          </cell>
          <cell r="F4925" t="str">
            <v>Müştərilərlə iş üzrə mütəxəssis</v>
          </cell>
          <cell r="G4925" t="str">
            <v>A</v>
          </cell>
          <cell r="H4925">
            <v>45058</v>
          </cell>
        </row>
        <row r="4926">
          <cell r="B4926" t="str">
            <v>Ziyəddinova Müşgünaz Nəriman</v>
          </cell>
          <cell r="C4926" t="str">
            <v>Mərkəz filialı</v>
          </cell>
          <cell r="D4926" t="str">
            <v>#</v>
          </cell>
          <cell r="E4926" t="str">
            <v>Xidmət bölməsi</v>
          </cell>
          <cell r="F4926" t="str">
            <v>Müştərilərlə iş üzrə mütəxəssis</v>
          </cell>
          <cell r="G4926" t="str">
            <v>A</v>
          </cell>
          <cell r="H4926">
            <v>44748</v>
          </cell>
        </row>
        <row r="4927">
          <cell r="B4927" t="str">
            <v>Təhməzova Nübar İxtiyar</v>
          </cell>
          <cell r="C4927" t="str">
            <v>Mərkəz filialı</v>
          </cell>
          <cell r="D4927" t="str">
            <v>#</v>
          </cell>
          <cell r="E4927" t="str">
            <v>Xidmət bölməsi</v>
          </cell>
          <cell r="F4927" t="str">
            <v>Müştərilərlə iş üzrə mütəxəssis</v>
          </cell>
          <cell r="G4927" t="str">
            <v>A</v>
          </cell>
          <cell r="H4927">
            <v>44942</v>
          </cell>
        </row>
        <row r="4928">
          <cell r="B4928" t="str">
            <v>Ağayev Fuad Səxavət</v>
          </cell>
          <cell r="C4928" t="str">
            <v>Mərkəz filialı</v>
          </cell>
          <cell r="D4928" t="str">
            <v>#</v>
          </cell>
          <cell r="E4928" t="str">
            <v>Xidmət bölməsi</v>
          </cell>
          <cell r="F4928" t="str">
            <v>Müştərilərlə iş üzrə mütəxəssis</v>
          </cell>
          <cell r="G4928" t="str">
            <v>A</v>
          </cell>
          <cell r="H4928">
            <v>46279</v>
          </cell>
        </row>
        <row r="4929">
          <cell r="B4929" t="str">
            <v>Babayeva Şəbnəm Vidadi</v>
          </cell>
          <cell r="C4929" t="str">
            <v>Mərkəz filialı</v>
          </cell>
          <cell r="D4929" t="str">
            <v>#</v>
          </cell>
          <cell r="E4929" t="str">
            <v>Xidmət bölməsi</v>
          </cell>
          <cell r="F4929" t="str">
            <v>Müştərilərlə iş üzrə aparıcı mütəxəssis</v>
          </cell>
          <cell r="G4929" t="str">
            <v>A</v>
          </cell>
          <cell r="H4929">
            <v>44995</v>
          </cell>
        </row>
        <row r="4930">
          <cell r="B4930" t="str">
            <v>Gözəlova Elnarə Marif</v>
          </cell>
          <cell r="C4930" t="str">
            <v>Mərkəz filialı</v>
          </cell>
          <cell r="D4930" t="str">
            <v>#</v>
          </cell>
          <cell r="E4930" t="str">
            <v>Xidmət bölməsi</v>
          </cell>
          <cell r="F4930" t="str">
            <v>Müştərilərlə iş üzrə aparıcı mütəxəssis</v>
          </cell>
          <cell r="G4930" t="str">
            <v>SM</v>
          </cell>
          <cell r="H4930">
            <v>44207</v>
          </cell>
        </row>
        <row r="4931">
          <cell r="B4931" t="str">
            <v>Məmmədova Fatimə Əliağa</v>
          </cell>
          <cell r="C4931" t="str">
            <v>Mərkəz filialı</v>
          </cell>
          <cell r="D4931" t="str">
            <v>#</v>
          </cell>
          <cell r="E4931" t="str">
            <v>Xidmət bölməsi</v>
          </cell>
          <cell r="F4931" t="str">
            <v>Müştərilərlə iş üzrə mütəxəssis (müvəqqəti)</v>
          </cell>
          <cell r="G4931" t="str">
            <v>A</v>
          </cell>
          <cell r="H4931">
            <v>45884</v>
          </cell>
        </row>
        <row r="4932">
          <cell r="B4932" t="str">
            <v>Abdullayeva Aysel İsaxan</v>
          </cell>
          <cell r="C4932" t="str">
            <v>Mərkəz filialı</v>
          </cell>
          <cell r="D4932" t="str">
            <v>#</v>
          </cell>
          <cell r="E4932" t="str">
            <v>Xidmət bölməsi</v>
          </cell>
          <cell r="F4932" t="str">
            <v>Müştərilərlə iş üzrə mütəxəssis</v>
          </cell>
          <cell r="G4932" t="str">
            <v>SM</v>
          </cell>
          <cell r="H4932">
            <v>45191</v>
          </cell>
        </row>
        <row r="4933">
          <cell r="B4933" t="str">
            <v>Əliyeva Aynur Rüfət</v>
          </cell>
          <cell r="C4933" t="str">
            <v>Mərkəz filialı</v>
          </cell>
          <cell r="D4933" t="str">
            <v>#</v>
          </cell>
          <cell r="E4933" t="str">
            <v>Xidmət bölməsi</v>
          </cell>
          <cell r="F4933" t="str">
            <v>Müştərilərlə iş üzrə aparıcı mütəxəssis</v>
          </cell>
          <cell r="G4933" t="str">
            <v>A</v>
          </cell>
          <cell r="H4933">
            <v>45210</v>
          </cell>
        </row>
        <row r="4934">
          <cell r="B4934" t="str">
            <v>Səmədzadə Mustafa Eldar</v>
          </cell>
          <cell r="C4934" t="str">
            <v>Mərkəz filialı</v>
          </cell>
          <cell r="D4934" t="str">
            <v>#</v>
          </cell>
          <cell r="E4934" t="str">
            <v>Xidmət bölməsi</v>
          </cell>
          <cell r="F4934" t="str">
            <v>Müştərilərlə iş üzrə mütəxəssis</v>
          </cell>
          <cell r="G4934" t="str">
            <v>A</v>
          </cell>
          <cell r="H4934">
            <v>45622</v>
          </cell>
        </row>
        <row r="4935">
          <cell r="B4935" t="str">
            <v>Musayeva Günel Şakir</v>
          </cell>
          <cell r="C4935" t="str">
            <v>Mərkəz filialı</v>
          </cell>
          <cell r="D4935" t="str">
            <v>#</v>
          </cell>
          <cell r="E4935" t="str">
            <v>Xidmət bölməsi</v>
          </cell>
          <cell r="F4935" t="str">
            <v>Müştərilərlə iş üzrə kiçik mütəxəssis</v>
          </cell>
          <cell r="G4935" t="str">
            <v>A</v>
          </cell>
          <cell r="H4935">
            <v>46057</v>
          </cell>
        </row>
        <row r="4936">
          <cell r="B4936" t="str">
            <v>İbrəhimova Aynur Elçin</v>
          </cell>
          <cell r="C4936" t="str">
            <v>Mərkəz filialı</v>
          </cell>
          <cell r="D4936" t="str">
            <v>#</v>
          </cell>
          <cell r="E4936" t="str">
            <v>Xidmət bölməsi</v>
          </cell>
          <cell r="F4936" t="str">
            <v>Müştərilərlə iş üzrə kiçik mütəxəssis</v>
          </cell>
          <cell r="G4936" t="str">
            <v>A</v>
          </cell>
          <cell r="H4936">
            <v>46113</v>
          </cell>
        </row>
        <row r="4937">
          <cell r="B4937" t="str">
            <v>İbadova Günel Zaur</v>
          </cell>
          <cell r="C4937" t="str">
            <v>Mərkəz filialı</v>
          </cell>
          <cell r="D4937" t="str">
            <v>#</v>
          </cell>
          <cell r="E4937" t="str">
            <v>Xidmət bölməsi</v>
          </cell>
          <cell r="F4937" t="str">
            <v>Müştərilərlə iş üzrə kiçik mütəxəssis</v>
          </cell>
          <cell r="G4937" t="str">
            <v>A</v>
          </cell>
          <cell r="H4937">
            <v>46135</v>
          </cell>
        </row>
        <row r="4938">
          <cell r="B4938" t="str">
            <v>Quluzadə Elmar Faiq</v>
          </cell>
          <cell r="C4938" t="str">
            <v>Mərkəz filialı</v>
          </cell>
          <cell r="D4938" t="str">
            <v>#</v>
          </cell>
          <cell r="E4938" t="str">
            <v>Xidmət bölməsi</v>
          </cell>
          <cell r="F4938" t="str">
            <v>Müştərilərlə iş üzrə kiçik mütəxəssis</v>
          </cell>
          <cell r="G4938" t="str">
            <v>A</v>
          </cell>
          <cell r="H4938">
            <v>46195</v>
          </cell>
        </row>
        <row r="4939">
          <cell r="B4939" t="str">
            <v>Dadaşova Fəridə Tələt</v>
          </cell>
          <cell r="C4939" t="str">
            <v>Mərkəz filialı</v>
          </cell>
          <cell r="D4939" t="str">
            <v>#</v>
          </cell>
          <cell r="E4939" t="str">
            <v>Xidmət bölməsi</v>
          </cell>
          <cell r="F4939" t="str">
            <v>Baş əməliyyatçı-kassir</v>
          </cell>
          <cell r="G4939" t="str">
            <v>A</v>
          </cell>
          <cell r="H4939">
            <v>38105</v>
          </cell>
        </row>
        <row r="4940">
          <cell r="B4940" t="str">
            <v>Seyidəhmədova Yetər Rəhman</v>
          </cell>
          <cell r="C4940" t="str">
            <v>Mərkəz filialı</v>
          </cell>
          <cell r="D4940" t="str">
            <v>#</v>
          </cell>
          <cell r="E4940" t="str">
            <v>Xidmət bölməsi</v>
          </cell>
          <cell r="F4940" t="str">
            <v>Əməliyyatçı-kassir</v>
          </cell>
          <cell r="G4940" t="str">
            <v>A</v>
          </cell>
          <cell r="H4940">
            <v>45987</v>
          </cell>
        </row>
        <row r="4941">
          <cell r="B4941" t="str">
            <v>Osmanova Nərmin İlqar</v>
          </cell>
          <cell r="C4941" t="str">
            <v>Mərkəz filialı</v>
          </cell>
          <cell r="D4941" t="str">
            <v>#</v>
          </cell>
          <cell r="E4941" t="str">
            <v>Xidmət bölməsi</v>
          </cell>
          <cell r="F4941" t="str">
            <v>Əməliyyatçı-kassir</v>
          </cell>
          <cell r="G4941" t="str">
            <v>A</v>
          </cell>
          <cell r="H4941">
            <v>43864</v>
          </cell>
        </row>
        <row r="4942">
          <cell r="B4942" t="str">
            <v>Ələsgərov Elçin Elşən</v>
          </cell>
          <cell r="C4942" t="str">
            <v>Mərkəz filialı</v>
          </cell>
          <cell r="D4942" t="str">
            <v>#</v>
          </cell>
          <cell r="E4942" t="str">
            <v>Xidmət bölməsi</v>
          </cell>
          <cell r="F4942" t="str">
            <v>Əməliyyatçı-kassir</v>
          </cell>
          <cell r="G4942" t="str">
            <v>A</v>
          </cell>
          <cell r="H4942">
            <v>46266</v>
          </cell>
        </row>
        <row r="4943">
          <cell r="B4943" t="str">
            <v>Mustafayeva Lətifə Eldəniz</v>
          </cell>
          <cell r="C4943" t="str">
            <v>Mərkəz filialı</v>
          </cell>
          <cell r="D4943" t="str">
            <v>#</v>
          </cell>
          <cell r="E4943" t="str">
            <v>Xidmət bölməsi</v>
          </cell>
          <cell r="F4943" t="str">
            <v>Kiçik əməliyyatçı-kassir</v>
          </cell>
          <cell r="G4943" t="str">
            <v>A</v>
          </cell>
          <cell r="H4943">
            <v>46072</v>
          </cell>
        </row>
        <row r="4944">
          <cell r="B4944" t="str">
            <v>İsazadə Aydan Namiq</v>
          </cell>
          <cell r="C4944" t="str">
            <v>Mərkəz filialı</v>
          </cell>
          <cell r="D4944" t="str">
            <v>#</v>
          </cell>
          <cell r="E4944" t="str">
            <v>Xidmət bölməsi</v>
          </cell>
          <cell r="F4944" t="str">
            <v>Kiçik əməliyyatçı-kassir</v>
          </cell>
          <cell r="G4944" t="str">
            <v>A</v>
          </cell>
          <cell r="H4944">
            <v>46162</v>
          </cell>
        </row>
        <row r="4945">
          <cell r="B4945" t="str">
            <v>İbrahimova Ləman Elman</v>
          </cell>
          <cell r="C4945" t="str">
            <v>Mərkəz filialı</v>
          </cell>
          <cell r="D4945" t="str">
            <v>#</v>
          </cell>
          <cell r="E4945" t="str">
            <v>Xidmət bölməsi</v>
          </cell>
          <cell r="F4945" t="str">
            <v>Kiçik əməliyyatçı-kassir</v>
          </cell>
          <cell r="G4945" t="str">
            <v>A</v>
          </cell>
          <cell r="H4945">
            <v>46164</v>
          </cell>
        </row>
        <row r="4946">
          <cell r="B4946" t="str">
            <v>Alməmmədli Arzu Famil</v>
          </cell>
          <cell r="C4946" t="str">
            <v>Mərkəz filialı</v>
          </cell>
          <cell r="D4946" t="str">
            <v>#</v>
          </cell>
          <cell r="E4946" t="str">
            <v>Xidmət bölməsi</v>
          </cell>
          <cell r="F4946" t="str">
            <v>Kiçik əməliyyatçı-kassir</v>
          </cell>
          <cell r="G4946" t="str">
            <v>A</v>
          </cell>
          <cell r="H4946">
            <v>46205</v>
          </cell>
        </row>
        <row r="4947">
          <cell r="B4947" t="str">
            <v>Nəzərova Aysel Ehtibar</v>
          </cell>
          <cell r="C4947" t="str">
            <v>Mərkəz filialı</v>
          </cell>
          <cell r="D4947" t="str">
            <v>#</v>
          </cell>
          <cell r="E4947" t="str">
            <v>Xidmət bölməsi</v>
          </cell>
          <cell r="F4947" t="str">
            <v>Kiçik əməliyyatçı-kassir</v>
          </cell>
          <cell r="G4947" t="str">
            <v>A</v>
          </cell>
          <cell r="H4947">
            <v>46206</v>
          </cell>
        </row>
        <row r="4948">
          <cell r="B4948" t="str">
            <v>Qasımova Elmina Vaqif</v>
          </cell>
          <cell r="C4948" t="str">
            <v>Mərkəz filialı</v>
          </cell>
          <cell r="D4948" t="str">
            <v>#</v>
          </cell>
          <cell r="E4948" t="str">
            <v>Xidmət bölməsi</v>
          </cell>
          <cell r="F4948" t="str">
            <v>Kiçik əməliyyatçı-kassir</v>
          </cell>
          <cell r="G4948" t="str">
            <v>A</v>
          </cell>
          <cell r="H4948">
            <v>46210</v>
          </cell>
        </row>
        <row r="4949">
          <cell r="B4949" t="str">
            <v>Sarvanova Sevil Akif</v>
          </cell>
          <cell r="C4949" t="str">
            <v>Mərkəz filialı</v>
          </cell>
          <cell r="D4949" t="str">
            <v>#</v>
          </cell>
          <cell r="E4949" t="str">
            <v>Xidmət bölməsi</v>
          </cell>
          <cell r="F4949" t="str">
            <v>Kiçik əməliyyatçı-kassir</v>
          </cell>
          <cell r="G4949" t="str">
            <v>A</v>
          </cell>
          <cell r="H4949">
            <v>46254</v>
          </cell>
        </row>
        <row r="4950">
          <cell r="B4950" t="str">
            <v>Heybətov Ralid Hafiz</v>
          </cell>
          <cell r="C4950" t="str">
            <v>Mərkəz filialı</v>
          </cell>
          <cell r="D4950" t="str">
            <v>#</v>
          </cell>
          <cell r="E4950" t="str">
            <v>Xidmət bölməsi</v>
          </cell>
          <cell r="F4950" t="str">
            <v>Kiçik əməliyyatçı-kassir</v>
          </cell>
          <cell r="G4950" t="str">
            <v>A</v>
          </cell>
          <cell r="H4950">
            <v>46259</v>
          </cell>
        </row>
        <row r="4951">
          <cell r="B4951" t="str">
            <v>Süleymanova Ruhiyyə Eldar</v>
          </cell>
          <cell r="C4951" t="str">
            <v>Mərkəz filialı</v>
          </cell>
          <cell r="D4951" t="str">
            <v>#</v>
          </cell>
          <cell r="E4951" t="str">
            <v>İnzibati bölmə</v>
          </cell>
          <cell r="F4951" t="str">
            <v>Xadimə</v>
          </cell>
          <cell r="G4951" t="str">
            <v>A</v>
          </cell>
          <cell r="H4951">
            <v>43507</v>
          </cell>
        </row>
        <row r="4952">
          <cell r="B4952" t="str">
            <v>Qüdrətova İradə Allahverdi</v>
          </cell>
          <cell r="C4952" t="str">
            <v>Mərkəz filialı</v>
          </cell>
          <cell r="D4952" t="str">
            <v>#</v>
          </cell>
          <cell r="E4952" t="str">
            <v>İnzibati bölmə</v>
          </cell>
          <cell r="F4952" t="str">
            <v>Xadimə</v>
          </cell>
          <cell r="G4952" t="str">
            <v>A</v>
          </cell>
          <cell r="H4952">
            <v>43815</v>
          </cell>
        </row>
        <row r="4953">
          <cell r="B4953" t="str">
            <v>Əhmədova Təranə Kitabir</v>
          </cell>
          <cell r="C4953" t="str">
            <v>Mərkəz filialı</v>
          </cell>
          <cell r="D4953" t="str">
            <v>#</v>
          </cell>
          <cell r="E4953" t="str">
            <v>İnzibati bölmə</v>
          </cell>
          <cell r="F4953" t="str">
            <v>Xadimə</v>
          </cell>
          <cell r="G4953" t="str">
            <v>A</v>
          </cell>
          <cell r="H4953">
            <v>45338</v>
          </cell>
        </row>
        <row r="4954">
          <cell r="B4954" t="str">
            <v>Təhməzova Gülputa Sultan</v>
          </cell>
          <cell r="C4954" t="str">
            <v>Mərkəz filialı</v>
          </cell>
          <cell r="D4954" t="str">
            <v>#</v>
          </cell>
          <cell r="E4954" t="str">
            <v>İnzibati bölmə</v>
          </cell>
          <cell r="F4954" t="str">
            <v>Xadimə</v>
          </cell>
          <cell r="G4954" t="str">
            <v>A</v>
          </cell>
          <cell r="H4954">
            <v>43151</v>
          </cell>
        </row>
        <row r="4955">
          <cell r="B4955" t="str">
            <v>Namazov Fəxri İlham</v>
          </cell>
          <cell r="C4955" t="str">
            <v>Mərkəz filialı</v>
          </cell>
          <cell r="D4955" t="str">
            <v>#</v>
          </cell>
          <cell r="E4955" t="str">
            <v>VİP bölməsi</v>
          </cell>
          <cell r="F4955" t="str">
            <v>Bölmə rəhbəri</v>
          </cell>
          <cell r="G4955" t="str">
            <v>A</v>
          </cell>
          <cell r="H4955">
            <v>44111</v>
          </cell>
        </row>
        <row r="4956">
          <cell r="B4956" t="str">
            <v>Orucova Ayan Elxan</v>
          </cell>
          <cell r="C4956" t="str">
            <v>Mərkəz filialı</v>
          </cell>
          <cell r="D4956" t="str">
            <v>#</v>
          </cell>
          <cell r="E4956" t="str">
            <v>VİP bölməsi</v>
          </cell>
          <cell r="F4956" t="str">
            <v>Baş mütəxəssis</v>
          </cell>
          <cell r="G4956" t="str">
            <v>A</v>
          </cell>
          <cell r="H4956">
            <v>44624</v>
          </cell>
        </row>
        <row r="4957">
          <cell r="B4957" t="str">
            <v>Osmanlı Ləman Kamran</v>
          </cell>
          <cell r="C4957" t="str">
            <v>Mərkəz filialı</v>
          </cell>
          <cell r="D4957" t="str">
            <v>#</v>
          </cell>
          <cell r="E4957" t="str">
            <v>VİP bölməsi</v>
          </cell>
          <cell r="F4957" t="str">
            <v>Aparıcı mütəxəssis</v>
          </cell>
          <cell r="G4957" t="str">
            <v>A</v>
          </cell>
          <cell r="H4957">
            <v>44951</v>
          </cell>
        </row>
        <row r="4958">
          <cell r="B4958" t="str">
            <v>Səfərov Emin Faiq</v>
          </cell>
          <cell r="C4958" t="str">
            <v>Mərkəz filialı</v>
          </cell>
          <cell r="D4958" t="str">
            <v>#</v>
          </cell>
          <cell r="E4958" t="str">
            <v>VİP bölməsi</v>
          </cell>
          <cell r="F4958" t="str">
            <v>Aparıcı mütəxəssis</v>
          </cell>
          <cell r="G4958" t="str">
            <v>A</v>
          </cell>
          <cell r="H4958">
            <v>44995</v>
          </cell>
        </row>
        <row r="4959">
          <cell r="B4959" t="str">
            <v>Qurbanova Leylaxanım Tərlan</v>
          </cell>
          <cell r="C4959" t="str">
            <v>Mərkəz filialı</v>
          </cell>
          <cell r="D4959" t="str">
            <v>#</v>
          </cell>
          <cell r="E4959" t="str">
            <v>VİP bölməsi</v>
          </cell>
          <cell r="F4959" t="str">
            <v>Mütəxəssis</v>
          </cell>
          <cell r="G4959" t="str">
            <v>A</v>
          </cell>
          <cell r="H4959">
            <v>44777</v>
          </cell>
        </row>
        <row r="4960">
          <cell r="B4960" t="str">
            <v>Datdayeva Lalə Nazim</v>
          </cell>
          <cell r="C4960" t="str">
            <v>Mərkəz filialı</v>
          </cell>
          <cell r="D4960" t="str">
            <v>#</v>
          </cell>
          <cell r="E4960" t="str">
            <v>VİP bölməsi</v>
          </cell>
          <cell r="F4960" t="str">
            <v>Mütəxəssis</v>
          </cell>
          <cell r="G4960" t="str">
            <v>A</v>
          </cell>
          <cell r="H4960">
            <v>44630</v>
          </cell>
        </row>
        <row r="4961">
          <cell r="B4961" t="str">
            <v>Sultanlı Brilyant Məmmədqulu</v>
          </cell>
          <cell r="C4961" t="str">
            <v>Mərkəz filialı</v>
          </cell>
          <cell r="D4961" t="str">
            <v>#</v>
          </cell>
          <cell r="E4961" t="str">
            <v>VİP bölməsi</v>
          </cell>
          <cell r="F4961" t="str">
            <v>Mütəxəssis</v>
          </cell>
          <cell r="G4961" t="str">
            <v>A</v>
          </cell>
          <cell r="H4961">
            <v>45446</v>
          </cell>
        </row>
        <row r="4962">
          <cell r="B4962" t="str">
            <v>Abdullayeva Elnarə Salam</v>
          </cell>
          <cell r="C4962" t="str">
            <v>Port Baku filialı</v>
          </cell>
          <cell r="D4962" t="str">
            <v>#</v>
          </cell>
          <cell r="E4962" t="str">
            <v>#</v>
          </cell>
          <cell r="F4962" t="str">
            <v>Müdir</v>
          </cell>
          <cell r="G4962" t="str">
            <v>A</v>
          </cell>
          <cell r="H4962">
            <v>42885</v>
          </cell>
        </row>
        <row r="4963">
          <cell r="B4963" t="str">
            <v>İsmayılova Səbinə Oktay</v>
          </cell>
          <cell r="C4963" t="str">
            <v>Port Baku filialı</v>
          </cell>
          <cell r="D4963" t="str">
            <v>#</v>
          </cell>
          <cell r="E4963" t="str">
            <v>VİP bölməsi</v>
          </cell>
          <cell r="F4963" t="str">
            <v>Baş mütəxəssis</v>
          </cell>
          <cell r="G4963" t="str">
            <v>A</v>
          </cell>
          <cell r="H4963">
            <v>43766</v>
          </cell>
        </row>
        <row r="4964">
          <cell r="B4964" t="str">
            <v>Nuriyev Kamran Abbasəli</v>
          </cell>
          <cell r="C4964" t="str">
            <v>Port Baku filialı</v>
          </cell>
          <cell r="D4964" t="str">
            <v>#</v>
          </cell>
          <cell r="E4964" t="str">
            <v>VİP bölməsi</v>
          </cell>
          <cell r="F4964" t="str">
            <v>Baş mütəxəssis</v>
          </cell>
          <cell r="G4964" t="str">
            <v>A</v>
          </cell>
          <cell r="H4964">
            <v>44245</v>
          </cell>
        </row>
        <row r="4965">
          <cell r="B4965" t="str">
            <v>Rüstəmli Tərlanə İbrahim</v>
          </cell>
          <cell r="C4965" t="str">
            <v>Port Baku filialı</v>
          </cell>
          <cell r="D4965" t="str">
            <v>#</v>
          </cell>
          <cell r="E4965" t="str">
            <v>VİP bölməsi</v>
          </cell>
          <cell r="F4965" t="str">
            <v>Baş mütəxəssis</v>
          </cell>
          <cell r="G4965" t="str">
            <v>A</v>
          </cell>
          <cell r="H4965">
            <v>44006</v>
          </cell>
        </row>
        <row r="4966">
          <cell r="B4966" t="str">
            <v>Məmmədova Fərəh Adil</v>
          </cell>
          <cell r="C4966" t="str">
            <v>Port Baku filialı</v>
          </cell>
          <cell r="D4966" t="str">
            <v>#</v>
          </cell>
          <cell r="E4966" t="str">
            <v>VİP bölməsi</v>
          </cell>
          <cell r="F4966" t="str">
            <v>Baş mütəxəssis</v>
          </cell>
          <cell r="G4966" t="str">
            <v>SM</v>
          </cell>
          <cell r="H4966">
            <v>44414</v>
          </cell>
        </row>
        <row r="4967">
          <cell r="B4967" t="str">
            <v>Hüseynov Təvəkkül Ceyhun</v>
          </cell>
          <cell r="C4967" t="str">
            <v>Port Baku filialı</v>
          </cell>
          <cell r="D4967" t="str">
            <v>#</v>
          </cell>
          <cell r="E4967" t="str">
            <v>VİP bölməsi</v>
          </cell>
          <cell r="F4967" t="str">
            <v>Baş mütəxəssis(müvəqqəti)</v>
          </cell>
          <cell r="G4967" t="str">
            <v>A</v>
          </cell>
          <cell r="H4967">
            <v>44546</v>
          </cell>
        </row>
        <row r="4968">
          <cell r="B4968" t="str">
            <v>Qarayeva Nuranə Nurqələm</v>
          </cell>
          <cell r="C4968" t="str">
            <v>Port Baku filialı</v>
          </cell>
          <cell r="D4968" t="str">
            <v>#</v>
          </cell>
          <cell r="E4968" t="str">
            <v>Xidmət bölməsi</v>
          </cell>
          <cell r="F4968" t="str">
            <v>Bölmə rəhbəri</v>
          </cell>
          <cell r="G4968" t="str">
            <v>A</v>
          </cell>
          <cell r="H4968">
            <v>38628</v>
          </cell>
        </row>
        <row r="4969">
          <cell r="B4969" t="str">
            <v>Sadıqov Rəsul Şamil</v>
          </cell>
          <cell r="C4969" t="str">
            <v>Port Baku filialı</v>
          </cell>
          <cell r="D4969" t="str">
            <v>#</v>
          </cell>
          <cell r="E4969" t="str">
            <v>Xidmət bölməsi</v>
          </cell>
          <cell r="F4969" t="str">
            <v>Kassa üzrə baş mütəxəssis</v>
          </cell>
          <cell r="G4969" t="str">
            <v>A</v>
          </cell>
          <cell r="H4969">
            <v>44816</v>
          </cell>
        </row>
        <row r="4970">
          <cell r="B4970" t="str">
            <v>İbrahimzadə Elvin Elçin</v>
          </cell>
          <cell r="C4970" t="str">
            <v>Port Baku filialı</v>
          </cell>
          <cell r="D4970" t="str">
            <v>#</v>
          </cell>
          <cell r="E4970" t="str">
            <v>Xidmət bölməsi</v>
          </cell>
          <cell r="F4970" t="str">
            <v>Kassa üzrə baş mütəxəssis</v>
          </cell>
          <cell r="G4970" t="str">
            <v>A</v>
          </cell>
          <cell r="H4970">
            <v>43630</v>
          </cell>
        </row>
        <row r="4971">
          <cell r="B4971" t="str">
            <v>Baxşiyev Zahir İqbal</v>
          </cell>
          <cell r="C4971" t="str">
            <v>Port Baku filialı</v>
          </cell>
          <cell r="D4971" t="str">
            <v>#</v>
          </cell>
          <cell r="E4971" t="str">
            <v>Xidmət bölməsi</v>
          </cell>
          <cell r="F4971" t="str">
            <v>Kassa üzrə aparıcı mütəxəssis</v>
          </cell>
          <cell r="G4971" t="str">
            <v>A</v>
          </cell>
          <cell r="H4971">
            <v>44915</v>
          </cell>
        </row>
        <row r="4972">
          <cell r="B4972" t="str">
            <v>Əlizadə Əli Rövşən</v>
          </cell>
          <cell r="C4972" t="str">
            <v>Port Baku filialı</v>
          </cell>
          <cell r="D4972" t="str">
            <v>#</v>
          </cell>
          <cell r="E4972" t="str">
            <v>Xidmət bölməsi</v>
          </cell>
          <cell r="F4972" t="str">
            <v>Kassa üzrə mütəxəssis</v>
          </cell>
          <cell r="G4972" t="str">
            <v>A</v>
          </cell>
          <cell r="H4972">
            <v>45841</v>
          </cell>
        </row>
        <row r="4973">
          <cell r="B4973" t="str">
            <v>Çələbova Kəmalə Namiq</v>
          </cell>
          <cell r="C4973" t="str">
            <v>Port Baku filialı</v>
          </cell>
          <cell r="D4973" t="str">
            <v>#</v>
          </cell>
          <cell r="E4973" t="str">
            <v>Xidmət bölməsi</v>
          </cell>
          <cell r="F4973" t="str">
            <v>Müştərilərlə iş üzrə baş mütəxəssis</v>
          </cell>
          <cell r="G4973" t="str">
            <v>A</v>
          </cell>
          <cell r="H4973">
            <v>43721</v>
          </cell>
        </row>
        <row r="4974">
          <cell r="B4974" t="str">
            <v>Əliyeva Məşruqə Rza</v>
          </cell>
          <cell r="C4974" t="str">
            <v>Port Baku filialı</v>
          </cell>
          <cell r="D4974" t="str">
            <v>#</v>
          </cell>
          <cell r="E4974" t="str">
            <v>Xidmət bölməsi</v>
          </cell>
          <cell r="F4974" t="str">
            <v>Müştərilərlə iş üzrə aparıcı mütəxəssis</v>
          </cell>
          <cell r="G4974" t="str">
            <v>A</v>
          </cell>
          <cell r="H4974">
            <v>44858</v>
          </cell>
        </row>
        <row r="4975">
          <cell r="B4975" t="str">
            <v>Kərimova Nigar Elburus</v>
          </cell>
          <cell r="C4975" t="str">
            <v>Port Baku filialı</v>
          </cell>
          <cell r="D4975" t="str">
            <v>#</v>
          </cell>
          <cell r="E4975" t="str">
            <v>Xidmət bölməsi</v>
          </cell>
          <cell r="F4975" t="str">
            <v>Müştərilərlə iş üzrə aparıcı mütəxəssis</v>
          </cell>
          <cell r="G4975" t="str">
            <v>A</v>
          </cell>
          <cell r="H4975">
            <v>44746</v>
          </cell>
        </row>
        <row r="4976">
          <cell r="B4976" t="str">
            <v>Süleymanova Arifə Fizuli</v>
          </cell>
          <cell r="C4976" t="str">
            <v>Port Baku filialı</v>
          </cell>
          <cell r="D4976" t="str">
            <v>#</v>
          </cell>
          <cell r="E4976" t="str">
            <v>Xidmət bölməsi</v>
          </cell>
          <cell r="F4976" t="str">
            <v>Müştərilərlə iş üzrə aparıcı mütəxəssis</v>
          </cell>
          <cell r="G4976" t="str">
            <v>A</v>
          </cell>
          <cell r="H4976">
            <v>45141</v>
          </cell>
        </row>
        <row r="4977">
          <cell r="B4977" t="str">
            <v>Axundova Mədinə Nadir</v>
          </cell>
          <cell r="C4977" t="str">
            <v>Port Baku filialı</v>
          </cell>
          <cell r="D4977" t="str">
            <v>#</v>
          </cell>
          <cell r="E4977" t="str">
            <v>Xidmət bölməsi</v>
          </cell>
          <cell r="F4977" t="str">
            <v>Məlumat xidməti üzrə mütəxəssis</v>
          </cell>
          <cell r="G4977" t="str">
            <v>A</v>
          </cell>
          <cell r="H4977">
            <v>45385</v>
          </cell>
        </row>
        <row r="4978">
          <cell r="B4978" t="str">
            <v>Səfərova Diana Xaliq</v>
          </cell>
          <cell r="C4978" t="str">
            <v>Port Baku filialı</v>
          </cell>
          <cell r="D4978" t="str">
            <v>#</v>
          </cell>
          <cell r="E4978" t="str">
            <v>Xidmət bölməsi</v>
          </cell>
          <cell r="F4978" t="str">
            <v>Məlumat xidməti üzrə mütəxəssis</v>
          </cell>
          <cell r="G4978" t="str">
            <v>A</v>
          </cell>
          <cell r="H4978">
            <v>45908</v>
          </cell>
        </row>
        <row r="4979">
          <cell r="B4979" t="str">
            <v>Ələsgərova Rəna Teyyub</v>
          </cell>
          <cell r="C4979" t="str">
            <v>Port Baku filialı</v>
          </cell>
          <cell r="D4979" t="str">
            <v>#</v>
          </cell>
          <cell r="E4979" t="str">
            <v>İnzibati bölmə</v>
          </cell>
          <cell r="F4979" t="str">
            <v>Xadimə</v>
          </cell>
          <cell r="G4979" t="str">
            <v>A</v>
          </cell>
          <cell r="H4979">
            <v>45812</v>
          </cell>
        </row>
        <row r="4980">
          <cell r="B4980" t="str">
            <v>Hadıyeva Rəcanə Tofiq</v>
          </cell>
          <cell r="C4980" t="str">
            <v>Port Baku filialı</v>
          </cell>
          <cell r="D4980" t="str">
            <v>#</v>
          </cell>
          <cell r="E4980" t="str">
            <v>İnzibati bölmə</v>
          </cell>
          <cell r="F4980" t="str">
            <v>Xadimə</v>
          </cell>
          <cell r="G4980" t="str">
            <v>A</v>
          </cell>
          <cell r="H4980">
            <v>43500</v>
          </cell>
        </row>
        <row r="4981">
          <cell r="B4981" t="str">
            <v>Məmmədov Nicat Xanlar</v>
          </cell>
          <cell r="C4981" t="str">
            <v>Neftçilər filialı</v>
          </cell>
          <cell r="D4981" t="str">
            <v>#</v>
          </cell>
          <cell r="E4981" t="str">
            <v>#</v>
          </cell>
          <cell r="F4981" t="str">
            <v>Müdir</v>
          </cell>
          <cell r="G4981" t="str">
            <v>A</v>
          </cell>
          <cell r="H4981">
            <v>42494</v>
          </cell>
        </row>
        <row r="4982">
          <cell r="B4982" t="str">
            <v>Bəşirova Ruhiyyə Qasım</v>
          </cell>
          <cell r="C4982" t="str">
            <v>Neftçilər filialı</v>
          </cell>
          <cell r="D4982" t="str">
            <v>#</v>
          </cell>
          <cell r="E4982" t="str">
            <v>Xidmət bölməsi</v>
          </cell>
          <cell r="F4982" t="str">
            <v>Baş əməliyyatçı-kassir</v>
          </cell>
          <cell r="G4982" t="str">
            <v>A</v>
          </cell>
          <cell r="H4982">
            <v>36696</v>
          </cell>
        </row>
        <row r="4983">
          <cell r="B4983" t="str">
            <v>Məmmədov Orxan Nəsrəddin</v>
          </cell>
          <cell r="C4983" t="str">
            <v>Neftçilər filialı</v>
          </cell>
          <cell r="D4983" t="str">
            <v>#</v>
          </cell>
          <cell r="E4983" t="str">
            <v>Xidmət bölməsi</v>
          </cell>
          <cell r="F4983" t="str">
            <v>Kassa üzrə baş mütəxəssis</v>
          </cell>
          <cell r="G4983" t="str">
            <v>A</v>
          </cell>
          <cell r="H4983">
            <v>43566</v>
          </cell>
        </row>
        <row r="4984">
          <cell r="B4984" t="str">
            <v>Heybətov Mahir Hürmət</v>
          </cell>
          <cell r="C4984" t="str">
            <v>Neftçilər filialı</v>
          </cell>
          <cell r="D4984" t="str">
            <v>#</v>
          </cell>
          <cell r="E4984" t="str">
            <v>Xidmət bölməsi</v>
          </cell>
          <cell r="F4984" t="str">
            <v>Kassa üzrə mütəxəssis</v>
          </cell>
          <cell r="G4984" t="str">
            <v>A</v>
          </cell>
          <cell r="H4984">
            <v>45337</v>
          </cell>
        </row>
        <row r="4985">
          <cell r="B4985" t="str">
            <v>Əzizov Kənan Əliyar</v>
          </cell>
          <cell r="C4985" t="str">
            <v>Neftçilər filialı</v>
          </cell>
          <cell r="D4985" t="str">
            <v>#</v>
          </cell>
          <cell r="E4985" t="str">
            <v>Xidmət bölməsi</v>
          </cell>
          <cell r="F4985" t="str">
            <v>Əməliyyatçı-kassir</v>
          </cell>
          <cell r="G4985" t="str">
            <v>A</v>
          </cell>
          <cell r="H4985">
            <v>44797</v>
          </cell>
        </row>
        <row r="4986">
          <cell r="B4986" t="str">
            <v>Eminova Mahnur Emil</v>
          </cell>
          <cell r="C4986" t="str">
            <v>Neftçilər filialı</v>
          </cell>
          <cell r="D4986" t="str">
            <v>#</v>
          </cell>
          <cell r="E4986" t="str">
            <v>Xidmət bölməsi</v>
          </cell>
          <cell r="F4986" t="str">
            <v>Əməliyyatçı-kassir</v>
          </cell>
          <cell r="G4986" t="str">
            <v>A</v>
          </cell>
          <cell r="H4986">
            <v>45974</v>
          </cell>
        </row>
        <row r="4987">
          <cell r="B4987" t="str">
            <v>Fərəczadə Sürəyya Nəsir</v>
          </cell>
          <cell r="C4987" t="str">
            <v>Neftçilər filialı</v>
          </cell>
          <cell r="D4987" t="str">
            <v>#</v>
          </cell>
          <cell r="E4987" t="str">
            <v>Xidmət bölməsi</v>
          </cell>
          <cell r="F4987" t="str">
            <v>Məlumat xidməti üzrə mütəxəssis</v>
          </cell>
          <cell r="G4987" t="str">
            <v>SM</v>
          </cell>
          <cell r="H4987">
            <v>44462</v>
          </cell>
        </row>
        <row r="4988">
          <cell r="B4988" t="str">
            <v>Qocayeva Fidan Ramin</v>
          </cell>
          <cell r="C4988" t="str">
            <v>Neftçilər filialı</v>
          </cell>
          <cell r="D4988" t="str">
            <v>#</v>
          </cell>
          <cell r="E4988" t="str">
            <v>Xidmət bölməsi</v>
          </cell>
          <cell r="F4988" t="str">
            <v>Məlumat xidməti üzrə kiçik mütəxəssis (müvəqqəti)</v>
          </cell>
          <cell r="G4988" t="str">
            <v>A</v>
          </cell>
          <cell r="H4988">
            <v>46009</v>
          </cell>
        </row>
        <row r="4989">
          <cell r="B4989" t="str">
            <v>İsgəndərov Nicat Avtandil</v>
          </cell>
          <cell r="C4989" t="str">
            <v>Neftçilər filialı</v>
          </cell>
          <cell r="D4989" t="str">
            <v>#</v>
          </cell>
          <cell r="E4989" t="str">
            <v>Xidmət bölməsi</v>
          </cell>
          <cell r="F4989" t="str">
            <v>Müştərilərlə iş üzrə baş mütəxəssis</v>
          </cell>
          <cell r="G4989" t="str">
            <v>A</v>
          </cell>
          <cell r="H4989">
            <v>43669</v>
          </cell>
        </row>
        <row r="4990">
          <cell r="B4990" t="str">
            <v>Əliyeva Arzu İlham</v>
          </cell>
          <cell r="C4990" t="str">
            <v>Neftçilər filialı</v>
          </cell>
          <cell r="D4990" t="str">
            <v>#</v>
          </cell>
          <cell r="E4990" t="str">
            <v>Xidmət bölməsi</v>
          </cell>
          <cell r="F4990" t="str">
            <v>Müştərilərlə iş üzrə baş mütəxəssis</v>
          </cell>
          <cell r="G4990" t="str">
            <v>A</v>
          </cell>
          <cell r="H4990">
            <v>42142</v>
          </cell>
        </row>
        <row r="4991">
          <cell r="B4991" t="str">
            <v>İsmayılov Nicat Rövşən</v>
          </cell>
          <cell r="C4991" t="str">
            <v>Neftçilər filialı</v>
          </cell>
          <cell r="D4991" t="str">
            <v>#</v>
          </cell>
          <cell r="E4991" t="str">
            <v>Xidmət bölməsi</v>
          </cell>
          <cell r="F4991" t="str">
            <v>Müştərilərlə iş üzrə aparıcı mütəxəssis</v>
          </cell>
          <cell r="G4991" t="str">
            <v>A</v>
          </cell>
          <cell r="H4991">
            <v>44818</v>
          </cell>
        </row>
        <row r="4992">
          <cell r="B4992" t="str">
            <v>Abbasova Xumar Həmidulla</v>
          </cell>
          <cell r="C4992" t="str">
            <v>Neftçilər filialı</v>
          </cell>
          <cell r="D4992" t="str">
            <v>#</v>
          </cell>
          <cell r="E4992" t="str">
            <v>Xidmət bölməsi</v>
          </cell>
          <cell r="F4992" t="str">
            <v>Müştərilərlə iş üzrə aparıcı mütəxəssis</v>
          </cell>
          <cell r="G4992" t="str">
            <v>A</v>
          </cell>
          <cell r="H4992">
            <v>44942</v>
          </cell>
        </row>
        <row r="4993">
          <cell r="B4993" t="str">
            <v>Ramazanlı Ağasəf Asif</v>
          </cell>
          <cell r="C4993" t="str">
            <v>Neftçilər filialı</v>
          </cell>
          <cell r="D4993" t="str">
            <v>#</v>
          </cell>
          <cell r="E4993" t="str">
            <v>Xidmət bölməsi</v>
          </cell>
          <cell r="F4993" t="str">
            <v>Müştərilərlə iş üzrə baş mütəxəssis</v>
          </cell>
          <cell r="G4993" t="str">
            <v>A</v>
          </cell>
          <cell r="H4993">
            <v>44295</v>
          </cell>
        </row>
        <row r="4994">
          <cell r="B4994" t="str">
            <v>Sadıqova Səbinə Asif</v>
          </cell>
          <cell r="C4994" t="str">
            <v>Neftçilər filialı</v>
          </cell>
          <cell r="D4994" t="str">
            <v>#</v>
          </cell>
          <cell r="E4994" t="str">
            <v>Xidmət bölməsi</v>
          </cell>
          <cell r="F4994" t="str">
            <v>Müştərilərlə iş üzrə aparıcı mütəxəssis</v>
          </cell>
          <cell r="G4994" t="str">
            <v>A</v>
          </cell>
          <cell r="H4994">
            <v>45177</v>
          </cell>
        </row>
        <row r="4995">
          <cell r="B4995" t="str">
            <v>Həsənova Ülvira Şəmsəddin</v>
          </cell>
          <cell r="C4995" t="str">
            <v>Neftçilər filialı</v>
          </cell>
          <cell r="D4995" t="str">
            <v>#</v>
          </cell>
          <cell r="E4995" t="str">
            <v>Xidmət bölməsi</v>
          </cell>
          <cell r="F4995" t="str">
            <v>Müştərilərlə iş üzrə aparıcı mütəxəssis</v>
          </cell>
          <cell r="G4995" t="str">
            <v>A</v>
          </cell>
          <cell r="H4995">
            <v>44701</v>
          </cell>
        </row>
        <row r="4996">
          <cell r="B4996" t="str">
            <v>İsmayılova Gülcənnət Layiq</v>
          </cell>
          <cell r="C4996" t="str">
            <v>Neftçilər filialı</v>
          </cell>
          <cell r="D4996" t="str">
            <v>#</v>
          </cell>
          <cell r="E4996" t="str">
            <v>Xidmət bölməsi</v>
          </cell>
          <cell r="F4996" t="str">
            <v>Müştərilərlə iş üzrə kiçik mütəxəssis</v>
          </cell>
          <cell r="G4996" t="str">
            <v>A</v>
          </cell>
          <cell r="H4996">
            <v>46155</v>
          </cell>
        </row>
        <row r="4997">
          <cell r="B4997" t="str">
            <v>Sofiyeva Əsbət Faiq</v>
          </cell>
          <cell r="C4997" t="str">
            <v>Neftçilər filialı</v>
          </cell>
          <cell r="D4997" t="str">
            <v>#</v>
          </cell>
          <cell r="E4997" t="str">
            <v>Xidmət bölməsi</v>
          </cell>
          <cell r="F4997" t="str">
            <v>Müştərilərlə iş üzrə mütəxəssis</v>
          </cell>
          <cell r="G4997" t="str">
            <v>A</v>
          </cell>
          <cell r="H4997">
            <v>45580</v>
          </cell>
        </row>
        <row r="4998">
          <cell r="B4998" t="str">
            <v>Göyuşova Aytac Polad</v>
          </cell>
          <cell r="C4998" t="str">
            <v>Neftçilər filialı</v>
          </cell>
          <cell r="D4998" t="str">
            <v>#</v>
          </cell>
          <cell r="E4998" t="str">
            <v>Xidmət bölməsi</v>
          </cell>
          <cell r="F4998" t="str">
            <v>Müştərilərlə iş üzrə mütəxəssis</v>
          </cell>
          <cell r="G4998" t="str">
            <v>A</v>
          </cell>
          <cell r="H4998">
            <v>45356</v>
          </cell>
        </row>
        <row r="4999">
          <cell r="B4999" t="str">
            <v>Qurbanova Leyla Sərxoş</v>
          </cell>
          <cell r="C4999" t="str">
            <v>Neftçilər filialı</v>
          </cell>
          <cell r="D4999" t="str">
            <v>#</v>
          </cell>
          <cell r="E4999" t="str">
            <v>İnzibati bölmə</v>
          </cell>
          <cell r="F4999" t="str">
            <v>Xadimə</v>
          </cell>
          <cell r="G4999" t="str">
            <v>A</v>
          </cell>
          <cell r="H4999">
            <v>43488</v>
          </cell>
        </row>
        <row r="5000">
          <cell r="B5000" t="str">
            <v>Miriyev Amil Sürrət</v>
          </cell>
          <cell r="C5000" t="str">
            <v>Nərimanov  filialı</v>
          </cell>
          <cell r="D5000" t="str">
            <v>#</v>
          </cell>
          <cell r="E5000" t="str">
            <v>#</v>
          </cell>
          <cell r="F5000" t="str">
            <v>Müdir</v>
          </cell>
          <cell r="G5000" t="str">
            <v>A</v>
          </cell>
          <cell r="H5000">
            <v>43199</v>
          </cell>
        </row>
        <row r="5001">
          <cell r="B5001" t="str">
            <v>Aslanov Aslan İlqar</v>
          </cell>
          <cell r="C5001" t="str">
            <v>Nərimanov  filialı</v>
          </cell>
          <cell r="D5001" t="str">
            <v>#</v>
          </cell>
          <cell r="E5001" t="str">
            <v>Xidmət bölməsi</v>
          </cell>
          <cell r="F5001" t="str">
            <v>Kassa üzrə aparıcı mütəxəssis</v>
          </cell>
          <cell r="G5001" t="str">
            <v>A</v>
          </cell>
          <cell r="H5001">
            <v>45149</v>
          </cell>
        </row>
        <row r="5002">
          <cell r="B5002" t="str">
            <v>Şeyxzadə Əsli Səid</v>
          </cell>
          <cell r="C5002" t="str">
            <v>Nərimanov  filialı</v>
          </cell>
          <cell r="D5002" t="str">
            <v>#</v>
          </cell>
          <cell r="E5002" t="str">
            <v>Xidmət bölməsi</v>
          </cell>
          <cell r="F5002" t="str">
            <v>Kassa üzrə mütəxəssis</v>
          </cell>
          <cell r="G5002" t="str">
            <v>SM</v>
          </cell>
          <cell r="H5002">
            <v>44889</v>
          </cell>
        </row>
        <row r="5003">
          <cell r="B5003" t="str">
            <v>Eminov Samir Elmir</v>
          </cell>
          <cell r="C5003" t="str">
            <v>Nərimanov  filialı</v>
          </cell>
          <cell r="D5003" t="str">
            <v>#</v>
          </cell>
          <cell r="E5003" t="str">
            <v>Xidmət bölməsi</v>
          </cell>
          <cell r="F5003" t="str">
            <v>Kassa üzrə aparıcı mütəxəssis (müvəqqəti)</v>
          </cell>
          <cell r="G5003" t="str">
            <v>A</v>
          </cell>
          <cell r="H5003">
            <v>44921</v>
          </cell>
        </row>
        <row r="5004">
          <cell r="B5004" t="str">
            <v>Hüseynova Nərmin Rasim</v>
          </cell>
          <cell r="C5004" t="str">
            <v>Nərimanov  filialı</v>
          </cell>
          <cell r="D5004" t="str">
            <v>#</v>
          </cell>
          <cell r="E5004" t="str">
            <v>Xidmət bölməsi</v>
          </cell>
          <cell r="F5004" t="str">
            <v>Məlumat xidməti üzrə aparıcı mütəxəssis</v>
          </cell>
          <cell r="G5004" t="str">
            <v>SM</v>
          </cell>
          <cell r="H5004">
            <v>44155</v>
          </cell>
        </row>
        <row r="5005">
          <cell r="B5005" t="str">
            <v>Cahangirzadə Tural Mirnağı</v>
          </cell>
          <cell r="C5005" t="str">
            <v>Nərimanov  filialı</v>
          </cell>
          <cell r="D5005" t="str">
            <v>#</v>
          </cell>
          <cell r="E5005" t="str">
            <v>Xidmət bölməsi</v>
          </cell>
          <cell r="F5005" t="str">
            <v>Bölmə rəhbəri</v>
          </cell>
          <cell r="G5005" t="str">
            <v>A</v>
          </cell>
          <cell r="H5005">
            <v>42592</v>
          </cell>
        </row>
        <row r="5006">
          <cell r="B5006" t="str">
            <v>Məlikli Ruslan Xamis</v>
          </cell>
          <cell r="C5006" t="str">
            <v>Nərimanov  filialı</v>
          </cell>
          <cell r="D5006" t="str">
            <v>#</v>
          </cell>
          <cell r="E5006" t="str">
            <v>Xidmət bölməsi</v>
          </cell>
          <cell r="F5006" t="str">
            <v>Müştərilərlə iş üzrə baş mütəxəssis</v>
          </cell>
          <cell r="G5006" t="str">
            <v>A</v>
          </cell>
          <cell r="H5006">
            <v>43710</v>
          </cell>
        </row>
        <row r="5007">
          <cell r="B5007" t="str">
            <v>Tanrıverdili Şaban Oqtay</v>
          </cell>
          <cell r="C5007" t="str">
            <v>Nərimanov  filialı</v>
          </cell>
          <cell r="D5007" t="str">
            <v>#</v>
          </cell>
          <cell r="E5007" t="str">
            <v>Xidmət bölməsi</v>
          </cell>
          <cell r="F5007" t="str">
            <v>Müştərilərlə iş üzrə baş mütəxəssis</v>
          </cell>
          <cell r="G5007" t="str">
            <v>A</v>
          </cell>
          <cell r="H5007">
            <v>44049</v>
          </cell>
        </row>
        <row r="5008">
          <cell r="B5008" t="str">
            <v>Qarayeva Məltəm Faxrəddin</v>
          </cell>
          <cell r="C5008" t="str">
            <v>Nərimanov  filialı</v>
          </cell>
          <cell r="D5008" t="str">
            <v>#</v>
          </cell>
          <cell r="E5008" t="str">
            <v>Xidmət bölməsi</v>
          </cell>
          <cell r="F5008" t="str">
            <v>Müştərilərlə iş üzrə baş mütəxəssis</v>
          </cell>
          <cell r="G5008" t="str">
            <v>A</v>
          </cell>
          <cell r="H5008">
            <v>41893</v>
          </cell>
        </row>
        <row r="5009">
          <cell r="B5009" t="str">
            <v>Əliyeva Samirə Vahid</v>
          </cell>
          <cell r="C5009" t="str">
            <v>Nərimanov  filialı</v>
          </cell>
          <cell r="D5009" t="str">
            <v>#</v>
          </cell>
          <cell r="E5009" t="str">
            <v>Xidmət bölməsi</v>
          </cell>
          <cell r="F5009" t="str">
            <v>Müştərilərlə iş üzrə aparıcı mütəxəssis</v>
          </cell>
          <cell r="G5009" t="str">
            <v>A</v>
          </cell>
          <cell r="H5009">
            <v>41030</v>
          </cell>
        </row>
        <row r="5010">
          <cell r="B5010" t="str">
            <v>Həsənova Ulduz Mehman</v>
          </cell>
          <cell r="C5010" t="str">
            <v>Nərimanov  filialı</v>
          </cell>
          <cell r="D5010" t="str">
            <v>#</v>
          </cell>
          <cell r="E5010" t="str">
            <v>Xidmət bölməsi</v>
          </cell>
          <cell r="F5010" t="str">
            <v>Müştərilərlə iş üzrə baş mütəxəssis</v>
          </cell>
          <cell r="G5010" t="str">
            <v>A</v>
          </cell>
          <cell r="H5010">
            <v>39934</v>
          </cell>
        </row>
        <row r="5011">
          <cell r="B5011" t="str">
            <v>Quliyeva Nərmin Vidadi</v>
          </cell>
          <cell r="C5011" t="str">
            <v>Nərimanov  filialı</v>
          </cell>
          <cell r="D5011" t="str">
            <v>#</v>
          </cell>
          <cell r="E5011" t="str">
            <v>Xidmət bölməsi</v>
          </cell>
          <cell r="F5011" t="str">
            <v>Müştərilərlə iş üzrə aparıcı mütəxəssis</v>
          </cell>
          <cell r="G5011" t="str">
            <v>A</v>
          </cell>
          <cell r="H5011">
            <v>44124</v>
          </cell>
        </row>
        <row r="5012">
          <cell r="B5012" t="str">
            <v>Rəhimov Kamran Kamil</v>
          </cell>
          <cell r="C5012" t="str">
            <v>Nərimanov  filialı</v>
          </cell>
          <cell r="D5012" t="str">
            <v>#</v>
          </cell>
          <cell r="E5012" t="str">
            <v>Xidmət bölməsi</v>
          </cell>
          <cell r="F5012" t="str">
            <v>Müştərilərlə iş üzrə aparıcı mütəxəssis</v>
          </cell>
          <cell r="G5012" t="str">
            <v>A</v>
          </cell>
          <cell r="H5012">
            <v>44788</v>
          </cell>
        </row>
        <row r="5013">
          <cell r="B5013" t="str">
            <v>Məhərrəmova Aygün Natiq</v>
          </cell>
          <cell r="C5013" t="str">
            <v>Nərimanov  filialı</v>
          </cell>
          <cell r="D5013" t="str">
            <v>#</v>
          </cell>
          <cell r="E5013" t="str">
            <v>Xidmət bölməsi</v>
          </cell>
          <cell r="F5013" t="str">
            <v>Müştərilərlə iş üzrə aparıcı mütəxəssis</v>
          </cell>
          <cell r="G5013" t="str">
            <v>HX</v>
          </cell>
          <cell r="H5013">
            <v>44889</v>
          </cell>
        </row>
        <row r="5014">
          <cell r="B5014" t="str">
            <v>Cəlilov Əli Azad</v>
          </cell>
          <cell r="C5014" t="str">
            <v>Nərimanov  filialı</v>
          </cell>
          <cell r="D5014" t="str">
            <v>#</v>
          </cell>
          <cell r="E5014" t="str">
            <v>Xidmət bölməsi</v>
          </cell>
          <cell r="F5014" t="str">
            <v>Müştərilərlə iş üzrə kiçik mütəxəssis (müvəqqəti)</v>
          </cell>
          <cell r="G5014" t="str">
            <v>A</v>
          </cell>
          <cell r="H5014">
            <v>46198</v>
          </cell>
        </row>
        <row r="5015">
          <cell r="B5015" t="str">
            <v>Quliyeva Günay Aydın</v>
          </cell>
          <cell r="C5015" t="str">
            <v>Nərimanov  filialı</v>
          </cell>
          <cell r="D5015" t="str">
            <v>#</v>
          </cell>
          <cell r="E5015" t="str">
            <v>Xidmət bölməsi</v>
          </cell>
          <cell r="F5015" t="str">
            <v>Müştərilərlə iş üzrə aparıcı mütəxəssis</v>
          </cell>
          <cell r="G5015" t="str">
            <v>A</v>
          </cell>
          <cell r="H5015">
            <v>42842</v>
          </cell>
        </row>
        <row r="5016">
          <cell r="B5016" t="str">
            <v>Hüseynova Anaqız Ramin</v>
          </cell>
          <cell r="C5016" t="str">
            <v>Nərimanov  filialı</v>
          </cell>
          <cell r="D5016" t="str">
            <v>#</v>
          </cell>
          <cell r="E5016" t="str">
            <v>Xidmət bölməsi</v>
          </cell>
          <cell r="F5016" t="str">
            <v>Müştərilərlə iş üzrə mütəxəssis</v>
          </cell>
          <cell r="G5016" t="str">
            <v>A</v>
          </cell>
          <cell r="H5016">
            <v>45589</v>
          </cell>
        </row>
        <row r="5017">
          <cell r="B5017" t="str">
            <v>Tağızadə Esmira Nurlan</v>
          </cell>
          <cell r="C5017" t="str">
            <v>Nərimanov  filialı</v>
          </cell>
          <cell r="D5017" t="str">
            <v>#</v>
          </cell>
          <cell r="E5017" t="str">
            <v>Xidmət bölməsi</v>
          </cell>
          <cell r="F5017" t="str">
            <v>Müştərilərlə iş üzrə aparıcı mütəxəssis</v>
          </cell>
          <cell r="G5017" t="str">
            <v>A</v>
          </cell>
          <cell r="H5017">
            <v>45194</v>
          </cell>
        </row>
        <row r="5018">
          <cell r="B5018" t="str">
            <v>Orucova Svetlana Əlixan</v>
          </cell>
          <cell r="C5018" t="str">
            <v>Nərimanov  filialı</v>
          </cell>
          <cell r="D5018" t="str">
            <v>#</v>
          </cell>
          <cell r="E5018" t="str">
            <v>İnzibati bölmə</v>
          </cell>
          <cell r="F5018" t="str">
            <v>Xadimə</v>
          </cell>
          <cell r="G5018" t="str">
            <v>A</v>
          </cell>
          <cell r="H5018">
            <v>43244</v>
          </cell>
        </row>
        <row r="5019">
          <cell r="B5019" t="str">
            <v>Ağayev Misir Ələskər</v>
          </cell>
          <cell r="C5019" t="str">
            <v>Nərimanov  filialı</v>
          </cell>
          <cell r="D5019" t="str">
            <v>#</v>
          </cell>
          <cell r="E5019" t="str">
            <v>Mikro kredit bölməsi</v>
          </cell>
          <cell r="F5019" t="str">
            <v>Bölmə rəhbəri</v>
          </cell>
          <cell r="G5019" t="str">
            <v>A</v>
          </cell>
          <cell r="H5019">
            <v>45226</v>
          </cell>
        </row>
        <row r="5020">
          <cell r="B5020" t="str">
            <v>Kərimov Cabir Fəttah</v>
          </cell>
          <cell r="C5020" t="str">
            <v>Nərimanov  filialı</v>
          </cell>
          <cell r="D5020" t="str">
            <v>#</v>
          </cell>
          <cell r="E5020" t="str">
            <v>Mikro kredit bölməsi</v>
          </cell>
          <cell r="F5020" t="str">
            <v>Aparıcı mütəxəssis</v>
          </cell>
          <cell r="G5020" t="str">
            <v>A</v>
          </cell>
          <cell r="H5020">
            <v>44750</v>
          </cell>
        </row>
        <row r="5021">
          <cell r="B5021" t="str">
            <v>İslamov Nicad Azad</v>
          </cell>
          <cell r="C5021" t="str">
            <v>Nərimanov  filialı</v>
          </cell>
          <cell r="D5021" t="str">
            <v>#</v>
          </cell>
          <cell r="E5021" t="str">
            <v>Mikro kredit bölməsi</v>
          </cell>
          <cell r="F5021" t="str">
            <v>Aparıcı mütəxəssis</v>
          </cell>
          <cell r="G5021" t="str">
            <v>A</v>
          </cell>
          <cell r="H5021">
            <v>45314</v>
          </cell>
        </row>
        <row r="5022">
          <cell r="B5022" t="str">
            <v>Rzayev Fuad Sahil</v>
          </cell>
          <cell r="C5022" t="str">
            <v>Nərimanov  filialı</v>
          </cell>
          <cell r="D5022" t="str">
            <v>#</v>
          </cell>
          <cell r="E5022" t="str">
            <v>Mikro kredit bölməsi</v>
          </cell>
          <cell r="F5022" t="str">
            <v>Mütəxəssis</v>
          </cell>
          <cell r="G5022" t="str">
            <v>A</v>
          </cell>
          <cell r="H5022">
            <v>46002</v>
          </cell>
        </row>
        <row r="5023">
          <cell r="B5023" t="str">
            <v>İsmayılov Tamerlan Fizuli</v>
          </cell>
          <cell r="C5023" t="str">
            <v>Nərimanov  filialı</v>
          </cell>
          <cell r="D5023" t="str">
            <v>#</v>
          </cell>
          <cell r="E5023" t="str">
            <v>Mikro kredit bölməsi</v>
          </cell>
          <cell r="F5023" t="str">
            <v>Kiçik mütəxəssis</v>
          </cell>
          <cell r="G5023" t="str">
            <v>A</v>
          </cell>
          <cell r="H5023">
            <v>46027</v>
          </cell>
        </row>
        <row r="5024">
          <cell r="B5024" t="str">
            <v>Qurbanov Eşqin Əsgər</v>
          </cell>
          <cell r="C5024" t="str">
            <v>Nərimanov  filialı</v>
          </cell>
          <cell r="D5024" t="str">
            <v>#</v>
          </cell>
          <cell r="E5024" t="str">
            <v>Mikro kredit bölməsi</v>
          </cell>
          <cell r="F5024" t="str">
            <v>Kiçik mütəxəssis</v>
          </cell>
          <cell r="G5024" t="str">
            <v>A</v>
          </cell>
          <cell r="H5024">
            <v>46135</v>
          </cell>
        </row>
        <row r="5025">
          <cell r="B5025" t="str">
            <v>Eyvazov Heydər Rəşadət</v>
          </cell>
          <cell r="C5025" t="str">
            <v>Nəsimi filialı</v>
          </cell>
          <cell r="D5025" t="str">
            <v>#</v>
          </cell>
          <cell r="E5025" t="str">
            <v>#</v>
          </cell>
          <cell r="F5025" t="str">
            <v>Müdir</v>
          </cell>
          <cell r="G5025" t="str">
            <v>A</v>
          </cell>
          <cell r="H5025">
            <v>43243</v>
          </cell>
        </row>
        <row r="5026">
          <cell r="B5026" t="str">
            <v>Əlizadə Ramin İsfəndiyar</v>
          </cell>
          <cell r="C5026" t="str">
            <v>Nəsimi filialı</v>
          </cell>
          <cell r="D5026" t="str">
            <v>#</v>
          </cell>
          <cell r="E5026" t="str">
            <v>Xidmət bölməsi</v>
          </cell>
          <cell r="F5026" t="str">
            <v>Kassa üzrə baş mütəxəssis</v>
          </cell>
          <cell r="G5026" t="str">
            <v>A</v>
          </cell>
          <cell r="H5026">
            <v>43244</v>
          </cell>
        </row>
        <row r="5027">
          <cell r="B5027" t="str">
            <v>Quliyeva Cəmilə Mirzəağa</v>
          </cell>
          <cell r="C5027" t="str">
            <v>Nəsimi filialı</v>
          </cell>
          <cell r="D5027" t="str">
            <v>#</v>
          </cell>
          <cell r="E5027" t="str">
            <v>Xidmət bölməsi</v>
          </cell>
          <cell r="F5027" t="str">
            <v>Kassa üzrə baş mütəxəssis</v>
          </cell>
          <cell r="G5027" t="str">
            <v>A</v>
          </cell>
          <cell r="H5027">
            <v>41232</v>
          </cell>
        </row>
        <row r="5028">
          <cell r="B5028" t="str">
            <v>İmanov Arif Xəzər</v>
          </cell>
          <cell r="C5028" t="str">
            <v>Nəsimi filialı</v>
          </cell>
          <cell r="D5028" t="str">
            <v>#</v>
          </cell>
          <cell r="E5028" t="str">
            <v>Xidmət bölməsi</v>
          </cell>
          <cell r="F5028" t="str">
            <v>Kassa üzrə mütəxəssis</v>
          </cell>
          <cell r="G5028" t="str">
            <v>A</v>
          </cell>
          <cell r="H5028">
            <v>45602</v>
          </cell>
        </row>
        <row r="5029">
          <cell r="B5029" t="str">
            <v>Rəşidli Orxan Vilayət</v>
          </cell>
          <cell r="C5029" t="str">
            <v>Nəsimi filialı</v>
          </cell>
          <cell r="D5029" t="str">
            <v>#</v>
          </cell>
          <cell r="E5029" t="str">
            <v>Xidmət bölməsi</v>
          </cell>
          <cell r="F5029" t="str">
            <v>Müştərilərlə iş üzrə baş mütəxəssis</v>
          </cell>
          <cell r="G5029" t="str">
            <v>A</v>
          </cell>
          <cell r="H5029">
            <v>42564</v>
          </cell>
        </row>
        <row r="5030">
          <cell r="B5030" t="str">
            <v>Yariyev Samid Niyaz</v>
          </cell>
          <cell r="C5030" t="str">
            <v>Nəsimi filialı</v>
          </cell>
          <cell r="D5030" t="str">
            <v>#</v>
          </cell>
          <cell r="E5030" t="str">
            <v>Xidmət bölməsi</v>
          </cell>
          <cell r="F5030" t="str">
            <v>Müştərilərlə iş üzrə baş mütəxəssis</v>
          </cell>
          <cell r="G5030" t="str">
            <v>A</v>
          </cell>
          <cell r="H5030">
            <v>42573</v>
          </cell>
        </row>
        <row r="5031">
          <cell r="B5031" t="str">
            <v>Sadıqova Fidan Əli</v>
          </cell>
          <cell r="C5031" t="str">
            <v>Nəsimi filialı</v>
          </cell>
          <cell r="D5031" t="str">
            <v>#</v>
          </cell>
          <cell r="E5031" t="str">
            <v>Xidmət bölməsi</v>
          </cell>
          <cell r="F5031" t="str">
            <v>Müştərilərlə iş üzrə baş mütəxəssis</v>
          </cell>
          <cell r="G5031" t="str">
            <v>SM</v>
          </cell>
          <cell r="H5031">
            <v>42810</v>
          </cell>
        </row>
        <row r="5032">
          <cell r="B5032" t="str">
            <v>Abdullayev Elmixan Elşən</v>
          </cell>
          <cell r="C5032" t="str">
            <v>Nəsimi filialı</v>
          </cell>
          <cell r="D5032" t="str">
            <v>#</v>
          </cell>
          <cell r="E5032" t="str">
            <v>Xidmət bölməsi</v>
          </cell>
          <cell r="F5032" t="str">
            <v>Müştərilərlə iş üzrə mütəxəssis (müvəqqəti)</v>
          </cell>
          <cell r="G5032" t="str">
            <v>A</v>
          </cell>
          <cell r="H5032">
            <v>45652</v>
          </cell>
        </row>
        <row r="5033">
          <cell r="B5033" t="str">
            <v>Nəbizadə Elşad Ərşad</v>
          </cell>
          <cell r="C5033" t="str">
            <v>Nəsimi filialı</v>
          </cell>
          <cell r="D5033" t="str">
            <v>#</v>
          </cell>
          <cell r="E5033" t="str">
            <v>Xidmət bölməsi</v>
          </cell>
          <cell r="F5033" t="str">
            <v>Müştərilərlə iş üzrə baş mütəxəssis</v>
          </cell>
          <cell r="G5033" t="str">
            <v>A</v>
          </cell>
          <cell r="H5033">
            <v>44151</v>
          </cell>
        </row>
        <row r="5034">
          <cell r="B5034" t="str">
            <v>Papaxov Pərviz Musa</v>
          </cell>
          <cell r="C5034" t="str">
            <v>Nəsimi filialı</v>
          </cell>
          <cell r="D5034" t="str">
            <v>#</v>
          </cell>
          <cell r="E5034" t="str">
            <v>Xidmət bölməsi</v>
          </cell>
          <cell r="F5034" t="str">
            <v>Müştərilərlə iş üzrə baş mütəxəssis</v>
          </cell>
          <cell r="G5034" t="str">
            <v>A</v>
          </cell>
          <cell r="H5034">
            <v>43634</v>
          </cell>
        </row>
        <row r="5035">
          <cell r="B5035" t="str">
            <v>Vəliyeva Aysel Mübariz</v>
          </cell>
          <cell r="C5035" t="str">
            <v>Nəsimi filialı</v>
          </cell>
          <cell r="D5035" t="str">
            <v>#</v>
          </cell>
          <cell r="E5035" t="str">
            <v>Xidmət bölməsi</v>
          </cell>
          <cell r="F5035" t="str">
            <v>Müştərilərlə iş üzrə aparıcı mütəxəssis</v>
          </cell>
          <cell r="G5035" t="str">
            <v>A</v>
          </cell>
          <cell r="H5035">
            <v>43174</v>
          </cell>
        </row>
        <row r="5036">
          <cell r="B5036" t="str">
            <v>Piriyeva Jalə Mübariz</v>
          </cell>
          <cell r="C5036" t="str">
            <v>Nəsimi filialı</v>
          </cell>
          <cell r="D5036" t="str">
            <v>#</v>
          </cell>
          <cell r="E5036" t="str">
            <v>Xidmət bölməsi</v>
          </cell>
          <cell r="F5036" t="str">
            <v>Müştərilərlə iş üzrə mütəxəssis</v>
          </cell>
          <cell r="G5036" t="str">
            <v>A</v>
          </cell>
          <cell r="H5036">
            <v>45335</v>
          </cell>
        </row>
        <row r="5037">
          <cell r="B5037" t="str">
            <v>Məmmədov Nemət Qabil</v>
          </cell>
          <cell r="C5037" t="str">
            <v>Nəsimi filialı</v>
          </cell>
          <cell r="D5037" t="str">
            <v>#</v>
          </cell>
          <cell r="E5037" t="str">
            <v>Xidmət bölməsi</v>
          </cell>
          <cell r="F5037" t="str">
            <v>Müştərilərlə iş üzrə mütəxəssis</v>
          </cell>
          <cell r="G5037" t="str">
            <v>A</v>
          </cell>
          <cell r="H5037">
            <v>45849</v>
          </cell>
        </row>
        <row r="5038">
          <cell r="B5038" t="str">
            <v>Hüseynzadə Ülviyyə Səfiyar</v>
          </cell>
          <cell r="C5038" t="str">
            <v>Nəsimi filialı</v>
          </cell>
          <cell r="D5038" t="str">
            <v>#</v>
          </cell>
          <cell r="E5038" t="str">
            <v>Xidmət bölməsi</v>
          </cell>
          <cell r="F5038" t="str">
            <v>Məlumat xidməti üzrə mütəxəssis</v>
          </cell>
          <cell r="G5038" t="str">
            <v>A</v>
          </cell>
          <cell r="H5038">
            <v>45729</v>
          </cell>
        </row>
        <row r="5039">
          <cell r="B5039" t="str">
            <v>Səfərova Zeynəb Fərhad</v>
          </cell>
          <cell r="C5039" t="str">
            <v>Nəsimi filialı</v>
          </cell>
          <cell r="D5039" t="str">
            <v>#</v>
          </cell>
          <cell r="E5039" t="str">
            <v>İnzibati bölmə</v>
          </cell>
          <cell r="F5039" t="str">
            <v>Xadimə</v>
          </cell>
          <cell r="G5039" t="str">
            <v>A</v>
          </cell>
          <cell r="H5039">
            <v>39279</v>
          </cell>
        </row>
        <row r="5040">
          <cell r="B5040" t="str">
            <v>Rüstəmova Aynurə Allahyar</v>
          </cell>
          <cell r="C5040" t="str">
            <v>Nəsimi filialı</v>
          </cell>
          <cell r="D5040" t="str">
            <v>#</v>
          </cell>
          <cell r="E5040" t="str">
            <v>İnzibati bölmə</v>
          </cell>
          <cell r="F5040" t="str">
            <v>Xadimə</v>
          </cell>
          <cell r="G5040" t="str">
            <v>A</v>
          </cell>
          <cell r="H5040">
            <v>43815</v>
          </cell>
        </row>
        <row r="5041">
          <cell r="B5041" t="str">
            <v>Məlikov Məcid Allahqulu</v>
          </cell>
          <cell r="C5041" t="str">
            <v>Xalqlar Dostluğu filialı</v>
          </cell>
          <cell r="D5041" t="str">
            <v>#</v>
          </cell>
          <cell r="E5041" t="str">
            <v>#</v>
          </cell>
          <cell r="F5041" t="str">
            <v>Müdir</v>
          </cell>
          <cell r="G5041" t="str">
            <v>A</v>
          </cell>
          <cell r="H5041">
            <v>43196</v>
          </cell>
        </row>
        <row r="5042">
          <cell r="B5042" t="str">
            <v>IBRAGIMOV ISKANDAR</v>
          </cell>
          <cell r="C5042" t="str">
            <v>Xalqlar Dostluğu filialı</v>
          </cell>
          <cell r="D5042" t="str">
            <v>#</v>
          </cell>
          <cell r="E5042" t="str">
            <v>Xidmət bölməsi</v>
          </cell>
          <cell r="F5042" t="str">
            <v>Bölmə rəhbəri</v>
          </cell>
          <cell r="G5042" t="str">
            <v>A</v>
          </cell>
          <cell r="H5042">
            <v>36691</v>
          </cell>
        </row>
        <row r="5043">
          <cell r="B5043" t="str">
            <v>Cəbiyev Orxan İnqilab</v>
          </cell>
          <cell r="C5043" t="str">
            <v>Xalqlar Dostluğu filialı</v>
          </cell>
          <cell r="D5043" t="str">
            <v>#</v>
          </cell>
          <cell r="E5043" t="str">
            <v>Xidmət bölməsi</v>
          </cell>
          <cell r="F5043" t="str">
            <v>Kassa üzrə aparıcı mütəxəssis</v>
          </cell>
          <cell r="G5043" t="str">
            <v>A</v>
          </cell>
          <cell r="H5043">
            <v>45146</v>
          </cell>
        </row>
        <row r="5044">
          <cell r="B5044" t="str">
            <v>Səmədov Eduard Zülfü</v>
          </cell>
          <cell r="C5044" t="str">
            <v>Xalqlar Dostluğu filialı</v>
          </cell>
          <cell r="D5044" t="str">
            <v>#</v>
          </cell>
          <cell r="E5044" t="str">
            <v>Xidmət bölməsi</v>
          </cell>
          <cell r="F5044" t="str">
            <v>Kassa üzrə mütəxəssis</v>
          </cell>
          <cell r="G5044" t="str">
            <v>A</v>
          </cell>
          <cell r="H5044">
            <v>45400</v>
          </cell>
        </row>
        <row r="5045">
          <cell r="B5045" t="str">
            <v>Əsədova Əfsanə Aynur</v>
          </cell>
          <cell r="C5045" t="str">
            <v>Xalqlar Dostluğu filialı</v>
          </cell>
          <cell r="D5045" t="str">
            <v>#</v>
          </cell>
          <cell r="E5045" t="str">
            <v>Xidmət bölməsi</v>
          </cell>
          <cell r="F5045" t="str">
            <v>Məlumat xidməti üzrə mütəxəssis</v>
          </cell>
          <cell r="G5045" t="str">
            <v>A</v>
          </cell>
          <cell r="H5045">
            <v>45770</v>
          </cell>
        </row>
        <row r="5046">
          <cell r="B5046" t="str">
            <v>Əliyev Ramil Elbrus</v>
          </cell>
          <cell r="C5046" t="str">
            <v>Xalqlar Dostluğu filialı</v>
          </cell>
          <cell r="D5046" t="str">
            <v>#</v>
          </cell>
          <cell r="E5046" t="str">
            <v>Xidmət bölməsi</v>
          </cell>
          <cell r="F5046" t="str">
            <v>Müştərilərlə iş üzrə baş mütəxəssis</v>
          </cell>
          <cell r="G5046" t="str">
            <v>A</v>
          </cell>
          <cell r="H5046">
            <v>42984</v>
          </cell>
        </row>
        <row r="5047">
          <cell r="B5047" t="str">
            <v>Məmmədov Kamil İdris</v>
          </cell>
          <cell r="C5047" t="str">
            <v>Xalqlar Dostluğu filialı</v>
          </cell>
          <cell r="D5047" t="str">
            <v>#</v>
          </cell>
          <cell r="E5047" t="str">
            <v>Xidmət bölməsi</v>
          </cell>
          <cell r="F5047" t="str">
            <v>Müştərilərlə iş üzrə baş mütəxəssis</v>
          </cell>
          <cell r="G5047" t="str">
            <v>A</v>
          </cell>
          <cell r="H5047">
            <v>43482</v>
          </cell>
        </row>
        <row r="5048">
          <cell r="B5048" t="str">
            <v>Əliyeva Günel Ağalar</v>
          </cell>
          <cell r="C5048" t="str">
            <v>Xalqlar Dostluğu filialı</v>
          </cell>
          <cell r="D5048" t="str">
            <v>#</v>
          </cell>
          <cell r="E5048" t="str">
            <v>Xidmət bölməsi</v>
          </cell>
          <cell r="F5048" t="str">
            <v>Müştərilərlə iş üzrə baş mütəxəssis</v>
          </cell>
          <cell r="G5048" t="str">
            <v>A</v>
          </cell>
          <cell r="H5048">
            <v>38925</v>
          </cell>
        </row>
        <row r="5049">
          <cell r="B5049" t="str">
            <v>Qayıbxanova Ramidə Əlimirzə</v>
          </cell>
          <cell r="C5049" t="str">
            <v>Xalqlar Dostluğu filialı</v>
          </cell>
          <cell r="D5049" t="str">
            <v>#</v>
          </cell>
          <cell r="E5049" t="str">
            <v>Xidmət bölməsi</v>
          </cell>
          <cell r="F5049" t="str">
            <v>Müştərilərlə iş üzrə baş mütəxəssis</v>
          </cell>
          <cell r="G5049" t="str">
            <v>A</v>
          </cell>
          <cell r="H5049">
            <v>42790</v>
          </cell>
        </row>
        <row r="5050">
          <cell r="B5050" t="str">
            <v>Xəlilov Tural Tapdıq</v>
          </cell>
          <cell r="C5050" t="str">
            <v>Xalqlar Dostluğu filialı</v>
          </cell>
          <cell r="D5050" t="str">
            <v>#</v>
          </cell>
          <cell r="E5050" t="str">
            <v>Xidmət bölməsi</v>
          </cell>
          <cell r="F5050" t="str">
            <v>Müştərilərlə iş üzrə baş mütəxəssis</v>
          </cell>
          <cell r="G5050" t="str">
            <v>A</v>
          </cell>
          <cell r="H5050">
            <v>44593</v>
          </cell>
        </row>
        <row r="5051">
          <cell r="B5051" t="str">
            <v>Şıxəliyeva-Məmmədzadə Aysel Mahir</v>
          </cell>
          <cell r="C5051" t="str">
            <v>Xalqlar Dostluğu filialı</v>
          </cell>
          <cell r="D5051" t="str">
            <v>#</v>
          </cell>
          <cell r="E5051" t="str">
            <v>Xidmət bölməsi</v>
          </cell>
          <cell r="F5051" t="str">
            <v>Müştərilərlə iş üzrə aparıcı mütəxəssis</v>
          </cell>
          <cell r="G5051" t="str">
            <v>A</v>
          </cell>
          <cell r="H5051">
            <v>42900</v>
          </cell>
        </row>
        <row r="5052">
          <cell r="B5052" t="str">
            <v>Yaqubova Fidan Fərxan</v>
          </cell>
          <cell r="C5052" t="str">
            <v>Xalqlar Dostluğu filialı</v>
          </cell>
          <cell r="D5052" t="str">
            <v>#</v>
          </cell>
          <cell r="E5052" t="str">
            <v>Xidmət bölməsi</v>
          </cell>
          <cell r="F5052" t="str">
            <v>Müştərilərlə iş üzrə aparıcı mütəxəssis</v>
          </cell>
          <cell r="G5052" t="str">
            <v>A</v>
          </cell>
          <cell r="H5052">
            <v>44880</v>
          </cell>
        </row>
        <row r="5053">
          <cell r="B5053" t="str">
            <v>İsmayılova Zülfiyyə Xaliq</v>
          </cell>
          <cell r="C5053" t="str">
            <v>Xalqlar Dostluğu filialı</v>
          </cell>
          <cell r="D5053" t="str">
            <v>#</v>
          </cell>
          <cell r="E5053" t="str">
            <v>Xidmət bölməsi</v>
          </cell>
          <cell r="F5053" t="str">
            <v>Müştərilərlə iş üzrə aparıcı mütəxəssis</v>
          </cell>
          <cell r="G5053" t="str">
            <v>A</v>
          </cell>
          <cell r="H5053">
            <v>44538</v>
          </cell>
        </row>
        <row r="5054">
          <cell r="B5054" t="str">
            <v>İsrafilova Rəfiqə Rəşadət</v>
          </cell>
          <cell r="C5054" t="str">
            <v>Xalqlar Dostluğu filialı</v>
          </cell>
          <cell r="D5054" t="str">
            <v>#</v>
          </cell>
          <cell r="E5054" t="str">
            <v>Xidmət bölməsi</v>
          </cell>
          <cell r="F5054" t="str">
            <v>Müştərilərlə iş üzrə mütəxəssis</v>
          </cell>
          <cell r="G5054" t="str">
            <v>HX</v>
          </cell>
          <cell r="H5054">
            <v>44582</v>
          </cell>
        </row>
        <row r="5055">
          <cell r="B5055" t="str">
            <v>Piriyev İsa Hikmət</v>
          </cell>
          <cell r="C5055" t="str">
            <v>Xalqlar Dostluğu filialı</v>
          </cell>
          <cell r="D5055" t="str">
            <v>#</v>
          </cell>
          <cell r="E5055" t="str">
            <v>Mikro kredit bölməsi</v>
          </cell>
          <cell r="F5055" t="str">
            <v>Bölmə rəhbəri</v>
          </cell>
          <cell r="G5055" t="str">
            <v>A</v>
          </cell>
          <cell r="H5055">
            <v>44320</v>
          </cell>
        </row>
        <row r="5056">
          <cell r="B5056" t="str">
            <v>İsmayıllı Ramil İsmayıl</v>
          </cell>
          <cell r="C5056" t="str">
            <v>Xalqlar Dostluğu filialı</v>
          </cell>
          <cell r="D5056" t="str">
            <v>#</v>
          </cell>
          <cell r="E5056" t="str">
            <v>Mikro kredit bölməsi</v>
          </cell>
          <cell r="F5056" t="str">
            <v>Baş mütəxəssis</v>
          </cell>
          <cell r="G5056" t="str">
            <v>A</v>
          </cell>
          <cell r="H5056">
            <v>44572</v>
          </cell>
        </row>
        <row r="5057">
          <cell r="B5057" t="str">
            <v>Gözəlov Cavad Faiq</v>
          </cell>
          <cell r="C5057" t="str">
            <v>Xalqlar Dostluğu filialı</v>
          </cell>
          <cell r="D5057" t="str">
            <v>#</v>
          </cell>
          <cell r="E5057" t="str">
            <v>Mikro kredit bölməsi</v>
          </cell>
          <cell r="F5057" t="str">
            <v>Baş mütəxəssis</v>
          </cell>
          <cell r="G5057" t="str">
            <v>A</v>
          </cell>
          <cell r="H5057">
            <v>44350</v>
          </cell>
        </row>
        <row r="5058">
          <cell r="B5058" t="str">
            <v>Zülfüqarov Zaur Zülfüqar</v>
          </cell>
          <cell r="C5058" t="str">
            <v>Xalqlar Dostluğu filialı</v>
          </cell>
          <cell r="D5058" t="str">
            <v>#</v>
          </cell>
          <cell r="E5058" t="str">
            <v>Mikro kredit bölməsi</v>
          </cell>
          <cell r="F5058" t="str">
            <v>Baş mütəxəssis</v>
          </cell>
          <cell r="G5058" t="str">
            <v>A</v>
          </cell>
          <cell r="H5058">
            <v>44354</v>
          </cell>
        </row>
        <row r="5059">
          <cell r="B5059" t="str">
            <v>Qasımov Elvin Namiq</v>
          </cell>
          <cell r="C5059" t="str">
            <v>Xalqlar Dostluğu filialı</v>
          </cell>
          <cell r="D5059" t="str">
            <v>#</v>
          </cell>
          <cell r="E5059" t="str">
            <v>Mikro kredit bölməsi</v>
          </cell>
          <cell r="F5059" t="str">
            <v>Aparıcı mütəxəssis</v>
          </cell>
          <cell r="G5059" t="str">
            <v>A</v>
          </cell>
          <cell r="H5059">
            <v>45196</v>
          </cell>
        </row>
        <row r="5060">
          <cell r="B5060" t="str">
            <v>İsayeva Sevda Nuru</v>
          </cell>
          <cell r="C5060" t="str">
            <v>Xalqlar Dostluğu filialı</v>
          </cell>
          <cell r="D5060" t="str">
            <v>#</v>
          </cell>
          <cell r="E5060" t="str">
            <v>İnzibati bölmə</v>
          </cell>
          <cell r="F5060" t="str">
            <v>Xadimə</v>
          </cell>
          <cell r="G5060" t="str">
            <v>A</v>
          </cell>
          <cell r="H5060">
            <v>44049</v>
          </cell>
        </row>
        <row r="5061">
          <cell r="B5061" t="str">
            <v>Mirzəyev Dadaş Vaqif</v>
          </cell>
          <cell r="C5061" t="str">
            <v>Sabunçu filialı</v>
          </cell>
          <cell r="D5061" t="str">
            <v>#</v>
          </cell>
          <cell r="E5061" t="str">
            <v>#</v>
          </cell>
          <cell r="F5061" t="str">
            <v>Müdir</v>
          </cell>
          <cell r="G5061" t="str">
            <v>A</v>
          </cell>
          <cell r="H5061">
            <v>41809</v>
          </cell>
        </row>
        <row r="5062">
          <cell r="B5062" t="str">
            <v>Məmmədov Elmin Sahib</v>
          </cell>
          <cell r="C5062" t="str">
            <v>Sabunçu filialı</v>
          </cell>
          <cell r="D5062" t="str">
            <v>#</v>
          </cell>
          <cell r="E5062" t="str">
            <v>Xidmət bölməsi</v>
          </cell>
          <cell r="F5062" t="str">
            <v>Kassa üzrə aparıcı mütəxəssis</v>
          </cell>
          <cell r="G5062" t="str">
            <v>A</v>
          </cell>
          <cell r="H5062">
            <v>44586</v>
          </cell>
        </row>
        <row r="5063">
          <cell r="B5063" t="str">
            <v>Məcidli Məcid Məlik</v>
          </cell>
          <cell r="C5063" t="str">
            <v>Sabunçu filialı</v>
          </cell>
          <cell r="D5063" t="str">
            <v>#</v>
          </cell>
          <cell r="E5063" t="str">
            <v>Xidmət bölməsi</v>
          </cell>
          <cell r="F5063" t="str">
            <v>Kassa üzrə mütəxəssis</v>
          </cell>
          <cell r="G5063" t="str">
            <v>A</v>
          </cell>
          <cell r="H5063">
            <v>45889</v>
          </cell>
        </row>
        <row r="5064">
          <cell r="B5064" t="str">
            <v>Quliyeva Ülviyyə Elman</v>
          </cell>
          <cell r="C5064" t="str">
            <v>Sabunçu filialı</v>
          </cell>
          <cell r="D5064" t="str">
            <v>#</v>
          </cell>
          <cell r="E5064" t="str">
            <v>Xidmət bölməsi</v>
          </cell>
          <cell r="F5064" t="str">
            <v>Müştərilərlə iş üzrə baş mütəxəssis</v>
          </cell>
          <cell r="G5064" t="str">
            <v>A</v>
          </cell>
          <cell r="H5064">
            <v>39909</v>
          </cell>
        </row>
        <row r="5065">
          <cell r="B5065" t="str">
            <v>Mollayeva Günay Faiq</v>
          </cell>
          <cell r="C5065" t="str">
            <v>Sabunçu filialı</v>
          </cell>
          <cell r="D5065" t="str">
            <v>#</v>
          </cell>
          <cell r="E5065" t="str">
            <v>Xidmət bölməsi</v>
          </cell>
          <cell r="F5065" t="str">
            <v>Müştərilərlə iş üzrə baş mütəxəssis</v>
          </cell>
          <cell r="G5065" t="str">
            <v>SM</v>
          </cell>
          <cell r="H5065">
            <v>43675</v>
          </cell>
        </row>
        <row r="5066">
          <cell r="B5066" t="str">
            <v>Mirzəyeva Günay Əziz</v>
          </cell>
          <cell r="C5066" t="str">
            <v>Sabunçu filialı</v>
          </cell>
          <cell r="D5066" t="str">
            <v>#</v>
          </cell>
          <cell r="E5066" t="str">
            <v>Xidmət bölməsi</v>
          </cell>
          <cell r="F5066" t="str">
            <v>Müştərilərlə iş üzrə mütəxəssis (müvəqqəti)</v>
          </cell>
          <cell r="G5066" t="str">
            <v>A</v>
          </cell>
          <cell r="H5066">
            <v>45880</v>
          </cell>
        </row>
        <row r="5067">
          <cell r="B5067" t="str">
            <v>İbrahimova Sevda Mütəllim</v>
          </cell>
          <cell r="C5067" t="str">
            <v>Sabunçu filialı</v>
          </cell>
          <cell r="D5067" t="str">
            <v>#</v>
          </cell>
          <cell r="E5067" t="str">
            <v>Xidmət bölməsi</v>
          </cell>
          <cell r="F5067" t="str">
            <v>Müştərilərlə iş üzrə aparıcı mütəxəssis</v>
          </cell>
          <cell r="G5067" t="str">
            <v>A</v>
          </cell>
          <cell r="H5067">
            <v>40085</v>
          </cell>
        </row>
        <row r="5068">
          <cell r="B5068" t="str">
            <v>Məmmədli Məmməd Məmməd</v>
          </cell>
          <cell r="C5068" t="str">
            <v>Sabunçu filialı</v>
          </cell>
          <cell r="D5068" t="str">
            <v>#</v>
          </cell>
          <cell r="E5068" t="str">
            <v>Xidmət bölməsi</v>
          </cell>
          <cell r="F5068" t="str">
            <v>Müştərilərlə iş üzrə aparıcı mütəxəssis</v>
          </cell>
          <cell r="G5068" t="str">
            <v>A</v>
          </cell>
          <cell r="H5068">
            <v>43843</v>
          </cell>
        </row>
        <row r="5069">
          <cell r="B5069" t="str">
            <v>Osmanova Günəş Nizami</v>
          </cell>
          <cell r="C5069" t="str">
            <v>Sabunçu filialı</v>
          </cell>
          <cell r="D5069" t="str">
            <v>#</v>
          </cell>
          <cell r="E5069" t="str">
            <v>Xidmət bölməsi</v>
          </cell>
          <cell r="F5069" t="str">
            <v>Müştərilərlə iş üzrə mütəxəssis</v>
          </cell>
          <cell r="G5069" t="str">
            <v>A</v>
          </cell>
          <cell r="H5069">
            <v>45131</v>
          </cell>
        </row>
        <row r="5070">
          <cell r="B5070" t="str">
            <v>Yenikeyeva Aytən Qəhrəman</v>
          </cell>
          <cell r="C5070" t="str">
            <v>Sabunçu filialı</v>
          </cell>
          <cell r="D5070" t="str">
            <v>#</v>
          </cell>
          <cell r="E5070" t="str">
            <v>Xidmət bölməsi</v>
          </cell>
          <cell r="F5070" t="str">
            <v>Məlumat xidməti üzrə aparıcı mütəxəssis</v>
          </cell>
          <cell r="G5070" t="str">
            <v>A</v>
          </cell>
          <cell r="H5070">
            <v>44795</v>
          </cell>
        </row>
        <row r="5071">
          <cell r="B5071" t="str">
            <v>Əmirova Səbirə Oktay</v>
          </cell>
          <cell r="C5071" t="str">
            <v>Sabunçu filialı</v>
          </cell>
          <cell r="D5071" t="str">
            <v>#</v>
          </cell>
          <cell r="E5071" t="str">
            <v>İnzibati bölmə</v>
          </cell>
          <cell r="F5071" t="str">
            <v>Xadimə</v>
          </cell>
          <cell r="G5071" t="str">
            <v>A</v>
          </cell>
          <cell r="H5071">
            <v>45457</v>
          </cell>
        </row>
        <row r="5072">
          <cell r="B5072" t="str">
            <v>Həsənov Fərid Mübariz</v>
          </cell>
          <cell r="C5072" t="str">
            <v>Sahil filialı</v>
          </cell>
          <cell r="D5072" t="str">
            <v>#</v>
          </cell>
          <cell r="E5072" t="str">
            <v>#</v>
          </cell>
          <cell r="F5072" t="str">
            <v>Müdir</v>
          </cell>
          <cell r="G5072" t="str">
            <v>A</v>
          </cell>
          <cell r="H5072">
            <v>41761</v>
          </cell>
        </row>
        <row r="5073">
          <cell r="B5073" t="str">
            <v>Ələkbərov Rəşad Elşad</v>
          </cell>
          <cell r="C5073" t="str">
            <v>Sahil filialı</v>
          </cell>
          <cell r="D5073" t="str">
            <v>#</v>
          </cell>
          <cell r="E5073" t="str">
            <v>Xidmət bölməsi</v>
          </cell>
          <cell r="F5073" t="str">
            <v>Kassa üzrə baş mütəxəssis</v>
          </cell>
          <cell r="G5073" t="str">
            <v>A</v>
          </cell>
          <cell r="H5073">
            <v>45369</v>
          </cell>
        </row>
        <row r="5074">
          <cell r="B5074" t="str">
            <v>Əhmədzadə Nihad Mahir</v>
          </cell>
          <cell r="C5074" t="str">
            <v>Sahil filialı</v>
          </cell>
          <cell r="D5074" t="str">
            <v>#</v>
          </cell>
          <cell r="E5074" t="str">
            <v>Xidmət bölməsi</v>
          </cell>
          <cell r="F5074" t="str">
            <v>Kassa üzrə mütəxəssis</v>
          </cell>
          <cell r="G5074" t="str">
            <v>A</v>
          </cell>
          <cell r="H5074">
            <v>45678</v>
          </cell>
        </row>
        <row r="5075">
          <cell r="B5075" t="str">
            <v>Hacıyeva Fidan Şahlar</v>
          </cell>
          <cell r="C5075" t="str">
            <v>Sahil filialı</v>
          </cell>
          <cell r="D5075" t="str">
            <v>#</v>
          </cell>
          <cell r="E5075" t="str">
            <v>Xidmət bölməsi</v>
          </cell>
          <cell r="F5075" t="str">
            <v>Məlumat xidməti üzrə mütəxəssis</v>
          </cell>
          <cell r="G5075" t="str">
            <v>A</v>
          </cell>
          <cell r="H5075">
            <v>45587</v>
          </cell>
        </row>
        <row r="5076">
          <cell r="B5076" t="str">
            <v>Əlizadə Lalə Natiq</v>
          </cell>
          <cell r="C5076" t="str">
            <v>Sahil filialı</v>
          </cell>
          <cell r="D5076" t="str">
            <v>#</v>
          </cell>
          <cell r="E5076" t="str">
            <v>Xidmət bölməsi</v>
          </cell>
          <cell r="F5076" t="str">
            <v>Müştərilərlə iş üzrə baş mütəxəssis</v>
          </cell>
          <cell r="G5076" t="str">
            <v>A</v>
          </cell>
          <cell r="H5076">
            <v>42675</v>
          </cell>
        </row>
        <row r="5077">
          <cell r="B5077" t="str">
            <v>Nadirli Aygül Vadər</v>
          </cell>
          <cell r="C5077" t="str">
            <v>Sahil filialı</v>
          </cell>
          <cell r="D5077" t="str">
            <v>#</v>
          </cell>
          <cell r="E5077" t="str">
            <v>Xidmət bölməsi</v>
          </cell>
          <cell r="F5077" t="str">
            <v>Müştərilərlə iş üzrə baş mütəxəssis</v>
          </cell>
          <cell r="G5077" t="str">
            <v>A</v>
          </cell>
          <cell r="H5077">
            <v>43801</v>
          </cell>
        </row>
        <row r="5078">
          <cell r="B5078" t="str">
            <v>Cəfərov İbrahim Elşad</v>
          </cell>
          <cell r="C5078" t="str">
            <v>Sahil filialı</v>
          </cell>
          <cell r="D5078" t="str">
            <v>#</v>
          </cell>
          <cell r="E5078" t="str">
            <v>Xidmət bölməsi</v>
          </cell>
          <cell r="F5078" t="str">
            <v>Müştərilərlə iş üzrə aparıcı mütəxəssis</v>
          </cell>
          <cell r="G5078" t="str">
            <v>A</v>
          </cell>
          <cell r="H5078">
            <v>42997</v>
          </cell>
        </row>
        <row r="5079">
          <cell r="B5079" t="str">
            <v>Axundova Hafizə Mübariz</v>
          </cell>
          <cell r="C5079" t="str">
            <v>Sahil filialı</v>
          </cell>
          <cell r="D5079" t="str">
            <v>#</v>
          </cell>
          <cell r="E5079" t="str">
            <v>Xidmət bölməsi</v>
          </cell>
          <cell r="F5079" t="str">
            <v>Müştərilərlə iş üzrə aparıcı mütəxəssis</v>
          </cell>
          <cell r="G5079" t="str">
            <v>A</v>
          </cell>
          <cell r="H5079">
            <v>45177</v>
          </cell>
        </row>
        <row r="5080">
          <cell r="B5080" t="str">
            <v>Musazadə Günel İlqar</v>
          </cell>
          <cell r="C5080" t="str">
            <v>Sahil filialı</v>
          </cell>
          <cell r="D5080" t="str">
            <v>#</v>
          </cell>
          <cell r="E5080" t="str">
            <v>Xidmət bölməsi</v>
          </cell>
          <cell r="F5080" t="str">
            <v>Müştərilərlə iş üzrə aparıcı mütəxəssis</v>
          </cell>
          <cell r="G5080" t="str">
            <v>A</v>
          </cell>
          <cell r="H5080">
            <v>45177</v>
          </cell>
        </row>
        <row r="5081">
          <cell r="B5081" t="str">
            <v>Nuruyeva Aygün Uruf</v>
          </cell>
          <cell r="C5081" t="str">
            <v>Sahil filialı</v>
          </cell>
          <cell r="D5081" t="str">
            <v>#</v>
          </cell>
          <cell r="E5081" t="str">
            <v>Xidmət bölməsi</v>
          </cell>
          <cell r="F5081" t="str">
            <v>Müştərilərlə iş üzrə aparıcı mütəxəssis</v>
          </cell>
          <cell r="G5081" t="str">
            <v>A</v>
          </cell>
          <cell r="H5081">
            <v>44566</v>
          </cell>
        </row>
        <row r="5082">
          <cell r="B5082" t="str">
            <v>Zeynalzadə Hüseyn İsfəndiyar</v>
          </cell>
          <cell r="C5082" t="str">
            <v>Sahil filialı</v>
          </cell>
          <cell r="D5082" t="str">
            <v>#</v>
          </cell>
          <cell r="E5082" t="str">
            <v>Xidmət bölməsi</v>
          </cell>
          <cell r="F5082" t="str">
            <v>Müştərilərlə iş üzrə aparıcı mütəxəssis</v>
          </cell>
          <cell r="G5082" t="str">
            <v>A</v>
          </cell>
          <cell r="H5082">
            <v>45519</v>
          </cell>
        </row>
        <row r="5083">
          <cell r="B5083" t="str">
            <v>Rəcəbov Səbuhi Əhməd</v>
          </cell>
          <cell r="C5083" t="str">
            <v>Sahil filialı</v>
          </cell>
          <cell r="D5083" t="str">
            <v>#</v>
          </cell>
          <cell r="E5083" t="str">
            <v>Xidmət bölməsi</v>
          </cell>
          <cell r="F5083" t="str">
            <v>Müştərilərlə iş üzrə mütəxəssis</v>
          </cell>
          <cell r="G5083" t="str">
            <v>A</v>
          </cell>
          <cell r="H5083">
            <v>45693</v>
          </cell>
        </row>
        <row r="5084">
          <cell r="B5084" t="str">
            <v>Rzayeva Kəmalə Rafiq</v>
          </cell>
          <cell r="C5084" t="str">
            <v>Sahil filialı</v>
          </cell>
          <cell r="D5084" t="str">
            <v>#</v>
          </cell>
          <cell r="E5084" t="str">
            <v>İnzibati bölmə</v>
          </cell>
          <cell r="F5084" t="str">
            <v>Xadimə</v>
          </cell>
          <cell r="G5084" t="str">
            <v>A</v>
          </cell>
          <cell r="H5084">
            <v>43427</v>
          </cell>
        </row>
        <row r="5085">
          <cell r="B5085" t="str">
            <v>Əliyev İsa Rəsul</v>
          </cell>
          <cell r="C5085" t="str">
            <v>Səbail filialı</v>
          </cell>
          <cell r="D5085" t="str">
            <v>#</v>
          </cell>
          <cell r="E5085" t="str">
            <v>#</v>
          </cell>
          <cell r="F5085" t="str">
            <v>Müdir</v>
          </cell>
          <cell r="G5085" t="str">
            <v>A</v>
          </cell>
          <cell r="H5085">
            <v>43276</v>
          </cell>
        </row>
        <row r="5086">
          <cell r="B5086" t="str">
            <v>Ağazadə Elnur Aqşin</v>
          </cell>
          <cell r="C5086" t="str">
            <v>Səbail filialı</v>
          </cell>
          <cell r="D5086" t="str">
            <v>#</v>
          </cell>
          <cell r="E5086" t="str">
            <v>Xidmət bölməsi</v>
          </cell>
          <cell r="F5086" t="str">
            <v>İpoteka üzrə baş mütəxəssis</v>
          </cell>
          <cell r="G5086" t="str">
            <v>A</v>
          </cell>
          <cell r="H5086">
            <v>44736</v>
          </cell>
        </row>
        <row r="5087">
          <cell r="B5087" t="str">
            <v>Şahverdiyev Fərid Məşkur</v>
          </cell>
          <cell r="C5087" t="str">
            <v>Səbail filialı</v>
          </cell>
          <cell r="D5087" t="str">
            <v>#</v>
          </cell>
          <cell r="E5087" t="str">
            <v>Xidmət bölməsi</v>
          </cell>
          <cell r="F5087" t="str">
            <v>İpoteka üzrə mütəxəssis</v>
          </cell>
          <cell r="G5087" t="str">
            <v>A</v>
          </cell>
          <cell r="H5087">
            <v>44545</v>
          </cell>
        </row>
        <row r="5088">
          <cell r="B5088" t="str">
            <v>Balaşzadə Natavan Elxan</v>
          </cell>
          <cell r="C5088" t="str">
            <v>Səbail filialı</v>
          </cell>
          <cell r="D5088" t="str">
            <v>#</v>
          </cell>
          <cell r="E5088" t="str">
            <v>Xidmət bölməsi</v>
          </cell>
          <cell r="F5088" t="str">
            <v>Kassa üzrə baş mütəxəssis</v>
          </cell>
          <cell r="G5088" t="str">
            <v>A</v>
          </cell>
          <cell r="H5088">
            <v>42675</v>
          </cell>
        </row>
        <row r="5089">
          <cell r="B5089" t="str">
            <v>Əhmədova Əsgərzadə Lala İlham</v>
          </cell>
          <cell r="C5089" t="str">
            <v>Səbail filialı</v>
          </cell>
          <cell r="D5089" t="str">
            <v>#</v>
          </cell>
          <cell r="E5089" t="str">
            <v>Xidmət bölməsi</v>
          </cell>
          <cell r="F5089" t="str">
            <v>Məlumat xidməti üzrə mütəxəssis</v>
          </cell>
          <cell r="G5089" t="str">
            <v>SM</v>
          </cell>
          <cell r="H5089">
            <v>44714</v>
          </cell>
        </row>
        <row r="5090">
          <cell r="B5090" t="str">
            <v>Əliyeva Səbinə Səməd</v>
          </cell>
          <cell r="C5090" t="str">
            <v>Səbail filialı</v>
          </cell>
          <cell r="D5090" t="str">
            <v>#</v>
          </cell>
          <cell r="E5090" t="str">
            <v>Xidmət bölməsi</v>
          </cell>
          <cell r="F5090" t="str">
            <v>Müştərilərlə iş üzrə baş mütəxəssis</v>
          </cell>
          <cell r="G5090" t="str">
            <v>A</v>
          </cell>
          <cell r="H5090">
            <v>40532</v>
          </cell>
        </row>
        <row r="5091">
          <cell r="B5091" t="str">
            <v>Məmmədov Yaşar Mirəli</v>
          </cell>
          <cell r="C5091" t="str">
            <v>Səbail filialı</v>
          </cell>
          <cell r="D5091" t="str">
            <v>#</v>
          </cell>
          <cell r="E5091" t="str">
            <v>Xidmət bölməsi</v>
          </cell>
          <cell r="F5091" t="str">
            <v>Müştərilərlə iş üzrə baş mütəxəssis</v>
          </cell>
          <cell r="G5091" t="str">
            <v>A</v>
          </cell>
          <cell r="H5091">
            <v>42241</v>
          </cell>
        </row>
        <row r="5092">
          <cell r="B5092" t="str">
            <v>Rizayeva Nəzrin Tərlan</v>
          </cell>
          <cell r="C5092" t="str">
            <v>Səbail filialı</v>
          </cell>
          <cell r="D5092" t="str">
            <v>#</v>
          </cell>
          <cell r="E5092" t="str">
            <v>Xidmət bölməsi</v>
          </cell>
          <cell r="F5092" t="str">
            <v>Müştərilərlə iş üzrə baş mütəxəssis</v>
          </cell>
          <cell r="G5092" t="str">
            <v>A</v>
          </cell>
          <cell r="H5092">
            <v>43698</v>
          </cell>
        </row>
        <row r="5093">
          <cell r="B5093" t="str">
            <v>Əliyeva Gültən Əhliman</v>
          </cell>
          <cell r="C5093" t="str">
            <v>Səbail filialı</v>
          </cell>
          <cell r="D5093" t="str">
            <v>#</v>
          </cell>
          <cell r="E5093" t="str">
            <v>Xidmət bölməsi</v>
          </cell>
          <cell r="F5093" t="str">
            <v>Müştərilərlə iş üzrə baş mütəxəssis</v>
          </cell>
          <cell r="G5093" t="str">
            <v>A</v>
          </cell>
          <cell r="H5093">
            <v>42933</v>
          </cell>
        </row>
        <row r="5094">
          <cell r="B5094" t="str">
            <v>Zeynalzadə Səadət Vidadi</v>
          </cell>
          <cell r="C5094" t="str">
            <v>Səbail filialı</v>
          </cell>
          <cell r="D5094" t="str">
            <v>#</v>
          </cell>
          <cell r="E5094" t="str">
            <v>Xidmət bölməsi</v>
          </cell>
          <cell r="F5094" t="str">
            <v>Müştərilərlə iş üzrə aparıcı mütəxəssis</v>
          </cell>
          <cell r="G5094" t="str">
            <v>SM</v>
          </cell>
          <cell r="H5094">
            <v>44572</v>
          </cell>
        </row>
        <row r="5095">
          <cell r="B5095" t="str">
            <v>Məmmədova Səadət Zeynal</v>
          </cell>
          <cell r="C5095" t="str">
            <v>Səbail filialı</v>
          </cell>
          <cell r="D5095" t="str">
            <v>#</v>
          </cell>
          <cell r="E5095" t="str">
            <v>İnzibati bölmə</v>
          </cell>
          <cell r="F5095" t="str">
            <v>Xadimə</v>
          </cell>
          <cell r="G5095" t="str">
            <v>A</v>
          </cell>
          <cell r="H5095">
            <v>38992</v>
          </cell>
        </row>
        <row r="5096">
          <cell r="B5096" t="str">
            <v>Həsənova Dilrubə Nurməmməd</v>
          </cell>
          <cell r="C5096" t="str">
            <v>Səbail filialı</v>
          </cell>
          <cell r="D5096" t="str">
            <v>#</v>
          </cell>
          <cell r="E5096" t="str">
            <v>İnzibati bölmə</v>
          </cell>
          <cell r="F5096" t="str">
            <v>Xadimə</v>
          </cell>
          <cell r="G5096" t="str">
            <v>A</v>
          </cell>
          <cell r="H5096">
            <v>39212</v>
          </cell>
        </row>
        <row r="5097">
          <cell r="B5097" t="str">
            <v>Cabbarzadə Ramil Rasim</v>
          </cell>
          <cell r="C5097" t="str">
            <v>Sumqayıt filialı</v>
          </cell>
          <cell r="D5097" t="str">
            <v>#</v>
          </cell>
          <cell r="E5097" t="str">
            <v>#</v>
          </cell>
          <cell r="F5097" t="str">
            <v>Müdir</v>
          </cell>
          <cell r="G5097" t="str">
            <v>A</v>
          </cell>
          <cell r="H5097">
            <v>43682</v>
          </cell>
        </row>
        <row r="5098">
          <cell r="B5098" t="str">
            <v>Qənbərov Fərid Fəhrəddin</v>
          </cell>
          <cell r="C5098" t="str">
            <v>Sumqayıt filialı</v>
          </cell>
          <cell r="D5098" t="str">
            <v>#</v>
          </cell>
          <cell r="E5098" t="str">
            <v>Xidmət bölməsi</v>
          </cell>
          <cell r="F5098" t="str">
            <v>Bölmə rəhbəri</v>
          </cell>
          <cell r="G5098" t="str">
            <v>A</v>
          </cell>
          <cell r="H5098">
            <v>42821</v>
          </cell>
        </row>
        <row r="5099">
          <cell r="B5099" t="str">
            <v>Həsənov Ənvər Rafiq</v>
          </cell>
          <cell r="C5099" t="str">
            <v>Sumqayıt filialı</v>
          </cell>
          <cell r="D5099" t="str">
            <v>#</v>
          </cell>
          <cell r="E5099" t="str">
            <v>Xidmət bölməsi</v>
          </cell>
          <cell r="F5099" t="str">
            <v>Kassa üzrə baş mütəxəssis</v>
          </cell>
          <cell r="G5099" t="str">
            <v>A</v>
          </cell>
          <cell r="H5099">
            <v>39176</v>
          </cell>
        </row>
        <row r="5100">
          <cell r="B5100" t="str">
            <v>Paşayeva Zemfira Vasif</v>
          </cell>
          <cell r="C5100" t="str">
            <v>Sumqayıt filialı</v>
          </cell>
          <cell r="D5100" t="str">
            <v>#</v>
          </cell>
          <cell r="E5100" t="str">
            <v>Xidmət bölməsi</v>
          </cell>
          <cell r="F5100" t="str">
            <v>Kassa üzrə baş mütəxəssis</v>
          </cell>
          <cell r="G5100" t="str">
            <v>A</v>
          </cell>
          <cell r="H5100">
            <v>36685</v>
          </cell>
        </row>
        <row r="5101">
          <cell r="B5101" t="str">
            <v>Ələkbərova Firuzə Adil</v>
          </cell>
          <cell r="C5101" t="str">
            <v>Sumqayıt filialı</v>
          </cell>
          <cell r="D5101" t="str">
            <v>#</v>
          </cell>
          <cell r="E5101" t="str">
            <v>Xidmət bölməsi</v>
          </cell>
          <cell r="F5101" t="str">
            <v>Məlumat xidməti üzrə aparıcı mütəxəssis</v>
          </cell>
          <cell r="G5101" t="str">
            <v>A</v>
          </cell>
          <cell r="H5101">
            <v>41710</v>
          </cell>
        </row>
        <row r="5102">
          <cell r="B5102" t="str">
            <v>Əhmədova Aysel Məzahir</v>
          </cell>
          <cell r="C5102" t="str">
            <v>Sumqayıt filialı</v>
          </cell>
          <cell r="D5102" t="str">
            <v>#</v>
          </cell>
          <cell r="E5102" t="str">
            <v>Xidmət bölməsi</v>
          </cell>
          <cell r="F5102" t="str">
            <v>Məlumat xidməti üzrə aparıcı mütəxəssis</v>
          </cell>
          <cell r="G5102" t="str">
            <v>A</v>
          </cell>
          <cell r="H5102">
            <v>44988</v>
          </cell>
        </row>
        <row r="5103">
          <cell r="B5103" t="str">
            <v>Babayeva Aytəkin Məhəmməd</v>
          </cell>
          <cell r="C5103" t="str">
            <v>Sumqayıt filialı</v>
          </cell>
          <cell r="D5103" t="str">
            <v>#</v>
          </cell>
          <cell r="E5103" t="str">
            <v>Xidmət bölməsi</v>
          </cell>
          <cell r="F5103" t="str">
            <v>Müştərilərlə iş üzrə baş mütəxəssis</v>
          </cell>
          <cell r="G5103" t="str">
            <v>HX</v>
          </cell>
          <cell r="H5103">
            <v>43353</v>
          </cell>
        </row>
        <row r="5104">
          <cell r="B5104" t="str">
            <v>Hüseynov Azad Səxavət</v>
          </cell>
          <cell r="C5104" t="str">
            <v>Sumqayıt filialı</v>
          </cell>
          <cell r="D5104" t="str">
            <v>#</v>
          </cell>
          <cell r="E5104" t="str">
            <v>Xidmət bölməsi</v>
          </cell>
          <cell r="F5104" t="str">
            <v>Müştərilərlə iş üzrə baş mütəxəssis</v>
          </cell>
          <cell r="G5104" t="str">
            <v>A</v>
          </cell>
          <cell r="H5104">
            <v>43777</v>
          </cell>
        </row>
        <row r="5105">
          <cell r="B5105" t="str">
            <v>Şəkərov Fərid Adil</v>
          </cell>
          <cell r="C5105" t="str">
            <v>Sumqayıt filialı</v>
          </cell>
          <cell r="D5105" t="str">
            <v>#</v>
          </cell>
          <cell r="E5105" t="str">
            <v>Xidmət bölməsi</v>
          </cell>
          <cell r="F5105" t="str">
            <v>Müştərilərlə iş üzrə baş mütəxəssis</v>
          </cell>
          <cell r="G5105" t="str">
            <v>A</v>
          </cell>
          <cell r="H5105">
            <v>41925</v>
          </cell>
        </row>
        <row r="5106">
          <cell r="B5106" t="str">
            <v>Şahverdiyev Soltanhəmid Cavanşir</v>
          </cell>
          <cell r="C5106" t="str">
            <v>Sumqayıt filialı</v>
          </cell>
          <cell r="D5106" t="str">
            <v>#</v>
          </cell>
          <cell r="E5106" t="str">
            <v>Xidmət bölməsi</v>
          </cell>
          <cell r="F5106" t="str">
            <v>Müştərilərlə iş üzrə baş mütəxəssis</v>
          </cell>
          <cell r="G5106" t="str">
            <v>A</v>
          </cell>
          <cell r="H5106">
            <v>37211</v>
          </cell>
        </row>
        <row r="5107">
          <cell r="B5107" t="str">
            <v>Muradova Şəhanə Şahin</v>
          </cell>
          <cell r="C5107" t="str">
            <v>Sumqayıt filialı</v>
          </cell>
          <cell r="D5107" t="str">
            <v>#</v>
          </cell>
          <cell r="E5107" t="str">
            <v>Xidmət bölməsi</v>
          </cell>
          <cell r="F5107" t="str">
            <v>Müştərilərlə iş üzrə baş mütəxəssis</v>
          </cell>
          <cell r="G5107" t="str">
            <v>A</v>
          </cell>
          <cell r="H5107">
            <v>42821</v>
          </cell>
        </row>
        <row r="5108">
          <cell r="B5108" t="str">
            <v>Əhmədova Leyla Firəddin</v>
          </cell>
          <cell r="C5108" t="str">
            <v>Sumqayıt filialı</v>
          </cell>
          <cell r="D5108" t="str">
            <v>#</v>
          </cell>
          <cell r="E5108" t="str">
            <v>Xidmət bölməsi</v>
          </cell>
          <cell r="F5108" t="str">
            <v>Müştərilərlə iş üzrə baş mütəxəssis</v>
          </cell>
          <cell r="G5108" t="str">
            <v>A</v>
          </cell>
          <cell r="H5108">
            <v>37202</v>
          </cell>
        </row>
        <row r="5109">
          <cell r="B5109" t="str">
            <v>Mehtiyeva Ramilə Hidayət</v>
          </cell>
          <cell r="C5109" t="str">
            <v>Sumqayıt filialı</v>
          </cell>
          <cell r="D5109" t="str">
            <v>#</v>
          </cell>
          <cell r="E5109" t="str">
            <v>Xidmət bölməsi</v>
          </cell>
          <cell r="F5109" t="str">
            <v>Müştərilərlə iş üzrə baş mütəxəssis</v>
          </cell>
          <cell r="G5109" t="str">
            <v>A</v>
          </cell>
          <cell r="H5109">
            <v>42352</v>
          </cell>
        </row>
        <row r="5110">
          <cell r="B5110" t="str">
            <v>İsgəndərov Emil Umud</v>
          </cell>
          <cell r="C5110" t="str">
            <v>Sumqayıt filialı</v>
          </cell>
          <cell r="D5110" t="str">
            <v>#</v>
          </cell>
          <cell r="E5110" t="str">
            <v>Xidmət bölməsi</v>
          </cell>
          <cell r="F5110" t="str">
            <v>Müştərilərlə iş üzrə baş mütəxəssis</v>
          </cell>
          <cell r="G5110" t="str">
            <v>A</v>
          </cell>
          <cell r="H5110">
            <v>43843</v>
          </cell>
        </row>
        <row r="5111">
          <cell r="B5111" t="str">
            <v>Cumayev Eltun Afər</v>
          </cell>
          <cell r="C5111" t="str">
            <v>Sumqayıt filialı</v>
          </cell>
          <cell r="D5111" t="str">
            <v>#</v>
          </cell>
          <cell r="E5111" t="str">
            <v>Xidmət bölməsi</v>
          </cell>
          <cell r="F5111" t="str">
            <v>Kiçik əməliyyatçı-kassir</v>
          </cell>
          <cell r="G5111" t="str">
            <v>A</v>
          </cell>
          <cell r="H5111">
            <v>46066</v>
          </cell>
        </row>
        <row r="5112">
          <cell r="B5112" t="str">
            <v>Mustafayev Kənan Sahib</v>
          </cell>
          <cell r="C5112" t="str">
            <v>Sumqayıt filialı</v>
          </cell>
          <cell r="D5112" t="str">
            <v>#</v>
          </cell>
          <cell r="E5112" t="str">
            <v>Xidmət bölməsi</v>
          </cell>
          <cell r="F5112" t="str">
            <v>Müştərilərlə iş üzrə aparıcı mütəxəssis</v>
          </cell>
          <cell r="G5112" t="str">
            <v>A</v>
          </cell>
          <cell r="H5112">
            <v>44257</v>
          </cell>
        </row>
        <row r="5113">
          <cell r="B5113" t="str">
            <v>Yaşarzadə Nilufər Etibar</v>
          </cell>
          <cell r="C5113" t="str">
            <v>Sumqayıt filialı</v>
          </cell>
          <cell r="D5113" t="str">
            <v>#</v>
          </cell>
          <cell r="E5113" t="str">
            <v>Xidmət bölməsi</v>
          </cell>
          <cell r="F5113" t="str">
            <v>Müştərilərlə iş üzrə mütəxəssis</v>
          </cell>
          <cell r="G5113" t="str">
            <v>A</v>
          </cell>
          <cell r="H5113">
            <v>45358</v>
          </cell>
        </row>
        <row r="5114">
          <cell r="B5114" t="str">
            <v>Abıbəyli Əzizə Elşən</v>
          </cell>
          <cell r="C5114" t="str">
            <v>Sumqayıt filialı</v>
          </cell>
          <cell r="D5114" t="str">
            <v>#</v>
          </cell>
          <cell r="E5114" t="str">
            <v>Xidmət bölməsi</v>
          </cell>
          <cell r="F5114" t="str">
            <v>Müştərilərlə iş üzrə mütəxəssis</v>
          </cell>
          <cell r="G5114" t="str">
            <v>A</v>
          </cell>
          <cell r="H5114">
            <v>45978</v>
          </cell>
        </row>
        <row r="5115">
          <cell r="B5115" t="str">
            <v>Rüstəmova Xanım Müşfiq</v>
          </cell>
          <cell r="C5115" t="str">
            <v>Sumqayıt filialı</v>
          </cell>
          <cell r="D5115" t="str">
            <v>#</v>
          </cell>
          <cell r="E5115" t="str">
            <v>Xidmət bölməsi</v>
          </cell>
          <cell r="F5115" t="str">
            <v>Müştərilərlə iş üzrə aparıcı mütəxəssis</v>
          </cell>
          <cell r="G5115" t="str">
            <v>A</v>
          </cell>
          <cell r="H5115">
            <v>44624</v>
          </cell>
        </row>
        <row r="5116">
          <cell r="B5116" t="str">
            <v>Bəşirov Elmin Vüqar</v>
          </cell>
          <cell r="C5116" t="str">
            <v>Sumqayıt filialı</v>
          </cell>
          <cell r="D5116" t="str">
            <v>#</v>
          </cell>
          <cell r="E5116" t="str">
            <v>Xidmət bölməsi</v>
          </cell>
          <cell r="F5116" t="str">
            <v>Müştərilərlə iş üzrə aparıcı mütəxəssis</v>
          </cell>
          <cell r="G5116" t="str">
            <v>A</v>
          </cell>
          <cell r="H5116">
            <v>44631</v>
          </cell>
        </row>
        <row r="5117">
          <cell r="B5117" t="str">
            <v>Ömərova Aidə Mübariz</v>
          </cell>
          <cell r="C5117" t="str">
            <v>Sumqayıt filialı</v>
          </cell>
          <cell r="D5117" t="str">
            <v>#</v>
          </cell>
          <cell r="E5117" t="str">
            <v>Xidmət bölməsi</v>
          </cell>
          <cell r="F5117" t="str">
            <v>Müştərilərlə iş üzrə mütəxəssis</v>
          </cell>
          <cell r="G5117" t="str">
            <v>A</v>
          </cell>
          <cell r="H5117">
            <v>45994</v>
          </cell>
        </row>
        <row r="5118">
          <cell r="B5118" t="str">
            <v>Həsənova Kifayət Museyib</v>
          </cell>
          <cell r="C5118" t="str">
            <v>Sumqayıt filialı</v>
          </cell>
          <cell r="D5118" t="str">
            <v>#</v>
          </cell>
          <cell r="E5118" t="str">
            <v>İnzibati bölmə</v>
          </cell>
          <cell r="F5118" t="str">
            <v>Xadimə</v>
          </cell>
          <cell r="G5118" t="str">
            <v>A</v>
          </cell>
          <cell r="H5118">
            <v>41236</v>
          </cell>
        </row>
        <row r="5119">
          <cell r="B5119" t="str">
            <v>Əliyev Tural Rahib</v>
          </cell>
          <cell r="C5119" t="str">
            <v>Sumqayıt filialı</v>
          </cell>
          <cell r="D5119" t="str">
            <v>#</v>
          </cell>
          <cell r="E5119" t="str">
            <v>Mikro kredit bölməsi</v>
          </cell>
          <cell r="F5119" t="str">
            <v>Bölmə rəhbəri</v>
          </cell>
          <cell r="G5119" t="str">
            <v>A</v>
          </cell>
          <cell r="H5119">
            <v>44656</v>
          </cell>
        </row>
        <row r="5120">
          <cell r="B5120" t="str">
            <v>Tahirov İsmət Nemət</v>
          </cell>
          <cell r="C5120" t="str">
            <v>Sumqayıt filialı</v>
          </cell>
          <cell r="D5120" t="str">
            <v>#</v>
          </cell>
          <cell r="E5120" t="str">
            <v>Mikro kredit bölməsi</v>
          </cell>
          <cell r="F5120" t="str">
            <v>Baş mütəxəssis</v>
          </cell>
          <cell r="G5120" t="str">
            <v>A</v>
          </cell>
          <cell r="H5120">
            <v>44545</v>
          </cell>
        </row>
        <row r="5121">
          <cell r="B5121" t="str">
            <v>Səfərov Ülvi Polad</v>
          </cell>
          <cell r="C5121" t="str">
            <v>Sumqayıt filialı</v>
          </cell>
          <cell r="D5121" t="str">
            <v>#</v>
          </cell>
          <cell r="E5121" t="str">
            <v>Mikro kredit bölməsi</v>
          </cell>
          <cell r="F5121" t="str">
            <v>Aparıcı mütəxəssis</v>
          </cell>
          <cell r="G5121" t="str">
            <v>A</v>
          </cell>
          <cell r="H5121">
            <v>45036</v>
          </cell>
        </row>
        <row r="5122">
          <cell r="B5122" t="str">
            <v>Əliyev Aqil Şiruyə</v>
          </cell>
          <cell r="C5122" t="str">
            <v>Sumqayıt filialı</v>
          </cell>
          <cell r="D5122" t="str">
            <v>#</v>
          </cell>
          <cell r="E5122" t="str">
            <v>Mikro kredit bölməsi</v>
          </cell>
          <cell r="F5122" t="str">
            <v>Kiçik mütəxəssis</v>
          </cell>
          <cell r="G5122" t="str">
            <v>A</v>
          </cell>
          <cell r="H5122">
            <v>45712</v>
          </cell>
        </row>
        <row r="5123">
          <cell r="B5123" t="str">
            <v xml:space="preserve">	Paşayev Ramazan Səməddin</v>
          </cell>
          <cell r="C5123" t="str">
            <v>Sumqayıt filialı</v>
          </cell>
          <cell r="D5123" t="str">
            <v>#</v>
          </cell>
          <cell r="E5123" t="str">
            <v>Mikro kredit bölməsi</v>
          </cell>
          <cell r="F5123" t="str">
            <v>Kiçik mütəxəssis</v>
          </cell>
          <cell r="G5123" t="str">
            <v>A</v>
          </cell>
          <cell r="H5123">
            <v>46126</v>
          </cell>
        </row>
        <row r="5124">
          <cell r="B5124" t="str">
            <v>Məmmədov Hikmət Nəsrulla</v>
          </cell>
          <cell r="C5124" t="str">
            <v>Suraxanı  filialı</v>
          </cell>
          <cell r="D5124" t="str">
            <v>#</v>
          </cell>
          <cell r="E5124" t="str">
            <v>#</v>
          </cell>
          <cell r="F5124" t="str">
            <v>Müdir</v>
          </cell>
          <cell r="G5124" t="str">
            <v>A</v>
          </cell>
          <cell r="H5124">
            <v>36745</v>
          </cell>
        </row>
        <row r="5125">
          <cell r="B5125" t="str">
            <v>Əbilqasımova Sevda Arif</v>
          </cell>
          <cell r="C5125" t="str">
            <v>Suraxanı  filialı</v>
          </cell>
          <cell r="D5125" t="str">
            <v>#</v>
          </cell>
          <cell r="E5125" t="str">
            <v>Xidmət bölməsi</v>
          </cell>
          <cell r="F5125" t="str">
            <v>Kassa üzrə baş mütəxəssis</v>
          </cell>
          <cell r="G5125" t="str">
            <v>A</v>
          </cell>
          <cell r="H5125">
            <v>36690</v>
          </cell>
        </row>
        <row r="5126">
          <cell r="B5126" t="str">
            <v>Mürsəlova Təhminə Fəxrəddin</v>
          </cell>
          <cell r="C5126" t="str">
            <v>Suraxanı  filialı</v>
          </cell>
          <cell r="D5126" t="str">
            <v>#</v>
          </cell>
          <cell r="E5126" t="str">
            <v>Xidmət bölməsi</v>
          </cell>
          <cell r="F5126" t="str">
            <v>Kassa üzrə baş mütəxəssis</v>
          </cell>
          <cell r="G5126" t="str">
            <v>A</v>
          </cell>
          <cell r="H5126">
            <v>39916</v>
          </cell>
        </row>
        <row r="5127">
          <cell r="B5127" t="str">
            <v>Məmmədova Ayşən Şahin</v>
          </cell>
          <cell r="C5127" t="str">
            <v>Suraxanı  filialı</v>
          </cell>
          <cell r="D5127" t="str">
            <v>#</v>
          </cell>
          <cell r="E5127" t="str">
            <v>Xidmət bölməsi</v>
          </cell>
          <cell r="F5127" t="str">
            <v>Məlumat xidməti üzrə mütəxəssis</v>
          </cell>
          <cell r="G5127" t="str">
            <v>A</v>
          </cell>
          <cell r="H5127">
            <v>45709</v>
          </cell>
        </row>
        <row r="5128">
          <cell r="B5128" t="str">
            <v>Həsənquliyev Marif Namiq</v>
          </cell>
          <cell r="C5128" t="str">
            <v>Suraxanı  filialı</v>
          </cell>
          <cell r="D5128" t="str">
            <v>#</v>
          </cell>
          <cell r="E5128" t="str">
            <v>Xidmət bölməsi</v>
          </cell>
          <cell r="F5128" t="str">
            <v>Müştərilərlə iş üzrə baş mütəxəssis</v>
          </cell>
          <cell r="G5128" t="str">
            <v>A</v>
          </cell>
          <cell r="H5128">
            <v>42079</v>
          </cell>
        </row>
        <row r="5129">
          <cell r="B5129" t="str">
            <v>İbadov Xeybər Təyyar</v>
          </cell>
          <cell r="C5129" t="str">
            <v>Suraxanı  filialı</v>
          </cell>
          <cell r="D5129" t="str">
            <v>#</v>
          </cell>
          <cell r="E5129" t="str">
            <v>Xidmət bölməsi</v>
          </cell>
          <cell r="F5129" t="str">
            <v>Müştərilərlə iş üzrə baş mütəxəssis</v>
          </cell>
          <cell r="G5129" t="str">
            <v>A</v>
          </cell>
          <cell r="H5129">
            <v>43628</v>
          </cell>
        </row>
        <row r="5130">
          <cell r="B5130" t="str">
            <v>Ağalarov Ramin Seygah</v>
          </cell>
          <cell r="C5130" t="str">
            <v>Suraxanı  filialı</v>
          </cell>
          <cell r="D5130" t="str">
            <v>#</v>
          </cell>
          <cell r="E5130" t="str">
            <v>Xidmət bölməsi</v>
          </cell>
          <cell r="F5130" t="str">
            <v>Müştərilərlə iş üzrə baş mütəxəssis</v>
          </cell>
          <cell r="G5130" t="str">
            <v>A</v>
          </cell>
          <cell r="H5130">
            <v>40246</v>
          </cell>
        </row>
        <row r="5131">
          <cell r="B5131" t="str">
            <v>Məhərrəmova Mədinə Nazim</v>
          </cell>
          <cell r="C5131" t="str">
            <v>Suraxanı  filialı</v>
          </cell>
          <cell r="D5131" t="str">
            <v>#</v>
          </cell>
          <cell r="E5131" t="str">
            <v>Xidmət bölməsi</v>
          </cell>
          <cell r="F5131" t="str">
            <v>Müştərilərlə iş üzrə baş mütəxəssis</v>
          </cell>
          <cell r="G5131" t="str">
            <v>A</v>
          </cell>
          <cell r="H5131">
            <v>43385</v>
          </cell>
        </row>
        <row r="5132">
          <cell r="B5132" t="str">
            <v>Süleymanova Zemfira Oktay</v>
          </cell>
          <cell r="C5132" t="str">
            <v>Suraxanı  filialı</v>
          </cell>
          <cell r="D5132" t="str">
            <v>#</v>
          </cell>
          <cell r="E5132" t="str">
            <v>Xidmət bölməsi</v>
          </cell>
          <cell r="F5132" t="str">
            <v>Müştərilərlə iş üzrə baş mütəxəssis</v>
          </cell>
          <cell r="G5132" t="str">
            <v>A</v>
          </cell>
          <cell r="H5132">
            <v>43271</v>
          </cell>
        </row>
        <row r="5133">
          <cell r="B5133" t="str">
            <v>Sayılova Zöhrə Ayaz</v>
          </cell>
          <cell r="C5133" t="str">
            <v>Suraxanı  filialı</v>
          </cell>
          <cell r="D5133" t="str">
            <v>#</v>
          </cell>
          <cell r="E5133" t="str">
            <v>Xidmət bölməsi</v>
          </cell>
          <cell r="F5133" t="str">
            <v>Müştərilərlə iş üzrə aparıcı mütəxəssis</v>
          </cell>
          <cell r="G5133" t="str">
            <v>A</v>
          </cell>
          <cell r="H5133">
            <v>40221</v>
          </cell>
        </row>
        <row r="5134">
          <cell r="B5134" t="str">
            <v>Sultanova Almas Murad</v>
          </cell>
          <cell r="C5134" t="str">
            <v>Suraxanı  filialı</v>
          </cell>
          <cell r="D5134" t="str">
            <v>#</v>
          </cell>
          <cell r="E5134" t="str">
            <v>Xidmət bölməsi</v>
          </cell>
          <cell r="F5134" t="str">
            <v>Müştərilərlə iş üzrə aparıcı mütəxəssis</v>
          </cell>
          <cell r="G5134" t="str">
            <v>A</v>
          </cell>
          <cell r="H5134">
            <v>44806</v>
          </cell>
        </row>
        <row r="5135">
          <cell r="B5135" t="str">
            <v>Allahverdili Aygül Əli</v>
          </cell>
          <cell r="C5135" t="str">
            <v>Suraxanı  filialı</v>
          </cell>
          <cell r="D5135" t="str">
            <v>#</v>
          </cell>
          <cell r="E5135" t="str">
            <v>Xidmət bölməsi</v>
          </cell>
          <cell r="F5135" t="str">
            <v>Müştərilərlə iş üzrə mütəxəssis</v>
          </cell>
          <cell r="G5135" t="str">
            <v>A</v>
          </cell>
          <cell r="H5135">
            <v>45209</v>
          </cell>
        </row>
        <row r="5136">
          <cell r="B5136" t="str">
            <v>Bulimova Alina Alimcanovna</v>
          </cell>
          <cell r="C5136" t="str">
            <v>Suraxanı  filialı</v>
          </cell>
          <cell r="D5136" t="str">
            <v>#</v>
          </cell>
          <cell r="E5136" t="str">
            <v>İnzibati bölmə</v>
          </cell>
          <cell r="F5136" t="str">
            <v>Xadimə</v>
          </cell>
          <cell r="G5136" t="str">
            <v>A</v>
          </cell>
          <cell r="H5136">
            <v>38838</v>
          </cell>
        </row>
        <row r="5137">
          <cell r="B5137" t="str">
            <v>Muradov Eldar Rauf</v>
          </cell>
          <cell r="C5137" t="str">
            <v>8-ci mikrorayon filialı</v>
          </cell>
          <cell r="D5137" t="str">
            <v>#</v>
          </cell>
          <cell r="E5137" t="str">
            <v>#</v>
          </cell>
          <cell r="F5137" t="str">
            <v>Müdir</v>
          </cell>
          <cell r="G5137" t="str">
            <v>A</v>
          </cell>
          <cell r="H5137">
            <v>42748</v>
          </cell>
        </row>
        <row r="5138">
          <cell r="B5138" t="str">
            <v>KHANALIEVA ZULFIA</v>
          </cell>
          <cell r="C5138" t="str">
            <v>8-ci mikrorayon filialı</v>
          </cell>
          <cell r="D5138" t="str">
            <v>#</v>
          </cell>
          <cell r="E5138" t="str">
            <v>Xidmət bölməsi</v>
          </cell>
          <cell r="F5138" t="str">
            <v>Kassa üzrə baş mütəxəssis</v>
          </cell>
          <cell r="G5138" t="str">
            <v>A</v>
          </cell>
          <cell r="H5138">
            <v>38749</v>
          </cell>
        </row>
        <row r="5139">
          <cell r="B5139" t="str">
            <v>Məmmədova Nuridə İlqar</v>
          </cell>
          <cell r="C5139" t="str">
            <v>8-ci mikrorayon filialı</v>
          </cell>
          <cell r="D5139" t="str">
            <v>#</v>
          </cell>
          <cell r="E5139" t="str">
            <v>Xidmət bölməsi</v>
          </cell>
          <cell r="F5139" t="str">
            <v>Kassa üzrə baş mütəxəssis</v>
          </cell>
          <cell r="G5139" t="str">
            <v>HX</v>
          </cell>
          <cell r="H5139">
            <v>42485</v>
          </cell>
        </row>
        <row r="5140">
          <cell r="B5140" t="str">
            <v>Tağıyev Orxan Söhrab</v>
          </cell>
          <cell r="C5140" t="str">
            <v>8-ci mikrorayon filialı</v>
          </cell>
          <cell r="D5140" t="str">
            <v>#</v>
          </cell>
          <cell r="E5140" t="str">
            <v>Xidmət bölməsi</v>
          </cell>
          <cell r="F5140" t="str">
            <v>Bölmə rəhbəri</v>
          </cell>
          <cell r="G5140" t="str">
            <v>A</v>
          </cell>
          <cell r="H5140">
            <v>43238</v>
          </cell>
        </row>
        <row r="5141">
          <cell r="B5141" t="str">
            <v>Cəfərov Elnur Bəhruz</v>
          </cell>
          <cell r="C5141" t="str">
            <v>8-ci mikrorayon filialı</v>
          </cell>
          <cell r="D5141" t="str">
            <v>#</v>
          </cell>
          <cell r="E5141" t="str">
            <v>Xidmət bölməsi</v>
          </cell>
          <cell r="F5141" t="str">
            <v>Müştərilərlə iş üzrə baş mütəxəssis</v>
          </cell>
          <cell r="G5141" t="str">
            <v>A</v>
          </cell>
          <cell r="H5141">
            <v>43244</v>
          </cell>
        </row>
        <row r="5142">
          <cell r="B5142" t="str">
            <v>Seyidəliyev Mirfaqil Mirfazil</v>
          </cell>
          <cell r="C5142" t="str">
            <v>8-ci mikrorayon filialı</v>
          </cell>
          <cell r="D5142" t="str">
            <v>#</v>
          </cell>
          <cell r="E5142" t="str">
            <v>Xidmət bölməsi</v>
          </cell>
          <cell r="F5142" t="str">
            <v>Müştərilərlə iş üzrə baş mütəxəssis</v>
          </cell>
          <cell r="G5142" t="str">
            <v>A</v>
          </cell>
          <cell r="H5142">
            <v>42842</v>
          </cell>
        </row>
        <row r="5143">
          <cell r="B5143" t="str">
            <v>Bəşirova Rübabə Kənan</v>
          </cell>
          <cell r="C5143" t="str">
            <v>8-ci mikrorayon filialı</v>
          </cell>
          <cell r="D5143" t="str">
            <v>#</v>
          </cell>
          <cell r="E5143" t="str">
            <v>Xidmət bölməsi</v>
          </cell>
          <cell r="F5143" t="str">
            <v>Müştərilərlə iş üzrə baş mütəxəssis</v>
          </cell>
          <cell r="G5143" t="str">
            <v>A</v>
          </cell>
          <cell r="H5143">
            <v>44713</v>
          </cell>
        </row>
        <row r="5144">
          <cell r="B5144" t="str">
            <v>İbrahimov Elvin Oktay</v>
          </cell>
          <cell r="C5144" t="str">
            <v>8-ci mikrorayon filialı</v>
          </cell>
          <cell r="D5144" t="str">
            <v>#</v>
          </cell>
          <cell r="E5144" t="str">
            <v>Xidmət bölməsi</v>
          </cell>
          <cell r="F5144" t="str">
            <v>Müştərilərlə iş üzrə baş mütəxəssis</v>
          </cell>
          <cell r="G5144" t="str">
            <v>A</v>
          </cell>
          <cell r="H5144">
            <v>43824</v>
          </cell>
        </row>
        <row r="5145">
          <cell r="B5145" t="str">
            <v>Həsənova Zemfira Azər</v>
          </cell>
          <cell r="C5145" t="str">
            <v>8-ci mikrorayon filialı</v>
          </cell>
          <cell r="D5145" t="str">
            <v>#</v>
          </cell>
          <cell r="E5145" t="str">
            <v>Xidmət bölməsi</v>
          </cell>
          <cell r="F5145" t="str">
            <v>Müştərilərlə iş üzrə baş mütəxəssis</v>
          </cell>
          <cell r="G5145" t="str">
            <v>A</v>
          </cell>
          <cell r="H5145">
            <v>44120</v>
          </cell>
        </row>
        <row r="5146">
          <cell r="B5146" t="str">
            <v>Abdullayeva Fatimə Elburus</v>
          </cell>
          <cell r="C5146" t="str">
            <v>8-ci mikrorayon filialı</v>
          </cell>
          <cell r="D5146" t="str">
            <v>#</v>
          </cell>
          <cell r="E5146" t="str">
            <v>Xidmət bölməsi</v>
          </cell>
          <cell r="F5146" t="str">
            <v>Müştərilərlə iş üzrə aparıcı mütəxəssis</v>
          </cell>
          <cell r="G5146" t="str">
            <v>A</v>
          </cell>
          <cell r="H5146">
            <v>44866</v>
          </cell>
        </row>
        <row r="5147">
          <cell r="B5147" t="str">
            <v>Rəsulova Zərifə Cavid</v>
          </cell>
          <cell r="C5147" t="str">
            <v>8-ci mikrorayon filialı</v>
          </cell>
          <cell r="D5147" t="str">
            <v>#</v>
          </cell>
          <cell r="E5147" t="str">
            <v>Xidmət bölməsi</v>
          </cell>
          <cell r="F5147" t="str">
            <v>Müştərilərlə iş üzrə aparıcı mütəxəssis</v>
          </cell>
          <cell r="G5147" t="str">
            <v>A</v>
          </cell>
          <cell r="H5147">
            <v>44503</v>
          </cell>
        </row>
        <row r="5148">
          <cell r="B5148" t="str">
            <v>Quliyeva Leyla Nazim</v>
          </cell>
          <cell r="C5148" t="str">
            <v>8-ci mikrorayon filialı</v>
          </cell>
          <cell r="D5148" t="str">
            <v>#</v>
          </cell>
          <cell r="E5148" t="str">
            <v>Xidmət bölməsi</v>
          </cell>
          <cell r="F5148" t="str">
            <v>Müştərilərlə iş üzrə aparıcı mütəxəssis</v>
          </cell>
          <cell r="G5148" t="str">
            <v>A</v>
          </cell>
          <cell r="H5148">
            <v>45184</v>
          </cell>
        </row>
        <row r="5149">
          <cell r="B5149" t="str">
            <v>Əhmədov Əhməd İlqar</v>
          </cell>
          <cell r="C5149" t="str">
            <v>8-ci mikrorayon filialı</v>
          </cell>
          <cell r="D5149" t="str">
            <v>#</v>
          </cell>
          <cell r="E5149" t="str">
            <v>Xidmət bölməsi</v>
          </cell>
          <cell r="F5149" t="str">
            <v>Müştərilərlə iş üzrə mütəxəssis</v>
          </cell>
          <cell r="G5149" t="str">
            <v>A</v>
          </cell>
          <cell r="H5149">
            <v>45762</v>
          </cell>
        </row>
        <row r="5150">
          <cell r="B5150" t="str">
            <v>Mikayılova Səkinəxanım Azər</v>
          </cell>
          <cell r="C5150" t="str">
            <v>8-ci mikrorayon filialı</v>
          </cell>
          <cell r="D5150" t="str">
            <v>#</v>
          </cell>
          <cell r="E5150" t="str">
            <v>Xidmət bölməsi</v>
          </cell>
          <cell r="F5150" t="str">
            <v>Müştərilərlə iş üzrə aparıcı mütəxəssis</v>
          </cell>
          <cell r="G5150" t="str">
            <v>A</v>
          </cell>
          <cell r="H5150">
            <v>45064</v>
          </cell>
        </row>
        <row r="5151">
          <cell r="B5151" t="str">
            <v>Quliyev İsgəndər Ziya</v>
          </cell>
          <cell r="C5151" t="str">
            <v>8-ci mikrorayon filialı</v>
          </cell>
          <cell r="D5151" t="str">
            <v>#</v>
          </cell>
          <cell r="E5151" t="str">
            <v>Xidmət bölməsi</v>
          </cell>
          <cell r="F5151" t="str">
            <v>Müştərilərlə iş üzrə mütəxəssis</v>
          </cell>
          <cell r="G5151" t="str">
            <v>A</v>
          </cell>
          <cell r="H5151">
            <v>45405</v>
          </cell>
        </row>
        <row r="5152">
          <cell r="B5152" t="str">
            <v>Cəfərli Salatın Radif</v>
          </cell>
          <cell r="C5152" t="str">
            <v>8-ci mikrorayon filialı</v>
          </cell>
          <cell r="D5152" t="str">
            <v>#</v>
          </cell>
          <cell r="E5152" t="str">
            <v>Xidmət bölməsi</v>
          </cell>
          <cell r="F5152" t="str">
            <v>Məlumat xidməti üzrə aparıcı mütəxəssis</v>
          </cell>
          <cell r="G5152" t="str">
            <v>A</v>
          </cell>
          <cell r="H5152">
            <v>44518</v>
          </cell>
        </row>
        <row r="5153">
          <cell r="B5153" t="str">
            <v>Xələfova Mehriban Əmənulla</v>
          </cell>
          <cell r="C5153" t="str">
            <v>8-ci mikrorayon filialı</v>
          </cell>
          <cell r="D5153" t="str">
            <v>#</v>
          </cell>
          <cell r="E5153" t="str">
            <v>İnzibati bölmə</v>
          </cell>
          <cell r="F5153" t="str">
            <v>Xadimə</v>
          </cell>
          <cell r="G5153" t="str">
            <v>A</v>
          </cell>
          <cell r="H5153">
            <v>40760</v>
          </cell>
        </row>
        <row r="5154">
          <cell r="B5154" t="str">
            <v>Tağıyev Orxan Məmməd</v>
          </cell>
          <cell r="C5154" t="str">
            <v>Təbriz filialı</v>
          </cell>
          <cell r="D5154" t="str">
            <v>#</v>
          </cell>
          <cell r="E5154" t="str">
            <v>#</v>
          </cell>
          <cell r="F5154" t="str">
            <v>Müdir</v>
          </cell>
          <cell r="G5154" t="str">
            <v>A</v>
          </cell>
          <cell r="H5154">
            <v>41533</v>
          </cell>
        </row>
        <row r="5155">
          <cell r="B5155" t="str">
            <v>Ağazadə Rövşən Mübariz</v>
          </cell>
          <cell r="C5155" t="str">
            <v>Təbriz filialı</v>
          </cell>
          <cell r="D5155" t="str">
            <v>#</v>
          </cell>
          <cell r="E5155" t="str">
            <v>Xidmət bölməsi</v>
          </cell>
          <cell r="F5155" t="str">
            <v>Baş əməliyyatçı-kassir</v>
          </cell>
          <cell r="G5155" t="str">
            <v>A</v>
          </cell>
          <cell r="H5155">
            <v>42408</v>
          </cell>
        </row>
        <row r="5156">
          <cell r="B5156" t="str">
            <v>Ələkbərova Aygün Dadaş</v>
          </cell>
          <cell r="C5156" t="str">
            <v>Təbriz filialı</v>
          </cell>
          <cell r="D5156" t="str">
            <v>#</v>
          </cell>
          <cell r="E5156" t="str">
            <v>Xidmət bölməsi</v>
          </cell>
          <cell r="F5156" t="str">
            <v>Baş əməliyyatçı-kassir</v>
          </cell>
          <cell r="G5156" t="str">
            <v>A</v>
          </cell>
          <cell r="H5156">
            <v>39687</v>
          </cell>
        </row>
        <row r="5157">
          <cell r="B5157" t="str">
            <v>Qasımlı Qasım Vaqif</v>
          </cell>
          <cell r="C5157" t="str">
            <v>Təbriz filialı</v>
          </cell>
          <cell r="D5157" t="str">
            <v>#</v>
          </cell>
          <cell r="E5157" t="str">
            <v>Xidmət bölməsi</v>
          </cell>
          <cell r="F5157" t="str">
            <v>Kassa üzrə aparıcı mütəxəssis</v>
          </cell>
          <cell r="G5157" t="str">
            <v>A</v>
          </cell>
          <cell r="H5157">
            <v>44746</v>
          </cell>
        </row>
        <row r="5158">
          <cell r="B5158" t="str">
            <v>Abdulla Rəna Abdulla</v>
          </cell>
          <cell r="C5158" t="str">
            <v>Təbriz filialı</v>
          </cell>
          <cell r="D5158" t="str">
            <v>#</v>
          </cell>
          <cell r="E5158" t="str">
            <v>Xidmət bölməsi</v>
          </cell>
          <cell r="F5158" t="str">
            <v>Kassa üzrə aparıcı mütəxəssis</v>
          </cell>
          <cell r="G5158" t="str">
            <v>A</v>
          </cell>
          <cell r="H5158">
            <v>44900</v>
          </cell>
        </row>
        <row r="5159">
          <cell r="B5159" t="str">
            <v>Ağayeva Günel Rauf</v>
          </cell>
          <cell r="C5159" t="str">
            <v>Təbriz filialı</v>
          </cell>
          <cell r="D5159" t="str">
            <v>#</v>
          </cell>
          <cell r="E5159" t="str">
            <v>Xidmət bölməsi</v>
          </cell>
          <cell r="F5159" t="str">
            <v>Məlumat xidməti üzrə aparıcı mütəxəssis</v>
          </cell>
          <cell r="G5159" t="str">
            <v>A</v>
          </cell>
          <cell r="H5159">
            <v>43839</v>
          </cell>
        </row>
        <row r="5160">
          <cell r="B5160" t="str">
            <v>Zakirli Heydər Elşən</v>
          </cell>
          <cell r="C5160" t="str">
            <v>Təbriz filialı</v>
          </cell>
          <cell r="D5160" t="str">
            <v>#</v>
          </cell>
          <cell r="E5160" t="str">
            <v>Xidmət bölməsi</v>
          </cell>
          <cell r="F5160" t="str">
            <v>Bölmə rəhbəri</v>
          </cell>
          <cell r="G5160" t="str">
            <v>A</v>
          </cell>
          <cell r="H5160">
            <v>42380</v>
          </cell>
        </row>
        <row r="5161">
          <cell r="B5161" t="str">
            <v>Məlikzadə Orxan Ağagül</v>
          </cell>
          <cell r="C5161" t="str">
            <v>Təbriz filialı</v>
          </cell>
          <cell r="D5161" t="str">
            <v>#</v>
          </cell>
          <cell r="E5161" t="str">
            <v>Xidmət bölməsi</v>
          </cell>
          <cell r="F5161" t="str">
            <v>Müştərilərlə iş üzrə baş mütəxəssis</v>
          </cell>
          <cell r="G5161" t="str">
            <v>A</v>
          </cell>
          <cell r="H5161">
            <v>43823</v>
          </cell>
        </row>
        <row r="5162">
          <cell r="B5162" t="str">
            <v>Eynullayev Allahqulu Bayram</v>
          </cell>
          <cell r="C5162" t="str">
            <v>Təbriz filialı</v>
          </cell>
          <cell r="D5162" t="str">
            <v>#</v>
          </cell>
          <cell r="E5162" t="str">
            <v>Xidmət bölməsi</v>
          </cell>
          <cell r="F5162" t="str">
            <v>Müştərilərlə iş üzrə baş mütəxəssis</v>
          </cell>
          <cell r="G5162" t="str">
            <v>A</v>
          </cell>
          <cell r="H5162">
            <v>42527</v>
          </cell>
        </row>
        <row r="5163">
          <cell r="B5163" t="str">
            <v>Bağırov Malik Süleyman</v>
          </cell>
          <cell r="C5163" t="str">
            <v>Təbriz filialı</v>
          </cell>
          <cell r="D5163" t="str">
            <v>#</v>
          </cell>
          <cell r="E5163" t="str">
            <v>Xidmət bölməsi</v>
          </cell>
          <cell r="F5163" t="str">
            <v>Müştərilərlə iş üzrə baş mütəxəssis</v>
          </cell>
          <cell r="G5163" t="str">
            <v>A</v>
          </cell>
          <cell r="H5163">
            <v>43601</v>
          </cell>
        </row>
        <row r="5164">
          <cell r="B5164" t="str">
            <v>Rəsulova Günay Azər</v>
          </cell>
          <cell r="C5164" t="str">
            <v>Təbriz filialı</v>
          </cell>
          <cell r="D5164" t="str">
            <v>#</v>
          </cell>
          <cell r="E5164" t="str">
            <v>Xidmət bölməsi</v>
          </cell>
          <cell r="F5164" t="str">
            <v>Müştərilərlə iş üzrə baş mütəxəssis</v>
          </cell>
          <cell r="G5164" t="str">
            <v>A</v>
          </cell>
          <cell r="H5164">
            <v>40422</v>
          </cell>
        </row>
        <row r="5165">
          <cell r="B5165" t="str">
            <v>Şəbiyeva Ayna İslam</v>
          </cell>
          <cell r="C5165" t="str">
            <v>Təbriz filialı</v>
          </cell>
          <cell r="D5165" t="str">
            <v>#</v>
          </cell>
          <cell r="E5165" t="str">
            <v>Xidmət bölməsi</v>
          </cell>
          <cell r="F5165" t="str">
            <v>Müştərilərlə iş üzrə baş mütəxəssis</v>
          </cell>
          <cell r="G5165" t="str">
            <v>A</v>
          </cell>
          <cell r="H5165">
            <v>44099</v>
          </cell>
        </row>
        <row r="5166">
          <cell r="B5166" t="str">
            <v>Bəşirov Natiq Altay</v>
          </cell>
          <cell r="C5166" t="str">
            <v>Təbriz filialı</v>
          </cell>
          <cell r="D5166" t="str">
            <v>#</v>
          </cell>
          <cell r="E5166" t="str">
            <v>Xidmət bölməsi</v>
          </cell>
          <cell r="F5166" t="str">
            <v>Müştərilərlə iş üzrə aparıcı mütəxəssis</v>
          </cell>
          <cell r="G5166" t="str">
            <v>A</v>
          </cell>
          <cell r="H5166">
            <v>44904</v>
          </cell>
        </row>
        <row r="5167">
          <cell r="B5167" t="str">
            <v>Bayramova Aydan Aydın</v>
          </cell>
          <cell r="C5167" t="str">
            <v>Təbriz filialı</v>
          </cell>
          <cell r="D5167" t="str">
            <v>#</v>
          </cell>
          <cell r="E5167" t="str">
            <v>Xidmət bölməsi</v>
          </cell>
          <cell r="F5167" t="str">
            <v>Müştərilərlə iş üzrə aparıcı mütəxəssis</v>
          </cell>
          <cell r="G5167" t="str">
            <v>A</v>
          </cell>
          <cell r="H5167">
            <v>45167</v>
          </cell>
        </row>
        <row r="5168">
          <cell r="B5168" t="str">
            <v>İvanov Deonisiy Anatolyeviç</v>
          </cell>
          <cell r="C5168" t="str">
            <v>Təbriz filialı</v>
          </cell>
          <cell r="D5168" t="str">
            <v>#</v>
          </cell>
          <cell r="E5168" t="str">
            <v>Xidmət bölməsi</v>
          </cell>
          <cell r="F5168" t="str">
            <v>Müştərilərlə iş üzrə baş mütəxəssis</v>
          </cell>
          <cell r="G5168" t="str">
            <v>A</v>
          </cell>
          <cell r="H5168">
            <v>43164</v>
          </cell>
        </row>
        <row r="5169">
          <cell r="B5169" t="str">
            <v>Süleymanova Şəhla Vüqar</v>
          </cell>
          <cell r="C5169" t="str">
            <v>Təbriz filialı</v>
          </cell>
          <cell r="D5169" t="str">
            <v>#</v>
          </cell>
          <cell r="E5169" t="str">
            <v>Xidmət bölməsi</v>
          </cell>
          <cell r="F5169" t="str">
            <v>Müştərilərlə iş üzrə mütəxəssis</v>
          </cell>
          <cell r="G5169" t="str">
            <v>HX</v>
          </cell>
          <cell r="H5169">
            <v>45306</v>
          </cell>
        </row>
        <row r="5170">
          <cell r="B5170" t="str">
            <v>Mehtiyeva Ayan Tahir</v>
          </cell>
          <cell r="C5170" t="str">
            <v>Təbriz filialı</v>
          </cell>
          <cell r="D5170" t="str">
            <v>#</v>
          </cell>
          <cell r="E5170" t="str">
            <v>Xidmət bölməsi</v>
          </cell>
          <cell r="F5170" t="str">
            <v>Müştərilərlə iş üzrə mütəxəssis</v>
          </cell>
          <cell r="G5170" t="str">
            <v>A</v>
          </cell>
          <cell r="H5170">
            <v>44635</v>
          </cell>
        </row>
        <row r="5171">
          <cell r="B5171" t="str">
            <v>Əliyeva İradə Cəfər</v>
          </cell>
          <cell r="C5171" t="str">
            <v>Təbriz filialı</v>
          </cell>
          <cell r="D5171" t="str">
            <v>#</v>
          </cell>
          <cell r="E5171" t="str">
            <v>İnzibati bölmə</v>
          </cell>
          <cell r="F5171" t="str">
            <v>Xadimə</v>
          </cell>
          <cell r="G5171" t="str">
            <v>A</v>
          </cell>
          <cell r="H5171">
            <v>42900</v>
          </cell>
        </row>
        <row r="5172">
          <cell r="B5172" t="str">
            <v>Alıev Arzu</v>
          </cell>
          <cell r="C5172" t="str">
            <v>Ticarət filialı</v>
          </cell>
          <cell r="D5172" t="str">
            <v>#</v>
          </cell>
          <cell r="E5172" t="str">
            <v>#</v>
          </cell>
          <cell r="F5172" t="str">
            <v>Müdir</v>
          </cell>
          <cell r="G5172" t="str">
            <v>A</v>
          </cell>
          <cell r="H5172">
            <v>43563</v>
          </cell>
        </row>
        <row r="5173">
          <cell r="B5173" t="str">
            <v>Seyidova Gülşən Mübariz</v>
          </cell>
          <cell r="C5173" t="str">
            <v>Ticarət filialı</v>
          </cell>
          <cell r="D5173" t="str">
            <v>#</v>
          </cell>
          <cell r="E5173" t="str">
            <v>Xidmət bölməsi</v>
          </cell>
          <cell r="F5173" t="str">
            <v>Kassa üzrə aparıcı mütəxəssis</v>
          </cell>
          <cell r="G5173" t="str">
            <v>SM</v>
          </cell>
          <cell r="H5173">
            <v>44677</v>
          </cell>
        </row>
        <row r="5174">
          <cell r="B5174" t="str">
            <v>Fətullayev Elvin Fətulla</v>
          </cell>
          <cell r="C5174" t="str">
            <v>Ticarət filialı</v>
          </cell>
          <cell r="D5174" t="str">
            <v>#</v>
          </cell>
          <cell r="E5174" t="str">
            <v>Xidmət bölməsi</v>
          </cell>
          <cell r="F5174" t="str">
            <v xml:space="preserve">Aparıcı əməliyyatçı-kassir </v>
          </cell>
          <cell r="G5174" t="str">
            <v>A</v>
          </cell>
          <cell r="H5174">
            <v>44931</v>
          </cell>
        </row>
        <row r="5175">
          <cell r="B5175" t="str">
            <v>Abdullayeva Səriyyə Musa</v>
          </cell>
          <cell r="C5175" t="str">
            <v>Ticarət filialı</v>
          </cell>
          <cell r="D5175" t="str">
            <v>#</v>
          </cell>
          <cell r="E5175" t="str">
            <v>Xidmət bölməsi</v>
          </cell>
          <cell r="F5175" t="str">
            <v>Məlumat xidməti üzrə mütəxəssis</v>
          </cell>
          <cell r="G5175" t="str">
            <v>A</v>
          </cell>
          <cell r="H5175">
            <v>45698</v>
          </cell>
        </row>
        <row r="5176">
          <cell r="B5176" t="str">
            <v>Əzizova Səkinə Soltanməcid</v>
          </cell>
          <cell r="C5176" t="str">
            <v>Ticarət filialı</v>
          </cell>
          <cell r="D5176" t="str">
            <v>#</v>
          </cell>
          <cell r="E5176" t="str">
            <v>Xidmət bölməsi</v>
          </cell>
          <cell r="F5176" t="str">
            <v>Müştərilərlə iş üzrə baş mütəxəssis</v>
          </cell>
          <cell r="G5176" t="str">
            <v>A</v>
          </cell>
          <cell r="H5176">
            <v>40299</v>
          </cell>
        </row>
        <row r="5177">
          <cell r="B5177" t="str">
            <v>Fətiyeva Türkan Vəzir</v>
          </cell>
          <cell r="C5177" t="str">
            <v>Ticarət filialı</v>
          </cell>
          <cell r="D5177" t="str">
            <v>#</v>
          </cell>
          <cell r="E5177" t="str">
            <v>Xidmət bölməsi</v>
          </cell>
          <cell r="F5177" t="str">
            <v>Müştərilərlə iş üzrə baş mütəxəssis</v>
          </cell>
          <cell r="G5177" t="str">
            <v>A</v>
          </cell>
          <cell r="H5177">
            <v>43843</v>
          </cell>
        </row>
        <row r="5178">
          <cell r="B5178" t="str">
            <v>İsmayılova Nigar İlham</v>
          </cell>
          <cell r="C5178" t="str">
            <v>Ticarət filialı</v>
          </cell>
          <cell r="D5178" t="str">
            <v>#</v>
          </cell>
          <cell r="E5178" t="str">
            <v>Xidmət bölməsi</v>
          </cell>
          <cell r="F5178" t="str">
            <v>Müştərilərlə iş üzrə aparıcı mütəxəssis</v>
          </cell>
          <cell r="G5178" t="str">
            <v>A</v>
          </cell>
          <cell r="H5178">
            <v>44991</v>
          </cell>
        </row>
        <row r="5179">
          <cell r="B5179" t="str">
            <v>Rəcəbova Sona Rasim</v>
          </cell>
          <cell r="C5179" t="str">
            <v>Ticarət filialı</v>
          </cell>
          <cell r="D5179" t="str">
            <v>#</v>
          </cell>
          <cell r="E5179" t="str">
            <v>Xidmət bölməsi</v>
          </cell>
          <cell r="F5179" t="str">
            <v>Müştərilərlə iş üzrə mütəxəssis</v>
          </cell>
          <cell r="G5179" t="str">
            <v>A</v>
          </cell>
          <cell r="H5179">
            <v>45490</v>
          </cell>
        </row>
        <row r="5180">
          <cell r="B5180" t="str">
            <v>Vəliyev Kənan Vüqar</v>
          </cell>
          <cell r="C5180" t="str">
            <v>Ticarət filialı</v>
          </cell>
          <cell r="D5180" t="str">
            <v>#</v>
          </cell>
          <cell r="E5180" t="str">
            <v>Xidmət bölməsi</v>
          </cell>
          <cell r="F5180" t="str">
            <v>Müştərilərlə iş üzrə mütəxəssis</v>
          </cell>
          <cell r="G5180" t="str">
            <v>A</v>
          </cell>
          <cell r="H5180">
            <v>45884</v>
          </cell>
        </row>
        <row r="5181">
          <cell r="B5181" t="str">
            <v>Pirverdiyev Müzəffər Elçin</v>
          </cell>
          <cell r="C5181" t="str">
            <v>Ticarət filialı</v>
          </cell>
          <cell r="D5181" t="str">
            <v>#</v>
          </cell>
          <cell r="E5181" t="str">
            <v>Xidmət bölməsi</v>
          </cell>
          <cell r="F5181" t="str">
            <v>Müştərilərlə iş üzrə mütəxəssis</v>
          </cell>
          <cell r="G5181" t="str">
            <v>A</v>
          </cell>
          <cell r="H5181">
            <v>45910</v>
          </cell>
        </row>
        <row r="5182">
          <cell r="B5182" t="str">
            <v>Abdullayev Zeynalabdın Abdulla</v>
          </cell>
          <cell r="C5182" t="str">
            <v>Ticarət filialı</v>
          </cell>
          <cell r="D5182" t="str">
            <v>#</v>
          </cell>
          <cell r="E5182" t="str">
            <v>Mikro kredit bölməsi</v>
          </cell>
          <cell r="F5182" t="str">
            <v>Bölmə rəhbəri</v>
          </cell>
          <cell r="G5182" t="str">
            <v>A</v>
          </cell>
          <cell r="H5182">
            <v>44477</v>
          </cell>
        </row>
        <row r="5183">
          <cell r="B5183" t="str">
            <v>Quliyev Həsən Sultan</v>
          </cell>
          <cell r="C5183" t="str">
            <v>Ticarət filialı</v>
          </cell>
          <cell r="D5183" t="str">
            <v>#</v>
          </cell>
          <cell r="E5183" t="str">
            <v>Mikro kredit bölməsi</v>
          </cell>
          <cell r="F5183" t="str">
            <v>Baş mütəxəssis</v>
          </cell>
          <cell r="G5183" t="str">
            <v>A</v>
          </cell>
          <cell r="H5183">
            <v>44410</v>
          </cell>
        </row>
        <row r="5184">
          <cell r="B5184" t="str">
            <v>Bağırzadə Tərlan Fərhad</v>
          </cell>
          <cell r="C5184" t="str">
            <v>Ticarət filialı</v>
          </cell>
          <cell r="D5184" t="str">
            <v>#</v>
          </cell>
          <cell r="E5184" t="str">
            <v>Mikro kredit bölməsi</v>
          </cell>
          <cell r="F5184" t="str">
            <v>Mütəxəssis</v>
          </cell>
          <cell r="G5184" t="str">
            <v>A</v>
          </cell>
          <cell r="H5184">
            <v>45356</v>
          </cell>
        </row>
        <row r="5185">
          <cell r="B5185" t="str">
            <v>Məhərrəmov Natiq Samil</v>
          </cell>
          <cell r="C5185" t="str">
            <v>Ticarət filialı</v>
          </cell>
          <cell r="D5185" t="str">
            <v>#</v>
          </cell>
          <cell r="E5185" t="str">
            <v>Mikro kredit bölməsi</v>
          </cell>
          <cell r="F5185" t="str">
            <v>Mütəxəssis</v>
          </cell>
          <cell r="G5185" t="str">
            <v>A</v>
          </cell>
          <cell r="H5185">
            <v>45127</v>
          </cell>
        </row>
        <row r="5186">
          <cell r="B5186" t="str">
            <v>Namazov Nurlan İlqar</v>
          </cell>
          <cell r="C5186" t="str">
            <v>Ticarət filialı</v>
          </cell>
          <cell r="D5186" t="str">
            <v>#</v>
          </cell>
          <cell r="E5186" t="str">
            <v>Mikro kredit bölməsi</v>
          </cell>
          <cell r="F5186" t="str">
            <v>Mütəxəssis</v>
          </cell>
          <cell r="G5186" t="str">
            <v>A</v>
          </cell>
          <cell r="H5186">
            <v>45356</v>
          </cell>
        </row>
        <row r="5187">
          <cell r="B5187" t="str">
            <v>Allahverdiyeva Hürü Mehdi</v>
          </cell>
          <cell r="C5187" t="str">
            <v>Ticarət filialı</v>
          </cell>
          <cell r="D5187" t="str">
            <v>#</v>
          </cell>
          <cell r="E5187" t="str">
            <v>İnzibati bölmə</v>
          </cell>
          <cell r="F5187" t="str">
            <v>Xadimə</v>
          </cell>
          <cell r="G5187" t="str">
            <v>A</v>
          </cell>
          <cell r="H5187">
            <v>45509</v>
          </cell>
        </row>
        <row r="5188">
          <cell r="B5188" t="str">
            <v>Bədəlov Zaur Eldəniz</v>
          </cell>
          <cell r="C5188" t="str">
            <v>Yasamal filialı</v>
          </cell>
          <cell r="D5188" t="str">
            <v>#</v>
          </cell>
          <cell r="E5188" t="str">
            <v>#</v>
          </cell>
          <cell r="F5188" t="str">
            <v>Müdir</v>
          </cell>
          <cell r="G5188" t="str">
            <v>A</v>
          </cell>
          <cell r="H5188">
            <v>41554</v>
          </cell>
        </row>
        <row r="5189">
          <cell r="B5189" t="str">
            <v>Nadirli Nasir Malik</v>
          </cell>
          <cell r="C5189" t="str">
            <v>Yasamal filialı</v>
          </cell>
          <cell r="D5189" t="str">
            <v>#</v>
          </cell>
          <cell r="E5189" t="str">
            <v>Xidmət bölməsi</v>
          </cell>
          <cell r="F5189" t="str">
            <v>Bölmə rəhbəri</v>
          </cell>
          <cell r="G5189" t="str">
            <v>A</v>
          </cell>
          <cell r="H5189">
            <v>42760</v>
          </cell>
        </row>
        <row r="5190">
          <cell r="B5190" t="str">
            <v>Cabbarov Xalid Mehman</v>
          </cell>
          <cell r="C5190" t="str">
            <v>Yasamal filialı</v>
          </cell>
          <cell r="D5190" t="str">
            <v>#</v>
          </cell>
          <cell r="E5190" t="str">
            <v>Xidmət bölməsi</v>
          </cell>
          <cell r="F5190" t="str">
            <v>Kassa üzrə baş mütəxəssis</v>
          </cell>
          <cell r="G5190" t="str">
            <v>A</v>
          </cell>
          <cell r="H5190">
            <v>41821</v>
          </cell>
        </row>
        <row r="5191">
          <cell r="B5191" t="str">
            <v>İsayev Elvin Vüqar</v>
          </cell>
          <cell r="C5191" t="str">
            <v>Yasamal filialı</v>
          </cell>
          <cell r="D5191" t="str">
            <v>#</v>
          </cell>
          <cell r="E5191" t="str">
            <v>Xidmət bölməsi</v>
          </cell>
          <cell r="F5191" t="str">
            <v>Kassa üzrə baş mütəxəssis</v>
          </cell>
          <cell r="G5191" t="str">
            <v>A</v>
          </cell>
          <cell r="H5191">
            <v>44554</v>
          </cell>
        </row>
        <row r="5192">
          <cell r="B5192" t="str">
            <v>Qurbanova Zəhra Elnur</v>
          </cell>
          <cell r="C5192" t="str">
            <v>Yasamal filialı</v>
          </cell>
          <cell r="D5192" t="str">
            <v>#</v>
          </cell>
          <cell r="E5192" t="str">
            <v>Xidmət bölməsi</v>
          </cell>
          <cell r="F5192" t="str">
            <v>Əməliyyatçı-kassir</v>
          </cell>
          <cell r="G5192" t="str">
            <v>A</v>
          </cell>
          <cell r="H5192">
            <v>44816</v>
          </cell>
        </row>
        <row r="5193">
          <cell r="B5193" t="str">
            <v>Bayramova Sevinc Əmin</v>
          </cell>
          <cell r="C5193" t="str">
            <v>Yasamal filialı</v>
          </cell>
          <cell r="D5193" t="str">
            <v>#</v>
          </cell>
          <cell r="E5193" t="str">
            <v>Xidmət bölməsi</v>
          </cell>
          <cell r="F5193" t="str">
            <v>Əməliyyatçı-kassir</v>
          </cell>
          <cell r="G5193" t="str">
            <v>A</v>
          </cell>
          <cell r="H5193">
            <v>45936</v>
          </cell>
        </row>
        <row r="5194">
          <cell r="B5194" t="str">
            <v>Məhərrəmova Fatimə Babaş</v>
          </cell>
          <cell r="C5194" t="str">
            <v>Yasamal filialı</v>
          </cell>
          <cell r="D5194" t="str">
            <v>#</v>
          </cell>
          <cell r="E5194" t="str">
            <v>Xidmət bölməsi</v>
          </cell>
          <cell r="F5194" t="str">
            <v>Məlumat xidməti üzrə aparıcı mütəxəssis</v>
          </cell>
          <cell r="G5194" t="str">
            <v>A</v>
          </cell>
          <cell r="H5194">
            <v>45183</v>
          </cell>
        </row>
        <row r="5195">
          <cell r="B5195" t="str">
            <v>Ağayeva Aydan Zeydulla</v>
          </cell>
          <cell r="C5195" t="str">
            <v>Yasamal filialı</v>
          </cell>
          <cell r="D5195" t="str">
            <v>#</v>
          </cell>
          <cell r="E5195" t="str">
            <v>Xidmət bölməsi</v>
          </cell>
          <cell r="F5195" t="str">
            <v>Müştərilərlə iş üzrə baş mütəxəssis</v>
          </cell>
          <cell r="G5195" t="str">
            <v>A</v>
          </cell>
          <cell r="H5195">
            <v>41456</v>
          </cell>
        </row>
        <row r="5196">
          <cell r="B5196" t="str">
            <v>Kərimov Mirzağa Əlibaba</v>
          </cell>
          <cell r="C5196" t="str">
            <v>Yasamal filialı</v>
          </cell>
          <cell r="D5196" t="str">
            <v>#</v>
          </cell>
          <cell r="E5196" t="str">
            <v>Xidmət bölməsi</v>
          </cell>
          <cell r="F5196" t="str">
            <v>Müştərilərlə iş üzrə baş mütəxəssis</v>
          </cell>
          <cell r="G5196" t="str">
            <v>A</v>
          </cell>
          <cell r="H5196">
            <v>43782</v>
          </cell>
        </row>
        <row r="5197">
          <cell r="B5197" t="str">
            <v>Hacızadə Elton Akif</v>
          </cell>
          <cell r="C5197" t="str">
            <v>Yasamal filialı</v>
          </cell>
          <cell r="D5197" t="str">
            <v>#</v>
          </cell>
          <cell r="E5197" t="str">
            <v>Xidmət bölməsi</v>
          </cell>
          <cell r="F5197" t="str">
            <v>Müştərilərlə iş üzrə baş mütəxəssis</v>
          </cell>
          <cell r="G5197" t="str">
            <v>A</v>
          </cell>
          <cell r="H5197">
            <v>43760</v>
          </cell>
        </row>
        <row r="5198">
          <cell r="B5198" t="str">
            <v>Bağırova Elvira Rafailovna</v>
          </cell>
          <cell r="C5198" t="str">
            <v>Yasamal filialı</v>
          </cell>
          <cell r="D5198" t="str">
            <v>#</v>
          </cell>
          <cell r="E5198" t="str">
            <v>Xidmət bölməsi</v>
          </cell>
          <cell r="F5198" t="str">
            <v>Müştərilərlə iş üzrə aparıcı mütəxəssis</v>
          </cell>
          <cell r="G5198" t="str">
            <v>A</v>
          </cell>
          <cell r="H5198">
            <v>42726</v>
          </cell>
        </row>
        <row r="5199">
          <cell r="B5199" t="str">
            <v>İbrahimova Günel Rəhim</v>
          </cell>
          <cell r="C5199" t="str">
            <v>Yasamal filialı</v>
          </cell>
          <cell r="D5199" t="str">
            <v>#</v>
          </cell>
          <cell r="E5199" t="str">
            <v>Xidmət bölməsi</v>
          </cell>
          <cell r="F5199" t="str">
            <v>Müştərilərlə iş üzrə aparıcı mütəxəssis</v>
          </cell>
          <cell r="G5199" t="str">
            <v>SM</v>
          </cell>
          <cell r="H5199">
            <v>43390</v>
          </cell>
        </row>
        <row r="5200">
          <cell r="B5200" t="str">
            <v>Bayramov Abbas Aydın</v>
          </cell>
          <cell r="C5200" t="str">
            <v>Yasamal filialı</v>
          </cell>
          <cell r="D5200" t="str">
            <v>#</v>
          </cell>
          <cell r="E5200" t="str">
            <v>Xidmət bölməsi</v>
          </cell>
          <cell r="F5200" t="str">
            <v>Müştərilərlə iş üzrə mütəxəssis (müvəqqəti)</v>
          </cell>
          <cell r="G5200" t="str">
            <v>A</v>
          </cell>
          <cell r="H5200">
            <v>45912</v>
          </cell>
        </row>
        <row r="5201">
          <cell r="B5201" t="str">
            <v>Ağayeva Ləman Qulam</v>
          </cell>
          <cell r="C5201" t="str">
            <v>Yasamal filialı</v>
          </cell>
          <cell r="D5201" t="str">
            <v>#</v>
          </cell>
          <cell r="E5201" t="str">
            <v>Xidmət bölməsi</v>
          </cell>
          <cell r="F5201" t="str">
            <v>Müştərilərlə iş üzrə baş mütəxəssis</v>
          </cell>
          <cell r="G5201" t="str">
            <v>A</v>
          </cell>
          <cell r="H5201">
            <v>45278</v>
          </cell>
        </row>
        <row r="5202">
          <cell r="B5202" t="str">
            <v>Rəşidi Orxan Qeys</v>
          </cell>
          <cell r="C5202" t="str">
            <v>Yasamal filialı</v>
          </cell>
          <cell r="D5202" t="str">
            <v>#</v>
          </cell>
          <cell r="E5202" t="str">
            <v>Xidmət bölməsi</v>
          </cell>
          <cell r="F5202" t="str">
            <v>Müştərilərlə iş üzrə baş mütəxəssis</v>
          </cell>
          <cell r="G5202" t="str">
            <v>A</v>
          </cell>
          <cell r="H5202">
            <v>42810</v>
          </cell>
        </row>
        <row r="5203">
          <cell r="B5203" t="str">
            <v>Almazov Qayıb Sahib</v>
          </cell>
          <cell r="C5203" t="str">
            <v>Yasamal filialı</v>
          </cell>
          <cell r="D5203" t="str">
            <v>#</v>
          </cell>
          <cell r="E5203" t="str">
            <v>Xidmət bölməsi</v>
          </cell>
          <cell r="F5203" t="str">
            <v>Müştərilərlə iş üzrə aparıcı mütəxəssis</v>
          </cell>
          <cell r="G5203" t="str">
            <v>A</v>
          </cell>
          <cell r="H5203">
            <v>44608</v>
          </cell>
        </row>
        <row r="5204">
          <cell r="B5204" t="str">
            <v>Məlikova Fidan Fizuli</v>
          </cell>
          <cell r="C5204" t="str">
            <v>Yasamal filialı</v>
          </cell>
          <cell r="D5204" t="str">
            <v>#</v>
          </cell>
          <cell r="E5204" t="str">
            <v>Xidmət bölməsi</v>
          </cell>
          <cell r="F5204" t="str">
            <v>Müştərilərlə iş üzrə aparıcı mütəxəssis</v>
          </cell>
          <cell r="G5204" t="str">
            <v>A</v>
          </cell>
          <cell r="H5204">
            <v>42670</v>
          </cell>
        </row>
        <row r="5205">
          <cell r="B5205" t="str">
            <v>Əhmədova Könül Alxas</v>
          </cell>
          <cell r="C5205" t="str">
            <v>Yasamal filialı</v>
          </cell>
          <cell r="D5205" t="str">
            <v>#</v>
          </cell>
          <cell r="E5205" t="str">
            <v>Xidmət bölməsi</v>
          </cell>
          <cell r="F5205" t="str">
            <v>Müştərilərlə iş üzrə aparıcı mütəxəssis</v>
          </cell>
          <cell r="G5205" t="str">
            <v>A</v>
          </cell>
          <cell r="H5205">
            <v>44159</v>
          </cell>
        </row>
        <row r="5206">
          <cell r="B5206" t="str">
            <v>Quliyev Əli Əliqulu</v>
          </cell>
          <cell r="C5206" t="str">
            <v>Yasamal filialı</v>
          </cell>
          <cell r="D5206" t="str">
            <v>#</v>
          </cell>
          <cell r="E5206" t="str">
            <v>Xidmət bölməsi</v>
          </cell>
          <cell r="F5206" t="str">
            <v>Müştərilərlə iş üzrə aparıcı mütəxəssis</v>
          </cell>
          <cell r="G5206" t="str">
            <v>A</v>
          </cell>
          <cell r="H5206">
            <v>45506</v>
          </cell>
        </row>
        <row r="5207">
          <cell r="B5207" t="str">
            <v>Ruşanova Günel Mehman</v>
          </cell>
          <cell r="C5207" t="str">
            <v>Yasamal filialı</v>
          </cell>
          <cell r="D5207" t="str">
            <v>#</v>
          </cell>
          <cell r="E5207" t="str">
            <v>Xidmət bölməsi</v>
          </cell>
          <cell r="F5207" t="str">
            <v>Müştərilərlə iş üzrə aparıcı mütəxəssis</v>
          </cell>
          <cell r="G5207" t="str">
            <v>A</v>
          </cell>
          <cell r="H5207">
            <v>44704</v>
          </cell>
        </row>
        <row r="5208">
          <cell r="B5208" t="str">
            <v>Məmmədova Aygün Qabil</v>
          </cell>
          <cell r="C5208" t="str">
            <v>Yasamal filialı</v>
          </cell>
          <cell r="D5208" t="str">
            <v>#</v>
          </cell>
          <cell r="E5208" t="str">
            <v>Xidmət bölməsi</v>
          </cell>
          <cell r="F5208" t="str">
            <v>Müştərilərlə iş üzrə aparıcı mütəxəssis</v>
          </cell>
          <cell r="G5208" t="str">
            <v>A</v>
          </cell>
          <cell r="H5208">
            <v>44483</v>
          </cell>
        </row>
        <row r="5209">
          <cell r="B5209" t="str">
            <v>Bəkirova Mətanət Elman</v>
          </cell>
          <cell r="C5209" t="str">
            <v>Yasamal filialı</v>
          </cell>
          <cell r="D5209" t="str">
            <v>#</v>
          </cell>
          <cell r="E5209" t="str">
            <v>Xidmət bölməsi</v>
          </cell>
          <cell r="F5209" t="str">
            <v>Müştərilərlə iş üzrə mütəxəssis</v>
          </cell>
          <cell r="G5209" t="str">
            <v>A</v>
          </cell>
          <cell r="H5209">
            <v>45587</v>
          </cell>
        </row>
        <row r="5210">
          <cell r="B5210" t="str">
            <v>Qasımov Nicat İlqar</v>
          </cell>
          <cell r="C5210" t="str">
            <v>Yasamal filialı</v>
          </cell>
          <cell r="D5210" t="str">
            <v>#</v>
          </cell>
          <cell r="E5210" t="str">
            <v>Xidmət bölməsi</v>
          </cell>
          <cell r="F5210" t="str">
            <v>Müştərilərlə iş üzrə mütəxəssis</v>
          </cell>
          <cell r="G5210" t="str">
            <v>A</v>
          </cell>
          <cell r="H5210">
            <v>45568</v>
          </cell>
        </row>
        <row r="5211">
          <cell r="B5211" t="str">
            <v>Rəcəbova Firəngiz Şükür</v>
          </cell>
          <cell r="C5211" t="str">
            <v>Yasamal filialı</v>
          </cell>
          <cell r="D5211" t="str">
            <v>#</v>
          </cell>
          <cell r="E5211" t="str">
            <v>İnzibati bölmə</v>
          </cell>
          <cell r="F5211" t="str">
            <v>Xadimə</v>
          </cell>
          <cell r="G5211" t="str">
            <v>A</v>
          </cell>
          <cell r="H5211">
            <v>41214</v>
          </cell>
        </row>
        <row r="5212">
          <cell r="B5212" t="str">
            <v>Abdullayev Emin Oktay</v>
          </cell>
          <cell r="C5212" t="str">
            <v>Zəfər filialı</v>
          </cell>
          <cell r="D5212" t="str">
            <v>#</v>
          </cell>
          <cell r="E5212" t="str">
            <v>#</v>
          </cell>
          <cell r="F5212" t="str">
            <v>Müdir</v>
          </cell>
          <cell r="G5212" t="str">
            <v>A</v>
          </cell>
          <cell r="H5212">
            <v>42324</v>
          </cell>
        </row>
        <row r="5213">
          <cell r="B5213" t="str">
            <v>Məmmədova Kəmalə Nazim</v>
          </cell>
          <cell r="C5213" t="str">
            <v>Zəfər filialı</v>
          </cell>
          <cell r="D5213" t="str">
            <v>#</v>
          </cell>
          <cell r="E5213" t="str">
            <v>Xidmət bölməsi</v>
          </cell>
          <cell r="F5213" t="str">
            <v>Baş əməliyyatçı-kassir</v>
          </cell>
          <cell r="G5213" t="str">
            <v>SM</v>
          </cell>
          <cell r="H5213">
            <v>43696</v>
          </cell>
        </row>
        <row r="5214">
          <cell r="B5214" t="str">
            <v>Abasova Fidan Elşən</v>
          </cell>
          <cell r="C5214" t="str">
            <v>Zəfər filialı</v>
          </cell>
          <cell r="D5214" t="str">
            <v>#</v>
          </cell>
          <cell r="E5214" t="str">
            <v>Xidmət bölməsi</v>
          </cell>
          <cell r="F5214" t="str">
            <v>Əməliyyatçı-kassir (müvəqqəti)</v>
          </cell>
          <cell r="G5214" t="str">
            <v>A</v>
          </cell>
          <cell r="H5214">
            <v>45882</v>
          </cell>
        </row>
        <row r="5215">
          <cell r="B5215" t="str">
            <v>İsmayılov Rafiq Teyyub</v>
          </cell>
          <cell r="C5215" t="str">
            <v>Zəfər filialı</v>
          </cell>
          <cell r="D5215" t="str">
            <v>#</v>
          </cell>
          <cell r="E5215" t="str">
            <v>Xidmət bölməsi</v>
          </cell>
          <cell r="F5215" t="str">
            <v>Kassa üzrə baş mütəxəssis</v>
          </cell>
          <cell r="G5215" t="str">
            <v>A</v>
          </cell>
          <cell r="H5215">
            <v>40042</v>
          </cell>
        </row>
        <row r="5216">
          <cell r="B5216" t="str">
            <v>Yaqubova İlahə Rafiq</v>
          </cell>
          <cell r="C5216" t="str">
            <v>Zəfər filialı</v>
          </cell>
          <cell r="D5216" t="str">
            <v>#</v>
          </cell>
          <cell r="E5216" t="str">
            <v>Xidmət bölməsi</v>
          </cell>
          <cell r="F5216" t="str">
            <v>Kassa üzrə baş mütəxəssis</v>
          </cell>
          <cell r="G5216" t="str">
            <v>A</v>
          </cell>
          <cell r="H5216">
            <v>38918</v>
          </cell>
        </row>
        <row r="5217">
          <cell r="B5217" t="str">
            <v>Zeynallı Elşən Vüqar</v>
          </cell>
          <cell r="C5217" t="str">
            <v>Zəfər filialı</v>
          </cell>
          <cell r="D5217" t="str">
            <v>#</v>
          </cell>
          <cell r="E5217" t="str">
            <v>Xidmət bölməsi</v>
          </cell>
          <cell r="F5217" t="str">
            <v>Əməliyyatçı-kassir</v>
          </cell>
          <cell r="G5217" t="str">
            <v>A</v>
          </cell>
          <cell r="H5217">
            <v>45769</v>
          </cell>
        </row>
        <row r="5218">
          <cell r="B5218" t="str">
            <v>Əliyeva Nərgiz Çingiz</v>
          </cell>
          <cell r="C5218" t="str">
            <v>Zəfər filialı</v>
          </cell>
          <cell r="D5218" t="str">
            <v>#</v>
          </cell>
          <cell r="E5218" t="str">
            <v>Xidmət bölməsi</v>
          </cell>
          <cell r="F5218" t="str">
            <v>Müştərilərlə iş üzrə baş mütəxəssis</v>
          </cell>
          <cell r="G5218" t="str">
            <v>A</v>
          </cell>
          <cell r="H5218">
            <v>39231</v>
          </cell>
        </row>
        <row r="5219">
          <cell r="B5219" t="str">
            <v>Məmmədova Esmira Müzəffər</v>
          </cell>
          <cell r="C5219" t="str">
            <v>Zəfər filialı</v>
          </cell>
          <cell r="D5219" t="str">
            <v>#</v>
          </cell>
          <cell r="E5219" t="str">
            <v>Xidmət bölməsi</v>
          </cell>
          <cell r="F5219" t="str">
            <v>Müştərilərlə iş üzrə baş mütəxəssis</v>
          </cell>
          <cell r="G5219" t="str">
            <v>A</v>
          </cell>
          <cell r="H5219">
            <v>39036</v>
          </cell>
        </row>
        <row r="5220">
          <cell r="B5220" t="str">
            <v>Nəsirli Fidan Akif</v>
          </cell>
          <cell r="C5220" t="str">
            <v>Zəfər filialı</v>
          </cell>
          <cell r="D5220" t="str">
            <v>#</v>
          </cell>
          <cell r="E5220" t="str">
            <v>Xidmət bölməsi</v>
          </cell>
          <cell r="F5220" t="str">
            <v>Müştərilərlə iş üzrə aparıcı mütəxəssis</v>
          </cell>
          <cell r="G5220" t="str">
            <v>A</v>
          </cell>
          <cell r="H5220">
            <v>44656</v>
          </cell>
        </row>
        <row r="5221">
          <cell r="B5221" t="str">
            <v>Axundova Humay İlham</v>
          </cell>
          <cell r="C5221" t="str">
            <v>Zəfər filialı</v>
          </cell>
          <cell r="D5221" t="str">
            <v>#</v>
          </cell>
          <cell r="E5221" t="str">
            <v>Xidmət bölməsi</v>
          </cell>
          <cell r="F5221" t="str">
            <v>Müştərilərlə iş üzrə aparıcı mütəxəssis</v>
          </cell>
          <cell r="G5221" t="str">
            <v>SM</v>
          </cell>
          <cell r="H5221">
            <v>44907</v>
          </cell>
        </row>
        <row r="5222">
          <cell r="B5222" t="str">
            <v>Məmmədov Murad Muxtar</v>
          </cell>
          <cell r="C5222" t="str">
            <v>Zəfər filialı</v>
          </cell>
          <cell r="D5222" t="str">
            <v>#</v>
          </cell>
          <cell r="E5222" t="str">
            <v>Xidmət bölməsi</v>
          </cell>
          <cell r="F5222" t="str">
            <v>Müştərilərlə iş üzrə mütəxəssis (müvəqqəti)</v>
          </cell>
          <cell r="G5222" t="str">
            <v>A</v>
          </cell>
          <cell r="H5222">
            <v>45889</v>
          </cell>
        </row>
        <row r="5223">
          <cell r="B5223" t="str">
            <v>Adıgözəlli Fərid Eldar</v>
          </cell>
          <cell r="C5223" t="str">
            <v>Zəfər filialı</v>
          </cell>
          <cell r="D5223" t="str">
            <v>#</v>
          </cell>
          <cell r="E5223" t="str">
            <v>Xidmət bölməsi</v>
          </cell>
          <cell r="F5223" t="str">
            <v>Müştərilərlə iş üzrə aparıcı mütəxəssis</v>
          </cell>
          <cell r="G5223" t="str">
            <v>A</v>
          </cell>
          <cell r="H5223">
            <v>45890</v>
          </cell>
        </row>
        <row r="5224">
          <cell r="B5224" t="str">
            <v>Mürsəlova Şənay Mahir</v>
          </cell>
          <cell r="C5224" t="str">
            <v>Zəfər filialı</v>
          </cell>
          <cell r="D5224" t="str">
            <v>#</v>
          </cell>
          <cell r="E5224" t="str">
            <v>Xidmət bölməsi</v>
          </cell>
          <cell r="F5224" t="str">
            <v>Müştərilərlə iş üzrə mütəxəssis</v>
          </cell>
          <cell r="G5224" t="str">
            <v>A</v>
          </cell>
          <cell r="H5224">
            <v>45635</v>
          </cell>
        </row>
        <row r="5225">
          <cell r="B5225" t="str">
            <v>Muradi Rəhilə Fərhad</v>
          </cell>
          <cell r="C5225" t="str">
            <v>Zəfər filialı</v>
          </cell>
          <cell r="D5225" t="str">
            <v>#</v>
          </cell>
          <cell r="E5225" t="str">
            <v>Xidmət bölməsi</v>
          </cell>
          <cell r="F5225" t="str">
            <v>Müştərilərlə iş üzrə mütəxəssis</v>
          </cell>
          <cell r="G5225" t="str">
            <v>A</v>
          </cell>
          <cell r="H5225">
            <v>45877</v>
          </cell>
        </row>
        <row r="5226">
          <cell r="B5226" t="str">
            <v>Salmanlı Mahizər Səfər</v>
          </cell>
          <cell r="C5226" t="str">
            <v>Zəfər filialı</v>
          </cell>
          <cell r="D5226" t="str">
            <v>#</v>
          </cell>
          <cell r="E5226" t="str">
            <v>Xidmət bölməsi</v>
          </cell>
          <cell r="F5226" t="str">
            <v>Müştərilərlə iş üzrə mütəxəssis</v>
          </cell>
          <cell r="G5226" t="str">
            <v>A</v>
          </cell>
          <cell r="H5226">
            <v>43087</v>
          </cell>
        </row>
        <row r="5227">
          <cell r="B5227" t="str">
            <v>Ağakişizadə Sona Həsən</v>
          </cell>
          <cell r="C5227" t="str">
            <v>Zəfər filialı</v>
          </cell>
          <cell r="D5227" t="str">
            <v>#</v>
          </cell>
          <cell r="E5227" t="str">
            <v>Xidmət bölməsi</v>
          </cell>
          <cell r="F5227" t="str">
            <v>Məlumat xidməti üzrə aparıcı mütəxəssis</v>
          </cell>
          <cell r="G5227" t="str">
            <v>A</v>
          </cell>
          <cell r="H5227">
            <v>45254</v>
          </cell>
        </row>
        <row r="5228">
          <cell r="B5228" t="str">
            <v>Məhərrəmova Gündüz Müzəffər</v>
          </cell>
          <cell r="C5228" t="str">
            <v>Zəfər filialı</v>
          </cell>
          <cell r="D5228" t="str">
            <v>#</v>
          </cell>
          <cell r="E5228" t="str">
            <v>İnzibati bölmə</v>
          </cell>
          <cell r="F5228" t="str">
            <v>Xadimə</v>
          </cell>
          <cell r="G5228" t="str">
            <v>A</v>
          </cell>
          <cell r="H5228">
            <v>44937</v>
          </cell>
        </row>
        <row r="5229">
          <cell r="B5229" t="str">
            <v>Paşayev İbrahim Xaliq</v>
          </cell>
          <cell r="C5229" t="str">
            <v>#</v>
          </cell>
          <cell r="D5229" t="str">
            <v>Ağcabədi şöbəsi</v>
          </cell>
          <cell r="E5229" t="str">
            <v>Xidmət bölməsi</v>
          </cell>
          <cell r="F5229" t="str">
            <v>Baş əməliyyatçı-kassir</v>
          </cell>
          <cell r="G5229" t="str">
            <v>A</v>
          </cell>
          <cell r="H5229">
            <v>43839</v>
          </cell>
        </row>
        <row r="5230">
          <cell r="B5230" t="str">
            <v>Tağıyev Namiq Natiq</v>
          </cell>
          <cell r="C5230" t="str">
            <v>#</v>
          </cell>
          <cell r="D5230" t="str">
            <v>Ağcabədi şöbəsi</v>
          </cell>
          <cell r="E5230" t="str">
            <v>Xidmət bölməsi</v>
          </cell>
          <cell r="F5230" t="str">
            <v xml:space="preserve">Aparıcı əməliyyatçı-kassir </v>
          </cell>
          <cell r="G5230" t="str">
            <v>A</v>
          </cell>
          <cell r="H5230">
            <v>44687</v>
          </cell>
        </row>
        <row r="5231">
          <cell r="B5231" t="str">
            <v>Zülfəliyev Röyal Alı</v>
          </cell>
          <cell r="C5231" t="str">
            <v>#</v>
          </cell>
          <cell r="D5231" t="str">
            <v>Ağcabədi şöbəsi</v>
          </cell>
          <cell r="E5231" t="str">
            <v>Xidmət bölməsi</v>
          </cell>
          <cell r="F5231" t="str">
            <v>Əməliyyatçı-kassir</v>
          </cell>
          <cell r="G5231" t="str">
            <v>A</v>
          </cell>
          <cell r="H5231">
            <v>45693</v>
          </cell>
        </row>
        <row r="5232">
          <cell r="B5232" t="str">
            <v>Eminov Ülfət Dərdayıl</v>
          </cell>
          <cell r="C5232" t="str">
            <v>#</v>
          </cell>
          <cell r="D5232" t="str">
            <v>Balakən şöbəsi</v>
          </cell>
          <cell r="E5232" t="str">
            <v>#</v>
          </cell>
          <cell r="F5232" t="str">
            <v>Müdir</v>
          </cell>
          <cell r="G5232" t="str">
            <v>A</v>
          </cell>
          <cell r="H5232">
            <v>42290</v>
          </cell>
        </row>
        <row r="5233">
          <cell r="B5233" t="str">
            <v>Sarıyev Orxan Yaşar</v>
          </cell>
          <cell r="C5233" t="str">
            <v>#</v>
          </cell>
          <cell r="D5233" t="str">
            <v>Balakən şöbəsi</v>
          </cell>
          <cell r="E5233" t="str">
            <v>Xidmət bölməsi</v>
          </cell>
          <cell r="F5233" t="str">
            <v>Baş əməliyyatçı-kassir</v>
          </cell>
          <cell r="G5233" t="str">
            <v>A</v>
          </cell>
          <cell r="H5233">
            <v>43815</v>
          </cell>
        </row>
        <row r="5234">
          <cell r="B5234" t="str">
            <v>Mirəliyeva Sahilə Sabir</v>
          </cell>
          <cell r="C5234" t="str">
            <v>#</v>
          </cell>
          <cell r="D5234" t="str">
            <v>Balakən şöbəsi</v>
          </cell>
          <cell r="E5234" t="str">
            <v>Xidmət bölməsi</v>
          </cell>
          <cell r="F5234" t="str">
            <v xml:space="preserve">Baş əməliyyatçı-kassir </v>
          </cell>
          <cell r="G5234" t="str">
            <v>A</v>
          </cell>
          <cell r="H5234">
            <v>37683</v>
          </cell>
        </row>
        <row r="5235">
          <cell r="B5235" t="str">
            <v>Nəsibova Ayşən Fəxrəddin</v>
          </cell>
          <cell r="C5235" t="str">
            <v>#</v>
          </cell>
          <cell r="D5235" t="str">
            <v>Balakən şöbəsi</v>
          </cell>
          <cell r="E5235" t="str">
            <v>Xidmət bölməsi</v>
          </cell>
          <cell r="F5235" t="str">
            <v xml:space="preserve">Aparıcı əməliyyatçı-kassir </v>
          </cell>
          <cell r="G5235" t="str">
            <v>A</v>
          </cell>
          <cell r="H5235">
            <v>43844</v>
          </cell>
        </row>
        <row r="5236">
          <cell r="B5236" t="str">
            <v>Əhmədova Saibət Namiq</v>
          </cell>
          <cell r="C5236" t="str">
            <v>#</v>
          </cell>
          <cell r="D5236" t="str">
            <v>Balakən şöbəsi</v>
          </cell>
          <cell r="E5236" t="str">
            <v>Xidmət bölməsi</v>
          </cell>
          <cell r="F5236" t="str">
            <v>Əməliyyatçı-kassir</v>
          </cell>
          <cell r="G5236" t="str">
            <v>A</v>
          </cell>
          <cell r="H5236">
            <v>45873</v>
          </cell>
        </row>
        <row r="5237">
          <cell r="B5237" t="str">
            <v>Əsədullayev Nurulla Xanlar</v>
          </cell>
          <cell r="C5237" t="str">
            <v>#</v>
          </cell>
          <cell r="D5237" t="str">
            <v>Xaçmaz şöbəsi</v>
          </cell>
          <cell r="E5237" t="str">
            <v>#</v>
          </cell>
          <cell r="F5237" t="str">
            <v>Müdir</v>
          </cell>
          <cell r="G5237" t="str">
            <v>A</v>
          </cell>
          <cell r="H5237">
            <v>42115</v>
          </cell>
        </row>
        <row r="5238">
          <cell r="B5238" t="str">
            <v>Əmirov Sadiq Sabir</v>
          </cell>
          <cell r="C5238" t="str">
            <v>#</v>
          </cell>
          <cell r="D5238" t="str">
            <v>Xaçmaz şöbəsi</v>
          </cell>
          <cell r="E5238" t="str">
            <v>Xidmət bölməsi</v>
          </cell>
          <cell r="F5238" t="str">
            <v>Əməliyyatçı-kassir</v>
          </cell>
          <cell r="G5238" t="str">
            <v>A</v>
          </cell>
          <cell r="H5238">
            <v>45601</v>
          </cell>
        </row>
        <row r="5239">
          <cell r="B5239" t="str">
            <v>Hadizadə Tamerlan Mirxan</v>
          </cell>
          <cell r="C5239" t="str">
            <v>#</v>
          </cell>
          <cell r="D5239" t="str">
            <v>İmişli şöbəsi</v>
          </cell>
          <cell r="E5239" t="str">
            <v>#</v>
          </cell>
          <cell r="F5239" t="str">
            <v>Müdir</v>
          </cell>
          <cell r="G5239" t="str">
            <v>A</v>
          </cell>
          <cell r="H5239">
            <v>42052</v>
          </cell>
        </row>
        <row r="5240">
          <cell r="B5240" t="str">
            <v>Məstəlizadə Rüfət Fikrət</v>
          </cell>
          <cell r="C5240" t="str">
            <v>#</v>
          </cell>
          <cell r="D5240" t="str">
            <v>İmişli şöbəsi</v>
          </cell>
          <cell r="E5240" t="str">
            <v>Xidmət bölməsi</v>
          </cell>
          <cell r="F5240" t="str">
            <v>Baş əməliyyatçı-kassir</v>
          </cell>
          <cell r="G5240" t="str">
            <v>A</v>
          </cell>
          <cell r="H5240">
            <v>43399</v>
          </cell>
        </row>
        <row r="5241">
          <cell r="B5241" t="str">
            <v>Əlizadə Polad Mədəd</v>
          </cell>
          <cell r="C5241" t="str">
            <v>#</v>
          </cell>
          <cell r="D5241" t="str">
            <v>İmişli şöbəsi</v>
          </cell>
          <cell r="E5241" t="str">
            <v>Xidmət bölməsi</v>
          </cell>
          <cell r="F5241" t="str">
            <v xml:space="preserve">Baş əməliyyatçı-kassir </v>
          </cell>
          <cell r="G5241" t="str">
            <v>A</v>
          </cell>
          <cell r="H5241">
            <v>44231</v>
          </cell>
        </row>
        <row r="5242">
          <cell r="B5242" t="str">
            <v>Abbasova Fidan Mircavid</v>
          </cell>
          <cell r="C5242" t="str">
            <v>#</v>
          </cell>
          <cell r="D5242" t="str">
            <v>İmişli şöbəsi</v>
          </cell>
          <cell r="E5242" t="str">
            <v>Xidmət bölməsi</v>
          </cell>
          <cell r="F5242" t="str">
            <v xml:space="preserve">Aparıcı əməliyyatçı-kassir </v>
          </cell>
          <cell r="G5242" t="str">
            <v>A</v>
          </cell>
          <cell r="H5242">
            <v>44613</v>
          </cell>
        </row>
        <row r="5243">
          <cell r="B5243" t="str">
            <v>Əlizadə Aygün Hüseyn</v>
          </cell>
          <cell r="C5243" t="str">
            <v>#</v>
          </cell>
          <cell r="D5243" t="str">
            <v>İmişli şöbəsi</v>
          </cell>
          <cell r="E5243" t="str">
            <v>Xidmət bölməsi</v>
          </cell>
          <cell r="F5243" t="str">
            <v>Əməliyyatçı-kassir</v>
          </cell>
          <cell r="G5243" t="str">
            <v>A</v>
          </cell>
          <cell r="H5243">
            <v>45715</v>
          </cell>
        </row>
        <row r="5244">
          <cell r="B5244" t="str">
            <v>Kərimov Samir Azər</v>
          </cell>
          <cell r="C5244" t="str">
            <v>#</v>
          </cell>
          <cell r="D5244" t="str">
            <v>Kürdəmir şöbəsi</v>
          </cell>
          <cell r="E5244" t="str">
            <v>#</v>
          </cell>
          <cell r="F5244" t="str">
            <v>Müdir</v>
          </cell>
          <cell r="G5244" t="str">
            <v>A</v>
          </cell>
          <cell r="H5244">
            <v>42811</v>
          </cell>
        </row>
        <row r="5245">
          <cell r="B5245" t="str">
            <v>Salahov Zamiq Məmmədsaid</v>
          </cell>
          <cell r="C5245" t="str">
            <v>#</v>
          </cell>
          <cell r="D5245" t="str">
            <v>Kürdəmir şöbəsi</v>
          </cell>
          <cell r="E5245" t="str">
            <v>Xidmət bölməsi</v>
          </cell>
          <cell r="F5245" t="str">
            <v>Baş əməliyyatçı-kassir</v>
          </cell>
          <cell r="G5245" t="str">
            <v>A</v>
          </cell>
          <cell r="H5245">
            <v>42845</v>
          </cell>
        </row>
        <row r="5246">
          <cell r="B5246" t="str">
            <v>Məhəddinov Nail Rəfayıl</v>
          </cell>
          <cell r="C5246" t="str">
            <v>#</v>
          </cell>
          <cell r="D5246" t="str">
            <v>Kürdəmir şöbəsi</v>
          </cell>
          <cell r="E5246" t="str">
            <v>Xidmət bölməsi</v>
          </cell>
          <cell r="F5246" t="str">
            <v>Baş əməliyyatçı-kassir</v>
          </cell>
          <cell r="G5246" t="str">
            <v>A</v>
          </cell>
          <cell r="H5246">
            <v>43810</v>
          </cell>
        </row>
        <row r="5247">
          <cell r="B5247" t="str">
            <v>Süleymanlı Oruc Cəmaləddin</v>
          </cell>
          <cell r="C5247" t="str">
            <v>#</v>
          </cell>
          <cell r="D5247" t="str">
            <v>Kürdəmir şöbəsi</v>
          </cell>
          <cell r="E5247" t="str">
            <v>Xidmət bölməsi</v>
          </cell>
          <cell r="F5247" t="str">
            <v>Baş əməliyyatçı-kassir</v>
          </cell>
          <cell r="G5247" t="str">
            <v>A</v>
          </cell>
          <cell r="H5247">
            <v>43732</v>
          </cell>
        </row>
        <row r="5248">
          <cell r="B5248" t="str">
            <v>Məmmədhəsənov Qoşqar İlham</v>
          </cell>
          <cell r="C5248" t="str">
            <v>#</v>
          </cell>
          <cell r="D5248" t="str">
            <v>Qazax şöbəsi</v>
          </cell>
          <cell r="E5248" t="str">
            <v>#</v>
          </cell>
          <cell r="F5248" t="str">
            <v>Müdir</v>
          </cell>
          <cell r="G5248" t="str">
            <v>A</v>
          </cell>
          <cell r="H5248">
            <v>40828</v>
          </cell>
        </row>
        <row r="5249">
          <cell r="B5249" t="str">
            <v>Əliyev Nəriman Əliağa</v>
          </cell>
          <cell r="C5249" t="str">
            <v>#</v>
          </cell>
          <cell r="D5249" t="str">
            <v>Qazax şöbəsi</v>
          </cell>
          <cell r="E5249" t="str">
            <v>Xidmət bölməsi</v>
          </cell>
          <cell r="F5249" t="str">
            <v>Baş əməliyyatçı-kassir</v>
          </cell>
          <cell r="G5249" t="str">
            <v>A</v>
          </cell>
          <cell r="H5249">
            <v>43810</v>
          </cell>
        </row>
        <row r="5250">
          <cell r="B5250" t="str">
            <v>Hüseyinov İlkin Əhməd</v>
          </cell>
          <cell r="C5250" t="str">
            <v>#</v>
          </cell>
          <cell r="D5250" t="str">
            <v>Qazax şöbəsi</v>
          </cell>
          <cell r="E5250" t="str">
            <v>Xidmət bölməsi</v>
          </cell>
          <cell r="F5250" t="str">
            <v>Baş əməliyyatçı-kassir</v>
          </cell>
          <cell r="G5250" t="str">
            <v>A</v>
          </cell>
          <cell r="H5250">
            <v>43983</v>
          </cell>
        </row>
        <row r="5251">
          <cell r="B5251" t="str">
            <v>Məmmədxanlı Ramil İlqar</v>
          </cell>
          <cell r="C5251" t="str">
            <v>#</v>
          </cell>
          <cell r="D5251" t="str">
            <v>Qazax şöbəsi</v>
          </cell>
          <cell r="E5251" t="str">
            <v>Xidmət bölməsi</v>
          </cell>
          <cell r="F5251" t="str">
            <v>Baş əməliyyatçı-kassir</v>
          </cell>
          <cell r="G5251" t="str">
            <v>A</v>
          </cell>
          <cell r="H5251">
            <v>43957</v>
          </cell>
        </row>
        <row r="5252">
          <cell r="B5252" t="str">
            <v>Vəliyev Rüfət Xasay</v>
          </cell>
          <cell r="C5252" t="str">
            <v>#</v>
          </cell>
          <cell r="D5252" t="str">
            <v>Qazax şöbəsi</v>
          </cell>
          <cell r="E5252" t="str">
            <v>Xidmət bölməsi</v>
          </cell>
          <cell r="F5252" t="str">
            <v>Baş əməliyyatçı-kassir</v>
          </cell>
          <cell r="G5252" t="str">
            <v>A</v>
          </cell>
          <cell r="H5252">
            <v>43963</v>
          </cell>
        </row>
        <row r="5253">
          <cell r="B5253" t="str">
            <v>Ələkbərov Rəvan Amil</v>
          </cell>
          <cell r="C5253" t="str">
            <v>#</v>
          </cell>
          <cell r="D5253" t="str">
            <v>Qazax şöbəsi</v>
          </cell>
          <cell r="E5253" t="str">
            <v>Xidmət bölməsi</v>
          </cell>
          <cell r="F5253" t="str">
            <v>Baş əməliyyatçı-kassir</v>
          </cell>
          <cell r="G5253" t="str">
            <v>A</v>
          </cell>
          <cell r="H5253">
            <v>43963</v>
          </cell>
        </row>
        <row r="5254">
          <cell r="B5254" t="str">
            <v>Allahverdiyev Əfqan Vahid</v>
          </cell>
          <cell r="C5254" t="str">
            <v>#</v>
          </cell>
          <cell r="D5254" t="str">
            <v>Qazax şöbəsi</v>
          </cell>
          <cell r="E5254" t="str">
            <v>Xidmət bölməsi</v>
          </cell>
          <cell r="F5254" t="str">
            <v>Baş əməliyyatçı-kassir</v>
          </cell>
          <cell r="G5254" t="str">
            <v>A</v>
          </cell>
          <cell r="H5254">
            <v>43994</v>
          </cell>
        </row>
        <row r="5255">
          <cell r="B5255" t="str">
            <v>Musayev Əsgər Ənvər</v>
          </cell>
          <cell r="C5255" t="str">
            <v>#</v>
          </cell>
          <cell r="D5255" t="str">
            <v>Qazax şöbəsi</v>
          </cell>
          <cell r="E5255" t="str">
            <v>Xidmət bölməsi</v>
          </cell>
          <cell r="F5255" t="str">
            <v>Baş əməliyyatçı-kassir</v>
          </cell>
          <cell r="G5255" t="str">
            <v>A</v>
          </cell>
          <cell r="H5255">
            <v>43957</v>
          </cell>
        </row>
        <row r="5256">
          <cell r="B5256" t="str">
            <v>Carçıyev Eltun Yahya</v>
          </cell>
          <cell r="C5256" t="str">
            <v>#</v>
          </cell>
          <cell r="D5256" t="str">
            <v>Qazax şöbəsi</v>
          </cell>
          <cell r="E5256" t="str">
            <v>Xidmət bölməsi</v>
          </cell>
          <cell r="F5256" t="str">
            <v>Baş əməliyyatçı-kassir</v>
          </cell>
          <cell r="G5256" t="str">
            <v>A</v>
          </cell>
          <cell r="H5256">
            <v>43745</v>
          </cell>
        </row>
        <row r="5257">
          <cell r="B5257" t="str">
            <v>Süleymanov Şofiq Şaiq</v>
          </cell>
          <cell r="C5257" t="str">
            <v>#</v>
          </cell>
          <cell r="D5257" t="str">
            <v>Qazax şöbəsi</v>
          </cell>
          <cell r="E5257" t="str">
            <v>Xidmət bölməsi</v>
          </cell>
          <cell r="F5257" t="str">
            <v xml:space="preserve">Baş əməliyyatçı-kassir </v>
          </cell>
          <cell r="G5257" t="str">
            <v>A</v>
          </cell>
          <cell r="H5257">
            <v>43957</v>
          </cell>
        </row>
        <row r="5258">
          <cell r="B5258" t="str">
            <v>Rəsullu Azər Ramiz</v>
          </cell>
          <cell r="C5258" t="str">
            <v>#</v>
          </cell>
          <cell r="D5258" t="str">
            <v>Qazax şöbəsi</v>
          </cell>
          <cell r="E5258" t="str">
            <v>Xidmət bölməsi</v>
          </cell>
          <cell r="F5258" t="str">
            <v xml:space="preserve">Baş əməliyyatçı-kassir </v>
          </cell>
          <cell r="G5258" t="str">
            <v>A</v>
          </cell>
          <cell r="H5258">
            <v>43994</v>
          </cell>
        </row>
        <row r="5259">
          <cell r="B5259" t="str">
            <v>Mürüdlü Xaney Mahmud</v>
          </cell>
          <cell r="C5259" t="str">
            <v>#</v>
          </cell>
          <cell r="D5259" t="str">
            <v>Qazax şöbəsi</v>
          </cell>
          <cell r="E5259" t="str">
            <v>Xidmət bölməsi</v>
          </cell>
          <cell r="F5259" t="str">
            <v xml:space="preserve">Baş əməliyyatçı-kassir </v>
          </cell>
          <cell r="G5259" t="str">
            <v>A</v>
          </cell>
          <cell r="H5259">
            <v>43963</v>
          </cell>
        </row>
        <row r="5260">
          <cell r="B5260" t="str">
            <v>İmamverdiyev İrşad Müşfiq</v>
          </cell>
          <cell r="C5260" t="str">
            <v>#</v>
          </cell>
          <cell r="D5260" t="str">
            <v>Qazax şöbəsi</v>
          </cell>
          <cell r="E5260" t="str">
            <v>Xidmət bölməsi</v>
          </cell>
          <cell r="F5260" t="str">
            <v xml:space="preserve">Baş əməliyyatçı-kassir </v>
          </cell>
          <cell r="G5260" t="str">
            <v>A</v>
          </cell>
          <cell r="H5260">
            <v>44448</v>
          </cell>
        </row>
        <row r="5261">
          <cell r="B5261" t="str">
            <v>Rafiqli Elmir Etibar</v>
          </cell>
          <cell r="C5261" t="str">
            <v>#</v>
          </cell>
          <cell r="D5261" t="str">
            <v>Qazax şöbəsi</v>
          </cell>
          <cell r="E5261" t="str">
            <v>Xidmət bölməsi</v>
          </cell>
          <cell r="F5261" t="str">
            <v xml:space="preserve">Baş əməliyyatçı-kassir </v>
          </cell>
          <cell r="G5261" t="str">
            <v>A</v>
          </cell>
          <cell r="H5261">
            <v>44621</v>
          </cell>
        </row>
        <row r="5262">
          <cell r="B5262" t="str">
            <v>Mansurov İlkin Bəxtiyar</v>
          </cell>
          <cell r="C5262" t="str">
            <v>#</v>
          </cell>
          <cell r="D5262" t="str">
            <v>Qazax şöbəsi</v>
          </cell>
          <cell r="E5262" t="str">
            <v>Xidmət bölməsi</v>
          </cell>
          <cell r="F5262" t="str">
            <v xml:space="preserve">Baş əməliyyatçı-kassir </v>
          </cell>
          <cell r="G5262" t="str">
            <v>A</v>
          </cell>
          <cell r="H5262">
            <v>44623</v>
          </cell>
        </row>
        <row r="5263">
          <cell r="B5263" t="str">
            <v>Şahməmmədov Şahməmməd İsgəndər</v>
          </cell>
          <cell r="C5263" t="str">
            <v>#</v>
          </cell>
          <cell r="D5263" t="str">
            <v>Qazax şöbəsi</v>
          </cell>
          <cell r="E5263" t="str">
            <v>Xidmət bölməsi</v>
          </cell>
          <cell r="F5263" t="str">
            <v xml:space="preserve">Aparıcı əməliyyatçı-kassir </v>
          </cell>
          <cell r="G5263" t="str">
            <v>A</v>
          </cell>
          <cell r="H5263">
            <v>44652</v>
          </cell>
        </row>
        <row r="5264">
          <cell r="B5264" t="str">
            <v>Qənbərov Elvin Maarif</v>
          </cell>
          <cell r="C5264" t="str">
            <v>#</v>
          </cell>
          <cell r="D5264" t="str">
            <v>Qəbələ şöbəsi</v>
          </cell>
          <cell r="E5264" t="str">
            <v>#</v>
          </cell>
          <cell r="F5264" t="str">
            <v>Müdir</v>
          </cell>
          <cell r="G5264" t="str">
            <v>A</v>
          </cell>
          <cell r="H5264">
            <v>40087</v>
          </cell>
        </row>
        <row r="5265">
          <cell r="B5265" t="str">
            <v>Zeynalov Vüsal Zeynal</v>
          </cell>
          <cell r="C5265" t="str">
            <v>#</v>
          </cell>
          <cell r="D5265" t="str">
            <v>Qəbələ şöbəsi</v>
          </cell>
          <cell r="E5265" t="str">
            <v>Xidmət bölməsi</v>
          </cell>
          <cell r="F5265" t="str">
            <v>Baş əməliyyatçı-kassir</v>
          </cell>
          <cell r="G5265" t="str">
            <v>A</v>
          </cell>
          <cell r="H5265">
            <v>42965</v>
          </cell>
        </row>
        <row r="5266">
          <cell r="B5266" t="str">
            <v>Abdullayev Zaur Cavanşir</v>
          </cell>
          <cell r="C5266" t="str">
            <v>#</v>
          </cell>
          <cell r="D5266" t="str">
            <v>Qəbələ şöbəsi</v>
          </cell>
          <cell r="E5266" t="str">
            <v>Xidmət bölməsi</v>
          </cell>
          <cell r="F5266" t="str">
            <v>Baş əməliyyatçı-kassir</v>
          </cell>
          <cell r="G5266" t="str">
            <v>A</v>
          </cell>
          <cell r="H5266">
            <v>43480</v>
          </cell>
        </row>
        <row r="5267">
          <cell r="B5267" t="str">
            <v>Hacıyev Anar Yadigar</v>
          </cell>
          <cell r="C5267" t="str">
            <v>#</v>
          </cell>
          <cell r="D5267" t="str">
            <v>Qəbələ şöbəsi</v>
          </cell>
          <cell r="E5267" t="str">
            <v>Xidmət bölməsi</v>
          </cell>
          <cell r="F5267" t="str">
            <v xml:space="preserve">Aparıcı əməliyyatçı-kassir </v>
          </cell>
          <cell r="G5267" t="str">
            <v>A</v>
          </cell>
          <cell r="H5267">
            <v>44831</v>
          </cell>
        </row>
        <row r="5268">
          <cell r="B5268" t="str">
            <v>Ağayev Vasif Asif</v>
          </cell>
          <cell r="C5268" t="str">
            <v>#</v>
          </cell>
          <cell r="D5268" t="str">
            <v>Qəbələ şöbəsi</v>
          </cell>
          <cell r="E5268" t="str">
            <v>Xidmət bölməsi</v>
          </cell>
          <cell r="F5268" t="str">
            <v>Əməliyyatçı-kassir</v>
          </cell>
          <cell r="G5268" t="str">
            <v>A</v>
          </cell>
          <cell r="H5268">
            <v>45254</v>
          </cell>
        </row>
        <row r="5269">
          <cell r="B5269" t="str">
            <v>Bayramov Rəşad Bayram</v>
          </cell>
          <cell r="C5269" t="str">
            <v>#</v>
          </cell>
          <cell r="D5269" t="str">
            <v>Mingəçevir şöbəsi</v>
          </cell>
          <cell r="E5269" t="str">
            <v>#</v>
          </cell>
          <cell r="F5269" t="str">
            <v>Müdir</v>
          </cell>
          <cell r="G5269" t="str">
            <v>A</v>
          </cell>
          <cell r="H5269">
            <v>43192</v>
          </cell>
        </row>
        <row r="5270">
          <cell r="B5270" t="str">
            <v>Eyvazzadə Xaləddin Araz</v>
          </cell>
          <cell r="C5270" t="str">
            <v>#</v>
          </cell>
          <cell r="D5270" t="str">
            <v>Mingəçevir şöbəsi</v>
          </cell>
          <cell r="E5270" t="str">
            <v>Xidmət bölməsi</v>
          </cell>
          <cell r="F5270" t="str">
            <v>Baş əməliyyatçı-kassir</v>
          </cell>
          <cell r="G5270" t="str">
            <v>A</v>
          </cell>
          <cell r="H5270">
            <v>42464</v>
          </cell>
        </row>
        <row r="5271">
          <cell r="B5271" t="str">
            <v>Məmmədli Aytac Akif</v>
          </cell>
          <cell r="C5271" t="str">
            <v>#</v>
          </cell>
          <cell r="D5271" t="str">
            <v>Mingəçevir şöbəsi</v>
          </cell>
          <cell r="E5271" t="str">
            <v>Xidmət bölməsi</v>
          </cell>
          <cell r="F5271" t="str">
            <v xml:space="preserve">Baş əməliyyatçı-kassir </v>
          </cell>
          <cell r="G5271" t="str">
            <v>HX</v>
          </cell>
          <cell r="H5271">
            <v>43654</v>
          </cell>
        </row>
        <row r="5272">
          <cell r="B5272" t="str">
            <v>Akifli Leyla Rəşad</v>
          </cell>
          <cell r="C5272" t="str">
            <v>#</v>
          </cell>
          <cell r="D5272" t="str">
            <v>Mingəçevir şöbəsi</v>
          </cell>
          <cell r="E5272" t="str">
            <v>Xidmət bölməsi</v>
          </cell>
          <cell r="F5272" t="str">
            <v>Kiçik əməliyyatçı-kassir (müvəqqəti)</v>
          </cell>
          <cell r="G5272" t="str">
            <v>A</v>
          </cell>
          <cell r="H5272">
            <v>46224</v>
          </cell>
        </row>
        <row r="5273">
          <cell r="B5273" t="str">
            <v>Alızadə Arzu Azər</v>
          </cell>
          <cell r="C5273" t="str">
            <v>#</v>
          </cell>
          <cell r="D5273" t="str">
            <v>Mingəçevir şöbəsi</v>
          </cell>
          <cell r="E5273" t="str">
            <v>Xidmət bölməsi</v>
          </cell>
          <cell r="F5273" t="str">
            <v xml:space="preserve">Aparıcı əməliyyatçı-kassir </v>
          </cell>
          <cell r="G5273" t="str">
            <v>A</v>
          </cell>
          <cell r="H5273">
            <v>45112</v>
          </cell>
        </row>
        <row r="5274">
          <cell r="B5274" t="str">
            <v>İsmayılov Paşa Tofiq</v>
          </cell>
          <cell r="C5274" t="str">
            <v>#</v>
          </cell>
          <cell r="D5274" t="str">
            <v>Mingəçevir şöbəsi</v>
          </cell>
          <cell r="E5274" t="str">
            <v>Xidmət bölməsi</v>
          </cell>
          <cell r="F5274" t="str">
            <v xml:space="preserve">Aparıcı əməliyyatçı-kassir </v>
          </cell>
          <cell r="G5274" t="str">
            <v>A</v>
          </cell>
          <cell r="H5274">
            <v>45112</v>
          </cell>
        </row>
        <row r="5275">
          <cell r="B5275" t="str">
            <v>Balaşlı Nuranə Füzuli</v>
          </cell>
          <cell r="C5275" t="str">
            <v>#</v>
          </cell>
          <cell r="D5275" t="str">
            <v>Mingəçevir şöbəsi</v>
          </cell>
          <cell r="E5275" t="str">
            <v>Xidmət bölməsi</v>
          </cell>
          <cell r="F5275" t="str">
            <v>Kiçik əməliyyatçı-kassir</v>
          </cell>
          <cell r="G5275" t="str">
            <v>A</v>
          </cell>
          <cell r="H5275">
            <v>46204</v>
          </cell>
        </row>
        <row r="5276">
          <cell r="B5276" t="str">
            <v>Ağazadə Rüfət Cavanşir</v>
          </cell>
          <cell r="C5276" t="str">
            <v>#</v>
          </cell>
          <cell r="D5276" t="str">
            <v>Salyan şöbəsi</v>
          </cell>
          <cell r="E5276" t="str">
            <v>#</v>
          </cell>
          <cell r="F5276" t="str">
            <v>Müdir</v>
          </cell>
          <cell r="G5276" t="str">
            <v>A</v>
          </cell>
          <cell r="H5276">
            <v>40311</v>
          </cell>
        </row>
        <row r="5277">
          <cell r="B5277" t="str">
            <v>Əliyev Ülvi Murad</v>
          </cell>
          <cell r="C5277" t="str">
            <v>#</v>
          </cell>
          <cell r="D5277" t="str">
            <v>Salyan şöbəsi</v>
          </cell>
          <cell r="E5277" t="str">
            <v>Xidmət bölməsi</v>
          </cell>
          <cell r="F5277" t="str">
            <v xml:space="preserve">Aparıcı əməliyyatçı-kassir </v>
          </cell>
          <cell r="G5277" t="str">
            <v>A</v>
          </cell>
          <cell r="H5277">
            <v>44949</v>
          </cell>
        </row>
        <row r="5278">
          <cell r="B5278" t="str">
            <v>Dadaşzadə Nərmin Fəxrəddin</v>
          </cell>
          <cell r="C5278" t="str">
            <v>#</v>
          </cell>
          <cell r="D5278" t="str">
            <v>Salyan şöbəsi</v>
          </cell>
          <cell r="E5278" t="str">
            <v>Xidmət bölməsi</v>
          </cell>
          <cell r="F5278" t="str">
            <v xml:space="preserve">Aparıcı əməliyyatçı-kassir </v>
          </cell>
          <cell r="G5278" t="str">
            <v>A</v>
          </cell>
          <cell r="H5278">
            <v>44949</v>
          </cell>
        </row>
        <row r="5279">
          <cell r="B5279" t="str">
            <v>Rəhimli Nigar Məmmədqulu</v>
          </cell>
          <cell r="C5279" t="str">
            <v>#</v>
          </cell>
          <cell r="D5279" t="str">
            <v>Salyan şöbəsi</v>
          </cell>
          <cell r="E5279" t="str">
            <v>Xidmət bölməsi</v>
          </cell>
          <cell r="F5279" t="str">
            <v xml:space="preserve">Aparıcı əməliyyatçı-kassir </v>
          </cell>
          <cell r="G5279" t="str">
            <v>A</v>
          </cell>
          <cell r="H5279">
            <v>44949</v>
          </cell>
        </row>
        <row r="5280">
          <cell r="B5280" t="str">
            <v>İslamov Səlim Şüküran</v>
          </cell>
          <cell r="C5280" t="str">
            <v>#</v>
          </cell>
          <cell r="D5280" t="str">
            <v>Salyan şöbəsi</v>
          </cell>
          <cell r="E5280" t="str">
            <v>Xidmət bölməsi</v>
          </cell>
          <cell r="F5280" t="str">
            <v xml:space="preserve">Aparıcı əməliyyatçı-kassir </v>
          </cell>
          <cell r="G5280" t="str">
            <v>A</v>
          </cell>
          <cell r="H5280">
            <v>45019</v>
          </cell>
        </row>
        <row r="5281">
          <cell r="B5281" t="str">
            <v>Qasımov Arif Zahir</v>
          </cell>
          <cell r="C5281" t="str">
            <v>#</v>
          </cell>
          <cell r="D5281" t="str">
            <v>Şamaxı şöbəsi</v>
          </cell>
          <cell r="E5281" t="str">
            <v>Xidmət bölməsi</v>
          </cell>
          <cell r="F5281" t="str">
            <v>Baş əməliyyatçı-kassir</v>
          </cell>
          <cell r="G5281" t="str">
            <v>A</v>
          </cell>
          <cell r="H5281">
            <v>44061</v>
          </cell>
        </row>
        <row r="5282">
          <cell r="B5282" t="str">
            <v>Eyubov Əlşah Rişad</v>
          </cell>
          <cell r="C5282" t="str">
            <v>#</v>
          </cell>
          <cell r="D5282" t="str">
            <v>Şamaxı şöbəsi</v>
          </cell>
          <cell r="E5282" t="str">
            <v>Xidmət bölməsi</v>
          </cell>
          <cell r="F5282" t="str">
            <v xml:space="preserve">Aparıcı əməliyyatçı-kassir </v>
          </cell>
          <cell r="G5282" t="str">
            <v>A</v>
          </cell>
          <cell r="H5282">
            <v>36727</v>
          </cell>
        </row>
        <row r="5283">
          <cell r="B5283" t="str">
            <v>Rüstəmov Elçin Balacan</v>
          </cell>
          <cell r="C5283" t="str">
            <v>#</v>
          </cell>
          <cell r="D5283" t="str">
            <v>Şamaxı şöbəsi</v>
          </cell>
          <cell r="E5283" t="str">
            <v>Xidmət bölməsi</v>
          </cell>
          <cell r="F5283" t="str">
            <v xml:space="preserve">Aparıcı əməliyyatçı-kassir </v>
          </cell>
          <cell r="G5283" t="str">
            <v>A</v>
          </cell>
          <cell r="H5283">
            <v>43858</v>
          </cell>
        </row>
        <row r="5284">
          <cell r="B5284" t="str">
            <v>Abdullayeva Sara Zakir</v>
          </cell>
          <cell r="C5284" t="str">
            <v>#</v>
          </cell>
          <cell r="D5284" t="str">
            <v>Şamaxı şöbəsi</v>
          </cell>
          <cell r="E5284" t="str">
            <v>Xidmət bölməsi</v>
          </cell>
          <cell r="F5284" t="str">
            <v xml:space="preserve">Aparıcı əməliyyatçı-kassir </v>
          </cell>
          <cell r="G5284" t="str">
            <v>A</v>
          </cell>
          <cell r="H5284">
            <v>44790</v>
          </cell>
        </row>
        <row r="5285">
          <cell r="B5285" t="str">
            <v>Şəfaətli Anar Nüsrət</v>
          </cell>
          <cell r="C5285" t="str">
            <v>#</v>
          </cell>
          <cell r="D5285" t="str">
            <v>Şəki şöbəsi</v>
          </cell>
          <cell r="E5285" t="str">
            <v>#</v>
          </cell>
          <cell r="F5285" t="str">
            <v>Müdir</v>
          </cell>
          <cell r="G5285" t="str">
            <v>A</v>
          </cell>
          <cell r="H5285">
            <v>43392</v>
          </cell>
        </row>
        <row r="5286">
          <cell r="B5286" t="str">
            <v>Mehdili Nurlan Sahib</v>
          </cell>
          <cell r="C5286" t="str">
            <v>#</v>
          </cell>
          <cell r="D5286" t="str">
            <v>Şəki şöbəsi</v>
          </cell>
          <cell r="E5286" t="str">
            <v>Xidmət bölməsi</v>
          </cell>
          <cell r="F5286" t="str">
            <v>Baş əməliyyatçı-kassir</v>
          </cell>
          <cell r="G5286" t="str">
            <v>A</v>
          </cell>
          <cell r="H5286">
            <v>43490</v>
          </cell>
        </row>
        <row r="5287">
          <cell r="B5287" t="str">
            <v>Əhmədli Əfqan Əfsər</v>
          </cell>
          <cell r="C5287" t="str">
            <v>#</v>
          </cell>
          <cell r="D5287" t="str">
            <v>Şəki şöbəsi</v>
          </cell>
          <cell r="E5287" t="str">
            <v>Xidmət bölməsi</v>
          </cell>
          <cell r="F5287" t="str">
            <v>Baş əməliyyatçı-kassir</v>
          </cell>
          <cell r="G5287" t="str">
            <v>A</v>
          </cell>
          <cell r="H5287">
            <v>42516</v>
          </cell>
        </row>
        <row r="5288">
          <cell r="B5288" t="str">
            <v>Abdullayev Əsabəli Əfqan</v>
          </cell>
          <cell r="C5288" t="str">
            <v>#</v>
          </cell>
          <cell r="D5288" t="str">
            <v>Şəki şöbəsi</v>
          </cell>
          <cell r="E5288" t="str">
            <v>Xidmət bölməsi</v>
          </cell>
          <cell r="F5288" t="str">
            <v>Baş əməliyyatçı-kassir</v>
          </cell>
          <cell r="G5288" t="str">
            <v>A</v>
          </cell>
          <cell r="H5288">
            <v>43472</v>
          </cell>
        </row>
        <row r="5289">
          <cell r="B5289" t="str">
            <v>Abdulhəmidova Səma Şakir</v>
          </cell>
          <cell r="C5289" t="str">
            <v>#</v>
          </cell>
          <cell r="D5289" t="str">
            <v>Şəki şöbəsi</v>
          </cell>
          <cell r="E5289" t="str">
            <v>Xidmət bölməsi</v>
          </cell>
          <cell r="F5289" t="str">
            <v>Əməliyyatçı-kassir</v>
          </cell>
          <cell r="G5289" t="str">
            <v>A</v>
          </cell>
          <cell r="H5289">
            <v>45748</v>
          </cell>
        </row>
        <row r="5290">
          <cell r="B5290" t="str">
            <v>Əliyev Ülvi Telman</v>
          </cell>
          <cell r="C5290" t="str">
            <v>#</v>
          </cell>
          <cell r="D5290" t="str">
            <v>Tovuz şöbəsi</v>
          </cell>
          <cell r="E5290" t="str">
            <v>#</v>
          </cell>
          <cell r="F5290" t="str">
            <v>Müdir</v>
          </cell>
          <cell r="G5290" t="str">
            <v>A</v>
          </cell>
          <cell r="H5290">
            <v>41760</v>
          </cell>
        </row>
        <row r="5291">
          <cell r="B5291" t="str">
            <v>Fərzəliyev Mübariz İsa</v>
          </cell>
          <cell r="C5291" t="str">
            <v>#</v>
          </cell>
          <cell r="D5291" t="str">
            <v>Tovuz şöbəsi</v>
          </cell>
          <cell r="E5291" t="str">
            <v>Xidmət bölməsi</v>
          </cell>
          <cell r="F5291" t="str">
            <v>Baş əməliyyatçı-kassir</v>
          </cell>
          <cell r="G5291" t="str">
            <v>A</v>
          </cell>
          <cell r="H5291">
            <v>43661</v>
          </cell>
        </row>
        <row r="5292">
          <cell r="B5292" t="str">
            <v>Hüseynzadə Fidan Məzahir</v>
          </cell>
          <cell r="C5292" t="str">
            <v>#</v>
          </cell>
          <cell r="D5292" t="str">
            <v>Tovuz şöbəsi</v>
          </cell>
          <cell r="E5292" t="str">
            <v>Xidmət bölməsi</v>
          </cell>
          <cell r="F5292" t="str">
            <v xml:space="preserve">Baş əməliyyatçı-kassir </v>
          </cell>
          <cell r="G5292" t="str">
            <v>A</v>
          </cell>
          <cell r="H5292">
            <v>44517</v>
          </cell>
        </row>
        <row r="5293">
          <cell r="B5293" t="str">
            <v>Hümmətov İsmət Nazim</v>
          </cell>
          <cell r="C5293" t="str">
            <v>#</v>
          </cell>
          <cell r="D5293" t="str">
            <v>Tovuz şöbəsi</v>
          </cell>
          <cell r="E5293" t="str">
            <v>Xidmət bölməsi</v>
          </cell>
          <cell r="F5293" t="str">
            <v xml:space="preserve">Aparıcı əməliyyatçı-kassir </v>
          </cell>
          <cell r="G5293" t="str">
            <v>A</v>
          </cell>
          <cell r="H5293">
            <v>38874</v>
          </cell>
        </row>
        <row r="5294">
          <cell r="B5294" t="str">
            <v>Qarayeva Fidan Elnur</v>
          </cell>
          <cell r="C5294" t="str">
            <v>#</v>
          </cell>
          <cell r="D5294" t="str">
            <v>Tovuz şöbəsi</v>
          </cell>
          <cell r="E5294" t="str">
            <v>Xidmət bölməsi</v>
          </cell>
          <cell r="F5294" t="str">
            <v>Əməliyyatçı-kassir</v>
          </cell>
          <cell r="G5294" t="str">
            <v>A</v>
          </cell>
          <cell r="H5294">
            <v>45967</v>
          </cell>
        </row>
        <row r="5295">
          <cell r="B5295" t="str">
            <v>Sultanova Ləman Cavid</v>
          </cell>
          <cell r="C5295" t="str">
            <v>#</v>
          </cell>
          <cell r="D5295" t="str">
            <v>Tovuz şöbəsi</v>
          </cell>
          <cell r="E5295" t="str">
            <v>Xidmət bölməsi</v>
          </cell>
          <cell r="F5295" t="str">
            <v>Kiçik əməliyyatçı-kassir</v>
          </cell>
          <cell r="G5295" t="str">
            <v>A</v>
          </cell>
          <cell r="H5295">
            <v>46006</v>
          </cell>
        </row>
        <row r="5296">
          <cell r="B5296" t="str">
            <v>Əkbərov Qənbər Mövsüm</v>
          </cell>
          <cell r="C5296" t="str">
            <v>Ağcabədi  filialı</v>
          </cell>
          <cell r="D5296" t="str">
            <v>#</v>
          </cell>
          <cell r="E5296" t="str">
            <v>#</v>
          </cell>
          <cell r="F5296" t="str">
            <v>Müdir</v>
          </cell>
          <cell r="G5296" t="str">
            <v>A</v>
          </cell>
          <cell r="H5296">
            <v>41065</v>
          </cell>
        </row>
        <row r="5297">
          <cell r="B5297" t="str">
            <v>Abdullayeva Məhliqa Şikar</v>
          </cell>
          <cell r="C5297" t="str">
            <v>Ağcabədi  filialı</v>
          </cell>
          <cell r="D5297" t="str">
            <v>#</v>
          </cell>
          <cell r="E5297" t="str">
            <v>Xidmət bölməsi</v>
          </cell>
          <cell r="F5297" t="str">
            <v>Məlumat xidməti üzrə mütəxəssis</v>
          </cell>
          <cell r="G5297" t="str">
            <v>HX</v>
          </cell>
          <cell r="H5297">
            <v>45667</v>
          </cell>
        </row>
        <row r="5298">
          <cell r="B5298" t="str">
            <v>Tağıyev Tağı Məhəmməd</v>
          </cell>
          <cell r="C5298" t="str">
            <v>Ağcabədi  filialı</v>
          </cell>
          <cell r="D5298" t="str">
            <v>#</v>
          </cell>
          <cell r="E5298" t="str">
            <v>Xidmət bölməsi</v>
          </cell>
          <cell r="F5298" t="str">
            <v>Bölmə rəhbəri</v>
          </cell>
          <cell r="G5298" t="str">
            <v>A</v>
          </cell>
          <cell r="H5298">
            <v>42779</v>
          </cell>
        </row>
        <row r="5299">
          <cell r="B5299" t="str">
            <v>Mürsəlov Elçin Aşur</v>
          </cell>
          <cell r="C5299" t="str">
            <v>Ağcabədi  filialı</v>
          </cell>
          <cell r="D5299" t="str">
            <v>#</v>
          </cell>
          <cell r="E5299" t="str">
            <v>Xidmət bölməsi</v>
          </cell>
          <cell r="F5299" t="str">
            <v>Müştərilərlə iş üzrə baş mütəxəssis</v>
          </cell>
          <cell r="G5299" t="str">
            <v>A</v>
          </cell>
          <cell r="H5299">
            <v>42790</v>
          </cell>
        </row>
        <row r="5300">
          <cell r="B5300" t="str">
            <v>Musazadə Orxan Taleh</v>
          </cell>
          <cell r="C5300" t="str">
            <v>Ağcabədi  filialı</v>
          </cell>
          <cell r="D5300" t="str">
            <v>#</v>
          </cell>
          <cell r="E5300" t="str">
            <v>Xidmət bölməsi</v>
          </cell>
          <cell r="F5300" t="str">
            <v>Müştərilərlə iş üzrə baş mütəxəssis</v>
          </cell>
          <cell r="G5300" t="str">
            <v>A</v>
          </cell>
          <cell r="H5300">
            <v>43605</v>
          </cell>
        </row>
        <row r="5301">
          <cell r="B5301" t="str">
            <v>Həsənzadə Orxan Yaşar</v>
          </cell>
          <cell r="C5301" t="str">
            <v>Ağcabədi  filialı</v>
          </cell>
          <cell r="D5301" t="str">
            <v>#</v>
          </cell>
          <cell r="E5301" t="str">
            <v>Xidmət bölməsi</v>
          </cell>
          <cell r="F5301" t="str">
            <v>Müştərilərlə iş üzrə aparıcı mütəxəssis</v>
          </cell>
          <cell r="G5301" t="str">
            <v>A</v>
          </cell>
          <cell r="H5301">
            <v>43781</v>
          </cell>
        </row>
        <row r="5302">
          <cell r="B5302" t="str">
            <v>Hüseynzadə Fərrux Xəqani</v>
          </cell>
          <cell r="C5302" t="str">
            <v>Ağcabədi  filialı</v>
          </cell>
          <cell r="D5302" t="str">
            <v>#</v>
          </cell>
          <cell r="E5302" t="str">
            <v>Xidmət bölməsi</v>
          </cell>
          <cell r="F5302" t="str">
            <v>Müştərilərlə iş üzrə aparıcı mütəxəssis</v>
          </cell>
          <cell r="G5302" t="str">
            <v>A</v>
          </cell>
          <cell r="H5302">
            <v>43035</v>
          </cell>
        </row>
        <row r="5303">
          <cell r="B5303" t="str">
            <v>Quluyev Tanırqulu Tahir</v>
          </cell>
          <cell r="C5303" t="str">
            <v>Ağcabədi  filialı</v>
          </cell>
          <cell r="D5303" t="str">
            <v>#</v>
          </cell>
          <cell r="E5303" t="str">
            <v>Xidmət bölməsi</v>
          </cell>
          <cell r="F5303" t="str">
            <v>Müştərilərlə iş üzrə baş mütəxəssis</v>
          </cell>
          <cell r="G5303" t="str">
            <v>A</v>
          </cell>
          <cell r="H5303">
            <v>44572</v>
          </cell>
        </row>
        <row r="5304">
          <cell r="B5304" t="str">
            <v>Babayeva Röyalə Baxşeyiş</v>
          </cell>
          <cell r="C5304" t="str">
            <v>Ağcabədi  filialı</v>
          </cell>
          <cell r="D5304" t="str">
            <v>#</v>
          </cell>
          <cell r="E5304" t="str">
            <v>Xidmət bölməsi</v>
          </cell>
          <cell r="F5304" t="str">
            <v>Müştərilərlə iş üzrə aparıcı mütəxəssis</v>
          </cell>
          <cell r="G5304" t="str">
            <v>SM</v>
          </cell>
          <cell r="H5304">
            <v>44621</v>
          </cell>
        </row>
        <row r="5305">
          <cell r="B5305" t="str">
            <v>Əbdüləzimov Ağakişi Yusif</v>
          </cell>
          <cell r="C5305" t="str">
            <v>Ağcabədi  filialı</v>
          </cell>
          <cell r="D5305" t="str">
            <v>#</v>
          </cell>
          <cell r="E5305" t="str">
            <v>Xidmət bölməsi</v>
          </cell>
          <cell r="F5305" t="str">
            <v>Müştərilərlə iş üzrə baş mütəxəssis</v>
          </cell>
          <cell r="G5305" t="str">
            <v>A</v>
          </cell>
          <cell r="H5305">
            <v>44466</v>
          </cell>
        </row>
        <row r="5306">
          <cell r="B5306" t="str">
            <v>İbrahimov Kərim Bəxtiyar</v>
          </cell>
          <cell r="C5306" t="str">
            <v>Ağcabədi  filialı</v>
          </cell>
          <cell r="D5306" t="str">
            <v>#</v>
          </cell>
          <cell r="E5306" t="str">
            <v>Xidmət bölməsi</v>
          </cell>
          <cell r="F5306" t="str">
            <v>Müştərilərlə iş üzrə aparıcı mütəxəssis</v>
          </cell>
          <cell r="G5306" t="str">
            <v>A</v>
          </cell>
          <cell r="H5306">
            <v>45119</v>
          </cell>
        </row>
        <row r="5307">
          <cell r="B5307" t="str">
            <v>Heydarov Faiq Sadiq</v>
          </cell>
          <cell r="C5307" t="str">
            <v>Ağcabədi  filialı</v>
          </cell>
          <cell r="D5307" t="str">
            <v>#</v>
          </cell>
          <cell r="E5307" t="str">
            <v>Xidmət bölməsi</v>
          </cell>
          <cell r="F5307" t="str">
            <v>Müştərilərlə iş üzrə mütəxəssis</v>
          </cell>
          <cell r="G5307" t="str">
            <v>A</v>
          </cell>
          <cell r="H5307">
            <v>45622</v>
          </cell>
        </row>
        <row r="5308">
          <cell r="B5308" t="str">
            <v>Kərimov Mamed Babək</v>
          </cell>
          <cell r="C5308" t="str">
            <v>Ağcabədi  filialı</v>
          </cell>
          <cell r="D5308" t="str">
            <v>#</v>
          </cell>
          <cell r="E5308" t="str">
            <v>Xidmət bölməsi</v>
          </cell>
          <cell r="F5308" t="str">
            <v>Müştərilərlə iş üzrə aparıcı mütəxəssis</v>
          </cell>
          <cell r="G5308" t="str">
            <v>A</v>
          </cell>
          <cell r="H5308">
            <v>44824</v>
          </cell>
        </row>
        <row r="5309">
          <cell r="B5309" t="str">
            <v>Hüseynov Fərid Azər</v>
          </cell>
          <cell r="C5309" t="str">
            <v>Ağcabədi  filialı</v>
          </cell>
          <cell r="D5309" t="str">
            <v>#</v>
          </cell>
          <cell r="E5309" t="str">
            <v>Xidmət bölməsi</v>
          </cell>
          <cell r="F5309" t="str">
            <v xml:space="preserve">Aparıcı əməliyyatçı-kassir </v>
          </cell>
          <cell r="G5309" t="str">
            <v>A</v>
          </cell>
          <cell r="H5309">
            <v>44998</v>
          </cell>
        </row>
        <row r="5310">
          <cell r="B5310" t="str">
            <v>Atakişi Baladə Ramiz</v>
          </cell>
          <cell r="C5310" t="str">
            <v>Ağcabədi  filialı</v>
          </cell>
          <cell r="D5310" t="str">
            <v>#</v>
          </cell>
          <cell r="E5310" t="str">
            <v>Xidmət bölməsi</v>
          </cell>
          <cell r="F5310" t="str">
            <v>Kassa üzrə kiçik mütəxəssis</v>
          </cell>
          <cell r="G5310" t="str">
            <v>A</v>
          </cell>
          <cell r="H5310">
            <v>46224</v>
          </cell>
        </row>
        <row r="5311">
          <cell r="B5311" t="str">
            <v>Talıbova Gülnarə Telman</v>
          </cell>
          <cell r="C5311" t="str">
            <v>Ağcabədi  filialı</v>
          </cell>
          <cell r="D5311" t="str">
            <v>#</v>
          </cell>
          <cell r="E5311" t="str">
            <v>İnzibati bölmə</v>
          </cell>
          <cell r="F5311" t="str">
            <v>Xadimə</v>
          </cell>
          <cell r="G5311" t="str">
            <v>A</v>
          </cell>
          <cell r="H5311">
            <v>44204</v>
          </cell>
        </row>
        <row r="5312">
          <cell r="B5312" t="str">
            <v>Ələkbərov Mehrac İntiqam</v>
          </cell>
          <cell r="C5312" t="str">
            <v>Ağcabədi  filialı</v>
          </cell>
          <cell r="D5312" t="str">
            <v>#</v>
          </cell>
          <cell r="E5312" t="str">
            <v>Mikro kredit bölməsi</v>
          </cell>
          <cell r="F5312" t="str">
            <v>Bölmə rəhbəri</v>
          </cell>
          <cell r="G5312" t="str">
            <v>A</v>
          </cell>
          <cell r="H5312">
            <v>45084</v>
          </cell>
        </row>
        <row r="5313">
          <cell r="B5313" t="str">
            <v>Həziyev Murad Əkbər</v>
          </cell>
          <cell r="C5313" t="str">
            <v>Ağcabədi  filialı</v>
          </cell>
          <cell r="D5313" t="str">
            <v>#</v>
          </cell>
          <cell r="E5313" t="str">
            <v>Mikro kredit bölməsi</v>
          </cell>
          <cell r="F5313" t="str">
            <v>Baş mütəxəssis</v>
          </cell>
          <cell r="G5313" t="str">
            <v>A</v>
          </cell>
          <cell r="H5313">
            <v>44610</v>
          </cell>
        </row>
        <row r="5314">
          <cell r="B5314" t="str">
            <v>Həsənov Güləhməd Şaiq</v>
          </cell>
          <cell r="C5314" t="str">
            <v>Ağcabədi  filialı</v>
          </cell>
          <cell r="D5314" t="str">
            <v>#</v>
          </cell>
          <cell r="E5314" t="str">
            <v>Mikro kredit bölməsi</v>
          </cell>
          <cell r="F5314" t="str">
            <v>Baş mütəxəssis</v>
          </cell>
          <cell r="G5314" t="str">
            <v>A</v>
          </cell>
          <cell r="H5314">
            <v>44523</v>
          </cell>
        </row>
        <row r="5315">
          <cell r="B5315" t="str">
            <v>Bəbirov Nizami Bəbir</v>
          </cell>
          <cell r="C5315" t="str">
            <v>Ağcabədi  filialı</v>
          </cell>
          <cell r="D5315" t="str">
            <v>#</v>
          </cell>
          <cell r="E5315" t="str">
            <v>Mikro kredit bölməsi</v>
          </cell>
          <cell r="F5315" t="str">
            <v>Aparıcı mütəxəssis</v>
          </cell>
          <cell r="G5315" t="str">
            <v>A</v>
          </cell>
          <cell r="H5315">
            <v>45924</v>
          </cell>
        </row>
        <row r="5316">
          <cell r="B5316" t="str">
            <v>Behbudov Adil Eldar</v>
          </cell>
          <cell r="C5316" t="str">
            <v>Ağdam filialı</v>
          </cell>
          <cell r="D5316" t="str">
            <v>#</v>
          </cell>
          <cell r="E5316" t="str">
            <v>#</v>
          </cell>
          <cell r="F5316" t="str">
            <v>Müdir</v>
          </cell>
          <cell r="G5316" t="str">
            <v>A</v>
          </cell>
          <cell r="H5316">
            <v>42501</v>
          </cell>
        </row>
        <row r="5317">
          <cell r="B5317" t="str">
            <v>Musayev Kənan Yamən</v>
          </cell>
          <cell r="C5317" t="str">
            <v>Ağdam filialı</v>
          </cell>
          <cell r="D5317" t="str">
            <v>#</v>
          </cell>
          <cell r="E5317" t="str">
            <v>Xidmət bölməsi</v>
          </cell>
          <cell r="F5317" t="str">
            <v>Kassa üzrə baş mütəxəssis</v>
          </cell>
          <cell r="G5317" t="str">
            <v>A</v>
          </cell>
          <cell r="H5317">
            <v>42592</v>
          </cell>
        </row>
        <row r="5318">
          <cell r="B5318" t="str">
            <v>Vəliyeva Rahilə Süleyman</v>
          </cell>
          <cell r="C5318" t="str">
            <v>Ağdam filialı</v>
          </cell>
          <cell r="D5318" t="str">
            <v>#</v>
          </cell>
          <cell r="E5318" t="str">
            <v>Xidmət bölməsi</v>
          </cell>
          <cell r="F5318" t="str">
            <v>Kassa üzrə mütəxəssis</v>
          </cell>
          <cell r="G5318" t="str">
            <v>A</v>
          </cell>
          <cell r="H5318">
            <v>36832</v>
          </cell>
        </row>
        <row r="5319">
          <cell r="B5319" t="str">
            <v>Quliyev Yolçu Ocaqqulu</v>
          </cell>
          <cell r="C5319" t="str">
            <v>Ağdam filialı</v>
          </cell>
          <cell r="D5319" t="str">
            <v>#</v>
          </cell>
          <cell r="E5319" t="str">
            <v>Xidmət bölməsi</v>
          </cell>
          <cell r="F5319" t="str">
            <v>Müştərilərlə iş üzrə baş mütəxəssis</v>
          </cell>
          <cell r="G5319" t="str">
            <v>A</v>
          </cell>
          <cell r="H5319">
            <v>36756</v>
          </cell>
        </row>
        <row r="5320">
          <cell r="B5320" t="str">
            <v>Əliyev Emin Sahib</v>
          </cell>
          <cell r="C5320" t="str">
            <v>Ağdam filialı</v>
          </cell>
          <cell r="D5320" t="str">
            <v>#</v>
          </cell>
          <cell r="E5320" t="str">
            <v>Xidmət bölməsi</v>
          </cell>
          <cell r="F5320" t="str">
            <v>Müştərilərlə iş üzrə baş mütəxəssis</v>
          </cell>
          <cell r="G5320" t="str">
            <v>A</v>
          </cell>
          <cell r="H5320">
            <v>42831</v>
          </cell>
        </row>
        <row r="5321">
          <cell r="B5321" t="str">
            <v>Məmmədli İlkin Bəxtiyar</v>
          </cell>
          <cell r="C5321" t="str">
            <v>Ağdam filialı</v>
          </cell>
          <cell r="D5321" t="str">
            <v>#</v>
          </cell>
          <cell r="E5321" t="str">
            <v>Xidmət bölməsi</v>
          </cell>
          <cell r="F5321" t="str">
            <v>Müştərilərlə iş üzrə baş mütəxəssis</v>
          </cell>
          <cell r="G5321" t="str">
            <v>A</v>
          </cell>
          <cell r="H5321">
            <v>43108</v>
          </cell>
        </row>
        <row r="5322">
          <cell r="B5322" t="str">
            <v>İsgəndərov Orxan Yunis</v>
          </cell>
          <cell r="C5322" t="str">
            <v>Ağdam filialı</v>
          </cell>
          <cell r="D5322" t="str">
            <v>#</v>
          </cell>
          <cell r="E5322" t="str">
            <v>Xidmət bölməsi</v>
          </cell>
          <cell r="F5322" t="str">
            <v>Müştərilərlə iş üzrə baş mütəxəssis</v>
          </cell>
          <cell r="G5322" t="str">
            <v>A</v>
          </cell>
          <cell r="H5322">
            <v>42776</v>
          </cell>
        </row>
        <row r="5323">
          <cell r="B5323" t="str">
            <v>Hacıbəyli İbrahim Rahim</v>
          </cell>
          <cell r="C5323" t="str">
            <v>Ağdam filialı</v>
          </cell>
          <cell r="D5323" t="str">
            <v>#</v>
          </cell>
          <cell r="E5323" t="str">
            <v>Xidmət bölməsi</v>
          </cell>
          <cell r="F5323" t="str">
            <v>Müştərilərlə iş üzrə baş mütəxəssis</v>
          </cell>
          <cell r="G5323" t="str">
            <v>A</v>
          </cell>
          <cell r="H5323">
            <v>43675</v>
          </cell>
        </row>
        <row r="5324">
          <cell r="B5324" t="str">
            <v>Mahmudov Rauf Şəmsəddin</v>
          </cell>
          <cell r="C5324" t="str">
            <v>Ağdam filialı</v>
          </cell>
          <cell r="D5324" t="str">
            <v>#</v>
          </cell>
          <cell r="E5324" t="str">
            <v>Xidmət bölməsi</v>
          </cell>
          <cell r="F5324" t="str">
            <v>Müştərilərlə iş üzrə baş mütəxəssis</v>
          </cell>
          <cell r="G5324" t="str">
            <v>A</v>
          </cell>
          <cell r="H5324">
            <v>44054</v>
          </cell>
        </row>
        <row r="5325">
          <cell r="B5325" t="str">
            <v>Məmmədov Əli Qabil</v>
          </cell>
          <cell r="C5325" t="str">
            <v>Ağdam filialı</v>
          </cell>
          <cell r="D5325" t="str">
            <v>#</v>
          </cell>
          <cell r="E5325" t="str">
            <v>Xidmət bölməsi</v>
          </cell>
          <cell r="F5325" t="str">
            <v>Müştərilərlə iş üzrə mütəxəssis</v>
          </cell>
          <cell r="G5325" t="str">
            <v>A</v>
          </cell>
          <cell r="H5325">
            <v>44998</v>
          </cell>
        </row>
        <row r="5326">
          <cell r="B5326" t="str">
            <v>Ələsgərli Fidan Rəhim</v>
          </cell>
          <cell r="C5326" t="str">
            <v>Ağdam filialı</v>
          </cell>
          <cell r="D5326" t="str">
            <v>#</v>
          </cell>
          <cell r="E5326" t="str">
            <v>Xidmət bölməsi</v>
          </cell>
          <cell r="F5326" t="str">
            <v>Müştərilərlə iş üzrə mütəxəssis</v>
          </cell>
          <cell r="G5326" t="str">
            <v>A</v>
          </cell>
          <cell r="H5326">
            <v>45279</v>
          </cell>
        </row>
        <row r="5327">
          <cell r="B5327" t="str">
            <v>İsmayılova Pərvin Hafiz</v>
          </cell>
          <cell r="C5327" t="str">
            <v>Ağdam filialı</v>
          </cell>
          <cell r="D5327" t="str">
            <v>#</v>
          </cell>
          <cell r="E5327" t="str">
            <v>Xidmət bölməsi</v>
          </cell>
          <cell r="F5327" t="str">
            <v>Məlumat xidməti üzrə aparıcı mütəxəssis</v>
          </cell>
          <cell r="G5327" t="str">
            <v>HX</v>
          </cell>
          <cell r="H5327">
            <v>45209</v>
          </cell>
        </row>
        <row r="5328">
          <cell r="B5328" t="str">
            <v>Qasımov Ülvi Baloğlan</v>
          </cell>
          <cell r="C5328" t="str">
            <v>Ağdaş  filialı</v>
          </cell>
          <cell r="D5328" t="str">
            <v>#</v>
          </cell>
          <cell r="E5328" t="str">
            <v>#</v>
          </cell>
          <cell r="F5328" t="str">
            <v>Müdir</v>
          </cell>
          <cell r="G5328" t="str">
            <v>A</v>
          </cell>
          <cell r="H5328">
            <v>43662</v>
          </cell>
        </row>
        <row r="5329">
          <cell r="B5329" t="str">
            <v>Əfəndi Hüseyn Elçin</v>
          </cell>
          <cell r="C5329" t="str">
            <v>Ağdaş  filialı</v>
          </cell>
          <cell r="D5329" t="str">
            <v>#</v>
          </cell>
          <cell r="E5329" t="str">
            <v>Xidmət bölməsi</v>
          </cell>
          <cell r="F5329" t="str">
            <v xml:space="preserve">Aparıcı əməliyyatçı-kassir </v>
          </cell>
          <cell r="G5329" t="str">
            <v>A</v>
          </cell>
          <cell r="H5329">
            <v>43957</v>
          </cell>
        </row>
        <row r="5330">
          <cell r="B5330" t="str">
            <v>Heydərov Elnur İsmayıl</v>
          </cell>
          <cell r="C5330" t="str">
            <v>Ağdaş  filialı</v>
          </cell>
          <cell r="D5330" t="str">
            <v>#</v>
          </cell>
          <cell r="E5330" t="str">
            <v>Xidmət bölməsi</v>
          </cell>
          <cell r="F5330" t="str">
            <v>Kassa üzrə aparıcı mütəxəssis</v>
          </cell>
          <cell r="G5330" t="str">
            <v>A</v>
          </cell>
          <cell r="H5330">
            <v>44460</v>
          </cell>
        </row>
        <row r="5331">
          <cell r="B5331" t="str">
            <v>İbrahimxəlilova Aytac Məzahir</v>
          </cell>
          <cell r="C5331" t="str">
            <v>Ağdaş  filialı</v>
          </cell>
          <cell r="D5331" t="str">
            <v>#</v>
          </cell>
          <cell r="E5331" t="str">
            <v>Xidmət bölməsi</v>
          </cell>
          <cell r="F5331" t="str">
            <v>Məlumat xidməti üzrə mütəxəssis</v>
          </cell>
          <cell r="G5331" t="str">
            <v>A</v>
          </cell>
          <cell r="H5331">
            <v>45860</v>
          </cell>
        </row>
        <row r="5332">
          <cell r="B5332" t="str">
            <v>Həmidli Orxan Şirxan</v>
          </cell>
          <cell r="C5332" t="str">
            <v>Ağdaş  filialı</v>
          </cell>
          <cell r="D5332" t="str">
            <v>#</v>
          </cell>
          <cell r="E5332" t="str">
            <v>Xidmət bölməsi</v>
          </cell>
          <cell r="F5332" t="str">
            <v>Müştərilərlə iş üzrə baş mütəxəssis</v>
          </cell>
          <cell r="G5332" t="str">
            <v>A</v>
          </cell>
          <cell r="H5332">
            <v>42339</v>
          </cell>
        </row>
        <row r="5333">
          <cell r="B5333" t="str">
            <v>Nəbiyeva Nərmin Nəriman</v>
          </cell>
          <cell r="C5333" t="str">
            <v>Ağdaş  filialı</v>
          </cell>
          <cell r="D5333" t="str">
            <v>#</v>
          </cell>
          <cell r="E5333" t="str">
            <v>Xidmət bölməsi</v>
          </cell>
          <cell r="F5333" t="str">
            <v>Müştərilərlə iş üzrə baş mütəxəssis</v>
          </cell>
          <cell r="G5333" t="str">
            <v>A</v>
          </cell>
          <cell r="H5333">
            <v>42531</v>
          </cell>
        </row>
        <row r="5334">
          <cell r="B5334" t="str">
            <v>Səlimova Təranə Qorxmaz</v>
          </cell>
          <cell r="C5334" t="str">
            <v>Ağdaş  filialı</v>
          </cell>
          <cell r="D5334" t="str">
            <v>#</v>
          </cell>
          <cell r="E5334" t="str">
            <v>Xidmət bölməsi</v>
          </cell>
          <cell r="F5334" t="str">
            <v>Müştərilərlə iş üzrə baş mütəxəssis</v>
          </cell>
          <cell r="G5334" t="str">
            <v>A</v>
          </cell>
          <cell r="H5334">
            <v>42730</v>
          </cell>
        </row>
        <row r="5335">
          <cell r="B5335" t="str">
            <v>Mustafayev İsmayıl Oruc</v>
          </cell>
          <cell r="C5335" t="str">
            <v>Ağdaş  filialı</v>
          </cell>
          <cell r="D5335" t="str">
            <v>#</v>
          </cell>
          <cell r="E5335" t="str">
            <v>Xidmət bölməsi</v>
          </cell>
          <cell r="F5335" t="str">
            <v>Müştərilərlə iş üzrə kiçik mütəxəssis</v>
          </cell>
          <cell r="G5335" t="str">
            <v>A</v>
          </cell>
          <cell r="H5335">
            <v>45544</v>
          </cell>
        </row>
        <row r="5336">
          <cell r="B5336" t="str">
            <v>Qasımova Ülviyyə Qorxmaz</v>
          </cell>
          <cell r="C5336" t="str">
            <v>Ağdaş  filialı</v>
          </cell>
          <cell r="D5336" t="str">
            <v>#</v>
          </cell>
          <cell r="E5336" t="str">
            <v>İnzibati bölmə</v>
          </cell>
          <cell r="F5336" t="str">
            <v>Xadimə</v>
          </cell>
          <cell r="G5336" t="str">
            <v>A</v>
          </cell>
          <cell r="H5336">
            <v>45250</v>
          </cell>
        </row>
        <row r="5337">
          <cell r="B5337" t="str">
            <v>Muxtarov Tural Kamil</v>
          </cell>
          <cell r="C5337" t="str">
            <v>Ağstafa  filialı</v>
          </cell>
          <cell r="D5337" t="str">
            <v>#</v>
          </cell>
          <cell r="E5337" t="str">
            <v>#</v>
          </cell>
          <cell r="F5337" t="str">
            <v>Müdir</v>
          </cell>
          <cell r="G5337" t="str">
            <v>A</v>
          </cell>
          <cell r="H5337">
            <v>42311</v>
          </cell>
        </row>
        <row r="5338">
          <cell r="B5338" t="str">
            <v>Verdiyev Əli Rafiq</v>
          </cell>
          <cell r="C5338" t="str">
            <v>Ağstafa  filialı</v>
          </cell>
          <cell r="D5338" t="str">
            <v>#</v>
          </cell>
          <cell r="E5338" t="str">
            <v>Xidmət bölməsi</v>
          </cell>
          <cell r="F5338" t="str">
            <v>Bölmə rəhbəri</v>
          </cell>
          <cell r="G5338" t="str">
            <v>A</v>
          </cell>
          <cell r="H5338">
            <v>42898</v>
          </cell>
        </row>
        <row r="5339">
          <cell r="B5339" t="str">
            <v>Abbasov Murtuz Qara</v>
          </cell>
          <cell r="C5339" t="str">
            <v>Ağstafa  filialı</v>
          </cell>
          <cell r="D5339" t="str">
            <v>#</v>
          </cell>
          <cell r="E5339" t="str">
            <v>Xidmət bölməsi</v>
          </cell>
          <cell r="F5339" t="str">
            <v>Kassa üzrə baş mütəxəssis</v>
          </cell>
          <cell r="G5339" t="str">
            <v>A</v>
          </cell>
          <cell r="H5339">
            <v>36843</v>
          </cell>
        </row>
        <row r="5340">
          <cell r="B5340" t="str">
            <v>Məmmədova Pərvin Nazim</v>
          </cell>
          <cell r="C5340" t="str">
            <v>Ağstafa  filialı</v>
          </cell>
          <cell r="D5340" t="str">
            <v>#</v>
          </cell>
          <cell r="E5340" t="str">
            <v>Xidmət bölməsi</v>
          </cell>
          <cell r="F5340" t="str">
            <v>Baş əməliyyatçı-kassir</v>
          </cell>
          <cell r="G5340" t="str">
            <v>A</v>
          </cell>
          <cell r="H5340">
            <v>42768</v>
          </cell>
        </row>
        <row r="5341">
          <cell r="B5341" t="str">
            <v>Heydərli Şəhla Azad</v>
          </cell>
          <cell r="C5341" t="str">
            <v>Ağstafa  filialı</v>
          </cell>
          <cell r="D5341" t="str">
            <v>#</v>
          </cell>
          <cell r="E5341" t="str">
            <v>Xidmət bölməsi</v>
          </cell>
          <cell r="F5341" t="str">
            <v>Məlumat xidməti üzrə aparıcı mütəxəssis</v>
          </cell>
          <cell r="G5341" t="str">
            <v>SM</v>
          </cell>
          <cell r="H5341">
            <v>44179</v>
          </cell>
        </row>
        <row r="5342">
          <cell r="B5342" t="str">
            <v>Tağızadə Fəridə Əvəz</v>
          </cell>
          <cell r="C5342" t="str">
            <v>Ağstafa  filialı</v>
          </cell>
          <cell r="D5342" t="str">
            <v>#</v>
          </cell>
          <cell r="E5342" t="str">
            <v>Xidmət bölməsi</v>
          </cell>
          <cell r="F5342" t="str">
            <v>Məlumat xidməti üzrə kiçik mütəxəssis (müvəqqəti)</v>
          </cell>
          <cell r="G5342" t="str">
            <v>A</v>
          </cell>
          <cell r="H5342">
            <v>46190</v>
          </cell>
        </row>
        <row r="5343">
          <cell r="B5343" t="str">
            <v>Qasımov Orxan Qabil</v>
          </cell>
          <cell r="C5343" t="str">
            <v>Ağstafa  filialı</v>
          </cell>
          <cell r="D5343" t="str">
            <v>#</v>
          </cell>
          <cell r="E5343" t="str">
            <v>Xidmət bölməsi</v>
          </cell>
          <cell r="F5343" t="str">
            <v>Müştərilərlə iş üzrə baş mütəxəssis</v>
          </cell>
          <cell r="G5343" t="str">
            <v>A</v>
          </cell>
          <cell r="H5343">
            <v>42339</v>
          </cell>
        </row>
        <row r="5344">
          <cell r="B5344" t="str">
            <v>Şamquliyev Eynur Sarif</v>
          </cell>
          <cell r="C5344" t="str">
            <v>Ağstafa  filialı</v>
          </cell>
          <cell r="D5344" t="str">
            <v>#</v>
          </cell>
          <cell r="E5344" t="str">
            <v>Xidmət bölməsi</v>
          </cell>
          <cell r="F5344" t="str">
            <v>Müştərilərlə iş üzrə baş mütəxəssis</v>
          </cell>
          <cell r="G5344" t="str">
            <v>A</v>
          </cell>
          <cell r="H5344">
            <v>40391</v>
          </cell>
        </row>
        <row r="5345">
          <cell r="B5345" t="str">
            <v>Şahbazov Orxan Elxan</v>
          </cell>
          <cell r="C5345" t="str">
            <v>Ağstafa  filialı</v>
          </cell>
          <cell r="D5345" t="str">
            <v>#</v>
          </cell>
          <cell r="E5345" t="str">
            <v>Xidmət bölməsi</v>
          </cell>
          <cell r="F5345" t="str">
            <v>Müştərilərlə iş üzrə baş mütəxəssis</v>
          </cell>
          <cell r="G5345" t="str">
            <v>A</v>
          </cell>
          <cell r="H5345">
            <v>43075</v>
          </cell>
        </row>
        <row r="5346">
          <cell r="B5346" t="str">
            <v>İsgəndərova Ülviyyə Əhməd</v>
          </cell>
          <cell r="C5346" t="str">
            <v>Ağstafa  filialı</v>
          </cell>
          <cell r="D5346" t="str">
            <v>#</v>
          </cell>
          <cell r="E5346" t="str">
            <v>Xidmət bölməsi</v>
          </cell>
          <cell r="F5346" t="str">
            <v>Müştərilərlə iş üzrə aparıcı mütəxəssis</v>
          </cell>
          <cell r="G5346" t="str">
            <v>SM</v>
          </cell>
          <cell r="H5346">
            <v>42688</v>
          </cell>
        </row>
        <row r="5347">
          <cell r="B5347" t="str">
            <v>Namazova Mehriban Məcid</v>
          </cell>
          <cell r="C5347" t="str">
            <v>Ağstafa  filialı</v>
          </cell>
          <cell r="D5347" t="str">
            <v>#</v>
          </cell>
          <cell r="E5347" t="str">
            <v>Xidmət bölməsi</v>
          </cell>
          <cell r="F5347" t="str">
            <v>Müştərilərlə iş üzrə mütəxəssis (müvəqqəti)</v>
          </cell>
          <cell r="G5347" t="str">
            <v>A</v>
          </cell>
          <cell r="H5347">
            <v>45923</v>
          </cell>
        </row>
        <row r="5348">
          <cell r="B5348" t="str">
            <v>Muradova Nurhəyat Fərhad</v>
          </cell>
          <cell r="C5348" t="str">
            <v>Ağstafa  filialı</v>
          </cell>
          <cell r="D5348" t="str">
            <v>#</v>
          </cell>
          <cell r="E5348" t="str">
            <v>İnzibati bölmə</v>
          </cell>
          <cell r="F5348" t="str">
            <v>Xadimə</v>
          </cell>
          <cell r="G5348" t="str">
            <v>A</v>
          </cell>
          <cell r="H5348">
            <v>42635</v>
          </cell>
        </row>
        <row r="5349">
          <cell r="B5349" t="str">
            <v>Qəniyev Fərid Abdulla</v>
          </cell>
          <cell r="C5349" t="str">
            <v>Ağsu  filialı</v>
          </cell>
          <cell r="D5349" t="str">
            <v>#</v>
          </cell>
          <cell r="E5349" t="str">
            <v>#</v>
          </cell>
          <cell r="F5349" t="str">
            <v>Müdir</v>
          </cell>
          <cell r="G5349" t="str">
            <v>A</v>
          </cell>
          <cell r="H5349">
            <v>44187</v>
          </cell>
        </row>
        <row r="5350">
          <cell r="B5350" t="str">
            <v>Yusifov Cəlal Rauf</v>
          </cell>
          <cell r="C5350" t="str">
            <v>Ağsu  filialı</v>
          </cell>
          <cell r="D5350" t="str">
            <v>#</v>
          </cell>
          <cell r="E5350" t="str">
            <v>Xidmət bölməsi</v>
          </cell>
          <cell r="F5350" t="str">
            <v>Bölmə rəhbəri</v>
          </cell>
          <cell r="G5350" t="str">
            <v>A</v>
          </cell>
          <cell r="H5350">
            <v>43271</v>
          </cell>
        </row>
        <row r="5351">
          <cell r="B5351" t="str">
            <v>Məlikzadə Fəqan Allahverdi</v>
          </cell>
          <cell r="C5351" t="str">
            <v>Ağsu  filialı</v>
          </cell>
          <cell r="D5351" t="str">
            <v>#</v>
          </cell>
          <cell r="E5351" t="str">
            <v>Xidmət bölməsi</v>
          </cell>
          <cell r="F5351" t="str">
            <v xml:space="preserve">Aparıcı əməliyyatçı-kassir </v>
          </cell>
          <cell r="G5351" t="str">
            <v>A</v>
          </cell>
          <cell r="H5351">
            <v>44735</v>
          </cell>
        </row>
        <row r="5352">
          <cell r="B5352" t="str">
            <v>Əfəndiyev Elvin Vaqif</v>
          </cell>
          <cell r="C5352" t="str">
            <v>Ağsu  filialı</v>
          </cell>
          <cell r="D5352" t="str">
            <v>#</v>
          </cell>
          <cell r="E5352" t="str">
            <v>Xidmət bölməsi</v>
          </cell>
          <cell r="F5352" t="str">
            <v>Kassa üzrə baş mütəxəssis</v>
          </cell>
          <cell r="G5352" t="str">
            <v>A</v>
          </cell>
          <cell r="H5352">
            <v>42909</v>
          </cell>
        </row>
        <row r="5353">
          <cell r="B5353" t="str">
            <v>Həsənov Araz Müşfiq</v>
          </cell>
          <cell r="C5353" t="str">
            <v>Ağsu  filialı</v>
          </cell>
          <cell r="D5353" t="str">
            <v>#</v>
          </cell>
          <cell r="E5353" t="str">
            <v>Xidmət bölməsi</v>
          </cell>
          <cell r="F5353" t="str">
            <v>Müştərilərlə iş üzrə baş mütəxəssis</v>
          </cell>
          <cell r="G5353" t="str">
            <v>A</v>
          </cell>
          <cell r="H5353">
            <v>42731</v>
          </cell>
        </row>
        <row r="5354">
          <cell r="B5354" t="str">
            <v>Hüseynov Vasif Xanlar</v>
          </cell>
          <cell r="C5354" t="str">
            <v>Ağsu  filialı</v>
          </cell>
          <cell r="D5354" t="str">
            <v>#</v>
          </cell>
          <cell r="E5354" t="str">
            <v>Xidmət bölməsi</v>
          </cell>
          <cell r="F5354" t="str">
            <v>Müştərilərlə iş üzrə baş mütəxəssis</v>
          </cell>
          <cell r="G5354" t="str">
            <v>A</v>
          </cell>
          <cell r="H5354">
            <v>39087</v>
          </cell>
        </row>
        <row r="5355">
          <cell r="B5355" t="str">
            <v>Soltanov Nurlan İmran</v>
          </cell>
          <cell r="C5355" t="str">
            <v>Ağsu  filialı</v>
          </cell>
          <cell r="D5355" t="str">
            <v>#</v>
          </cell>
          <cell r="E5355" t="str">
            <v>Xidmət bölməsi</v>
          </cell>
          <cell r="F5355" t="str">
            <v>Müştərilərlə iş üzrə baş mütəxəssis</v>
          </cell>
          <cell r="G5355" t="str">
            <v>A</v>
          </cell>
          <cell r="H5355">
            <v>44047</v>
          </cell>
        </row>
        <row r="5356">
          <cell r="B5356" t="str">
            <v>Babayeva Nilufər İlham</v>
          </cell>
          <cell r="C5356" t="str">
            <v>Ağsu  filialı</v>
          </cell>
          <cell r="D5356" t="str">
            <v>#</v>
          </cell>
          <cell r="E5356" t="str">
            <v>Xidmət bölməsi</v>
          </cell>
          <cell r="F5356" t="str">
            <v>Məlumat xidməti üzrə kiçik mütəxəssis</v>
          </cell>
          <cell r="G5356" t="str">
            <v>A</v>
          </cell>
          <cell r="H5356">
            <v>46246</v>
          </cell>
        </row>
        <row r="5357">
          <cell r="B5357" t="str">
            <v>Əliyeva Vəfa Şakir</v>
          </cell>
          <cell r="C5357" t="str">
            <v>Ağsu  filialı</v>
          </cell>
          <cell r="D5357" t="str">
            <v>#</v>
          </cell>
          <cell r="E5357" t="str">
            <v>İnzibati bölmə</v>
          </cell>
          <cell r="F5357" t="str">
            <v>Xadimə</v>
          </cell>
          <cell r="G5357" t="str">
            <v>A</v>
          </cell>
          <cell r="H5357">
            <v>45310</v>
          </cell>
        </row>
        <row r="5358">
          <cell r="B5358" t="str">
            <v>Təhməzov Zamiq Xudaş</v>
          </cell>
          <cell r="C5358" t="str">
            <v>Astara  filialı</v>
          </cell>
          <cell r="D5358" t="str">
            <v>#</v>
          </cell>
          <cell r="E5358" t="str">
            <v>#</v>
          </cell>
          <cell r="F5358" t="str">
            <v>Müdir</v>
          </cell>
          <cell r="G5358" t="str">
            <v>A</v>
          </cell>
          <cell r="H5358">
            <v>42751</v>
          </cell>
        </row>
        <row r="5359">
          <cell r="B5359" t="str">
            <v>Talıbova Gülnarə Cəfər</v>
          </cell>
          <cell r="C5359" t="str">
            <v>Astara  filialı</v>
          </cell>
          <cell r="D5359" t="str">
            <v>#</v>
          </cell>
          <cell r="E5359" t="str">
            <v>Xidmət bölməsi</v>
          </cell>
          <cell r="F5359" t="str">
            <v>Kassa üzrə baş mütəxəssis</v>
          </cell>
          <cell r="G5359" t="str">
            <v>A</v>
          </cell>
          <cell r="H5359">
            <v>42424</v>
          </cell>
        </row>
        <row r="5360">
          <cell r="B5360" t="str">
            <v>Xanızadə Zeynəb İlkin</v>
          </cell>
          <cell r="C5360" t="str">
            <v>Astara  filialı</v>
          </cell>
          <cell r="D5360" t="str">
            <v>#</v>
          </cell>
          <cell r="E5360" t="str">
            <v>Xidmət bölməsi</v>
          </cell>
          <cell r="F5360" t="str">
            <v>Məlumat xidməti üzrə mütəxəssis</v>
          </cell>
          <cell r="G5360" t="str">
            <v>A</v>
          </cell>
          <cell r="H5360">
            <v>45602</v>
          </cell>
        </row>
        <row r="5361">
          <cell r="B5361" t="str">
            <v>Abdullayev Ağadadaş Rauf</v>
          </cell>
          <cell r="C5361" t="str">
            <v>Astara  filialı</v>
          </cell>
          <cell r="D5361" t="str">
            <v>#</v>
          </cell>
          <cell r="E5361" t="str">
            <v>Xidmət bölməsi</v>
          </cell>
          <cell r="F5361" t="str">
            <v>Müştərilərlə iş üzrə baş mütəxəssis</v>
          </cell>
          <cell r="G5361" t="str">
            <v>A</v>
          </cell>
          <cell r="H5361">
            <v>42318</v>
          </cell>
        </row>
        <row r="5362">
          <cell r="B5362" t="str">
            <v>Əsgərov İqbal Süleyman</v>
          </cell>
          <cell r="C5362" t="str">
            <v>Astara  filialı</v>
          </cell>
          <cell r="D5362" t="str">
            <v>#</v>
          </cell>
          <cell r="E5362" t="str">
            <v>Xidmət bölməsi</v>
          </cell>
          <cell r="F5362" t="str">
            <v>Müştərilərlə iş üzrə baş mütəxəssis</v>
          </cell>
          <cell r="G5362" t="str">
            <v>A</v>
          </cell>
          <cell r="H5362">
            <v>42207</v>
          </cell>
        </row>
        <row r="5363">
          <cell r="B5363" t="str">
            <v>Həmidova Vəfa Çingiz</v>
          </cell>
          <cell r="C5363" t="str">
            <v>Astara  filialı</v>
          </cell>
          <cell r="D5363" t="str">
            <v>#</v>
          </cell>
          <cell r="E5363" t="str">
            <v>Xidmət bölməsi</v>
          </cell>
          <cell r="F5363" t="str">
            <v>Müştərilərlə iş üzrə baş mütəxəssis</v>
          </cell>
          <cell r="G5363" t="str">
            <v>SM</v>
          </cell>
          <cell r="H5363">
            <v>42339</v>
          </cell>
        </row>
        <row r="5364">
          <cell r="B5364" t="str">
            <v>Durmuşov Elcan Bayram</v>
          </cell>
          <cell r="C5364" t="str">
            <v>Astara  filialı</v>
          </cell>
          <cell r="D5364" t="str">
            <v>#</v>
          </cell>
          <cell r="E5364" t="str">
            <v>Xidmət bölməsi</v>
          </cell>
          <cell r="F5364" t="str">
            <v>Müştərilərlə iş üzrə aparıcı mütəxəssis(müvəqqəti)</v>
          </cell>
          <cell r="G5364" t="str">
            <v>A</v>
          </cell>
          <cell r="H5364">
            <v>45951</v>
          </cell>
        </row>
        <row r="5365">
          <cell r="B5365" t="str">
            <v>Oruczadə Fərid Nadir</v>
          </cell>
          <cell r="C5365" t="str">
            <v>Astara  filialı</v>
          </cell>
          <cell r="D5365" t="str">
            <v>#</v>
          </cell>
          <cell r="E5365" t="str">
            <v>Xidmət bölməsi</v>
          </cell>
          <cell r="F5365" t="str">
            <v>Müştərilərlə iş üzrə baş mütəxəssis</v>
          </cell>
          <cell r="G5365" t="str">
            <v>A</v>
          </cell>
          <cell r="H5365">
            <v>41946</v>
          </cell>
        </row>
        <row r="5366">
          <cell r="B5366" t="str">
            <v>Ağazadə Kəmalə Musa</v>
          </cell>
          <cell r="C5366" t="str">
            <v>Astara  filialı</v>
          </cell>
          <cell r="D5366" t="str">
            <v>#</v>
          </cell>
          <cell r="E5366" t="str">
            <v>Xidmət bölməsi</v>
          </cell>
          <cell r="F5366" t="str">
            <v>Müştərilərlə iş üzrə baş mütəxəssis</v>
          </cell>
          <cell r="G5366" t="str">
            <v>SM</v>
          </cell>
          <cell r="H5366">
            <v>41927</v>
          </cell>
        </row>
        <row r="5367">
          <cell r="B5367" t="str">
            <v>Həsənova Nərmin Rizvan</v>
          </cell>
          <cell r="C5367" t="str">
            <v>Astara  filialı</v>
          </cell>
          <cell r="D5367" t="str">
            <v>#</v>
          </cell>
          <cell r="E5367" t="str">
            <v>Xidmət bölməsi</v>
          </cell>
          <cell r="F5367" t="str">
            <v>Müştərilərlə iş üzrə mütəxəssis (müvəqqəti)</v>
          </cell>
          <cell r="G5367" t="str">
            <v>A</v>
          </cell>
          <cell r="H5367">
            <v>45985</v>
          </cell>
        </row>
        <row r="5368">
          <cell r="B5368" t="str">
            <v>Quluzadə Şəhanə Seydəli</v>
          </cell>
          <cell r="C5368" t="str">
            <v>Astara  filialı</v>
          </cell>
          <cell r="D5368" t="str">
            <v>#</v>
          </cell>
          <cell r="E5368" t="str">
            <v>Xidmət bölməsi</v>
          </cell>
          <cell r="F5368" t="str">
            <v>Müştərilərlə iş üzrə aparıcı mütəxəssis</v>
          </cell>
          <cell r="G5368" t="str">
            <v>SM</v>
          </cell>
          <cell r="H5368">
            <v>43675</v>
          </cell>
        </row>
        <row r="5369">
          <cell r="B5369" t="str">
            <v>Ağazadə Nurlan Seyran</v>
          </cell>
          <cell r="C5369" t="str">
            <v>Astara  filialı</v>
          </cell>
          <cell r="D5369" t="str">
            <v>#</v>
          </cell>
          <cell r="E5369" t="str">
            <v>Xidmət bölməsi</v>
          </cell>
          <cell r="F5369" t="str">
            <v>Müştərilərlə iş üzrə mütəxəssis (müvəqqəti)</v>
          </cell>
          <cell r="G5369" t="str">
            <v>A</v>
          </cell>
          <cell r="H5369">
            <v>45589</v>
          </cell>
        </row>
        <row r="5370">
          <cell r="B5370" t="str">
            <v>Əliyev Ramil Fəzail</v>
          </cell>
          <cell r="C5370" t="str">
            <v>Astara  filialı</v>
          </cell>
          <cell r="D5370" t="str">
            <v>#</v>
          </cell>
          <cell r="E5370" t="str">
            <v>Xidmət bölməsi</v>
          </cell>
          <cell r="F5370" t="str">
            <v>Müştərilərlə iş üzrə baş mütəxəssis</v>
          </cell>
          <cell r="G5370" t="str">
            <v>A</v>
          </cell>
          <cell r="H5370">
            <v>43104</v>
          </cell>
        </row>
        <row r="5371">
          <cell r="B5371" t="str">
            <v>Əlizadə Anar Vaqif</v>
          </cell>
          <cell r="C5371" t="str">
            <v>Astara  filialı</v>
          </cell>
          <cell r="D5371" t="str">
            <v>#</v>
          </cell>
          <cell r="E5371" t="str">
            <v>Xidmət bölməsi</v>
          </cell>
          <cell r="F5371" t="str">
            <v>Müştərilərlə iş üzrə mütəxəssis</v>
          </cell>
          <cell r="G5371" t="str">
            <v>A</v>
          </cell>
          <cell r="H5371">
            <v>45673</v>
          </cell>
        </row>
        <row r="5372">
          <cell r="B5372" t="str">
            <v>Quliyeva Bahar Mirzəbala</v>
          </cell>
          <cell r="C5372" t="str">
            <v>Astara  filialı</v>
          </cell>
          <cell r="D5372" t="str">
            <v>#</v>
          </cell>
          <cell r="E5372" t="str">
            <v>İnzibati bölmə</v>
          </cell>
          <cell r="F5372" t="str">
            <v>Xadimə</v>
          </cell>
          <cell r="G5372" t="str">
            <v>A</v>
          </cell>
          <cell r="H5372">
            <v>45908</v>
          </cell>
        </row>
        <row r="5373">
          <cell r="B5373" t="str">
            <v>Məhərrəmov Asim Novruz</v>
          </cell>
          <cell r="C5373" t="str">
            <v>Balakən  filialı</v>
          </cell>
          <cell r="D5373" t="str">
            <v>#</v>
          </cell>
          <cell r="E5373" t="str">
            <v>#</v>
          </cell>
          <cell r="F5373" t="str">
            <v>Müdir</v>
          </cell>
          <cell r="G5373" t="str">
            <v>A</v>
          </cell>
          <cell r="H5373">
            <v>43200</v>
          </cell>
        </row>
        <row r="5374">
          <cell r="B5374" t="str">
            <v>Süleymanlı Süleyman Zəkəriyyə</v>
          </cell>
          <cell r="C5374" t="str">
            <v>Balakən  filialı</v>
          </cell>
          <cell r="D5374" t="str">
            <v>#</v>
          </cell>
          <cell r="E5374" t="str">
            <v>Xidmət bölməsi</v>
          </cell>
          <cell r="F5374" t="str">
            <v>Baş əməliyyatçı-kassir</v>
          </cell>
          <cell r="G5374" t="str">
            <v>A</v>
          </cell>
          <cell r="H5374">
            <v>43325</v>
          </cell>
        </row>
        <row r="5375">
          <cell r="B5375" t="str">
            <v>Ağcayev Əli Mübariz</v>
          </cell>
          <cell r="C5375" t="str">
            <v>Balakən  filialı</v>
          </cell>
          <cell r="D5375" t="str">
            <v>#</v>
          </cell>
          <cell r="E5375" t="str">
            <v>Xidmət bölməsi</v>
          </cell>
          <cell r="F5375" t="str">
            <v>Kassa üzrə aparıcı mütəxəssis</v>
          </cell>
          <cell r="G5375" t="str">
            <v>A</v>
          </cell>
          <cell r="H5375">
            <v>44698</v>
          </cell>
        </row>
        <row r="5376">
          <cell r="B5376" t="str">
            <v>Sarıyeva Nərgiz Cavanşir</v>
          </cell>
          <cell r="C5376" t="str">
            <v>Balakən  filialı</v>
          </cell>
          <cell r="D5376" t="str">
            <v>#</v>
          </cell>
          <cell r="E5376" t="str">
            <v>Xidmət bölməsi</v>
          </cell>
          <cell r="F5376" t="str">
            <v>Məlumat xidməti üzrə aparıcı mütəxəssis</v>
          </cell>
          <cell r="G5376" t="str">
            <v>A</v>
          </cell>
          <cell r="H5376">
            <v>42636</v>
          </cell>
        </row>
        <row r="5377">
          <cell r="B5377" t="str">
            <v>Tinətiyev Ömər Eldar</v>
          </cell>
          <cell r="C5377" t="str">
            <v>Balakən  filialı</v>
          </cell>
          <cell r="D5377" t="str">
            <v>#</v>
          </cell>
          <cell r="E5377" t="str">
            <v>Xidmət bölməsi</v>
          </cell>
          <cell r="F5377" t="str">
            <v>Müştərilərlə iş üzrə baş mütəxəssis</v>
          </cell>
          <cell r="G5377" t="str">
            <v>A</v>
          </cell>
          <cell r="H5377">
            <v>41968</v>
          </cell>
        </row>
        <row r="5378">
          <cell r="B5378" t="str">
            <v>Maçanov Şamil Məhəmməd</v>
          </cell>
          <cell r="C5378" t="str">
            <v>Balakən  filialı</v>
          </cell>
          <cell r="D5378" t="str">
            <v>#</v>
          </cell>
          <cell r="E5378" t="str">
            <v>Xidmət bölməsi</v>
          </cell>
          <cell r="F5378" t="str">
            <v>Müştərilərlə iş üzrə baş mütəxəssis</v>
          </cell>
          <cell r="G5378" t="str">
            <v>A</v>
          </cell>
          <cell r="H5378">
            <v>42060</v>
          </cell>
        </row>
        <row r="5379">
          <cell r="B5379" t="str">
            <v>Xəlilov Farid Fərhad</v>
          </cell>
          <cell r="C5379" t="str">
            <v>Balakən  filialı</v>
          </cell>
          <cell r="D5379" t="str">
            <v>#</v>
          </cell>
          <cell r="E5379" t="str">
            <v>Xidmət bölməsi</v>
          </cell>
          <cell r="F5379" t="str">
            <v>Müştərilərlə iş üzrə aparıcı mütəxəssis</v>
          </cell>
          <cell r="G5379" t="str">
            <v>A</v>
          </cell>
          <cell r="H5379">
            <v>42163</v>
          </cell>
        </row>
        <row r="5380">
          <cell r="B5380" t="str">
            <v>Yusifzadə İbrahim Arif</v>
          </cell>
          <cell r="C5380" t="str">
            <v>Balakən  filialı</v>
          </cell>
          <cell r="D5380" t="str">
            <v>#</v>
          </cell>
          <cell r="E5380" t="str">
            <v>Xidmət bölməsi</v>
          </cell>
          <cell r="F5380" t="str">
            <v>Müştərilərlə iş üzrə mütəxəssis</v>
          </cell>
          <cell r="G5380" t="str">
            <v>A</v>
          </cell>
          <cell r="H5380">
            <v>44606</v>
          </cell>
        </row>
        <row r="5381">
          <cell r="B5381" t="str">
            <v>Uluxanova Firəngiz Əli</v>
          </cell>
          <cell r="C5381" t="str">
            <v>Balakən  filialı</v>
          </cell>
          <cell r="D5381" t="str">
            <v>#</v>
          </cell>
          <cell r="E5381" t="str">
            <v>İnzibati bölmə</v>
          </cell>
          <cell r="F5381" t="str">
            <v>Xadimə</v>
          </cell>
          <cell r="G5381" t="str">
            <v>A</v>
          </cell>
          <cell r="H5381">
            <v>40787</v>
          </cell>
        </row>
        <row r="5382">
          <cell r="B5382" t="str">
            <v>Məmmədov Aqşin Camaləddin</v>
          </cell>
          <cell r="C5382" t="str">
            <v>Beyləqan  filialı</v>
          </cell>
          <cell r="D5382" t="str">
            <v>#</v>
          </cell>
          <cell r="E5382" t="str">
            <v>#</v>
          </cell>
          <cell r="F5382" t="str">
            <v>Müdir</v>
          </cell>
          <cell r="G5382" t="str">
            <v>A</v>
          </cell>
          <cell r="H5382">
            <v>42249</v>
          </cell>
        </row>
        <row r="5383">
          <cell r="B5383" t="str">
            <v>Əzimov Zaur Fəxrəddin</v>
          </cell>
          <cell r="C5383" t="str">
            <v>Beyləqan  filialı</v>
          </cell>
          <cell r="D5383" t="str">
            <v>#</v>
          </cell>
          <cell r="E5383" t="str">
            <v>#</v>
          </cell>
          <cell r="F5383" t="str">
            <v>Menecer</v>
          </cell>
          <cell r="G5383" t="str">
            <v>A</v>
          </cell>
          <cell r="H5383">
            <v>40883</v>
          </cell>
        </row>
        <row r="5384">
          <cell r="B5384" t="str">
            <v>Əmirov Yasin Ədalət</v>
          </cell>
          <cell r="C5384" t="str">
            <v>Beyləqan  filialı</v>
          </cell>
          <cell r="D5384" t="str">
            <v>#</v>
          </cell>
          <cell r="E5384" t="str">
            <v>Xidmət bölməsi</v>
          </cell>
          <cell r="F5384" t="str">
            <v>Kassa üzrə baş mütəxəssis</v>
          </cell>
          <cell r="G5384" t="str">
            <v>A</v>
          </cell>
          <cell r="H5384">
            <v>41421</v>
          </cell>
        </row>
        <row r="5385">
          <cell r="B5385" t="str">
            <v>Əsədli Sadiq Şamil</v>
          </cell>
          <cell r="C5385" t="str">
            <v>Beyləqan  filialı</v>
          </cell>
          <cell r="D5385" t="str">
            <v>#</v>
          </cell>
          <cell r="E5385" t="str">
            <v>Xidmət bölməsi</v>
          </cell>
          <cell r="F5385" t="str">
            <v>Kassa üzrə mütəxəssis</v>
          </cell>
          <cell r="G5385" t="str">
            <v>A</v>
          </cell>
          <cell r="H5385">
            <v>45576</v>
          </cell>
        </row>
        <row r="5386">
          <cell r="B5386" t="str">
            <v>Məhərrəmov Elnur Əli</v>
          </cell>
          <cell r="C5386" t="str">
            <v>Beyləqan  filialı</v>
          </cell>
          <cell r="D5386" t="str">
            <v>#</v>
          </cell>
          <cell r="E5386" t="str">
            <v>Xidmət bölməsi</v>
          </cell>
          <cell r="F5386" t="str">
            <v>Kassir</v>
          </cell>
          <cell r="G5386" t="str">
            <v>A</v>
          </cell>
          <cell r="H5386">
            <v>43882</v>
          </cell>
        </row>
        <row r="5387">
          <cell r="B5387" t="str">
            <v>Qəhrəmanlı Xəzər Azər</v>
          </cell>
          <cell r="C5387" t="str">
            <v>Beyləqan  filialı</v>
          </cell>
          <cell r="D5387" t="str">
            <v>#</v>
          </cell>
          <cell r="E5387" t="str">
            <v>Xidmət bölməsi</v>
          </cell>
          <cell r="F5387" t="str">
            <v>Kassir</v>
          </cell>
          <cell r="G5387" t="str">
            <v>A</v>
          </cell>
          <cell r="H5387">
            <v>44411</v>
          </cell>
        </row>
        <row r="5388">
          <cell r="B5388" t="str">
            <v>Rzayeva Aysu Zaur</v>
          </cell>
          <cell r="C5388" t="str">
            <v>Beyləqan  filialı</v>
          </cell>
          <cell r="D5388" t="str">
            <v>#</v>
          </cell>
          <cell r="E5388" t="str">
            <v>Xidmət bölməsi</v>
          </cell>
          <cell r="F5388" t="str">
            <v>Məlumat xidməti üzrə mütəxəssis</v>
          </cell>
          <cell r="G5388" t="str">
            <v>A</v>
          </cell>
          <cell r="H5388">
            <v>45551</v>
          </cell>
        </row>
        <row r="5389">
          <cell r="B5389" t="str">
            <v>Əsədli Elçin Əvəz</v>
          </cell>
          <cell r="C5389" t="str">
            <v>Beyləqan  filialı</v>
          </cell>
          <cell r="D5389" t="str">
            <v>#</v>
          </cell>
          <cell r="E5389" t="str">
            <v>Xidmət bölməsi</v>
          </cell>
          <cell r="F5389" t="str">
            <v>Müştərilərlə iş üzrə baş mütəxəssis</v>
          </cell>
          <cell r="G5389" t="str">
            <v>A</v>
          </cell>
          <cell r="H5389">
            <v>43418</v>
          </cell>
        </row>
        <row r="5390">
          <cell r="B5390" t="str">
            <v>Mahmudlu Atakişi Fazil</v>
          </cell>
          <cell r="C5390" t="str">
            <v>Beyləqan  filialı</v>
          </cell>
          <cell r="D5390" t="str">
            <v>#</v>
          </cell>
          <cell r="E5390" t="str">
            <v>Xidmət bölməsi</v>
          </cell>
          <cell r="F5390" t="str">
            <v>Müştərilərlə iş üzrə baş mütəxəssis</v>
          </cell>
          <cell r="G5390" t="str">
            <v>A</v>
          </cell>
          <cell r="H5390">
            <v>43283</v>
          </cell>
        </row>
        <row r="5391">
          <cell r="B5391" t="str">
            <v>Firidunlu Elnur Firidun</v>
          </cell>
          <cell r="C5391" t="str">
            <v>Beyləqan  filialı</v>
          </cell>
          <cell r="D5391" t="str">
            <v>#</v>
          </cell>
          <cell r="E5391" t="str">
            <v>Xidmət bölməsi</v>
          </cell>
          <cell r="F5391" t="str">
            <v>Müştərilərlə iş üzrə baş mütəxəssis</v>
          </cell>
          <cell r="G5391" t="str">
            <v>A</v>
          </cell>
          <cell r="H5391">
            <v>43591</v>
          </cell>
        </row>
        <row r="5392">
          <cell r="B5392" t="str">
            <v>Kərimli Nuray Cahid</v>
          </cell>
          <cell r="C5392" t="str">
            <v>Beyləqan  filialı</v>
          </cell>
          <cell r="D5392" t="str">
            <v>#</v>
          </cell>
          <cell r="E5392" t="str">
            <v>Xidmət bölməsi</v>
          </cell>
          <cell r="F5392" t="str">
            <v>Müştərilərlə iş üzrə baş mütəxəssis</v>
          </cell>
          <cell r="G5392" t="str">
            <v>A</v>
          </cell>
          <cell r="H5392">
            <v>43824</v>
          </cell>
        </row>
        <row r="5393">
          <cell r="B5393" t="str">
            <v>Aslanov Vüsal Astan</v>
          </cell>
          <cell r="C5393" t="str">
            <v>Beyləqan  filialı</v>
          </cell>
          <cell r="D5393" t="str">
            <v>#</v>
          </cell>
          <cell r="E5393" t="str">
            <v>Xidmət bölməsi</v>
          </cell>
          <cell r="F5393" t="str">
            <v>Müştərilərlə iş üzrə baş mütəxəssis</v>
          </cell>
          <cell r="G5393" t="str">
            <v>A</v>
          </cell>
          <cell r="H5393">
            <v>42787</v>
          </cell>
        </row>
        <row r="5394">
          <cell r="B5394" t="str">
            <v>Sərdarov İsgəndər Məhərrəm</v>
          </cell>
          <cell r="C5394" t="str">
            <v>Beyləqan  filialı</v>
          </cell>
          <cell r="D5394" t="str">
            <v>#</v>
          </cell>
          <cell r="E5394" t="str">
            <v>Xidmət bölməsi</v>
          </cell>
          <cell r="F5394" t="str">
            <v>Müştərilərlə iş üzrə baş mütəxəssis</v>
          </cell>
          <cell r="G5394" t="str">
            <v>A</v>
          </cell>
          <cell r="H5394">
            <v>44595</v>
          </cell>
        </row>
        <row r="5395">
          <cell r="B5395" t="str">
            <v>İsmayılov Elvin Tofiq</v>
          </cell>
          <cell r="C5395" t="str">
            <v>Beyləqan  filialı</v>
          </cell>
          <cell r="D5395" t="str">
            <v>#</v>
          </cell>
          <cell r="E5395" t="str">
            <v>Xidmət bölməsi</v>
          </cell>
          <cell r="F5395" t="str">
            <v>Müştərilərlə iş üzrə aparıcı mütəxəssis</v>
          </cell>
          <cell r="G5395" t="str">
            <v>A</v>
          </cell>
          <cell r="H5395">
            <v>44361</v>
          </cell>
        </row>
        <row r="5396">
          <cell r="B5396" t="str">
            <v>Behbudlu Qaraca Elxan</v>
          </cell>
          <cell r="C5396" t="str">
            <v>Beyləqan  filialı</v>
          </cell>
          <cell r="D5396" t="str">
            <v>#</v>
          </cell>
          <cell r="E5396" t="str">
            <v>Xidmət bölməsi</v>
          </cell>
          <cell r="F5396" t="str">
            <v>Müştərilərlə iş üzrə aparıcı mütəxəssis</v>
          </cell>
          <cell r="G5396" t="str">
            <v>A</v>
          </cell>
          <cell r="H5396">
            <v>44610</v>
          </cell>
        </row>
        <row r="5397">
          <cell r="B5397" t="str">
            <v>Abuzərli Çinarə Yusif</v>
          </cell>
          <cell r="C5397" t="str">
            <v>Beyləqan  filialı</v>
          </cell>
          <cell r="D5397" t="str">
            <v>#</v>
          </cell>
          <cell r="E5397" t="str">
            <v>Xidmət bölməsi</v>
          </cell>
          <cell r="F5397" t="str">
            <v>Müştərilərlə iş üzrə aparıcı mütəxəssis</v>
          </cell>
          <cell r="G5397" t="str">
            <v>A</v>
          </cell>
          <cell r="H5397">
            <v>44546</v>
          </cell>
        </row>
        <row r="5398">
          <cell r="B5398" t="str">
            <v>Qasımova Maral Şahgəldi</v>
          </cell>
          <cell r="C5398" t="str">
            <v>Beyləqan  filialı</v>
          </cell>
          <cell r="D5398" t="str">
            <v>#</v>
          </cell>
          <cell r="E5398" t="str">
            <v>Xidmət bölməsi</v>
          </cell>
          <cell r="F5398" t="str">
            <v>Müştərilərlə iş üzrə mütəxəssis</v>
          </cell>
          <cell r="G5398" t="str">
            <v>A</v>
          </cell>
          <cell r="H5398">
            <v>44921</v>
          </cell>
        </row>
        <row r="5399">
          <cell r="B5399" t="str">
            <v>Məhərrəmov İqbal Elçin</v>
          </cell>
          <cell r="C5399" t="str">
            <v>Beyləqan  filialı</v>
          </cell>
          <cell r="D5399" t="str">
            <v>#</v>
          </cell>
          <cell r="E5399" t="str">
            <v>Xidmət bölməsi</v>
          </cell>
          <cell r="F5399" t="str">
            <v>Müştərilərlə iş üzrə mütəxəssis</v>
          </cell>
          <cell r="G5399" t="str">
            <v>A</v>
          </cell>
          <cell r="H5399">
            <v>45308</v>
          </cell>
        </row>
        <row r="5400">
          <cell r="B5400" t="str">
            <v>Qurbanova Əsginaz Muxtar</v>
          </cell>
          <cell r="C5400" t="str">
            <v>Beyləqan  filialı</v>
          </cell>
          <cell r="D5400" t="str">
            <v>#</v>
          </cell>
          <cell r="E5400" t="str">
            <v>İnzibati bölmə</v>
          </cell>
          <cell r="F5400" t="str">
            <v>Xadimə</v>
          </cell>
          <cell r="G5400" t="str">
            <v>A</v>
          </cell>
          <cell r="H5400">
            <v>44063</v>
          </cell>
        </row>
        <row r="5401">
          <cell r="B5401" t="str">
            <v>Kazımov Elşən Zifəddin</v>
          </cell>
          <cell r="C5401" t="str">
            <v>Beyləqan  filialı</v>
          </cell>
          <cell r="D5401" t="str">
            <v>#</v>
          </cell>
          <cell r="E5401" t="str">
            <v>Mikro kredit bölməsi</v>
          </cell>
          <cell r="F5401" t="str">
            <v>Bölmə rəhbəri</v>
          </cell>
          <cell r="G5401" t="str">
            <v>A</v>
          </cell>
          <cell r="H5401">
            <v>44986</v>
          </cell>
        </row>
        <row r="5402">
          <cell r="B5402" t="str">
            <v>Hüseynov Şahəddin Oktay</v>
          </cell>
          <cell r="C5402" t="str">
            <v>Beyləqan  filialı</v>
          </cell>
          <cell r="D5402" t="str">
            <v>#</v>
          </cell>
          <cell r="E5402" t="str">
            <v>Mikro kredit bölməsi</v>
          </cell>
          <cell r="F5402" t="str">
            <v>Baş mütəxəssis</v>
          </cell>
          <cell r="G5402" t="str">
            <v>A</v>
          </cell>
          <cell r="H5402">
            <v>42555</v>
          </cell>
        </row>
        <row r="5403">
          <cell r="B5403" t="str">
            <v>Sarızadə Elçin Qaryağdı</v>
          </cell>
          <cell r="C5403" t="str">
            <v>Beyləqan  filialı</v>
          </cell>
          <cell r="D5403" t="str">
            <v>#</v>
          </cell>
          <cell r="E5403" t="str">
            <v>Mikro kredit bölməsi</v>
          </cell>
          <cell r="F5403" t="str">
            <v>Baş mütəxəssis</v>
          </cell>
          <cell r="G5403" t="str">
            <v>A</v>
          </cell>
          <cell r="H5403">
            <v>42891</v>
          </cell>
        </row>
        <row r="5404">
          <cell r="B5404" t="str">
            <v>Hüseynov Rəşad Əşrəf</v>
          </cell>
          <cell r="C5404" t="str">
            <v>Beyləqan  filialı</v>
          </cell>
          <cell r="D5404" t="str">
            <v>#</v>
          </cell>
          <cell r="E5404" t="str">
            <v>Mikro kredit bölməsi</v>
          </cell>
          <cell r="F5404" t="str">
            <v>Baş mütəxəssis</v>
          </cell>
          <cell r="G5404" t="str">
            <v>A</v>
          </cell>
          <cell r="H5404">
            <v>44715</v>
          </cell>
        </row>
        <row r="5405">
          <cell r="B5405" t="str">
            <v>Feyzili Xalid Şaiq</v>
          </cell>
          <cell r="C5405" t="str">
            <v>Beyləqan  filialı</v>
          </cell>
          <cell r="D5405" t="str">
            <v>#</v>
          </cell>
          <cell r="E5405" t="str">
            <v>Mikro kredit bölməsi</v>
          </cell>
          <cell r="F5405" t="str">
            <v>Mütəxəssis</v>
          </cell>
          <cell r="G5405" t="str">
            <v>A</v>
          </cell>
          <cell r="H5405">
            <v>45601</v>
          </cell>
        </row>
        <row r="5406">
          <cell r="B5406" t="str">
            <v>Kamranlı Elçin Xəlil</v>
          </cell>
          <cell r="C5406" t="str">
            <v>Beyləqan  filialı</v>
          </cell>
          <cell r="D5406" t="str">
            <v>#</v>
          </cell>
          <cell r="E5406" t="str">
            <v>Mikro kredit bölməsi</v>
          </cell>
          <cell r="F5406" t="str">
            <v>Mütəxəssis</v>
          </cell>
          <cell r="G5406" t="str">
            <v>A</v>
          </cell>
          <cell r="H5406">
            <v>45621</v>
          </cell>
        </row>
        <row r="5407">
          <cell r="B5407" t="str">
            <v>Əhmədov Cəlal Seyidağa</v>
          </cell>
          <cell r="C5407" t="str">
            <v>Bərdə  filialı</v>
          </cell>
          <cell r="D5407" t="str">
            <v>#</v>
          </cell>
          <cell r="E5407" t="str">
            <v>#</v>
          </cell>
          <cell r="F5407" t="str">
            <v>Müdir</v>
          </cell>
          <cell r="G5407" t="str">
            <v>A</v>
          </cell>
          <cell r="H5407">
            <v>39394</v>
          </cell>
        </row>
        <row r="5408">
          <cell r="B5408" t="str">
            <v>Əzizov Vüsal Məhəmməd</v>
          </cell>
          <cell r="C5408" t="str">
            <v>Bərdə  filialı</v>
          </cell>
          <cell r="D5408" t="str">
            <v>#</v>
          </cell>
          <cell r="E5408" t="str">
            <v>Xidmət bölməsi</v>
          </cell>
          <cell r="F5408" t="str">
            <v>Bölmə rəhbəri</v>
          </cell>
          <cell r="G5408" t="str">
            <v>A</v>
          </cell>
          <cell r="H5408">
            <v>42241</v>
          </cell>
        </row>
        <row r="5409">
          <cell r="B5409" t="str">
            <v>Rüstəmova Vüsalə Yaşar</v>
          </cell>
          <cell r="C5409" t="str">
            <v>Bərdə  filialı</v>
          </cell>
          <cell r="D5409" t="str">
            <v>#</v>
          </cell>
          <cell r="E5409" t="str">
            <v>Xidmət bölməsi</v>
          </cell>
          <cell r="F5409" t="str">
            <v>Kassa üzrə baş mütəxəssis</v>
          </cell>
          <cell r="G5409" t="str">
            <v>A</v>
          </cell>
          <cell r="H5409">
            <v>38240</v>
          </cell>
        </row>
        <row r="5410">
          <cell r="B5410" t="str">
            <v>Həsənov Vüqar İlqar</v>
          </cell>
          <cell r="C5410" t="str">
            <v>Bərdə  filialı</v>
          </cell>
          <cell r="D5410" t="str">
            <v>#</v>
          </cell>
          <cell r="E5410" t="str">
            <v>Xidmət bölməsi</v>
          </cell>
          <cell r="F5410" t="str">
            <v>Kassa üzrə baş mütəxəssis</v>
          </cell>
          <cell r="G5410" t="str">
            <v>A</v>
          </cell>
          <cell r="H5410">
            <v>42759</v>
          </cell>
        </row>
        <row r="5411">
          <cell r="B5411" t="str">
            <v>Şükürzadə Nərmin Rabil</v>
          </cell>
          <cell r="C5411" t="str">
            <v>Bərdə  filialı</v>
          </cell>
          <cell r="D5411" t="str">
            <v>#</v>
          </cell>
          <cell r="E5411" t="str">
            <v>Xidmət bölməsi</v>
          </cell>
          <cell r="F5411" t="str">
            <v>Əməliyyatçı-kassir</v>
          </cell>
          <cell r="G5411" t="str">
            <v>A</v>
          </cell>
          <cell r="H5411">
            <v>45128</v>
          </cell>
        </row>
        <row r="5412">
          <cell r="B5412" t="str">
            <v>Əliyev Rəşad Rövşən</v>
          </cell>
          <cell r="C5412" t="str">
            <v>Bərdə  filialı</v>
          </cell>
          <cell r="D5412" t="str">
            <v>#</v>
          </cell>
          <cell r="E5412" t="str">
            <v>Xidmət bölməsi</v>
          </cell>
          <cell r="F5412" t="str">
            <v>Əməliyyatçı-kassir</v>
          </cell>
          <cell r="G5412" t="str">
            <v>A</v>
          </cell>
          <cell r="H5412">
            <v>45308</v>
          </cell>
        </row>
        <row r="5413">
          <cell r="B5413" t="str">
            <v>Ağazadə Xəyyam Nizami</v>
          </cell>
          <cell r="C5413" t="str">
            <v>Bərdə  filialı</v>
          </cell>
          <cell r="D5413" t="str">
            <v>#</v>
          </cell>
          <cell r="E5413" t="str">
            <v>Xidmət bölməsi</v>
          </cell>
          <cell r="F5413" t="str">
            <v>Kiçik əməliyyatçı-kassir</v>
          </cell>
          <cell r="G5413" t="str">
            <v>A</v>
          </cell>
          <cell r="H5413">
            <v>45958</v>
          </cell>
        </row>
        <row r="5414">
          <cell r="B5414" t="str">
            <v>Ağayeva Aysu Nüsrət</v>
          </cell>
          <cell r="C5414" t="str">
            <v>Bərdə  filialı</v>
          </cell>
          <cell r="D5414" t="str">
            <v>#</v>
          </cell>
          <cell r="E5414" t="str">
            <v>Xidmət bölməsi</v>
          </cell>
          <cell r="F5414" t="str">
            <v>Kiçik əməliyyatçı-kassir</v>
          </cell>
          <cell r="G5414" t="str">
            <v>A</v>
          </cell>
          <cell r="H5414">
            <v>46016</v>
          </cell>
        </row>
        <row r="5415">
          <cell r="B5415" t="str">
            <v>Zamanlı Aysu Elşən</v>
          </cell>
          <cell r="C5415" t="str">
            <v>Bərdə  filialı</v>
          </cell>
          <cell r="D5415" t="str">
            <v>#</v>
          </cell>
          <cell r="E5415" t="str">
            <v>Xidmət bölməsi</v>
          </cell>
          <cell r="F5415" t="str">
            <v>Məlumat xidməti üzrə mütəxəssis</v>
          </cell>
          <cell r="G5415" t="str">
            <v>A</v>
          </cell>
          <cell r="H5415">
            <v>45638</v>
          </cell>
        </row>
        <row r="5416">
          <cell r="B5416" t="str">
            <v>İskəndərov Rüfət Məhəmməd</v>
          </cell>
          <cell r="C5416" t="str">
            <v>Bərdə  filialı</v>
          </cell>
          <cell r="D5416" t="str">
            <v>#</v>
          </cell>
          <cell r="E5416" t="str">
            <v>Xidmət bölməsi</v>
          </cell>
          <cell r="F5416" t="str">
            <v>Məlumat xidməti üzrə aparıcı mütəxəssis</v>
          </cell>
          <cell r="G5416" t="str">
            <v>A</v>
          </cell>
          <cell r="H5416">
            <v>44788</v>
          </cell>
        </row>
        <row r="5417">
          <cell r="B5417" t="str">
            <v>Babayev İbrahim Şirastan</v>
          </cell>
          <cell r="C5417" t="str">
            <v>Bərdə  filialı</v>
          </cell>
          <cell r="D5417" t="str">
            <v>#</v>
          </cell>
          <cell r="E5417" t="str">
            <v>Xidmət bölməsi</v>
          </cell>
          <cell r="F5417" t="str">
            <v>Müştərilərlə iş üzrə baş mütəxəssis</v>
          </cell>
          <cell r="G5417" t="str">
            <v>A</v>
          </cell>
          <cell r="H5417">
            <v>42934</v>
          </cell>
        </row>
        <row r="5418">
          <cell r="B5418" t="str">
            <v>İbrahimov Sənan Fazil</v>
          </cell>
          <cell r="C5418" t="str">
            <v>Bərdə  filialı</v>
          </cell>
          <cell r="D5418" t="str">
            <v>#</v>
          </cell>
          <cell r="E5418" t="str">
            <v>Xidmət bölməsi</v>
          </cell>
          <cell r="F5418" t="str">
            <v>Müştərilərlə iş üzrə baş mütəxəssis</v>
          </cell>
          <cell r="G5418" t="str">
            <v>A</v>
          </cell>
          <cell r="H5418">
            <v>43124</v>
          </cell>
        </row>
        <row r="5419">
          <cell r="B5419" t="str">
            <v>Nəbiyev Saiq Qaryağdı</v>
          </cell>
          <cell r="C5419" t="str">
            <v>Bərdə  filialı</v>
          </cell>
          <cell r="D5419" t="str">
            <v>#</v>
          </cell>
          <cell r="E5419" t="str">
            <v>Xidmət bölməsi</v>
          </cell>
          <cell r="F5419" t="str">
            <v>Müştərilərlə iş üzrə baş mütəxəssis</v>
          </cell>
          <cell r="G5419" t="str">
            <v>A</v>
          </cell>
          <cell r="H5419">
            <v>42082</v>
          </cell>
        </row>
        <row r="5420">
          <cell r="B5420" t="str">
            <v>Rzalı Səkinə Fərhad</v>
          </cell>
          <cell r="C5420" t="str">
            <v>Bərdə  filialı</v>
          </cell>
          <cell r="D5420" t="str">
            <v>#</v>
          </cell>
          <cell r="E5420" t="str">
            <v>Xidmət bölməsi</v>
          </cell>
          <cell r="F5420" t="str">
            <v>Müştərilərlə iş üzrə baş mütəxəssis</v>
          </cell>
          <cell r="G5420" t="str">
            <v>A</v>
          </cell>
          <cell r="H5420">
            <v>43455</v>
          </cell>
        </row>
        <row r="5421">
          <cell r="B5421" t="str">
            <v>Teymurlu Simuzər Zülfü</v>
          </cell>
          <cell r="C5421" t="str">
            <v>Bərdə  filialı</v>
          </cell>
          <cell r="D5421" t="str">
            <v>#</v>
          </cell>
          <cell r="E5421" t="str">
            <v>Xidmət bölməsi</v>
          </cell>
          <cell r="F5421" t="str">
            <v>Müştərilərlə iş üzrə baş mütəxəssis</v>
          </cell>
          <cell r="G5421" t="str">
            <v>A</v>
          </cell>
          <cell r="H5421">
            <v>42095</v>
          </cell>
        </row>
        <row r="5422">
          <cell r="B5422" t="str">
            <v>Nəcəfov Elgiz Vidadi</v>
          </cell>
          <cell r="C5422" t="str">
            <v>Bərdə  filialı</v>
          </cell>
          <cell r="D5422" t="str">
            <v>#</v>
          </cell>
          <cell r="E5422" t="str">
            <v>Xidmət bölməsi</v>
          </cell>
          <cell r="F5422" t="str">
            <v>Müştərilərlə iş üzrə baş mütəxəssis</v>
          </cell>
          <cell r="G5422" t="str">
            <v>A</v>
          </cell>
          <cell r="H5422">
            <v>43565</v>
          </cell>
        </row>
        <row r="5423">
          <cell r="B5423" t="str">
            <v>Quliyev Etibar Eldar</v>
          </cell>
          <cell r="C5423" t="str">
            <v>Bərdə  filialı</v>
          </cell>
          <cell r="D5423" t="str">
            <v>#</v>
          </cell>
          <cell r="E5423" t="str">
            <v>Xidmət bölməsi</v>
          </cell>
          <cell r="F5423" t="str">
            <v>Müştərilərlə iş üzrə baş mütəxəssis</v>
          </cell>
          <cell r="G5423" t="str">
            <v>A</v>
          </cell>
          <cell r="H5423">
            <v>42081</v>
          </cell>
        </row>
        <row r="5424">
          <cell r="B5424" t="str">
            <v>Vəliyeva Fidan Elşən</v>
          </cell>
          <cell r="C5424" t="str">
            <v>Bərdə  filialı</v>
          </cell>
          <cell r="D5424" t="str">
            <v>#</v>
          </cell>
          <cell r="E5424" t="str">
            <v>Xidmət bölməsi</v>
          </cell>
          <cell r="F5424" t="str">
            <v>Müştərilərlə iş üzrə aparıcı mütəxəssis</v>
          </cell>
          <cell r="G5424" t="str">
            <v>SM</v>
          </cell>
          <cell r="H5424">
            <v>43824</v>
          </cell>
        </row>
        <row r="5425">
          <cell r="B5425" t="str">
            <v>Abdullayeva Türkanə Əlvan</v>
          </cell>
          <cell r="C5425" t="str">
            <v>Bərdə  filialı</v>
          </cell>
          <cell r="D5425" t="str">
            <v>#</v>
          </cell>
          <cell r="E5425" t="str">
            <v>Xidmət bölməsi</v>
          </cell>
          <cell r="F5425" t="str">
            <v>Müştərilərlə iş üzrə kiçik mütəxəssis (müvəqqəti)</v>
          </cell>
          <cell r="G5425" t="str">
            <v>A</v>
          </cell>
          <cell r="H5425">
            <v>46066</v>
          </cell>
        </row>
        <row r="5426">
          <cell r="B5426" t="str">
            <v>Qasımova Cəmilə Bəhmən</v>
          </cell>
          <cell r="C5426" t="str">
            <v>Bərdə  filialı</v>
          </cell>
          <cell r="D5426" t="str">
            <v>#</v>
          </cell>
          <cell r="E5426" t="str">
            <v>Xidmət bölməsi</v>
          </cell>
          <cell r="F5426" t="str">
            <v>Müştərilərlə iş üzrə mütəxəssis</v>
          </cell>
          <cell r="G5426" t="str">
            <v>A</v>
          </cell>
          <cell r="H5426">
            <v>45064</v>
          </cell>
        </row>
        <row r="5427">
          <cell r="B5427" t="str">
            <v>Paşayev Asif Vahid</v>
          </cell>
          <cell r="C5427" t="str">
            <v>Bərdə  filialı</v>
          </cell>
          <cell r="D5427" t="str">
            <v>#</v>
          </cell>
          <cell r="E5427" t="str">
            <v>Xidmət bölməsi</v>
          </cell>
          <cell r="F5427" t="str">
            <v>Müştərilərlə iş üzrə aparıcı mütəxəssis</v>
          </cell>
          <cell r="G5427" t="str">
            <v>A</v>
          </cell>
          <cell r="H5427">
            <v>44999</v>
          </cell>
        </row>
        <row r="5428">
          <cell r="B5428" t="str">
            <v>Aslanov Elşən Qələndər</v>
          </cell>
          <cell r="C5428" t="str">
            <v>Bərdə  filialı</v>
          </cell>
          <cell r="D5428" t="str">
            <v>#</v>
          </cell>
          <cell r="E5428" t="str">
            <v>Xidmət bölməsi</v>
          </cell>
          <cell r="F5428" t="str">
            <v>Müştərilərlə iş üzrə mütəxəssis</v>
          </cell>
          <cell r="G5428" t="str">
            <v>A</v>
          </cell>
          <cell r="H5428">
            <v>45099</v>
          </cell>
        </row>
        <row r="5429">
          <cell r="B5429" t="str">
            <v>Qurbanlı Elvin Müşviq</v>
          </cell>
          <cell r="C5429" t="str">
            <v>Bərdə  filialı</v>
          </cell>
          <cell r="D5429" t="str">
            <v>#</v>
          </cell>
          <cell r="E5429" t="str">
            <v>Xidmət bölməsi</v>
          </cell>
          <cell r="F5429" t="str">
            <v>Müştərilərlə iş üzrə mütəxəssis</v>
          </cell>
          <cell r="G5429" t="str">
            <v>A</v>
          </cell>
          <cell r="H5429">
            <v>45527</v>
          </cell>
        </row>
        <row r="5430">
          <cell r="B5430" t="str">
            <v>Vəliyev Rauf Ədalət</v>
          </cell>
          <cell r="C5430" t="str">
            <v>Bərdə  filialı</v>
          </cell>
          <cell r="D5430" t="str">
            <v>#</v>
          </cell>
          <cell r="E5430" t="str">
            <v>Xidmət bölməsi</v>
          </cell>
          <cell r="F5430" t="str">
            <v>Müştərilərlə iş üzrə mütəxəssis</v>
          </cell>
          <cell r="G5430" t="str">
            <v>A</v>
          </cell>
          <cell r="H5430">
            <v>45679</v>
          </cell>
        </row>
        <row r="5431">
          <cell r="B5431" t="str">
            <v>Həsənzadə Nəzir İsmayıl</v>
          </cell>
          <cell r="C5431" t="str">
            <v>Bərdə  filialı</v>
          </cell>
          <cell r="D5431" t="str">
            <v>#</v>
          </cell>
          <cell r="E5431" t="str">
            <v>Xidmət bölməsi</v>
          </cell>
          <cell r="F5431" t="str">
            <v>Müştərilərlə iş üzrə mütəxəssis</v>
          </cell>
          <cell r="G5431" t="str">
            <v>A</v>
          </cell>
          <cell r="H5431">
            <v>45517</v>
          </cell>
        </row>
        <row r="5432">
          <cell r="B5432" t="str">
            <v>Ədilova Tünzalə Muradxan</v>
          </cell>
          <cell r="C5432" t="str">
            <v>Bərdə  filialı</v>
          </cell>
          <cell r="D5432" t="str">
            <v>#</v>
          </cell>
          <cell r="E5432" t="str">
            <v>İnzibati bölmə</v>
          </cell>
          <cell r="F5432" t="str">
            <v>Xadimə</v>
          </cell>
          <cell r="G5432" t="str">
            <v>A</v>
          </cell>
          <cell r="H5432">
            <v>44574</v>
          </cell>
        </row>
        <row r="5433">
          <cell r="B5433" t="str">
            <v>Əzizova Zülfiyyə Alı</v>
          </cell>
          <cell r="C5433" t="str">
            <v>Bərdə  filialı</v>
          </cell>
          <cell r="D5433" t="str">
            <v>#</v>
          </cell>
          <cell r="E5433" t="str">
            <v>İnzibati bölmə</v>
          </cell>
          <cell r="F5433" t="str">
            <v>Xadimə</v>
          </cell>
          <cell r="G5433" t="str">
            <v>A</v>
          </cell>
          <cell r="H5433">
            <v>44931</v>
          </cell>
        </row>
        <row r="5434">
          <cell r="B5434" t="str">
            <v>Qasımov Kamran Asəf</v>
          </cell>
          <cell r="C5434" t="str">
            <v>Bərdə  filialı</v>
          </cell>
          <cell r="D5434" t="str">
            <v>#</v>
          </cell>
          <cell r="E5434" t="str">
            <v>Mikro kredit bölməsi</v>
          </cell>
          <cell r="F5434" t="str">
            <v>Bölmə rəhbəri</v>
          </cell>
          <cell r="G5434" t="str">
            <v>A</v>
          </cell>
          <cell r="H5434">
            <v>44467</v>
          </cell>
        </row>
        <row r="5435">
          <cell r="B5435" t="str">
            <v>Şərifov Rəşad Kamran</v>
          </cell>
          <cell r="C5435" t="str">
            <v>Bərdə  filialı</v>
          </cell>
          <cell r="D5435" t="str">
            <v>#</v>
          </cell>
          <cell r="E5435" t="str">
            <v>Mikro kredit bölməsi</v>
          </cell>
          <cell r="F5435" t="str">
            <v>Baş mütəxəssis</v>
          </cell>
          <cell r="G5435" t="str">
            <v>A</v>
          </cell>
          <cell r="H5435">
            <v>44665</v>
          </cell>
        </row>
        <row r="5436">
          <cell r="B5436" t="str">
            <v>Məmmədov Yaqub Arzum</v>
          </cell>
          <cell r="C5436" t="str">
            <v>Bərdə  filialı</v>
          </cell>
          <cell r="D5436" t="str">
            <v>#</v>
          </cell>
          <cell r="E5436" t="str">
            <v>Mikro kredit bölməsi</v>
          </cell>
          <cell r="F5436" t="str">
            <v>Baş mütəxəssis</v>
          </cell>
          <cell r="G5436" t="str">
            <v>A</v>
          </cell>
          <cell r="H5436">
            <v>44440</v>
          </cell>
        </row>
        <row r="5437">
          <cell r="B5437" t="str">
            <v>Xəlilov Elnur Möhübbət</v>
          </cell>
          <cell r="C5437" t="str">
            <v>Bərdə  filialı</v>
          </cell>
          <cell r="D5437" t="str">
            <v>#</v>
          </cell>
          <cell r="E5437" t="str">
            <v>Mikro kredit bölməsi</v>
          </cell>
          <cell r="F5437" t="str">
            <v>Baş mütəxəssis</v>
          </cell>
          <cell r="G5437" t="str">
            <v>A</v>
          </cell>
          <cell r="H5437">
            <v>44516</v>
          </cell>
        </row>
        <row r="5438">
          <cell r="B5438" t="str">
            <v>Məcidov Sənan Elçin</v>
          </cell>
          <cell r="C5438" t="str">
            <v>Bərdə  filialı</v>
          </cell>
          <cell r="D5438" t="str">
            <v>#</v>
          </cell>
          <cell r="E5438" t="str">
            <v>Mikro kredit bölməsi</v>
          </cell>
          <cell r="F5438" t="str">
            <v>Aparıcı mütəxəssis</v>
          </cell>
          <cell r="G5438" t="str">
            <v>A</v>
          </cell>
          <cell r="H5438">
            <v>44440</v>
          </cell>
        </row>
        <row r="5439">
          <cell r="B5439" t="str">
            <v>Mustafazadə Ağa Firdovsi</v>
          </cell>
          <cell r="C5439" t="str">
            <v>Bərdə  filialı</v>
          </cell>
          <cell r="D5439" t="str">
            <v>#</v>
          </cell>
          <cell r="E5439" t="str">
            <v>Mikro kredit bölməsi</v>
          </cell>
          <cell r="F5439" t="str">
            <v>Kiçik mütəxəssis</v>
          </cell>
          <cell r="G5439" t="str">
            <v>A</v>
          </cell>
          <cell r="H5439">
            <v>46092</v>
          </cell>
        </row>
        <row r="5440">
          <cell r="B5440" t="str">
            <v>Əkbərov Daşqın Füzuli</v>
          </cell>
          <cell r="C5440" t="str">
            <v>Biləsuvar  filialı</v>
          </cell>
          <cell r="D5440" t="str">
            <v>#</v>
          </cell>
          <cell r="E5440" t="str">
            <v>#</v>
          </cell>
          <cell r="F5440" t="str">
            <v>Müdir</v>
          </cell>
          <cell r="G5440" t="str">
            <v>A</v>
          </cell>
          <cell r="H5440">
            <v>42269</v>
          </cell>
        </row>
        <row r="5441">
          <cell r="B5441" t="str">
            <v>Eynullazadə Rəşad Özübək</v>
          </cell>
          <cell r="C5441" t="str">
            <v>Biləsuvar  filialı</v>
          </cell>
          <cell r="D5441" t="str">
            <v>#</v>
          </cell>
          <cell r="E5441" t="str">
            <v>#</v>
          </cell>
          <cell r="F5441" t="str">
            <v>Menecer</v>
          </cell>
          <cell r="G5441" t="str">
            <v>A</v>
          </cell>
          <cell r="H5441">
            <v>43397</v>
          </cell>
        </row>
        <row r="5442">
          <cell r="B5442" t="str">
            <v>Lətifli Lətif İlham</v>
          </cell>
          <cell r="C5442" t="str">
            <v>Biləsuvar  filialı</v>
          </cell>
          <cell r="D5442" t="str">
            <v>#</v>
          </cell>
          <cell r="E5442" t="str">
            <v>Xidmət bölməsi</v>
          </cell>
          <cell r="F5442" t="str">
            <v>Kassa üzrə baş mütəxəssis</v>
          </cell>
          <cell r="G5442" t="str">
            <v>A</v>
          </cell>
          <cell r="H5442">
            <v>44594</v>
          </cell>
        </row>
        <row r="5443">
          <cell r="B5443" t="str">
            <v>Qəmbərov Vidadi Böyükağa</v>
          </cell>
          <cell r="C5443" t="str">
            <v>Biləsuvar  filialı</v>
          </cell>
          <cell r="D5443" t="str">
            <v>#</v>
          </cell>
          <cell r="E5443" t="str">
            <v>Xidmət bölməsi</v>
          </cell>
          <cell r="F5443" t="str">
            <v>Kassir</v>
          </cell>
          <cell r="G5443" t="str">
            <v>A</v>
          </cell>
          <cell r="H5443">
            <v>37996</v>
          </cell>
        </row>
        <row r="5444">
          <cell r="B5444" t="str">
            <v>Zeynalov Tural İlham</v>
          </cell>
          <cell r="C5444" t="str">
            <v>Biləsuvar  filialı</v>
          </cell>
          <cell r="D5444" t="str">
            <v>#</v>
          </cell>
          <cell r="E5444" t="str">
            <v>Xidmət bölməsi</v>
          </cell>
          <cell r="F5444" t="str">
            <v>Kassir</v>
          </cell>
          <cell r="G5444" t="str">
            <v>A</v>
          </cell>
          <cell r="H5444">
            <v>43021</v>
          </cell>
        </row>
        <row r="5445">
          <cell r="B5445" t="str">
            <v>Hüseynli Zəhra Sənan</v>
          </cell>
          <cell r="C5445" t="str">
            <v>Biləsuvar  filialı</v>
          </cell>
          <cell r="D5445" t="str">
            <v>#</v>
          </cell>
          <cell r="E5445" t="str">
            <v>Xidmət bölməsi</v>
          </cell>
          <cell r="F5445" t="str">
            <v>Kiçik əməliyyatçı-kassir</v>
          </cell>
          <cell r="G5445" t="str">
            <v>A</v>
          </cell>
          <cell r="H5445">
            <v>46009</v>
          </cell>
        </row>
        <row r="5446">
          <cell r="B5446" t="str">
            <v>Qurbanlı Elgün Rasim</v>
          </cell>
          <cell r="C5446" t="str">
            <v>Biləsuvar  filialı</v>
          </cell>
          <cell r="D5446" t="str">
            <v>#</v>
          </cell>
          <cell r="E5446" t="str">
            <v>Xidmət bölməsi</v>
          </cell>
          <cell r="F5446" t="str">
            <v>Kiçik əməliyyatçı-kassir</v>
          </cell>
          <cell r="G5446" t="str">
            <v>A</v>
          </cell>
          <cell r="H5446">
            <v>46084</v>
          </cell>
        </row>
        <row r="5447">
          <cell r="B5447" t="str">
            <v>Əsgərova Mətanət İlqar</v>
          </cell>
          <cell r="C5447" t="str">
            <v>Biləsuvar  filialı</v>
          </cell>
          <cell r="D5447" t="str">
            <v>#</v>
          </cell>
          <cell r="E5447" t="str">
            <v>Xidmət bölməsi</v>
          </cell>
          <cell r="F5447" t="str">
            <v>Məlumat xidməti üzrə mütəxəssis</v>
          </cell>
          <cell r="G5447" t="str">
            <v>A</v>
          </cell>
          <cell r="H5447">
            <v>45813</v>
          </cell>
        </row>
        <row r="5448">
          <cell r="B5448" t="str">
            <v>Təhməzli İbrahim Əbülfəz</v>
          </cell>
          <cell r="C5448" t="str">
            <v>Biləsuvar  filialı</v>
          </cell>
          <cell r="D5448" t="str">
            <v>#</v>
          </cell>
          <cell r="E5448" t="str">
            <v>Xidmət bölməsi</v>
          </cell>
          <cell r="F5448" t="str">
            <v>Müştərilərlə iş üzrə baş mütəxəssis</v>
          </cell>
          <cell r="G5448" t="str">
            <v>A</v>
          </cell>
          <cell r="H5448">
            <v>43628</v>
          </cell>
        </row>
        <row r="5449">
          <cell r="B5449" t="str">
            <v>Cəfərli Təbriz Afis</v>
          </cell>
          <cell r="C5449" t="str">
            <v>Biləsuvar  filialı</v>
          </cell>
          <cell r="D5449" t="str">
            <v>#</v>
          </cell>
          <cell r="E5449" t="str">
            <v>Xidmət bölməsi</v>
          </cell>
          <cell r="F5449" t="str">
            <v>Müştərilərlə iş üzrə baş mütəxəssis</v>
          </cell>
          <cell r="G5449" t="str">
            <v>A</v>
          </cell>
          <cell r="H5449">
            <v>42578</v>
          </cell>
        </row>
        <row r="5450">
          <cell r="B5450" t="str">
            <v>Həsənzadə Həbib Ərəstun</v>
          </cell>
          <cell r="C5450" t="str">
            <v>Biləsuvar  filialı</v>
          </cell>
          <cell r="D5450" t="str">
            <v>#</v>
          </cell>
          <cell r="E5450" t="str">
            <v>Xidmət bölməsi</v>
          </cell>
          <cell r="F5450" t="str">
            <v>Müştərilərlə iş üzrə baş mütəxəssis</v>
          </cell>
          <cell r="G5450" t="str">
            <v>A</v>
          </cell>
          <cell r="H5450">
            <v>43273</v>
          </cell>
        </row>
        <row r="5451">
          <cell r="B5451" t="str">
            <v>Abbaszadə Əfsanə Şəmsi</v>
          </cell>
          <cell r="C5451" t="str">
            <v>Biləsuvar  filialı</v>
          </cell>
          <cell r="D5451" t="str">
            <v>#</v>
          </cell>
          <cell r="E5451" t="str">
            <v>Xidmət bölməsi</v>
          </cell>
          <cell r="F5451" t="str">
            <v>Müştərilərlə iş üzrə baş mütəxəssis</v>
          </cell>
          <cell r="G5451" t="str">
            <v>A</v>
          </cell>
          <cell r="H5451">
            <v>43668</v>
          </cell>
        </row>
        <row r="5452">
          <cell r="B5452" t="str">
            <v>Sədirzadə Məzahir Sərraf</v>
          </cell>
          <cell r="C5452" t="str">
            <v>Biləsuvar  filialı</v>
          </cell>
          <cell r="D5452" t="str">
            <v>#</v>
          </cell>
          <cell r="E5452" t="str">
            <v>Xidmət bölməsi</v>
          </cell>
          <cell r="F5452" t="str">
            <v>Müştərilərlə iş üzrə aparıcı mütəxəssis</v>
          </cell>
          <cell r="G5452" t="str">
            <v>A</v>
          </cell>
          <cell r="H5452">
            <v>45019</v>
          </cell>
        </row>
        <row r="5453">
          <cell r="B5453" t="str">
            <v>Etibarlı Yunis Dadaş</v>
          </cell>
          <cell r="C5453" t="str">
            <v>Biləsuvar  filialı</v>
          </cell>
          <cell r="D5453" t="str">
            <v>#</v>
          </cell>
          <cell r="E5453" t="str">
            <v>Xidmət bölməsi</v>
          </cell>
          <cell r="F5453" t="str">
            <v>Müştərilərlə iş üzrə kiçik mütəxəssis</v>
          </cell>
          <cell r="G5453" t="str">
            <v>A</v>
          </cell>
          <cell r="H5453">
            <v>46126</v>
          </cell>
        </row>
        <row r="5454">
          <cell r="B5454" t="str">
            <v>Abdullalı Nailə Valeh</v>
          </cell>
          <cell r="C5454" t="str">
            <v>Biləsuvar  filialı</v>
          </cell>
          <cell r="D5454" t="str">
            <v>#</v>
          </cell>
          <cell r="E5454" t="str">
            <v>Xidmət bölməsi</v>
          </cell>
          <cell r="F5454" t="str">
            <v>Müştərilərlə iş üzrə aparıcı mütəxəssis</v>
          </cell>
          <cell r="G5454" t="str">
            <v>A</v>
          </cell>
          <cell r="H5454">
            <v>44943</v>
          </cell>
        </row>
        <row r="5455">
          <cell r="B5455" t="str">
            <v>Rufullazadə Lamiyə Asəf</v>
          </cell>
          <cell r="C5455" t="str">
            <v>Biləsuvar  filialı</v>
          </cell>
          <cell r="D5455" t="str">
            <v>#</v>
          </cell>
          <cell r="E5455" t="str">
            <v>Xidmət bölməsi</v>
          </cell>
          <cell r="F5455" t="str">
            <v>Müştərilərlə iş üzrə aparıcı mütəxəssis</v>
          </cell>
          <cell r="G5455" t="str">
            <v>A</v>
          </cell>
          <cell r="H5455">
            <v>45302</v>
          </cell>
        </row>
        <row r="5456">
          <cell r="B5456" t="str">
            <v>Əsədli Səkinə İmanverdi</v>
          </cell>
          <cell r="C5456" t="str">
            <v>Biləsuvar  filialı</v>
          </cell>
          <cell r="D5456" t="str">
            <v>#</v>
          </cell>
          <cell r="E5456" t="str">
            <v>Xidmət bölməsi</v>
          </cell>
          <cell r="F5456" t="str">
            <v>Müştərilərlə iş üzrə mütəxəssis</v>
          </cell>
          <cell r="G5456" t="str">
            <v>A</v>
          </cell>
          <cell r="H5456">
            <v>44609</v>
          </cell>
        </row>
        <row r="5457">
          <cell r="B5457" t="str">
            <v>Eyvazlı Səadət Elşad</v>
          </cell>
          <cell r="C5457" t="str">
            <v>Biləsuvar  filialı</v>
          </cell>
          <cell r="D5457" t="str">
            <v>#</v>
          </cell>
          <cell r="E5457" t="str">
            <v>Xidmət bölməsi</v>
          </cell>
          <cell r="F5457" t="str">
            <v>Müştərilərlə iş üzrə kiçik mütəxəssis (0,5 ştat vahidi üzrə)</v>
          </cell>
          <cell r="G5457" t="str">
            <v>A</v>
          </cell>
          <cell r="H5457">
            <v>46176</v>
          </cell>
        </row>
        <row r="5458">
          <cell r="B5458" t="str">
            <v>Əzimova Vəsilə Yaşıl</v>
          </cell>
          <cell r="C5458" t="str">
            <v>Biləsuvar  filialı</v>
          </cell>
          <cell r="D5458" t="str">
            <v>#</v>
          </cell>
          <cell r="E5458" t="str">
            <v>İnzibati bölmə</v>
          </cell>
          <cell r="F5458" t="str">
            <v>Xadimə</v>
          </cell>
          <cell r="G5458" t="str">
            <v>A</v>
          </cell>
          <cell r="H5458">
            <v>45770</v>
          </cell>
        </row>
        <row r="5459">
          <cell r="B5459" t="str">
            <v>Mustafayev Səfa Saməddin</v>
          </cell>
          <cell r="C5459" t="str">
            <v>Cəbrayıl filialı</v>
          </cell>
          <cell r="D5459" t="str">
            <v>#</v>
          </cell>
          <cell r="E5459" t="str">
            <v>#</v>
          </cell>
          <cell r="F5459" t="str">
            <v>Müdir</v>
          </cell>
          <cell r="G5459" t="str">
            <v>A</v>
          </cell>
          <cell r="H5459">
            <v>42265</v>
          </cell>
        </row>
        <row r="5460">
          <cell r="B5460" t="str">
            <v>İsmayılov Əlzamin Kazım</v>
          </cell>
          <cell r="C5460" t="str">
            <v>Cəbrayıl filialı</v>
          </cell>
          <cell r="D5460" t="str">
            <v>#</v>
          </cell>
          <cell r="E5460" t="str">
            <v>Xidmət bölməsi</v>
          </cell>
          <cell r="F5460" t="str">
            <v>Müştərilərlə iş üzrə baş mütəxəssis</v>
          </cell>
          <cell r="G5460" t="str">
            <v>A</v>
          </cell>
          <cell r="H5460">
            <v>44363</v>
          </cell>
        </row>
        <row r="5461">
          <cell r="B5461" t="str">
            <v>Əliyev Polad Malik</v>
          </cell>
          <cell r="C5461" t="str">
            <v>Cəbrayıl filialı</v>
          </cell>
          <cell r="D5461" t="str">
            <v>#</v>
          </cell>
          <cell r="E5461" t="str">
            <v>Xidmət bölməsi</v>
          </cell>
          <cell r="F5461" t="str">
            <v>Kassa üzrə mütəxəssis</v>
          </cell>
          <cell r="G5461" t="str">
            <v>A</v>
          </cell>
          <cell r="H5461">
            <v>45554</v>
          </cell>
        </row>
        <row r="5462">
          <cell r="B5462" t="str">
            <v>Səmədov Səməd Salman</v>
          </cell>
          <cell r="C5462" t="str">
            <v>Cəbrayıl filialı</v>
          </cell>
          <cell r="D5462" t="str">
            <v>#</v>
          </cell>
          <cell r="E5462" t="str">
            <v>Xidmət bölməsi</v>
          </cell>
          <cell r="F5462" t="str">
            <v xml:space="preserve">Aparıcı əməliyyatçı-kassir </v>
          </cell>
          <cell r="G5462" t="str">
            <v>A</v>
          </cell>
          <cell r="H5462">
            <v>44988</v>
          </cell>
        </row>
        <row r="5463">
          <cell r="B5463" t="str">
            <v>Mahmudova Şəhla Nəzir</v>
          </cell>
          <cell r="C5463" t="str">
            <v>Cəbrayıl filialı</v>
          </cell>
          <cell r="D5463" t="str">
            <v>#</v>
          </cell>
          <cell r="E5463" t="str">
            <v>İnzibati bölmə</v>
          </cell>
          <cell r="F5463" t="str">
            <v>Xadimə</v>
          </cell>
          <cell r="G5463" t="str">
            <v>A</v>
          </cell>
          <cell r="H5463">
            <v>42321</v>
          </cell>
        </row>
        <row r="5464">
          <cell r="B5464" t="str">
            <v>Məlikov Əlifağa Ağakişi</v>
          </cell>
          <cell r="C5464" t="str">
            <v>Cəlilabad  filialı</v>
          </cell>
          <cell r="D5464" t="str">
            <v>#</v>
          </cell>
          <cell r="E5464" t="str">
            <v>#</v>
          </cell>
          <cell r="F5464" t="str">
            <v>Müdir</v>
          </cell>
          <cell r="G5464" t="str">
            <v>A</v>
          </cell>
          <cell r="H5464">
            <v>42716</v>
          </cell>
        </row>
        <row r="5465">
          <cell r="B5465" t="str">
            <v>Məhərrəmov Elşad Ənvər</v>
          </cell>
          <cell r="C5465" t="str">
            <v>Cəlilabad  filialı</v>
          </cell>
          <cell r="D5465" t="str">
            <v>#</v>
          </cell>
          <cell r="E5465" t="str">
            <v>Xidmət bölməsi</v>
          </cell>
          <cell r="F5465" t="str">
            <v>Kassa üzrə baş mütəxəssis</v>
          </cell>
          <cell r="G5465" t="str">
            <v>A</v>
          </cell>
          <cell r="H5465">
            <v>40969</v>
          </cell>
        </row>
        <row r="5466">
          <cell r="B5466" t="str">
            <v>Dadaşova Aynur Eldəniz</v>
          </cell>
          <cell r="C5466" t="str">
            <v>Cəlilabad  filialı</v>
          </cell>
          <cell r="D5466" t="str">
            <v>#</v>
          </cell>
          <cell r="E5466" t="str">
            <v>Xidmət bölməsi</v>
          </cell>
          <cell r="F5466" t="str">
            <v>Kiçik əməliyyatçı-kassir</v>
          </cell>
          <cell r="G5466" t="str">
            <v>A</v>
          </cell>
          <cell r="H5466">
            <v>46073</v>
          </cell>
        </row>
        <row r="5467">
          <cell r="B5467" t="str">
            <v>Maxsudov İntizam Mirzəbək</v>
          </cell>
          <cell r="C5467" t="str">
            <v>Cəlilabad  filialı</v>
          </cell>
          <cell r="D5467" t="str">
            <v>#</v>
          </cell>
          <cell r="E5467" t="str">
            <v>Xidmət bölməsi</v>
          </cell>
          <cell r="F5467" t="str">
            <v>Müştərilərlə iş üzrə baş mütəxəssis</v>
          </cell>
          <cell r="G5467" t="str">
            <v>A</v>
          </cell>
          <cell r="H5467">
            <v>39584</v>
          </cell>
        </row>
        <row r="5468">
          <cell r="B5468" t="str">
            <v>Məmmədov Nahid Namik</v>
          </cell>
          <cell r="C5468" t="str">
            <v>Cəlilabad  filialı</v>
          </cell>
          <cell r="D5468" t="str">
            <v>#</v>
          </cell>
          <cell r="E5468" t="str">
            <v>Xidmət bölməsi</v>
          </cell>
          <cell r="F5468" t="str">
            <v>Müştərilərlə iş üzrə baş mütəxəssis</v>
          </cell>
          <cell r="G5468" t="str">
            <v>A</v>
          </cell>
          <cell r="H5468">
            <v>42845</v>
          </cell>
        </row>
        <row r="5469">
          <cell r="B5469" t="str">
            <v>Şərbətov Cavid Alim</v>
          </cell>
          <cell r="C5469" t="str">
            <v>Cəlilabad  filialı</v>
          </cell>
          <cell r="D5469" t="str">
            <v>#</v>
          </cell>
          <cell r="E5469" t="str">
            <v>Xidmət bölməsi</v>
          </cell>
          <cell r="F5469" t="str">
            <v>Bölmə rəhbəri</v>
          </cell>
          <cell r="G5469" t="str">
            <v>A</v>
          </cell>
          <cell r="H5469">
            <v>43262</v>
          </cell>
        </row>
        <row r="5470">
          <cell r="B5470" t="str">
            <v>Hüseynli Miryamin Sabir</v>
          </cell>
          <cell r="C5470" t="str">
            <v>Cəlilabad  filialı</v>
          </cell>
          <cell r="D5470" t="str">
            <v>#</v>
          </cell>
          <cell r="E5470" t="str">
            <v>Xidmət bölməsi</v>
          </cell>
          <cell r="F5470" t="str">
            <v>Müştərilərlə iş üzrə baş mütəxəssis</v>
          </cell>
          <cell r="G5470" t="str">
            <v>A</v>
          </cell>
          <cell r="H5470">
            <v>43760</v>
          </cell>
        </row>
        <row r="5471">
          <cell r="B5471" t="str">
            <v>Mirzəzadə Kamran Vahid</v>
          </cell>
          <cell r="C5471" t="str">
            <v>Cəlilabad  filialı</v>
          </cell>
          <cell r="D5471" t="str">
            <v>#</v>
          </cell>
          <cell r="E5471" t="str">
            <v>Xidmət bölməsi</v>
          </cell>
          <cell r="F5471" t="str">
            <v>Müştərilərlə iş üzrə aparıcı mütəxəssis</v>
          </cell>
          <cell r="G5471" t="str">
            <v>A</v>
          </cell>
          <cell r="H5471">
            <v>44578</v>
          </cell>
        </row>
        <row r="5472">
          <cell r="B5472" t="str">
            <v>Mehtiyev Məsləhət Salman</v>
          </cell>
          <cell r="C5472" t="str">
            <v>Cəlilabad  filialı</v>
          </cell>
          <cell r="D5472" t="str">
            <v>#</v>
          </cell>
          <cell r="E5472" t="str">
            <v>Xidmət bölməsi</v>
          </cell>
          <cell r="F5472" t="str">
            <v>Müştərilərlə iş üzrə aparıcı mütəxəssis</v>
          </cell>
          <cell r="G5472" t="str">
            <v>A</v>
          </cell>
          <cell r="H5472">
            <v>44852</v>
          </cell>
        </row>
        <row r="5473">
          <cell r="B5473" t="str">
            <v>Ağayev Əliqismət Natiq</v>
          </cell>
          <cell r="C5473" t="str">
            <v>Cəlilabad  filialı</v>
          </cell>
          <cell r="D5473" t="str">
            <v>#</v>
          </cell>
          <cell r="E5473" t="str">
            <v>Xidmət bölməsi</v>
          </cell>
          <cell r="F5473" t="str">
            <v>Müştərilərlə iş üzrə mütəxəssis</v>
          </cell>
          <cell r="G5473" t="str">
            <v>A</v>
          </cell>
          <cell r="H5473">
            <v>45492</v>
          </cell>
        </row>
        <row r="5474">
          <cell r="B5474" t="str">
            <v>Cabbarlı Hüseyn Əliqismət</v>
          </cell>
          <cell r="C5474" t="str">
            <v>Cəlilabad  filialı</v>
          </cell>
          <cell r="D5474" t="str">
            <v>#</v>
          </cell>
          <cell r="E5474" t="str">
            <v>Xidmət bölməsi</v>
          </cell>
          <cell r="F5474" t="str">
            <v>Müştərilərlə iş üzrə aparıcı mütəxəssis</v>
          </cell>
          <cell r="G5474" t="str">
            <v>A</v>
          </cell>
          <cell r="H5474">
            <v>44713</v>
          </cell>
        </row>
        <row r="5475">
          <cell r="B5475" t="str">
            <v>Allahverdiyev Əli Qurban</v>
          </cell>
          <cell r="C5475" t="str">
            <v>Cəlilabad  filialı</v>
          </cell>
          <cell r="D5475" t="str">
            <v>#</v>
          </cell>
          <cell r="E5475" t="str">
            <v>Xidmət bölməsi</v>
          </cell>
          <cell r="F5475" t="str">
            <v>Müştərilərlə iş üzrə mütəxəssis</v>
          </cell>
          <cell r="G5475" t="str">
            <v>A</v>
          </cell>
          <cell r="H5475">
            <v>44852</v>
          </cell>
        </row>
        <row r="5476">
          <cell r="B5476" t="str">
            <v>Rəhimov İlqar Mehman</v>
          </cell>
          <cell r="C5476" t="str">
            <v>Cəlilabad  filialı</v>
          </cell>
          <cell r="D5476" t="str">
            <v>#</v>
          </cell>
          <cell r="E5476" t="str">
            <v>Xidmət bölməsi</v>
          </cell>
          <cell r="F5476" t="str">
            <v>Müştərilərlə iş üzrə mütəxəssis</v>
          </cell>
          <cell r="G5476" t="str">
            <v>A</v>
          </cell>
          <cell r="H5476">
            <v>45541</v>
          </cell>
        </row>
        <row r="5477">
          <cell r="B5477" t="str">
            <v>Əhmədzadə Vəfa Namiq</v>
          </cell>
          <cell r="C5477" t="str">
            <v>Cəlilabad  filialı</v>
          </cell>
          <cell r="D5477" t="str">
            <v>#</v>
          </cell>
          <cell r="E5477" t="str">
            <v>Xidmət bölməsi</v>
          </cell>
          <cell r="F5477" t="str">
            <v>Məlumat xidməti üzrə kiçik mütəxəssis</v>
          </cell>
          <cell r="G5477" t="str">
            <v>A</v>
          </cell>
          <cell r="H5477">
            <v>46120</v>
          </cell>
        </row>
        <row r="5478">
          <cell r="B5478" t="str">
            <v>İbrahimova Şəhla Qəhrəman</v>
          </cell>
          <cell r="C5478" t="str">
            <v>Cəlilabad  filialı</v>
          </cell>
          <cell r="D5478" t="str">
            <v>#</v>
          </cell>
          <cell r="E5478" t="str">
            <v>İnzibati bölmə</v>
          </cell>
          <cell r="F5478" t="str">
            <v>Xadimə</v>
          </cell>
          <cell r="G5478" t="str">
            <v>A</v>
          </cell>
          <cell r="H5478">
            <v>45621</v>
          </cell>
        </row>
        <row r="5479">
          <cell r="B5479" t="str">
            <v>Yunusov Səbuhi Mirxan</v>
          </cell>
          <cell r="C5479" t="str">
            <v>Cəlilabad  filialı</v>
          </cell>
          <cell r="D5479" t="str">
            <v>#</v>
          </cell>
          <cell r="E5479" t="str">
            <v>Mikro kredit bölməsi</v>
          </cell>
          <cell r="F5479" t="str">
            <v>Bölmə rəhbəri</v>
          </cell>
          <cell r="G5479" t="str">
            <v>A</v>
          </cell>
          <cell r="H5479">
            <v>44448</v>
          </cell>
        </row>
        <row r="5480">
          <cell r="B5480" t="str">
            <v>Mahmudov Əhliman Sübhi</v>
          </cell>
          <cell r="C5480" t="str">
            <v>Cəlilabad  filialı</v>
          </cell>
          <cell r="D5480" t="str">
            <v>#</v>
          </cell>
          <cell r="E5480" t="str">
            <v>Mikro kredit bölməsi</v>
          </cell>
          <cell r="F5480" t="str">
            <v>Aparıcı mütəxəssis</v>
          </cell>
          <cell r="G5480" t="str">
            <v>A</v>
          </cell>
          <cell r="H5480">
            <v>44516</v>
          </cell>
        </row>
        <row r="5481">
          <cell r="B5481" t="str">
            <v>Şahbazlı Farid Şəfahət</v>
          </cell>
          <cell r="C5481" t="str">
            <v>Cəlilabad  filialı</v>
          </cell>
          <cell r="D5481" t="str">
            <v>#</v>
          </cell>
          <cell r="E5481" t="str">
            <v>Mikro kredit bölməsi</v>
          </cell>
          <cell r="F5481" t="str">
            <v>Aparıcı mütəxəssis</v>
          </cell>
          <cell r="G5481" t="str">
            <v>A</v>
          </cell>
          <cell r="H5481">
            <v>44516</v>
          </cell>
        </row>
        <row r="5482">
          <cell r="B5482" t="str">
            <v>Gözəlov Aslan Vidadi</v>
          </cell>
          <cell r="C5482" t="str">
            <v>Cəlilabad  filialı</v>
          </cell>
          <cell r="D5482" t="str">
            <v>#</v>
          </cell>
          <cell r="E5482" t="str">
            <v>Mikro kredit bölməsi</v>
          </cell>
          <cell r="F5482" t="str">
            <v>Kiçik mütəxəssis</v>
          </cell>
          <cell r="G5482" t="str">
            <v>A</v>
          </cell>
          <cell r="H5482">
            <v>46094</v>
          </cell>
        </row>
        <row r="5483">
          <cell r="B5483" t="str">
            <v>Mirzəxanlı Elnur Mehman</v>
          </cell>
          <cell r="C5483" t="str">
            <v>Cənub filialı</v>
          </cell>
          <cell r="D5483" t="str">
            <v>#</v>
          </cell>
          <cell r="E5483" t="str">
            <v>#</v>
          </cell>
          <cell r="F5483" t="str">
            <v>Müdir</v>
          </cell>
          <cell r="G5483" t="str">
            <v>A</v>
          </cell>
          <cell r="H5483">
            <v>41871</v>
          </cell>
        </row>
        <row r="5484">
          <cell r="B5484" t="str">
            <v>Seyfullayev Rəşid Əlixeybər</v>
          </cell>
          <cell r="C5484" t="str">
            <v>Cənub filialı</v>
          </cell>
          <cell r="D5484" t="str">
            <v>#</v>
          </cell>
          <cell r="E5484" t="str">
            <v>Xidmət bölməsi</v>
          </cell>
          <cell r="F5484" t="str">
            <v>Baş əməliyyatçı-kassir</v>
          </cell>
          <cell r="G5484" t="str">
            <v>A</v>
          </cell>
          <cell r="H5484">
            <v>42858</v>
          </cell>
        </row>
        <row r="5485">
          <cell r="B5485" t="str">
            <v>Abdullayev Əlif Əlixan</v>
          </cell>
          <cell r="C5485" t="str">
            <v>Cənub filialı</v>
          </cell>
          <cell r="D5485" t="str">
            <v>#</v>
          </cell>
          <cell r="E5485" t="str">
            <v>Xidmət bölməsi</v>
          </cell>
          <cell r="F5485" t="str">
            <v>Baş əməliyyatçı-kassir</v>
          </cell>
          <cell r="G5485" t="str">
            <v>A</v>
          </cell>
          <cell r="H5485">
            <v>42725</v>
          </cell>
        </row>
        <row r="5486">
          <cell r="B5486" t="str">
            <v>Hüseynova Elnarə Zaur</v>
          </cell>
          <cell r="C5486" t="str">
            <v>Cənub filialı</v>
          </cell>
          <cell r="D5486" t="str">
            <v>#</v>
          </cell>
          <cell r="E5486" t="str">
            <v>Xidmət bölməsi</v>
          </cell>
          <cell r="F5486" t="str">
            <v xml:space="preserve">Aparıcı əməliyyatçı-kassir </v>
          </cell>
          <cell r="G5486" t="str">
            <v>A</v>
          </cell>
          <cell r="H5486">
            <v>44501</v>
          </cell>
        </row>
        <row r="5487">
          <cell r="B5487" t="str">
            <v>Qədiməliyev Orxan Yaşar</v>
          </cell>
          <cell r="C5487" t="str">
            <v>Cənub filialı</v>
          </cell>
          <cell r="D5487" t="str">
            <v>#</v>
          </cell>
          <cell r="E5487" t="str">
            <v>Xidmət bölməsi</v>
          </cell>
          <cell r="F5487" t="str">
            <v>Əməliyyatçı-kassir</v>
          </cell>
          <cell r="G5487" t="str">
            <v>A</v>
          </cell>
          <cell r="H5487">
            <v>45287</v>
          </cell>
        </row>
        <row r="5488">
          <cell r="B5488" t="str">
            <v>İmanova Aysel Oruc</v>
          </cell>
          <cell r="C5488" t="str">
            <v>Cənub filialı</v>
          </cell>
          <cell r="D5488" t="str">
            <v>#</v>
          </cell>
          <cell r="E5488" t="str">
            <v>Xidmət bölməsi</v>
          </cell>
          <cell r="F5488" t="str">
            <v>Kiçik əməliyyatçı-kassir</v>
          </cell>
          <cell r="G5488" t="str">
            <v>A</v>
          </cell>
          <cell r="H5488">
            <v>46176</v>
          </cell>
        </row>
        <row r="5489">
          <cell r="B5489" t="str">
            <v>Məmmədova Cəmilə İqbal</v>
          </cell>
          <cell r="C5489" t="str">
            <v>Cənub filialı</v>
          </cell>
          <cell r="D5489" t="str">
            <v>#</v>
          </cell>
          <cell r="E5489" t="str">
            <v>Xidmət bölməsi</v>
          </cell>
          <cell r="F5489" t="str">
            <v>Müştərilərlə iş üzrə baş mütəxəssis</v>
          </cell>
          <cell r="G5489" t="str">
            <v>A</v>
          </cell>
          <cell r="H5489">
            <v>43011</v>
          </cell>
        </row>
        <row r="5490">
          <cell r="B5490" t="str">
            <v>Əskərov Natiq Nazim</v>
          </cell>
          <cell r="C5490" t="str">
            <v>Cənub filialı</v>
          </cell>
          <cell r="D5490" t="str">
            <v>#</v>
          </cell>
          <cell r="E5490" t="str">
            <v>Xidmət bölməsi</v>
          </cell>
          <cell r="F5490" t="str">
            <v>Müştərilərlə iş üzrə baş mütəxəssis</v>
          </cell>
          <cell r="G5490" t="str">
            <v>A</v>
          </cell>
          <cell r="H5490">
            <v>43325</v>
          </cell>
        </row>
        <row r="5491">
          <cell r="B5491" t="str">
            <v>Rzayev Rəsul İxtiyar</v>
          </cell>
          <cell r="C5491" t="str">
            <v>Cənub filialı</v>
          </cell>
          <cell r="D5491" t="str">
            <v>#</v>
          </cell>
          <cell r="E5491" t="str">
            <v>Xidmət bölməsi</v>
          </cell>
          <cell r="F5491" t="str">
            <v>Müştərilərlə iş üzrə aparıcı mütəxəssis</v>
          </cell>
          <cell r="G5491" t="str">
            <v>A</v>
          </cell>
          <cell r="H5491">
            <v>44502</v>
          </cell>
        </row>
        <row r="5492">
          <cell r="B5492" t="str">
            <v>Eyvazova Zərnişan İsrafil</v>
          </cell>
          <cell r="C5492" t="str">
            <v>Cənub filialı</v>
          </cell>
          <cell r="D5492" t="str">
            <v>#</v>
          </cell>
          <cell r="E5492" t="str">
            <v>İnzibati bölmə</v>
          </cell>
          <cell r="F5492" t="str">
            <v>Xadimə</v>
          </cell>
          <cell r="G5492" t="str">
            <v>A</v>
          </cell>
          <cell r="H5492">
            <v>42866</v>
          </cell>
        </row>
        <row r="5493">
          <cell r="B5493" t="str">
            <v>Cəfərov Cəfər Dilqəm</v>
          </cell>
          <cell r="C5493" t="str">
            <v>Daşkəsən  filialı</v>
          </cell>
          <cell r="D5493" t="str">
            <v>#</v>
          </cell>
          <cell r="E5493" t="str">
            <v>Xidmət bölməsi</v>
          </cell>
          <cell r="F5493" t="str">
            <v>Müştərilərlə iş üzrə baş mütəxəssis</v>
          </cell>
          <cell r="G5493" t="str">
            <v>A</v>
          </cell>
          <cell r="H5493">
            <v>42810</v>
          </cell>
        </row>
        <row r="5494">
          <cell r="B5494" t="str">
            <v>Musayev Vüqar Qəhrəman</v>
          </cell>
          <cell r="C5494" t="str">
            <v>Daşkəsən  filialı</v>
          </cell>
          <cell r="D5494" t="str">
            <v>#</v>
          </cell>
          <cell r="E5494" t="str">
            <v>Xidmət bölməsi</v>
          </cell>
          <cell r="F5494" t="str">
            <v>Müştərilərlə iş üzrə baş mütəxəssis</v>
          </cell>
          <cell r="G5494" t="str">
            <v>A</v>
          </cell>
          <cell r="H5494">
            <v>41170</v>
          </cell>
        </row>
        <row r="5495">
          <cell r="B5495" t="str">
            <v>Orucova Məhsəti Vəlyəddin</v>
          </cell>
          <cell r="C5495" t="str">
            <v>Daşkəsən  filialı</v>
          </cell>
          <cell r="D5495" t="str">
            <v>#</v>
          </cell>
          <cell r="E5495" t="str">
            <v>Xidmət bölməsi</v>
          </cell>
          <cell r="F5495" t="str">
            <v>Müştərilərlə iş üzrə aparıcı mütəxəssis</v>
          </cell>
          <cell r="G5495" t="str">
            <v>A</v>
          </cell>
          <cell r="H5495">
            <v>42342</v>
          </cell>
        </row>
        <row r="5496">
          <cell r="B5496" t="str">
            <v>Məmmədova Gültəkin Vəli</v>
          </cell>
          <cell r="C5496" t="str">
            <v>Daşkəsən  filialı</v>
          </cell>
          <cell r="D5496" t="str">
            <v>#</v>
          </cell>
          <cell r="E5496" t="str">
            <v>Xidmət bölməsi</v>
          </cell>
          <cell r="F5496" t="str">
            <v>Kassa üzrə mütəxəssis</v>
          </cell>
          <cell r="G5496" t="str">
            <v>A</v>
          </cell>
          <cell r="H5496">
            <v>45986</v>
          </cell>
        </row>
        <row r="5497">
          <cell r="B5497" t="str">
            <v>İbrahimova Vüsalə Əli</v>
          </cell>
          <cell r="C5497" t="str">
            <v>Daşkəsən  filialı</v>
          </cell>
          <cell r="D5497" t="str">
            <v>#</v>
          </cell>
          <cell r="E5497" t="str">
            <v>İnzibati bölmə</v>
          </cell>
          <cell r="F5497" t="str">
            <v>Xadimə</v>
          </cell>
          <cell r="G5497" t="str">
            <v>A</v>
          </cell>
          <cell r="H5497">
            <v>41352</v>
          </cell>
        </row>
        <row r="5498">
          <cell r="B5498" t="str">
            <v>Qurbanov Aqasif Nazim</v>
          </cell>
          <cell r="C5498" t="str">
            <v>Foodcity filialı</v>
          </cell>
          <cell r="D5498" t="str">
            <v>#</v>
          </cell>
          <cell r="E5498" t="str">
            <v>#</v>
          </cell>
          <cell r="F5498" t="str">
            <v>Müdir</v>
          </cell>
          <cell r="G5498" t="str">
            <v>A</v>
          </cell>
          <cell r="H5498">
            <v>41071</v>
          </cell>
        </row>
        <row r="5499">
          <cell r="B5499" t="str">
            <v>Mehrəliyev Vahid Məcnun</v>
          </cell>
          <cell r="C5499" t="str">
            <v>Foodcity filialı</v>
          </cell>
          <cell r="D5499" t="str">
            <v>#</v>
          </cell>
          <cell r="E5499" t="str">
            <v>Xidmət bölməsi</v>
          </cell>
          <cell r="F5499" t="str">
            <v>Müştərilərlə iş üzrə baş mütəxəssis</v>
          </cell>
          <cell r="G5499" t="str">
            <v>A</v>
          </cell>
          <cell r="H5499">
            <v>39444</v>
          </cell>
        </row>
        <row r="5500">
          <cell r="B5500" t="str">
            <v>İmaməddinov Şahvələd Musa</v>
          </cell>
          <cell r="C5500" t="str">
            <v>Foodcity filialı</v>
          </cell>
          <cell r="D5500" t="str">
            <v>#</v>
          </cell>
          <cell r="E5500" t="str">
            <v>Xidmət bölməsi</v>
          </cell>
          <cell r="F5500" t="str">
            <v>Müştərilərlə iş üzrə aparıcı mütəxəssis</v>
          </cell>
          <cell r="G5500" t="str">
            <v>A</v>
          </cell>
          <cell r="H5500">
            <v>45001</v>
          </cell>
        </row>
        <row r="5501">
          <cell r="B5501" t="str">
            <v>Şükürov Yasın Əlsafa</v>
          </cell>
          <cell r="C5501" t="str">
            <v>Foodcity filialı</v>
          </cell>
          <cell r="D5501" t="str">
            <v>#</v>
          </cell>
          <cell r="E5501" t="str">
            <v>Xidmət bölməsi</v>
          </cell>
          <cell r="F5501" t="str">
            <v>Kassa üzrə mütəxəssis</v>
          </cell>
          <cell r="G5501" t="str">
            <v>A</v>
          </cell>
          <cell r="H5501">
            <v>45672</v>
          </cell>
        </row>
        <row r="5502">
          <cell r="B5502" t="str">
            <v>Əliyev Zülfüqar Elxan</v>
          </cell>
          <cell r="C5502" t="str">
            <v>Foodcity filialı</v>
          </cell>
          <cell r="D5502" t="str">
            <v>#</v>
          </cell>
          <cell r="E5502" t="str">
            <v>Xidmət bölməsi</v>
          </cell>
          <cell r="F5502" t="str">
            <v>Əməliyyatçı-kassir</v>
          </cell>
          <cell r="G5502" t="str">
            <v>A</v>
          </cell>
          <cell r="H5502">
            <v>45793</v>
          </cell>
        </row>
        <row r="5503">
          <cell r="B5503" t="str">
            <v>Camalova Könül Sabir</v>
          </cell>
          <cell r="C5503" t="str">
            <v>Foodcity filialı</v>
          </cell>
          <cell r="D5503" t="str">
            <v>#</v>
          </cell>
          <cell r="E5503" t="str">
            <v>İnzibati bölmə</v>
          </cell>
          <cell r="F5503" t="str">
            <v>Xadimə (0,5 ştat vahidi üzrə)</v>
          </cell>
          <cell r="G5503" t="str">
            <v>A</v>
          </cell>
          <cell r="H5503">
            <v>45112</v>
          </cell>
        </row>
        <row r="5504">
          <cell r="B5504" t="str">
            <v>Əhmədli Əhməd İlham</v>
          </cell>
          <cell r="C5504" t="str">
            <v>Füzuli  filialı</v>
          </cell>
          <cell r="D5504" t="str">
            <v>#</v>
          </cell>
          <cell r="E5504" t="str">
            <v>#</v>
          </cell>
          <cell r="F5504" t="str">
            <v>Müdir</v>
          </cell>
          <cell r="G5504" t="str">
            <v>A</v>
          </cell>
          <cell r="H5504">
            <v>42339</v>
          </cell>
        </row>
        <row r="5505">
          <cell r="B5505" t="str">
            <v>Rəhimov Cavidan Rəhim</v>
          </cell>
          <cell r="C5505" t="str">
            <v>Füzuli  filialı</v>
          </cell>
          <cell r="D5505" t="str">
            <v>#</v>
          </cell>
          <cell r="E5505" t="str">
            <v>Xidmət bölməsi</v>
          </cell>
          <cell r="F5505" t="str">
            <v xml:space="preserve">Aparıcı əməliyyatçı-kassir </v>
          </cell>
          <cell r="G5505" t="str">
            <v>A</v>
          </cell>
          <cell r="H5505">
            <v>44652</v>
          </cell>
        </row>
        <row r="5506">
          <cell r="B5506" t="str">
            <v>Muradov Əlizamin Məhəmməd</v>
          </cell>
          <cell r="C5506" t="str">
            <v>Füzuli  filialı</v>
          </cell>
          <cell r="D5506" t="str">
            <v>#</v>
          </cell>
          <cell r="E5506" t="str">
            <v>Xidmət bölməsi</v>
          </cell>
          <cell r="F5506" t="str">
            <v>Kassa üzrə mütəxəssis</v>
          </cell>
          <cell r="G5506" t="str">
            <v>A</v>
          </cell>
          <cell r="H5506">
            <v>45086</v>
          </cell>
        </row>
        <row r="5507">
          <cell r="B5507" t="str">
            <v>Vəliyev Nazir Məhərrəm</v>
          </cell>
          <cell r="C5507" t="str">
            <v>Füzuli  filialı</v>
          </cell>
          <cell r="D5507" t="str">
            <v>#</v>
          </cell>
          <cell r="E5507" t="str">
            <v>Xidmət bölməsi</v>
          </cell>
          <cell r="F5507" t="str">
            <v>Əməliyyatçı-kassir</v>
          </cell>
          <cell r="G5507" t="str">
            <v>A</v>
          </cell>
          <cell r="H5507">
            <v>44875</v>
          </cell>
        </row>
        <row r="5508">
          <cell r="B5508" t="str">
            <v>Həsənov Gündüz İntiqam</v>
          </cell>
          <cell r="C5508" t="str">
            <v>Füzuli  filialı</v>
          </cell>
          <cell r="D5508" t="str">
            <v>#</v>
          </cell>
          <cell r="E5508" t="str">
            <v>Xidmət bölməsi</v>
          </cell>
          <cell r="F5508" t="str">
            <v>Məlumat xidməti üzrə mütəxəssis</v>
          </cell>
          <cell r="G5508" t="str">
            <v>A</v>
          </cell>
          <cell r="H5508">
            <v>45681</v>
          </cell>
        </row>
        <row r="5509">
          <cell r="B5509" t="str">
            <v>Əliyev Cəmil Oktay</v>
          </cell>
          <cell r="C5509" t="str">
            <v>Füzuli  filialı</v>
          </cell>
          <cell r="D5509" t="str">
            <v>#</v>
          </cell>
          <cell r="E5509" t="str">
            <v>Xidmət bölməsi</v>
          </cell>
          <cell r="F5509" t="str">
            <v>Müştərilərlə iş üzrə baş mütəxəssis</v>
          </cell>
          <cell r="G5509" t="str">
            <v>A</v>
          </cell>
          <cell r="H5509">
            <v>43199</v>
          </cell>
        </row>
        <row r="5510">
          <cell r="B5510" t="str">
            <v>Qaraşlı Qaraş Şirvan</v>
          </cell>
          <cell r="C5510" t="str">
            <v>Füzuli  filialı</v>
          </cell>
          <cell r="D5510" t="str">
            <v>#</v>
          </cell>
          <cell r="E5510" t="str">
            <v>Xidmət bölməsi</v>
          </cell>
          <cell r="F5510" t="str">
            <v>Müştərilərlə iş üzrə baş mütəxəssis</v>
          </cell>
          <cell r="G5510" t="str">
            <v>A</v>
          </cell>
          <cell r="H5510">
            <v>43257</v>
          </cell>
        </row>
        <row r="5511">
          <cell r="B5511" t="str">
            <v>Əhmədov Pərvin Rasim</v>
          </cell>
          <cell r="C5511" t="str">
            <v>Füzuli  filialı</v>
          </cell>
          <cell r="D5511" t="str">
            <v>#</v>
          </cell>
          <cell r="E5511" t="str">
            <v>Xidmət bölməsi</v>
          </cell>
          <cell r="F5511" t="str">
            <v>Müştərilərlə iş üzrə baş mütəxəssis</v>
          </cell>
          <cell r="G5511" t="str">
            <v>A</v>
          </cell>
          <cell r="H5511">
            <v>39874</v>
          </cell>
        </row>
        <row r="5512">
          <cell r="B5512" t="str">
            <v>Rzayev Rəşad Elxan</v>
          </cell>
          <cell r="C5512" t="str">
            <v>Füzuli  filialı</v>
          </cell>
          <cell r="D5512" t="str">
            <v>#</v>
          </cell>
          <cell r="E5512" t="str">
            <v>Xidmət bölməsi</v>
          </cell>
          <cell r="F5512" t="str">
            <v>Müştərilərlə iş üzrə aparıcı mütəxəssis</v>
          </cell>
          <cell r="G5512" t="str">
            <v>A</v>
          </cell>
          <cell r="H5512">
            <v>44552</v>
          </cell>
        </row>
        <row r="5513">
          <cell r="B5513" t="str">
            <v>Məmmədova Tahirə Bəhrəm</v>
          </cell>
          <cell r="C5513" t="str">
            <v>Füzuli  filialı</v>
          </cell>
          <cell r="D5513" t="str">
            <v>#</v>
          </cell>
          <cell r="E5513" t="str">
            <v>İnzibati bölmə</v>
          </cell>
          <cell r="F5513" t="str">
            <v>Xadimə</v>
          </cell>
          <cell r="G5513" t="str">
            <v>A</v>
          </cell>
          <cell r="H5513">
            <v>36708</v>
          </cell>
        </row>
        <row r="5514">
          <cell r="B5514" t="str">
            <v>Əhmədov Vüsal İnqilab</v>
          </cell>
          <cell r="C5514" t="str">
            <v>Gədəbəy  filialı</v>
          </cell>
          <cell r="D5514" t="str">
            <v>#</v>
          </cell>
          <cell r="E5514" t="str">
            <v>#</v>
          </cell>
          <cell r="F5514" t="str">
            <v>Müdir</v>
          </cell>
          <cell r="G5514" t="str">
            <v>A</v>
          </cell>
          <cell r="H5514">
            <v>42430</v>
          </cell>
        </row>
        <row r="5515">
          <cell r="B5515" t="str">
            <v>Alıyev Taleh Əsgər</v>
          </cell>
          <cell r="C5515" t="str">
            <v>Gədəbəy  filialı</v>
          </cell>
          <cell r="D5515" t="str">
            <v>#</v>
          </cell>
          <cell r="E5515" t="str">
            <v>Xidmət bölməsi</v>
          </cell>
          <cell r="F5515" t="str">
            <v>Kassa üzrə aparıcı mütəxəssis</v>
          </cell>
          <cell r="G5515" t="str">
            <v>A</v>
          </cell>
          <cell r="H5515">
            <v>44777</v>
          </cell>
        </row>
        <row r="5516">
          <cell r="B5516" t="str">
            <v>Əliyev Zaur Əlövsət</v>
          </cell>
          <cell r="C5516" t="str">
            <v>Gədəbəy  filialı</v>
          </cell>
          <cell r="D5516" t="str">
            <v>#</v>
          </cell>
          <cell r="E5516" t="str">
            <v>Xidmət bölməsi</v>
          </cell>
          <cell r="F5516" t="str">
            <v>Müştərilərlə iş üzrə baş mütəxəssis</v>
          </cell>
          <cell r="G5516" t="str">
            <v>A</v>
          </cell>
          <cell r="H5516">
            <v>42019</v>
          </cell>
        </row>
        <row r="5517">
          <cell r="B5517" t="str">
            <v>İdriszadə Arzu Suraxan</v>
          </cell>
          <cell r="C5517" t="str">
            <v>Gədəbəy  filialı</v>
          </cell>
          <cell r="D5517" t="str">
            <v>#</v>
          </cell>
          <cell r="E5517" t="str">
            <v>Xidmət bölməsi</v>
          </cell>
          <cell r="F5517" t="str">
            <v>Müştərilərlə iş üzrə baş mütəxəssis</v>
          </cell>
          <cell r="G5517" t="str">
            <v>A</v>
          </cell>
          <cell r="H5517">
            <v>42800</v>
          </cell>
        </row>
        <row r="5518">
          <cell r="B5518" t="str">
            <v>Hüseynov Ülfət Rasim</v>
          </cell>
          <cell r="C5518" t="str">
            <v>Gədəbəy  filialı</v>
          </cell>
          <cell r="D5518" t="str">
            <v>#</v>
          </cell>
          <cell r="E5518" t="str">
            <v>Xidmət bölməsi</v>
          </cell>
          <cell r="F5518" t="str">
            <v>Müştərilərlə iş üzrə baş mütəxəssis</v>
          </cell>
          <cell r="G5518" t="str">
            <v>A</v>
          </cell>
          <cell r="H5518">
            <v>41646</v>
          </cell>
        </row>
        <row r="5519">
          <cell r="B5519" t="str">
            <v>Məmmədli Gülər Dilqəm</v>
          </cell>
          <cell r="C5519" t="str">
            <v>Gədəbəy  filialı</v>
          </cell>
          <cell r="D5519" t="str">
            <v>#</v>
          </cell>
          <cell r="E5519" t="str">
            <v>Xidmət bölməsi</v>
          </cell>
          <cell r="F5519" t="str">
            <v>Məlumat xidməti üzrə aparıcı mütəxəssis</v>
          </cell>
          <cell r="G5519" t="str">
            <v>SM</v>
          </cell>
          <cell r="H5519">
            <v>43294</v>
          </cell>
        </row>
        <row r="5520">
          <cell r="B5520" t="str">
            <v>Hüseynzadə Günel Rasim</v>
          </cell>
          <cell r="C5520" t="str">
            <v>Gədəbəy  filialı</v>
          </cell>
          <cell r="D5520" t="str">
            <v>#</v>
          </cell>
          <cell r="E5520" t="str">
            <v>Xidmət bölməsi</v>
          </cell>
          <cell r="F5520" t="str">
            <v>Məlumat xidməti üzrə mütəxəssis (müvəqqəti)</v>
          </cell>
          <cell r="G5520" t="str">
            <v>A</v>
          </cell>
          <cell r="H5520">
            <v>45884</v>
          </cell>
        </row>
        <row r="5521">
          <cell r="B5521" t="str">
            <v>Məmmədova Humay Məhəmməd</v>
          </cell>
          <cell r="C5521" t="str">
            <v>Gədəbəy  filialı</v>
          </cell>
          <cell r="D5521" t="str">
            <v>#</v>
          </cell>
          <cell r="E5521" t="str">
            <v>İnzibati bölmə</v>
          </cell>
          <cell r="F5521" t="str">
            <v>Xadimə</v>
          </cell>
          <cell r="G5521" t="str">
            <v>A</v>
          </cell>
          <cell r="H5521">
            <v>42627</v>
          </cell>
        </row>
        <row r="5522">
          <cell r="B5522" t="str">
            <v>Paşayev Vüqar Yavər</v>
          </cell>
          <cell r="C5522" t="str">
            <v>Gəncə filialı</v>
          </cell>
          <cell r="D5522" t="str">
            <v>#</v>
          </cell>
          <cell r="E5522" t="str">
            <v>#</v>
          </cell>
          <cell r="F5522" t="str">
            <v>Müdir</v>
          </cell>
          <cell r="G5522" t="str">
            <v>A</v>
          </cell>
          <cell r="H5522">
            <v>40429</v>
          </cell>
        </row>
        <row r="5523">
          <cell r="B5523" t="str">
            <v>Babayev Fərid Ülfət</v>
          </cell>
          <cell r="C5523" t="str">
            <v>Gəncə filialı</v>
          </cell>
          <cell r="D5523" t="str">
            <v>#</v>
          </cell>
          <cell r="E5523" t="str">
            <v>Xidmət bölməsi</v>
          </cell>
          <cell r="F5523" t="str">
            <v>Bölmə rəhbəri</v>
          </cell>
          <cell r="G5523" t="str">
            <v>A</v>
          </cell>
          <cell r="H5523">
            <v>42984</v>
          </cell>
        </row>
        <row r="5524">
          <cell r="B5524" t="str">
            <v>Şükürlü Toğrul Nəvahir</v>
          </cell>
          <cell r="C5524" t="str">
            <v>Gəncə filialı</v>
          </cell>
          <cell r="D5524" t="str">
            <v>#</v>
          </cell>
          <cell r="E5524" t="str">
            <v>Xidmət bölməsi</v>
          </cell>
          <cell r="F5524" t="str">
            <v>İpoteka üzrə baş mütəxəssis</v>
          </cell>
          <cell r="G5524" t="str">
            <v>A</v>
          </cell>
          <cell r="H5524">
            <v>44097</v>
          </cell>
        </row>
        <row r="5525">
          <cell r="B5525" t="str">
            <v>Qocayeva Sevda Bəxtiyar</v>
          </cell>
          <cell r="C5525" t="str">
            <v>Gəncə filialı</v>
          </cell>
          <cell r="D5525" t="str">
            <v>#</v>
          </cell>
          <cell r="E5525" t="str">
            <v>Xidmət bölməsi</v>
          </cell>
          <cell r="F5525" t="str">
            <v>Kassa üzrə baş mütəxəssis</v>
          </cell>
          <cell r="G5525" t="str">
            <v>A</v>
          </cell>
          <cell r="H5525">
            <v>42142</v>
          </cell>
        </row>
        <row r="5526">
          <cell r="B5526" t="str">
            <v>Məcidli Müşfiq Qabil</v>
          </cell>
          <cell r="C5526" t="str">
            <v>Gəncə filialı</v>
          </cell>
          <cell r="D5526" t="str">
            <v>#</v>
          </cell>
          <cell r="E5526" t="str">
            <v>Xidmət bölməsi</v>
          </cell>
          <cell r="F5526" t="str">
            <v>Kassa üzrə baş mütəxəssis</v>
          </cell>
          <cell r="G5526" t="str">
            <v>A</v>
          </cell>
          <cell r="H5526">
            <v>42720</v>
          </cell>
        </row>
        <row r="5527">
          <cell r="B5527" t="str">
            <v>Hüseynov Yasin Elşən</v>
          </cell>
          <cell r="C5527" t="str">
            <v>Gəncə filialı</v>
          </cell>
          <cell r="D5527" t="str">
            <v>#</v>
          </cell>
          <cell r="E5527" t="str">
            <v>Xidmət bölməsi</v>
          </cell>
          <cell r="F5527" t="str">
            <v>Kassa üzrə aparıcı mütəxəssis</v>
          </cell>
          <cell r="G5527" t="str">
            <v>A</v>
          </cell>
          <cell r="H5527">
            <v>44980</v>
          </cell>
        </row>
        <row r="5528">
          <cell r="B5528" t="str">
            <v>Əlizadə Ruzigar Əli</v>
          </cell>
          <cell r="C5528" t="str">
            <v>Gəncə filialı</v>
          </cell>
          <cell r="D5528" t="str">
            <v>#</v>
          </cell>
          <cell r="E5528" t="str">
            <v>Xidmət bölməsi</v>
          </cell>
          <cell r="F5528" t="str">
            <v xml:space="preserve">Baş əməliyyatçı-kassir </v>
          </cell>
          <cell r="G5528" t="str">
            <v>A</v>
          </cell>
          <cell r="H5528">
            <v>44602</v>
          </cell>
        </row>
        <row r="5529">
          <cell r="B5529" t="str">
            <v>Səfərov Cavad Vüqar</v>
          </cell>
          <cell r="C5529" t="str">
            <v>Gəncə filialı</v>
          </cell>
          <cell r="D5529" t="str">
            <v>#</v>
          </cell>
          <cell r="E5529" t="str">
            <v>Xidmət bölməsi</v>
          </cell>
          <cell r="F5529" t="str">
            <v>Məlumat xidməti üzrə mütəxəssis</v>
          </cell>
          <cell r="G5529" t="str">
            <v>A</v>
          </cell>
          <cell r="H5529">
            <v>45517</v>
          </cell>
        </row>
        <row r="5530">
          <cell r="B5530" t="str">
            <v>Allahverdiyeva Lalə İlham</v>
          </cell>
          <cell r="C5530" t="str">
            <v>Gəncə filialı</v>
          </cell>
          <cell r="D5530" t="str">
            <v>#</v>
          </cell>
          <cell r="E5530" t="str">
            <v>Xidmət bölməsi</v>
          </cell>
          <cell r="F5530" t="str">
            <v>Müştərilərlə iş üzrə baş mütəxəssis</v>
          </cell>
          <cell r="G5530" t="str">
            <v>A</v>
          </cell>
          <cell r="H5530">
            <v>42417</v>
          </cell>
        </row>
        <row r="5531">
          <cell r="B5531" t="str">
            <v>Babayev Röyal Xəyal</v>
          </cell>
          <cell r="C5531" t="str">
            <v>Gəncə filialı</v>
          </cell>
          <cell r="D5531" t="str">
            <v>#</v>
          </cell>
          <cell r="E5531" t="str">
            <v>Xidmət bölməsi</v>
          </cell>
          <cell r="F5531" t="str">
            <v>Müştərilərlə iş üzrə baş mütəxəssis</v>
          </cell>
          <cell r="G5531" t="str">
            <v>A</v>
          </cell>
          <cell r="H5531">
            <v>42881</v>
          </cell>
        </row>
        <row r="5532">
          <cell r="B5532" t="str">
            <v>Musayev Raqif Şakir</v>
          </cell>
          <cell r="C5532" t="str">
            <v>Gəncə filialı</v>
          </cell>
          <cell r="D5532" t="str">
            <v>#</v>
          </cell>
          <cell r="E5532" t="str">
            <v>Xidmət bölməsi</v>
          </cell>
          <cell r="F5532" t="str">
            <v>Müştərilərlə iş üzrə baş mütəxəssis</v>
          </cell>
          <cell r="G5532" t="str">
            <v>A</v>
          </cell>
          <cell r="H5532">
            <v>42177</v>
          </cell>
        </row>
        <row r="5533">
          <cell r="B5533" t="str">
            <v>Məmmədova Afaq İsa</v>
          </cell>
          <cell r="C5533" t="str">
            <v>Gəncə filialı</v>
          </cell>
          <cell r="D5533" t="str">
            <v>#</v>
          </cell>
          <cell r="E5533" t="str">
            <v>Xidmət bölməsi</v>
          </cell>
          <cell r="F5533" t="str">
            <v>Müştərilərlə iş üzrə baş mütəxəssis</v>
          </cell>
          <cell r="G5533" t="str">
            <v>A</v>
          </cell>
          <cell r="H5533">
            <v>41221</v>
          </cell>
        </row>
        <row r="5534">
          <cell r="B5534" t="str">
            <v>Məhərrəmov Zülfüqar Yaşar</v>
          </cell>
          <cell r="C5534" t="str">
            <v>Gəncə filialı</v>
          </cell>
          <cell r="D5534" t="str">
            <v>#</v>
          </cell>
          <cell r="E5534" t="str">
            <v>Xidmət bölməsi</v>
          </cell>
          <cell r="F5534" t="str">
            <v>Müştərilərlə iş üzrə baş mütəxəssis</v>
          </cell>
          <cell r="G5534" t="str">
            <v>A</v>
          </cell>
          <cell r="H5534">
            <v>39920</v>
          </cell>
        </row>
        <row r="5535">
          <cell r="B5535" t="str">
            <v>Pənahova Şəbnəm Anar</v>
          </cell>
          <cell r="C5535" t="str">
            <v>Gəncə filialı</v>
          </cell>
          <cell r="D5535" t="str">
            <v>#</v>
          </cell>
          <cell r="E5535" t="str">
            <v>Xidmət bölməsi</v>
          </cell>
          <cell r="F5535" t="str">
            <v>Müştərilərlə iş üzrə aparıcı mütəxəssis</v>
          </cell>
          <cell r="G5535" t="str">
            <v>SM</v>
          </cell>
          <cell r="H5535">
            <v>42726</v>
          </cell>
        </row>
        <row r="5536">
          <cell r="B5536" t="str">
            <v>İsayeva Səidə Kamil</v>
          </cell>
          <cell r="C5536" t="str">
            <v>Gəncə filialı</v>
          </cell>
          <cell r="D5536" t="str">
            <v>#</v>
          </cell>
          <cell r="E5536" t="str">
            <v>Xidmət bölməsi</v>
          </cell>
          <cell r="F5536" t="str">
            <v>Müştərilərlə iş üzrə mütəxəssis (müvəqqəti)</v>
          </cell>
          <cell r="G5536" t="str">
            <v>A</v>
          </cell>
          <cell r="H5536">
            <v>45386</v>
          </cell>
        </row>
        <row r="5537">
          <cell r="B5537" t="str">
            <v>Ələkbərova Gülcan Zeynalabdı</v>
          </cell>
          <cell r="C5537" t="str">
            <v>Gəncə filialı</v>
          </cell>
          <cell r="D5537" t="str">
            <v>#</v>
          </cell>
          <cell r="E5537" t="str">
            <v>Xidmət bölməsi</v>
          </cell>
          <cell r="F5537" t="str">
            <v>Müştərilərlə iş üzrə baş mütəxəssis</v>
          </cell>
          <cell r="G5537" t="str">
            <v>A</v>
          </cell>
          <cell r="H5537">
            <v>43104</v>
          </cell>
        </row>
        <row r="5538">
          <cell r="B5538" t="str">
            <v>Qurbanova Dilarə Tapdıq</v>
          </cell>
          <cell r="C5538" t="str">
            <v>Gəncə filialı</v>
          </cell>
          <cell r="D5538" t="str">
            <v>#</v>
          </cell>
          <cell r="E5538" t="str">
            <v>Xidmət bölməsi</v>
          </cell>
          <cell r="F5538" t="str">
            <v>Müştərilərlə iş üzrə baş mütəxəssis</v>
          </cell>
          <cell r="G5538" t="str">
            <v>A</v>
          </cell>
          <cell r="H5538">
            <v>42678</v>
          </cell>
        </row>
        <row r="5539">
          <cell r="B5539" t="str">
            <v>Şükürov Bilal Tofiq</v>
          </cell>
          <cell r="C5539" t="str">
            <v>Gəncə filialı</v>
          </cell>
          <cell r="D5539" t="str">
            <v>#</v>
          </cell>
          <cell r="E5539" t="str">
            <v>Xidmət bölməsi</v>
          </cell>
          <cell r="F5539" t="str">
            <v>Müştərilərlə iş üzrə aparıcı mütəxəssis</v>
          </cell>
          <cell r="G5539" t="str">
            <v>A</v>
          </cell>
          <cell r="H5539">
            <v>44721</v>
          </cell>
        </row>
        <row r="5540">
          <cell r="B5540" t="str">
            <v>Kazımov Kamil Namiq</v>
          </cell>
          <cell r="C5540" t="str">
            <v>Gəncə filialı</v>
          </cell>
          <cell r="D5540" t="str">
            <v>#</v>
          </cell>
          <cell r="E5540" t="str">
            <v>Xidmət bölməsi</v>
          </cell>
          <cell r="F5540" t="str">
            <v>Müştərilərlə iş üzrə baş mütəxəssis</v>
          </cell>
          <cell r="G5540" t="str">
            <v>A</v>
          </cell>
          <cell r="H5540">
            <v>42590</v>
          </cell>
        </row>
        <row r="5541">
          <cell r="B5541" t="str">
            <v>İsmayılova Nərminə İlqar</v>
          </cell>
          <cell r="C5541" t="str">
            <v>Gəncə filialı</v>
          </cell>
          <cell r="D5541" t="str">
            <v>#</v>
          </cell>
          <cell r="E5541" t="str">
            <v>Xidmət bölməsi</v>
          </cell>
          <cell r="F5541" t="str">
            <v>Müştərilərlə iş üzrə mütəxəssis</v>
          </cell>
          <cell r="G5541" t="str">
            <v>A</v>
          </cell>
          <cell r="H5541">
            <v>45019</v>
          </cell>
        </row>
        <row r="5542">
          <cell r="B5542" t="str">
            <v>Nəcəfova Ceyran Bəxtiyar</v>
          </cell>
          <cell r="C5542" t="str">
            <v>Gəncə filialı</v>
          </cell>
          <cell r="D5542" t="str">
            <v>#</v>
          </cell>
          <cell r="E5542" t="str">
            <v>Xidmət bölməsi</v>
          </cell>
          <cell r="F5542" t="str">
            <v>Müştərilərlə iş üzrə mütəxəssis</v>
          </cell>
          <cell r="G5542" t="str">
            <v>A</v>
          </cell>
          <cell r="H5542">
            <v>45323</v>
          </cell>
        </row>
        <row r="5543">
          <cell r="B5543" t="str">
            <v>Balakişiyeva Leyla Sadədin</v>
          </cell>
          <cell r="C5543" t="str">
            <v>Gəncə filialı</v>
          </cell>
          <cell r="D5543" t="str">
            <v>#</v>
          </cell>
          <cell r="E5543" t="str">
            <v>Xidmət bölməsi</v>
          </cell>
          <cell r="F5543" t="str">
            <v>Müştərilərlə iş üzrə aparıcı mütəxəssis</v>
          </cell>
          <cell r="G5543" t="str">
            <v>A</v>
          </cell>
          <cell r="H5543">
            <v>43825</v>
          </cell>
        </row>
        <row r="5544">
          <cell r="B5544" t="str">
            <v>Aslanova Almaz Hacı</v>
          </cell>
          <cell r="C5544" t="str">
            <v>Gəncə filialı</v>
          </cell>
          <cell r="D5544" t="str">
            <v>#</v>
          </cell>
          <cell r="E5544" t="str">
            <v>İnzibati bölmə</v>
          </cell>
          <cell r="F5544" t="str">
            <v>Xadimə</v>
          </cell>
          <cell r="G5544" t="str">
            <v>A</v>
          </cell>
          <cell r="H5544">
            <v>42709</v>
          </cell>
        </row>
        <row r="5545">
          <cell r="B5545" t="str">
            <v>Novruzov Fariz Vaqif</v>
          </cell>
          <cell r="C5545" t="str">
            <v>Nizami filialı</v>
          </cell>
          <cell r="D5545" t="str">
            <v>#</v>
          </cell>
          <cell r="E5545" t="str">
            <v>#</v>
          </cell>
          <cell r="F5545" t="str">
            <v>Müdir</v>
          </cell>
          <cell r="G5545" t="str">
            <v>A</v>
          </cell>
          <cell r="H5545">
            <v>42027</v>
          </cell>
        </row>
        <row r="5546">
          <cell r="B5546" t="str">
            <v>Nəcəfov Elnur Hidayət</v>
          </cell>
          <cell r="C5546" t="str">
            <v>Nizami filialı</v>
          </cell>
          <cell r="D5546" t="str">
            <v>#</v>
          </cell>
          <cell r="E5546" t="str">
            <v>Xidmət bölməsi</v>
          </cell>
          <cell r="F5546" t="str">
            <v>Kassa üzrə baş mütəxəssis</v>
          </cell>
          <cell r="G5546" t="str">
            <v>A</v>
          </cell>
          <cell r="H5546">
            <v>40183</v>
          </cell>
        </row>
        <row r="5547">
          <cell r="B5547" t="str">
            <v>Səfiyeva Aytən Elyar</v>
          </cell>
          <cell r="C5547" t="str">
            <v>Nizami filialı</v>
          </cell>
          <cell r="D5547" t="str">
            <v>#</v>
          </cell>
          <cell r="E5547" t="str">
            <v>Xidmət bölməsi</v>
          </cell>
          <cell r="F5547" t="str">
            <v>Müştərilərlə iş üzrə baş mütəxəssis</v>
          </cell>
          <cell r="G5547" t="str">
            <v>A</v>
          </cell>
          <cell r="H5547">
            <v>43418</v>
          </cell>
        </row>
        <row r="5548">
          <cell r="B5548" t="str">
            <v>Əmirova İlahə Qnyaz</v>
          </cell>
          <cell r="C5548" t="str">
            <v>Nizami filialı</v>
          </cell>
          <cell r="D5548" t="str">
            <v>#</v>
          </cell>
          <cell r="E5548" t="str">
            <v>Xidmət bölməsi</v>
          </cell>
          <cell r="F5548" t="str">
            <v>Müştərilərlə iş üzrə baş mütəxəssis</v>
          </cell>
          <cell r="G5548" t="str">
            <v>A</v>
          </cell>
          <cell r="H5548">
            <v>42486</v>
          </cell>
        </row>
        <row r="5549">
          <cell r="B5549" t="str">
            <v>Nuriyeva Nüşabə Faiq</v>
          </cell>
          <cell r="C5549" t="str">
            <v>Nizami filialı</v>
          </cell>
          <cell r="D5549" t="str">
            <v>#</v>
          </cell>
          <cell r="E5549" t="str">
            <v>Xidmət bölməsi</v>
          </cell>
          <cell r="F5549" t="str">
            <v>Müştərilərlə iş üzrə baş mütəxəssis</v>
          </cell>
          <cell r="G5549" t="str">
            <v>A</v>
          </cell>
          <cell r="H5549">
            <v>36731</v>
          </cell>
        </row>
        <row r="5550">
          <cell r="B5550" t="str">
            <v>Məmmədov Elmir Yasin</v>
          </cell>
          <cell r="C5550" t="str">
            <v>Nizami filialı</v>
          </cell>
          <cell r="D5550" t="str">
            <v>#</v>
          </cell>
          <cell r="E5550" t="str">
            <v>Xidmət bölməsi</v>
          </cell>
          <cell r="F5550" t="str">
            <v>Müştərilərlə iş üzrə baş mütəxəssis</v>
          </cell>
          <cell r="G5550" t="str">
            <v>A</v>
          </cell>
          <cell r="H5550">
            <v>43998</v>
          </cell>
        </row>
        <row r="5551">
          <cell r="B5551" t="str">
            <v>Əmirova Afaq Elşən</v>
          </cell>
          <cell r="C5551" t="str">
            <v>Nizami filialı</v>
          </cell>
          <cell r="D5551" t="str">
            <v>#</v>
          </cell>
          <cell r="E5551" t="str">
            <v>Xidmət bölməsi</v>
          </cell>
          <cell r="F5551" t="str">
            <v>Müştərilərlə iş üzrə baş mütəxəssis</v>
          </cell>
          <cell r="G5551" t="str">
            <v>SM</v>
          </cell>
          <cell r="H5551">
            <v>42186</v>
          </cell>
        </row>
        <row r="5552">
          <cell r="B5552" t="str">
            <v>Əsgərova Solmaz Şirzad</v>
          </cell>
          <cell r="C5552" t="str">
            <v>Nizami filialı</v>
          </cell>
          <cell r="D5552" t="str">
            <v>#</v>
          </cell>
          <cell r="E5552" t="str">
            <v>Xidmət bölməsi</v>
          </cell>
          <cell r="F5552" t="str">
            <v>Müştərilərlə iş üzrə mütəxəssis (müvəqqəti)</v>
          </cell>
          <cell r="G5552" t="str">
            <v>A</v>
          </cell>
          <cell r="H5552">
            <v>45544</v>
          </cell>
        </row>
        <row r="5553">
          <cell r="B5553" t="str">
            <v>Tağıyeva Könül Hüseynağa</v>
          </cell>
          <cell r="C5553" t="str">
            <v>Nizami filialı</v>
          </cell>
          <cell r="D5553" t="str">
            <v>#</v>
          </cell>
          <cell r="E5553" t="str">
            <v>Xidmət bölməsi</v>
          </cell>
          <cell r="F5553" t="str">
            <v>Bölmə rəhbəri</v>
          </cell>
          <cell r="G5553" t="str">
            <v>A</v>
          </cell>
          <cell r="H5553">
            <v>42726</v>
          </cell>
        </row>
        <row r="5554">
          <cell r="B5554" t="str">
            <v>Səmədov Rəşad Volodya</v>
          </cell>
          <cell r="C5554" t="str">
            <v>Nizami filialı</v>
          </cell>
          <cell r="D5554" t="str">
            <v>#</v>
          </cell>
          <cell r="E5554" t="str">
            <v>Xidmət bölməsi</v>
          </cell>
          <cell r="F5554" t="str">
            <v>Müştərilərlə iş üzrə baş mütəxəssis</v>
          </cell>
          <cell r="G5554" t="str">
            <v>A</v>
          </cell>
          <cell r="H5554">
            <v>44371</v>
          </cell>
        </row>
        <row r="5555">
          <cell r="B5555" t="str">
            <v>Abbasov Vüsal Könül</v>
          </cell>
          <cell r="C5555" t="str">
            <v>Nizami filialı</v>
          </cell>
          <cell r="D5555" t="str">
            <v>#</v>
          </cell>
          <cell r="E5555" t="str">
            <v>Xidmət bölməsi</v>
          </cell>
          <cell r="F5555" t="str">
            <v>Müştərilərlə iş üzrə aparıcı mütəxəssis</v>
          </cell>
          <cell r="G5555" t="str">
            <v>A</v>
          </cell>
          <cell r="H5555">
            <v>44677</v>
          </cell>
        </row>
        <row r="5556">
          <cell r="B5556" t="str">
            <v>Seyidov Tural Vuqar</v>
          </cell>
          <cell r="C5556" t="str">
            <v>Nizami filialı</v>
          </cell>
          <cell r="D5556" t="str">
            <v>#</v>
          </cell>
          <cell r="E5556" t="str">
            <v>Xidmət bölməsi</v>
          </cell>
          <cell r="F5556" t="str">
            <v>Müştərilərlə iş üzrə mütəxəssis</v>
          </cell>
          <cell r="G5556" t="str">
            <v>A</v>
          </cell>
          <cell r="H5556">
            <v>44568</v>
          </cell>
        </row>
        <row r="5557">
          <cell r="B5557" t="str">
            <v>Abbasov Rəmal Vüqar</v>
          </cell>
          <cell r="C5557" t="str">
            <v>Nizami filialı</v>
          </cell>
          <cell r="D5557" t="str">
            <v>#</v>
          </cell>
          <cell r="E5557" t="str">
            <v>Xidmət bölməsi</v>
          </cell>
          <cell r="F5557" t="str">
            <v>Məlumat xidməti üzrə mütəxəssis</v>
          </cell>
          <cell r="G5557" t="str">
            <v>A</v>
          </cell>
          <cell r="H5557">
            <v>45946</v>
          </cell>
        </row>
        <row r="5558">
          <cell r="B5558" t="str">
            <v>Hüseynov Eltun Şahin</v>
          </cell>
          <cell r="C5558" t="str">
            <v>Nizami filialı</v>
          </cell>
          <cell r="D5558" t="str">
            <v>#</v>
          </cell>
          <cell r="E5558" t="str">
            <v>Xidmət bölməsi</v>
          </cell>
          <cell r="F5558" t="str">
            <v>Məlumat xidməti üzrə mütəxəssis</v>
          </cell>
          <cell r="G5558" t="str">
            <v>A</v>
          </cell>
          <cell r="H5558">
            <v>46280</v>
          </cell>
        </row>
        <row r="5559">
          <cell r="B5559" t="str">
            <v>Məhərrəmova Kəmalə Mikayıl</v>
          </cell>
          <cell r="C5559" t="str">
            <v>Nizami filialı</v>
          </cell>
          <cell r="D5559" t="str">
            <v>#</v>
          </cell>
          <cell r="E5559" t="str">
            <v>İnzibati bölmə</v>
          </cell>
          <cell r="F5559" t="str">
            <v>Xadimə</v>
          </cell>
          <cell r="G5559" t="str">
            <v>A</v>
          </cell>
          <cell r="H5559">
            <v>43192</v>
          </cell>
        </row>
        <row r="5560">
          <cell r="B5560" t="str">
            <v>İsmayılov Fərid Famil</v>
          </cell>
          <cell r="C5560" t="str">
            <v>Nizami filialı</v>
          </cell>
          <cell r="D5560" t="str">
            <v>#</v>
          </cell>
          <cell r="E5560" t="str">
            <v>Mikro kredit bölməsi</v>
          </cell>
          <cell r="F5560" t="str">
            <v>Bölmə rəhbəri</v>
          </cell>
          <cell r="G5560" t="str">
            <v>A</v>
          </cell>
          <cell r="H5560">
            <v>44333</v>
          </cell>
        </row>
        <row r="5561">
          <cell r="B5561" t="str">
            <v>Məhərrəmov Elvin Arif</v>
          </cell>
          <cell r="C5561" t="str">
            <v>Nizami filialı</v>
          </cell>
          <cell r="D5561" t="str">
            <v>#</v>
          </cell>
          <cell r="E5561" t="str">
            <v>Mikro kredit bölməsi</v>
          </cell>
          <cell r="F5561" t="str">
            <v>Baş mütəxəssis</v>
          </cell>
          <cell r="G5561" t="str">
            <v>A</v>
          </cell>
          <cell r="H5561">
            <v>44383</v>
          </cell>
        </row>
        <row r="5562">
          <cell r="B5562" t="str">
            <v>Qasımov Rəşad Elşan</v>
          </cell>
          <cell r="C5562" t="str">
            <v>Nizami filialı</v>
          </cell>
          <cell r="D5562" t="str">
            <v>#</v>
          </cell>
          <cell r="E5562" t="str">
            <v>Mikro kredit bölməsi</v>
          </cell>
          <cell r="F5562" t="str">
            <v>Baş mütəxəssis</v>
          </cell>
          <cell r="G5562" t="str">
            <v>A</v>
          </cell>
          <cell r="H5562">
            <v>44568</v>
          </cell>
        </row>
        <row r="5563">
          <cell r="B5563" t="str">
            <v>Abbasov Elşad Ehtibar</v>
          </cell>
          <cell r="C5563" t="str">
            <v>Nizami filialı</v>
          </cell>
          <cell r="D5563" t="str">
            <v>#</v>
          </cell>
          <cell r="E5563" t="str">
            <v>Mikro kredit bölməsi</v>
          </cell>
          <cell r="F5563" t="str">
            <v>Aparıcı mütəxəssis</v>
          </cell>
          <cell r="G5563" t="str">
            <v>A</v>
          </cell>
          <cell r="H5563">
            <v>44970</v>
          </cell>
        </row>
        <row r="5564">
          <cell r="B5564" t="str">
            <v>Bağırov İsgəndər Etibar</v>
          </cell>
          <cell r="C5564" t="str">
            <v>Nizami filialı</v>
          </cell>
          <cell r="D5564" t="str">
            <v>#</v>
          </cell>
          <cell r="E5564" t="str">
            <v>Mikro kredit bölməsi</v>
          </cell>
          <cell r="F5564" t="str">
            <v>Aparıcı mütəxəssis</v>
          </cell>
          <cell r="G5564" t="str">
            <v>A</v>
          </cell>
          <cell r="H5564">
            <v>44778</v>
          </cell>
        </row>
        <row r="5565">
          <cell r="B5565" t="str">
            <v>Tağıyev Turan Vüqar</v>
          </cell>
          <cell r="C5565" t="str">
            <v>Nizami filialı</v>
          </cell>
          <cell r="D5565" t="str">
            <v>#</v>
          </cell>
          <cell r="E5565" t="str">
            <v>Mikro kredit bölməsi</v>
          </cell>
          <cell r="F5565" t="str">
            <v>Kiçik mütəxəssis</v>
          </cell>
          <cell r="G5565" t="str">
            <v>A</v>
          </cell>
          <cell r="H5565">
            <v>46120</v>
          </cell>
        </row>
        <row r="5566">
          <cell r="B5566" t="str">
            <v>Əliyev Elgün Tariel</v>
          </cell>
          <cell r="C5566" t="str">
            <v>Goranboy filialı</v>
          </cell>
          <cell r="D5566" t="str">
            <v>#</v>
          </cell>
          <cell r="E5566" t="str">
            <v>#</v>
          </cell>
          <cell r="F5566" t="str">
            <v>Müdir</v>
          </cell>
          <cell r="G5566" t="str">
            <v>A</v>
          </cell>
          <cell r="H5566">
            <v>38642</v>
          </cell>
        </row>
        <row r="5567">
          <cell r="B5567" t="str">
            <v>Rəcəbova Vüsalə İlham</v>
          </cell>
          <cell r="C5567" t="str">
            <v>Goranboy filialı</v>
          </cell>
          <cell r="D5567" t="str">
            <v>#</v>
          </cell>
          <cell r="E5567" t="str">
            <v>Xidmət bölməsi</v>
          </cell>
          <cell r="F5567" t="str">
            <v>Kassa üzrə baş mütəxəssis</v>
          </cell>
          <cell r="G5567" t="str">
            <v>A</v>
          </cell>
          <cell r="H5567">
            <v>41235</v>
          </cell>
        </row>
        <row r="5568">
          <cell r="B5568" t="str">
            <v>Qasımov Kənan Zahid</v>
          </cell>
          <cell r="C5568" t="str">
            <v>Goranboy filialı</v>
          </cell>
          <cell r="D5568" t="str">
            <v>#</v>
          </cell>
          <cell r="E5568" t="str">
            <v>Xidmət bölməsi</v>
          </cell>
          <cell r="F5568" t="str">
            <v>Məlumat xidməti üzrə mütəxəssis</v>
          </cell>
          <cell r="G5568" t="str">
            <v>A</v>
          </cell>
          <cell r="H5568">
            <v>45632</v>
          </cell>
        </row>
        <row r="5569">
          <cell r="B5569" t="str">
            <v>Novruzov Asif Saleh</v>
          </cell>
          <cell r="C5569" t="str">
            <v>Goranboy filialı</v>
          </cell>
          <cell r="D5569" t="str">
            <v>#</v>
          </cell>
          <cell r="E5569" t="str">
            <v>Xidmət bölməsi</v>
          </cell>
          <cell r="F5569" t="str">
            <v>Müştərilərlə iş üzrə baş mütəxəssis</v>
          </cell>
          <cell r="G5569" t="str">
            <v>A</v>
          </cell>
          <cell r="H5569">
            <v>43811</v>
          </cell>
        </row>
        <row r="5570">
          <cell r="B5570" t="str">
            <v>Əzizli Kamil Vidadi</v>
          </cell>
          <cell r="C5570" t="str">
            <v>Goranboy filialı</v>
          </cell>
          <cell r="D5570" t="str">
            <v>#</v>
          </cell>
          <cell r="E5570" t="str">
            <v>Xidmət bölməsi</v>
          </cell>
          <cell r="F5570" t="str">
            <v>Müştərilərlə iş üzrə baş mütəxəssis</v>
          </cell>
          <cell r="G5570" t="str">
            <v>A</v>
          </cell>
          <cell r="H5570">
            <v>42809</v>
          </cell>
        </row>
        <row r="5571">
          <cell r="B5571" t="str">
            <v>Süleymanov Sədi Ramil</v>
          </cell>
          <cell r="C5571" t="str">
            <v>Goranboy filialı</v>
          </cell>
          <cell r="D5571" t="str">
            <v>#</v>
          </cell>
          <cell r="E5571" t="str">
            <v>Xidmət bölməsi</v>
          </cell>
          <cell r="F5571" t="str">
            <v>Müştərilərlə iş üzrə aparıcı mütəxəssis</v>
          </cell>
          <cell r="G5571" t="str">
            <v>A</v>
          </cell>
          <cell r="H5571">
            <v>44411</v>
          </cell>
        </row>
        <row r="5572">
          <cell r="B5572" t="str">
            <v>Qurbanova Türkan İlqar</v>
          </cell>
          <cell r="C5572" t="str">
            <v>Goranboy filialı</v>
          </cell>
          <cell r="D5572" t="str">
            <v>#</v>
          </cell>
          <cell r="E5572" t="str">
            <v>Xidmət bölməsi</v>
          </cell>
          <cell r="F5572" t="str">
            <v>Müştərilərlə iş üzrə aparıcı mütəxəssis</v>
          </cell>
          <cell r="G5572" t="str">
            <v>A</v>
          </cell>
          <cell r="H5572">
            <v>43430</v>
          </cell>
        </row>
        <row r="5573">
          <cell r="B5573" t="str">
            <v>Rəhimova Maya Xaliq</v>
          </cell>
          <cell r="C5573" t="str">
            <v>Goranboy filialı</v>
          </cell>
          <cell r="D5573" t="str">
            <v>#</v>
          </cell>
          <cell r="E5573" t="str">
            <v>Xidmət bölməsi</v>
          </cell>
          <cell r="F5573" t="str">
            <v>Müştərilərlə iş üzrə aparıcı mütəxəssis</v>
          </cell>
          <cell r="G5573" t="str">
            <v>A</v>
          </cell>
          <cell r="H5573">
            <v>45070</v>
          </cell>
        </row>
        <row r="5574">
          <cell r="B5574" t="str">
            <v>Quliyeva Aysun Şamil</v>
          </cell>
          <cell r="C5574" t="str">
            <v>Goranboy filialı</v>
          </cell>
          <cell r="D5574" t="str">
            <v>#</v>
          </cell>
          <cell r="E5574" t="str">
            <v>Xidmət bölməsi</v>
          </cell>
          <cell r="F5574" t="str">
            <v>Müştərilərlə iş üzrə kiçik mütəxəssis</v>
          </cell>
          <cell r="G5574" t="str">
            <v>A</v>
          </cell>
          <cell r="H5574">
            <v>45475</v>
          </cell>
        </row>
        <row r="5575">
          <cell r="B5575" t="str">
            <v>Abbasov Fuad Faiq</v>
          </cell>
          <cell r="C5575" t="str">
            <v>Goranboy filialı</v>
          </cell>
          <cell r="D5575" t="str">
            <v>#</v>
          </cell>
          <cell r="E5575" t="str">
            <v>Xidmət bölməsi</v>
          </cell>
          <cell r="F5575" t="str">
            <v>Müştərilərlə iş üzrə aparıcı mütəxəssis</v>
          </cell>
          <cell r="G5575" t="str">
            <v>A</v>
          </cell>
          <cell r="H5575">
            <v>44907</v>
          </cell>
        </row>
        <row r="5576">
          <cell r="B5576" t="str">
            <v>Rzayeva Gülşən Şamil</v>
          </cell>
          <cell r="C5576" t="str">
            <v>Goranboy filialı</v>
          </cell>
          <cell r="D5576" t="str">
            <v>#</v>
          </cell>
          <cell r="E5576" t="str">
            <v>Xidmət bölməsi</v>
          </cell>
          <cell r="F5576" t="str">
            <v>Müştərilərlə iş üzrə aparıcı mütəxəssis</v>
          </cell>
          <cell r="G5576" t="str">
            <v>A</v>
          </cell>
          <cell r="H5576">
            <v>43116</v>
          </cell>
        </row>
        <row r="5577">
          <cell r="B5577" t="str">
            <v>Musazadə Xaliq Əlöysət</v>
          </cell>
          <cell r="C5577" t="str">
            <v>Goranboy filialı</v>
          </cell>
          <cell r="D5577" t="str">
            <v>#</v>
          </cell>
          <cell r="E5577" t="str">
            <v>Xidmət bölməsi</v>
          </cell>
          <cell r="F5577" t="str">
            <v>Əməliyyatçı-kassir</v>
          </cell>
          <cell r="G5577" t="str">
            <v>A</v>
          </cell>
          <cell r="H5577">
            <v>45698</v>
          </cell>
        </row>
        <row r="5578">
          <cell r="B5578" t="str">
            <v>Qarayeva Fəridə Qüdrət</v>
          </cell>
          <cell r="C5578" t="str">
            <v>Goranboy filialı</v>
          </cell>
          <cell r="D5578" t="str">
            <v>#</v>
          </cell>
          <cell r="E5578" t="str">
            <v>İnzibati bölmə</v>
          </cell>
          <cell r="F5578" t="str">
            <v>Xadimə</v>
          </cell>
          <cell r="G5578" t="str">
            <v>A</v>
          </cell>
          <cell r="H5578">
            <v>45246</v>
          </cell>
        </row>
        <row r="5579">
          <cell r="B5579" t="str">
            <v>Qafarov Məmməd Arzu</v>
          </cell>
          <cell r="C5579" t="str">
            <v>Goranboy filialı</v>
          </cell>
          <cell r="D5579" t="str">
            <v>#</v>
          </cell>
          <cell r="E5579" t="str">
            <v>Mikro kredit bölməsi</v>
          </cell>
          <cell r="F5579" t="str">
            <v>Bölmə rəhbəri</v>
          </cell>
          <cell r="G5579" t="str">
            <v>A</v>
          </cell>
          <cell r="H5579">
            <v>45146</v>
          </cell>
        </row>
        <row r="5580">
          <cell r="B5580" t="str">
            <v>Aslanov Elcan Elman</v>
          </cell>
          <cell r="C5580" t="str">
            <v>Goranboy filialı</v>
          </cell>
          <cell r="D5580" t="str">
            <v>#</v>
          </cell>
          <cell r="E5580" t="str">
            <v>Mikro kredit bölməsi</v>
          </cell>
          <cell r="F5580" t="str">
            <v>Baş mütəxəssis</v>
          </cell>
          <cell r="G5580" t="str">
            <v>A</v>
          </cell>
          <cell r="H5580">
            <v>43577</v>
          </cell>
        </row>
        <row r="5581">
          <cell r="B5581" t="str">
            <v>Abbasov Rəşad Rüfət</v>
          </cell>
          <cell r="C5581" t="str">
            <v>Goranboy filialı</v>
          </cell>
          <cell r="D5581" t="str">
            <v>#</v>
          </cell>
          <cell r="E5581" t="str">
            <v>Mikro kredit bölməsi</v>
          </cell>
          <cell r="F5581" t="str">
            <v>Baş mütəxəssis</v>
          </cell>
          <cell r="G5581" t="str">
            <v>A</v>
          </cell>
          <cell r="H5581">
            <v>44433</v>
          </cell>
        </row>
        <row r="5582">
          <cell r="B5582" t="str">
            <v>Abbasov Pərvin Abbas</v>
          </cell>
          <cell r="C5582" t="str">
            <v>Goranboy filialı</v>
          </cell>
          <cell r="D5582" t="str">
            <v>#</v>
          </cell>
          <cell r="E5582" t="str">
            <v>Mikro kredit bölməsi</v>
          </cell>
          <cell r="F5582" t="str">
            <v>Aparıcı mütəxəssis</v>
          </cell>
          <cell r="G5582" t="str">
            <v>A</v>
          </cell>
          <cell r="H5582">
            <v>44554</v>
          </cell>
        </row>
        <row r="5583">
          <cell r="B5583" t="str">
            <v>Quliyev Elmir Şakir</v>
          </cell>
          <cell r="C5583" t="str">
            <v>Goranboy filialı</v>
          </cell>
          <cell r="D5583" t="str">
            <v>#</v>
          </cell>
          <cell r="E5583" t="str">
            <v>Mikro kredit bölməsi</v>
          </cell>
          <cell r="F5583" t="str">
            <v>Aparıcı mütəxəssis</v>
          </cell>
          <cell r="G5583" t="str">
            <v>A</v>
          </cell>
          <cell r="H5583">
            <v>45232</v>
          </cell>
        </row>
        <row r="5584">
          <cell r="B5584" t="str">
            <v>Nuriyev İlqar Əlövsət</v>
          </cell>
          <cell r="C5584" t="str">
            <v>Göyçay filialı</v>
          </cell>
          <cell r="D5584" t="str">
            <v>#</v>
          </cell>
          <cell r="E5584" t="str">
            <v>#</v>
          </cell>
          <cell r="F5584" t="str">
            <v>Müdir</v>
          </cell>
          <cell r="G5584" t="str">
            <v>A</v>
          </cell>
          <cell r="H5584">
            <v>44321</v>
          </cell>
        </row>
        <row r="5585">
          <cell r="B5585" t="str">
            <v>Mikayılzadə Nemət Elçin</v>
          </cell>
          <cell r="C5585" t="str">
            <v>Göyçay filialı</v>
          </cell>
          <cell r="D5585" t="str">
            <v>#</v>
          </cell>
          <cell r="E5585" t="str">
            <v>Xidmət bölməsi</v>
          </cell>
          <cell r="F5585" t="str">
            <v xml:space="preserve">Aparıcı əməliyyatçı-kassir </v>
          </cell>
          <cell r="G5585" t="str">
            <v>A</v>
          </cell>
          <cell r="H5585">
            <v>44987</v>
          </cell>
        </row>
        <row r="5586">
          <cell r="B5586" t="str">
            <v>Hüseynzadə Nicat Siyavuş</v>
          </cell>
          <cell r="C5586" t="str">
            <v>Göyçay filialı</v>
          </cell>
          <cell r="D5586" t="str">
            <v>#</v>
          </cell>
          <cell r="E5586" t="str">
            <v>Xidmət bölməsi</v>
          </cell>
          <cell r="F5586" t="str">
            <v>Kassa üzrə mütəxəssis</v>
          </cell>
          <cell r="G5586" t="str">
            <v>A</v>
          </cell>
          <cell r="H5586">
            <v>45708</v>
          </cell>
        </row>
        <row r="5587">
          <cell r="B5587" t="str">
            <v>Bayramov Elgiz Şahin</v>
          </cell>
          <cell r="C5587" t="str">
            <v>Göyçay filialı</v>
          </cell>
          <cell r="D5587" t="str">
            <v>#</v>
          </cell>
          <cell r="E5587" t="str">
            <v>Xidmət bölməsi</v>
          </cell>
          <cell r="F5587" t="str">
            <v>Müştərilərlə iş üzrə baş mütəxəssis</v>
          </cell>
          <cell r="G5587" t="str">
            <v>A</v>
          </cell>
          <cell r="H5587">
            <v>40044</v>
          </cell>
        </row>
        <row r="5588">
          <cell r="B5588" t="str">
            <v>Məmmədov Fərid Rasim</v>
          </cell>
          <cell r="C5588" t="str">
            <v>Göyçay filialı</v>
          </cell>
          <cell r="D5588" t="str">
            <v>#</v>
          </cell>
          <cell r="E5588" t="str">
            <v>Xidmət bölməsi</v>
          </cell>
          <cell r="F5588" t="str">
            <v>Müştərilərlə iş üzrə baş mütəxəssis</v>
          </cell>
          <cell r="G5588" t="str">
            <v>A</v>
          </cell>
          <cell r="H5588">
            <v>42828</v>
          </cell>
        </row>
        <row r="5589">
          <cell r="B5589" t="str">
            <v>Hüseynova Böyükxanım Vüqar</v>
          </cell>
          <cell r="C5589" t="str">
            <v>Göyçay filialı</v>
          </cell>
          <cell r="D5589" t="str">
            <v>#</v>
          </cell>
          <cell r="E5589" t="str">
            <v>Xidmət bölməsi</v>
          </cell>
          <cell r="F5589" t="str">
            <v>Müştərilərlə iş üzrə aparıcı mütəxəssis</v>
          </cell>
          <cell r="G5589" t="str">
            <v>SM</v>
          </cell>
          <cell r="H5589">
            <v>43776</v>
          </cell>
        </row>
        <row r="5590">
          <cell r="B5590" t="str">
            <v>Muradova Yeganə Məhəmməd</v>
          </cell>
          <cell r="C5590" t="str">
            <v>Göyçay filialı</v>
          </cell>
          <cell r="D5590" t="str">
            <v>#</v>
          </cell>
          <cell r="E5590" t="str">
            <v>Xidmət bölməsi</v>
          </cell>
          <cell r="F5590" t="str">
            <v>Müştərilərlə iş üzrə mütəxəssis (müvəqqəti)</v>
          </cell>
          <cell r="G5590" t="str">
            <v>A</v>
          </cell>
          <cell r="H5590">
            <v>45176</v>
          </cell>
        </row>
        <row r="5591">
          <cell r="B5591" t="str">
            <v>Dursunov Razi Arzu</v>
          </cell>
          <cell r="C5591" t="str">
            <v>Göyçay filialı</v>
          </cell>
          <cell r="D5591" t="str">
            <v>#</v>
          </cell>
          <cell r="E5591" t="str">
            <v>Xidmət bölməsi</v>
          </cell>
          <cell r="F5591" t="str">
            <v>Müştərilərlə iş üzrə aparıcı mütəxəssis</v>
          </cell>
          <cell r="G5591" t="str">
            <v>A</v>
          </cell>
          <cell r="H5591">
            <v>40269</v>
          </cell>
        </row>
        <row r="5592">
          <cell r="B5592" t="str">
            <v>İsayeva Salihə Ələddin</v>
          </cell>
          <cell r="C5592" t="str">
            <v>Göyçay filialı</v>
          </cell>
          <cell r="D5592" t="str">
            <v>#</v>
          </cell>
          <cell r="E5592" t="str">
            <v>Xidmət bölməsi</v>
          </cell>
          <cell r="F5592" t="str">
            <v>Müştərilərlə iş üzrə aparıcı mütəxəssis</v>
          </cell>
          <cell r="G5592" t="str">
            <v>SM</v>
          </cell>
          <cell r="H5592">
            <v>44025</v>
          </cell>
        </row>
        <row r="5593">
          <cell r="B5593" t="str">
            <v>Şirinova Rəqsanə Ziyad</v>
          </cell>
          <cell r="C5593" t="str">
            <v>Göyçay filialı</v>
          </cell>
          <cell r="D5593" t="str">
            <v>#</v>
          </cell>
          <cell r="E5593" t="str">
            <v>Xidmət bölməsi</v>
          </cell>
          <cell r="F5593" t="str">
            <v>Müştərilərlə iş üzrə mütəxəssis (müvəqqəti)</v>
          </cell>
          <cell r="G5593" t="str">
            <v>A</v>
          </cell>
          <cell r="H5593">
            <v>45208</v>
          </cell>
        </row>
        <row r="5594">
          <cell r="B5594" t="str">
            <v>Axundlu Fatma Mahmud</v>
          </cell>
          <cell r="C5594" t="str">
            <v>Göyçay filialı</v>
          </cell>
          <cell r="D5594" t="str">
            <v>#</v>
          </cell>
          <cell r="E5594" t="str">
            <v>Xidmət bölməsi</v>
          </cell>
          <cell r="F5594" t="str">
            <v>Müştərilərlə iş üzrə baş mütəxəssis</v>
          </cell>
          <cell r="G5594" t="str">
            <v>A</v>
          </cell>
          <cell r="H5594">
            <v>44209</v>
          </cell>
        </row>
        <row r="5595">
          <cell r="B5595" t="str">
            <v>Gərayev Ağayusif Rəfael</v>
          </cell>
          <cell r="C5595" t="str">
            <v>Göyçay filialı</v>
          </cell>
          <cell r="D5595" t="str">
            <v>#</v>
          </cell>
          <cell r="E5595" t="str">
            <v>Xidmət bölməsi</v>
          </cell>
          <cell r="F5595" t="str">
            <v>Müştərilərlə iş üzrə aparıcı mütəxəssis</v>
          </cell>
          <cell r="G5595" t="str">
            <v>A</v>
          </cell>
          <cell r="H5595">
            <v>44568</v>
          </cell>
        </row>
        <row r="5596">
          <cell r="B5596" t="str">
            <v>İsayev Kənan Ömər</v>
          </cell>
          <cell r="C5596" t="str">
            <v>Göyçay filialı</v>
          </cell>
          <cell r="D5596" t="str">
            <v>#</v>
          </cell>
          <cell r="E5596" t="str">
            <v>Xidmət bölməsi</v>
          </cell>
          <cell r="F5596" t="str">
            <v>Məlumat xidməti üzrə mütəxəssis</v>
          </cell>
          <cell r="G5596" t="str">
            <v>A</v>
          </cell>
          <cell r="H5596">
            <v>45000</v>
          </cell>
        </row>
        <row r="5597">
          <cell r="B5597" t="str">
            <v>Əhmədli Nihad Teymur</v>
          </cell>
          <cell r="C5597" t="str">
            <v>Göyçay filialı</v>
          </cell>
          <cell r="D5597" t="str">
            <v>#</v>
          </cell>
          <cell r="E5597" t="str">
            <v>Xidmət bölməsi</v>
          </cell>
          <cell r="F5597" t="str">
            <v>Məlumat xidməti üzrə kiçik mütəxəssis</v>
          </cell>
          <cell r="G5597" t="str">
            <v>A</v>
          </cell>
          <cell r="H5597">
            <v>46210</v>
          </cell>
        </row>
        <row r="5598">
          <cell r="B5598" t="str">
            <v>Məmmədova Malikə Sırac</v>
          </cell>
          <cell r="C5598" t="str">
            <v>Göyçay filialı</v>
          </cell>
          <cell r="D5598" t="str">
            <v>#</v>
          </cell>
          <cell r="E5598" t="str">
            <v>İnzibati bölmə</v>
          </cell>
          <cell r="F5598" t="str">
            <v>Xadimə</v>
          </cell>
          <cell r="G5598" t="str">
            <v>A</v>
          </cell>
          <cell r="H5598">
            <v>41149</v>
          </cell>
        </row>
        <row r="5599">
          <cell r="B5599" t="str">
            <v>Quliyev Xəyal İkram</v>
          </cell>
          <cell r="C5599" t="str">
            <v>Göyçay filialı</v>
          </cell>
          <cell r="D5599" t="str">
            <v>#</v>
          </cell>
          <cell r="E5599" t="str">
            <v>Mikro kredit bölməsi</v>
          </cell>
          <cell r="F5599" t="str">
            <v>Bölmə rəhbəri</v>
          </cell>
          <cell r="G5599" t="str">
            <v>A</v>
          </cell>
          <cell r="H5599">
            <v>44677</v>
          </cell>
        </row>
        <row r="5600">
          <cell r="B5600" t="str">
            <v>Salmanov Rövşən Namiq</v>
          </cell>
          <cell r="C5600" t="str">
            <v>Göyçay filialı</v>
          </cell>
          <cell r="D5600" t="str">
            <v>#</v>
          </cell>
          <cell r="E5600" t="str">
            <v>Mikro kredit bölməsi</v>
          </cell>
          <cell r="F5600" t="str">
            <v>Aparıcı mütəxəssis</v>
          </cell>
          <cell r="G5600" t="str">
            <v>A</v>
          </cell>
          <cell r="H5600">
            <v>45069</v>
          </cell>
        </row>
        <row r="5601">
          <cell r="B5601" t="str">
            <v>Məmmədov Əfqan Vaqif</v>
          </cell>
          <cell r="C5601" t="str">
            <v>Göyçay filialı</v>
          </cell>
          <cell r="D5601" t="str">
            <v>#</v>
          </cell>
          <cell r="E5601" t="str">
            <v>Mikro kredit bölməsi</v>
          </cell>
          <cell r="F5601" t="str">
            <v>Aparıcı mütəxəssis</v>
          </cell>
          <cell r="G5601" t="str">
            <v>A</v>
          </cell>
          <cell r="H5601">
            <v>45212</v>
          </cell>
        </row>
        <row r="5602">
          <cell r="B5602" t="str">
            <v>Mustafayev İlyas Famil</v>
          </cell>
          <cell r="C5602" t="str">
            <v>Göyçay filialı</v>
          </cell>
          <cell r="D5602" t="str">
            <v>#</v>
          </cell>
          <cell r="E5602" t="str">
            <v>Mikro kredit bölməsi</v>
          </cell>
          <cell r="F5602" t="str">
            <v>Mütəxəssis</v>
          </cell>
          <cell r="G5602" t="str">
            <v>A</v>
          </cell>
          <cell r="H5602">
            <v>45555</v>
          </cell>
        </row>
        <row r="5603">
          <cell r="B5603" t="str">
            <v>Məmmədov Ağasəf Pərviz</v>
          </cell>
          <cell r="C5603" t="str">
            <v>Göyçay filialı</v>
          </cell>
          <cell r="D5603" t="str">
            <v>#</v>
          </cell>
          <cell r="E5603" t="str">
            <v>Mikro kredit bölməsi</v>
          </cell>
          <cell r="F5603" t="str">
            <v>Mütəxəssis</v>
          </cell>
          <cell r="G5603" t="str">
            <v>A</v>
          </cell>
          <cell r="H5603">
            <v>45715</v>
          </cell>
        </row>
        <row r="5604">
          <cell r="B5604" t="str">
            <v>Hüseyinli Həsən Yasin</v>
          </cell>
          <cell r="C5604" t="str">
            <v>Göygöl  filialı</v>
          </cell>
          <cell r="D5604" t="str">
            <v>#</v>
          </cell>
          <cell r="E5604" t="str">
            <v>#</v>
          </cell>
          <cell r="F5604" t="str">
            <v>Müdir</v>
          </cell>
          <cell r="G5604" t="str">
            <v>A</v>
          </cell>
          <cell r="H5604">
            <v>42779</v>
          </cell>
        </row>
        <row r="5605">
          <cell r="B5605" t="str">
            <v>Abbasov Pərvin Rövşən</v>
          </cell>
          <cell r="C5605" t="str">
            <v>Göygöl  filialı</v>
          </cell>
          <cell r="D5605" t="str">
            <v>#</v>
          </cell>
          <cell r="E5605" t="str">
            <v>Xidmət bölməsi</v>
          </cell>
          <cell r="F5605" t="str">
            <v>Kassa üzrə baş mütəxəssis</v>
          </cell>
          <cell r="G5605" t="str">
            <v>A</v>
          </cell>
          <cell r="H5605">
            <v>42752</v>
          </cell>
        </row>
        <row r="5606">
          <cell r="B5606" t="str">
            <v>Abbasov Roman Azad</v>
          </cell>
          <cell r="C5606" t="str">
            <v>Göygöl  filialı</v>
          </cell>
          <cell r="D5606" t="str">
            <v>#</v>
          </cell>
          <cell r="E5606" t="str">
            <v>Xidmət bölməsi</v>
          </cell>
          <cell r="F5606" t="str">
            <v>Müştərilərlə iş üzrə baş mütəxəssis</v>
          </cell>
          <cell r="G5606" t="str">
            <v>A</v>
          </cell>
          <cell r="H5606">
            <v>41613</v>
          </cell>
        </row>
        <row r="5607">
          <cell r="B5607" t="str">
            <v>Nağıyeva Mehriban Cəfər</v>
          </cell>
          <cell r="C5607" t="str">
            <v>Göygöl  filialı</v>
          </cell>
          <cell r="D5607" t="str">
            <v>#</v>
          </cell>
          <cell r="E5607" t="str">
            <v>Xidmət bölməsi</v>
          </cell>
          <cell r="F5607" t="str">
            <v>Baş əməliyyatçı-kassir</v>
          </cell>
          <cell r="G5607" t="str">
            <v>A</v>
          </cell>
          <cell r="H5607">
            <v>41381</v>
          </cell>
        </row>
        <row r="5608">
          <cell r="B5608" t="str">
            <v>Əşrəfova Əminə Elşən</v>
          </cell>
          <cell r="C5608" t="str">
            <v>Göygöl  filialı</v>
          </cell>
          <cell r="D5608" t="str">
            <v>#</v>
          </cell>
          <cell r="E5608" t="str">
            <v>Xidmət bölməsi</v>
          </cell>
          <cell r="F5608" t="str">
            <v>Məlumat xidməti üzrə mütəxəssis</v>
          </cell>
          <cell r="G5608" t="str">
            <v>A</v>
          </cell>
          <cell r="H5608">
            <v>45694</v>
          </cell>
        </row>
        <row r="5609">
          <cell r="B5609" t="str">
            <v>Fətullayev İman Elxan</v>
          </cell>
          <cell r="C5609" t="str">
            <v>Göygöl  filialı</v>
          </cell>
          <cell r="D5609" t="str">
            <v>#</v>
          </cell>
          <cell r="E5609" t="str">
            <v>Xidmət bölməsi</v>
          </cell>
          <cell r="F5609" t="str">
            <v>Müştərilərlə iş üzrə baş mütəxəssis</v>
          </cell>
          <cell r="G5609" t="str">
            <v>A</v>
          </cell>
          <cell r="H5609">
            <v>41899</v>
          </cell>
        </row>
        <row r="5610">
          <cell r="B5610" t="str">
            <v>Mehdiyeva Səmra Zabid</v>
          </cell>
          <cell r="C5610" t="str">
            <v>Göygöl  filialı</v>
          </cell>
          <cell r="D5610" t="str">
            <v>#</v>
          </cell>
          <cell r="E5610" t="str">
            <v>Xidmət bölməsi</v>
          </cell>
          <cell r="F5610" t="str">
            <v>Müştərilərlə iş üzrə baş mütəxəssis</v>
          </cell>
          <cell r="G5610" t="str">
            <v>A</v>
          </cell>
          <cell r="H5610">
            <v>42866</v>
          </cell>
        </row>
        <row r="5611">
          <cell r="B5611" t="str">
            <v>Abbasov Nicat Rasim</v>
          </cell>
          <cell r="C5611" t="str">
            <v>Göygöl  filialı</v>
          </cell>
          <cell r="D5611" t="str">
            <v>#</v>
          </cell>
          <cell r="E5611" t="str">
            <v>Xidmət bölməsi</v>
          </cell>
          <cell r="F5611" t="str">
            <v>Müştərilərlə iş üzrə aparıcı mütəxəssis</v>
          </cell>
          <cell r="G5611" t="str">
            <v>A</v>
          </cell>
          <cell r="H5611">
            <v>44573</v>
          </cell>
        </row>
        <row r="5612">
          <cell r="B5612" t="str">
            <v>Vəliyeva Kəmalə Sabir</v>
          </cell>
          <cell r="C5612" t="str">
            <v>Göygöl  filialı</v>
          </cell>
          <cell r="D5612" t="str">
            <v>#</v>
          </cell>
          <cell r="E5612" t="str">
            <v>İnzibati bölmə</v>
          </cell>
          <cell r="F5612" t="str">
            <v>Xadimə</v>
          </cell>
          <cell r="G5612" t="str">
            <v>A</v>
          </cell>
          <cell r="H5612">
            <v>40087</v>
          </cell>
        </row>
        <row r="5613">
          <cell r="B5613" t="str">
            <v>Şahbazov Fuad Arif</v>
          </cell>
          <cell r="C5613" t="str">
            <v>Hacıqabul  filialı</v>
          </cell>
          <cell r="D5613" t="str">
            <v>#</v>
          </cell>
          <cell r="E5613" t="str">
            <v>#</v>
          </cell>
          <cell r="F5613" t="str">
            <v>Müdir</v>
          </cell>
          <cell r="G5613" t="str">
            <v>A</v>
          </cell>
          <cell r="H5613">
            <v>42352</v>
          </cell>
        </row>
        <row r="5614">
          <cell r="B5614" t="str">
            <v>Əsədov Musa Azər</v>
          </cell>
          <cell r="C5614" t="str">
            <v>Hacıqabul  filialı</v>
          </cell>
          <cell r="D5614" t="str">
            <v>#</v>
          </cell>
          <cell r="E5614" t="str">
            <v>Xidmət bölməsi</v>
          </cell>
          <cell r="F5614" t="str">
            <v>Müştərilərlə iş üzrə baş mütəxəssis</v>
          </cell>
          <cell r="G5614" t="str">
            <v>A</v>
          </cell>
          <cell r="H5614">
            <v>43430</v>
          </cell>
        </row>
        <row r="5615">
          <cell r="B5615" t="str">
            <v>Abasov Əkbər Abas</v>
          </cell>
          <cell r="C5615" t="str">
            <v>Hacıqabul  filialı</v>
          </cell>
          <cell r="D5615" t="str">
            <v>#</v>
          </cell>
          <cell r="E5615" t="str">
            <v>Xidmət bölməsi</v>
          </cell>
          <cell r="F5615" t="str">
            <v>Müştərilərlə iş üzrə baş mütəxəssis</v>
          </cell>
          <cell r="G5615" t="str">
            <v>A</v>
          </cell>
          <cell r="H5615">
            <v>42408</v>
          </cell>
        </row>
        <row r="5616">
          <cell r="B5616" t="str">
            <v>İsgəndərov Rahim Tofiq</v>
          </cell>
          <cell r="C5616" t="str">
            <v>Hacıqabul  filialı</v>
          </cell>
          <cell r="D5616" t="str">
            <v>#</v>
          </cell>
          <cell r="E5616" t="str">
            <v>Xidmət bölməsi</v>
          </cell>
          <cell r="F5616" t="str">
            <v>Müştərilərlə iş üzrə baş mütəxəssis</v>
          </cell>
          <cell r="G5616" t="str">
            <v>A</v>
          </cell>
          <cell r="H5616">
            <v>43242</v>
          </cell>
        </row>
        <row r="5617">
          <cell r="B5617" t="str">
            <v>Soltanov Rəmzi Vüqar</v>
          </cell>
          <cell r="C5617" t="str">
            <v>Hacıqabul  filialı</v>
          </cell>
          <cell r="D5617" t="str">
            <v>#</v>
          </cell>
          <cell r="E5617" t="str">
            <v>Xidmət bölməsi</v>
          </cell>
          <cell r="F5617" t="str">
            <v>Müştərilərlə iş üzrə aparıcı mütəxəssis</v>
          </cell>
          <cell r="G5617" t="str">
            <v>A</v>
          </cell>
          <cell r="H5617">
            <v>44637</v>
          </cell>
        </row>
        <row r="5618">
          <cell r="B5618" t="str">
            <v>Quliyev Böyükağa Elçin</v>
          </cell>
          <cell r="C5618" t="str">
            <v>Hacıqabul  filialı</v>
          </cell>
          <cell r="D5618" t="str">
            <v>#</v>
          </cell>
          <cell r="E5618" t="str">
            <v>Xidmət bölməsi</v>
          </cell>
          <cell r="F5618" t="str">
            <v>Müştərilərlə iş üzrə aparıcı mütəxəssis</v>
          </cell>
          <cell r="G5618" t="str">
            <v>A</v>
          </cell>
          <cell r="H5618">
            <v>44704</v>
          </cell>
        </row>
        <row r="5619">
          <cell r="B5619" t="str">
            <v>Əsgərova Jalə İlham</v>
          </cell>
          <cell r="C5619" t="str">
            <v>Hacıqabul  filialı</v>
          </cell>
          <cell r="D5619" t="str">
            <v>#</v>
          </cell>
          <cell r="E5619" t="str">
            <v>Xidmət bölməsi</v>
          </cell>
          <cell r="F5619" t="str">
            <v>Məlumat xidməti üzrə mütəxəssis</v>
          </cell>
          <cell r="G5619" t="str">
            <v>A</v>
          </cell>
          <cell r="H5619">
            <v>45357</v>
          </cell>
        </row>
        <row r="5620">
          <cell r="B5620" t="str">
            <v>Həsənova Aidə Vüqar</v>
          </cell>
          <cell r="C5620" t="str">
            <v>Hacıqabul  filialı</v>
          </cell>
          <cell r="D5620" t="str">
            <v>#</v>
          </cell>
          <cell r="E5620" t="str">
            <v>Xidmət bölməsi</v>
          </cell>
          <cell r="F5620" t="str">
            <v>Kassa üzrə kiçik mütəxəssis</v>
          </cell>
          <cell r="G5620" t="str">
            <v>A</v>
          </cell>
          <cell r="H5620">
            <v>46163</v>
          </cell>
        </row>
        <row r="5621">
          <cell r="B5621" t="str">
            <v>Məmmədova Pərvanə Ağagəldi</v>
          </cell>
          <cell r="C5621" t="str">
            <v>Hacıqabul  filialı</v>
          </cell>
          <cell r="D5621" t="str">
            <v>#</v>
          </cell>
          <cell r="E5621" t="str">
            <v>İnzibati bölmə</v>
          </cell>
          <cell r="F5621" t="str">
            <v>Xadimə</v>
          </cell>
          <cell r="G5621" t="str">
            <v>A</v>
          </cell>
          <cell r="H5621">
            <v>41031</v>
          </cell>
        </row>
        <row r="5622">
          <cell r="B5622" t="str">
            <v>Əlişanov Vahid Ənvər</v>
          </cell>
          <cell r="C5622" t="str">
            <v>Xaçmaz  filialı</v>
          </cell>
          <cell r="D5622" t="str">
            <v>#</v>
          </cell>
          <cell r="E5622" t="str">
            <v>#</v>
          </cell>
          <cell r="F5622" t="str">
            <v>Menecer</v>
          </cell>
          <cell r="G5622" t="str">
            <v>A</v>
          </cell>
          <cell r="H5622">
            <v>39737</v>
          </cell>
        </row>
        <row r="5623">
          <cell r="B5623" t="str">
            <v>Mustafayev Taleh Mübariz</v>
          </cell>
          <cell r="C5623" t="str">
            <v>Xaçmaz  filialı</v>
          </cell>
          <cell r="D5623" t="str">
            <v>#</v>
          </cell>
          <cell r="E5623" t="str">
            <v>#</v>
          </cell>
          <cell r="F5623" t="str">
            <v>Müdir</v>
          </cell>
          <cell r="G5623" t="str">
            <v>A</v>
          </cell>
          <cell r="H5623">
            <v>43200</v>
          </cell>
        </row>
        <row r="5624">
          <cell r="B5624" t="str">
            <v>Əliyeva Bəsirə Şəmsəddin</v>
          </cell>
          <cell r="C5624" t="str">
            <v>Xaçmaz  filialı</v>
          </cell>
          <cell r="D5624" t="str">
            <v>#</v>
          </cell>
          <cell r="E5624" t="str">
            <v>Xidmət bölməsi</v>
          </cell>
          <cell r="F5624" t="str">
            <v>Kassa üzrə baş mütəxəssis</v>
          </cell>
          <cell r="G5624" t="str">
            <v>A</v>
          </cell>
          <cell r="H5624">
            <v>38456</v>
          </cell>
        </row>
        <row r="5625">
          <cell r="B5625" t="str">
            <v>Cavadov Rəşad Fikrət</v>
          </cell>
          <cell r="C5625" t="str">
            <v>Xaçmaz  filialı</v>
          </cell>
          <cell r="D5625" t="str">
            <v>#</v>
          </cell>
          <cell r="E5625" t="str">
            <v>Xidmət bölməsi</v>
          </cell>
          <cell r="F5625" t="str">
            <v>Kassa üzrə mütəxəssis</v>
          </cell>
          <cell r="G5625" t="str">
            <v>A</v>
          </cell>
          <cell r="H5625">
            <v>45663</v>
          </cell>
        </row>
        <row r="5626">
          <cell r="B5626" t="str">
            <v>Əlimirzəyev Aydın Ənvər</v>
          </cell>
          <cell r="C5626" t="str">
            <v>Xaçmaz  filialı</v>
          </cell>
          <cell r="D5626" t="str">
            <v>#</v>
          </cell>
          <cell r="E5626" t="str">
            <v>Xidmət bölməsi</v>
          </cell>
          <cell r="F5626" t="str">
            <v>Kassir</v>
          </cell>
          <cell r="G5626" t="str">
            <v>A</v>
          </cell>
          <cell r="H5626">
            <v>39296</v>
          </cell>
        </row>
        <row r="5627">
          <cell r="B5627" t="str">
            <v>Osmanov Nəsib Nəcməddin</v>
          </cell>
          <cell r="C5627" t="str">
            <v>Xaçmaz  filialı</v>
          </cell>
          <cell r="D5627" t="str">
            <v>#</v>
          </cell>
          <cell r="E5627" t="str">
            <v>Xidmət bölməsi</v>
          </cell>
          <cell r="F5627" t="str">
            <v>Kassir</v>
          </cell>
          <cell r="G5627" t="str">
            <v>A</v>
          </cell>
          <cell r="H5627">
            <v>43838</v>
          </cell>
        </row>
        <row r="5628">
          <cell r="B5628" t="str">
            <v>Kərəmov Çingiz Tərxan</v>
          </cell>
          <cell r="C5628" t="str">
            <v>Xaçmaz  filialı</v>
          </cell>
          <cell r="D5628" t="str">
            <v>#</v>
          </cell>
          <cell r="E5628" t="str">
            <v>Xidmət bölməsi</v>
          </cell>
          <cell r="F5628" t="str">
            <v>Baş əməliyyatçı-kassir</v>
          </cell>
          <cell r="G5628" t="str">
            <v>A</v>
          </cell>
          <cell r="H5628">
            <v>42027</v>
          </cell>
        </row>
        <row r="5629">
          <cell r="B5629" t="str">
            <v>Şıxnəsirli Şahnaz Budaq</v>
          </cell>
          <cell r="C5629" t="str">
            <v>Xaçmaz  filialı</v>
          </cell>
          <cell r="D5629" t="str">
            <v>#</v>
          </cell>
          <cell r="E5629" t="str">
            <v>Xidmət bölməsi</v>
          </cell>
          <cell r="F5629" t="str">
            <v>Əməliyyatçı-kassir</v>
          </cell>
          <cell r="G5629" t="str">
            <v>A</v>
          </cell>
          <cell r="H5629">
            <v>45154</v>
          </cell>
        </row>
        <row r="5630">
          <cell r="B5630" t="str">
            <v>Tağıyeva Emiliya Oktay</v>
          </cell>
          <cell r="C5630" t="str">
            <v>Xaçmaz  filialı</v>
          </cell>
          <cell r="D5630" t="str">
            <v>#</v>
          </cell>
          <cell r="E5630" t="str">
            <v>Xidmət bölməsi</v>
          </cell>
          <cell r="F5630" t="str">
            <v>Məlumat xidməti üzrə aparıcı mütəxəssis</v>
          </cell>
          <cell r="G5630" t="str">
            <v>A</v>
          </cell>
          <cell r="H5630">
            <v>44900</v>
          </cell>
        </row>
        <row r="5631">
          <cell r="B5631" t="str">
            <v>Həbibov Nazim Natiq</v>
          </cell>
          <cell r="C5631" t="str">
            <v>Xaçmaz  filialı</v>
          </cell>
          <cell r="D5631" t="str">
            <v>#</v>
          </cell>
          <cell r="E5631" t="str">
            <v>Xidmət bölməsi</v>
          </cell>
          <cell r="F5631" t="str">
            <v>Məlumat xidməti üzrə mütəxəssis</v>
          </cell>
          <cell r="G5631" t="str">
            <v>A</v>
          </cell>
          <cell r="H5631">
            <v>45819</v>
          </cell>
        </row>
        <row r="5632">
          <cell r="B5632" t="str">
            <v>Nəcəfov Natiq Sahib</v>
          </cell>
          <cell r="C5632" t="str">
            <v>Xaçmaz  filialı</v>
          </cell>
          <cell r="D5632" t="str">
            <v>#</v>
          </cell>
          <cell r="E5632" t="str">
            <v>Xidmət bölməsi</v>
          </cell>
          <cell r="F5632" t="str">
            <v>Müştərilərlə iş üzrə baş mütəxəssis</v>
          </cell>
          <cell r="G5632" t="str">
            <v>A</v>
          </cell>
          <cell r="H5632">
            <v>43238</v>
          </cell>
        </row>
        <row r="5633">
          <cell r="B5633" t="str">
            <v>Şərifov Xəyyam Seyfulla</v>
          </cell>
          <cell r="C5633" t="str">
            <v>Xaçmaz  filialı</v>
          </cell>
          <cell r="D5633" t="str">
            <v>#</v>
          </cell>
          <cell r="E5633" t="str">
            <v>Xidmət bölməsi</v>
          </cell>
          <cell r="F5633" t="str">
            <v>Müştərilərlə iş üzrə baş mütəxəssis</v>
          </cell>
          <cell r="G5633" t="str">
            <v>A</v>
          </cell>
          <cell r="H5633">
            <v>42500</v>
          </cell>
        </row>
        <row r="5634">
          <cell r="B5634" t="str">
            <v>Lətifova Aygün Yaşar</v>
          </cell>
          <cell r="C5634" t="str">
            <v>Xaçmaz  filialı</v>
          </cell>
          <cell r="D5634" t="str">
            <v>#</v>
          </cell>
          <cell r="E5634" t="str">
            <v>Xidmət bölməsi</v>
          </cell>
          <cell r="F5634" t="str">
            <v>Müştərilərlə iş üzrə baş mütəxəssis</v>
          </cell>
          <cell r="G5634" t="str">
            <v>A</v>
          </cell>
          <cell r="H5634">
            <v>42685</v>
          </cell>
        </row>
        <row r="5635">
          <cell r="B5635" t="str">
            <v>Fərzəliyeva Sevinc Arzuman</v>
          </cell>
          <cell r="C5635" t="str">
            <v>Xaçmaz  filialı</v>
          </cell>
          <cell r="D5635" t="str">
            <v>#</v>
          </cell>
          <cell r="E5635" t="str">
            <v>Xidmət bölməsi</v>
          </cell>
          <cell r="F5635" t="str">
            <v>Müştərilərlə iş üzrə baş mütəxəssis</v>
          </cell>
          <cell r="G5635" t="str">
            <v>A</v>
          </cell>
          <cell r="H5635">
            <v>43630</v>
          </cell>
        </row>
        <row r="5636">
          <cell r="B5636" t="str">
            <v>Məmmədxanov Fərrux Aqil</v>
          </cell>
          <cell r="C5636" t="str">
            <v>Xaçmaz  filialı</v>
          </cell>
          <cell r="D5636" t="str">
            <v>#</v>
          </cell>
          <cell r="E5636" t="str">
            <v>Xidmət bölməsi</v>
          </cell>
          <cell r="F5636" t="str">
            <v>Müştərilərlə iş üzrə baş mütəxəssis</v>
          </cell>
          <cell r="G5636" t="str">
            <v>A</v>
          </cell>
          <cell r="H5636">
            <v>43326</v>
          </cell>
        </row>
        <row r="5637">
          <cell r="B5637" t="str">
            <v>Tahirov Əziz Xəlil</v>
          </cell>
          <cell r="C5637" t="str">
            <v>Xaçmaz  filialı</v>
          </cell>
          <cell r="D5637" t="str">
            <v>#</v>
          </cell>
          <cell r="E5637" t="str">
            <v>Xidmət bölməsi</v>
          </cell>
          <cell r="F5637" t="str">
            <v>Müştərilərlə iş üzrə baş mütəxəssis</v>
          </cell>
          <cell r="G5637" t="str">
            <v>A</v>
          </cell>
          <cell r="H5637">
            <v>43430</v>
          </cell>
        </row>
        <row r="5638">
          <cell r="B5638" t="str">
            <v>Musayeva Elvira Elçin</v>
          </cell>
          <cell r="C5638" t="str">
            <v>Xaçmaz  filialı</v>
          </cell>
          <cell r="D5638" t="str">
            <v>#</v>
          </cell>
          <cell r="E5638" t="str">
            <v>Xidmət bölməsi</v>
          </cell>
          <cell r="F5638" t="str">
            <v>Müştərilərlə iş üzrə aparıcı mütəxəssis</v>
          </cell>
          <cell r="G5638" t="str">
            <v>HX</v>
          </cell>
          <cell r="H5638">
            <v>43868</v>
          </cell>
        </row>
        <row r="5639">
          <cell r="B5639" t="str">
            <v>Soltanov Atabala Mirzə</v>
          </cell>
          <cell r="C5639" t="str">
            <v>Xaçmaz  filialı</v>
          </cell>
          <cell r="D5639" t="str">
            <v>#</v>
          </cell>
          <cell r="E5639" t="str">
            <v>Xidmət bölməsi</v>
          </cell>
          <cell r="F5639" t="str">
            <v>Müştərilərlə iş üzrə kiçik mütəxəssis (müvəqqəti)</v>
          </cell>
          <cell r="G5639" t="str">
            <v>A</v>
          </cell>
          <cell r="H5639">
            <v>46190</v>
          </cell>
        </row>
        <row r="5640">
          <cell r="B5640" t="str">
            <v>Məmmədov Telman Eynulla</v>
          </cell>
          <cell r="C5640" t="str">
            <v>Xaçmaz  filialı</v>
          </cell>
          <cell r="D5640" t="str">
            <v>#</v>
          </cell>
          <cell r="E5640" t="str">
            <v>Xidmət bölməsi</v>
          </cell>
          <cell r="F5640" t="str">
            <v>Müştərilərlə iş üzrə aparıcı mütəxəssis</v>
          </cell>
          <cell r="G5640" t="str">
            <v>A</v>
          </cell>
          <cell r="H5640">
            <v>44659</v>
          </cell>
        </row>
        <row r="5641">
          <cell r="B5641" t="str">
            <v>Cavadova Nəzakət Mirzəbala</v>
          </cell>
          <cell r="C5641" t="str">
            <v>Xaçmaz  filialı</v>
          </cell>
          <cell r="D5641" t="str">
            <v>#</v>
          </cell>
          <cell r="E5641" t="str">
            <v>İnzibati bölmə</v>
          </cell>
          <cell r="F5641" t="str">
            <v>Xadimə</v>
          </cell>
          <cell r="G5641" t="str">
            <v>A</v>
          </cell>
          <cell r="H5641">
            <v>38477</v>
          </cell>
        </row>
        <row r="5642">
          <cell r="B5642" t="str">
            <v>Məmmədova Aytən Əlif</v>
          </cell>
          <cell r="C5642" t="str">
            <v>Xaçmaz  filialı</v>
          </cell>
          <cell r="D5642" t="str">
            <v>#</v>
          </cell>
          <cell r="E5642" t="str">
            <v>İnzibati bölmə</v>
          </cell>
          <cell r="F5642" t="str">
            <v>Xadimə</v>
          </cell>
          <cell r="G5642" t="str">
            <v>A</v>
          </cell>
          <cell r="H5642">
            <v>45288</v>
          </cell>
        </row>
        <row r="5643">
          <cell r="B5643" t="str">
            <v>Abidov Tural İbrahim</v>
          </cell>
          <cell r="C5643" t="str">
            <v>Xaçmaz  filialı</v>
          </cell>
          <cell r="D5643" t="str">
            <v>#</v>
          </cell>
          <cell r="E5643" t="str">
            <v>Mikro kredit bölməsi</v>
          </cell>
          <cell r="F5643" t="str">
            <v>Bölmə rəhbəri</v>
          </cell>
          <cell r="G5643" t="str">
            <v>A</v>
          </cell>
          <cell r="H5643">
            <v>44480</v>
          </cell>
        </row>
        <row r="5644">
          <cell r="B5644" t="str">
            <v>Əliyev Rəşad Xıdır</v>
          </cell>
          <cell r="C5644" t="str">
            <v>Xaçmaz  filialı</v>
          </cell>
          <cell r="D5644" t="str">
            <v>#</v>
          </cell>
          <cell r="E5644" t="str">
            <v>Mikro kredit bölməsi</v>
          </cell>
          <cell r="F5644" t="str">
            <v>Baş mütəxəssis</v>
          </cell>
          <cell r="G5644" t="str">
            <v>A</v>
          </cell>
          <cell r="H5644">
            <v>44599</v>
          </cell>
        </row>
        <row r="5645">
          <cell r="B5645" t="str">
            <v>Əliyarov Orxan Həbib</v>
          </cell>
          <cell r="C5645" t="str">
            <v>Xaçmaz  filialı</v>
          </cell>
          <cell r="D5645" t="str">
            <v>#</v>
          </cell>
          <cell r="E5645" t="str">
            <v>Mikro kredit bölməsi</v>
          </cell>
          <cell r="F5645" t="str">
            <v>Baş mütəxəssis</v>
          </cell>
          <cell r="G5645" t="str">
            <v>A</v>
          </cell>
          <cell r="H5645">
            <v>44531</v>
          </cell>
        </row>
        <row r="5646">
          <cell r="B5646" t="str">
            <v>Məmmədov Məhəmməd Balabəy</v>
          </cell>
          <cell r="C5646" t="str">
            <v>Xaçmaz  filialı</v>
          </cell>
          <cell r="D5646" t="str">
            <v>#</v>
          </cell>
          <cell r="E5646" t="str">
            <v>Mikro kredit bölməsi</v>
          </cell>
          <cell r="F5646" t="str">
            <v>Baş mütəxəssis</v>
          </cell>
          <cell r="G5646" t="str">
            <v>A</v>
          </cell>
          <cell r="H5646">
            <v>44599</v>
          </cell>
        </row>
        <row r="5647">
          <cell r="B5647" t="str">
            <v>Quluzadə Fərid Elçin</v>
          </cell>
          <cell r="C5647" t="str">
            <v>#</v>
          </cell>
          <cell r="D5647" t="str">
            <v>Xaçmaz Notariat şöbəsi</v>
          </cell>
          <cell r="E5647" t="str">
            <v>#</v>
          </cell>
          <cell r="F5647" t="str">
            <v>Müdir</v>
          </cell>
          <cell r="G5647" t="str">
            <v>A</v>
          </cell>
          <cell r="H5647">
            <v>42114</v>
          </cell>
        </row>
        <row r="5648">
          <cell r="B5648" t="str">
            <v>İskəndərova Sona Elçin</v>
          </cell>
          <cell r="C5648" t="str">
            <v>#</v>
          </cell>
          <cell r="D5648" t="str">
            <v>Xaçmaz Notariat şöbəsi</v>
          </cell>
          <cell r="E5648" t="str">
            <v>Xidmət bölməsi</v>
          </cell>
          <cell r="F5648" t="str">
            <v xml:space="preserve">Aparıcı əməliyyatçı-kassir </v>
          </cell>
          <cell r="G5648" t="str">
            <v>A</v>
          </cell>
          <cell r="H5648">
            <v>45147</v>
          </cell>
        </row>
        <row r="5649">
          <cell r="B5649" t="str">
            <v>Babayev İlkin Sahib</v>
          </cell>
          <cell r="C5649" t="str">
            <v>Xankəndi filialı</v>
          </cell>
          <cell r="D5649" t="str">
            <v>#</v>
          </cell>
          <cell r="E5649" t="str">
            <v>#</v>
          </cell>
          <cell r="F5649" t="str">
            <v>Müdir</v>
          </cell>
          <cell r="G5649" t="str">
            <v>A</v>
          </cell>
          <cell r="H5649">
            <v>42194</v>
          </cell>
        </row>
        <row r="5650">
          <cell r="B5650" t="str">
            <v>Cavadov Amin Soltan</v>
          </cell>
          <cell r="C5650" t="str">
            <v>Xankəndi filialı</v>
          </cell>
          <cell r="D5650" t="str">
            <v>#</v>
          </cell>
          <cell r="E5650" t="str">
            <v>Xidmət bölməsi</v>
          </cell>
          <cell r="F5650" t="str">
            <v>Müştərilərlə iş üzrə baş mütəxəssis</v>
          </cell>
          <cell r="G5650" t="str">
            <v>A</v>
          </cell>
          <cell r="H5650">
            <v>43060</v>
          </cell>
        </row>
        <row r="5651">
          <cell r="B5651" t="str">
            <v>Allahverdiyev Sadiq Saday</v>
          </cell>
          <cell r="C5651" t="str">
            <v>Xankəndi filialı</v>
          </cell>
          <cell r="D5651" t="str">
            <v>#</v>
          </cell>
          <cell r="E5651" t="str">
            <v>Xidmət bölməsi</v>
          </cell>
          <cell r="F5651" t="str">
            <v>Müştərilərlə iş üzrə baş mütəxəssis</v>
          </cell>
          <cell r="G5651" t="str">
            <v>A</v>
          </cell>
          <cell r="H5651">
            <v>43823</v>
          </cell>
        </row>
        <row r="5652">
          <cell r="B5652" t="str">
            <v>Quliyeva Lamiyə Azər</v>
          </cell>
          <cell r="C5652" t="str">
            <v>Xankəndi filialı</v>
          </cell>
          <cell r="D5652" t="str">
            <v>#</v>
          </cell>
          <cell r="E5652" t="str">
            <v>Xidmət bölməsi</v>
          </cell>
          <cell r="F5652" t="str">
            <v>Kassa üzrə mütəxəssis</v>
          </cell>
          <cell r="G5652" t="str">
            <v>HX</v>
          </cell>
          <cell r="H5652">
            <v>45475</v>
          </cell>
        </row>
        <row r="5653">
          <cell r="B5653" t="str">
            <v>Zeynalova Səbinə Oruc</v>
          </cell>
          <cell r="C5653" t="str">
            <v>Xankəndi filialı</v>
          </cell>
          <cell r="D5653" t="str">
            <v>#</v>
          </cell>
          <cell r="E5653" t="str">
            <v>Xidmət bölməsi</v>
          </cell>
          <cell r="F5653" t="str">
            <v>Kassa üzrə kiçik mütəxəssis (müvəqqəti)</v>
          </cell>
          <cell r="G5653" t="str">
            <v>A</v>
          </cell>
          <cell r="H5653">
            <v>46217</v>
          </cell>
        </row>
        <row r="5654">
          <cell r="B5654" t="str">
            <v>Bağırova Rasimə Möhübbət</v>
          </cell>
          <cell r="C5654" t="str">
            <v>Xankəndi filialı</v>
          </cell>
          <cell r="D5654" t="str">
            <v>#</v>
          </cell>
          <cell r="E5654" t="str">
            <v>İnzibati bölmə</v>
          </cell>
          <cell r="F5654" t="str">
            <v>Xadimə</v>
          </cell>
          <cell r="G5654" t="str">
            <v>A</v>
          </cell>
          <cell r="H5654">
            <v>45785</v>
          </cell>
        </row>
        <row r="5655">
          <cell r="B5655" t="str">
            <v>Qaracayev Hacı Bayram</v>
          </cell>
          <cell r="C5655" t="str">
            <v>İmişli  filialı</v>
          </cell>
          <cell r="D5655" t="str">
            <v>#</v>
          </cell>
          <cell r="E5655" t="str">
            <v>#</v>
          </cell>
          <cell r="F5655" t="str">
            <v>Müdir</v>
          </cell>
          <cell r="G5655" t="str">
            <v>A</v>
          </cell>
          <cell r="H5655">
            <v>41592</v>
          </cell>
        </row>
        <row r="5656">
          <cell r="B5656" t="str">
            <v>Əhlizadə Əhli Şahin</v>
          </cell>
          <cell r="C5656" t="str">
            <v>İmişli  filialı</v>
          </cell>
          <cell r="D5656" t="str">
            <v>#</v>
          </cell>
          <cell r="E5656" t="str">
            <v>Xidmət bölməsi</v>
          </cell>
          <cell r="F5656" t="str">
            <v>Kassa üzrə baş mütəxəssis</v>
          </cell>
          <cell r="G5656" t="str">
            <v>A</v>
          </cell>
          <cell r="H5656">
            <v>44026</v>
          </cell>
        </row>
        <row r="5657">
          <cell r="B5657" t="str">
            <v>Ağayev Bəhruz Sahib</v>
          </cell>
          <cell r="C5657" t="str">
            <v>İmişli  filialı</v>
          </cell>
          <cell r="D5657" t="str">
            <v>#</v>
          </cell>
          <cell r="E5657" t="str">
            <v>Xidmət bölməsi</v>
          </cell>
          <cell r="F5657" t="str">
            <v>Kassa üzrə baş mütəxəssis</v>
          </cell>
          <cell r="G5657" t="str">
            <v>A</v>
          </cell>
          <cell r="H5657">
            <v>44572</v>
          </cell>
        </row>
        <row r="5658">
          <cell r="B5658" t="str">
            <v>Seyidli Türkan Məsudi</v>
          </cell>
          <cell r="C5658" t="str">
            <v>İmişli  filialı</v>
          </cell>
          <cell r="D5658" t="str">
            <v>#</v>
          </cell>
          <cell r="E5658" t="str">
            <v>Xidmət bölməsi</v>
          </cell>
          <cell r="F5658" t="str">
            <v>Məlumat xidməti üzrə aparıcı mütəxəssis</v>
          </cell>
          <cell r="G5658" t="str">
            <v>A</v>
          </cell>
          <cell r="H5658">
            <v>43453</v>
          </cell>
        </row>
        <row r="5659">
          <cell r="B5659" t="str">
            <v>İbrəhimov Vüsal Qəzənfər</v>
          </cell>
          <cell r="C5659" t="str">
            <v>İmişli  filialı</v>
          </cell>
          <cell r="D5659" t="str">
            <v>#</v>
          </cell>
          <cell r="E5659" t="str">
            <v>Xidmət bölməsi</v>
          </cell>
          <cell r="F5659" t="str">
            <v>Müştərilərlə iş üzrə baş mütəxəssis</v>
          </cell>
          <cell r="G5659" t="str">
            <v>A</v>
          </cell>
          <cell r="H5659">
            <v>42891</v>
          </cell>
        </row>
        <row r="5660">
          <cell r="B5660" t="str">
            <v>İbişov Sülhi Səfər</v>
          </cell>
          <cell r="C5660" t="str">
            <v>İmişli  filialı</v>
          </cell>
          <cell r="D5660" t="str">
            <v>#</v>
          </cell>
          <cell r="E5660" t="str">
            <v>Xidmət bölməsi</v>
          </cell>
          <cell r="F5660" t="str">
            <v>Müştərilərlə iş üzrə baş mütəxəssis</v>
          </cell>
          <cell r="G5660" t="str">
            <v>A</v>
          </cell>
          <cell r="H5660">
            <v>43333</v>
          </cell>
        </row>
        <row r="5661">
          <cell r="B5661" t="str">
            <v>Yaqubzadə Pərvin Rasim</v>
          </cell>
          <cell r="C5661" t="str">
            <v>İmişli  filialı</v>
          </cell>
          <cell r="D5661" t="str">
            <v>#</v>
          </cell>
          <cell r="E5661" t="str">
            <v>Xidmət bölməsi</v>
          </cell>
          <cell r="F5661" t="str">
            <v>Müştərilərlə iş üzrə baş mütəxəssis</v>
          </cell>
          <cell r="G5661" t="str">
            <v>A</v>
          </cell>
          <cell r="H5661">
            <v>43452</v>
          </cell>
        </row>
        <row r="5662">
          <cell r="B5662" t="str">
            <v>Böyükağazadə Vüsal Vaqif</v>
          </cell>
          <cell r="C5662" t="str">
            <v>İmişli  filialı</v>
          </cell>
          <cell r="D5662" t="str">
            <v>#</v>
          </cell>
          <cell r="E5662" t="str">
            <v>Xidmət bölməsi</v>
          </cell>
          <cell r="F5662" t="str">
            <v>Müştərilərlə iş üzrə baş mütəxəssis</v>
          </cell>
          <cell r="G5662" t="str">
            <v>A</v>
          </cell>
          <cell r="H5662">
            <v>42552</v>
          </cell>
        </row>
        <row r="5663">
          <cell r="B5663" t="str">
            <v>Musazadə Munis İldırım</v>
          </cell>
          <cell r="C5663" t="str">
            <v>İmişli  filialı</v>
          </cell>
          <cell r="D5663" t="str">
            <v>#</v>
          </cell>
          <cell r="E5663" t="str">
            <v>Xidmət bölməsi</v>
          </cell>
          <cell r="F5663" t="str">
            <v>Müştərilərlə iş üzrə baş mütəxəssis</v>
          </cell>
          <cell r="G5663" t="str">
            <v>A</v>
          </cell>
          <cell r="H5663">
            <v>43874</v>
          </cell>
        </row>
        <row r="5664">
          <cell r="B5664" t="str">
            <v>İsmayılzadə Əfsanə Natiq</v>
          </cell>
          <cell r="C5664" t="str">
            <v>İmişli  filialı</v>
          </cell>
          <cell r="D5664" t="str">
            <v>#</v>
          </cell>
          <cell r="E5664" t="str">
            <v>Xidmət bölməsi</v>
          </cell>
          <cell r="F5664" t="str">
            <v>Müştərilərlə iş üzrə baş mütəxəssis</v>
          </cell>
          <cell r="G5664" t="str">
            <v>A</v>
          </cell>
          <cell r="H5664">
            <v>44005</v>
          </cell>
        </row>
        <row r="5665">
          <cell r="B5665" t="str">
            <v>Aslanov Bəhruz Adışirin</v>
          </cell>
          <cell r="C5665" t="str">
            <v>İmişli  filialı</v>
          </cell>
          <cell r="D5665" t="str">
            <v>#</v>
          </cell>
          <cell r="E5665" t="str">
            <v>Xidmət bölməsi</v>
          </cell>
          <cell r="F5665" t="str">
            <v>Müştərilərlə iş üzrə baş mütəxəssis</v>
          </cell>
          <cell r="G5665" t="str">
            <v>A</v>
          </cell>
          <cell r="H5665">
            <v>43224</v>
          </cell>
        </row>
        <row r="5666">
          <cell r="B5666" t="str">
            <v>Soltanov Cəlal Rəşid</v>
          </cell>
          <cell r="C5666" t="str">
            <v>İmişli  filialı</v>
          </cell>
          <cell r="D5666" t="str">
            <v>#</v>
          </cell>
          <cell r="E5666" t="str">
            <v>Xidmət bölməsi</v>
          </cell>
          <cell r="F5666" t="str">
            <v>Müştərilərlə iş üzrə aparıcı mütəxəssis</v>
          </cell>
          <cell r="G5666" t="str">
            <v>A</v>
          </cell>
          <cell r="H5666">
            <v>44572</v>
          </cell>
        </row>
        <row r="5667">
          <cell r="B5667" t="str">
            <v>Nicatoğlu Sənan Nicat</v>
          </cell>
          <cell r="C5667" t="str">
            <v>İmişli  filialı</v>
          </cell>
          <cell r="D5667" t="str">
            <v>#</v>
          </cell>
          <cell r="E5667" t="str">
            <v>Xidmət bölməsi</v>
          </cell>
          <cell r="F5667" t="str">
            <v>Müştərilərlə iş üzrə kiçik mütəxəssis</v>
          </cell>
          <cell r="G5667" t="str">
            <v>A</v>
          </cell>
          <cell r="H5667">
            <v>46255</v>
          </cell>
        </row>
        <row r="5668">
          <cell r="B5668" t="str">
            <v>Quliyev Ruslan Elşən</v>
          </cell>
          <cell r="C5668" t="str">
            <v>İmişli  filialı</v>
          </cell>
          <cell r="D5668" t="str">
            <v>#</v>
          </cell>
          <cell r="E5668" t="str">
            <v>Xidmət bölməsi</v>
          </cell>
          <cell r="F5668" t="str">
            <v>Müştərilərlə iş üzrə mütəxəssis</v>
          </cell>
          <cell r="G5668" t="str">
            <v>A</v>
          </cell>
          <cell r="H5668">
            <v>45323</v>
          </cell>
        </row>
        <row r="5669">
          <cell r="B5669" t="str">
            <v>Talıbova Gülzar Ramazan</v>
          </cell>
          <cell r="C5669" t="str">
            <v>İmişli  filialı</v>
          </cell>
          <cell r="D5669" t="str">
            <v>#</v>
          </cell>
          <cell r="E5669" t="str">
            <v>İnzibati bölmə</v>
          </cell>
          <cell r="F5669" t="str">
            <v>Xadimə</v>
          </cell>
          <cell r="G5669" t="str">
            <v>A</v>
          </cell>
          <cell r="H5669">
            <v>42599</v>
          </cell>
        </row>
        <row r="5670">
          <cell r="B5670" t="str">
            <v>Musayev Vüsal Ağabala</v>
          </cell>
          <cell r="C5670" t="str">
            <v>İmişli  filialı</v>
          </cell>
          <cell r="D5670" t="str">
            <v>#</v>
          </cell>
          <cell r="E5670" t="str">
            <v>Mikro kredit bölməsi</v>
          </cell>
          <cell r="F5670" t="str">
            <v>Bölmə rəhbəri</v>
          </cell>
          <cell r="G5670" t="str">
            <v>A</v>
          </cell>
          <cell r="H5670">
            <v>44412</v>
          </cell>
        </row>
        <row r="5671">
          <cell r="B5671" t="str">
            <v>Tarverdiyev Toğrul Museyib</v>
          </cell>
          <cell r="C5671" t="str">
            <v>İmişli  filialı</v>
          </cell>
          <cell r="D5671" t="str">
            <v>#</v>
          </cell>
          <cell r="E5671" t="str">
            <v>Mikro kredit bölməsi</v>
          </cell>
          <cell r="F5671" t="str">
            <v>Baş mütəxəssis</v>
          </cell>
          <cell r="G5671" t="str">
            <v>A</v>
          </cell>
          <cell r="H5671">
            <v>42900</v>
          </cell>
        </row>
        <row r="5672">
          <cell r="B5672" t="str">
            <v>Abaslı Mirxalıq Mübariz</v>
          </cell>
          <cell r="C5672" t="str">
            <v>İmişli  filialı</v>
          </cell>
          <cell r="D5672" t="str">
            <v>#</v>
          </cell>
          <cell r="E5672" t="str">
            <v>Mikro kredit bölməsi</v>
          </cell>
          <cell r="F5672" t="str">
            <v>Aparıcı mütəxəssis</v>
          </cell>
          <cell r="G5672" t="str">
            <v>A</v>
          </cell>
          <cell r="H5672">
            <v>44474</v>
          </cell>
        </row>
        <row r="5673">
          <cell r="B5673" t="str">
            <v>Qocazadə Abbas Müşfiq</v>
          </cell>
          <cell r="C5673" t="str">
            <v>İmişli  filialı</v>
          </cell>
          <cell r="D5673" t="str">
            <v>#</v>
          </cell>
          <cell r="E5673" t="str">
            <v>Mikro kredit bölməsi</v>
          </cell>
          <cell r="F5673" t="str">
            <v>Aparıcı mütəxəssis</v>
          </cell>
          <cell r="G5673" t="str">
            <v>A</v>
          </cell>
          <cell r="H5673">
            <v>45545</v>
          </cell>
        </row>
        <row r="5674">
          <cell r="B5674" t="str">
            <v>Orucov Həsən Rəmzi</v>
          </cell>
          <cell r="C5674" t="str">
            <v>İmişli  filialı</v>
          </cell>
          <cell r="D5674" t="str">
            <v>#</v>
          </cell>
          <cell r="E5674" t="str">
            <v>Mikro kredit bölməsi</v>
          </cell>
          <cell r="F5674" t="str">
            <v>Aparıcı mütəxəssis</v>
          </cell>
          <cell r="G5674" t="str">
            <v>A</v>
          </cell>
          <cell r="H5674">
            <v>44896</v>
          </cell>
        </row>
        <row r="5675">
          <cell r="B5675" t="str">
            <v>Cəfərov Elsevər Həzrət</v>
          </cell>
          <cell r="C5675" t="str">
            <v>İsmayıllı  filialı</v>
          </cell>
          <cell r="D5675" t="str">
            <v>#</v>
          </cell>
          <cell r="E5675" t="str">
            <v>#</v>
          </cell>
          <cell r="F5675" t="str">
            <v>Müdir</v>
          </cell>
          <cell r="G5675" t="str">
            <v>A</v>
          </cell>
          <cell r="H5675">
            <v>41927</v>
          </cell>
        </row>
        <row r="5676">
          <cell r="B5676" t="str">
            <v>Qəribov Rəşid Şəmsəddin</v>
          </cell>
          <cell r="C5676" t="str">
            <v>İsmayıllı  filialı</v>
          </cell>
          <cell r="D5676" t="str">
            <v>#</v>
          </cell>
          <cell r="E5676" t="str">
            <v>#</v>
          </cell>
          <cell r="F5676" t="str">
            <v>Menecer</v>
          </cell>
          <cell r="G5676" t="str">
            <v>A</v>
          </cell>
          <cell r="H5676">
            <v>36726</v>
          </cell>
        </row>
        <row r="5677">
          <cell r="B5677" t="str">
            <v>Beybudov Rahim Lazım</v>
          </cell>
          <cell r="C5677" t="str">
            <v>İsmayıllı  filialı</v>
          </cell>
          <cell r="D5677" t="str">
            <v>#</v>
          </cell>
          <cell r="E5677" t="str">
            <v>Xidmət bölməsi</v>
          </cell>
          <cell r="F5677" t="str">
            <v>Kassa üzrə baş mütəxəssis</v>
          </cell>
          <cell r="G5677" t="str">
            <v>A</v>
          </cell>
          <cell r="H5677">
            <v>36871</v>
          </cell>
        </row>
        <row r="5678">
          <cell r="B5678" t="str">
            <v>Mirzəyev Vidadi Pənah</v>
          </cell>
          <cell r="C5678" t="str">
            <v>İsmayıllı  filialı</v>
          </cell>
          <cell r="D5678" t="str">
            <v>#</v>
          </cell>
          <cell r="E5678" t="str">
            <v>Xidmət bölməsi</v>
          </cell>
          <cell r="F5678" t="str">
            <v>Kassir</v>
          </cell>
          <cell r="G5678" t="str">
            <v>A</v>
          </cell>
          <cell r="H5678">
            <v>38729</v>
          </cell>
        </row>
        <row r="5679">
          <cell r="B5679" t="str">
            <v>Xələfov Qadir Müsənnif</v>
          </cell>
          <cell r="C5679" t="str">
            <v>İsmayıllı  filialı</v>
          </cell>
          <cell r="D5679" t="str">
            <v>#</v>
          </cell>
          <cell r="E5679" t="str">
            <v>Xidmət bölməsi</v>
          </cell>
          <cell r="F5679" t="str">
            <v>Kassir</v>
          </cell>
          <cell r="G5679" t="str">
            <v>A</v>
          </cell>
          <cell r="H5679">
            <v>41404</v>
          </cell>
        </row>
        <row r="5680">
          <cell r="B5680" t="str">
            <v xml:space="preserve">	Həsənli Gülşən Baxtiyar</v>
          </cell>
          <cell r="C5680" t="str">
            <v>İsmayıllı  filialı</v>
          </cell>
          <cell r="D5680" t="str">
            <v>#</v>
          </cell>
          <cell r="E5680" t="str">
            <v>Xidmət bölməsi</v>
          </cell>
          <cell r="F5680" t="str">
            <v>Məlumat xidməti üzrə kiçik mütəxəssis</v>
          </cell>
          <cell r="G5680" t="str">
            <v>A</v>
          </cell>
          <cell r="H5680">
            <v>46126</v>
          </cell>
        </row>
        <row r="5681">
          <cell r="B5681" t="str">
            <v>Məmmədov Cümşüd Qasım</v>
          </cell>
          <cell r="C5681" t="str">
            <v>İsmayıllı  filialı</v>
          </cell>
          <cell r="D5681" t="str">
            <v>#</v>
          </cell>
          <cell r="E5681" t="str">
            <v>Xidmət bölməsi</v>
          </cell>
          <cell r="F5681" t="str">
            <v>Müştərilərlə iş üzrə baş mütəxəssis</v>
          </cell>
          <cell r="G5681" t="str">
            <v>A</v>
          </cell>
          <cell r="H5681">
            <v>38895</v>
          </cell>
        </row>
        <row r="5682">
          <cell r="B5682" t="str">
            <v>Məmmədəlizadə Nərmin Fuad</v>
          </cell>
          <cell r="C5682" t="str">
            <v>İsmayıllı  filialı</v>
          </cell>
          <cell r="D5682" t="str">
            <v>#</v>
          </cell>
          <cell r="E5682" t="str">
            <v>Xidmət bölməsi</v>
          </cell>
          <cell r="F5682" t="str">
            <v>Müştərilərlə iş üzrə baş mütəxəssis</v>
          </cell>
          <cell r="G5682" t="str">
            <v>A</v>
          </cell>
          <cell r="H5682">
            <v>42695</v>
          </cell>
        </row>
        <row r="5683">
          <cell r="B5683" t="str">
            <v>Abdullayeva Fidan Bəhər</v>
          </cell>
          <cell r="C5683" t="str">
            <v>İsmayıllı  filialı</v>
          </cell>
          <cell r="D5683" t="str">
            <v>#</v>
          </cell>
          <cell r="E5683" t="str">
            <v>Xidmət bölməsi</v>
          </cell>
          <cell r="F5683" t="str">
            <v>Müştərilərlə iş üzrə baş mütəxəssis</v>
          </cell>
          <cell r="G5683" t="str">
            <v>A</v>
          </cell>
          <cell r="H5683">
            <v>41367</v>
          </cell>
        </row>
        <row r="5684">
          <cell r="B5684" t="str">
            <v>Nadirzadə Varis Natiq</v>
          </cell>
          <cell r="C5684" t="str">
            <v>İsmayıllı  filialı</v>
          </cell>
          <cell r="D5684" t="str">
            <v>#</v>
          </cell>
          <cell r="E5684" t="str">
            <v>Xidmət bölməsi</v>
          </cell>
          <cell r="F5684" t="str">
            <v>Müştərilərlə iş üzrə baş mütəxəssis</v>
          </cell>
          <cell r="G5684" t="str">
            <v>A</v>
          </cell>
          <cell r="H5684">
            <v>43824</v>
          </cell>
        </row>
        <row r="5685">
          <cell r="B5685" t="str">
            <v>Novruzova Aidə Şahin</v>
          </cell>
          <cell r="C5685" t="str">
            <v>İsmayıllı  filialı</v>
          </cell>
          <cell r="D5685" t="str">
            <v>#</v>
          </cell>
          <cell r="E5685" t="str">
            <v>Xidmət bölməsi</v>
          </cell>
          <cell r="F5685" t="str">
            <v>Müştərilərlə iş üzrə aparıcı mütəxəssis</v>
          </cell>
          <cell r="G5685" t="str">
            <v>A</v>
          </cell>
          <cell r="H5685">
            <v>45265</v>
          </cell>
        </row>
        <row r="5686">
          <cell r="B5686" t="str">
            <v>Qasımov Şöhrət Elşad</v>
          </cell>
          <cell r="C5686" t="str">
            <v>İsmayıllı  filialı</v>
          </cell>
          <cell r="D5686" t="str">
            <v>#</v>
          </cell>
          <cell r="E5686" t="str">
            <v>Xidmət bölməsi</v>
          </cell>
          <cell r="F5686" t="str">
            <v>Əməliyyatçı-kassir</v>
          </cell>
          <cell r="G5686" t="str">
            <v>A</v>
          </cell>
          <cell r="H5686">
            <v>44963</v>
          </cell>
        </row>
        <row r="5687">
          <cell r="B5687" t="str">
            <v>Faxtiyeva Şəfa Xanlar</v>
          </cell>
          <cell r="C5687" t="str">
            <v>İsmayıllı  filialı</v>
          </cell>
          <cell r="D5687" t="str">
            <v>#</v>
          </cell>
          <cell r="E5687" t="str">
            <v>İnzibati bölmə</v>
          </cell>
          <cell r="F5687" t="str">
            <v>Xadimə</v>
          </cell>
          <cell r="G5687" t="str">
            <v>A</v>
          </cell>
          <cell r="H5687">
            <v>41968</v>
          </cell>
        </row>
        <row r="5688">
          <cell r="B5688" t="str">
            <v>Əliyev Bəxtiyar Qaçay</v>
          </cell>
          <cell r="C5688" t="str">
            <v>Kəpəz filialı</v>
          </cell>
          <cell r="D5688" t="str">
            <v>#</v>
          </cell>
          <cell r="E5688" t="str">
            <v>#</v>
          </cell>
          <cell r="F5688" t="str">
            <v>Müdir</v>
          </cell>
          <cell r="G5688" t="str">
            <v>A</v>
          </cell>
          <cell r="H5688">
            <v>42326</v>
          </cell>
        </row>
        <row r="5689">
          <cell r="B5689" t="str">
            <v>Rüstəmov Mehman Yusif</v>
          </cell>
          <cell r="C5689" t="str">
            <v>Kəpəz filialı</v>
          </cell>
          <cell r="D5689" t="str">
            <v>#</v>
          </cell>
          <cell r="E5689" t="str">
            <v>#</v>
          </cell>
          <cell r="F5689" t="str">
            <v>Menecer</v>
          </cell>
          <cell r="G5689" t="str">
            <v>A</v>
          </cell>
          <cell r="H5689">
            <v>38880</v>
          </cell>
        </row>
        <row r="5690">
          <cell r="B5690" t="str">
            <v>Quliyev Ramin Tapdıq</v>
          </cell>
          <cell r="C5690" t="str">
            <v>Kəpəz filialı</v>
          </cell>
          <cell r="D5690" t="str">
            <v>#</v>
          </cell>
          <cell r="E5690" t="str">
            <v>Xidmət bölməsi</v>
          </cell>
          <cell r="F5690" t="str">
            <v>Kassir</v>
          </cell>
          <cell r="G5690" t="str">
            <v>A</v>
          </cell>
          <cell r="H5690">
            <v>41246</v>
          </cell>
        </row>
        <row r="5691">
          <cell r="B5691" t="str">
            <v>Abdullayev Samir Sabir</v>
          </cell>
          <cell r="C5691" t="str">
            <v>Kəpəz filialı</v>
          </cell>
          <cell r="D5691" t="str">
            <v>#</v>
          </cell>
          <cell r="E5691" t="str">
            <v>Xidmət bölməsi</v>
          </cell>
          <cell r="F5691" t="str">
            <v>Kassir</v>
          </cell>
          <cell r="G5691" t="str">
            <v>A</v>
          </cell>
          <cell r="H5691">
            <v>41262</v>
          </cell>
        </row>
        <row r="5692">
          <cell r="B5692" t="str">
            <v>Abbasov Səməd Çingiz</v>
          </cell>
          <cell r="C5692" t="str">
            <v>Kəpəz filialı</v>
          </cell>
          <cell r="D5692" t="str">
            <v>#</v>
          </cell>
          <cell r="E5692" t="str">
            <v>Xidmət bölməsi</v>
          </cell>
          <cell r="F5692" t="str">
            <v>Kassa üzrə baş mütəxəssis</v>
          </cell>
          <cell r="G5692" t="str">
            <v>A</v>
          </cell>
          <cell r="H5692">
            <v>43090</v>
          </cell>
        </row>
        <row r="5693">
          <cell r="B5693" t="str">
            <v>Şəmşiyeva Leyla Mahir</v>
          </cell>
          <cell r="C5693" t="str">
            <v>Kəpəz filialı</v>
          </cell>
          <cell r="D5693" t="str">
            <v>#</v>
          </cell>
          <cell r="E5693" t="str">
            <v>Xidmət bölməsi</v>
          </cell>
          <cell r="F5693" t="str">
            <v>Kassa üzrə baş mütəxəssis</v>
          </cell>
          <cell r="G5693" t="str">
            <v>A</v>
          </cell>
          <cell r="H5693">
            <v>43318</v>
          </cell>
        </row>
        <row r="5694">
          <cell r="B5694" t="str">
            <v>Mustafayev Emil Rövşən</v>
          </cell>
          <cell r="C5694" t="str">
            <v>Kəpəz filialı</v>
          </cell>
          <cell r="D5694" t="str">
            <v>#</v>
          </cell>
          <cell r="E5694" t="str">
            <v>Xidmət bölməsi</v>
          </cell>
          <cell r="F5694" t="str">
            <v>Məlumat xidməti üzrə mütəxəssis</v>
          </cell>
          <cell r="G5694" t="str">
            <v>A</v>
          </cell>
          <cell r="H5694">
            <v>45863</v>
          </cell>
        </row>
        <row r="5695">
          <cell r="B5695" t="str">
            <v>Sultanova Aygün Vaqif</v>
          </cell>
          <cell r="C5695" t="str">
            <v>Kəpəz filialı</v>
          </cell>
          <cell r="D5695" t="str">
            <v>#</v>
          </cell>
          <cell r="E5695" t="str">
            <v>Xidmət bölməsi</v>
          </cell>
          <cell r="F5695" t="str">
            <v>Müştərilərlə iş üzrə baş mütəxəssis</v>
          </cell>
          <cell r="G5695" t="str">
            <v>A</v>
          </cell>
          <cell r="H5695">
            <v>40597</v>
          </cell>
        </row>
        <row r="5696">
          <cell r="B5696" t="str">
            <v>Namazov Amil Rahib</v>
          </cell>
          <cell r="C5696" t="str">
            <v>Kəpəz filialı</v>
          </cell>
          <cell r="D5696" t="str">
            <v>#</v>
          </cell>
          <cell r="E5696" t="str">
            <v>Xidmət bölməsi</v>
          </cell>
          <cell r="F5696" t="str">
            <v>Müştərilərlə iş üzrə baş mütəxəssis</v>
          </cell>
          <cell r="G5696" t="str">
            <v>A</v>
          </cell>
          <cell r="H5696">
            <v>42831</v>
          </cell>
        </row>
        <row r="5697">
          <cell r="B5697" t="str">
            <v>Muxtarova Türkan Arzu</v>
          </cell>
          <cell r="C5697" t="str">
            <v>Kəpəz filialı</v>
          </cell>
          <cell r="D5697" t="str">
            <v>#</v>
          </cell>
          <cell r="E5697" t="str">
            <v>Xidmət bölməsi</v>
          </cell>
          <cell r="F5697" t="str">
            <v>Müştərilərlə iş üzrə baş mütəxəssis</v>
          </cell>
          <cell r="G5697" t="str">
            <v>A</v>
          </cell>
          <cell r="H5697">
            <v>42720</v>
          </cell>
        </row>
        <row r="5698">
          <cell r="B5698" t="str">
            <v>Ələkbərova Aişə Albert</v>
          </cell>
          <cell r="C5698" t="str">
            <v>Kəpəz filialı</v>
          </cell>
          <cell r="D5698" t="str">
            <v>#</v>
          </cell>
          <cell r="E5698" t="str">
            <v>Xidmət bölməsi</v>
          </cell>
          <cell r="F5698" t="str">
            <v>Müştərilərlə iş üzrə baş mütəxəssis</v>
          </cell>
          <cell r="G5698" t="str">
            <v>A</v>
          </cell>
          <cell r="H5698">
            <v>42380</v>
          </cell>
        </row>
        <row r="5699">
          <cell r="B5699" t="str">
            <v>Qəmbərov Ramin Vahid</v>
          </cell>
          <cell r="C5699" t="str">
            <v>Kəpəz filialı</v>
          </cell>
          <cell r="D5699" t="str">
            <v>#</v>
          </cell>
          <cell r="E5699" t="str">
            <v>Xidmət bölməsi</v>
          </cell>
          <cell r="F5699" t="str">
            <v>Bölmə rəhbəri</v>
          </cell>
          <cell r="G5699" t="str">
            <v>A</v>
          </cell>
          <cell r="H5699">
            <v>43054</v>
          </cell>
        </row>
        <row r="5700">
          <cell r="B5700" t="str">
            <v>Əliyev Səbuhi Zirəddin</v>
          </cell>
          <cell r="C5700" t="str">
            <v>Kəpəz filialı</v>
          </cell>
          <cell r="D5700" t="str">
            <v>#</v>
          </cell>
          <cell r="E5700" t="str">
            <v>Xidmət bölməsi</v>
          </cell>
          <cell r="F5700" t="str">
            <v>Müştərilərlə iş üzrə baş mütəxəssis</v>
          </cell>
          <cell r="G5700" t="str">
            <v>A</v>
          </cell>
          <cell r="H5700">
            <v>42019</v>
          </cell>
        </row>
        <row r="5701">
          <cell r="B5701" t="str">
            <v>Rzayev Xəzər İlham</v>
          </cell>
          <cell r="C5701" t="str">
            <v>Kəpəz filialı</v>
          </cell>
          <cell r="D5701" t="str">
            <v>#</v>
          </cell>
          <cell r="E5701" t="str">
            <v>Xidmət bölməsi</v>
          </cell>
          <cell r="F5701" t="str">
            <v>Müştərilərlə iş üzrə baş mütəxəssis</v>
          </cell>
          <cell r="G5701" t="str">
            <v>A</v>
          </cell>
          <cell r="H5701">
            <v>44159</v>
          </cell>
        </row>
        <row r="5702">
          <cell r="B5702" t="str">
            <v>Abdinova Nərmin Məhərrəm</v>
          </cell>
          <cell r="C5702" t="str">
            <v>Kəpəz filialı</v>
          </cell>
          <cell r="D5702" t="str">
            <v>#</v>
          </cell>
          <cell r="E5702" t="str">
            <v>Xidmət bölməsi</v>
          </cell>
          <cell r="F5702" t="str">
            <v>Müştərilərlə iş üzrə aparıcı mütəxəssis</v>
          </cell>
          <cell r="G5702" t="str">
            <v>A</v>
          </cell>
          <cell r="H5702">
            <v>42374</v>
          </cell>
        </row>
        <row r="5703">
          <cell r="B5703" t="str">
            <v>Abbaszadə Fəridə Pənah</v>
          </cell>
          <cell r="C5703" t="str">
            <v>Kəpəz filialı</v>
          </cell>
          <cell r="D5703" t="str">
            <v>#</v>
          </cell>
          <cell r="E5703" t="str">
            <v>Xidmət bölməsi</v>
          </cell>
          <cell r="F5703" t="str">
            <v>Müştərilərlə iş üzrə aparıcı mütəxəssis</v>
          </cell>
          <cell r="G5703" t="str">
            <v>HX</v>
          </cell>
          <cell r="H5703">
            <v>44783</v>
          </cell>
        </row>
        <row r="5704">
          <cell r="B5704" t="str">
            <v>İsgəndərova Güllər İsgəndər</v>
          </cell>
          <cell r="C5704" t="str">
            <v>Kəpəz filialı</v>
          </cell>
          <cell r="D5704" t="str">
            <v>#</v>
          </cell>
          <cell r="E5704" t="str">
            <v>Xidmət bölməsi</v>
          </cell>
          <cell r="F5704" t="str">
            <v>Müştərilərlə iş üzrə mütəxəssis (müvəqqəti)</v>
          </cell>
          <cell r="G5704" t="str">
            <v>A</v>
          </cell>
          <cell r="H5704">
            <v>45947</v>
          </cell>
        </row>
        <row r="5705">
          <cell r="B5705" t="str">
            <v>Yusibov Elvin Fəxrəddin</v>
          </cell>
          <cell r="C5705" t="str">
            <v>Kəpəz filialı</v>
          </cell>
          <cell r="D5705" t="str">
            <v>#</v>
          </cell>
          <cell r="E5705" t="str">
            <v>Xidmət bölməsi</v>
          </cell>
          <cell r="F5705" t="str">
            <v>Müştərilərlə iş üzrə mütəxəssis</v>
          </cell>
          <cell r="G5705" t="str">
            <v>A</v>
          </cell>
          <cell r="H5705">
            <v>44852</v>
          </cell>
        </row>
        <row r="5706">
          <cell r="B5706" t="str">
            <v>Mehdiyev Rəşid Ruslan</v>
          </cell>
          <cell r="C5706" t="str">
            <v>Kəpəz filialı</v>
          </cell>
          <cell r="D5706" t="str">
            <v>#</v>
          </cell>
          <cell r="E5706" t="str">
            <v>Xidmət bölməsi</v>
          </cell>
          <cell r="F5706" t="str">
            <v>Müştərilərlə iş üzrə aparıcı mütəxəssis</v>
          </cell>
          <cell r="G5706" t="str">
            <v>A</v>
          </cell>
          <cell r="H5706">
            <v>45019</v>
          </cell>
        </row>
        <row r="5707">
          <cell r="B5707" t="str">
            <v>Məcdunova Gülnar Mehman</v>
          </cell>
          <cell r="C5707" t="str">
            <v>Kəpəz filialı</v>
          </cell>
          <cell r="D5707" t="str">
            <v>#</v>
          </cell>
          <cell r="E5707" t="str">
            <v>İnzibati bölmə</v>
          </cell>
          <cell r="F5707" t="str">
            <v>Xadimə</v>
          </cell>
          <cell r="G5707" t="str">
            <v>A</v>
          </cell>
          <cell r="H5707">
            <v>42627</v>
          </cell>
        </row>
        <row r="5708">
          <cell r="B5708" t="str">
            <v>Qarayeva İlhamə Nahyəddin</v>
          </cell>
          <cell r="C5708" t="str">
            <v>Kəpəz filialı</v>
          </cell>
          <cell r="D5708" t="str">
            <v>#</v>
          </cell>
          <cell r="E5708" t="str">
            <v>İnzibati bölmə</v>
          </cell>
          <cell r="F5708" t="str">
            <v>Xadimə</v>
          </cell>
          <cell r="G5708" t="str">
            <v>A</v>
          </cell>
          <cell r="H5708">
            <v>42713</v>
          </cell>
        </row>
        <row r="5709">
          <cell r="B5709" t="str">
            <v>Hüseynov Anar Rabil</v>
          </cell>
          <cell r="C5709" t="str">
            <v>Kürdəmir filialı</v>
          </cell>
          <cell r="D5709" t="str">
            <v>#</v>
          </cell>
          <cell r="E5709" t="str">
            <v>#</v>
          </cell>
          <cell r="F5709" t="str">
            <v>Müdir</v>
          </cell>
          <cell r="G5709" t="str">
            <v>A</v>
          </cell>
          <cell r="H5709">
            <v>42471</v>
          </cell>
        </row>
        <row r="5710">
          <cell r="B5710" t="str">
            <v>Sadıqova-Salahova Röya Natiq</v>
          </cell>
          <cell r="C5710" t="str">
            <v>Kürdəmir filialı</v>
          </cell>
          <cell r="D5710" t="str">
            <v>#</v>
          </cell>
          <cell r="E5710" t="str">
            <v>Xidmət bölməsi</v>
          </cell>
          <cell r="F5710" t="str">
            <v>Baş əməliyyatçı-kassir</v>
          </cell>
          <cell r="G5710" t="str">
            <v>A</v>
          </cell>
          <cell r="H5710">
            <v>42725</v>
          </cell>
        </row>
        <row r="5711">
          <cell r="B5711" t="str">
            <v>Süleymanov Elvin İlham</v>
          </cell>
          <cell r="C5711" t="str">
            <v>Kürdəmir filialı</v>
          </cell>
          <cell r="D5711" t="str">
            <v>#</v>
          </cell>
          <cell r="E5711" t="str">
            <v>Xidmət bölməsi</v>
          </cell>
          <cell r="F5711" t="str">
            <v>Müştərilərlə iş üzrə baş mütəxəssis</v>
          </cell>
          <cell r="G5711" t="str">
            <v>A</v>
          </cell>
          <cell r="H5711">
            <v>42492</v>
          </cell>
        </row>
        <row r="5712">
          <cell r="B5712" t="str">
            <v>Baxşiyev Qismət Şərafət</v>
          </cell>
          <cell r="C5712" t="str">
            <v>Kürdəmir filialı</v>
          </cell>
          <cell r="D5712" t="str">
            <v>#</v>
          </cell>
          <cell r="E5712" t="str">
            <v>Xidmət bölməsi</v>
          </cell>
          <cell r="F5712" t="str">
            <v>Müştərilərlə iş üzrə baş mütəxəssis</v>
          </cell>
          <cell r="G5712" t="str">
            <v>A</v>
          </cell>
          <cell r="H5712">
            <v>42258</v>
          </cell>
        </row>
        <row r="5713">
          <cell r="B5713" t="str">
            <v>Bəkirli Elman Telman</v>
          </cell>
          <cell r="C5713" t="str">
            <v>Kürdəmir filialı</v>
          </cell>
          <cell r="D5713" t="str">
            <v>#</v>
          </cell>
          <cell r="E5713" t="str">
            <v>Xidmət bölməsi</v>
          </cell>
          <cell r="F5713" t="str">
            <v>Müştərilərlə iş üzrə baş mütəxəssis</v>
          </cell>
          <cell r="G5713" t="str">
            <v>A</v>
          </cell>
          <cell r="H5713">
            <v>43329</v>
          </cell>
        </row>
        <row r="5714">
          <cell r="B5714" t="str">
            <v>Rüstəmov Sahil Əbülfəz</v>
          </cell>
          <cell r="C5714" t="str">
            <v>Kürdəmir filialı</v>
          </cell>
          <cell r="D5714" t="str">
            <v>#</v>
          </cell>
          <cell r="E5714" t="str">
            <v>Xidmət bölməsi</v>
          </cell>
          <cell r="F5714" t="str">
            <v xml:space="preserve">Məlumat xidməti üzrə kiçik mütəxəssis </v>
          </cell>
          <cell r="G5714" t="str">
            <v>A</v>
          </cell>
          <cell r="H5714">
            <v>46073</v>
          </cell>
        </row>
        <row r="5715">
          <cell r="B5715" t="str">
            <v>Seyfiyev Rauf İlham</v>
          </cell>
          <cell r="C5715" t="str">
            <v>Kürdəmir filialı</v>
          </cell>
          <cell r="D5715" t="str">
            <v>#</v>
          </cell>
          <cell r="E5715" t="str">
            <v>Xidmət bölməsi</v>
          </cell>
          <cell r="F5715" t="str">
            <v>Müştərilərlə iş üzrə baş mütəxəssis</v>
          </cell>
          <cell r="G5715" t="str">
            <v>A</v>
          </cell>
          <cell r="H5715">
            <v>43893</v>
          </cell>
        </row>
        <row r="5716">
          <cell r="B5716" t="str">
            <v>Umudov Nədamət Vüqar</v>
          </cell>
          <cell r="C5716" t="str">
            <v>Kürdəmir filialı</v>
          </cell>
          <cell r="D5716" t="str">
            <v>#</v>
          </cell>
          <cell r="E5716" t="str">
            <v>Xidmət bölməsi</v>
          </cell>
          <cell r="F5716" t="str">
            <v>Müştərilərlə iş üzrə baş mütəxəssis</v>
          </cell>
          <cell r="G5716" t="str">
            <v>A</v>
          </cell>
          <cell r="H5716">
            <v>42417</v>
          </cell>
        </row>
        <row r="5717">
          <cell r="B5717" t="str">
            <v>Mehdizadə Eldost Elşad</v>
          </cell>
          <cell r="C5717" t="str">
            <v>Kürdəmir filialı</v>
          </cell>
          <cell r="D5717" t="str">
            <v>#</v>
          </cell>
          <cell r="E5717" t="str">
            <v>Xidmət bölməsi</v>
          </cell>
          <cell r="F5717" t="str">
            <v>Müştərilərlə iş üzrə baş mütəxəssis</v>
          </cell>
          <cell r="G5717" t="str">
            <v>A</v>
          </cell>
          <cell r="H5717">
            <v>39595</v>
          </cell>
        </row>
        <row r="5718">
          <cell r="B5718" t="str">
            <v>Surxayev Cəsarət Rüstəm</v>
          </cell>
          <cell r="C5718" t="str">
            <v>#</v>
          </cell>
          <cell r="D5718" t="str">
            <v>Kürdəmir şöbəsi</v>
          </cell>
          <cell r="E5718" t="str">
            <v>Xidmət bölməsi</v>
          </cell>
          <cell r="F5718" t="str">
            <v>Kiçik əməliyyatçı-kassir</v>
          </cell>
          <cell r="G5718" t="str">
            <v>A</v>
          </cell>
          <cell r="H5718">
            <v>46092</v>
          </cell>
        </row>
        <row r="5719">
          <cell r="B5719" t="str">
            <v>Mehdiyeva Bikə Oqtay</v>
          </cell>
          <cell r="C5719" t="str">
            <v>Kürdəmir filialı</v>
          </cell>
          <cell r="D5719" t="str">
            <v>#</v>
          </cell>
          <cell r="E5719" t="str">
            <v>İnzibati bölmə</v>
          </cell>
          <cell r="F5719" t="str">
            <v>Xadimə</v>
          </cell>
          <cell r="G5719" t="str">
            <v>A</v>
          </cell>
          <cell r="H5719">
            <v>41688</v>
          </cell>
        </row>
        <row r="5720">
          <cell r="B5720" t="str">
            <v>Kalayev Tofiq Əli</v>
          </cell>
          <cell r="C5720" t="str">
            <v>Qax  filialı</v>
          </cell>
          <cell r="D5720" t="str">
            <v>#</v>
          </cell>
          <cell r="E5720" t="str">
            <v>#</v>
          </cell>
          <cell r="F5720" t="str">
            <v>Müdir</v>
          </cell>
          <cell r="G5720" t="str">
            <v>A</v>
          </cell>
          <cell r="H5720">
            <v>41061</v>
          </cell>
        </row>
        <row r="5721">
          <cell r="B5721" t="str">
            <v>Ramazanlı Emin Hikmət</v>
          </cell>
          <cell r="C5721" t="str">
            <v>Qax  filialı</v>
          </cell>
          <cell r="D5721" t="str">
            <v>#</v>
          </cell>
          <cell r="E5721" t="str">
            <v>Xidmət bölməsi</v>
          </cell>
          <cell r="F5721" t="str">
            <v>Kassa üzrə baş mütəxəssis</v>
          </cell>
          <cell r="G5721" t="str">
            <v>A</v>
          </cell>
          <cell r="H5721">
            <v>43035</v>
          </cell>
        </row>
        <row r="5722">
          <cell r="B5722" t="str">
            <v>Abdurahmanov Ülvi Nəriman</v>
          </cell>
          <cell r="C5722" t="str">
            <v>Qax  filialı</v>
          </cell>
          <cell r="D5722" t="str">
            <v>#</v>
          </cell>
          <cell r="E5722" t="str">
            <v>Xidmət bölməsi</v>
          </cell>
          <cell r="F5722" t="str">
            <v>Məlumat xidməti üzrə aparıcı mütəxəssis</v>
          </cell>
          <cell r="G5722" t="str">
            <v>A</v>
          </cell>
          <cell r="H5722">
            <v>44554</v>
          </cell>
        </row>
        <row r="5723">
          <cell r="B5723" t="str">
            <v>Abdullayeva Elnarə Elşad</v>
          </cell>
          <cell r="C5723" t="str">
            <v>Qax  filialı</v>
          </cell>
          <cell r="D5723" t="str">
            <v>#</v>
          </cell>
          <cell r="E5723" t="str">
            <v>Xidmət bölməsi</v>
          </cell>
          <cell r="F5723" t="str">
            <v>Müştərilərlə iş üzrə baş mütəxəssis</v>
          </cell>
          <cell r="G5723" t="str">
            <v>A</v>
          </cell>
          <cell r="H5723">
            <v>41634</v>
          </cell>
        </row>
        <row r="5724">
          <cell r="B5724" t="str">
            <v>Abbasova Ayna Mübariz</v>
          </cell>
          <cell r="C5724" t="str">
            <v>Qax  filialı</v>
          </cell>
          <cell r="D5724" t="str">
            <v>#</v>
          </cell>
          <cell r="E5724" t="str">
            <v>Xidmət bölməsi</v>
          </cell>
          <cell r="F5724" t="str">
            <v>Müştərilərlə iş üzrə baş mütəxəssis</v>
          </cell>
          <cell r="G5724" t="str">
            <v>A</v>
          </cell>
          <cell r="H5724">
            <v>42649</v>
          </cell>
        </row>
        <row r="5725">
          <cell r="B5725" t="str">
            <v>Məmmədli Murad Azər</v>
          </cell>
          <cell r="C5725" t="str">
            <v>Qax  filialı</v>
          </cell>
          <cell r="D5725" t="str">
            <v>#</v>
          </cell>
          <cell r="E5725" t="str">
            <v>Xidmət bölməsi</v>
          </cell>
          <cell r="F5725" t="str">
            <v>Müştərilərlə iş üzrə baş mütəxəssis</v>
          </cell>
          <cell r="G5725" t="str">
            <v>A</v>
          </cell>
          <cell r="H5725">
            <v>43570</v>
          </cell>
        </row>
        <row r="5726">
          <cell r="B5726" t="str">
            <v>Kərimova Nərmin Elxan</v>
          </cell>
          <cell r="C5726" t="str">
            <v>Qax  filialı</v>
          </cell>
          <cell r="D5726" t="str">
            <v>#</v>
          </cell>
          <cell r="E5726" t="str">
            <v>Xidmət bölməsi</v>
          </cell>
          <cell r="F5726" t="str">
            <v>Müştərilərlə iş üzrə baş mütəxəssis</v>
          </cell>
          <cell r="G5726" t="str">
            <v>A</v>
          </cell>
          <cell r="H5726">
            <v>43199</v>
          </cell>
        </row>
        <row r="5727">
          <cell r="B5727" t="str">
            <v>Ramazanova Esmira Abdusalam</v>
          </cell>
          <cell r="C5727" t="str">
            <v>Qax  filialı</v>
          </cell>
          <cell r="D5727" t="str">
            <v>#</v>
          </cell>
          <cell r="E5727" t="str">
            <v>İnzibati bölmə</v>
          </cell>
          <cell r="F5727" t="str">
            <v>Xadimə</v>
          </cell>
          <cell r="G5727" t="str">
            <v>A</v>
          </cell>
          <cell r="H5727">
            <v>45525</v>
          </cell>
        </row>
        <row r="5728">
          <cell r="B5728" t="str">
            <v>Şərifov Emil Elxan</v>
          </cell>
          <cell r="C5728" t="str">
            <v>Qazax  filialı</v>
          </cell>
          <cell r="D5728" t="str">
            <v>#</v>
          </cell>
          <cell r="E5728" t="str">
            <v>#</v>
          </cell>
          <cell r="F5728" t="str">
            <v>Müdir</v>
          </cell>
          <cell r="G5728" t="str">
            <v>A</v>
          </cell>
          <cell r="H5728">
            <v>43227</v>
          </cell>
        </row>
        <row r="5729">
          <cell r="B5729" t="str">
            <v>Məmmədov Süleyman Məmməd</v>
          </cell>
          <cell r="C5729" t="str">
            <v>Qazax  filialı</v>
          </cell>
          <cell r="D5729" t="str">
            <v>#</v>
          </cell>
          <cell r="E5729" t="str">
            <v>Xidmət bölməsi</v>
          </cell>
          <cell r="F5729" t="str">
            <v>Kassa üzrə baş mütəxəssis</v>
          </cell>
          <cell r="G5729" t="str">
            <v>A</v>
          </cell>
          <cell r="H5729">
            <v>42633</v>
          </cell>
        </row>
        <row r="5730">
          <cell r="B5730" t="str">
            <v>İsmayılzadə Sarif Yadulla</v>
          </cell>
          <cell r="C5730" t="str">
            <v>Qazax  filialı</v>
          </cell>
          <cell r="D5730" t="str">
            <v>#</v>
          </cell>
          <cell r="E5730" t="str">
            <v>Xidmət bölməsi</v>
          </cell>
          <cell r="F5730" t="str">
            <v>Kassa üzrə aparıcı mütəxəssis</v>
          </cell>
          <cell r="G5730" t="str">
            <v>A</v>
          </cell>
          <cell r="H5730">
            <v>45265</v>
          </cell>
        </row>
        <row r="5731">
          <cell r="B5731" t="str">
            <v>Hüseynova Türkan Rauf</v>
          </cell>
          <cell r="C5731" t="str">
            <v>Qazax  filialı</v>
          </cell>
          <cell r="D5731" t="str">
            <v>#</v>
          </cell>
          <cell r="E5731" t="str">
            <v>Xidmət bölməsi</v>
          </cell>
          <cell r="F5731" t="str">
            <v>Məlumat xidməti üzrə aparıcı mütəxəssis</v>
          </cell>
          <cell r="G5731" t="str">
            <v>A</v>
          </cell>
          <cell r="H5731">
            <v>42752</v>
          </cell>
        </row>
        <row r="5732">
          <cell r="B5732" t="str">
            <v>Yolçuyev Elçin Valeriy</v>
          </cell>
          <cell r="C5732" t="str">
            <v>Qazax  filialı</v>
          </cell>
          <cell r="D5732" t="str">
            <v>#</v>
          </cell>
          <cell r="E5732" t="str">
            <v>Xidmət bölməsi</v>
          </cell>
          <cell r="F5732" t="str">
            <v>Müştərilərlə iş üzrə baş mütəxəssis</v>
          </cell>
          <cell r="G5732" t="str">
            <v>A</v>
          </cell>
          <cell r="H5732">
            <v>43252</v>
          </cell>
        </row>
        <row r="5733">
          <cell r="B5733" t="str">
            <v>Binnətov Rəhman Fərhad</v>
          </cell>
          <cell r="C5733" t="str">
            <v>Qazax  filialı</v>
          </cell>
          <cell r="D5733" t="str">
            <v>#</v>
          </cell>
          <cell r="E5733" t="str">
            <v>Xidmət bölməsi</v>
          </cell>
          <cell r="F5733" t="str">
            <v>Müştərilərlə iş üzrə baş mütəxəssis</v>
          </cell>
          <cell r="G5733" t="str">
            <v>A</v>
          </cell>
          <cell r="H5733">
            <v>42752</v>
          </cell>
        </row>
        <row r="5734">
          <cell r="B5734" t="str">
            <v>Alməmmədov Şükür Əsgər</v>
          </cell>
          <cell r="C5734" t="str">
            <v>Qazax  filialı</v>
          </cell>
          <cell r="D5734" t="str">
            <v>#</v>
          </cell>
          <cell r="E5734" t="str">
            <v>Xidmət bölməsi</v>
          </cell>
          <cell r="F5734" t="str">
            <v>Müştərilərlə iş üzrə baş mütəxəssis</v>
          </cell>
          <cell r="G5734" t="str">
            <v>A</v>
          </cell>
          <cell r="H5734">
            <v>42723</v>
          </cell>
        </row>
        <row r="5735">
          <cell r="B5735" t="str">
            <v>İsmayılov İsmayıl İbrahim</v>
          </cell>
          <cell r="C5735" t="str">
            <v>Qazax  filialı</v>
          </cell>
          <cell r="D5735" t="str">
            <v>#</v>
          </cell>
          <cell r="E5735" t="str">
            <v>Xidmət bölməsi</v>
          </cell>
          <cell r="F5735" t="str">
            <v>Müştərilərlə iş üzrə baş mütəxəssis</v>
          </cell>
          <cell r="G5735" t="str">
            <v>A</v>
          </cell>
          <cell r="H5735">
            <v>41863</v>
          </cell>
        </row>
        <row r="5736">
          <cell r="B5736" t="str">
            <v>Axundov Aktiv Elçin</v>
          </cell>
          <cell r="C5736" t="str">
            <v>Qazax  filialı</v>
          </cell>
          <cell r="D5736" t="str">
            <v>#</v>
          </cell>
          <cell r="E5736" t="str">
            <v>Xidmət bölməsi</v>
          </cell>
          <cell r="F5736" t="str">
            <v>Müştərilərlə iş üzrə aparıcı mütəxəssis</v>
          </cell>
          <cell r="G5736" t="str">
            <v>A</v>
          </cell>
          <cell r="H5736">
            <v>44638</v>
          </cell>
        </row>
        <row r="5737">
          <cell r="B5737" t="str">
            <v>Eyyubova Ceyran Aşıq</v>
          </cell>
          <cell r="C5737" t="str">
            <v>Qazax  filialı</v>
          </cell>
          <cell r="D5737" t="str">
            <v>#</v>
          </cell>
          <cell r="E5737" t="str">
            <v>Xidmət bölməsi</v>
          </cell>
          <cell r="F5737" t="str">
            <v xml:space="preserve">Müştərilərlə iş üzrə mütəxəssis </v>
          </cell>
          <cell r="G5737" t="str">
            <v>SM</v>
          </cell>
          <cell r="H5737">
            <v>44566</v>
          </cell>
        </row>
        <row r="5738">
          <cell r="B5738" t="str">
            <v>Qocayeva Fidan Azad</v>
          </cell>
          <cell r="C5738" t="str">
            <v>Qazax  filialı</v>
          </cell>
          <cell r="D5738" t="str">
            <v>#</v>
          </cell>
          <cell r="E5738" t="str">
            <v>Xidmət bölməsi</v>
          </cell>
          <cell r="F5738" t="str">
            <v>Müştərilərlə iş üzrə mütəxəssis (müvəqqəti)</v>
          </cell>
          <cell r="G5738" t="str">
            <v>A</v>
          </cell>
          <cell r="H5738">
            <v>45946</v>
          </cell>
        </row>
        <row r="5739">
          <cell r="B5739" t="str">
            <v>Məmmədova Məhəbbət Xaliq</v>
          </cell>
          <cell r="C5739" t="str">
            <v>Qazax  filialı</v>
          </cell>
          <cell r="D5739" t="str">
            <v>#</v>
          </cell>
          <cell r="E5739" t="str">
            <v>İnzibati bölmə</v>
          </cell>
          <cell r="F5739" t="str">
            <v>Xadimə</v>
          </cell>
          <cell r="G5739" t="str">
            <v>A</v>
          </cell>
          <cell r="H5739">
            <v>43837</v>
          </cell>
        </row>
        <row r="5740">
          <cell r="B5740" t="str">
            <v>Muradlı Vasif Adil</v>
          </cell>
          <cell r="C5740" t="str">
            <v>Qəbələ  filialı</v>
          </cell>
          <cell r="D5740" t="str">
            <v>#</v>
          </cell>
          <cell r="E5740" t="str">
            <v>#</v>
          </cell>
          <cell r="F5740" t="str">
            <v>Müdir</v>
          </cell>
          <cell r="G5740" t="str">
            <v>A</v>
          </cell>
          <cell r="H5740">
            <v>40486</v>
          </cell>
        </row>
        <row r="5741">
          <cell r="B5741" t="str">
            <v>Mustafazadə Elvin Vidadi</v>
          </cell>
          <cell r="C5741" t="str">
            <v>Qəbələ  filialı</v>
          </cell>
          <cell r="D5741" t="str">
            <v>#</v>
          </cell>
          <cell r="E5741" t="str">
            <v>Xidmət bölməsi</v>
          </cell>
          <cell r="F5741" t="str">
            <v>Kassa üzrə baş mütəxəssis</v>
          </cell>
          <cell r="G5741" t="str">
            <v>A</v>
          </cell>
          <cell r="H5741">
            <v>44426</v>
          </cell>
        </row>
        <row r="5742">
          <cell r="B5742" t="str">
            <v>Səfərli Talıb Təvəkkül</v>
          </cell>
          <cell r="C5742" t="str">
            <v>Qəbələ  filialı</v>
          </cell>
          <cell r="D5742" t="str">
            <v>#</v>
          </cell>
          <cell r="E5742" t="str">
            <v>Xidmət bölməsi</v>
          </cell>
          <cell r="F5742" t="str">
            <v>Kassa üzrə aparıcı mütəxəssis</v>
          </cell>
          <cell r="G5742" t="str">
            <v>A</v>
          </cell>
          <cell r="H5742">
            <v>44810</v>
          </cell>
        </row>
        <row r="5743">
          <cell r="B5743" t="str">
            <v>Babayev Vüsal Telman</v>
          </cell>
          <cell r="C5743" t="str">
            <v>Qəbələ  filialı</v>
          </cell>
          <cell r="D5743" t="str">
            <v>#</v>
          </cell>
          <cell r="E5743" t="str">
            <v>Xidmət bölməsi</v>
          </cell>
          <cell r="F5743" t="str">
            <v>Məlumat xidməti üzrə mütəxəssis</v>
          </cell>
          <cell r="G5743" t="str">
            <v>A</v>
          </cell>
          <cell r="H5743">
            <v>45845</v>
          </cell>
        </row>
        <row r="5744">
          <cell r="B5744" t="str">
            <v>Səfərov Vüsal Rayis</v>
          </cell>
          <cell r="C5744" t="str">
            <v>Qəbələ  filialı</v>
          </cell>
          <cell r="D5744" t="str">
            <v>#</v>
          </cell>
          <cell r="E5744" t="str">
            <v>Xidmət bölməsi</v>
          </cell>
          <cell r="F5744" t="str">
            <v>Müştərilərlə iş üzrə baş mütəxəssis</v>
          </cell>
          <cell r="G5744" t="str">
            <v>A</v>
          </cell>
          <cell r="H5744">
            <v>40597</v>
          </cell>
        </row>
        <row r="5745">
          <cell r="B5745" t="str">
            <v>Umudəliyeva Gülşən Azad</v>
          </cell>
          <cell r="C5745" t="str">
            <v>Qəbələ  filialı</v>
          </cell>
          <cell r="D5745" t="str">
            <v>#</v>
          </cell>
          <cell r="E5745" t="str">
            <v>Xidmət bölməsi</v>
          </cell>
          <cell r="F5745" t="str">
            <v>Müştərilərlə iş üzrə baş mütəxəssis</v>
          </cell>
          <cell r="G5745" t="str">
            <v>A</v>
          </cell>
          <cell r="H5745">
            <v>41893</v>
          </cell>
        </row>
        <row r="5746">
          <cell r="B5746" t="str">
            <v>Kərimov Murad Dursunəli</v>
          </cell>
          <cell r="C5746" t="str">
            <v>Qəbələ  filialı</v>
          </cell>
          <cell r="D5746" t="str">
            <v>#</v>
          </cell>
          <cell r="E5746" t="str">
            <v>Xidmət bölməsi</v>
          </cell>
          <cell r="F5746" t="str">
            <v>Müştərilərlə iş üzrə baş mütəxəssis</v>
          </cell>
          <cell r="G5746" t="str">
            <v>A</v>
          </cell>
          <cell r="H5746">
            <v>40597</v>
          </cell>
        </row>
        <row r="5747">
          <cell r="B5747" t="str">
            <v>Novruzova Gülşən Ramiq</v>
          </cell>
          <cell r="C5747" t="str">
            <v>Qəbələ  filialı</v>
          </cell>
          <cell r="D5747" t="str">
            <v>#</v>
          </cell>
          <cell r="E5747" t="str">
            <v>Xidmət bölməsi</v>
          </cell>
          <cell r="F5747" t="str">
            <v>Müştərilərlə iş üzrə aparıcı mütəxəssis</v>
          </cell>
          <cell r="G5747" t="str">
            <v>A</v>
          </cell>
          <cell r="H5747">
            <v>45019</v>
          </cell>
        </row>
        <row r="5748">
          <cell r="B5748" t="str">
            <v>Aydınov Rizvan Kamran</v>
          </cell>
          <cell r="C5748" t="str">
            <v>Qəbələ  filialı</v>
          </cell>
          <cell r="D5748" t="str">
            <v>#</v>
          </cell>
          <cell r="E5748" t="str">
            <v>Xidmət bölməsi</v>
          </cell>
          <cell r="F5748" t="str">
            <v>Kiçik əməliyyatçı-kassir</v>
          </cell>
          <cell r="G5748" t="str">
            <v>A</v>
          </cell>
          <cell r="H5748">
            <v>46072</v>
          </cell>
        </row>
        <row r="5749">
          <cell r="B5749" t="str">
            <v>Abdullayev Səbuhi Qəşəm</v>
          </cell>
          <cell r="C5749" t="str">
            <v>Qəbələ  filialı</v>
          </cell>
          <cell r="D5749" t="str">
            <v>#</v>
          </cell>
          <cell r="E5749" t="str">
            <v>Xidmət bölməsi</v>
          </cell>
          <cell r="F5749" t="str">
            <v>Müştərilərlə iş üzrə mütəxəssis</v>
          </cell>
          <cell r="G5749" t="str">
            <v>A</v>
          </cell>
          <cell r="H5749">
            <v>45693</v>
          </cell>
        </row>
        <row r="5750">
          <cell r="B5750" t="str">
            <v>Qəribova Şairə Süleyman</v>
          </cell>
          <cell r="C5750" t="str">
            <v>Qəbələ  filialı</v>
          </cell>
          <cell r="D5750" t="str">
            <v>#</v>
          </cell>
          <cell r="E5750" t="str">
            <v>İnzibati bölmə</v>
          </cell>
          <cell r="F5750" t="str">
            <v>Xadimə</v>
          </cell>
          <cell r="G5750" t="str">
            <v>A</v>
          </cell>
          <cell r="H5750">
            <v>42632</v>
          </cell>
        </row>
        <row r="5751">
          <cell r="B5751" t="str">
            <v>İsmayılov Laçın Mustafa</v>
          </cell>
          <cell r="C5751" t="str">
            <v>Qəbələ  filialı</v>
          </cell>
          <cell r="D5751" t="str">
            <v>#</v>
          </cell>
          <cell r="E5751" t="str">
            <v>Mikro kredit bölməsi</v>
          </cell>
          <cell r="F5751" t="str">
            <v>Bölmə rəhbəri</v>
          </cell>
          <cell r="G5751" t="str">
            <v>A</v>
          </cell>
          <cell r="H5751">
            <v>44845</v>
          </cell>
        </row>
        <row r="5752">
          <cell r="B5752" t="str">
            <v>Mirzəmmədov Etibar Bəxtiyar</v>
          </cell>
          <cell r="C5752" t="str">
            <v>Qəbələ  filialı</v>
          </cell>
          <cell r="D5752" t="str">
            <v>#</v>
          </cell>
          <cell r="E5752" t="str">
            <v>Mikro kredit bölməsi</v>
          </cell>
          <cell r="F5752" t="str">
            <v>Baş mütəxəssis</v>
          </cell>
          <cell r="G5752" t="str">
            <v>A</v>
          </cell>
          <cell r="H5752">
            <v>42744</v>
          </cell>
        </row>
        <row r="5753">
          <cell r="B5753" t="str">
            <v>Mahmudzadə Fəryad Fəxrəddin</v>
          </cell>
          <cell r="C5753" t="str">
            <v>Qəbələ  filialı</v>
          </cell>
          <cell r="D5753" t="str">
            <v>#</v>
          </cell>
          <cell r="E5753" t="str">
            <v>Mikro kredit bölməsi</v>
          </cell>
          <cell r="F5753" t="str">
            <v>Mütəxəssis</v>
          </cell>
          <cell r="G5753" t="str">
            <v>A</v>
          </cell>
          <cell r="H5753">
            <v>45509</v>
          </cell>
        </row>
        <row r="5754">
          <cell r="B5754" t="str">
            <v>Rzayev Fərid Ülvi</v>
          </cell>
          <cell r="C5754" t="str">
            <v>Qəbələ  filialı</v>
          </cell>
          <cell r="D5754" t="str">
            <v>#</v>
          </cell>
          <cell r="E5754" t="str">
            <v>Mikro kredit bölməsi</v>
          </cell>
          <cell r="F5754" t="str">
            <v>Mütəxəssis</v>
          </cell>
          <cell r="G5754" t="str">
            <v>A</v>
          </cell>
          <cell r="H5754">
            <v>45523</v>
          </cell>
        </row>
        <row r="5755">
          <cell r="B5755" t="str">
            <v>Ramazanov Fuad Xalid</v>
          </cell>
          <cell r="C5755" t="str">
            <v>Qəbələ  filialı</v>
          </cell>
          <cell r="D5755" t="str">
            <v>#</v>
          </cell>
          <cell r="E5755" t="str">
            <v>Mikro kredit bölməsi</v>
          </cell>
          <cell r="F5755" t="str">
            <v>Kiçik mütəxəssis</v>
          </cell>
          <cell r="G5755" t="str">
            <v>A</v>
          </cell>
          <cell r="H5755">
            <v>46197</v>
          </cell>
        </row>
        <row r="5756">
          <cell r="B5756" t="str">
            <v>Qocayeva Şahnaz Bəylər</v>
          </cell>
          <cell r="C5756" t="str">
            <v>Qərb filialı</v>
          </cell>
          <cell r="D5756" t="str">
            <v>#</v>
          </cell>
          <cell r="E5756" t="str">
            <v>#</v>
          </cell>
          <cell r="F5756" t="str">
            <v>Müdir</v>
          </cell>
          <cell r="G5756" t="str">
            <v>A</v>
          </cell>
          <cell r="H5756">
            <v>42020</v>
          </cell>
        </row>
        <row r="5757">
          <cell r="B5757" t="str">
            <v>Nağıyeva Leyla Adil</v>
          </cell>
          <cell r="C5757" t="str">
            <v>Qərb filialı</v>
          </cell>
          <cell r="D5757" t="str">
            <v>#</v>
          </cell>
          <cell r="E5757" t="str">
            <v>Xidmət bölməsi</v>
          </cell>
          <cell r="F5757" t="str">
            <v>Baş əməliyyatçı-kassir</v>
          </cell>
          <cell r="G5757" t="str">
            <v>A</v>
          </cell>
          <cell r="H5757">
            <v>37410</v>
          </cell>
        </row>
        <row r="5758">
          <cell r="B5758" t="str">
            <v>Vəliyev Əli Vaqif</v>
          </cell>
          <cell r="C5758" t="str">
            <v>Qərb filialı</v>
          </cell>
          <cell r="D5758" t="str">
            <v>#</v>
          </cell>
          <cell r="E5758" t="str">
            <v>Xidmət bölməsi</v>
          </cell>
          <cell r="F5758" t="str">
            <v>Baş əməliyyatçı-kassir</v>
          </cell>
          <cell r="G5758" t="str">
            <v>A</v>
          </cell>
          <cell r="H5758">
            <v>43864</v>
          </cell>
        </row>
        <row r="5759">
          <cell r="B5759" t="str">
            <v>Əlizadə Nigar Mehman</v>
          </cell>
          <cell r="C5759" t="str">
            <v>Qərb filialı</v>
          </cell>
          <cell r="D5759" t="str">
            <v>#</v>
          </cell>
          <cell r="E5759" t="str">
            <v>Xidmət bölməsi</v>
          </cell>
          <cell r="F5759" t="str">
            <v xml:space="preserve">Aparıcı əməliyyatçı-kassir </v>
          </cell>
          <cell r="G5759" t="str">
            <v>A</v>
          </cell>
          <cell r="H5759">
            <v>44622</v>
          </cell>
        </row>
        <row r="5760">
          <cell r="B5760" t="str">
            <v>Hüseynova Solmaz Elmidar</v>
          </cell>
          <cell r="C5760" t="str">
            <v>Qərb filialı</v>
          </cell>
          <cell r="D5760" t="str">
            <v>#</v>
          </cell>
          <cell r="E5760" t="str">
            <v>Xidmət bölməsi</v>
          </cell>
          <cell r="F5760" t="str">
            <v xml:space="preserve">Aparıcı əməliyyatçı-kassir </v>
          </cell>
          <cell r="G5760" t="str">
            <v>A</v>
          </cell>
          <cell r="H5760">
            <v>44625</v>
          </cell>
        </row>
        <row r="5761">
          <cell r="B5761" t="str">
            <v>Kazımov Babək Şahlar</v>
          </cell>
          <cell r="C5761" t="str">
            <v>Qərb filialı</v>
          </cell>
          <cell r="D5761" t="str">
            <v>#</v>
          </cell>
          <cell r="E5761" t="str">
            <v>Xidmət bölməsi</v>
          </cell>
          <cell r="F5761" t="str">
            <v xml:space="preserve">Aparıcı əməliyyatçı-kassir </v>
          </cell>
          <cell r="G5761" t="str">
            <v>A</v>
          </cell>
          <cell r="H5761">
            <v>43871</v>
          </cell>
        </row>
        <row r="5762">
          <cell r="B5762" t="str">
            <v>Şükürova Gülbəniz İlqar</v>
          </cell>
          <cell r="C5762" t="str">
            <v>Qərb filialı</v>
          </cell>
          <cell r="D5762" t="str">
            <v>#</v>
          </cell>
          <cell r="E5762" t="str">
            <v>Xidmət bölməsi</v>
          </cell>
          <cell r="F5762" t="str">
            <v xml:space="preserve">Aparıcı əməliyyatçı-kassir </v>
          </cell>
          <cell r="G5762" t="str">
            <v>A</v>
          </cell>
          <cell r="H5762">
            <v>44624</v>
          </cell>
        </row>
        <row r="5763">
          <cell r="B5763" t="str">
            <v>Ələkbərov Elmir Əzizağa</v>
          </cell>
          <cell r="C5763" t="str">
            <v>Qərb filialı</v>
          </cell>
          <cell r="D5763" t="str">
            <v>#</v>
          </cell>
          <cell r="E5763" t="str">
            <v>Xidmət bölməsi</v>
          </cell>
          <cell r="F5763" t="str">
            <v>Müştərilərlə iş üzrə baş mütəxəssis</v>
          </cell>
          <cell r="G5763" t="str">
            <v>A</v>
          </cell>
          <cell r="H5763">
            <v>43406</v>
          </cell>
        </row>
        <row r="5764">
          <cell r="B5764" t="str">
            <v>Qurbanov Arzuman Ələkbər</v>
          </cell>
          <cell r="C5764" t="str">
            <v>Qobustan  filialı</v>
          </cell>
          <cell r="D5764" t="str">
            <v>#</v>
          </cell>
          <cell r="E5764" t="str">
            <v>#</v>
          </cell>
          <cell r="F5764" t="str">
            <v>Müdir</v>
          </cell>
          <cell r="G5764" t="str">
            <v>A</v>
          </cell>
          <cell r="H5764">
            <v>42012</v>
          </cell>
        </row>
        <row r="5765">
          <cell r="B5765" t="str">
            <v>Azadə Qoşqar Fərasət</v>
          </cell>
          <cell r="C5765" t="str">
            <v>Qobustan  filialı</v>
          </cell>
          <cell r="D5765" t="str">
            <v>#</v>
          </cell>
          <cell r="E5765" t="str">
            <v>Xidmət bölməsi</v>
          </cell>
          <cell r="F5765" t="str">
            <v>Kassa üzrə mütəxəssis</v>
          </cell>
          <cell r="G5765" t="str">
            <v>A</v>
          </cell>
          <cell r="H5765">
            <v>45516</v>
          </cell>
        </row>
        <row r="5766">
          <cell r="B5766" t="str">
            <v>Vahidov Murad Eynulla</v>
          </cell>
          <cell r="C5766" t="str">
            <v>Qobustan  filialı</v>
          </cell>
          <cell r="D5766" t="str">
            <v>#</v>
          </cell>
          <cell r="E5766" t="str">
            <v>Xidmət bölməsi</v>
          </cell>
          <cell r="F5766" t="str">
            <v>Müştərilərlə iş üzrə baş mütəxəssis</v>
          </cell>
          <cell r="G5766" t="str">
            <v>A</v>
          </cell>
          <cell r="H5766">
            <v>42471</v>
          </cell>
        </row>
        <row r="5767">
          <cell r="B5767" t="str">
            <v>Bayramov Bayram Rahim</v>
          </cell>
          <cell r="C5767" t="str">
            <v>Qobustan  filialı</v>
          </cell>
          <cell r="D5767" t="str">
            <v>#</v>
          </cell>
          <cell r="E5767" t="str">
            <v>Xidmət bölməsi</v>
          </cell>
          <cell r="F5767" t="str">
            <v>Məlumat xidməti üzrə mütəxəssis</v>
          </cell>
          <cell r="G5767" t="str">
            <v>A</v>
          </cell>
          <cell r="H5767">
            <v>45643</v>
          </cell>
        </row>
        <row r="5768">
          <cell r="B5768" t="str">
            <v>Aliyev Kənan Azad</v>
          </cell>
          <cell r="C5768" t="str">
            <v>Qobustan  filialı</v>
          </cell>
          <cell r="D5768" t="str">
            <v>#</v>
          </cell>
          <cell r="E5768" t="str">
            <v>Xidmət bölməsi</v>
          </cell>
          <cell r="F5768" t="str">
            <v>Müştərilərlə iş üzrə aparıcı mütəxəssis</v>
          </cell>
          <cell r="G5768" t="str">
            <v>A</v>
          </cell>
          <cell r="H5768">
            <v>45021</v>
          </cell>
        </row>
        <row r="5769">
          <cell r="B5769" t="str">
            <v>Qurbanova Firuzə Hacıbaba</v>
          </cell>
          <cell r="C5769" t="str">
            <v>Qobustan  filialı</v>
          </cell>
          <cell r="D5769" t="str">
            <v>#</v>
          </cell>
          <cell r="E5769" t="str">
            <v>İnzibati bölmə</v>
          </cell>
          <cell r="F5769" t="str">
            <v>Xadimə</v>
          </cell>
          <cell r="G5769" t="str">
            <v>A</v>
          </cell>
          <cell r="H5769">
            <v>44466</v>
          </cell>
        </row>
        <row r="5770">
          <cell r="B5770" t="str">
            <v>Rzayev İlkin Mübariz</v>
          </cell>
          <cell r="C5770" t="str">
            <v>Quba  filialı</v>
          </cell>
          <cell r="D5770" t="str">
            <v>#</v>
          </cell>
          <cell r="E5770" t="str">
            <v>#</v>
          </cell>
          <cell r="F5770" t="str">
            <v>Müdir</v>
          </cell>
          <cell r="G5770" t="str">
            <v>A</v>
          </cell>
          <cell r="H5770">
            <v>41960</v>
          </cell>
        </row>
        <row r="5771">
          <cell r="B5771" t="str">
            <v>Müslümov Əfqan Nəriman</v>
          </cell>
          <cell r="C5771" t="str">
            <v>Quba  filialı</v>
          </cell>
          <cell r="D5771" t="str">
            <v>#</v>
          </cell>
          <cell r="E5771" t="str">
            <v>Xidmət bölməsi</v>
          </cell>
          <cell r="F5771" t="str">
            <v>Kassa üzrə mütəxəssis</v>
          </cell>
          <cell r="G5771" t="str">
            <v>A</v>
          </cell>
          <cell r="H5771">
            <v>45679</v>
          </cell>
        </row>
        <row r="5772">
          <cell r="B5772" t="str">
            <v>Aşurova Səbinə Zeynul</v>
          </cell>
          <cell r="C5772" t="str">
            <v>Quba  filialı</v>
          </cell>
          <cell r="D5772" t="str">
            <v>#</v>
          </cell>
          <cell r="E5772" t="str">
            <v>Xidmət bölməsi</v>
          </cell>
          <cell r="F5772" t="str">
            <v>Məlumat xidməti üzrə mütəxəssis</v>
          </cell>
          <cell r="G5772" t="str">
            <v>A</v>
          </cell>
          <cell r="H5772">
            <v>45385</v>
          </cell>
        </row>
        <row r="5773">
          <cell r="B5773" t="str">
            <v>İsrafilova Ulduz Fərhad</v>
          </cell>
          <cell r="C5773" t="str">
            <v>Quba  filialı</v>
          </cell>
          <cell r="D5773" t="str">
            <v>#</v>
          </cell>
          <cell r="E5773" t="str">
            <v>Xidmət bölməsi</v>
          </cell>
          <cell r="F5773" t="str">
            <v>Müştərilərlə iş üzrə baş mütəxəssis</v>
          </cell>
          <cell r="G5773" t="str">
            <v>A</v>
          </cell>
          <cell r="H5773">
            <v>42515</v>
          </cell>
        </row>
        <row r="5774">
          <cell r="B5774" t="str">
            <v>Əhmədxanov Ceyhun Cəmil</v>
          </cell>
          <cell r="C5774" t="str">
            <v>Quba  filialı</v>
          </cell>
          <cell r="D5774" t="str">
            <v>#</v>
          </cell>
          <cell r="E5774" t="str">
            <v>Xidmət bölməsi</v>
          </cell>
          <cell r="F5774" t="str">
            <v>Müştərilərlə iş üzrə baş mütəxəssis</v>
          </cell>
          <cell r="G5774" t="str">
            <v>A</v>
          </cell>
          <cell r="H5774">
            <v>43490</v>
          </cell>
        </row>
        <row r="5775">
          <cell r="B5775" t="str">
            <v>Əskərov Əskər İmran</v>
          </cell>
          <cell r="C5775" t="str">
            <v>Quba  filialı</v>
          </cell>
          <cell r="D5775" t="str">
            <v>#</v>
          </cell>
          <cell r="E5775" t="str">
            <v>Xidmət bölməsi</v>
          </cell>
          <cell r="F5775" t="str">
            <v>Müştərilərlə iş üzrə baş mütəxəssis</v>
          </cell>
          <cell r="G5775" t="str">
            <v>A</v>
          </cell>
          <cell r="H5775">
            <v>42011</v>
          </cell>
        </row>
        <row r="5776">
          <cell r="B5776" t="str">
            <v>Məmmədov Məmməd Əli</v>
          </cell>
          <cell r="C5776" t="str">
            <v>Quba  filialı</v>
          </cell>
          <cell r="D5776" t="str">
            <v>#</v>
          </cell>
          <cell r="E5776" t="str">
            <v>Xidmət bölməsi</v>
          </cell>
          <cell r="F5776" t="str">
            <v>Müştərilərlə iş üzrə baş mütəxəssis</v>
          </cell>
          <cell r="G5776" t="str">
            <v>A</v>
          </cell>
          <cell r="H5776">
            <v>43318</v>
          </cell>
        </row>
        <row r="5777">
          <cell r="B5777" t="str">
            <v>Fətəliyeva Oksana İlham</v>
          </cell>
          <cell r="C5777" t="str">
            <v>Quba  filialı</v>
          </cell>
          <cell r="D5777" t="str">
            <v>#</v>
          </cell>
          <cell r="E5777" t="str">
            <v>Xidmət bölməsi</v>
          </cell>
          <cell r="F5777" t="str">
            <v>Müştərilərlə iş üzrə baş mütəxəssis</v>
          </cell>
          <cell r="G5777" t="str">
            <v>A</v>
          </cell>
          <cell r="H5777">
            <v>42515</v>
          </cell>
        </row>
        <row r="5778">
          <cell r="B5778" t="str">
            <v>Abdullayeva Həcər Nail</v>
          </cell>
          <cell r="C5778" t="str">
            <v>Quba  filialı</v>
          </cell>
          <cell r="D5778" t="str">
            <v>#</v>
          </cell>
          <cell r="E5778" t="str">
            <v>Xidmət bölməsi</v>
          </cell>
          <cell r="F5778" t="str">
            <v>Müştərilərlə iş üzrə aparıcı mütəxəssis</v>
          </cell>
          <cell r="G5778" t="str">
            <v>A</v>
          </cell>
          <cell r="H5778">
            <v>44568</v>
          </cell>
        </row>
        <row r="5779">
          <cell r="B5779" t="str">
            <v>Məmmədsalahova Lamiyə Aslan</v>
          </cell>
          <cell r="C5779" t="str">
            <v>Quba  filialı</v>
          </cell>
          <cell r="D5779" t="str">
            <v>#</v>
          </cell>
          <cell r="E5779" t="str">
            <v>Xidmət bölməsi</v>
          </cell>
          <cell r="F5779" t="str">
            <v>Müştərilərlə iş üzrə mütəxəssis</v>
          </cell>
          <cell r="G5779" t="str">
            <v>A</v>
          </cell>
          <cell r="H5779">
            <v>45915</v>
          </cell>
        </row>
        <row r="5780">
          <cell r="B5780" t="str">
            <v>Ədilov Nicat Əmrah</v>
          </cell>
          <cell r="C5780" t="str">
            <v>Quba  filialı</v>
          </cell>
          <cell r="D5780" t="str">
            <v>#</v>
          </cell>
          <cell r="E5780" t="str">
            <v>Xidmət bölməsi</v>
          </cell>
          <cell r="F5780" t="str">
            <v>Əməliyyatçı-kassir</v>
          </cell>
          <cell r="G5780" t="str">
            <v>A</v>
          </cell>
          <cell r="H5780">
            <v>44942</v>
          </cell>
        </row>
        <row r="5781">
          <cell r="B5781" t="str">
            <v>Şirinova Samirə Suyəddin</v>
          </cell>
          <cell r="C5781" t="str">
            <v>Quba  filialı</v>
          </cell>
          <cell r="D5781" t="str">
            <v>#</v>
          </cell>
          <cell r="E5781" t="str">
            <v>İnzibati bölmə</v>
          </cell>
          <cell r="F5781" t="str">
            <v>Xadimə</v>
          </cell>
          <cell r="G5781" t="str">
            <v>A</v>
          </cell>
          <cell r="H5781">
            <v>44532</v>
          </cell>
        </row>
        <row r="5782">
          <cell r="B5782" t="str">
            <v>Ələskərova Mahnıyar Minhac</v>
          </cell>
          <cell r="C5782" t="str">
            <v>Quba  filialı</v>
          </cell>
          <cell r="D5782" t="str">
            <v>#</v>
          </cell>
          <cell r="E5782" t="str">
            <v>İnzibati bölmə</v>
          </cell>
          <cell r="F5782" t="str">
            <v>Xadimə</v>
          </cell>
          <cell r="G5782" t="str">
            <v>A</v>
          </cell>
          <cell r="H5782">
            <v>45663</v>
          </cell>
        </row>
        <row r="5783">
          <cell r="B5783" t="str">
            <v>Baxışov Tural Mikayıl</v>
          </cell>
          <cell r="C5783" t="str">
            <v>Quba  filialı</v>
          </cell>
          <cell r="D5783" t="str">
            <v>#</v>
          </cell>
          <cell r="E5783" t="str">
            <v>Mikro kredit bölməsi</v>
          </cell>
          <cell r="F5783" t="str">
            <v>Bölmə rəhbəri</v>
          </cell>
          <cell r="G5783" t="str">
            <v>A</v>
          </cell>
          <cell r="H5783">
            <v>44474</v>
          </cell>
        </row>
        <row r="5784">
          <cell r="B5784" t="str">
            <v>Əhmədov Cavad Sabir</v>
          </cell>
          <cell r="C5784" t="str">
            <v>Quba  filialı</v>
          </cell>
          <cell r="D5784" t="str">
            <v>#</v>
          </cell>
          <cell r="E5784" t="str">
            <v>Mikro kredit bölməsi</v>
          </cell>
          <cell r="F5784" t="str">
            <v>Baş mütəxəssis</v>
          </cell>
          <cell r="G5784" t="str">
            <v>A</v>
          </cell>
          <cell r="H5784">
            <v>44532</v>
          </cell>
        </row>
        <row r="5785">
          <cell r="B5785" t="str">
            <v>Bondorenko Niyaməddin Aydın</v>
          </cell>
          <cell r="C5785" t="str">
            <v>Quba  filialı</v>
          </cell>
          <cell r="D5785" t="str">
            <v>#</v>
          </cell>
          <cell r="E5785" t="str">
            <v>Mikro kredit bölməsi</v>
          </cell>
          <cell r="F5785" t="str">
            <v>Aparıcı mütəxəssis</v>
          </cell>
          <cell r="G5785" t="str">
            <v>A</v>
          </cell>
          <cell r="H5785">
            <v>44676</v>
          </cell>
        </row>
        <row r="5786">
          <cell r="B5786" t="str">
            <v>Məcidov Azər Rahim</v>
          </cell>
          <cell r="C5786" t="str">
            <v>Quba  filialı</v>
          </cell>
          <cell r="D5786" t="str">
            <v>#</v>
          </cell>
          <cell r="E5786" t="str">
            <v>Mikro kredit bölməsi</v>
          </cell>
          <cell r="F5786" t="str">
            <v>Aparıcı mütəxəssis</v>
          </cell>
          <cell r="G5786" t="str">
            <v>A</v>
          </cell>
          <cell r="H5786">
            <v>44736</v>
          </cell>
        </row>
        <row r="5787">
          <cell r="B5787" t="str">
            <v>Əzizov Nəriman İmran</v>
          </cell>
          <cell r="C5787" t="str">
            <v>Quba  filialı</v>
          </cell>
          <cell r="D5787" t="str">
            <v>#</v>
          </cell>
          <cell r="E5787" t="str">
            <v>Mikro kredit bölməsi</v>
          </cell>
          <cell r="F5787" t="str">
            <v>Mütəxəssis</v>
          </cell>
          <cell r="G5787" t="str">
            <v>A</v>
          </cell>
          <cell r="H5787">
            <v>45720</v>
          </cell>
        </row>
        <row r="5788">
          <cell r="B5788" t="str">
            <v>Əlifxanov Samir Eldar</v>
          </cell>
          <cell r="C5788" t="str">
            <v>Qusar  filialı</v>
          </cell>
          <cell r="D5788" t="str">
            <v>#</v>
          </cell>
          <cell r="E5788" t="str">
            <v>#</v>
          </cell>
          <cell r="F5788" t="str">
            <v>Müdir</v>
          </cell>
          <cell r="G5788" t="str">
            <v>A</v>
          </cell>
          <cell r="H5788">
            <v>38860</v>
          </cell>
        </row>
        <row r="5789">
          <cell r="B5789" t="str">
            <v>Şirinova Sənubər İsabala</v>
          </cell>
          <cell r="C5789" t="str">
            <v>Qusar  filialı</v>
          </cell>
          <cell r="D5789" t="str">
            <v>#</v>
          </cell>
          <cell r="E5789" t="str">
            <v>Xidmət bölməsi</v>
          </cell>
          <cell r="F5789" t="str">
            <v>Kassa üzrə baş mütəxəssis</v>
          </cell>
          <cell r="G5789" t="str">
            <v>A</v>
          </cell>
          <cell r="H5789">
            <v>41395</v>
          </cell>
        </row>
        <row r="5790">
          <cell r="B5790" t="str">
            <v>Hafizov Altay Hikmət</v>
          </cell>
          <cell r="C5790" t="str">
            <v>Qusar  filialı</v>
          </cell>
          <cell r="D5790" t="str">
            <v>#</v>
          </cell>
          <cell r="E5790" t="str">
            <v>Xidmət bölməsi</v>
          </cell>
          <cell r="F5790" t="str">
            <v xml:space="preserve">Aparıcı əməliyyatçı-kassir </v>
          </cell>
          <cell r="G5790" t="str">
            <v>A</v>
          </cell>
          <cell r="H5790">
            <v>45166</v>
          </cell>
        </row>
        <row r="5791">
          <cell r="B5791" t="str">
            <v>Zahirova Ayişə Əbülfət</v>
          </cell>
          <cell r="C5791" t="str">
            <v>Qusar  filialı</v>
          </cell>
          <cell r="D5791" t="str">
            <v>#</v>
          </cell>
          <cell r="E5791" t="str">
            <v>Xidmət bölməsi</v>
          </cell>
          <cell r="F5791" t="str">
            <v>Məlumat xidməti üzrə aparıcı mütəxəssis</v>
          </cell>
          <cell r="G5791" t="str">
            <v>A</v>
          </cell>
          <cell r="H5791">
            <v>42515</v>
          </cell>
        </row>
        <row r="5792">
          <cell r="B5792" t="str">
            <v>Gülməmmədov Samir Murad</v>
          </cell>
          <cell r="C5792" t="str">
            <v>Qusar  filialı</v>
          </cell>
          <cell r="D5792" t="str">
            <v>#</v>
          </cell>
          <cell r="E5792" t="str">
            <v>Xidmət bölməsi</v>
          </cell>
          <cell r="F5792" t="str">
            <v>Müştərilərlə iş üzrə baş mütəxəssis</v>
          </cell>
          <cell r="G5792" t="str">
            <v>A</v>
          </cell>
          <cell r="H5792">
            <v>42538</v>
          </cell>
        </row>
        <row r="5793">
          <cell r="B5793" t="str">
            <v>Mustafayev Ömər Cabir</v>
          </cell>
          <cell r="C5793" t="str">
            <v>Qusar  filialı</v>
          </cell>
          <cell r="D5793" t="str">
            <v>#</v>
          </cell>
          <cell r="E5793" t="str">
            <v>Xidmət bölməsi</v>
          </cell>
          <cell r="F5793" t="str">
            <v>Müştərilərlə iş üzrə baş mütəxəssis</v>
          </cell>
          <cell r="G5793" t="str">
            <v>A</v>
          </cell>
          <cell r="H5793">
            <v>42559</v>
          </cell>
        </row>
        <row r="5794">
          <cell r="B5794" t="str">
            <v>Mirzamova Yasəmən Şixnəbiyevna</v>
          </cell>
          <cell r="C5794" t="str">
            <v>Qusar  filialı</v>
          </cell>
          <cell r="D5794" t="str">
            <v>#</v>
          </cell>
          <cell r="E5794" t="str">
            <v>Xidmət bölməsi</v>
          </cell>
          <cell r="F5794" t="str">
            <v>Müştərilərlə iş üzrə baş mütəxəssis</v>
          </cell>
          <cell r="G5794" t="str">
            <v>SM</v>
          </cell>
          <cell r="H5794">
            <v>42551</v>
          </cell>
        </row>
        <row r="5795">
          <cell r="B5795" t="str">
            <v>Qasımov Elmar Mətləboviç</v>
          </cell>
          <cell r="C5795" t="str">
            <v>Qusar  filialı</v>
          </cell>
          <cell r="D5795" t="str">
            <v>#</v>
          </cell>
          <cell r="E5795" t="str">
            <v>Xidmət bölməsi</v>
          </cell>
          <cell r="F5795" t="str">
            <v>Müştərilərlə iş üzrə baş mütəxəssis</v>
          </cell>
          <cell r="G5795" t="str">
            <v>A</v>
          </cell>
          <cell r="H5795">
            <v>43419</v>
          </cell>
        </row>
        <row r="5796">
          <cell r="B5796" t="str">
            <v>Rzayev Pərviz Azər</v>
          </cell>
          <cell r="C5796" t="str">
            <v>Qusar  filialı</v>
          </cell>
          <cell r="D5796" t="str">
            <v>#</v>
          </cell>
          <cell r="E5796" t="str">
            <v>Xidmət bölməsi</v>
          </cell>
          <cell r="F5796" t="str">
            <v>Müştərilərlə iş üzrə baş mütəxəssis</v>
          </cell>
          <cell r="G5796" t="str">
            <v>A</v>
          </cell>
          <cell r="H5796">
            <v>40885</v>
          </cell>
        </row>
        <row r="5797">
          <cell r="B5797" t="str">
            <v>Tumarxanov İlham İkramoviç</v>
          </cell>
          <cell r="C5797" t="str">
            <v>Qusar  filialı</v>
          </cell>
          <cell r="D5797" t="str">
            <v>#</v>
          </cell>
          <cell r="E5797" t="str">
            <v>Xidmət bölməsi</v>
          </cell>
          <cell r="F5797" t="str">
            <v>Müştərilərlə iş üzrə aparıcı mütəxəssis</v>
          </cell>
          <cell r="G5797" t="str">
            <v>A</v>
          </cell>
          <cell r="H5797">
            <v>44657</v>
          </cell>
        </row>
        <row r="5798">
          <cell r="B5798" t="str">
            <v>Şixova Limanə Nazir</v>
          </cell>
          <cell r="C5798" t="str">
            <v>Qusar  filialı</v>
          </cell>
          <cell r="D5798" t="str">
            <v>#</v>
          </cell>
          <cell r="E5798" t="str">
            <v>İnzibati bölmə</v>
          </cell>
          <cell r="F5798" t="str">
            <v>Xadimə</v>
          </cell>
          <cell r="G5798" t="str">
            <v>A</v>
          </cell>
          <cell r="H5798">
            <v>44866</v>
          </cell>
        </row>
        <row r="5799">
          <cell r="B5799" t="str">
            <v>Quluyeva Sevda Mahmud</v>
          </cell>
          <cell r="C5799" t="str">
            <v>Laçın filialı</v>
          </cell>
          <cell r="D5799" t="str">
            <v>#</v>
          </cell>
          <cell r="E5799" t="str">
            <v>Xidmət bölməsi</v>
          </cell>
          <cell r="F5799" t="str">
            <v>Müştərilərlə iş üzrə aparıcı mütəxəssis</v>
          </cell>
          <cell r="G5799" t="str">
            <v>A</v>
          </cell>
          <cell r="H5799">
            <v>43868</v>
          </cell>
        </row>
        <row r="5800">
          <cell r="B5800" t="str">
            <v>Həsənli Gülnar Astan</v>
          </cell>
          <cell r="C5800" t="str">
            <v>Laçın filialı</v>
          </cell>
          <cell r="D5800" t="str">
            <v>#</v>
          </cell>
          <cell r="E5800" t="str">
            <v>Xidmət bölməsi</v>
          </cell>
          <cell r="F5800" t="str">
            <v>Kassa üzrə aparıcı mütəxəssis</v>
          </cell>
          <cell r="G5800" t="str">
            <v>A</v>
          </cell>
          <cell r="H5800">
            <v>44783</v>
          </cell>
        </row>
        <row r="5801">
          <cell r="B5801" t="str">
            <v>Verdiyev Pərviz Elçin</v>
          </cell>
          <cell r="C5801" t="str">
            <v>Laçın filialı</v>
          </cell>
          <cell r="D5801" t="str">
            <v>#</v>
          </cell>
          <cell r="E5801" t="str">
            <v>Xidmət bölməsi</v>
          </cell>
          <cell r="F5801" t="str">
            <v>Əməliyyatçı-kassir</v>
          </cell>
          <cell r="G5801" t="str">
            <v>A</v>
          </cell>
          <cell r="H5801">
            <v>45911</v>
          </cell>
        </row>
        <row r="5802">
          <cell r="B5802" t="str">
            <v>Mamedova Nigar Aruz</v>
          </cell>
          <cell r="C5802" t="str">
            <v>Laçın filialı</v>
          </cell>
          <cell r="D5802" t="str">
            <v>#</v>
          </cell>
          <cell r="E5802" t="str">
            <v>İnzibati bölmə</v>
          </cell>
          <cell r="F5802" t="str">
            <v>Xadimə</v>
          </cell>
          <cell r="G5802" t="str">
            <v>A</v>
          </cell>
          <cell r="H5802">
            <v>43678</v>
          </cell>
        </row>
        <row r="5803">
          <cell r="B5803" t="str">
            <v>Dadiyev İlham Əziməli</v>
          </cell>
          <cell r="C5803" t="str">
            <v>Lerik filialı</v>
          </cell>
          <cell r="D5803" t="str">
            <v>#</v>
          </cell>
          <cell r="E5803" t="str">
            <v>#</v>
          </cell>
          <cell r="F5803" t="str">
            <v>Müdir</v>
          </cell>
          <cell r="G5803" t="str">
            <v>A</v>
          </cell>
          <cell r="H5803">
            <v>37537</v>
          </cell>
        </row>
        <row r="5804">
          <cell r="B5804" t="str">
            <v>Əliyev Fuad Hacırza</v>
          </cell>
          <cell r="C5804" t="str">
            <v>Lerik filialı</v>
          </cell>
          <cell r="D5804" t="str">
            <v>#</v>
          </cell>
          <cell r="E5804" t="str">
            <v>Xidmət bölməsi</v>
          </cell>
          <cell r="F5804" t="str">
            <v>Baş əməliyyatçı-kassir</v>
          </cell>
          <cell r="G5804" t="str">
            <v>A</v>
          </cell>
          <cell r="H5804">
            <v>42635</v>
          </cell>
        </row>
        <row r="5805">
          <cell r="B5805" t="str">
            <v>Şahbazov Bəhmən Balabək</v>
          </cell>
          <cell r="C5805" t="str">
            <v>Lerik filialı</v>
          </cell>
          <cell r="D5805" t="str">
            <v>#</v>
          </cell>
          <cell r="E5805" t="str">
            <v>Xidmət bölməsi</v>
          </cell>
          <cell r="F5805" t="str">
            <v>Kassa üzrə baş mütəxəssis</v>
          </cell>
          <cell r="G5805" t="str">
            <v>A</v>
          </cell>
          <cell r="H5805">
            <v>40492</v>
          </cell>
        </row>
        <row r="5806">
          <cell r="B5806" t="str">
            <v>Əliyev Aqil Fəxrəddin</v>
          </cell>
          <cell r="C5806" t="str">
            <v>Lerik filialı</v>
          </cell>
          <cell r="D5806" t="str">
            <v>#</v>
          </cell>
          <cell r="E5806" t="str">
            <v>Xidmət bölməsi</v>
          </cell>
          <cell r="F5806" t="str">
            <v>Məlumat xidməti üzrə aparıcı mütəxəssis</v>
          </cell>
          <cell r="G5806" t="str">
            <v>A</v>
          </cell>
          <cell r="H5806">
            <v>42594</v>
          </cell>
        </row>
        <row r="5807">
          <cell r="B5807" t="str">
            <v>Əliyev Mehman Tahir</v>
          </cell>
          <cell r="C5807" t="str">
            <v>Lerik filialı</v>
          </cell>
          <cell r="D5807" t="str">
            <v>#</v>
          </cell>
          <cell r="E5807" t="str">
            <v>Xidmət bölməsi</v>
          </cell>
          <cell r="F5807" t="str">
            <v>Müştərilərlə iş üzrə baş mütəxəssis</v>
          </cell>
          <cell r="G5807" t="str">
            <v>A</v>
          </cell>
          <cell r="H5807">
            <v>41079</v>
          </cell>
        </row>
        <row r="5808">
          <cell r="B5808" t="str">
            <v>Ağaxanlı Sədrəddin Habil</v>
          </cell>
          <cell r="C5808" t="str">
            <v>Lerik filialı</v>
          </cell>
          <cell r="D5808" t="str">
            <v>#</v>
          </cell>
          <cell r="E5808" t="str">
            <v>Xidmət bölməsi</v>
          </cell>
          <cell r="F5808" t="str">
            <v>Müştərilərlə iş üzrə baş mütəxəssis</v>
          </cell>
          <cell r="G5808" t="str">
            <v>A</v>
          </cell>
          <cell r="H5808">
            <v>43894</v>
          </cell>
        </row>
        <row r="5809">
          <cell r="B5809" t="str">
            <v>Salayev Vusal Zirəddin</v>
          </cell>
          <cell r="C5809" t="str">
            <v>Lerik filialı</v>
          </cell>
          <cell r="D5809" t="str">
            <v>#</v>
          </cell>
          <cell r="E5809" t="str">
            <v>Xidmət bölməsi</v>
          </cell>
          <cell r="F5809" t="str">
            <v>Müştərilərlə iş üzrə baş mütəxəssis</v>
          </cell>
          <cell r="G5809" t="str">
            <v>A</v>
          </cell>
          <cell r="H5809">
            <v>42676</v>
          </cell>
        </row>
        <row r="5810">
          <cell r="B5810" t="str">
            <v>Əliyeva Sevda Abdin</v>
          </cell>
          <cell r="C5810" t="str">
            <v>Lerik filialı</v>
          </cell>
          <cell r="D5810" t="str">
            <v>#</v>
          </cell>
          <cell r="E5810" t="str">
            <v>İnzibati bölmə</v>
          </cell>
          <cell r="F5810" t="str">
            <v>Xadimə</v>
          </cell>
          <cell r="G5810" t="str">
            <v>A</v>
          </cell>
          <cell r="H5810">
            <v>44736</v>
          </cell>
        </row>
        <row r="5811">
          <cell r="B5811" t="str">
            <v>Əliyev Fəxrəddin Əli</v>
          </cell>
          <cell r="C5811" t="str">
            <v>Lənkəran şəhər filialı</v>
          </cell>
          <cell r="D5811" t="str">
            <v>#</v>
          </cell>
          <cell r="E5811" t="str">
            <v>#</v>
          </cell>
          <cell r="F5811" t="str">
            <v>Menecer</v>
          </cell>
          <cell r="G5811" t="str">
            <v>A</v>
          </cell>
          <cell r="H5811">
            <v>36710</v>
          </cell>
        </row>
        <row r="5812">
          <cell r="B5812" t="str">
            <v>Həsənov Füzuli Fəyyaz</v>
          </cell>
          <cell r="C5812" t="str">
            <v>Lənkəran şəhər filialı</v>
          </cell>
          <cell r="D5812" t="str">
            <v>#</v>
          </cell>
          <cell r="E5812" t="str">
            <v>#</v>
          </cell>
          <cell r="F5812" t="str">
            <v>Müdir</v>
          </cell>
          <cell r="G5812" t="str">
            <v>A</v>
          </cell>
          <cell r="H5812">
            <v>43748</v>
          </cell>
        </row>
        <row r="5813">
          <cell r="B5813" t="str">
            <v>Qəniyev Fuad Əfladdin</v>
          </cell>
          <cell r="C5813" t="str">
            <v>Lənkəran şəhər filialı</v>
          </cell>
          <cell r="D5813" t="str">
            <v>#</v>
          </cell>
          <cell r="E5813" t="str">
            <v>Xidmət bölməsi</v>
          </cell>
          <cell r="F5813" t="str">
            <v>Kassa üzrə baş mütəxəssis</v>
          </cell>
          <cell r="G5813" t="str">
            <v>A</v>
          </cell>
          <cell r="H5813">
            <v>42604</v>
          </cell>
        </row>
        <row r="5814">
          <cell r="B5814" t="str">
            <v>Zülfiyeva Gülnarə Balabəy</v>
          </cell>
          <cell r="C5814" t="str">
            <v>Lənkəran şəhər filialı</v>
          </cell>
          <cell r="D5814" t="str">
            <v>#</v>
          </cell>
          <cell r="E5814" t="str">
            <v>Xidmət bölməsi</v>
          </cell>
          <cell r="F5814" t="str">
            <v>Kassa üzrə baş mütəxəssis</v>
          </cell>
          <cell r="G5814" t="str">
            <v>A</v>
          </cell>
          <cell r="H5814">
            <v>36719</v>
          </cell>
        </row>
        <row r="5815">
          <cell r="B5815" t="str">
            <v>Şərifov Elnur Əfqan</v>
          </cell>
          <cell r="C5815" t="str">
            <v>Lənkəran şəhər filialı</v>
          </cell>
          <cell r="D5815" t="str">
            <v>#</v>
          </cell>
          <cell r="E5815" t="str">
            <v>Xidmət bölməsi</v>
          </cell>
          <cell r="F5815" t="str">
            <v xml:space="preserve">Aparıcı əməliyyatçı-kassir </v>
          </cell>
          <cell r="G5815" t="str">
            <v>A</v>
          </cell>
          <cell r="H5815">
            <v>45209</v>
          </cell>
        </row>
        <row r="5816">
          <cell r="B5816" t="str">
            <v>Zeynalova Aynur Arzu</v>
          </cell>
          <cell r="C5816" t="str">
            <v>Lənkəran şəhər filialı</v>
          </cell>
          <cell r="D5816" t="str">
            <v>#</v>
          </cell>
          <cell r="E5816" t="str">
            <v>Xidmət bölməsi</v>
          </cell>
          <cell r="F5816" t="str">
            <v>Əməliyyatçı-kassir</v>
          </cell>
          <cell r="G5816" t="str">
            <v>A</v>
          </cell>
          <cell r="H5816">
            <v>45985</v>
          </cell>
        </row>
        <row r="5817">
          <cell r="B5817" t="str">
            <v>Rəhmanov Rəşid Əlikram</v>
          </cell>
          <cell r="C5817" t="str">
            <v>Lənkəran şəhər filialı</v>
          </cell>
          <cell r="D5817" t="str">
            <v>#</v>
          </cell>
          <cell r="E5817" t="str">
            <v>Xidmət bölməsi</v>
          </cell>
          <cell r="F5817" t="str">
            <v>Kassir</v>
          </cell>
          <cell r="G5817" t="str">
            <v>A</v>
          </cell>
          <cell r="H5817">
            <v>43210</v>
          </cell>
        </row>
        <row r="5818">
          <cell r="B5818" t="str">
            <v>Əzimov Elçin Rasim</v>
          </cell>
          <cell r="C5818" t="str">
            <v>Lənkəran şəhər filialı</v>
          </cell>
          <cell r="D5818" t="str">
            <v>#</v>
          </cell>
          <cell r="E5818" t="str">
            <v>Xidmət bölməsi</v>
          </cell>
          <cell r="F5818" t="str">
            <v>Kassir</v>
          </cell>
          <cell r="G5818" t="str">
            <v>A</v>
          </cell>
          <cell r="H5818">
            <v>41640</v>
          </cell>
        </row>
        <row r="5819">
          <cell r="B5819" t="str">
            <v>Əliyev Kamran Pərvaz</v>
          </cell>
          <cell r="C5819" t="str">
            <v>Lənkəran şəhər filialı</v>
          </cell>
          <cell r="D5819" t="str">
            <v>#</v>
          </cell>
          <cell r="E5819" t="str">
            <v>Xidmət bölməsi</v>
          </cell>
          <cell r="F5819" t="str">
            <v>Bölmə rəhbəri</v>
          </cell>
          <cell r="G5819" t="str">
            <v>A</v>
          </cell>
          <cell r="H5819">
            <v>42346</v>
          </cell>
        </row>
        <row r="5820">
          <cell r="B5820" t="str">
            <v>Ağabalayeva Aysel Əli</v>
          </cell>
          <cell r="C5820" t="str">
            <v>Lənkəran şəhər filialı</v>
          </cell>
          <cell r="D5820" t="str">
            <v>#</v>
          </cell>
          <cell r="E5820" t="str">
            <v>Xidmət bölməsi</v>
          </cell>
          <cell r="F5820" t="str">
            <v>Müştərilərlə iş üzrə baş mütəxəssis</v>
          </cell>
          <cell r="G5820" t="str">
            <v>A</v>
          </cell>
          <cell r="H5820">
            <v>43080</v>
          </cell>
        </row>
        <row r="5821">
          <cell r="B5821" t="str">
            <v>Kərimov Əmrah Ramiz</v>
          </cell>
          <cell r="C5821" t="str">
            <v>Lənkəran şəhər filialı</v>
          </cell>
          <cell r="D5821" t="str">
            <v>#</v>
          </cell>
          <cell r="E5821" t="str">
            <v>Xidmət bölməsi</v>
          </cell>
          <cell r="F5821" t="str">
            <v>Müştərilərlə iş üzrə baş mütəxəssis</v>
          </cell>
          <cell r="G5821" t="str">
            <v>A</v>
          </cell>
          <cell r="H5821">
            <v>42219</v>
          </cell>
        </row>
        <row r="5822">
          <cell r="B5822" t="str">
            <v>Əhmədzadə Əlirza Ceyhun</v>
          </cell>
          <cell r="C5822" t="str">
            <v>Lənkəran şəhər filialı</v>
          </cell>
          <cell r="D5822" t="str">
            <v>#</v>
          </cell>
          <cell r="E5822" t="str">
            <v>Xidmət bölməsi</v>
          </cell>
          <cell r="F5822" t="str">
            <v>Müştərilərlə iş üzrə baş mütəxəssis</v>
          </cell>
          <cell r="G5822" t="str">
            <v>A</v>
          </cell>
          <cell r="H5822">
            <v>43173</v>
          </cell>
        </row>
        <row r="5823">
          <cell r="B5823" t="str">
            <v>İsmayılov Elvin Mirəhməd</v>
          </cell>
          <cell r="C5823" t="str">
            <v>Lənkəran şəhər filialı</v>
          </cell>
          <cell r="D5823" t="str">
            <v>#</v>
          </cell>
          <cell r="E5823" t="str">
            <v>Xidmət bölməsi</v>
          </cell>
          <cell r="F5823" t="str">
            <v>Müştərilərlə iş üzrə baş mütəxəssis</v>
          </cell>
          <cell r="G5823" t="str">
            <v>A</v>
          </cell>
          <cell r="H5823">
            <v>41913</v>
          </cell>
        </row>
        <row r="5824">
          <cell r="B5824" t="str">
            <v>Vəliyeva Aydan Şəmsəddin</v>
          </cell>
          <cell r="C5824" t="str">
            <v>Lənkəran şəhər filialı</v>
          </cell>
          <cell r="D5824" t="str">
            <v>#</v>
          </cell>
          <cell r="E5824" t="str">
            <v>Xidmət bölməsi</v>
          </cell>
          <cell r="F5824" t="str">
            <v>Müştərilərlə iş üzrə aparıcı mütəxəssis</v>
          </cell>
          <cell r="G5824" t="str">
            <v>HX</v>
          </cell>
          <cell r="H5824">
            <v>44852</v>
          </cell>
        </row>
        <row r="5825">
          <cell r="B5825" t="str">
            <v>Bağışzadə Anar İlqar</v>
          </cell>
          <cell r="C5825" t="str">
            <v>Lənkəran şəhər filialı</v>
          </cell>
          <cell r="D5825" t="str">
            <v>#</v>
          </cell>
          <cell r="E5825" t="str">
            <v>Xidmət bölməsi</v>
          </cell>
          <cell r="F5825" t="str">
            <v>Müştərilərlə iş üzrə kiçik mütəxəssis (müvəqqəti)</v>
          </cell>
          <cell r="G5825" t="str">
            <v>A</v>
          </cell>
          <cell r="H5825">
            <v>45987</v>
          </cell>
        </row>
        <row r="5826">
          <cell r="B5826" t="str">
            <v>Məmmədzadə İbrahim Rövşən</v>
          </cell>
          <cell r="C5826" t="str">
            <v>Lənkəran şəhər filialı</v>
          </cell>
          <cell r="D5826" t="str">
            <v>#</v>
          </cell>
          <cell r="E5826" t="str">
            <v>Xidmət bölməsi</v>
          </cell>
          <cell r="F5826" t="str">
            <v>Müştərilərlə iş üzrə aparıcı mütəxəssis</v>
          </cell>
          <cell r="G5826" t="str">
            <v>A</v>
          </cell>
          <cell r="H5826">
            <v>44383</v>
          </cell>
        </row>
        <row r="5827">
          <cell r="B5827" t="str">
            <v>Axundlu Kubra Nail</v>
          </cell>
          <cell r="C5827" t="str">
            <v>Lənkəran şəhər filialı</v>
          </cell>
          <cell r="D5827" t="str">
            <v>#</v>
          </cell>
          <cell r="E5827" t="str">
            <v>Xidmət bölməsi</v>
          </cell>
          <cell r="F5827" t="str">
            <v>Müştərilərlə iş üzrə mütəxəssis</v>
          </cell>
          <cell r="G5827" t="str">
            <v>A</v>
          </cell>
          <cell r="H5827">
            <v>43745</v>
          </cell>
        </row>
        <row r="5828">
          <cell r="B5828" t="str">
            <v>Məmmədov Məhəmməd Vüqar</v>
          </cell>
          <cell r="C5828" t="str">
            <v>Lənkəran şəhər filialı</v>
          </cell>
          <cell r="D5828" t="str">
            <v>#</v>
          </cell>
          <cell r="E5828" t="str">
            <v>Xidmət bölməsi</v>
          </cell>
          <cell r="F5828" t="str">
            <v xml:space="preserve">Müştərilərlə iş üzrə mütəxəssis </v>
          </cell>
          <cell r="G5828" t="str">
            <v>A</v>
          </cell>
          <cell r="H5828">
            <v>45509</v>
          </cell>
        </row>
        <row r="5829">
          <cell r="B5829" t="str">
            <v>Mirzəzadə Yusif Kəlbi</v>
          </cell>
          <cell r="C5829" t="str">
            <v>Lənkəran şəhər filialı</v>
          </cell>
          <cell r="D5829" t="str">
            <v>#</v>
          </cell>
          <cell r="E5829" t="str">
            <v>Xidmət bölməsi</v>
          </cell>
          <cell r="F5829" t="str">
            <v>Müştərilərlə iş üzrə aparıcı mütəxəssis</v>
          </cell>
          <cell r="G5829" t="str">
            <v>A</v>
          </cell>
          <cell r="H5829">
            <v>44697</v>
          </cell>
        </row>
        <row r="5830">
          <cell r="B5830" t="str">
            <v>Əbilzadə Cəmil Cavanşir</v>
          </cell>
          <cell r="C5830" t="str">
            <v>Lənkəran şəhər filialı</v>
          </cell>
          <cell r="D5830" t="str">
            <v>#</v>
          </cell>
          <cell r="E5830" t="str">
            <v>Xidmət bölməsi</v>
          </cell>
          <cell r="F5830" t="str">
            <v>Müştərilərlə iş üzrə mütəxəssis</v>
          </cell>
          <cell r="G5830" t="str">
            <v>A</v>
          </cell>
          <cell r="H5830">
            <v>45120</v>
          </cell>
        </row>
        <row r="5831">
          <cell r="B5831" t="str">
            <v>Əskərli Ruslan Şahin</v>
          </cell>
          <cell r="C5831" t="str">
            <v>Lənkəran şəhər filialı</v>
          </cell>
          <cell r="D5831" t="str">
            <v>#</v>
          </cell>
          <cell r="E5831" t="str">
            <v>Xidmət bölməsi</v>
          </cell>
          <cell r="F5831" t="str">
            <v>Müştərilərlə iş üzrə mütəxəssis</v>
          </cell>
          <cell r="G5831" t="str">
            <v>A</v>
          </cell>
          <cell r="H5831">
            <v>45282</v>
          </cell>
        </row>
        <row r="5832">
          <cell r="B5832" t="str">
            <v>Fətdayeva Nigar Məmmədsadıq</v>
          </cell>
          <cell r="C5832" t="str">
            <v>Lənkəran şəhər filialı</v>
          </cell>
          <cell r="D5832" t="str">
            <v>#</v>
          </cell>
          <cell r="E5832" t="str">
            <v>Xidmət bölməsi</v>
          </cell>
          <cell r="F5832" t="str">
            <v>Məlumat xidməti üzrə mütəxəssis</v>
          </cell>
          <cell r="G5832" t="str">
            <v>SM</v>
          </cell>
          <cell r="H5832">
            <v>43515</v>
          </cell>
        </row>
        <row r="5833">
          <cell r="B5833" t="str">
            <v>Həsənzadə Nərmin İqbal</v>
          </cell>
          <cell r="C5833" t="str">
            <v>Lənkəran şəhər filialı</v>
          </cell>
          <cell r="D5833" t="str">
            <v>#</v>
          </cell>
          <cell r="E5833" t="str">
            <v>Xidmət bölməsi</v>
          </cell>
          <cell r="F5833" t="str">
            <v>Məlumat xidməti üzrə mütəxəssis (müvəqqəti)</v>
          </cell>
          <cell r="G5833" t="str">
            <v>A</v>
          </cell>
          <cell r="H5833">
            <v>45694</v>
          </cell>
        </row>
        <row r="5834">
          <cell r="B5834" t="str">
            <v>Ağazadə Şahmar Şaban</v>
          </cell>
          <cell r="C5834" t="str">
            <v>Lənkəran şəhər filialı</v>
          </cell>
          <cell r="D5834" t="str">
            <v>#</v>
          </cell>
          <cell r="E5834" t="str">
            <v>Xidmət bölməsi</v>
          </cell>
          <cell r="F5834" t="str">
            <v>Məlumat xidməti üzrə kiçik mütəxəssis</v>
          </cell>
          <cell r="G5834" t="str">
            <v>A</v>
          </cell>
          <cell r="H5834">
            <v>46140</v>
          </cell>
        </row>
        <row r="5835">
          <cell r="B5835" t="str">
            <v>Əkbərova Şəhla Əbülfəz</v>
          </cell>
          <cell r="C5835" t="str">
            <v>Lənkəran şəhər filialı</v>
          </cell>
          <cell r="D5835" t="str">
            <v>#</v>
          </cell>
          <cell r="E5835" t="str">
            <v>İnzibati bölmə</v>
          </cell>
          <cell r="F5835" t="str">
            <v>Xadimə</v>
          </cell>
          <cell r="G5835" t="str">
            <v>A</v>
          </cell>
          <cell r="H5835">
            <v>43864</v>
          </cell>
        </row>
        <row r="5836">
          <cell r="B5836" t="str">
            <v>Həsənova Aynurə Kərim</v>
          </cell>
          <cell r="C5836" t="str">
            <v>Lənkəran şəhər filialı</v>
          </cell>
          <cell r="D5836" t="str">
            <v>#</v>
          </cell>
          <cell r="E5836" t="str">
            <v>İnzibati bölmə</v>
          </cell>
          <cell r="F5836" t="str">
            <v>Xadimə</v>
          </cell>
          <cell r="G5836" t="str">
            <v>A</v>
          </cell>
          <cell r="H5836">
            <v>44636</v>
          </cell>
        </row>
        <row r="5837">
          <cell r="B5837" t="str">
            <v>Bəşirov Nizami Həzərxan</v>
          </cell>
          <cell r="C5837" t="str">
            <v>Lənkəran şəhər filialı</v>
          </cell>
          <cell r="D5837" t="str">
            <v>#</v>
          </cell>
          <cell r="E5837" t="str">
            <v>Mikro kredit bölməsi</v>
          </cell>
          <cell r="F5837" t="str">
            <v>Bölmə rəhbəri</v>
          </cell>
          <cell r="G5837" t="str">
            <v>A</v>
          </cell>
          <cell r="H5837">
            <v>44446</v>
          </cell>
        </row>
        <row r="5838">
          <cell r="B5838" t="str">
            <v>Məmmədli İbrahim İdrak</v>
          </cell>
          <cell r="C5838" t="str">
            <v>Lənkəran şəhər filialı</v>
          </cell>
          <cell r="D5838" t="str">
            <v>#</v>
          </cell>
          <cell r="E5838" t="str">
            <v>Mikro kredit bölməsi</v>
          </cell>
          <cell r="F5838" t="str">
            <v>Baş mütəxəssis</v>
          </cell>
          <cell r="G5838" t="str">
            <v>A</v>
          </cell>
          <cell r="H5838">
            <v>44516</v>
          </cell>
        </row>
        <row r="5839">
          <cell r="B5839" t="str">
            <v>Babazadə Fərid Novruz</v>
          </cell>
          <cell r="C5839" t="str">
            <v>Lənkəran şəhər filialı</v>
          </cell>
          <cell r="D5839" t="str">
            <v>#</v>
          </cell>
          <cell r="E5839" t="str">
            <v>Mikro kredit bölməsi</v>
          </cell>
          <cell r="F5839" t="str">
            <v>Mütəxəssis</v>
          </cell>
          <cell r="G5839" t="str">
            <v>A</v>
          </cell>
          <cell r="H5839">
            <v>43732</v>
          </cell>
        </row>
        <row r="5840">
          <cell r="B5840" t="str">
            <v>Əliyev Nicat Nəsimi</v>
          </cell>
          <cell r="C5840" t="str">
            <v>Lənkəran şəhər filialı</v>
          </cell>
          <cell r="D5840" t="str">
            <v>#</v>
          </cell>
          <cell r="E5840" t="str">
            <v>Mikro kredit bölməsi</v>
          </cell>
          <cell r="F5840" t="str">
            <v>Kiçik mütəxəssis</v>
          </cell>
          <cell r="G5840" t="str">
            <v>A</v>
          </cell>
          <cell r="H5840">
            <v>45964</v>
          </cell>
        </row>
        <row r="5841">
          <cell r="B5841" t="str">
            <v>Şiriyev İbrahim Həsənağa</v>
          </cell>
          <cell r="C5841" t="str">
            <v>Lənkəran şəhər filialı</v>
          </cell>
          <cell r="D5841" t="str">
            <v>#</v>
          </cell>
          <cell r="E5841" t="str">
            <v>Mikro kredit bölməsi</v>
          </cell>
          <cell r="F5841" t="str">
            <v>Mütəxəssis</v>
          </cell>
          <cell r="G5841" t="str">
            <v>A</v>
          </cell>
          <cell r="H5841">
            <v>45965</v>
          </cell>
        </row>
        <row r="5842">
          <cell r="B5842" t="str">
            <v>Rzazadə Vaqif İlham</v>
          </cell>
          <cell r="C5842" t="str">
            <v>Lənkəran şəhər filialı</v>
          </cell>
          <cell r="D5842" t="str">
            <v>#</v>
          </cell>
          <cell r="E5842" t="str">
            <v>Mikro kredit bölməsi</v>
          </cell>
          <cell r="F5842" t="str">
            <v>Kiçik mütəxəssis</v>
          </cell>
          <cell r="G5842" t="str">
            <v>A</v>
          </cell>
          <cell r="H5842">
            <v>46174</v>
          </cell>
        </row>
        <row r="5843">
          <cell r="B5843" t="str">
            <v>Şahbazlı Fərid İlham</v>
          </cell>
          <cell r="C5843" t="str">
            <v>#</v>
          </cell>
          <cell r="D5843" t="str">
            <v>Lənkəran şöbəsi</v>
          </cell>
          <cell r="E5843" t="str">
            <v>#</v>
          </cell>
          <cell r="F5843" t="str">
            <v>Müdir</v>
          </cell>
          <cell r="G5843" t="str">
            <v>A</v>
          </cell>
          <cell r="H5843">
            <v>43076</v>
          </cell>
        </row>
        <row r="5844">
          <cell r="B5844" t="str">
            <v>Abdullazadə Mirsəbinə Vaqif</v>
          </cell>
          <cell r="C5844" t="str">
            <v>#</v>
          </cell>
          <cell r="D5844" t="str">
            <v>Lənkəran şöbəsi</v>
          </cell>
          <cell r="E5844" t="str">
            <v>Xidmət bölməsi</v>
          </cell>
          <cell r="F5844" t="str">
            <v>Əməliyyatçı-kassir</v>
          </cell>
          <cell r="G5844" t="str">
            <v>A</v>
          </cell>
          <cell r="H5844">
            <v>45195</v>
          </cell>
        </row>
        <row r="5845">
          <cell r="B5845" t="str">
            <v>Quluzadə Cavid Qasid</v>
          </cell>
          <cell r="C5845" t="str">
            <v>#</v>
          </cell>
          <cell r="D5845" t="str">
            <v>Lənkəran şöbəsi</v>
          </cell>
          <cell r="E5845" t="str">
            <v>Xidmət bölməsi</v>
          </cell>
          <cell r="F5845" t="str">
            <v>Əməliyyatçı-kassir</v>
          </cell>
          <cell r="G5845" t="str">
            <v>A</v>
          </cell>
          <cell r="H5845">
            <v>46251</v>
          </cell>
        </row>
        <row r="5846">
          <cell r="B5846" t="str">
            <v>Həsrətova Gülnarə Etibar</v>
          </cell>
          <cell r="C5846" t="str">
            <v>#</v>
          </cell>
          <cell r="D5846" t="str">
            <v>Lənkəran şöbəsi</v>
          </cell>
          <cell r="E5846" t="str">
            <v>Xidmət bölməsi</v>
          </cell>
          <cell r="F5846" t="str">
            <v xml:space="preserve">Aparıcı əməliyyatçı-kassir </v>
          </cell>
          <cell r="G5846" t="str">
            <v>A</v>
          </cell>
          <cell r="H5846">
            <v>45147</v>
          </cell>
        </row>
        <row r="5847">
          <cell r="B5847" t="str">
            <v>Rzazadə Elgün Azad</v>
          </cell>
          <cell r="C5847" t="str">
            <v>#</v>
          </cell>
          <cell r="D5847" t="str">
            <v>Lənkəran şöbəsi</v>
          </cell>
          <cell r="E5847" t="str">
            <v>Xidmət bölməsi</v>
          </cell>
          <cell r="F5847" t="str">
            <v xml:space="preserve">Aparıcı əməliyyatçı-kassir </v>
          </cell>
          <cell r="G5847" t="str">
            <v>A</v>
          </cell>
          <cell r="H5847">
            <v>44658</v>
          </cell>
        </row>
        <row r="5848">
          <cell r="B5848" t="str">
            <v>Kərimova Aydan Siyasət</v>
          </cell>
          <cell r="C5848" t="str">
            <v>#</v>
          </cell>
          <cell r="D5848" t="str">
            <v>Lənkəran şöbəsi</v>
          </cell>
          <cell r="E5848" t="str">
            <v>Xidmət bölməsi</v>
          </cell>
          <cell r="F5848" t="str">
            <v xml:space="preserve">Aparıcı əməliyyatçı-kassir </v>
          </cell>
          <cell r="G5848" t="str">
            <v>A</v>
          </cell>
          <cell r="H5848">
            <v>45250</v>
          </cell>
        </row>
        <row r="5849">
          <cell r="B5849" t="str">
            <v>Məmmədov Rüstəm Mirqəvvam</v>
          </cell>
          <cell r="C5849" t="str">
            <v>Masallı  filialı</v>
          </cell>
          <cell r="D5849" t="str">
            <v>#</v>
          </cell>
          <cell r="E5849" t="str">
            <v>#</v>
          </cell>
          <cell r="F5849" t="str">
            <v>Müdir</v>
          </cell>
          <cell r="G5849" t="str">
            <v>A</v>
          </cell>
          <cell r="H5849">
            <v>41899</v>
          </cell>
        </row>
        <row r="5850">
          <cell r="B5850" t="str">
            <v>Axundov Polat Sait</v>
          </cell>
          <cell r="C5850" t="str">
            <v>Masallı  filialı</v>
          </cell>
          <cell r="D5850" t="str">
            <v>#</v>
          </cell>
          <cell r="E5850" t="str">
            <v>Xidmət bölməsi</v>
          </cell>
          <cell r="F5850" t="str">
            <v>Kassa üzrə baş mütəxəssis</v>
          </cell>
          <cell r="G5850" t="str">
            <v>A</v>
          </cell>
          <cell r="H5850">
            <v>36710</v>
          </cell>
        </row>
        <row r="5851">
          <cell r="B5851" t="str">
            <v>Məmmədov Emin Hamlet</v>
          </cell>
          <cell r="C5851" t="str">
            <v>Masallı  filialı</v>
          </cell>
          <cell r="D5851" t="str">
            <v>#</v>
          </cell>
          <cell r="E5851" t="str">
            <v>Xidmət bölməsi</v>
          </cell>
          <cell r="F5851" t="str">
            <v>Kassa üzrə baş mütəxəssis</v>
          </cell>
          <cell r="G5851" t="str">
            <v>A</v>
          </cell>
          <cell r="H5851">
            <v>40163</v>
          </cell>
        </row>
        <row r="5852">
          <cell r="B5852" t="str">
            <v>Sadıqova Səbinə Məlik</v>
          </cell>
          <cell r="C5852" t="str">
            <v>Masallı  filialı</v>
          </cell>
          <cell r="D5852" t="str">
            <v>#</v>
          </cell>
          <cell r="E5852" t="str">
            <v>Xidmət bölməsi</v>
          </cell>
          <cell r="F5852" t="str">
            <v>Məlumat xidməti üzrə mütəxəssis</v>
          </cell>
          <cell r="G5852" t="str">
            <v>A</v>
          </cell>
          <cell r="H5852">
            <v>45933</v>
          </cell>
        </row>
        <row r="5853">
          <cell r="B5853" t="str">
            <v>Hüseynov Fariq Zahirəli</v>
          </cell>
          <cell r="C5853" t="str">
            <v>Masallı  filialı</v>
          </cell>
          <cell r="D5853" t="str">
            <v>#</v>
          </cell>
          <cell r="E5853" t="str">
            <v>Xidmət bölməsi</v>
          </cell>
          <cell r="F5853" t="str">
            <v>Müştərilərlə iş üzrə baş mütəxəssis</v>
          </cell>
          <cell r="G5853" t="str">
            <v>A</v>
          </cell>
          <cell r="H5853">
            <v>42858</v>
          </cell>
        </row>
        <row r="5854">
          <cell r="B5854" t="str">
            <v>Əsədli Məhəmməd Tofiq</v>
          </cell>
          <cell r="C5854" t="str">
            <v>Masallı  filialı</v>
          </cell>
          <cell r="D5854" t="str">
            <v>#</v>
          </cell>
          <cell r="E5854" t="str">
            <v>Xidmət bölməsi</v>
          </cell>
          <cell r="F5854" t="str">
            <v>Müştərilərlə iş üzrə baş mütəxəssis</v>
          </cell>
          <cell r="G5854" t="str">
            <v>A</v>
          </cell>
          <cell r="H5854">
            <v>43675</v>
          </cell>
        </row>
        <row r="5855">
          <cell r="B5855" t="str">
            <v>Əlizadə Aydan Mirhüseyn</v>
          </cell>
          <cell r="C5855" t="str">
            <v>Masallı  filialı</v>
          </cell>
          <cell r="D5855" t="str">
            <v>#</v>
          </cell>
          <cell r="E5855" t="str">
            <v>Xidmət bölməsi</v>
          </cell>
          <cell r="F5855" t="str">
            <v>Müştərilərlə iş üzrə baş mütəxəssis</v>
          </cell>
          <cell r="G5855" t="str">
            <v>SM</v>
          </cell>
          <cell r="H5855">
            <v>43756</v>
          </cell>
        </row>
        <row r="5856">
          <cell r="B5856" t="str">
            <v>Əsgərova Fatimə Valeh</v>
          </cell>
          <cell r="C5856" t="str">
            <v>Masallı  filialı</v>
          </cell>
          <cell r="D5856" t="str">
            <v>#</v>
          </cell>
          <cell r="E5856" t="str">
            <v>Xidmət bölməsi</v>
          </cell>
          <cell r="F5856" t="str">
            <v>Müştərilərlə iş üzrə mütəxəssis (müvəqqəti)</v>
          </cell>
          <cell r="G5856" t="str">
            <v>A</v>
          </cell>
          <cell r="H5856">
            <v>45994</v>
          </cell>
        </row>
        <row r="5857">
          <cell r="B5857" t="str">
            <v>İsmayılzadə Ülkər Rafiq</v>
          </cell>
          <cell r="C5857" t="str">
            <v>Masallı  filialı</v>
          </cell>
          <cell r="D5857" t="str">
            <v>#</v>
          </cell>
          <cell r="E5857" t="str">
            <v>Xidmət bölməsi</v>
          </cell>
          <cell r="F5857" t="str">
            <v>Müştərilərlə iş üzrə baş mütəxəssis</v>
          </cell>
          <cell r="G5857" t="str">
            <v>A</v>
          </cell>
          <cell r="H5857">
            <v>41933</v>
          </cell>
        </row>
        <row r="5858">
          <cell r="B5858" t="str">
            <v>Ağacanova Nəzrin Ziyafət</v>
          </cell>
          <cell r="C5858" t="str">
            <v>Masallı  filialı</v>
          </cell>
          <cell r="D5858" t="str">
            <v>#</v>
          </cell>
          <cell r="E5858" t="str">
            <v>Xidmət bölməsi</v>
          </cell>
          <cell r="F5858" t="str">
            <v>Bölmə rəhbəri</v>
          </cell>
          <cell r="G5858" t="str">
            <v>A</v>
          </cell>
          <cell r="H5858">
            <v>42936</v>
          </cell>
        </row>
        <row r="5859">
          <cell r="B5859" t="str">
            <v>Hüseynova Jalə Xadim</v>
          </cell>
          <cell r="C5859" t="str">
            <v>Masallı  filialı</v>
          </cell>
          <cell r="D5859" t="str">
            <v>#</v>
          </cell>
          <cell r="E5859" t="str">
            <v>Xidmət bölməsi</v>
          </cell>
          <cell r="F5859" t="str">
            <v>Müştərilərlə iş üzrə baş mütəxəssis</v>
          </cell>
          <cell r="G5859" t="str">
            <v>A</v>
          </cell>
          <cell r="H5859">
            <v>42858</v>
          </cell>
        </row>
        <row r="5860">
          <cell r="B5860" t="str">
            <v>Balakişiyeva Namiyə Tehran</v>
          </cell>
          <cell r="C5860" t="str">
            <v>Masallı  filialı</v>
          </cell>
          <cell r="D5860" t="str">
            <v>#</v>
          </cell>
          <cell r="E5860" t="str">
            <v>Xidmət bölməsi</v>
          </cell>
          <cell r="F5860" t="str">
            <v>Müştərilərlə iş üzrə baş mütəxəssis</v>
          </cell>
          <cell r="G5860" t="str">
            <v>A</v>
          </cell>
          <cell r="H5860">
            <v>42193</v>
          </cell>
        </row>
        <row r="5861">
          <cell r="B5861" t="str">
            <v>Əliyeva Məleykə Şahin</v>
          </cell>
          <cell r="C5861" t="str">
            <v>Masallı  filialı</v>
          </cell>
          <cell r="D5861" t="str">
            <v>#</v>
          </cell>
          <cell r="E5861" t="str">
            <v>Xidmət bölməsi</v>
          </cell>
          <cell r="F5861" t="str">
            <v>Müştərilərlə iş üzrə aparıcı mütəxəssis</v>
          </cell>
          <cell r="G5861" t="str">
            <v>A</v>
          </cell>
          <cell r="H5861">
            <v>44937</v>
          </cell>
        </row>
        <row r="5862">
          <cell r="B5862" t="str">
            <v>Əsədzadə Səid Zahir</v>
          </cell>
          <cell r="C5862" t="str">
            <v>Masallı  filialı</v>
          </cell>
          <cell r="D5862" t="str">
            <v>#</v>
          </cell>
          <cell r="E5862" t="str">
            <v>Xidmət bölməsi</v>
          </cell>
          <cell r="F5862" t="str">
            <v>Müştərilərlə iş üzrə aparıcı mütəxəssis</v>
          </cell>
          <cell r="G5862" t="str">
            <v>A</v>
          </cell>
          <cell r="H5862">
            <v>44676</v>
          </cell>
        </row>
        <row r="5863">
          <cell r="B5863" t="str">
            <v>Həşimov Siruz Bəhruz</v>
          </cell>
          <cell r="C5863" t="str">
            <v>Masallı  filialı</v>
          </cell>
          <cell r="D5863" t="str">
            <v>#</v>
          </cell>
          <cell r="E5863" t="str">
            <v>Xidmət bölməsi</v>
          </cell>
          <cell r="F5863" t="str">
            <v>Müştərilərlə iş üzrə mütəxəssis</v>
          </cell>
          <cell r="G5863" t="str">
            <v>A</v>
          </cell>
          <cell r="H5863">
            <v>45709</v>
          </cell>
        </row>
        <row r="5864">
          <cell r="B5864" t="str">
            <v>Mazanova Gülnar Rahib</v>
          </cell>
          <cell r="C5864" t="str">
            <v>Masallı  filialı</v>
          </cell>
          <cell r="D5864" t="str">
            <v>#</v>
          </cell>
          <cell r="E5864" t="str">
            <v>Xidmət bölməsi</v>
          </cell>
          <cell r="F5864" t="str">
            <v>Müştərilərlə iş üzrə mütəxəssis</v>
          </cell>
          <cell r="G5864" t="str">
            <v>A</v>
          </cell>
          <cell r="H5864">
            <v>45579</v>
          </cell>
        </row>
        <row r="5865">
          <cell r="B5865" t="str">
            <v>Rufullalı Nemət Rüfət</v>
          </cell>
          <cell r="C5865" t="str">
            <v>Masallı  filialı</v>
          </cell>
          <cell r="D5865" t="str">
            <v>#</v>
          </cell>
          <cell r="E5865" t="str">
            <v>Xidmət bölməsi</v>
          </cell>
          <cell r="F5865" t="str">
            <v>Müştərilərlə iş üzrə kiçik mütəxəssis</v>
          </cell>
          <cell r="G5865" t="str">
            <v>A</v>
          </cell>
          <cell r="H5865">
            <v>46176</v>
          </cell>
        </row>
        <row r="5866">
          <cell r="B5866" t="str">
            <v>Məmmədli Emin İlham</v>
          </cell>
          <cell r="C5866" t="str">
            <v>Masallı  filialı</v>
          </cell>
          <cell r="D5866" t="str">
            <v>#</v>
          </cell>
          <cell r="E5866" t="str">
            <v>Xidmət bölməsi</v>
          </cell>
          <cell r="F5866" t="str">
            <v>Əməliyyatçı-kassir</v>
          </cell>
          <cell r="G5866" t="str">
            <v>A</v>
          </cell>
          <cell r="H5866">
            <v>45936</v>
          </cell>
        </row>
        <row r="5867">
          <cell r="B5867" t="str">
            <v>Məmmədova Cəvahir Rizvan</v>
          </cell>
          <cell r="C5867" t="str">
            <v>Masallı  filialı</v>
          </cell>
          <cell r="D5867" t="str">
            <v>#</v>
          </cell>
          <cell r="E5867" t="str">
            <v>İnzibati bölmə</v>
          </cell>
          <cell r="F5867" t="str">
            <v>Xadimə</v>
          </cell>
          <cell r="G5867" t="str">
            <v>A</v>
          </cell>
          <cell r="H5867">
            <v>40392</v>
          </cell>
        </row>
        <row r="5868">
          <cell r="B5868" t="str">
            <v>Allahverdiyev Amil Bəylər</v>
          </cell>
          <cell r="C5868" t="str">
            <v>Masallı  filialı</v>
          </cell>
          <cell r="D5868" t="str">
            <v>#</v>
          </cell>
          <cell r="E5868" t="str">
            <v>Mikro kredit bölməsi</v>
          </cell>
          <cell r="F5868" t="str">
            <v>Bölmə rəhbəri</v>
          </cell>
          <cell r="G5868" t="str">
            <v>A</v>
          </cell>
          <cell r="H5868">
            <v>42276</v>
          </cell>
        </row>
        <row r="5869">
          <cell r="B5869" t="str">
            <v>Heybətzadə İlkin İsmayıl</v>
          </cell>
          <cell r="C5869" t="str">
            <v>Masallı  filialı</v>
          </cell>
          <cell r="D5869" t="str">
            <v>#</v>
          </cell>
          <cell r="E5869" t="str">
            <v>Mikro kredit bölməsi</v>
          </cell>
          <cell r="F5869" t="str">
            <v>Aparıcı mütəxəssis</v>
          </cell>
          <cell r="G5869" t="str">
            <v>A</v>
          </cell>
          <cell r="H5869">
            <v>44606</v>
          </cell>
        </row>
        <row r="5870">
          <cell r="B5870" t="str">
            <v>Şükürzadə Xəyyam Dövran</v>
          </cell>
          <cell r="C5870" t="str">
            <v>Masallı  filialı</v>
          </cell>
          <cell r="D5870" t="str">
            <v>#</v>
          </cell>
          <cell r="E5870" t="str">
            <v>Mikro kredit bölməsi</v>
          </cell>
          <cell r="F5870" t="str">
            <v>Aparıcı mütəxəssis</v>
          </cell>
          <cell r="G5870" t="str">
            <v>A</v>
          </cell>
          <cell r="H5870">
            <v>44816</v>
          </cell>
        </row>
        <row r="5871">
          <cell r="B5871" t="str">
            <v>Şükürov Orxan Ehtibar</v>
          </cell>
          <cell r="C5871" t="str">
            <v>Masallı  filialı</v>
          </cell>
          <cell r="D5871" t="str">
            <v>#</v>
          </cell>
          <cell r="E5871" t="str">
            <v>Mikro kredit bölməsi</v>
          </cell>
          <cell r="F5871" t="str">
            <v>Mütəxəssis</v>
          </cell>
          <cell r="G5871" t="str">
            <v>A</v>
          </cell>
          <cell r="H5871">
            <v>45575</v>
          </cell>
        </row>
        <row r="5872">
          <cell r="B5872" t="str">
            <v>Səmədov Xanlar Xanhüseyn</v>
          </cell>
          <cell r="C5872" t="str">
            <v>Masallı  filialı</v>
          </cell>
          <cell r="D5872" t="str">
            <v>#</v>
          </cell>
          <cell r="E5872" t="str">
            <v>Mikro kredit bölməsi</v>
          </cell>
          <cell r="F5872" t="str">
            <v>Mütəxəssis</v>
          </cell>
          <cell r="G5872" t="str">
            <v>A</v>
          </cell>
          <cell r="H5872">
            <v>45761</v>
          </cell>
        </row>
        <row r="5873">
          <cell r="B5873" t="str">
            <v>Muxtarov Səbuhi Yaşar</v>
          </cell>
          <cell r="C5873" t="str">
            <v>Mingəçevir şəhər filialı</v>
          </cell>
          <cell r="D5873" t="str">
            <v>#</v>
          </cell>
          <cell r="E5873" t="str">
            <v>#</v>
          </cell>
          <cell r="F5873" t="str">
            <v>Müdir</v>
          </cell>
          <cell r="G5873" t="str">
            <v>A</v>
          </cell>
          <cell r="H5873">
            <v>42038</v>
          </cell>
        </row>
        <row r="5874">
          <cell r="B5874" t="str">
            <v>Tağıyev Elçin Aydın</v>
          </cell>
          <cell r="C5874" t="str">
            <v>Mingəçevir şəhər filialı</v>
          </cell>
          <cell r="D5874" t="str">
            <v>#</v>
          </cell>
          <cell r="E5874" t="str">
            <v>Xidmət bölməsi</v>
          </cell>
          <cell r="F5874" t="str">
            <v>Kassa üzrə baş mütəxəssis</v>
          </cell>
          <cell r="G5874" t="str">
            <v>A</v>
          </cell>
          <cell r="H5874">
            <v>42811</v>
          </cell>
        </row>
        <row r="5875">
          <cell r="B5875" t="str">
            <v>Hacıyev Elşən Rövşən</v>
          </cell>
          <cell r="C5875" t="str">
            <v>Mingəçevir şəhər filialı</v>
          </cell>
          <cell r="D5875" t="str">
            <v>#</v>
          </cell>
          <cell r="E5875" t="str">
            <v>Xidmət bölməsi</v>
          </cell>
          <cell r="F5875" t="str">
            <v>Məlumat xidməti üzrə mütəxəssis</v>
          </cell>
          <cell r="G5875" t="str">
            <v>A</v>
          </cell>
          <cell r="H5875">
            <v>45370</v>
          </cell>
        </row>
        <row r="5876">
          <cell r="B5876" t="str">
            <v>Dursunova Şirvanə Məmmədhüseyn</v>
          </cell>
          <cell r="C5876" t="str">
            <v>Mingəçevir şəhər filialı</v>
          </cell>
          <cell r="D5876" t="str">
            <v>#</v>
          </cell>
          <cell r="E5876" t="str">
            <v>Xidmət bölməsi</v>
          </cell>
          <cell r="F5876" t="str">
            <v>Müştərilərlə iş üzrə baş mütəxəssis</v>
          </cell>
          <cell r="G5876" t="str">
            <v>A</v>
          </cell>
          <cell r="H5876">
            <v>39419</v>
          </cell>
        </row>
        <row r="5877">
          <cell r="B5877" t="str">
            <v>Qasımov Əhliman Rafiq</v>
          </cell>
          <cell r="C5877" t="str">
            <v>Mingəçevir şəhər filialı</v>
          </cell>
          <cell r="D5877" t="str">
            <v>#</v>
          </cell>
          <cell r="E5877" t="str">
            <v>Xidmət bölməsi</v>
          </cell>
          <cell r="F5877" t="str">
            <v>Müştərilərlə iş üzrə baş mütəxəssis</v>
          </cell>
          <cell r="G5877" t="str">
            <v>A</v>
          </cell>
          <cell r="H5877">
            <v>40954</v>
          </cell>
        </row>
        <row r="5878">
          <cell r="B5878" t="str">
            <v>Zeynalov Elmir Sənan</v>
          </cell>
          <cell r="C5878" t="str">
            <v>Mingəçevir şəhər filialı</v>
          </cell>
          <cell r="D5878" t="str">
            <v>#</v>
          </cell>
          <cell r="E5878" t="str">
            <v>Xidmət bölməsi</v>
          </cell>
          <cell r="F5878" t="str">
            <v>Müştərilərlə iş üzrə baş mütəxəssis</v>
          </cell>
          <cell r="G5878" t="str">
            <v>A</v>
          </cell>
          <cell r="H5878">
            <v>42695</v>
          </cell>
        </row>
        <row r="5879">
          <cell r="B5879" t="str">
            <v>Mustafayeva Jalə Müğdət</v>
          </cell>
          <cell r="C5879" t="str">
            <v>Mingəçevir şəhər filialı</v>
          </cell>
          <cell r="D5879" t="str">
            <v>#</v>
          </cell>
          <cell r="E5879" t="str">
            <v>Xidmət bölməsi</v>
          </cell>
          <cell r="F5879" t="str">
            <v>Müştərilərlə iş üzrə baş mütəxəssis</v>
          </cell>
          <cell r="G5879" t="str">
            <v>A</v>
          </cell>
          <cell r="H5879">
            <v>43165</v>
          </cell>
        </row>
        <row r="5880">
          <cell r="B5880" t="str">
            <v>Malikzadə Malik İlqar</v>
          </cell>
          <cell r="C5880" t="str">
            <v>Mingəçevir şəhər filialı</v>
          </cell>
          <cell r="D5880" t="str">
            <v>#</v>
          </cell>
          <cell r="E5880" t="str">
            <v>Xidmət bölməsi</v>
          </cell>
          <cell r="F5880" t="str">
            <v>Müştərilərlə iş üzrə baş mütəxəssis</v>
          </cell>
          <cell r="G5880" t="str">
            <v>A</v>
          </cell>
          <cell r="H5880">
            <v>43612</v>
          </cell>
        </row>
        <row r="5881">
          <cell r="B5881" t="str">
            <v>İbrahimov Bəhruz Rizvan</v>
          </cell>
          <cell r="C5881" t="str">
            <v>Mingəçevir şəhər filialı</v>
          </cell>
          <cell r="D5881" t="str">
            <v>#</v>
          </cell>
          <cell r="E5881" t="str">
            <v>Xidmət bölməsi</v>
          </cell>
          <cell r="F5881" t="str">
            <v>Bölmə rəhbəri</v>
          </cell>
          <cell r="G5881" t="str">
            <v>A</v>
          </cell>
          <cell r="H5881">
            <v>42545</v>
          </cell>
        </row>
        <row r="5882">
          <cell r="B5882" t="str">
            <v>Rəhimov Elşən Emin</v>
          </cell>
          <cell r="C5882" t="str">
            <v>Mingəçevir şəhər filialı</v>
          </cell>
          <cell r="D5882" t="str">
            <v>#</v>
          </cell>
          <cell r="E5882" t="str">
            <v>Xidmət bölməsi</v>
          </cell>
          <cell r="F5882" t="str">
            <v>Müştərilərlə iş üzrə baş mütəxəssis</v>
          </cell>
          <cell r="G5882" t="str">
            <v>A</v>
          </cell>
          <cell r="H5882">
            <v>43346</v>
          </cell>
        </row>
        <row r="5883">
          <cell r="B5883" t="str">
            <v>Mayılzadə Jalə Aqil</v>
          </cell>
          <cell r="C5883" t="str">
            <v>Mingəçevir şəhər filialı</v>
          </cell>
          <cell r="D5883" t="str">
            <v>#</v>
          </cell>
          <cell r="E5883" t="str">
            <v>Xidmət bölməsi</v>
          </cell>
          <cell r="F5883" t="str">
            <v>Müştərilərlə iş üzrə baş mütəxəssis</v>
          </cell>
          <cell r="G5883" t="str">
            <v>A</v>
          </cell>
          <cell r="H5883">
            <v>42780</v>
          </cell>
        </row>
        <row r="5884">
          <cell r="B5884" t="str">
            <v>İsmayıllı Cavad Polad</v>
          </cell>
          <cell r="C5884" t="str">
            <v>Mingəçevir şəhər filialı</v>
          </cell>
          <cell r="D5884" t="str">
            <v>#</v>
          </cell>
          <cell r="E5884" t="str">
            <v>Xidmət bölməsi</v>
          </cell>
          <cell r="F5884" t="str">
            <v>Müştərilərlə iş üzrə mütəxəssis</v>
          </cell>
          <cell r="G5884" t="str">
            <v>A</v>
          </cell>
          <cell r="H5884">
            <v>44466</v>
          </cell>
        </row>
        <row r="5885">
          <cell r="B5885" t="str">
            <v>Musayeva Aysu Namaz</v>
          </cell>
          <cell r="C5885" t="str">
            <v>Mingəçevir şəhər filialı</v>
          </cell>
          <cell r="D5885" t="str">
            <v>#</v>
          </cell>
          <cell r="E5885" t="str">
            <v>Xidmət bölməsi</v>
          </cell>
          <cell r="F5885" t="str">
            <v>Müştərilərlə iş üzrə kiçik mütəxəssis</v>
          </cell>
          <cell r="G5885" t="str">
            <v>A</v>
          </cell>
          <cell r="H5885">
            <v>45915</v>
          </cell>
        </row>
        <row r="5886">
          <cell r="B5886" t="str">
            <v>Musazadə Gültəkin Zaur</v>
          </cell>
          <cell r="C5886" t="str">
            <v>Mingəçevir şəhər filialı</v>
          </cell>
          <cell r="D5886" t="str">
            <v>#</v>
          </cell>
          <cell r="E5886" t="str">
            <v>Xidmət bölməsi</v>
          </cell>
          <cell r="F5886" t="str">
            <v>Əməliyyatçı-kassir</v>
          </cell>
          <cell r="G5886" t="str">
            <v>A</v>
          </cell>
          <cell r="H5886">
            <v>45986</v>
          </cell>
        </row>
        <row r="5887">
          <cell r="B5887" t="str">
            <v>Bayramov Xeyrəddin Çingiz</v>
          </cell>
          <cell r="C5887" t="str">
            <v>Mingəçevir şəhər filialı</v>
          </cell>
          <cell r="D5887" t="str">
            <v>#</v>
          </cell>
          <cell r="E5887" t="str">
            <v>Xidmət bölməsi</v>
          </cell>
          <cell r="F5887" t="str">
            <v>Kiçik əməliyyatçı-kassir</v>
          </cell>
          <cell r="G5887" t="str">
            <v>A</v>
          </cell>
          <cell r="H5887">
            <v>46273</v>
          </cell>
        </row>
        <row r="5888">
          <cell r="B5888" t="str">
            <v>Rəhimov Camal Səməd</v>
          </cell>
          <cell r="C5888" t="str">
            <v>Mingəçevir şəhər filialı</v>
          </cell>
          <cell r="D5888" t="str">
            <v>#</v>
          </cell>
          <cell r="E5888" t="str">
            <v>Xidmət bölməsi</v>
          </cell>
          <cell r="F5888" t="str">
            <v>İpoteka üzrə mütəxəssis</v>
          </cell>
          <cell r="G5888" t="str">
            <v>A</v>
          </cell>
          <cell r="H5888">
            <v>45631</v>
          </cell>
        </row>
        <row r="5889">
          <cell r="B5889" t="str">
            <v>Cəfərov Bəxtiyar Zimistan</v>
          </cell>
          <cell r="C5889" t="str">
            <v>Mingəçevir şəhər filialı</v>
          </cell>
          <cell r="D5889" t="str">
            <v>#</v>
          </cell>
          <cell r="E5889" t="str">
            <v>Mikro kredit bölməsi</v>
          </cell>
          <cell r="F5889" t="str">
            <v>Baş mütəxəssis</v>
          </cell>
          <cell r="G5889" t="str">
            <v>A</v>
          </cell>
          <cell r="H5889">
            <v>44490</v>
          </cell>
        </row>
        <row r="5890">
          <cell r="B5890" t="str">
            <v>Əbdülrəhimov Ziya Taleh</v>
          </cell>
          <cell r="C5890" t="str">
            <v>Mingəçevir şəhər filialı</v>
          </cell>
          <cell r="D5890" t="str">
            <v>#</v>
          </cell>
          <cell r="E5890" t="str">
            <v>Mikro kredit bölməsi</v>
          </cell>
          <cell r="F5890" t="str">
            <v>Mütəxəssis</v>
          </cell>
          <cell r="G5890" t="str">
            <v>A</v>
          </cell>
          <cell r="H5890">
            <v>45268</v>
          </cell>
        </row>
        <row r="5891">
          <cell r="B5891" t="str">
            <v>Tağıyev Orxan Şamil</v>
          </cell>
          <cell r="C5891" t="str">
            <v>Mingəçevir şəhər filialı</v>
          </cell>
          <cell r="D5891" t="str">
            <v>#</v>
          </cell>
          <cell r="E5891" t="str">
            <v>Mikro kredit bölməsi</v>
          </cell>
          <cell r="F5891" t="str">
            <v>Kiçik mütəxəssis</v>
          </cell>
          <cell r="G5891" t="str">
            <v>A</v>
          </cell>
          <cell r="H5891">
            <v>46034</v>
          </cell>
        </row>
        <row r="5892">
          <cell r="B5892" t="str">
            <v>Musaxanlı Orxan Hüseyn</v>
          </cell>
          <cell r="C5892" t="str">
            <v>Mingəçevir şəhər filialı</v>
          </cell>
          <cell r="D5892" t="str">
            <v>#</v>
          </cell>
          <cell r="E5892" t="str">
            <v>Mikro kredit bölməsi</v>
          </cell>
          <cell r="F5892" t="str">
            <v>Kiçik mütəxəssis</v>
          </cell>
          <cell r="G5892" t="str">
            <v>A</v>
          </cell>
          <cell r="H5892">
            <v>46174</v>
          </cell>
        </row>
        <row r="5893">
          <cell r="B5893" t="str">
            <v>Məmmədova Ceyran Yaşar</v>
          </cell>
          <cell r="C5893" t="str">
            <v>Mingəçevir şəhər filialı</v>
          </cell>
          <cell r="D5893" t="str">
            <v>#</v>
          </cell>
          <cell r="E5893" t="str">
            <v>İnzibati bölmə</v>
          </cell>
          <cell r="F5893" t="str">
            <v>Xadimə</v>
          </cell>
          <cell r="G5893" t="str">
            <v>A</v>
          </cell>
          <cell r="H5893">
            <v>45278</v>
          </cell>
        </row>
        <row r="5894">
          <cell r="B5894" t="str">
            <v>Məmmədova Afaqxanım İsmayıl</v>
          </cell>
          <cell r="C5894" t="str">
            <v>Naftalan şəhər filialı</v>
          </cell>
          <cell r="D5894" t="str">
            <v>#</v>
          </cell>
          <cell r="E5894" t="str">
            <v>Xidmət bölməsi</v>
          </cell>
          <cell r="F5894" t="str">
            <v xml:space="preserve">Aparıcı əməliyyatçı-kassir </v>
          </cell>
          <cell r="G5894" t="str">
            <v>A</v>
          </cell>
          <cell r="H5894">
            <v>44942</v>
          </cell>
        </row>
        <row r="5895">
          <cell r="B5895" t="str">
            <v>Verdiyev Şəmistan Vüqar</v>
          </cell>
          <cell r="C5895" t="str">
            <v>Naftalan şəhər filialı</v>
          </cell>
          <cell r="D5895" t="str">
            <v>#</v>
          </cell>
          <cell r="E5895" t="str">
            <v>Xidmət bölməsi</v>
          </cell>
          <cell r="F5895" t="str">
            <v>Kassa üzrə baş mütəxəssis</v>
          </cell>
          <cell r="G5895" t="str">
            <v>A</v>
          </cell>
          <cell r="H5895">
            <v>44026</v>
          </cell>
        </row>
        <row r="5896">
          <cell r="B5896" t="str">
            <v>Ələsgərov Elnur Azər</v>
          </cell>
          <cell r="C5896" t="str">
            <v>Naftalan şəhər filialı</v>
          </cell>
          <cell r="D5896" t="str">
            <v>#</v>
          </cell>
          <cell r="E5896" t="str">
            <v>Xidmət bölməsi</v>
          </cell>
          <cell r="F5896" t="str">
            <v>Məlumat xidməti üzrə aparıcı mütəxəssis</v>
          </cell>
          <cell r="G5896" t="str">
            <v>A</v>
          </cell>
          <cell r="H5896">
            <v>44594</v>
          </cell>
        </row>
        <row r="5897">
          <cell r="B5897" t="str">
            <v>Binnətov Rəşad Mehman</v>
          </cell>
          <cell r="C5897" t="str">
            <v>Naftalan şəhər filialı</v>
          </cell>
          <cell r="D5897" t="str">
            <v>#</v>
          </cell>
          <cell r="E5897" t="str">
            <v>Xidmət bölməsi</v>
          </cell>
          <cell r="F5897" t="str">
            <v>Müştərilərlə iş üzrə baş mütəxəssis</v>
          </cell>
          <cell r="G5897" t="str">
            <v>A</v>
          </cell>
          <cell r="H5897">
            <v>42318</v>
          </cell>
        </row>
        <row r="5898">
          <cell r="B5898" t="str">
            <v>Cəfərov Rəşid Abduləli</v>
          </cell>
          <cell r="C5898" t="str">
            <v>Naftalan şəhər filialı</v>
          </cell>
          <cell r="D5898" t="str">
            <v>#</v>
          </cell>
          <cell r="E5898" t="str">
            <v>Xidmət bölməsi</v>
          </cell>
          <cell r="F5898" t="str">
            <v>Müştərilərlə iş üzrə baş mütəxəssis</v>
          </cell>
          <cell r="G5898" t="str">
            <v>A</v>
          </cell>
          <cell r="H5898">
            <v>41548</v>
          </cell>
        </row>
        <row r="5899">
          <cell r="B5899" t="str">
            <v>Abbasova Aygün Aydın</v>
          </cell>
          <cell r="C5899" t="str">
            <v>Naftalan şəhər filialı</v>
          </cell>
          <cell r="D5899" t="str">
            <v>#</v>
          </cell>
          <cell r="E5899" t="str">
            <v>İnzibati bölmə</v>
          </cell>
          <cell r="F5899" t="str">
            <v>Xadimə</v>
          </cell>
          <cell r="G5899" t="str">
            <v>A</v>
          </cell>
          <cell r="H5899">
            <v>41760</v>
          </cell>
        </row>
        <row r="5900">
          <cell r="B5900" t="str">
            <v>Məlikov Əşrəf Ənvər</v>
          </cell>
          <cell r="C5900" t="str">
            <v>Neftçala  filialı</v>
          </cell>
          <cell r="D5900" t="str">
            <v>#</v>
          </cell>
          <cell r="E5900" t="str">
            <v>Xidmət bölməsi</v>
          </cell>
          <cell r="F5900" t="str">
            <v>Müştərilərlə iş üzrə baş mütəxəssis</v>
          </cell>
          <cell r="G5900" t="str">
            <v>A</v>
          </cell>
          <cell r="H5900">
            <v>42842</v>
          </cell>
        </row>
        <row r="5901">
          <cell r="B5901" t="str">
            <v>Xəlilova Anaxanım Qabil</v>
          </cell>
          <cell r="C5901" t="str">
            <v>Neftçala  filialı</v>
          </cell>
          <cell r="D5901" t="str">
            <v>#</v>
          </cell>
          <cell r="E5901" t="str">
            <v>Xidmət bölməsi</v>
          </cell>
          <cell r="F5901" t="str">
            <v>Müştərilərlə iş üzrə baş mütəxəssis</v>
          </cell>
          <cell r="G5901" t="str">
            <v>A</v>
          </cell>
          <cell r="H5901">
            <v>43395</v>
          </cell>
        </row>
        <row r="5902">
          <cell r="B5902" t="str">
            <v>Orucov Ülvi Feyzulla</v>
          </cell>
          <cell r="C5902" t="str">
            <v>Neftçala  filialı</v>
          </cell>
          <cell r="D5902" t="str">
            <v>#</v>
          </cell>
          <cell r="E5902" t="str">
            <v>Xidmət bölməsi</v>
          </cell>
          <cell r="F5902" t="str">
            <v>Müştərilərlə iş üzrə baş mütəxəssis</v>
          </cell>
          <cell r="G5902" t="str">
            <v>A</v>
          </cell>
          <cell r="H5902">
            <v>43327</v>
          </cell>
        </row>
        <row r="5903">
          <cell r="B5903" t="str">
            <v>İbrahimova Səidə Süleyman</v>
          </cell>
          <cell r="C5903" t="str">
            <v>Neftçala  filialı</v>
          </cell>
          <cell r="D5903" t="str">
            <v>#</v>
          </cell>
          <cell r="E5903" t="str">
            <v>Xidmət bölməsi</v>
          </cell>
          <cell r="F5903" t="str">
            <v>Müştərilərlə iş üzrə baş mütəxəssis</v>
          </cell>
          <cell r="G5903" t="str">
            <v>A</v>
          </cell>
          <cell r="H5903">
            <v>43224</v>
          </cell>
        </row>
        <row r="5904">
          <cell r="B5904" t="str">
            <v>Əzizov Akif Xalıq</v>
          </cell>
          <cell r="C5904" t="str">
            <v>Neftçala  filialı</v>
          </cell>
          <cell r="D5904" t="str">
            <v>#</v>
          </cell>
          <cell r="E5904" t="str">
            <v>Xidmət bölməsi</v>
          </cell>
          <cell r="F5904" t="str">
            <v>Müştərilərlə iş üzrə mütəxəssis</v>
          </cell>
          <cell r="G5904" t="str">
            <v>A</v>
          </cell>
          <cell r="H5904">
            <v>45708</v>
          </cell>
        </row>
        <row r="5905">
          <cell r="B5905" t="str">
            <v>Əliyev Qəmbər Rahib</v>
          </cell>
          <cell r="C5905" t="str">
            <v>Neftçala  filialı</v>
          </cell>
          <cell r="D5905" t="str">
            <v>#</v>
          </cell>
          <cell r="E5905" t="str">
            <v>Xidmət bölməsi</v>
          </cell>
          <cell r="F5905" t="str">
            <v>Məlumat xidməti üzrə kiçik mütəxəssis</v>
          </cell>
          <cell r="G5905" t="str">
            <v>A</v>
          </cell>
          <cell r="H5905">
            <v>46057</v>
          </cell>
        </row>
        <row r="5906">
          <cell r="B5906" t="str">
            <v>Quliyeva Qəribə Ağamali</v>
          </cell>
          <cell r="C5906" t="str">
            <v>Neftçala  filialı</v>
          </cell>
          <cell r="D5906" t="str">
            <v>#</v>
          </cell>
          <cell r="E5906" t="str">
            <v>Xidmət bölməsi</v>
          </cell>
          <cell r="F5906" t="str">
            <v>Kassa üzrə kiçik mütəxəssis</v>
          </cell>
          <cell r="G5906" t="str">
            <v>A</v>
          </cell>
          <cell r="H5906">
            <v>46238</v>
          </cell>
        </row>
        <row r="5907">
          <cell r="B5907" t="str">
            <v>Hüseynova Rəisə Fayaz</v>
          </cell>
          <cell r="C5907" t="str">
            <v>Neftçala  filialı</v>
          </cell>
          <cell r="D5907" t="str">
            <v>#</v>
          </cell>
          <cell r="E5907" t="str">
            <v>İnzibati bölmə</v>
          </cell>
          <cell r="F5907" t="str">
            <v>Xadimə</v>
          </cell>
          <cell r="G5907" t="str">
            <v>A</v>
          </cell>
          <cell r="H5907">
            <v>42705</v>
          </cell>
        </row>
        <row r="5908">
          <cell r="B5908" t="str">
            <v>Qüddəsərli Araz Zahir</v>
          </cell>
          <cell r="C5908" t="str">
            <v>Oğuz filialı</v>
          </cell>
          <cell r="D5908" t="str">
            <v>#</v>
          </cell>
          <cell r="E5908" t="str">
            <v>#</v>
          </cell>
          <cell r="F5908" t="str">
            <v>Müdir</v>
          </cell>
          <cell r="G5908" t="str">
            <v>A</v>
          </cell>
          <cell r="H5908">
            <v>44358</v>
          </cell>
        </row>
        <row r="5909">
          <cell r="B5909" t="str">
            <v>İsgəndərov İsgəndər Tərlan</v>
          </cell>
          <cell r="C5909" t="str">
            <v>Oğuz filialı</v>
          </cell>
          <cell r="D5909" t="str">
            <v>#</v>
          </cell>
          <cell r="E5909" t="str">
            <v>Xidmət bölməsi</v>
          </cell>
          <cell r="F5909" t="str">
            <v>Kassa üzrə baş mütəxəssis</v>
          </cell>
          <cell r="G5909" t="str">
            <v>A</v>
          </cell>
          <cell r="H5909">
            <v>43623</v>
          </cell>
        </row>
        <row r="5910">
          <cell r="B5910" t="str">
            <v>Alxasov Vüsal Alxas</v>
          </cell>
          <cell r="C5910" t="str">
            <v>Oğuz filialı</v>
          </cell>
          <cell r="D5910" t="str">
            <v>#</v>
          </cell>
          <cell r="E5910" t="str">
            <v>Xidmət bölməsi</v>
          </cell>
          <cell r="F5910" t="str">
            <v>Müştərilərlə iş üzrə baş mütəxəssis</v>
          </cell>
          <cell r="G5910" t="str">
            <v>A</v>
          </cell>
          <cell r="H5910">
            <v>43661</v>
          </cell>
        </row>
        <row r="5911">
          <cell r="B5911" t="str">
            <v>Məmmədov Xətai Fərrux</v>
          </cell>
          <cell r="C5911" t="str">
            <v>Oğuz filialı</v>
          </cell>
          <cell r="D5911" t="str">
            <v>#</v>
          </cell>
          <cell r="E5911" t="str">
            <v>Xidmət bölməsi</v>
          </cell>
          <cell r="F5911" t="str">
            <v>Müştərilərlə iş üzrə baş mütəxəssis</v>
          </cell>
          <cell r="G5911" t="str">
            <v>A</v>
          </cell>
          <cell r="H5911">
            <v>42516</v>
          </cell>
        </row>
        <row r="5912">
          <cell r="B5912" t="str">
            <v>Salamlı Anar Ələfsər</v>
          </cell>
          <cell r="C5912" t="str">
            <v>Oğuz filialı</v>
          </cell>
          <cell r="D5912" t="str">
            <v>#</v>
          </cell>
          <cell r="E5912" t="str">
            <v>Xidmət bölməsi</v>
          </cell>
          <cell r="F5912" t="str">
            <v>Müştərilərlə iş üzrə baş mütəxəssis</v>
          </cell>
          <cell r="G5912" t="str">
            <v>A</v>
          </cell>
          <cell r="H5912">
            <v>42060</v>
          </cell>
        </row>
        <row r="5913">
          <cell r="B5913" t="str">
            <v>Nəsirova Turanə Adil</v>
          </cell>
          <cell r="C5913" t="str">
            <v>Oğuz filialı</v>
          </cell>
          <cell r="D5913" t="str">
            <v>#</v>
          </cell>
          <cell r="E5913" t="str">
            <v>Xidmət bölməsi</v>
          </cell>
          <cell r="F5913" t="str">
            <v>Müştərilərlə iş üzrə aparıcı mütəxəssis</v>
          </cell>
          <cell r="G5913" t="str">
            <v>SM</v>
          </cell>
          <cell r="H5913">
            <v>42614</v>
          </cell>
        </row>
        <row r="5914">
          <cell r="B5914" t="str">
            <v>Oruclu Şamxal İlyas</v>
          </cell>
          <cell r="C5914" t="str">
            <v>Oğuz filialı</v>
          </cell>
          <cell r="D5914" t="str">
            <v>#</v>
          </cell>
          <cell r="E5914" t="str">
            <v>Xidmət bölməsi</v>
          </cell>
          <cell r="F5914" t="str">
            <v>Müştərilərlə iş üzrə mütəxəssis (müvəqqəti)</v>
          </cell>
          <cell r="G5914" t="str">
            <v>A</v>
          </cell>
          <cell r="H5914">
            <v>44890</v>
          </cell>
        </row>
        <row r="5915">
          <cell r="B5915" t="str">
            <v>Əlizadə Sani Aydın</v>
          </cell>
          <cell r="C5915" t="str">
            <v>Oğuz filialı</v>
          </cell>
          <cell r="D5915" t="str">
            <v>#</v>
          </cell>
          <cell r="E5915" t="str">
            <v>Xidmət bölməsi</v>
          </cell>
          <cell r="F5915" t="str">
            <v>Məlumat xidməti üzrə kiçik mütəxəssis</v>
          </cell>
          <cell r="G5915" t="str">
            <v>A</v>
          </cell>
          <cell r="H5915">
            <v>46206</v>
          </cell>
        </row>
        <row r="5916">
          <cell r="B5916" t="str">
            <v>Əbdürəhmanova Nəzakət Muxtar</v>
          </cell>
          <cell r="C5916" t="str">
            <v>Oğuz filialı</v>
          </cell>
          <cell r="D5916" t="str">
            <v>#</v>
          </cell>
          <cell r="E5916" t="str">
            <v>İnzibati bölmə</v>
          </cell>
          <cell r="F5916" t="str">
            <v>Xadimə</v>
          </cell>
          <cell r="G5916" t="str">
            <v>A</v>
          </cell>
          <cell r="H5916">
            <v>40087</v>
          </cell>
        </row>
        <row r="5917">
          <cell r="B5917" t="str">
            <v>GUSEINOV SABIR</v>
          </cell>
          <cell r="C5917" t="str">
            <v>Saatlı  filialı</v>
          </cell>
          <cell r="D5917" t="str">
            <v>#</v>
          </cell>
          <cell r="E5917" t="str">
            <v>#</v>
          </cell>
          <cell r="F5917" t="str">
            <v>Müdir</v>
          </cell>
          <cell r="G5917" t="str">
            <v>A</v>
          </cell>
          <cell r="H5917">
            <v>41619</v>
          </cell>
        </row>
        <row r="5918">
          <cell r="B5918" t="str">
            <v>Novruzov Sadiq Səxavət</v>
          </cell>
          <cell r="C5918" t="str">
            <v>Saatlı  filialı</v>
          </cell>
          <cell r="D5918" t="str">
            <v>#</v>
          </cell>
          <cell r="E5918" t="str">
            <v>Xidmət bölməsi</v>
          </cell>
          <cell r="F5918" t="str">
            <v xml:space="preserve">Aparıcı əməliyyatçı-kassir </v>
          </cell>
          <cell r="G5918" t="str">
            <v>A</v>
          </cell>
          <cell r="H5918">
            <v>42537</v>
          </cell>
        </row>
        <row r="5919">
          <cell r="B5919" t="str">
            <v>Qasımov Elçin Ulxan</v>
          </cell>
          <cell r="C5919" t="str">
            <v>Saatlı  filialı</v>
          </cell>
          <cell r="D5919" t="str">
            <v>#</v>
          </cell>
          <cell r="E5919" t="str">
            <v>Xidmət bölməsi</v>
          </cell>
          <cell r="F5919" t="str">
            <v xml:space="preserve">Aparıcı əməliyyatçı-kassir </v>
          </cell>
          <cell r="G5919" t="str">
            <v>A</v>
          </cell>
          <cell r="H5919">
            <v>41106</v>
          </cell>
        </row>
        <row r="5920">
          <cell r="B5920" t="str">
            <v>Hüseynov Sənan Gülhüseyn</v>
          </cell>
          <cell r="C5920" t="str">
            <v>Saatlı  filialı</v>
          </cell>
          <cell r="D5920" t="str">
            <v>#</v>
          </cell>
          <cell r="E5920" t="str">
            <v>Xidmət bölməsi</v>
          </cell>
          <cell r="F5920" t="str">
            <v>Kassa üzrə baş mütəxəssis</v>
          </cell>
          <cell r="G5920" t="str">
            <v>A</v>
          </cell>
          <cell r="H5920">
            <v>39190</v>
          </cell>
        </row>
        <row r="5921">
          <cell r="B5921" t="str">
            <v>İbrəhimov Elvin Babaş</v>
          </cell>
          <cell r="C5921" t="str">
            <v>Saatlı  filialı</v>
          </cell>
          <cell r="D5921" t="str">
            <v>#</v>
          </cell>
          <cell r="E5921" t="str">
            <v>Xidmət bölməsi</v>
          </cell>
          <cell r="F5921" t="str">
            <v>Müştərilərlə iş üzrə baş mütəxəssis</v>
          </cell>
          <cell r="G5921" t="str">
            <v>A</v>
          </cell>
          <cell r="H5921">
            <v>42191</v>
          </cell>
        </row>
        <row r="5922">
          <cell r="B5922" t="str">
            <v>Əhmədov Xalid Ayaz</v>
          </cell>
          <cell r="C5922" t="str">
            <v>Saatlı  filialı</v>
          </cell>
          <cell r="D5922" t="str">
            <v>#</v>
          </cell>
          <cell r="E5922" t="str">
            <v>Xidmət bölməsi</v>
          </cell>
          <cell r="F5922" t="str">
            <v>Müştərilərlə iş üzrə baş mütəxəssis</v>
          </cell>
          <cell r="G5922" t="str">
            <v>A</v>
          </cell>
          <cell r="H5922">
            <v>40781</v>
          </cell>
        </row>
        <row r="5923">
          <cell r="B5923" t="str">
            <v>Zeynalov Tural Ramiz</v>
          </cell>
          <cell r="C5923" t="str">
            <v>Saatlı  filialı</v>
          </cell>
          <cell r="D5923" t="str">
            <v>#</v>
          </cell>
          <cell r="E5923" t="str">
            <v>Xidmət bölməsi</v>
          </cell>
          <cell r="F5923" t="str">
            <v>Müştərilərlə iş üzrə baş mütəxəssis</v>
          </cell>
          <cell r="G5923" t="str">
            <v>A</v>
          </cell>
          <cell r="H5923">
            <v>43479</v>
          </cell>
        </row>
        <row r="5924">
          <cell r="B5924" t="str">
            <v>Rəsulzadə Aynur Nuşirəvan</v>
          </cell>
          <cell r="C5924" t="str">
            <v>Saatlı  filialı</v>
          </cell>
          <cell r="D5924" t="str">
            <v>#</v>
          </cell>
          <cell r="E5924" t="str">
            <v>Xidmət bölməsi</v>
          </cell>
          <cell r="F5924" t="str">
            <v>Müştərilərlə iş üzrə aparıcı mütəxəssis</v>
          </cell>
          <cell r="G5924" t="str">
            <v>A</v>
          </cell>
          <cell r="H5924">
            <v>44890</v>
          </cell>
        </row>
        <row r="5925">
          <cell r="B5925" t="str">
            <v>Qasımzadə Ağaməli Semur</v>
          </cell>
          <cell r="C5925" t="str">
            <v>Saatlı  filialı</v>
          </cell>
          <cell r="D5925" t="str">
            <v>#</v>
          </cell>
          <cell r="E5925" t="str">
            <v>Xidmət bölməsi</v>
          </cell>
          <cell r="F5925" t="str">
            <v>Məlumat xidməti üzrə kiçik mütəxəssis</v>
          </cell>
          <cell r="G5925" t="str">
            <v>A</v>
          </cell>
          <cell r="H5925">
            <v>46097</v>
          </cell>
        </row>
        <row r="5926">
          <cell r="B5926" t="str">
            <v>Məmmədova Saratel Allahverdi</v>
          </cell>
          <cell r="C5926" t="str">
            <v>Saatlı  filialı</v>
          </cell>
          <cell r="D5926" t="str">
            <v>#</v>
          </cell>
          <cell r="E5926" t="str">
            <v>İnzibati bölmə</v>
          </cell>
          <cell r="F5926" t="str">
            <v>Xadimə</v>
          </cell>
          <cell r="G5926" t="str">
            <v>A</v>
          </cell>
          <cell r="H5926">
            <v>38733</v>
          </cell>
        </row>
        <row r="5927">
          <cell r="B5927" t="str">
            <v>Quliyev İqbal İlyas</v>
          </cell>
          <cell r="C5927" t="str">
            <v>Sabirabad  filialı</v>
          </cell>
          <cell r="D5927" t="str">
            <v>#</v>
          </cell>
          <cell r="E5927" t="str">
            <v>#</v>
          </cell>
          <cell r="F5927" t="str">
            <v>Müdir</v>
          </cell>
          <cell r="G5927" t="str">
            <v>A</v>
          </cell>
          <cell r="H5927">
            <v>42278</v>
          </cell>
        </row>
        <row r="5928">
          <cell r="B5928" t="str">
            <v>Cəbrayılov Mahir Tahir</v>
          </cell>
          <cell r="C5928" t="str">
            <v>Sabirabad  filialı</v>
          </cell>
          <cell r="D5928" t="str">
            <v>#</v>
          </cell>
          <cell r="E5928" t="str">
            <v>Xidmət bölməsi</v>
          </cell>
          <cell r="F5928" t="str">
            <v>Kassa üzrə baş mütəxəssis</v>
          </cell>
          <cell r="G5928" t="str">
            <v>A</v>
          </cell>
          <cell r="H5928">
            <v>38400</v>
          </cell>
        </row>
        <row r="5929">
          <cell r="B5929" t="str">
            <v>Əliyev Aqşin Təyyar</v>
          </cell>
          <cell r="C5929" t="str">
            <v>Sabirabad  filialı</v>
          </cell>
          <cell r="D5929" t="str">
            <v>#</v>
          </cell>
          <cell r="E5929" t="str">
            <v>Xidmət bölməsi</v>
          </cell>
          <cell r="F5929" t="str">
            <v>Əməliyyatçı-kassir</v>
          </cell>
          <cell r="G5929" t="str">
            <v>A</v>
          </cell>
          <cell r="H5929">
            <v>44921</v>
          </cell>
        </row>
        <row r="5930">
          <cell r="B5930" t="str">
            <v>Qarayeva Cəvahir Arif</v>
          </cell>
          <cell r="C5930" t="str">
            <v>Sabirabad  filialı</v>
          </cell>
          <cell r="D5930" t="str">
            <v>#</v>
          </cell>
          <cell r="E5930" t="str">
            <v>Xidmət bölməsi</v>
          </cell>
          <cell r="F5930" t="str">
            <v>Müştərilərlə iş üzrə baş mütəxəssis</v>
          </cell>
          <cell r="G5930" t="str">
            <v>A</v>
          </cell>
          <cell r="H5930">
            <v>43774</v>
          </cell>
        </row>
        <row r="5931">
          <cell r="B5931" t="str">
            <v>Abasov Razi Həmid</v>
          </cell>
          <cell r="C5931" t="str">
            <v>Sabirabad  filialı</v>
          </cell>
          <cell r="D5931" t="str">
            <v>#</v>
          </cell>
          <cell r="E5931" t="str">
            <v>Xidmət bölməsi</v>
          </cell>
          <cell r="F5931" t="str">
            <v>Müştərilərlə iş üzrə baş mütəxəssis</v>
          </cell>
          <cell r="G5931" t="str">
            <v>A</v>
          </cell>
          <cell r="H5931">
            <v>42821</v>
          </cell>
        </row>
        <row r="5932">
          <cell r="B5932" t="str">
            <v>Hüseynzadə Mirmehdi Şahin</v>
          </cell>
          <cell r="C5932" t="str">
            <v>Sabirabad  filialı</v>
          </cell>
          <cell r="D5932" t="str">
            <v>#</v>
          </cell>
          <cell r="E5932" t="str">
            <v>Xidmət bölməsi</v>
          </cell>
          <cell r="F5932" t="str">
            <v>Müştərilərlə iş üzrə baş mütəxəssis</v>
          </cell>
          <cell r="G5932" t="str">
            <v>A</v>
          </cell>
          <cell r="H5932">
            <v>43766</v>
          </cell>
        </row>
        <row r="5933">
          <cell r="B5933" t="str">
            <v>Əflatunov Aydın Yuris</v>
          </cell>
          <cell r="C5933" t="str">
            <v>Sabirabad  filialı</v>
          </cell>
          <cell r="D5933" t="str">
            <v>#</v>
          </cell>
          <cell r="E5933" t="str">
            <v>Xidmət bölməsi</v>
          </cell>
          <cell r="F5933" t="str">
            <v>Müştərilərlə iş üzrə baş mütəxəssis</v>
          </cell>
          <cell r="G5933" t="str">
            <v>A</v>
          </cell>
          <cell r="H5933">
            <v>44020</v>
          </cell>
        </row>
        <row r="5934">
          <cell r="B5934" t="str">
            <v>Əliyev Nihad Nicat</v>
          </cell>
          <cell r="C5934" t="str">
            <v>Sabirabad  filialı</v>
          </cell>
          <cell r="D5934" t="str">
            <v>#</v>
          </cell>
          <cell r="E5934" t="str">
            <v>Xidmət bölməsi</v>
          </cell>
          <cell r="F5934" t="str">
            <v>Müştərilərlə iş üzrə baş mütəxəssis</v>
          </cell>
          <cell r="G5934" t="str">
            <v>A</v>
          </cell>
          <cell r="H5934">
            <v>44298</v>
          </cell>
        </row>
        <row r="5935">
          <cell r="B5935" t="str">
            <v>Məmmədli Mahmud Şahin</v>
          </cell>
          <cell r="C5935" t="str">
            <v>Sabirabad  filialı</v>
          </cell>
          <cell r="D5935" t="str">
            <v>#</v>
          </cell>
          <cell r="E5935" t="str">
            <v>Xidmət bölməsi</v>
          </cell>
          <cell r="F5935" t="str">
            <v>Müştərilərlə iş üzrə baş mütəxəssis</v>
          </cell>
          <cell r="G5935" t="str">
            <v>A</v>
          </cell>
          <cell r="H5935">
            <v>43388</v>
          </cell>
        </row>
        <row r="5936">
          <cell r="B5936" t="str">
            <v>Balakişiyeva Lamiyə Natiq</v>
          </cell>
          <cell r="C5936" t="str">
            <v>Sabirabad  filialı</v>
          </cell>
          <cell r="D5936" t="str">
            <v>#</v>
          </cell>
          <cell r="E5936" t="str">
            <v>Xidmət bölməsi</v>
          </cell>
          <cell r="F5936" t="str">
            <v>Müştərilərlə iş üzrə baş mütəxəssis</v>
          </cell>
          <cell r="G5936" t="str">
            <v>A</v>
          </cell>
          <cell r="H5936">
            <v>44595</v>
          </cell>
        </row>
        <row r="5937">
          <cell r="B5937" t="str">
            <v>Əsgərzadə Əsgər Dilavər</v>
          </cell>
          <cell r="C5937" t="str">
            <v>Sabirabad  filialı</v>
          </cell>
          <cell r="D5937" t="str">
            <v>#</v>
          </cell>
          <cell r="E5937" t="str">
            <v>Xidmət bölməsi</v>
          </cell>
          <cell r="F5937" t="str">
            <v>Müştərilərlə iş üzrə aparıcı mütəxəssis</v>
          </cell>
          <cell r="G5937" t="str">
            <v>A</v>
          </cell>
          <cell r="H5937">
            <v>44775</v>
          </cell>
        </row>
        <row r="5938">
          <cell r="B5938" t="str">
            <v>Kazımov Məhəmməd Ziyad</v>
          </cell>
          <cell r="C5938" t="str">
            <v>Sabirabad  filialı</v>
          </cell>
          <cell r="D5938" t="str">
            <v>#</v>
          </cell>
          <cell r="E5938" t="str">
            <v>Xidmət bölməsi</v>
          </cell>
          <cell r="F5938" t="str">
            <v>Müştərilərlə iş üzrə mütəxəssis</v>
          </cell>
          <cell r="G5938" t="str">
            <v>A</v>
          </cell>
          <cell r="H5938">
            <v>45638</v>
          </cell>
        </row>
        <row r="5939">
          <cell r="B5939" t="str">
            <v>Vəliyeva Svetlana Serqeyevna</v>
          </cell>
          <cell r="C5939" t="str">
            <v>Sabirabad  filialı</v>
          </cell>
          <cell r="D5939" t="str">
            <v>#</v>
          </cell>
          <cell r="E5939" t="str">
            <v>İnzibati bölmə</v>
          </cell>
          <cell r="F5939" t="str">
            <v>Xadimə</v>
          </cell>
          <cell r="G5939" t="str">
            <v>A</v>
          </cell>
          <cell r="H5939">
            <v>45915</v>
          </cell>
        </row>
        <row r="5940">
          <cell r="B5940" t="str">
            <v>Məmmədov Samir İlqar</v>
          </cell>
          <cell r="C5940" t="str">
            <v>Salyan  filialı</v>
          </cell>
          <cell r="D5940" t="str">
            <v>#</v>
          </cell>
          <cell r="E5940" t="str">
            <v>#</v>
          </cell>
          <cell r="F5940" t="str">
            <v>Müdir</v>
          </cell>
          <cell r="G5940" t="str">
            <v>A</v>
          </cell>
          <cell r="H5940">
            <v>44015</v>
          </cell>
        </row>
        <row r="5941">
          <cell r="B5941" t="str">
            <v>Dadaşova Leyla Əbülfəz</v>
          </cell>
          <cell r="C5941" t="str">
            <v>Salyan  filialı</v>
          </cell>
          <cell r="D5941" t="str">
            <v>#</v>
          </cell>
          <cell r="E5941" t="str">
            <v>Xidmət bölməsi</v>
          </cell>
          <cell r="F5941" t="str">
            <v>Kassa üzrə baş mütəxəssis</v>
          </cell>
          <cell r="G5941" t="str">
            <v>A</v>
          </cell>
          <cell r="H5941">
            <v>39539</v>
          </cell>
        </row>
        <row r="5942">
          <cell r="B5942" t="str">
            <v>Məmmədova Həmidə Əfqan</v>
          </cell>
          <cell r="C5942" t="str">
            <v>Salyan  filialı</v>
          </cell>
          <cell r="D5942" t="str">
            <v>#</v>
          </cell>
          <cell r="E5942" t="str">
            <v>Xidmət bölməsi</v>
          </cell>
          <cell r="F5942" t="str">
            <v>Kassa üzrə baş mütəxəssis</v>
          </cell>
          <cell r="G5942" t="str">
            <v>A</v>
          </cell>
          <cell r="H5942">
            <v>43893</v>
          </cell>
        </row>
        <row r="5943">
          <cell r="B5943" t="str">
            <v>Əkbərov Fərhad Saday</v>
          </cell>
          <cell r="C5943" t="str">
            <v>Salyan  filialı</v>
          </cell>
          <cell r="D5943" t="str">
            <v>#</v>
          </cell>
          <cell r="E5943" t="str">
            <v>Xidmət bölməsi</v>
          </cell>
          <cell r="F5943" t="str">
            <v>Kiçik əməliyyatçı-kassir</v>
          </cell>
          <cell r="G5943" t="str">
            <v>A</v>
          </cell>
          <cell r="H5943">
            <v>37362</v>
          </cell>
        </row>
        <row r="5944">
          <cell r="B5944" t="str">
            <v>Nəzərova Aytən Mehman</v>
          </cell>
          <cell r="C5944" t="str">
            <v>Salyan  filialı</v>
          </cell>
          <cell r="D5944" t="str">
            <v>#</v>
          </cell>
          <cell r="E5944" t="str">
            <v>Xidmət bölməsi</v>
          </cell>
          <cell r="F5944" t="str">
            <v>Məlumat xidməti üzrə mütəxəssis</v>
          </cell>
          <cell r="G5944" t="str">
            <v>A</v>
          </cell>
          <cell r="H5944">
            <v>45933</v>
          </cell>
        </row>
        <row r="5945">
          <cell r="B5945" t="str">
            <v>Qədirli Elçin Qurban</v>
          </cell>
          <cell r="C5945" t="str">
            <v>Salyan  filialı</v>
          </cell>
          <cell r="D5945" t="str">
            <v>#</v>
          </cell>
          <cell r="E5945" t="str">
            <v>Xidmət bölməsi</v>
          </cell>
          <cell r="F5945" t="str">
            <v>Müştərilərlə iş üzrə baş mütəxəssis</v>
          </cell>
          <cell r="G5945" t="str">
            <v>A</v>
          </cell>
          <cell r="H5945">
            <v>42809</v>
          </cell>
        </row>
        <row r="5946">
          <cell r="B5946" t="str">
            <v>Cəfərov Ramil Rabil</v>
          </cell>
          <cell r="C5946" t="str">
            <v>Salyan  filialı</v>
          </cell>
          <cell r="D5946" t="str">
            <v>#</v>
          </cell>
          <cell r="E5946" t="str">
            <v>Xidmət bölməsi</v>
          </cell>
          <cell r="F5946" t="str">
            <v>Bölmə rəhbəri</v>
          </cell>
          <cell r="G5946" t="str">
            <v>A</v>
          </cell>
          <cell r="H5946">
            <v>41995</v>
          </cell>
        </row>
        <row r="5947">
          <cell r="B5947" t="str">
            <v>Hüseynov Kamran Mirdaməd</v>
          </cell>
          <cell r="C5947" t="str">
            <v>Salyan  filialı</v>
          </cell>
          <cell r="D5947" t="str">
            <v>#</v>
          </cell>
          <cell r="E5947" t="str">
            <v>Xidmət bölməsi</v>
          </cell>
          <cell r="F5947" t="str">
            <v>Müştərilərlə iş üzrə baş mütəxəssis</v>
          </cell>
          <cell r="G5947" t="str">
            <v>A</v>
          </cell>
          <cell r="H5947">
            <v>41927</v>
          </cell>
        </row>
        <row r="5948">
          <cell r="B5948" t="str">
            <v>Şirinzadə Həmid İntiqam</v>
          </cell>
          <cell r="C5948" t="str">
            <v>Salyan  filialı</v>
          </cell>
          <cell r="D5948" t="str">
            <v>#</v>
          </cell>
          <cell r="E5948" t="str">
            <v>Xidmət bölməsi</v>
          </cell>
          <cell r="F5948" t="str">
            <v>Müştərilərlə iş üzrə baş mütəxəssis</v>
          </cell>
          <cell r="G5948" t="str">
            <v>A</v>
          </cell>
          <cell r="H5948">
            <v>43563</v>
          </cell>
        </row>
        <row r="5949">
          <cell r="B5949" t="str">
            <v>Babayev Hüseyn Gülməmməd</v>
          </cell>
          <cell r="C5949" t="str">
            <v>Salyan  filialı</v>
          </cell>
          <cell r="D5949" t="str">
            <v>#</v>
          </cell>
          <cell r="E5949" t="str">
            <v>Xidmət bölməsi</v>
          </cell>
          <cell r="F5949" t="str">
            <v>Müştərilərlə iş üzrə baş mütəxəssis</v>
          </cell>
          <cell r="G5949" t="str">
            <v>A</v>
          </cell>
          <cell r="H5949">
            <v>44274</v>
          </cell>
        </row>
        <row r="5950">
          <cell r="B5950" t="str">
            <v>Səlimova Sədaqət Zahid</v>
          </cell>
          <cell r="C5950" t="str">
            <v>Salyan  filialı</v>
          </cell>
          <cell r="D5950" t="str">
            <v>#</v>
          </cell>
          <cell r="E5950" t="str">
            <v>Xidmət bölməsi</v>
          </cell>
          <cell r="F5950" t="str">
            <v>Müştərilərlə iş üzrə aparıcı mütəxəssis</v>
          </cell>
          <cell r="G5950" t="str">
            <v>SM</v>
          </cell>
          <cell r="H5950">
            <v>44686</v>
          </cell>
        </row>
        <row r="5951">
          <cell r="B5951" t="str">
            <v>Ələkbərova Aysel Abbasəli</v>
          </cell>
          <cell r="C5951" t="str">
            <v>Salyan  filialı</v>
          </cell>
          <cell r="D5951" t="str">
            <v>#</v>
          </cell>
          <cell r="E5951" t="str">
            <v>Xidmət bölməsi</v>
          </cell>
          <cell r="F5951" t="str">
            <v>Müştərilərlə iş üzrə mütəxəssis</v>
          </cell>
          <cell r="G5951" t="str">
            <v>A</v>
          </cell>
          <cell r="H5951">
            <v>43745</v>
          </cell>
        </row>
        <row r="5952">
          <cell r="B5952" t="str">
            <v>Kazımlı Orxan Kazım</v>
          </cell>
          <cell r="C5952" t="str">
            <v>Salyan  filialı</v>
          </cell>
          <cell r="D5952" t="str">
            <v>#</v>
          </cell>
          <cell r="E5952" t="str">
            <v>Xidmət bölməsi</v>
          </cell>
          <cell r="F5952" t="str">
            <v>Müştərilərlə iş üzrə mütəxəssis</v>
          </cell>
          <cell r="G5952" t="str">
            <v>A</v>
          </cell>
          <cell r="H5952">
            <v>45706</v>
          </cell>
        </row>
        <row r="5953">
          <cell r="B5953" t="str">
            <v>Abbasova Elmira Mahir</v>
          </cell>
          <cell r="C5953" t="str">
            <v>Salyan  filialı</v>
          </cell>
          <cell r="D5953" t="str">
            <v>#</v>
          </cell>
          <cell r="E5953" t="str">
            <v>Xidmət bölməsi</v>
          </cell>
          <cell r="F5953" t="str">
            <v>Müştərilərlə iş üzrə mütəxəssis</v>
          </cell>
          <cell r="G5953" t="str">
            <v>A</v>
          </cell>
          <cell r="H5953">
            <v>43563</v>
          </cell>
        </row>
        <row r="5954">
          <cell r="B5954" t="str">
            <v>Zeynalova Esmira Nabil</v>
          </cell>
          <cell r="C5954" t="str">
            <v>Salyan  filialı</v>
          </cell>
          <cell r="D5954" t="str">
            <v>#</v>
          </cell>
          <cell r="E5954" t="str">
            <v>İnzibati bölmə</v>
          </cell>
          <cell r="F5954" t="str">
            <v>Xadimə</v>
          </cell>
          <cell r="G5954" t="str">
            <v>A</v>
          </cell>
          <cell r="H5954">
            <v>42067</v>
          </cell>
        </row>
        <row r="5955">
          <cell r="B5955" t="str">
            <v>Rzayev Rəşad Mübariz</v>
          </cell>
          <cell r="C5955" t="str">
            <v>Salyan  filialı</v>
          </cell>
          <cell r="D5955" t="str">
            <v>#</v>
          </cell>
          <cell r="E5955" t="str">
            <v>Mikro kredit bölməsi</v>
          </cell>
          <cell r="F5955" t="str">
            <v>Bölmə rəhbəri</v>
          </cell>
          <cell r="G5955" t="str">
            <v>A</v>
          </cell>
          <cell r="H5955">
            <v>44887</v>
          </cell>
        </row>
        <row r="5956">
          <cell r="B5956" t="str">
            <v>Nəcəfov Elmir Nurəddin</v>
          </cell>
          <cell r="C5956" t="str">
            <v>Salyan  filialı</v>
          </cell>
          <cell r="D5956" t="str">
            <v>#</v>
          </cell>
          <cell r="E5956" t="str">
            <v>Mikro kredit bölməsi</v>
          </cell>
          <cell r="F5956" t="str">
            <v>Aparıcı mütəxəssis</v>
          </cell>
          <cell r="G5956" t="str">
            <v>A</v>
          </cell>
          <cell r="H5956">
            <v>44452</v>
          </cell>
        </row>
        <row r="5957">
          <cell r="B5957" t="str">
            <v>Hüseynov Cavid Habil</v>
          </cell>
          <cell r="C5957" t="str">
            <v>Salyan  filialı</v>
          </cell>
          <cell r="D5957" t="str">
            <v>#</v>
          </cell>
          <cell r="E5957" t="str">
            <v>Mikro kredit bölməsi</v>
          </cell>
          <cell r="F5957" t="str">
            <v>Mütəxəssis</v>
          </cell>
          <cell r="G5957" t="str">
            <v>A</v>
          </cell>
          <cell r="H5957">
            <v>45848</v>
          </cell>
        </row>
        <row r="5958">
          <cell r="B5958" t="str">
            <v>Abışov Faiq Əliyar</v>
          </cell>
          <cell r="C5958" t="str">
            <v>Salyan  filialı</v>
          </cell>
          <cell r="D5958" t="str">
            <v>#</v>
          </cell>
          <cell r="E5958" t="str">
            <v>Mikro kredit bölməsi</v>
          </cell>
          <cell r="F5958" t="str">
            <v>Aparıcı mütəxəssis</v>
          </cell>
          <cell r="G5958" t="str">
            <v>A</v>
          </cell>
          <cell r="H5958">
            <v>46247</v>
          </cell>
        </row>
        <row r="5959">
          <cell r="B5959" t="str">
            <v>Məmmədov Eldəniz Hüseyn</v>
          </cell>
          <cell r="C5959" t="str">
            <v>Salyan  filialı</v>
          </cell>
          <cell r="D5959" t="str">
            <v>#</v>
          </cell>
          <cell r="E5959" t="str">
            <v>Mikro kredit bölməsi</v>
          </cell>
          <cell r="F5959" t="str">
            <v>Kiçik mütəxəssis</v>
          </cell>
          <cell r="G5959" t="str">
            <v>A</v>
          </cell>
          <cell r="H5959">
            <v>45992</v>
          </cell>
        </row>
        <row r="5960">
          <cell r="B5960" t="str">
            <v>Mürşüdov Elbrus Göycə</v>
          </cell>
          <cell r="C5960" t="str">
            <v>Samux  filialı</v>
          </cell>
          <cell r="D5960" t="str">
            <v>#</v>
          </cell>
          <cell r="E5960" t="str">
            <v>#</v>
          </cell>
          <cell r="F5960" t="str">
            <v>Müdir</v>
          </cell>
          <cell r="G5960" t="str">
            <v>A</v>
          </cell>
          <cell r="H5960">
            <v>36711</v>
          </cell>
        </row>
        <row r="5961">
          <cell r="B5961" t="str">
            <v>Orucova Bənövşə Turan</v>
          </cell>
          <cell r="C5961" t="str">
            <v>Samux  filialı</v>
          </cell>
          <cell r="D5961" t="str">
            <v>#</v>
          </cell>
          <cell r="E5961" t="str">
            <v>Xidmət bölməsi</v>
          </cell>
          <cell r="F5961" t="str">
            <v>Kassa üzrə baş mütəxəssis</v>
          </cell>
          <cell r="G5961" t="str">
            <v>A</v>
          </cell>
          <cell r="H5961">
            <v>36726</v>
          </cell>
        </row>
        <row r="5962">
          <cell r="B5962" t="str">
            <v>Mustafayeva Həqiqət İltifat</v>
          </cell>
          <cell r="C5962" t="str">
            <v>Samux  filialı</v>
          </cell>
          <cell r="D5962" t="str">
            <v>#</v>
          </cell>
          <cell r="E5962" t="str">
            <v>Xidmət bölməsi</v>
          </cell>
          <cell r="F5962" t="str">
            <v>Məlumat xidməti üzrə mütəxəssis</v>
          </cell>
          <cell r="G5962" t="str">
            <v>SM</v>
          </cell>
          <cell r="H5962">
            <v>44631</v>
          </cell>
        </row>
        <row r="5963">
          <cell r="B5963" t="str">
            <v>Balayev Həmzə Alim</v>
          </cell>
          <cell r="C5963" t="str">
            <v>Samux  filialı</v>
          </cell>
          <cell r="D5963" t="str">
            <v>#</v>
          </cell>
          <cell r="E5963" t="str">
            <v>Xidmət bölməsi</v>
          </cell>
          <cell r="F5963" t="str">
            <v>Məlumat xidməti üzrə mütəxəssis (müvəqqəti)</v>
          </cell>
          <cell r="G5963" t="str">
            <v>A</v>
          </cell>
          <cell r="H5963">
            <v>45691</v>
          </cell>
        </row>
        <row r="5964">
          <cell r="B5964" t="str">
            <v>Əliyev Rəşad Afəs</v>
          </cell>
          <cell r="C5964" t="str">
            <v>Samux  filialı</v>
          </cell>
          <cell r="D5964" t="str">
            <v>#</v>
          </cell>
          <cell r="E5964" t="str">
            <v>Xidmət bölməsi</v>
          </cell>
          <cell r="F5964" t="str">
            <v>Müştərilərlə iş üzrə baş mütəxəssis</v>
          </cell>
          <cell r="G5964" t="str">
            <v>A</v>
          </cell>
          <cell r="H5964">
            <v>40186</v>
          </cell>
        </row>
        <row r="5965">
          <cell r="B5965" t="str">
            <v>Həsənli Lalə Şuriya</v>
          </cell>
          <cell r="C5965" t="str">
            <v>Samux  filialı</v>
          </cell>
          <cell r="D5965" t="str">
            <v>#</v>
          </cell>
          <cell r="E5965" t="str">
            <v>Xidmət bölməsi</v>
          </cell>
          <cell r="F5965" t="str">
            <v>Müştərilərlə iş üzrə baş mütəxəssis</v>
          </cell>
          <cell r="G5965" t="str">
            <v>SM</v>
          </cell>
          <cell r="H5965">
            <v>41911</v>
          </cell>
        </row>
        <row r="5966">
          <cell r="B5966" t="str">
            <v>Zeynalova Solmaz Bəndər</v>
          </cell>
          <cell r="C5966" t="str">
            <v>Samux  filialı</v>
          </cell>
          <cell r="D5966" t="str">
            <v>#</v>
          </cell>
          <cell r="E5966" t="str">
            <v>Xidmət bölməsi</v>
          </cell>
          <cell r="F5966" t="str">
            <v>Müştərilərlə iş üzrə mütəxəssis (müvəqqəti)</v>
          </cell>
          <cell r="G5966" t="str">
            <v>A</v>
          </cell>
          <cell r="H5966">
            <v>45951</v>
          </cell>
        </row>
        <row r="5967">
          <cell r="B5967" t="str">
            <v>Mehdiyeva Aynurə Afiq</v>
          </cell>
          <cell r="C5967" t="str">
            <v>Samux  filialı</v>
          </cell>
          <cell r="D5967" t="str">
            <v>#</v>
          </cell>
          <cell r="E5967" t="str">
            <v>Xidmət bölməsi</v>
          </cell>
          <cell r="F5967" t="str">
            <v>Müştərilərlə iş üzrə mütəxəssis</v>
          </cell>
          <cell r="G5967" t="str">
            <v>SM</v>
          </cell>
          <cell r="H5967">
            <v>42758</v>
          </cell>
        </row>
        <row r="5968">
          <cell r="B5968" t="str">
            <v>Nəbiyeva Nəzirə Elcan</v>
          </cell>
          <cell r="C5968" t="str">
            <v>Samux  filialı</v>
          </cell>
          <cell r="D5968" t="str">
            <v>#</v>
          </cell>
          <cell r="E5968" t="str">
            <v>Xidmət bölməsi</v>
          </cell>
          <cell r="F5968" t="str">
            <v>Müştərilərlə iş üzrə kiçik mütəxəssis (müvəqqəti)</v>
          </cell>
          <cell r="G5968" t="str">
            <v>A</v>
          </cell>
          <cell r="H5968">
            <v>46016</v>
          </cell>
        </row>
        <row r="5969">
          <cell r="B5969" t="str">
            <v>Məmmədova Günel Nadir</v>
          </cell>
          <cell r="C5969" t="str">
            <v>Samux  filialı</v>
          </cell>
          <cell r="D5969" t="str">
            <v>#</v>
          </cell>
          <cell r="E5969" t="str">
            <v>Xidmət bölməsi</v>
          </cell>
          <cell r="F5969" t="str">
            <v>Müştərilərlə iş üzrə aparıcı mütəxəssis</v>
          </cell>
          <cell r="G5969" t="str">
            <v>A</v>
          </cell>
          <cell r="H5969">
            <v>45303</v>
          </cell>
        </row>
        <row r="5970">
          <cell r="B5970" t="str">
            <v>Əliyeva Mətanət Aydın</v>
          </cell>
          <cell r="C5970" t="str">
            <v>Samux  filialı</v>
          </cell>
          <cell r="D5970" t="str">
            <v>#</v>
          </cell>
          <cell r="E5970" t="str">
            <v>İnzibati bölmə</v>
          </cell>
          <cell r="F5970" t="str">
            <v>Xadimə</v>
          </cell>
          <cell r="G5970" t="str">
            <v>A</v>
          </cell>
          <cell r="H5970">
            <v>42136</v>
          </cell>
        </row>
        <row r="5971">
          <cell r="B5971" t="str">
            <v>Rəhimov Zaur Namiq</v>
          </cell>
          <cell r="C5971" t="str">
            <v>Siyəzən  filialı</v>
          </cell>
          <cell r="D5971" t="str">
            <v>#</v>
          </cell>
          <cell r="E5971" t="str">
            <v>#</v>
          </cell>
          <cell r="F5971" t="str">
            <v>Müdir</v>
          </cell>
          <cell r="G5971" t="str">
            <v>A</v>
          </cell>
          <cell r="H5971">
            <v>44319</v>
          </cell>
        </row>
        <row r="5972">
          <cell r="B5972" t="str">
            <v>Səfərova Elimnaz Zabut</v>
          </cell>
          <cell r="C5972" t="str">
            <v>Siyəzən  filialı</v>
          </cell>
          <cell r="D5972" t="str">
            <v>#</v>
          </cell>
          <cell r="E5972" t="str">
            <v>Xidmət bölməsi</v>
          </cell>
          <cell r="F5972" t="str">
            <v>Kassa üzrə baş mütəxəssis</v>
          </cell>
          <cell r="G5972" t="str">
            <v>A</v>
          </cell>
          <cell r="H5972">
            <v>42515</v>
          </cell>
        </row>
        <row r="5973">
          <cell r="B5973" t="str">
            <v>Mirzəyev Tural İlham</v>
          </cell>
          <cell r="C5973" t="str">
            <v>Siyəzən  filialı</v>
          </cell>
          <cell r="D5973" t="str">
            <v>#</v>
          </cell>
          <cell r="E5973" t="str">
            <v>Xidmət bölməsi</v>
          </cell>
          <cell r="F5973" t="str">
            <v>Əməliyyatçı-kassir</v>
          </cell>
          <cell r="G5973" t="str">
            <v>A</v>
          </cell>
          <cell r="H5973">
            <v>45981</v>
          </cell>
        </row>
        <row r="5974">
          <cell r="B5974" t="str">
            <v>Novruzova Şövqiyyə Bəxtiyar</v>
          </cell>
          <cell r="C5974" t="str">
            <v>Siyəzən  filialı</v>
          </cell>
          <cell r="D5974" t="str">
            <v>#</v>
          </cell>
          <cell r="E5974" t="str">
            <v>Xidmət bölməsi</v>
          </cell>
          <cell r="F5974" t="str">
            <v>Müştərilərlə iş üzrə baş mütəxəssis</v>
          </cell>
          <cell r="G5974" t="str">
            <v>A</v>
          </cell>
          <cell r="H5974">
            <v>42513</v>
          </cell>
        </row>
        <row r="5975">
          <cell r="B5975" t="str">
            <v>Mirzəzadə Bəturə Elgün</v>
          </cell>
          <cell r="C5975" t="str">
            <v>Siyəzən  filialı</v>
          </cell>
          <cell r="D5975" t="str">
            <v>#</v>
          </cell>
          <cell r="E5975" t="str">
            <v>Xidmət bölməsi</v>
          </cell>
          <cell r="F5975" t="str">
            <v>Məlumat xidməti üzrə kiçik mütəxəssis</v>
          </cell>
          <cell r="G5975" t="str">
            <v>A</v>
          </cell>
          <cell r="H5975">
            <v>46072</v>
          </cell>
        </row>
        <row r="5976">
          <cell r="B5976" t="str">
            <v>Ağarəhimova Fidan Rövşən</v>
          </cell>
          <cell r="C5976" t="str">
            <v>Siyəzən  filialı</v>
          </cell>
          <cell r="D5976" t="str">
            <v>#</v>
          </cell>
          <cell r="E5976" t="str">
            <v>Xidmət bölməsi</v>
          </cell>
          <cell r="F5976" t="str">
            <v>Müştərilərlə iş üzrə aparıcı mütəxəssis</v>
          </cell>
          <cell r="G5976" t="str">
            <v>A</v>
          </cell>
          <cell r="H5976">
            <v>44503</v>
          </cell>
        </row>
        <row r="5977">
          <cell r="B5977" t="str">
            <v>Qasımov Nicat Hikmət</v>
          </cell>
          <cell r="C5977" t="str">
            <v>Siyəzən  filialı</v>
          </cell>
          <cell r="D5977" t="str">
            <v>#</v>
          </cell>
          <cell r="E5977" t="str">
            <v>Xidmət bölməsi</v>
          </cell>
          <cell r="F5977" t="str">
            <v>Müştərilərlə iş üzrə kiçik mütəxəssis</v>
          </cell>
          <cell r="G5977" t="str">
            <v>A</v>
          </cell>
          <cell r="H5977">
            <v>46174</v>
          </cell>
        </row>
        <row r="5978">
          <cell r="B5978" t="str">
            <v>Məmmədova Münəvvər İnqilab</v>
          </cell>
          <cell r="C5978" t="str">
            <v>Siyəzən  filialı</v>
          </cell>
          <cell r="D5978" t="str">
            <v>#</v>
          </cell>
          <cell r="E5978" t="str">
            <v>İnzibati bölmə</v>
          </cell>
          <cell r="F5978" t="str">
            <v>Xadimə</v>
          </cell>
          <cell r="G5978" t="str">
            <v>A</v>
          </cell>
          <cell r="H5978">
            <v>44622</v>
          </cell>
        </row>
        <row r="5979">
          <cell r="B5979" t="str">
            <v>Məmmədov Tural Ramiz</v>
          </cell>
          <cell r="C5979" t="str">
            <v>Şabran filialı</v>
          </cell>
          <cell r="D5979" t="str">
            <v>#</v>
          </cell>
          <cell r="E5979" t="str">
            <v>#</v>
          </cell>
          <cell r="F5979" t="str">
            <v>Müdir</v>
          </cell>
          <cell r="G5979" t="str">
            <v>A</v>
          </cell>
          <cell r="H5979">
            <v>42139</v>
          </cell>
        </row>
        <row r="5980">
          <cell r="B5980" t="str">
            <v>Rüstəmova Vüsalə Mollaşərif</v>
          </cell>
          <cell r="C5980" t="str">
            <v>Şabran filialı</v>
          </cell>
          <cell r="D5980" t="str">
            <v>#</v>
          </cell>
          <cell r="E5980" t="str">
            <v>Xidmət bölməsi</v>
          </cell>
          <cell r="F5980" t="str">
            <v>Müştərilərlə iş üzrə baş mütəxəssis</v>
          </cell>
          <cell r="G5980" t="str">
            <v>A</v>
          </cell>
          <cell r="H5980">
            <v>41172</v>
          </cell>
        </row>
        <row r="5981">
          <cell r="B5981" t="str">
            <v>Rzayeva Aytac Pənah</v>
          </cell>
          <cell r="C5981" t="str">
            <v>Şabran filialı</v>
          </cell>
          <cell r="D5981" t="str">
            <v>#</v>
          </cell>
          <cell r="E5981" t="str">
            <v>Xidmət bölməsi</v>
          </cell>
          <cell r="F5981" t="str">
            <v>Müştərilərlə iş üzrə aparıcı mütəxəssis</v>
          </cell>
          <cell r="G5981" t="str">
            <v>A</v>
          </cell>
          <cell r="H5981">
            <v>44987</v>
          </cell>
        </row>
        <row r="5982">
          <cell r="B5982" t="str">
            <v>Əliyev Ramazan Çingiz</v>
          </cell>
          <cell r="C5982" t="str">
            <v>Şabran filialı</v>
          </cell>
          <cell r="D5982" t="str">
            <v>#</v>
          </cell>
          <cell r="E5982" t="str">
            <v>Xidmət bölməsi</v>
          </cell>
          <cell r="F5982" t="str">
            <v>Müştərilərlə iş üzrə aparıcı mütəxəssis</v>
          </cell>
          <cell r="G5982" t="str">
            <v>A</v>
          </cell>
          <cell r="H5982">
            <v>44069</v>
          </cell>
        </row>
        <row r="5983">
          <cell r="B5983" t="str">
            <v>İsayev Yəhya Ruslan</v>
          </cell>
          <cell r="C5983" t="str">
            <v>Şabran filialı</v>
          </cell>
          <cell r="D5983" t="str">
            <v>#</v>
          </cell>
          <cell r="E5983" t="str">
            <v>Xidmət bölməsi</v>
          </cell>
          <cell r="F5983" t="str">
            <v>Müştərilərlə iş üzrə aparıcı mütəxəssis</v>
          </cell>
          <cell r="G5983" t="str">
            <v>A</v>
          </cell>
          <cell r="H5983">
            <v>44613</v>
          </cell>
        </row>
        <row r="5984">
          <cell r="B5984" t="str">
            <v>Abiyeva Günay Adil</v>
          </cell>
          <cell r="C5984" t="str">
            <v>Şabran filialı</v>
          </cell>
          <cell r="D5984" t="str">
            <v>#</v>
          </cell>
          <cell r="E5984" t="str">
            <v>Xidmət bölməsi</v>
          </cell>
          <cell r="F5984" t="str">
            <v>Məlumat xidməti üzrə mütəxəssis</v>
          </cell>
          <cell r="G5984" t="str">
            <v>A</v>
          </cell>
          <cell r="H5984">
            <v>45652</v>
          </cell>
        </row>
        <row r="5985">
          <cell r="B5985" t="str">
            <v>Fətəliyev Ruslan Hüseyn</v>
          </cell>
          <cell r="C5985" t="str">
            <v>Şabran filialı</v>
          </cell>
          <cell r="D5985" t="str">
            <v>#</v>
          </cell>
          <cell r="E5985" t="str">
            <v>Xidmət bölməsi</v>
          </cell>
          <cell r="F5985" t="str">
            <v>Kassa üzrə mütəxəssis</v>
          </cell>
          <cell r="G5985" t="str">
            <v>A</v>
          </cell>
          <cell r="H5985">
            <v>45782</v>
          </cell>
        </row>
        <row r="5986">
          <cell r="B5986" t="str">
            <v>Heydərova Əsməgül Vaqif</v>
          </cell>
          <cell r="C5986" t="str">
            <v>Şabran filialı</v>
          </cell>
          <cell r="D5986" t="str">
            <v>#</v>
          </cell>
          <cell r="E5986" t="str">
            <v>İnzibati bölmə</v>
          </cell>
          <cell r="F5986" t="str">
            <v>Xadimə</v>
          </cell>
          <cell r="G5986" t="str">
            <v>A</v>
          </cell>
          <cell r="H5986">
            <v>39692</v>
          </cell>
        </row>
        <row r="5987">
          <cell r="B5987" t="str">
            <v>Hacıyev Eldar Aydın</v>
          </cell>
          <cell r="C5987" t="str">
            <v>Şamaxı  filialı</v>
          </cell>
          <cell r="D5987" t="str">
            <v>#</v>
          </cell>
          <cell r="E5987" t="str">
            <v>Xidmət bölməsi</v>
          </cell>
          <cell r="F5987" t="str">
            <v>Kassa üzrə baş mütəxəssis</v>
          </cell>
          <cell r="G5987" t="str">
            <v>A</v>
          </cell>
          <cell r="H5987">
            <v>38992</v>
          </cell>
        </row>
        <row r="5988">
          <cell r="B5988" t="str">
            <v>Mehraliyeva Bahar Vidadi</v>
          </cell>
          <cell r="C5988" t="str">
            <v>Şamaxı  filialı</v>
          </cell>
          <cell r="D5988" t="str">
            <v>#</v>
          </cell>
          <cell r="E5988" t="str">
            <v>Xidmət bölməsi</v>
          </cell>
          <cell r="F5988" t="str">
            <v>Məlumat xidməti üzrə aparıcı mütəxəssis</v>
          </cell>
          <cell r="G5988" t="str">
            <v>A</v>
          </cell>
          <cell r="H5988">
            <v>44935</v>
          </cell>
        </row>
        <row r="5989">
          <cell r="B5989" t="str">
            <v>Gülməmmədov Sahib Sərvan</v>
          </cell>
          <cell r="C5989" t="str">
            <v>Şamaxı  filialı</v>
          </cell>
          <cell r="D5989" t="str">
            <v>#</v>
          </cell>
          <cell r="E5989" t="str">
            <v>Xidmət bölməsi</v>
          </cell>
          <cell r="F5989" t="str">
            <v>Müştərilərlə iş üzrə baş mütəxəssis</v>
          </cell>
          <cell r="G5989" t="str">
            <v>A</v>
          </cell>
          <cell r="H5989">
            <v>42720</v>
          </cell>
        </row>
        <row r="5990">
          <cell r="B5990" t="str">
            <v>Quliyev Tural Mərdan</v>
          </cell>
          <cell r="C5990" t="str">
            <v>Şamaxı  filialı</v>
          </cell>
          <cell r="D5990" t="str">
            <v>#</v>
          </cell>
          <cell r="E5990" t="str">
            <v>Xidmət bölməsi</v>
          </cell>
          <cell r="F5990" t="str">
            <v>Müştərilərlə iş üzrə baş mütəxəssis</v>
          </cell>
          <cell r="G5990" t="str">
            <v>A</v>
          </cell>
          <cell r="H5990">
            <v>42158</v>
          </cell>
        </row>
        <row r="5991">
          <cell r="B5991" t="str">
            <v>Abdullayev Ramid Mirbaba</v>
          </cell>
          <cell r="C5991" t="str">
            <v>Şamaxı  filialı</v>
          </cell>
          <cell r="D5991" t="str">
            <v>#</v>
          </cell>
          <cell r="E5991" t="str">
            <v>Xidmət bölməsi</v>
          </cell>
          <cell r="F5991" t="str">
            <v>Müştərilərlə iş üzrə baş mütəxəssis</v>
          </cell>
          <cell r="G5991" t="str">
            <v>A</v>
          </cell>
          <cell r="H5991">
            <v>42713</v>
          </cell>
        </row>
        <row r="5992">
          <cell r="B5992" t="str">
            <v>Səfərov Xasay Şəmistan</v>
          </cell>
          <cell r="C5992" t="str">
            <v>Şamaxı  filialı</v>
          </cell>
          <cell r="D5992" t="str">
            <v>#</v>
          </cell>
          <cell r="E5992" t="str">
            <v>Xidmət bölməsi</v>
          </cell>
          <cell r="F5992" t="str">
            <v>Müştərilərlə iş üzrə baş mütəxəssis</v>
          </cell>
          <cell r="G5992" t="str">
            <v>A</v>
          </cell>
          <cell r="H5992">
            <v>42955</v>
          </cell>
        </row>
        <row r="5993">
          <cell r="B5993" t="str">
            <v>Qəhrimanzadə Sənan Kamil</v>
          </cell>
          <cell r="C5993" t="str">
            <v>Şamaxı  filialı</v>
          </cell>
          <cell r="D5993" t="str">
            <v>#</v>
          </cell>
          <cell r="E5993" t="str">
            <v>Xidmət bölməsi</v>
          </cell>
          <cell r="F5993" t="str">
            <v>Müştərilərlə iş üzrə baş mütəxəssis</v>
          </cell>
          <cell r="G5993" t="str">
            <v>A</v>
          </cell>
          <cell r="H5993">
            <v>43675</v>
          </cell>
        </row>
        <row r="5994">
          <cell r="B5994" t="str">
            <v>Mütəllimov Arif Rasim</v>
          </cell>
          <cell r="C5994" t="str">
            <v>Şamaxı  filialı</v>
          </cell>
          <cell r="D5994" t="str">
            <v>#</v>
          </cell>
          <cell r="E5994" t="str">
            <v>Xidmət bölməsi</v>
          </cell>
          <cell r="F5994" t="str">
            <v>Müştərilərlə iş üzrə mütəxəssis</v>
          </cell>
          <cell r="G5994" t="str">
            <v>A</v>
          </cell>
          <cell r="H5994">
            <v>43824</v>
          </cell>
        </row>
        <row r="5995">
          <cell r="B5995" t="str">
            <v>Nəhmətova Simuzar Hətəm</v>
          </cell>
          <cell r="C5995" t="str">
            <v>Şamaxı  filialı</v>
          </cell>
          <cell r="D5995" t="str">
            <v>#</v>
          </cell>
          <cell r="E5995" t="str">
            <v>İnzibati bölmə</v>
          </cell>
          <cell r="F5995" t="str">
            <v>Xadimə</v>
          </cell>
          <cell r="G5995" t="str">
            <v>A</v>
          </cell>
          <cell r="H5995">
            <v>41067</v>
          </cell>
        </row>
        <row r="5996">
          <cell r="B5996" t="str">
            <v>Qasımov Elşən Azər</v>
          </cell>
          <cell r="C5996" t="str">
            <v>Şəki  filialı</v>
          </cell>
          <cell r="D5996" t="str">
            <v>#</v>
          </cell>
          <cell r="E5996" t="str">
            <v>#</v>
          </cell>
          <cell r="F5996" t="str">
            <v>Müdir</v>
          </cell>
          <cell r="G5996" t="str">
            <v>A</v>
          </cell>
          <cell r="H5996">
            <v>39764</v>
          </cell>
        </row>
        <row r="5997">
          <cell r="B5997" t="str">
            <v>Məmmədov Xəyal Qurban</v>
          </cell>
          <cell r="C5997" t="str">
            <v>Şəki  filialı</v>
          </cell>
          <cell r="D5997" t="str">
            <v>#</v>
          </cell>
          <cell r="E5997" t="str">
            <v>#</v>
          </cell>
          <cell r="F5997" t="str">
            <v>Menecer</v>
          </cell>
          <cell r="G5997" t="str">
            <v>A</v>
          </cell>
          <cell r="H5997">
            <v>42620</v>
          </cell>
        </row>
        <row r="5998">
          <cell r="B5998" t="str">
            <v>Paşayeva Dinurə Möhlüd</v>
          </cell>
          <cell r="C5998" t="str">
            <v>Şəki  filialı</v>
          </cell>
          <cell r="D5998" t="str">
            <v>#</v>
          </cell>
          <cell r="E5998" t="str">
            <v>Xidmət bölməsi</v>
          </cell>
          <cell r="F5998" t="str">
            <v>Kassa üzrə baş mütəxəssis</v>
          </cell>
          <cell r="G5998" t="str">
            <v>A</v>
          </cell>
          <cell r="H5998">
            <v>38551</v>
          </cell>
        </row>
        <row r="5999">
          <cell r="B5999" t="str">
            <v>Hacıqədirli Məhəmmədsadiq Kamil</v>
          </cell>
          <cell r="C5999" t="str">
            <v>Şəki  filialı</v>
          </cell>
          <cell r="D5999" t="str">
            <v>#</v>
          </cell>
          <cell r="E5999" t="str">
            <v>Xidmət bölməsi</v>
          </cell>
          <cell r="F5999" t="str">
            <v>Kassa üzrə aparıcı mütəxəssis</v>
          </cell>
          <cell r="G5999" t="str">
            <v>A</v>
          </cell>
          <cell r="H5999">
            <v>44760</v>
          </cell>
        </row>
        <row r="6000">
          <cell r="B6000" t="str">
            <v>Hacıyev Sadiq Əsabəli</v>
          </cell>
          <cell r="C6000" t="str">
            <v>Şəki  filialı</v>
          </cell>
          <cell r="D6000" t="str">
            <v>#</v>
          </cell>
          <cell r="E6000" t="str">
            <v>Xidmət bölməsi</v>
          </cell>
          <cell r="F6000" t="str">
            <v>Kassir</v>
          </cell>
          <cell r="G6000" t="str">
            <v>A</v>
          </cell>
          <cell r="H6000">
            <v>42844</v>
          </cell>
        </row>
        <row r="6001">
          <cell r="B6001" t="str">
            <v>Məmmədli Mübariz Fərrux</v>
          </cell>
          <cell r="C6001" t="str">
            <v>Şəki  filialı</v>
          </cell>
          <cell r="D6001" t="str">
            <v>#</v>
          </cell>
          <cell r="E6001" t="str">
            <v>Xidmət bölməsi</v>
          </cell>
          <cell r="F6001" t="str">
            <v>Kassir</v>
          </cell>
          <cell r="G6001" t="str">
            <v>A</v>
          </cell>
          <cell r="H6001">
            <v>42620</v>
          </cell>
        </row>
        <row r="6002">
          <cell r="B6002" t="str">
            <v>Məmmədli Ülvi Cəlil</v>
          </cell>
          <cell r="C6002" t="str">
            <v>Şəki  filialı</v>
          </cell>
          <cell r="D6002" t="str">
            <v>#</v>
          </cell>
          <cell r="E6002" t="str">
            <v>Xidmət bölməsi</v>
          </cell>
          <cell r="F6002" t="str">
            <v>Əməliyyatçı-kassir</v>
          </cell>
          <cell r="G6002" t="str">
            <v>A</v>
          </cell>
          <cell r="H6002">
            <v>45755</v>
          </cell>
        </row>
        <row r="6003">
          <cell r="B6003" t="str">
            <v>Məmmədrzayeva Asena Araz</v>
          </cell>
          <cell r="C6003" t="str">
            <v>Şəki  filialı</v>
          </cell>
          <cell r="D6003" t="str">
            <v>#</v>
          </cell>
          <cell r="E6003" t="str">
            <v>Xidmət bölməsi</v>
          </cell>
          <cell r="F6003" t="str">
            <v>Əməliyyatçı-kassir</v>
          </cell>
          <cell r="G6003" t="str">
            <v>A</v>
          </cell>
          <cell r="H6003">
            <v>45623</v>
          </cell>
        </row>
        <row r="6004">
          <cell r="B6004" t="str">
            <v>Yusifova İlahə Rahim</v>
          </cell>
          <cell r="C6004" t="str">
            <v>Şəki  filialı</v>
          </cell>
          <cell r="D6004" t="str">
            <v>#</v>
          </cell>
          <cell r="E6004" t="str">
            <v>Xidmət bölməsi</v>
          </cell>
          <cell r="F6004" t="str">
            <v>Məlumat xidməti üzrə aparıcı mütəxəssis</v>
          </cell>
          <cell r="G6004" t="str">
            <v>A</v>
          </cell>
          <cell r="H6004">
            <v>43766</v>
          </cell>
        </row>
        <row r="6005">
          <cell r="B6005" t="str">
            <v>Kərimov Azər İlqar</v>
          </cell>
          <cell r="C6005" t="str">
            <v>Şəki  filialı</v>
          </cell>
          <cell r="D6005" t="str">
            <v>#</v>
          </cell>
          <cell r="E6005" t="str">
            <v>Xidmət bölməsi</v>
          </cell>
          <cell r="F6005" t="str">
            <v>Bölmə rəhbəri</v>
          </cell>
          <cell r="G6005" t="str">
            <v>A</v>
          </cell>
          <cell r="H6005">
            <v>42620</v>
          </cell>
        </row>
        <row r="6006">
          <cell r="B6006" t="str">
            <v>Aydınlı Aysel Azər</v>
          </cell>
          <cell r="C6006" t="str">
            <v>Şəki  filialı</v>
          </cell>
          <cell r="D6006" t="str">
            <v>#</v>
          </cell>
          <cell r="E6006" t="str">
            <v>Xidmət bölməsi</v>
          </cell>
          <cell r="F6006" t="str">
            <v>Baş əməliyyatçı-kassir</v>
          </cell>
          <cell r="G6006" t="str">
            <v>A</v>
          </cell>
          <cell r="H6006">
            <v>43018</v>
          </cell>
        </row>
        <row r="6007">
          <cell r="B6007" t="str">
            <v>Bağırov Fuad Əbülfət</v>
          </cell>
          <cell r="C6007" t="str">
            <v>Şəki  filialı</v>
          </cell>
          <cell r="D6007" t="str">
            <v>#</v>
          </cell>
          <cell r="E6007" t="str">
            <v>Xidmət bölməsi</v>
          </cell>
          <cell r="F6007" t="str">
            <v>Müştərilərlə iş üzrə baş mütəxəssis</v>
          </cell>
          <cell r="G6007" t="str">
            <v>A</v>
          </cell>
          <cell r="H6007">
            <v>43259</v>
          </cell>
        </row>
        <row r="6008">
          <cell r="B6008" t="str">
            <v>Xasməmmədov Murad Araz</v>
          </cell>
          <cell r="C6008" t="str">
            <v>Şəki  filialı</v>
          </cell>
          <cell r="D6008" t="str">
            <v>#</v>
          </cell>
          <cell r="E6008" t="str">
            <v>Xidmət bölməsi</v>
          </cell>
          <cell r="F6008" t="str">
            <v>Müştərilərlə iş üzrə baş mütəxəssis</v>
          </cell>
          <cell r="G6008" t="str">
            <v>A</v>
          </cell>
          <cell r="H6008">
            <v>42165</v>
          </cell>
        </row>
        <row r="6009">
          <cell r="B6009" t="str">
            <v>Abdullayeva Qönçə Vaqif</v>
          </cell>
          <cell r="C6009" t="str">
            <v>Şəki  filialı</v>
          </cell>
          <cell r="D6009" t="str">
            <v>#</v>
          </cell>
          <cell r="E6009" t="str">
            <v>Xidmət bölməsi</v>
          </cell>
          <cell r="F6009" t="str">
            <v>Müştərilərlə iş üzrə aparıcı mütəxəssis</v>
          </cell>
          <cell r="G6009" t="str">
            <v>SM</v>
          </cell>
          <cell r="H6009">
            <v>42620</v>
          </cell>
        </row>
        <row r="6010">
          <cell r="B6010" t="str">
            <v>Əbdürəhimova Gültac İmran</v>
          </cell>
          <cell r="C6010" t="str">
            <v>Şəki  filialı</v>
          </cell>
          <cell r="D6010" t="str">
            <v>#</v>
          </cell>
          <cell r="E6010" t="str">
            <v>Xidmət bölməsi</v>
          </cell>
          <cell r="F6010" t="str">
            <v>Müştərilərlə iş üzrə baş mütəxəssis</v>
          </cell>
          <cell r="G6010" t="str">
            <v>A</v>
          </cell>
          <cell r="H6010">
            <v>43819</v>
          </cell>
        </row>
        <row r="6011">
          <cell r="B6011" t="str">
            <v>Qədirova Fəridə Fəxrəddin</v>
          </cell>
          <cell r="C6011" t="str">
            <v>Şəki  filialı</v>
          </cell>
          <cell r="D6011" t="str">
            <v>#</v>
          </cell>
          <cell r="E6011" t="str">
            <v>Xidmət bölməsi</v>
          </cell>
          <cell r="F6011" t="str">
            <v>Müştərilərlə iş üzrə mütəxəssis</v>
          </cell>
          <cell r="G6011" t="str">
            <v>A</v>
          </cell>
          <cell r="H6011">
            <v>45386</v>
          </cell>
        </row>
        <row r="6012">
          <cell r="B6012" t="str">
            <v>Nəsrullayeva Pərvanə Pərviz</v>
          </cell>
          <cell r="C6012" t="str">
            <v>Şəki  filialı</v>
          </cell>
          <cell r="D6012" t="str">
            <v>#</v>
          </cell>
          <cell r="E6012" t="str">
            <v>Xidmət bölməsi</v>
          </cell>
          <cell r="F6012" t="str">
            <v>Müştərilərlə iş üzrə mütəxəssis</v>
          </cell>
          <cell r="G6012" t="str">
            <v>SM</v>
          </cell>
          <cell r="H6012">
            <v>44886</v>
          </cell>
        </row>
        <row r="6013">
          <cell r="B6013" t="str">
            <v>Orucov Samir Sərdar</v>
          </cell>
          <cell r="C6013" t="str">
            <v>Şəki  filialı</v>
          </cell>
          <cell r="D6013" t="str">
            <v>#</v>
          </cell>
          <cell r="E6013" t="str">
            <v>Xidmət bölməsi</v>
          </cell>
          <cell r="F6013" t="str">
            <v>Müştərilərlə iş üzrə kiçik mütəxəssis (müvəqqəti)</v>
          </cell>
          <cell r="G6013" t="str">
            <v>A</v>
          </cell>
          <cell r="H6013">
            <v>46045</v>
          </cell>
        </row>
        <row r="6014">
          <cell r="B6014" t="str">
            <v>Vəlizadə İsrafil Vidadi</v>
          </cell>
          <cell r="C6014" t="str">
            <v>Şəki  filialı</v>
          </cell>
          <cell r="D6014" t="str">
            <v>#</v>
          </cell>
          <cell r="E6014" t="str">
            <v>Xidmət bölməsi</v>
          </cell>
          <cell r="F6014" t="str">
            <v>Müştərilərlə iş üzrə mütəxəssis</v>
          </cell>
          <cell r="G6014" t="str">
            <v>A</v>
          </cell>
          <cell r="H6014">
            <v>45623</v>
          </cell>
        </row>
        <row r="6015">
          <cell r="B6015" t="str">
            <v>Babayeva Məkanət Fərman</v>
          </cell>
          <cell r="C6015" t="str">
            <v>Şəki  filialı</v>
          </cell>
          <cell r="D6015" t="str">
            <v>#</v>
          </cell>
          <cell r="E6015" t="str">
            <v>İnzibati bölmə</v>
          </cell>
          <cell r="F6015" t="str">
            <v>Xadimə</v>
          </cell>
          <cell r="G6015" t="str">
            <v>A</v>
          </cell>
          <cell r="H6015">
            <v>37043</v>
          </cell>
        </row>
        <row r="6016">
          <cell r="B6016" t="str">
            <v>Cabbarova Firuzə Səmail</v>
          </cell>
          <cell r="C6016" t="str">
            <v>Şəki  filialı</v>
          </cell>
          <cell r="D6016" t="str">
            <v>#</v>
          </cell>
          <cell r="E6016" t="str">
            <v>İnzibati bölmə</v>
          </cell>
          <cell r="F6016" t="str">
            <v>Xadimə</v>
          </cell>
          <cell r="G6016" t="str">
            <v>A</v>
          </cell>
          <cell r="H6016">
            <v>45579</v>
          </cell>
        </row>
        <row r="6017">
          <cell r="B6017" t="str">
            <v>Məmmədov Qərib Fərman</v>
          </cell>
          <cell r="C6017" t="str">
            <v>Şəki  filialı</v>
          </cell>
          <cell r="D6017" t="str">
            <v>#</v>
          </cell>
          <cell r="E6017" t="str">
            <v>Mikro kredit bölməsi</v>
          </cell>
          <cell r="F6017" t="str">
            <v>Bölmə rəhbəri</v>
          </cell>
          <cell r="G6017" t="str">
            <v>A</v>
          </cell>
          <cell r="H6017">
            <v>44461</v>
          </cell>
        </row>
        <row r="6018">
          <cell r="B6018" t="str">
            <v>Bayraməliyev Kənan İntiqam</v>
          </cell>
          <cell r="C6018" t="str">
            <v>Şəki  filialı</v>
          </cell>
          <cell r="D6018" t="str">
            <v>#</v>
          </cell>
          <cell r="E6018" t="str">
            <v>Mikro kredit bölməsi</v>
          </cell>
          <cell r="F6018" t="str">
            <v>Aparıcı mütəxəssis</v>
          </cell>
          <cell r="G6018" t="str">
            <v>A</v>
          </cell>
          <cell r="H6018">
            <v>44552</v>
          </cell>
        </row>
        <row r="6019">
          <cell r="B6019" t="str">
            <v>Cabbarlı Elnur Cabbar</v>
          </cell>
          <cell r="C6019" t="str">
            <v>Şəki  filialı</v>
          </cell>
          <cell r="D6019" t="str">
            <v>#</v>
          </cell>
          <cell r="E6019" t="str">
            <v>Mikro kredit bölməsi</v>
          </cell>
          <cell r="F6019" t="str">
            <v>Aparıcı mütəxəssis</v>
          </cell>
          <cell r="G6019" t="str">
            <v>A</v>
          </cell>
          <cell r="H6019">
            <v>44558</v>
          </cell>
        </row>
        <row r="6020">
          <cell r="B6020" t="str">
            <v>İdrisov Seymur Əvəz</v>
          </cell>
          <cell r="C6020" t="str">
            <v>Şəki  filialı</v>
          </cell>
          <cell r="D6020" t="str">
            <v>#</v>
          </cell>
          <cell r="E6020" t="str">
            <v>Mikro kredit bölməsi</v>
          </cell>
          <cell r="F6020" t="str">
            <v>Aparıcı mütəxəssis</v>
          </cell>
          <cell r="G6020" t="str">
            <v>A</v>
          </cell>
          <cell r="H6020">
            <v>44558</v>
          </cell>
        </row>
        <row r="6021">
          <cell r="B6021" t="str">
            <v>Rüstəmov Asif Sahib</v>
          </cell>
          <cell r="C6021" t="str">
            <v>Şəki  filialı</v>
          </cell>
          <cell r="D6021" t="str">
            <v>#</v>
          </cell>
          <cell r="E6021" t="str">
            <v>Mikro kredit bölməsi</v>
          </cell>
          <cell r="F6021" t="str">
            <v>Mütəxəssis</v>
          </cell>
          <cell r="G6021" t="str">
            <v>A</v>
          </cell>
          <cell r="H6021">
            <v>44677</v>
          </cell>
        </row>
        <row r="6022">
          <cell r="B6022" t="str">
            <v>Talıbov Zamin Etibar</v>
          </cell>
          <cell r="C6022" t="str">
            <v>Şəmkir  filialı</v>
          </cell>
          <cell r="D6022" t="str">
            <v>#</v>
          </cell>
          <cell r="E6022" t="str">
            <v>#</v>
          </cell>
          <cell r="F6022" t="str">
            <v>Müdir</v>
          </cell>
          <cell r="G6022" t="str">
            <v>A</v>
          </cell>
          <cell r="H6022">
            <v>43399</v>
          </cell>
        </row>
        <row r="6023">
          <cell r="B6023" t="str">
            <v>Hümbətov Elman İsmayıl</v>
          </cell>
          <cell r="C6023" t="str">
            <v>Şəmkir  filialı</v>
          </cell>
          <cell r="D6023" t="str">
            <v>#</v>
          </cell>
          <cell r="E6023" t="str">
            <v>Xidmət bölməsi</v>
          </cell>
          <cell r="F6023" t="str">
            <v>Kassa üzrə baş mütəxəssis</v>
          </cell>
          <cell r="G6023" t="str">
            <v>A</v>
          </cell>
          <cell r="H6023">
            <v>41417</v>
          </cell>
        </row>
        <row r="6024">
          <cell r="B6024" t="str">
            <v>Əliyev Turxan Daşqın</v>
          </cell>
          <cell r="C6024" t="str">
            <v>Şəmkir  filialı</v>
          </cell>
          <cell r="D6024" t="str">
            <v>#</v>
          </cell>
          <cell r="E6024" t="str">
            <v>Xidmət bölməsi</v>
          </cell>
          <cell r="F6024" t="str">
            <v>Əməliyyatçı-kassir</v>
          </cell>
          <cell r="G6024" t="str">
            <v>A</v>
          </cell>
          <cell r="H6024">
            <v>45511</v>
          </cell>
        </row>
        <row r="6025">
          <cell r="B6025" t="str">
            <v>Əhmədova Nurdanə Yolçu</v>
          </cell>
          <cell r="C6025" t="str">
            <v>Şəmkir  filialı</v>
          </cell>
          <cell r="D6025" t="str">
            <v>#</v>
          </cell>
          <cell r="E6025" t="str">
            <v>Xidmət bölməsi</v>
          </cell>
          <cell r="F6025" t="str">
            <v>Məlumat xidməti üzrə mütəxəssis</v>
          </cell>
          <cell r="G6025" t="str">
            <v>A</v>
          </cell>
          <cell r="H6025">
            <v>45755</v>
          </cell>
        </row>
        <row r="6026">
          <cell r="B6026" t="str">
            <v>Məmmədrzayev Elşən Adil</v>
          </cell>
          <cell r="C6026" t="str">
            <v>Şəmkir  filialı</v>
          </cell>
          <cell r="D6026" t="str">
            <v>#</v>
          </cell>
          <cell r="E6026" t="str">
            <v>Xidmət bölməsi</v>
          </cell>
          <cell r="F6026" t="str">
            <v>Müştərilərlə iş üzrə baş mütəxəssis</v>
          </cell>
          <cell r="G6026" t="str">
            <v>A</v>
          </cell>
          <cell r="H6026">
            <v>42720</v>
          </cell>
        </row>
        <row r="6027">
          <cell r="B6027" t="str">
            <v>Əhmədov Talıb Hamlet</v>
          </cell>
          <cell r="C6027" t="str">
            <v>Şəmkir  filialı</v>
          </cell>
          <cell r="D6027" t="str">
            <v>#</v>
          </cell>
          <cell r="E6027" t="str">
            <v>Xidmət bölməsi</v>
          </cell>
          <cell r="F6027" t="str">
            <v>Müştərilərlə iş üzrə baş mütəxəssis</v>
          </cell>
          <cell r="G6027" t="str">
            <v>A</v>
          </cell>
          <cell r="H6027">
            <v>42796</v>
          </cell>
        </row>
        <row r="6028">
          <cell r="B6028" t="str">
            <v>Əliyev Ülvü Knyaz</v>
          </cell>
          <cell r="C6028" t="str">
            <v>Şəmkir  filialı</v>
          </cell>
          <cell r="D6028" t="str">
            <v>#</v>
          </cell>
          <cell r="E6028" t="str">
            <v>Xidmət bölməsi</v>
          </cell>
          <cell r="F6028" t="str">
            <v>Müştərilərlə iş üzrə baş mütəxəssis</v>
          </cell>
          <cell r="G6028" t="str">
            <v>A</v>
          </cell>
          <cell r="H6028">
            <v>43696</v>
          </cell>
        </row>
        <row r="6029">
          <cell r="B6029" t="str">
            <v>Əsgərov Pirəli Misir</v>
          </cell>
          <cell r="C6029" t="str">
            <v>Şəmkir  filialı</v>
          </cell>
          <cell r="D6029" t="str">
            <v>#</v>
          </cell>
          <cell r="E6029" t="str">
            <v>Xidmət bölməsi</v>
          </cell>
          <cell r="F6029" t="str">
            <v>Müştərilərlə iş üzrə aparıcı mütəxəssis</v>
          </cell>
          <cell r="G6029" t="str">
            <v>A</v>
          </cell>
          <cell r="H6029">
            <v>44552</v>
          </cell>
        </row>
        <row r="6030">
          <cell r="B6030" t="str">
            <v>Əsgərova Afayət Namiq</v>
          </cell>
          <cell r="C6030" t="str">
            <v>Şəmkir  filialı</v>
          </cell>
          <cell r="D6030" t="str">
            <v>#</v>
          </cell>
          <cell r="E6030" t="str">
            <v>Xidmət bölməsi</v>
          </cell>
          <cell r="F6030" t="str">
            <v>Müştərilərlə iş üzrə aparıcı mütəxəssis</v>
          </cell>
          <cell r="G6030" t="str">
            <v>A</v>
          </cell>
          <cell r="H6030">
            <v>44603</v>
          </cell>
        </row>
        <row r="6031">
          <cell r="B6031" t="str">
            <v>Hidayətzadə Firuzə Tahir</v>
          </cell>
          <cell r="C6031" t="str">
            <v>Şəmkir  filialı</v>
          </cell>
          <cell r="D6031" t="str">
            <v>#</v>
          </cell>
          <cell r="E6031" t="str">
            <v>Xidmət bölməsi</v>
          </cell>
          <cell r="F6031" t="str">
            <v>Müştərilərlə iş üzrə aparıcı mütəxəssis</v>
          </cell>
          <cell r="G6031" t="str">
            <v>A</v>
          </cell>
          <cell r="H6031">
            <v>45019</v>
          </cell>
        </row>
        <row r="6032">
          <cell r="B6032" t="str">
            <v>İsmayılova Xədicə Bəhruz</v>
          </cell>
          <cell r="C6032" t="str">
            <v>Şəmkir  filialı</v>
          </cell>
          <cell r="D6032" t="str">
            <v>#</v>
          </cell>
          <cell r="E6032" t="str">
            <v>Xidmət bölməsi</v>
          </cell>
          <cell r="F6032" t="str">
            <v>Müştərilərlə iş üzrə mütəxəssis</v>
          </cell>
          <cell r="G6032" t="str">
            <v>A</v>
          </cell>
          <cell r="H6032">
            <v>44826</v>
          </cell>
        </row>
        <row r="6033">
          <cell r="B6033" t="str">
            <v>Əsgərov Fərid Rövşən</v>
          </cell>
          <cell r="C6033" t="str">
            <v>Şəmkir  filialı</v>
          </cell>
          <cell r="D6033" t="str">
            <v>#</v>
          </cell>
          <cell r="E6033" t="str">
            <v>Xidmət bölməsi</v>
          </cell>
          <cell r="F6033" t="str">
            <v>Müştərilərlə iş üzrə mütəxəssis</v>
          </cell>
          <cell r="G6033" t="str">
            <v>A</v>
          </cell>
          <cell r="H6033">
            <v>45939</v>
          </cell>
        </row>
        <row r="6034">
          <cell r="B6034" t="str">
            <v>Zülfüqarov Natiq Zülfüqar</v>
          </cell>
          <cell r="C6034" t="str">
            <v>Şəmkir  filialı</v>
          </cell>
          <cell r="D6034" t="str">
            <v>#</v>
          </cell>
          <cell r="E6034" t="str">
            <v>Xidmət bölməsi</v>
          </cell>
          <cell r="F6034" t="str">
            <v>Müştərilərlə iş üzrə mütəxəssis</v>
          </cell>
          <cell r="G6034" t="str">
            <v>A</v>
          </cell>
          <cell r="H6034">
            <v>45278</v>
          </cell>
        </row>
        <row r="6035">
          <cell r="B6035" t="str">
            <v>Cavadlı Müşfiq Haqverdi</v>
          </cell>
          <cell r="C6035" t="str">
            <v>Şəmkir  filialı</v>
          </cell>
          <cell r="D6035" t="str">
            <v>#</v>
          </cell>
          <cell r="E6035" t="str">
            <v>Xidmət bölməsi</v>
          </cell>
          <cell r="F6035" t="str">
            <v>Müştərilərlə iş üzrə mütəxəssis</v>
          </cell>
          <cell r="G6035" t="str">
            <v>A</v>
          </cell>
          <cell r="H6035">
            <v>45931</v>
          </cell>
        </row>
        <row r="6036">
          <cell r="B6036" t="str">
            <v>Nərimanzadə Münəvvər Mehman</v>
          </cell>
          <cell r="C6036" t="str">
            <v>Şəmkir  filialı</v>
          </cell>
          <cell r="D6036" t="str">
            <v>#</v>
          </cell>
          <cell r="E6036" t="str">
            <v>Xidmət bölməsi</v>
          </cell>
          <cell r="F6036" t="str">
            <v>Müştərilərlə iş üzrə aparıcı mütəxəssis</v>
          </cell>
          <cell r="G6036" t="str">
            <v>A</v>
          </cell>
          <cell r="H6036">
            <v>44652</v>
          </cell>
        </row>
        <row r="6037">
          <cell r="B6037" t="str">
            <v>Məmmədova Rəna Qənbər</v>
          </cell>
          <cell r="C6037" t="str">
            <v>Şəmkir  filialı</v>
          </cell>
          <cell r="D6037" t="str">
            <v>#</v>
          </cell>
          <cell r="E6037" t="str">
            <v>İnzibati bölmə</v>
          </cell>
          <cell r="F6037" t="str">
            <v>Xadimə</v>
          </cell>
          <cell r="G6037" t="str">
            <v>A</v>
          </cell>
          <cell r="H6037">
            <v>41092</v>
          </cell>
        </row>
        <row r="6038">
          <cell r="B6038" t="str">
            <v>Süleymanov Nicat Rasim</v>
          </cell>
          <cell r="C6038" t="str">
            <v>Şəmkir  filialı</v>
          </cell>
          <cell r="D6038" t="str">
            <v>#</v>
          </cell>
          <cell r="E6038" t="str">
            <v>Mikro kredit bölməsi</v>
          </cell>
          <cell r="F6038" t="str">
            <v>Bölmə rəhbəri</v>
          </cell>
          <cell r="G6038" t="str">
            <v>A</v>
          </cell>
          <cell r="H6038">
            <v>44502</v>
          </cell>
        </row>
        <row r="6039">
          <cell r="B6039" t="str">
            <v>Məcidli Eldar Şəmşid</v>
          </cell>
          <cell r="C6039" t="str">
            <v>Şəmkir  filialı</v>
          </cell>
          <cell r="D6039" t="str">
            <v>#</v>
          </cell>
          <cell r="E6039" t="str">
            <v>Mikro kredit bölməsi</v>
          </cell>
          <cell r="F6039" t="str">
            <v>Aparıcı mütəxəssis</v>
          </cell>
          <cell r="G6039" t="str">
            <v>A</v>
          </cell>
          <cell r="H6039">
            <v>44735</v>
          </cell>
        </row>
        <row r="6040">
          <cell r="B6040" t="str">
            <v>Vəliyev Muraz Azad</v>
          </cell>
          <cell r="C6040" t="str">
            <v>Şəmkir  filialı</v>
          </cell>
          <cell r="D6040" t="str">
            <v>#</v>
          </cell>
          <cell r="E6040" t="str">
            <v>Mikro kredit bölməsi</v>
          </cell>
          <cell r="F6040" t="str">
            <v>Aparıcı mütəxəssis</v>
          </cell>
          <cell r="G6040" t="str">
            <v>A</v>
          </cell>
          <cell r="H6040">
            <v>44746</v>
          </cell>
        </row>
        <row r="6041">
          <cell r="B6041" t="str">
            <v>Tanırverdiyev Vüsal Azər</v>
          </cell>
          <cell r="C6041" t="str">
            <v>Şəmkir  filialı</v>
          </cell>
          <cell r="D6041" t="str">
            <v>#</v>
          </cell>
          <cell r="E6041" t="str">
            <v>Mikro kredit bölməsi</v>
          </cell>
          <cell r="F6041" t="str">
            <v>Aparıcı mütəxəssis</v>
          </cell>
          <cell r="G6041" t="str">
            <v>A</v>
          </cell>
          <cell r="H6041">
            <v>44746</v>
          </cell>
        </row>
        <row r="6042">
          <cell r="B6042" t="str">
            <v>Namazov Xəyal Eyvaz</v>
          </cell>
          <cell r="C6042" t="str">
            <v>Şəmkir  filialı</v>
          </cell>
          <cell r="D6042" t="str">
            <v>#</v>
          </cell>
          <cell r="E6042" t="str">
            <v>Mikro kredit bölməsi</v>
          </cell>
          <cell r="F6042" t="str">
            <v>Kiçik mütəxəssis</v>
          </cell>
          <cell r="G6042" t="str">
            <v>A</v>
          </cell>
          <cell r="H6042">
            <v>46146</v>
          </cell>
        </row>
        <row r="6043">
          <cell r="B6043" t="str">
            <v>Yusifov Nizami Fəxrəddin</v>
          </cell>
          <cell r="C6043" t="str">
            <v>Şimal filialı</v>
          </cell>
          <cell r="D6043" t="str">
            <v>#</v>
          </cell>
          <cell r="E6043" t="str">
            <v>#</v>
          </cell>
          <cell r="F6043" t="str">
            <v>Müdir</v>
          </cell>
          <cell r="G6043" t="str">
            <v>A</v>
          </cell>
          <cell r="H6043">
            <v>42552</v>
          </cell>
        </row>
        <row r="6044">
          <cell r="B6044" t="str">
            <v>Mütəllimov Mütəllim Asif</v>
          </cell>
          <cell r="C6044" t="str">
            <v>Şimal filialı</v>
          </cell>
          <cell r="D6044" t="str">
            <v>#</v>
          </cell>
          <cell r="E6044" t="str">
            <v>Xidmət bölməsi</v>
          </cell>
          <cell r="F6044" t="str">
            <v>Baş əməliyyatçı-kassir</v>
          </cell>
          <cell r="G6044" t="str">
            <v>A</v>
          </cell>
          <cell r="H6044">
            <v>42695</v>
          </cell>
        </row>
        <row r="6045">
          <cell r="B6045" t="str">
            <v>Məmmədova Səbinə Müşfiq</v>
          </cell>
          <cell r="C6045" t="str">
            <v>Şimal filialı</v>
          </cell>
          <cell r="D6045" t="str">
            <v>#</v>
          </cell>
          <cell r="E6045" t="str">
            <v>Xidmət bölməsi</v>
          </cell>
          <cell r="F6045" t="str">
            <v xml:space="preserve">Aparıcı əməliyyatçı-kassir </v>
          </cell>
          <cell r="G6045" t="str">
            <v>SM</v>
          </cell>
          <cell r="H6045">
            <v>44606</v>
          </cell>
        </row>
        <row r="6046">
          <cell r="B6046" t="str">
            <v>Allahverdiyev Rasim Nazir</v>
          </cell>
          <cell r="C6046" t="str">
            <v>Şimal filialı</v>
          </cell>
          <cell r="D6046" t="str">
            <v>#</v>
          </cell>
          <cell r="E6046" t="str">
            <v>Xidmət bölməsi</v>
          </cell>
          <cell r="F6046" t="str">
            <v>Kiçik əməliyyatçı-kassir (müvəqqəti)</v>
          </cell>
          <cell r="G6046" t="str">
            <v>A</v>
          </cell>
          <cell r="H6046">
            <v>46073</v>
          </cell>
        </row>
        <row r="6047">
          <cell r="B6047" t="str">
            <v>Əsgərov Xəyyam Əziz</v>
          </cell>
          <cell r="C6047" t="str">
            <v>Şimal filialı</v>
          </cell>
          <cell r="D6047" t="str">
            <v>#</v>
          </cell>
          <cell r="E6047" t="str">
            <v>Xidmət bölməsi</v>
          </cell>
          <cell r="F6047" t="str">
            <v xml:space="preserve">Aparıcı əməliyyatçı-kassir </v>
          </cell>
          <cell r="G6047" t="str">
            <v>A</v>
          </cell>
          <cell r="H6047">
            <v>45629</v>
          </cell>
        </row>
        <row r="6048">
          <cell r="B6048" t="str">
            <v>Mərdanova Ülkər Yaşar</v>
          </cell>
          <cell r="C6048" t="str">
            <v>Şimal filialı</v>
          </cell>
          <cell r="D6048" t="str">
            <v>#</v>
          </cell>
          <cell r="E6048" t="str">
            <v>Xidmət bölməsi</v>
          </cell>
          <cell r="F6048" t="str">
            <v>Əməliyyatçı-kassir</v>
          </cell>
          <cell r="G6048" t="str">
            <v>A</v>
          </cell>
          <cell r="H6048">
            <v>45449</v>
          </cell>
        </row>
        <row r="6049">
          <cell r="B6049" t="str">
            <v>Mustafayeva Şəbnəm Hüseyn</v>
          </cell>
          <cell r="C6049" t="str">
            <v>Şimal filialı</v>
          </cell>
          <cell r="D6049" t="str">
            <v>#</v>
          </cell>
          <cell r="E6049" t="str">
            <v>Xidmət bölməsi</v>
          </cell>
          <cell r="F6049" t="str">
            <v>Əməliyyatçı-kassir</v>
          </cell>
          <cell r="G6049" t="str">
            <v>A</v>
          </cell>
          <cell r="H6049">
            <v>45484</v>
          </cell>
        </row>
        <row r="6050">
          <cell r="B6050" t="str">
            <v>Quliyev Nurlan Əlislam</v>
          </cell>
          <cell r="C6050" t="str">
            <v>Şimal filialı</v>
          </cell>
          <cell r="D6050" t="str">
            <v>#</v>
          </cell>
          <cell r="E6050" t="str">
            <v>Xidmət bölməsi</v>
          </cell>
          <cell r="F6050" t="str">
            <v>Müştərilərlə iş üzrə baş mütəxəssis</v>
          </cell>
          <cell r="G6050" t="str">
            <v>A</v>
          </cell>
          <cell r="H6050">
            <v>42556</v>
          </cell>
        </row>
        <row r="6051">
          <cell r="B6051" t="str">
            <v>Kərimova Günel Elman</v>
          </cell>
          <cell r="C6051" t="str">
            <v>Şimal filialı</v>
          </cell>
          <cell r="D6051" t="str">
            <v>#</v>
          </cell>
          <cell r="E6051" t="str">
            <v>Xidmət bölməsi</v>
          </cell>
          <cell r="F6051" t="str">
            <v>Müştərilərlə iş üzrə aparıcı mütəxəssis</v>
          </cell>
          <cell r="G6051" t="str">
            <v>A</v>
          </cell>
          <cell r="H6051">
            <v>44784</v>
          </cell>
        </row>
        <row r="6052">
          <cell r="B6052" t="str">
            <v>Çobanov Əfsan Üzeyir</v>
          </cell>
          <cell r="C6052" t="str">
            <v>Şimal filialı</v>
          </cell>
          <cell r="D6052" t="str">
            <v>#</v>
          </cell>
          <cell r="E6052" t="str">
            <v>Xidmət bölməsi</v>
          </cell>
          <cell r="F6052" t="str">
            <v>Müştərilərlə iş üzrə aparıcı mütəxəssis</v>
          </cell>
          <cell r="G6052" t="str">
            <v>A</v>
          </cell>
          <cell r="H6052">
            <v>44614</v>
          </cell>
        </row>
        <row r="6053">
          <cell r="B6053" t="str">
            <v>Əyyubova Mədinə Rüstəm</v>
          </cell>
          <cell r="C6053" t="str">
            <v>Şimal filialı</v>
          </cell>
          <cell r="D6053" t="str">
            <v>#</v>
          </cell>
          <cell r="E6053" t="str">
            <v>Xidmət bölməsi</v>
          </cell>
          <cell r="F6053" t="str">
            <v>Məlumat xidməti üzrə mütəxəssis</v>
          </cell>
          <cell r="G6053" t="str">
            <v>A</v>
          </cell>
          <cell r="H6053">
            <v>45681</v>
          </cell>
        </row>
        <row r="6054">
          <cell r="B6054" t="str">
            <v>Məmmədova Pərvanə Məmmədhəsən</v>
          </cell>
          <cell r="C6054" t="str">
            <v>Şimal filialı</v>
          </cell>
          <cell r="D6054" t="str">
            <v>#</v>
          </cell>
          <cell r="E6054" t="str">
            <v>İnzibati bölmə</v>
          </cell>
          <cell r="F6054" t="str">
            <v>Xadimə</v>
          </cell>
          <cell r="G6054" t="str">
            <v>A</v>
          </cell>
          <cell r="H6054">
            <v>43174</v>
          </cell>
        </row>
        <row r="6055">
          <cell r="B6055" t="str">
            <v>Quliyev Ramis Ağaqulu</v>
          </cell>
          <cell r="C6055" t="str">
            <v>Şirvan şəhər filialı</v>
          </cell>
          <cell r="D6055" t="str">
            <v>#</v>
          </cell>
          <cell r="E6055" t="str">
            <v>#</v>
          </cell>
          <cell r="F6055" t="str">
            <v>Müdir</v>
          </cell>
          <cell r="G6055" t="str">
            <v>A</v>
          </cell>
          <cell r="H6055">
            <v>42849</v>
          </cell>
        </row>
        <row r="6056">
          <cell r="B6056" t="str">
            <v>Xanmirzəyev Rahil İsmayıl</v>
          </cell>
          <cell r="C6056" t="str">
            <v>Şirvan şəhər filialı</v>
          </cell>
          <cell r="D6056" t="str">
            <v>#</v>
          </cell>
          <cell r="E6056" t="str">
            <v>#</v>
          </cell>
          <cell r="F6056" t="str">
            <v>Menecer</v>
          </cell>
          <cell r="G6056" t="str">
            <v>A</v>
          </cell>
          <cell r="H6056">
            <v>42326</v>
          </cell>
        </row>
        <row r="6057">
          <cell r="B6057" t="str">
            <v>Şəmmədov Azay Mikayıl</v>
          </cell>
          <cell r="C6057" t="str">
            <v>Şirvan şəhər filialı</v>
          </cell>
          <cell r="D6057" t="str">
            <v>#</v>
          </cell>
          <cell r="E6057" t="str">
            <v>Xidmət bölməsi</v>
          </cell>
          <cell r="F6057" t="str">
            <v>Kassa üzrə baş mütəxəssis</v>
          </cell>
          <cell r="G6057" t="str">
            <v>A</v>
          </cell>
          <cell r="H6057">
            <v>42522</v>
          </cell>
        </row>
        <row r="6058">
          <cell r="B6058" t="str">
            <v>Abaszadə Bayram Nazim</v>
          </cell>
          <cell r="C6058" t="str">
            <v>Şirvan şəhər filialı</v>
          </cell>
          <cell r="D6058" t="str">
            <v>#</v>
          </cell>
          <cell r="E6058" t="str">
            <v>Xidmət bölməsi</v>
          </cell>
          <cell r="F6058" t="str">
            <v>Kassa üzrə baş mütəxəssis</v>
          </cell>
          <cell r="G6058" t="str">
            <v>A</v>
          </cell>
          <cell r="H6058">
            <v>43521</v>
          </cell>
        </row>
        <row r="6059">
          <cell r="B6059" t="str">
            <v>Xəlilov Elşad Gülbala</v>
          </cell>
          <cell r="C6059" t="str">
            <v>Şirvan şəhər filialı</v>
          </cell>
          <cell r="D6059" t="str">
            <v>#</v>
          </cell>
          <cell r="E6059" t="str">
            <v>Xidmət bölməsi</v>
          </cell>
          <cell r="F6059" t="str">
            <v>Kassir</v>
          </cell>
          <cell r="G6059" t="str">
            <v>A</v>
          </cell>
          <cell r="H6059">
            <v>42751</v>
          </cell>
        </row>
        <row r="6060">
          <cell r="B6060" t="str">
            <v>Hacıyev Səxavət İsmayıl</v>
          </cell>
          <cell r="C6060" t="str">
            <v>Şirvan şəhər filialı</v>
          </cell>
          <cell r="D6060" t="str">
            <v>#</v>
          </cell>
          <cell r="E6060" t="str">
            <v>Xidmət bölməsi</v>
          </cell>
          <cell r="F6060" t="str">
            <v>Kassir</v>
          </cell>
          <cell r="G6060" t="str">
            <v>A</v>
          </cell>
          <cell r="H6060">
            <v>44400</v>
          </cell>
        </row>
        <row r="6061">
          <cell r="B6061" t="str">
            <v>Dəmirova Leyla Həsrət</v>
          </cell>
          <cell r="C6061" t="str">
            <v>Şirvan şəhər filialı</v>
          </cell>
          <cell r="D6061" t="str">
            <v>#</v>
          </cell>
          <cell r="E6061" t="str">
            <v>Xidmət bölməsi</v>
          </cell>
          <cell r="F6061" t="str">
            <v>Məlumat xidməti üzrə mütəxəssis</v>
          </cell>
          <cell r="G6061" t="str">
            <v>A</v>
          </cell>
          <cell r="H6061">
            <v>45624</v>
          </cell>
        </row>
        <row r="6062">
          <cell r="B6062" t="str">
            <v>Abdullayev Elçin Eldar</v>
          </cell>
          <cell r="C6062" t="str">
            <v>Şirvan şəhər filialı</v>
          </cell>
          <cell r="D6062" t="str">
            <v>#</v>
          </cell>
          <cell r="E6062" t="str">
            <v>Xidmət bölməsi</v>
          </cell>
          <cell r="F6062" t="str">
            <v>Müştərilərlə iş üzrə baş mütəxəssis</v>
          </cell>
          <cell r="G6062" t="str">
            <v>A</v>
          </cell>
          <cell r="H6062">
            <v>42405</v>
          </cell>
        </row>
        <row r="6063">
          <cell r="B6063" t="str">
            <v>Əmirova Jalə Dadaş</v>
          </cell>
          <cell r="C6063" t="str">
            <v>Şirvan şəhər filialı</v>
          </cell>
          <cell r="D6063" t="str">
            <v>#</v>
          </cell>
          <cell r="E6063" t="str">
            <v>Xidmət bölməsi</v>
          </cell>
          <cell r="F6063" t="str">
            <v>Müştərilərlə iş üzrə baş mütəxəssis</v>
          </cell>
          <cell r="G6063" t="str">
            <v>A</v>
          </cell>
          <cell r="H6063">
            <v>42405</v>
          </cell>
        </row>
        <row r="6064">
          <cell r="B6064" t="str">
            <v>Təvəzzüli Mirdavud Ceyhun</v>
          </cell>
          <cell r="C6064" t="str">
            <v>Şirvan şəhər filialı</v>
          </cell>
          <cell r="D6064" t="str">
            <v>#</v>
          </cell>
          <cell r="E6064" t="str">
            <v>Xidmət bölməsi</v>
          </cell>
          <cell r="F6064" t="str">
            <v>Müştərilərlə iş üzrə baş mütəxəssis</v>
          </cell>
          <cell r="G6064" t="str">
            <v>A</v>
          </cell>
          <cell r="H6064">
            <v>43304</v>
          </cell>
        </row>
        <row r="6065">
          <cell r="B6065" t="str">
            <v>Qurbanov Ağayar Əlyar</v>
          </cell>
          <cell r="C6065" t="str">
            <v>Şirvan şəhər filialı</v>
          </cell>
          <cell r="D6065" t="str">
            <v>#</v>
          </cell>
          <cell r="E6065" t="str">
            <v>Xidmət bölməsi</v>
          </cell>
          <cell r="F6065" t="str">
            <v>Bölmə rəhbəri</v>
          </cell>
          <cell r="G6065" t="str">
            <v>A</v>
          </cell>
          <cell r="H6065">
            <v>42509</v>
          </cell>
        </row>
        <row r="6066">
          <cell r="B6066" t="str">
            <v>Tağıyev Elvin Rauf</v>
          </cell>
          <cell r="C6066" t="str">
            <v>Şirvan şəhər filialı</v>
          </cell>
          <cell r="D6066" t="str">
            <v>#</v>
          </cell>
          <cell r="E6066" t="str">
            <v>Xidmət bölməsi</v>
          </cell>
          <cell r="F6066" t="str">
            <v>Müştərilərlə iş üzrə baş mütəxəssis</v>
          </cell>
          <cell r="G6066" t="str">
            <v>A</v>
          </cell>
          <cell r="H6066">
            <v>43790</v>
          </cell>
        </row>
        <row r="6067">
          <cell r="B6067" t="str">
            <v>Namazova Sevinc İnqilab</v>
          </cell>
          <cell r="C6067" t="str">
            <v>Şirvan şəhər filialı</v>
          </cell>
          <cell r="D6067" t="str">
            <v>#</v>
          </cell>
          <cell r="E6067" t="str">
            <v>Xidmət bölməsi</v>
          </cell>
          <cell r="F6067" t="str">
            <v>Müştərilərlə iş üzrə baş mütəxəssis</v>
          </cell>
          <cell r="G6067" t="str">
            <v>A</v>
          </cell>
          <cell r="H6067">
            <v>42359</v>
          </cell>
        </row>
        <row r="6068">
          <cell r="B6068" t="str">
            <v>Əsgərzadə Məmmədbağır Münasib</v>
          </cell>
          <cell r="C6068" t="str">
            <v>Şirvan şəhər filialı</v>
          </cell>
          <cell r="D6068" t="str">
            <v>#</v>
          </cell>
          <cell r="E6068" t="str">
            <v>Xidmət bölməsi</v>
          </cell>
          <cell r="F6068" t="str">
            <v>Müştərilərlə iş üzrə baş mütəxəssis</v>
          </cell>
          <cell r="G6068" t="str">
            <v>A</v>
          </cell>
          <cell r="H6068">
            <v>44573</v>
          </cell>
        </row>
        <row r="6069">
          <cell r="B6069" t="str">
            <v>Bağırzadə Aqil Ədalət</v>
          </cell>
          <cell r="C6069" t="str">
            <v>Şirvan şəhər filialı</v>
          </cell>
          <cell r="D6069" t="str">
            <v>#</v>
          </cell>
          <cell r="E6069" t="str">
            <v>Xidmət bölməsi</v>
          </cell>
          <cell r="F6069" t="str">
            <v>Müştərilərlə iş üzrə aparıcı mütəxəssis</v>
          </cell>
          <cell r="G6069" t="str">
            <v>A</v>
          </cell>
          <cell r="H6069">
            <v>44881</v>
          </cell>
        </row>
        <row r="6070">
          <cell r="B6070" t="str">
            <v>Həsənli Səriyyə Vidadi</v>
          </cell>
          <cell r="C6070" t="str">
            <v>Şirvan şəhər filialı</v>
          </cell>
          <cell r="D6070" t="str">
            <v>#</v>
          </cell>
          <cell r="E6070" t="str">
            <v>Xidmət bölməsi</v>
          </cell>
          <cell r="F6070" t="str">
            <v>Müştərilərlə iş üzrə mütəxəssis</v>
          </cell>
          <cell r="G6070" t="str">
            <v>A</v>
          </cell>
          <cell r="H6070">
            <v>44659</v>
          </cell>
        </row>
        <row r="6071">
          <cell r="B6071" t="str">
            <v>Fərzəliyev Tural Novruz</v>
          </cell>
          <cell r="C6071" t="str">
            <v>Şirvan şəhər filialı</v>
          </cell>
          <cell r="D6071" t="str">
            <v>#</v>
          </cell>
          <cell r="E6071" t="str">
            <v>Xidmət bölməsi</v>
          </cell>
          <cell r="F6071" t="str">
            <v>Müştərilərlə iş üzrə mütəxəssis</v>
          </cell>
          <cell r="G6071" t="str">
            <v>A</v>
          </cell>
          <cell r="H6071">
            <v>44813</v>
          </cell>
        </row>
        <row r="6072">
          <cell r="B6072" t="str">
            <v>Salahova Aytac Ağabala</v>
          </cell>
          <cell r="C6072" t="str">
            <v>Şirvan şəhər filialı</v>
          </cell>
          <cell r="D6072" t="str">
            <v>#</v>
          </cell>
          <cell r="E6072" t="str">
            <v>Xidmət bölməsi</v>
          </cell>
          <cell r="F6072" t="str">
            <v>Müştərilərlə iş üzrə aparıcı mütəxəssis</v>
          </cell>
          <cell r="G6072" t="str">
            <v>A</v>
          </cell>
          <cell r="H6072">
            <v>44657</v>
          </cell>
        </row>
        <row r="6073">
          <cell r="B6073" t="str">
            <v>Mirişov Miraslan Mirağa</v>
          </cell>
          <cell r="C6073" t="str">
            <v>Şirvan şəhər filialı</v>
          </cell>
          <cell r="D6073" t="str">
            <v>#</v>
          </cell>
          <cell r="E6073" t="str">
            <v>Xidmət bölməsi</v>
          </cell>
          <cell r="F6073" t="str">
            <v>Müştərilərlə iş üzrə mütəxəssis</v>
          </cell>
          <cell r="G6073" t="str">
            <v>A</v>
          </cell>
          <cell r="H6073">
            <v>45722</v>
          </cell>
        </row>
        <row r="6074">
          <cell r="B6074" t="str">
            <v>Orucova Könül Çingiz</v>
          </cell>
          <cell r="C6074" t="str">
            <v>Şirvan şəhər filialı</v>
          </cell>
          <cell r="D6074" t="str">
            <v>#</v>
          </cell>
          <cell r="E6074" t="str">
            <v>İnzibati bölmə</v>
          </cell>
          <cell r="F6074" t="str">
            <v>Xadimə</v>
          </cell>
          <cell r="G6074" t="str">
            <v>A</v>
          </cell>
          <cell r="H6074">
            <v>43607</v>
          </cell>
        </row>
        <row r="6075">
          <cell r="B6075" t="str">
            <v>Ərzumanova Xalidə Zakir</v>
          </cell>
          <cell r="C6075" t="str">
            <v>Şirvan şəhər filialı</v>
          </cell>
          <cell r="D6075" t="str">
            <v>#</v>
          </cell>
          <cell r="E6075" t="str">
            <v>İnzibati bölmə</v>
          </cell>
          <cell r="F6075" t="str">
            <v>Xadimə</v>
          </cell>
          <cell r="G6075" t="str">
            <v>A</v>
          </cell>
          <cell r="H6075">
            <v>44746</v>
          </cell>
        </row>
        <row r="6076">
          <cell r="B6076" t="str">
            <v>İbrahim İsmayıl Xalid</v>
          </cell>
          <cell r="C6076" t="str">
            <v>Şirvan şəhər filialı</v>
          </cell>
          <cell r="D6076" t="str">
            <v>#</v>
          </cell>
          <cell r="E6076" t="str">
            <v>Mikro kredit bölməsi</v>
          </cell>
          <cell r="F6076" t="str">
            <v>Bölmə rəhbəri</v>
          </cell>
          <cell r="G6076" t="str">
            <v>A</v>
          </cell>
          <cell r="H6076">
            <v>44440</v>
          </cell>
        </row>
        <row r="6077">
          <cell r="B6077" t="str">
            <v>Xancanov Elgün Müqəddəs</v>
          </cell>
          <cell r="C6077" t="str">
            <v>Şirvan şəhər filialı</v>
          </cell>
          <cell r="D6077" t="str">
            <v>#</v>
          </cell>
          <cell r="E6077" t="str">
            <v>Mikro kredit bölməsi</v>
          </cell>
          <cell r="F6077" t="str">
            <v>Aparıcı mütəxəssis</v>
          </cell>
          <cell r="G6077" t="str">
            <v>A</v>
          </cell>
          <cell r="H6077">
            <v>44852</v>
          </cell>
        </row>
        <row r="6078">
          <cell r="B6078" t="str">
            <v>Əliyev Kamran Ağalar</v>
          </cell>
          <cell r="C6078" t="str">
            <v>Şirvan şəhər filialı</v>
          </cell>
          <cell r="D6078" t="str">
            <v>#</v>
          </cell>
          <cell r="E6078" t="str">
            <v>Mikro kredit bölməsi</v>
          </cell>
          <cell r="F6078" t="str">
            <v>Aparıcı mütəxəssis</v>
          </cell>
          <cell r="G6078" t="str">
            <v>A</v>
          </cell>
          <cell r="H6078">
            <v>44522</v>
          </cell>
        </row>
        <row r="6079">
          <cell r="B6079" t="str">
            <v>Hüseynov Nurlan Əlisevər</v>
          </cell>
          <cell r="C6079" t="str">
            <v>Şirvan şəhər filialı</v>
          </cell>
          <cell r="D6079" t="str">
            <v>#</v>
          </cell>
          <cell r="E6079" t="str">
            <v>Mikro kredit bölməsi</v>
          </cell>
          <cell r="F6079" t="str">
            <v>Aparıcı mütəxəssis</v>
          </cell>
          <cell r="G6079" t="str">
            <v>A</v>
          </cell>
          <cell r="H6079">
            <v>44971</v>
          </cell>
        </row>
        <row r="6080">
          <cell r="B6080" t="str">
            <v>Əliyev Fəhmin Səmədağa</v>
          </cell>
          <cell r="C6080" t="str">
            <v>Şirvan şəhər filialı</v>
          </cell>
          <cell r="D6080" t="str">
            <v>#</v>
          </cell>
          <cell r="E6080" t="str">
            <v>Mikro kredit bölməsi</v>
          </cell>
          <cell r="F6080" t="str">
            <v>Aparıcı mütəxəssis</v>
          </cell>
          <cell r="G6080" t="str">
            <v>A</v>
          </cell>
          <cell r="H6080">
            <v>45057</v>
          </cell>
        </row>
        <row r="6081">
          <cell r="B6081" t="str">
            <v>Ağayev Səyyad Faiq</v>
          </cell>
          <cell r="C6081" t="str">
            <v>Şirvan şəhər filialı</v>
          </cell>
          <cell r="D6081" t="str">
            <v>#</v>
          </cell>
          <cell r="E6081" t="str">
            <v>Mikro kredit bölməsi</v>
          </cell>
          <cell r="F6081" t="str">
            <v>Mütəxəssis</v>
          </cell>
          <cell r="G6081" t="str">
            <v>A</v>
          </cell>
          <cell r="H6081">
            <v>45110</v>
          </cell>
        </row>
        <row r="6082">
          <cell r="B6082" t="str">
            <v>Ağayev Tosif Tofiq</v>
          </cell>
          <cell r="C6082" t="str">
            <v>Şuşa filialı</v>
          </cell>
          <cell r="D6082" t="str">
            <v>#</v>
          </cell>
          <cell r="E6082" t="str">
            <v>#</v>
          </cell>
          <cell r="F6082" t="str">
            <v>Müdir</v>
          </cell>
          <cell r="G6082" t="str">
            <v>A</v>
          </cell>
          <cell r="H6082">
            <v>42991</v>
          </cell>
        </row>
        <row r="6083">
          <cell r="B6083" t="str">
            <v>Şıxızadə Şamil Akif</v>
          </cell>
          <cell r="C6083" t="str">
            <v>Şuşa filialı</v>
          </cell>
          <cell r="D6083" t="str">
            <v>#</v>
          </cell>
          <cell r="E6083" t="str">
            <v>Xidmət bölməsi</v>
          </cell>
          <cell r="F6083" t="str">
            <v>Kassa üzrə baş mütəxəssis</v>
          </cell>
          <cell r="G6083" t="str">
            <v>A</v>
          </cell>
          <cell r="H6083">
            <v>42037</v>
          </cell>
        </row>
        <row r="6084">
          <cell r="B6084" t="str">
            <v>Hüseynli İlkin Paşa</v>
          </cell>
          <cell r="C6084" t="str">
            <v>Şuşa filialı</v>
          </cell>
          <cell r="D6084" t="str">
            <v>#</v>
          </cell>
          <cell r="E6084" t="str">
            <v>Xidmət bölməsi</v>
          </cell>
          <cell r="F6084" t="str">
            <v>Əməliyyatçı-kassir</v>
          </cell>
          <cell r="G6084" t="str">
            <v>A</v>
          </cell>
          <cell r="H6084">
            <v>44659</v>
          </cell>
        </row>
        <row r="6085">
          <cell r="B6085" t="str">
            <v>Kərimzadə Turan Vahid</v>
          </cell>
          <cell r="C6085" t="str">
            <v>Şuşa filialı</v>
          </cell>
          <cell r="D6085" t="str">
            <v>#</v>
          </cell>
          <cell r="E6085" t="str">
            <v>Xidmət bölməsi</v>
          </cell>
          <cell r="F6085" t="str">
            <v>Məlumat xidməti üzrə kiçik mütəxəssis</v>
          </cell>
          <cell r="G6085" t="str">
            <v>A</v>
          </cell>
          <cell r="H6085">
            <v>46162</v>
          </cell>
        </row>
        <row r="6086">
          <cell r="B6086" t="str">
            <v>Ələkbərov Tural Rafail</v>
          </cell>
          <cell r="C6086" t="str">
            <v>Şuşa filialı</v>
          </cell>
          <cell r="D6086" t="str">
            <v>#</v>
          </cell>
          <cell r="E6086" t="str">
            <v>Xidmət bölməsi</v>
          </cell>
          <cell r="F6086" t="str">
            <v>Müştərilərlə iş üzrə baş mütəxəssis</v>
          </cell>
          <cell r="G6086" t="str">
            <v>A</v>
          </cell>
          <cell r="H6086">
            <v>42887</v>
          </cell>
        </row>
        <row r="6087">
          <cell r="B6087" t="str">
            <v>Mehdiyev İlkin Allahverdi</v>
          </cell>
          <cell r="C6087" t="str">
            <v>Tərtər  filialı</v>
          </cell>
          <cell r="D6087" t="str">
            <v>#</v>
          </cell>
          <cell r="E6087" t="str">
            <v>#</v>
          </cell>
          <cell r="F6087" t="str">
            <v>Müdir</v>
          </cell>
          <cell r="G6087" t="str">
            <v>A</v>
          </cell>
          <cell r="H6087">
            <v>44384</v>
          </cell>
        </row>
        <row r="6088">
          <cell r="B6088" t="str">
            <v>Məmişzadə Sevda Sultan</v>
          </cell>
          <cell r="C6088" t="str">
            <v>Tərtər  filialı</v>
          </cell>
          <cell r="D6088" t="str">
            <v>#</v>
          </cell>
          <cell r="E6088" t="str">
            <v>Xidmət bölməsi</v>
          </cell>
          <cell r="F6088" t="str">
            <v xml:space="preserve">Aparıcı əməliyyatçı-kassir </v>
          </cell>
          <cell r="G6088" t="str">
            <v>A</v>
          </cell>
          <cell r="H6088">
            <v>45336</v>
          </cell>
        </row>
        <row r="6089">
          <cell r="B6089" t="str">
            <v>Əhmədov Şamxal Zöhrab</v>
          </cell>
          <cell r="C6089" t="str">
            <v>Tərtər  filialı</v>
          </cell>
          <cell r="D6089" t="str">
            <v>#</v>
          </cell>
          <cell r="E6089" t="str">
            <v>Xidmət bölməsi</v>
          </cell>
          <cell r="F6089" t="str">
            <v>Kiçik əməliyyatçı-kassir</v>
          </cell>
          <cell r="G6089" t="str">
            <v>A</v>
          </cell>
          <cell r="H6089">
            <v>45905</v>
          </cell>
        </row>
        <row r="6090">
          <cell r="B6090" t="str">
            <v>Əlizadə Jalə Ruslan</v>
          </cell>
          <cell r="C6090" t="str">
            <v>Tərtər  filialı</v>
          </cell>
          <cell r="D6090" t="str">
            <v>#</v>
          </cell>
          <cell r="E6090" t="str">
            <v>Xidmət bölməsi</v>
          </cell>
          <cell r="F6090" t="str">
            <v>Məlumat xidməti üzrə mütəxəssis</v>
          </cell>
          <cell r="G6090" t="str">
            <v>A</v>
          </cell>
          <cell r="H6090">
            <v>45712</v>
          </cell>
        </row>
        <row r="6091">
          <cell r="B6091" t="str">
            <v>Məmmədzadə Nilufər Ədalət</v>
          </cell>
          <cell r="C6091" t="str">
            <v>Tərtər  filialı</v>
          </cell>
          <cell r="D6091" t="str">
            <v>#</v>
          </cell>
          <cell r="E6091" t="str">
            <v>Xidmət bölməsi</v>
          </cell>
          <cell r="F6091" t="str">
            <v>Müştərilərlə iş üzrə baş mütəxəssis</v>
          </cell>
          <cell r="G6091" t="str">
            <v>A</v>
          </cell>
          <cell r="H6091">
            <v>42891</v>
          </cell>
        </row>
        <row r="6092">
          <cell r="B6092" t="str">
            <v>Qasımlı Ədalət Xanlar</v>
          </cell>
          <cell r="C6092" t="str">
            <v>Tərtər  filialı</v>
          </cell>
          <cell r="D6092" t="str">
            <v>#</v>
          </cell>
          <cell r="E6092" t="str">
            <v>Xidmət bölməsi</v>
          </cell>
          <cell r="F6092" t="str">
            <v>Müştərilərlə iş üzrə baş mütəxəssis</v>
          </cell>
          <cell r="G6092" t="str">
            <v>A</v>
          </cell>
          <cell r="H6092">
            <v>43332</v>
          </cell>
        </row>
        <row r="6093">
          <cell r="B6093" t="str">
            <v>Quliyev Namiq İmamqulu</v>
          </cell>
          <cell r="C6093" t="str">
            <v>Tərtər  filialı</v>
          </cell>
          <cell r="D6093" t="str">
            <v>#</v>
          </cell>
          <cell r="E6093" t="str">
            <v>Xidmət bölməsi</v>
          </cell>
          <cell r="F6093" t="str">
            <v>Müştərilərlə iş üzrə baş mütəxəssis</v>
          </cell>
          <cell r="G6093" t="str">
            <v>A</v>
          </cell>
          <cell r="H6093">
            <v>40694</v>
          </cell>
        </row>
        <row r="6094">
          <cell r="B6094" t="str">
            <v>Şahverdiyev Fərid Əli</v>
          </cell>
          <cell r="C6094" t="str">
            <v>Tərtər  filialı</v>
          </cell>
          <cell r="D6094" t="str">
            <v>#</v>
          </cell>
          <cell r="E6094" t="str">
            <v>Xidmət bölməsi</v>
          </cell>
          <cell r="F6094" t="str">
            <v>Müştərilərlə iş üzrə kiçik mütəxəssis</v>
          </cell>
          <cell r="G6094" t="str">
            <v>A</v>
          </cell>
          <cell r="H6094">
            <v>45908</v>
          </cell>
        </row>
        <row r="6095">
          <cell r="B6095" t="str">
            <v>Əzimov Təhmasib Təhməz</v>
          </cell>
          <cell r="C6095" t="str">
            <v>Tərtər  filialı</v>
          </cell>
          <cell r="D6095" t="str">
            <v>#</v>
          </cell>
          <cell r="E6095" t="str">
            <v>Xidmət bölməsi</v>
          </cell>
          <cell r="F6095" t="str">
            <v>Müştərilərlə iş üzrə mütəxəssis</v>
          </cell>
          <cell r="G6095" t="str">
            <v>A</v>
          </cell>
          <cell r="H6095">
            <v>45708</v>
          </cell>
        </row>
        <row r="6096">
          <cell r="B6096" t="str">
            <v>Hüseynli Aidə Rasim</v>
          </cell>
          <cell r="C6096" t="str">
            <v>Tərtər  filialı</v>
          </cell>
          <cell r="D6096" t="str">
            <v>#</v>
          </cell>
          <cell r="E6096" t="str">
            <v>Xidmət bölməsi</v>
          </cell>
          <cell r="F6096" t="str">
            <v>Kassa üzrə kiçik mütəxəssis</v>
          </cell>
          <cell r="G6096" t="str">
            <v>A</v>
          </cell>
          <cell r="H6096">
            <v>46160</v>
          </cell>
        </row>
        <row r="6097">
          <cell r="B6097" t="str">
            <v>Əhmədova Göyçək Əhməd</v>
          </cell>
          <cell r="C6097" t="str">
            <v>Tərtər  filialı</v>
          </cell>
          <cell r="D6097" t="str">
            <v>#</v>
          </cell>
          <cell r="E6097" t="str">
            <v>İnzibati bölmə</v>
          </cell>
          <cell r="F6097" t="str">
            <v>Xadimə</v>
          </cell>
          <cell r="G6097" t="str">
            <v>A</v>
          </cell>
          <cell r="H6097">
            <v>44839</v>
          </cell>
        </row>
        <row r="6098">
          <cell r="B6098" t="str">
            <v>Mirzəyev Əlizamin Mehman</v>
          </cell>
          <cell r="C6098" t="str">
            <v>Tovuz  filialı</v>
          </cell>
          <cell r="D6098" t="str">
            <v>#</v>
          </cell>
          <cell r="E6098" t="str">
            <v>#</v>
          </cell>
          <cell r="F6098" t="str">
            <v>Müdir</v>
          </cell>
          <cell r="G6098" t="str">
            <v>A</v>
          </cell>
          <cell r="H6098">
            <v>42012</v>
          </cell>
        </row>
        <row r="6099">
          <cell r="B6099" t="str">
            <v>Yaqubov Rövşən Həsənağa</v>
          </cell>
          <cell r="C6099" t="str">
            <v>Tovuz  filialı</v>
          </cell>
          <cell r="D6099" t="str">
            <v>#</v>
          </cell>
          <cell r="E6099" t="str">
            <v>#</v>
          </cell>
          <cell r="F6099" t="str">
            <v>Menecer</v>
          </cell>
          <cell r="G6099" t="str">
            <v>A</v>
          </cell>
          <cell r="H6099">
            <v>40505</v>
          </cell>
        </row>
        <row r="6100">
          <cell r="B6100" t="str">
            <v>Hüseynli Hüseyn İmran</v>
          </cell>
          <cell r="C6100" t="str">
            <v>Tovuz  filialı</v>
          </cell>
          <cell r="D6100" t="str">
            <v>#</v>
          </cell>
          <cell r="E6100" t="str">
            <v>Xidmət bölməsi</v>
          </cell>
          <cell r="F6100" t="str">
            <v>Baş əməliyyatçı-kassir</v>
          </cell>
          <cell r="G6100" t="str">
            <v>A</v>
          </cell>
          <cell r="H6100">
            <v>42675</v>
          </cell>
        </row>
        <row r="6101">
          <cell r="B6101" t="str">
            <v>Müseyibova Nərmin Həsən</v>
          </cell>
          <cell r="C6101" t="str">
            <v>Tovuz  filialı</v>
          </cell>
          <cell r="D6101" t="str">
            <v>#</v>
          </cell>
          <cell r="E6101" t="str">
            <v>Xidmət bölməsi</v>
          </cell>
          <cell r="F6101" t="str">
            <v xml:space="preserve">Aparıcı əməliyyatçı-kassir </v>
          </cell>
          <cell r="G6101" t="str">
            <v>A</v>
          </cell>
          <cell r="H6101">
            <v>43851</v>
          </cell>
        </row>
        <row r="6102">
          <cell r="B6102" t="str">
            <v>Məmmədov Röyal Səid</v>
          </cell>
          <cell r="C6102" t="str">
            <v>Tovuz  filialı</v>
          </cell>
          <cell r="D6102" t="str">
            <v>#</v>
          </cell>
          <cell r="E6102" t="str">
            <v>Xidmət bölməsi</v>
          </cell>
          <cell r="F6102" t="str">
            <v xml:space="preserve">Aparıcı əməliyyatçı-kassir </v>
          </cell>
          <cell r="G6102" t="str">
            <v>A</v>
          </cell>
          <cell r="H6102">
            <v>45019</v>
          </cell>
        </row>
        <row r="6103">
          <cell r="B6103" t="str">
            <v>Sultanov Elxan İsgəndər</v>
          </cell>
          <cell r="C6103" t="str">
            <v>Tovuz  filialı</v>
          </cell>
          <cell r="D6103" t="str">
            <v>#</v>
          </cell>
          <cell r="E6103" t="str">
            <v>Xidmət bölməsi</v>
          </cell>
          <cell r="F6103" t="str">
            <v>Kassa üzrə aparıcı mütəxəssis</v>
          </cell>
          <cell r="G6103" t="str">
            <v>A</v>
          </cell>
          <cell r="H6103">
            <v>44699</v>
          </cell>
        </row>
        <row r="6104">
          <cell r="B6104" t="str">
            <v>Kərimli Aqil Telman</v>
          </cell>
          <cell r="C6104" t="str">
            <v>Tovuz  filialı</v>
          </cell>
          <cell r="D6104" t="str">
            <v>#</v>
          </cell>
          <cell r="E6104" t="str">
            <v>Xidmət bölməsi</v>
          </cell>
          <cell r="F6104" t="str">
            <v>Kassir</v>
          </cell>
          <cell r="G6104" t="str">
            <v>A</v>
          </cell>
          <cell r="H6104">
            <v>42054</v>
          </cell>
        </row>
        <row r="6105">
          <cell r="B6105" t="str">
            <v>Həsənov Kamandar İbrahim</v>
          </cell>
          <cell r="C6105" t="str">
            <v>Tovuz  filialı</v>
          </cell>
          <cell r="D6105" t="str">
            <v>#</v>
          </cell>
          <cell r="E6105" t="str">
            <v>Xidmət bölməsi</v>
          </cell>
          <cell r="F6105" t="str">
            <v>Kassir</v>
          </cell>
          <cell r="G6105" t="str">
            <v>A</v>
          </cell>
          <cell r="H6105">
            <v>40347</v>
          </cell>
        </row>
        <row r="6106">
          <cell r="B6106" t="str">
            <v>İsmayılova Arzu Müsəllim</v>
          </cell>
          <cell r="C6106" t="str">
            <v>Tovuz  filialı</v>
          </cell>
          <cell r="D6106" t="str">
            <v>#</v>
          </cell>
          <cell r="E6106" t="str">
            <v>Xidmət bölməsi</v>
          </cell>
          <cell r="F6106" t="str">
            <v>Məlumat xidməti üzrə mütəxəssis</v>
          </cell>
          <cell r="G6106" t="str">
            <v>A</v>
          </cell>
          <cell r="H6106">
            <v>45567</v>
          </cell>
        </row>
        <row r="6107">
          <cell r="B6107" t="str">
            <v>Müslümzadə Cavid Vaqif</v>
          </cell>
          <cell r="C6107" t="str">
            <v>Tovuz  filialı</v>
          </cell>
          <cell r="D6107" t="str">
            <v>#</v>
          </cell>
          <cell r="E6107" t="str">
            <v>Xidmət bölməsi</v>
          </cell>
          <cell r="F6107" t="str">
            <v>Bölmə rəhbəri</v>
          </cell>
          <cell r="G6107" t="str">
            <v>A</v>
          </cell>
          <cell r="H6107">
            <v>42822</v>
          </cell>
        </row>
        <row r="6108">
          <cell r="B6108" t="str">
            <v>Rzayev Azər Şəmşəddin</v>
          </cell>
          <cell r="C6108" t="str">
            <v>Tovuz  filialı</v>
          </cell>
          <cell r="D6108" t="str">
            <v>#</v>
          </cell>
          <cell r="E6108" t="str">
            <v>Xidmət bölməsi</v>
          </cell>
          <cell r="F6108" t="str">
            <v>Müştərilərlə iş üzrə baş mütəxəssis</v>
          </cell>
          <cell r="G6108" t="str">
            <v>A</v>
          </cell>
          <cell r="H6108">
            <v>43843</v>
          </cell>
        </row>
        <row r="6109">
          <cell r="B6109" t="str">
            <v>Qurbanov Tofiq Elçin</v>
          </cell>
          <cell r="C6109" t="str">
            <v>Tovuz  filialı</v>
          </cell>
          <cell r="D6109" t="str">
            <v>#</v>
          </cell>
          <cell r="E6109" t="str">
            <v>Xidmət bölməsi</v>
          </cell>
          <cell r="F6109" t="str">
            <v>Müştərilərlə iş üzrə baş mütəxəssis</v>
          </cell>
          <cell r="G6109" t="str">
            <v>A</v>
          </cell>
          <cell r="H6109">
            <v>44076</v>
          </cell>
        </row>
        <row r="6110">
          <cell r="B6110" t="str">
            <v>Tağıyev Vasif Mahir</v>
          </cell>
          <cell r="C6110" t="str">
            <v>Tovuz  filialı</v>
          </cell>
          <cell r="D6110" t="str">
            <v>#</v>
          </cell>
          <cell r="E6110" t="str">
            <v>Xidmət bölməsi</v>
          </cell>
          <cell r="F6110" t="str">
            <v>Müştərilərlə iş üzrə baş mütəxəssis</v>
          </cell>
          <cell r="G6110" t="str">
            <v>A</v>
          </cell>
          <cell r="H6110">
            <v>43766</v>
          </cell>
        </row>
        <row r="6111">
          <cell r="B6111" t="str">
            <v>Quliyeva Nərmin Şahin</v>
          </cell>
          <cell r="C6111" t="str">
            <v>Tovuz  filialı</v>
          </cell>
          <cell r="D6111" t="str">
            <v>#</v>
          </cell>
          <cell r="E6111" t="str">
            <v>Xidmət bölməsi</v>
          </cell>
          <cell r="F6111" t="str">
            <v>Müştərilərlə iş üzrə baş mütəxəssis</v>
          </cell>
          <cell r="G6111" t="str">
            <v>A</v>
          </cell>
          <cell r="H6111">
            <v>44399</v>
          </cell>
        </row>
        <row r="6112">
          <cell r="B6112" t="str">
            <v>Çərkəzli Müşviq Sarı</v>
          </cell>
          <cell r="C6112" t="str">
            <v>Tovuz  filialı</v>
          </cell>
          <cell r="D6112" t="str">
            <v>#</v>
          </cell>
          <cell r="E6112" t="str">
            <v>Xidmət bölməsi</v>
          </cell>
          <cell r="F6112" t="str">
            <v>Müştərilərlə iş üzrə mütəxəssis</v>
          </cell>
          <cell r="G6112" t="str">
            <v>A</v>
          </cell>
          <cell r="H6112">
            <v>44504</v>
          </cell>
        </row>
        <row r="6113">
          <cell r="B6113" t="str">
            <v>Əliyeva Nuray Tahir</v>
          </cell>
          <cell r="C6113" t="str">
            <v>Tovuz  filialı</v>
          </cell>
          <cell r="D6113" t="str">
            <v>#</v>
          </cell>
          <cell r="E6113" t="str">
            <v>Xidmət bölməsi</v>
          </cell>
          <cell r="F6113" t="str">
            <v>Müştərilərlə iş üzrə mütəxəssis</v>
          </cell>
          <cell r="G6113" t="str">
            <v>A</v>
          </cell>
          <cell r="H6113">
            <v>45601</v>
          </cell>
        </row>
        <row r="6114">
          <cell r="B6114" t="str">
            <v>Məmmədova Afət Bayram</v>
          </cell>
          <cell r="C6114" t="str">
            <v>Tovuz  filialı</v>
          </cell>
          <cell r="D6114" t="str">
            <v>#</v>
          </cell>
          <cell r="E6114" t="str">
            <v>İnzibati bölmə</v>
          </cell>
          <cell r="F6114" t="str">
            <v>Xadimə</v>
          </cell>
          <cell r="G6114" t="str">
            <v>A</v>
          </cell>
          <cell r="H6114">
            <v>43655</v>
          </cell>
        </row>
        <row r="6115">
          <cell r="B6115" t="str">
            <v>Rüstəmova Vəsilə Kamal</v>
          </cell>
          <cell r="C6115" t="str">
            <v>Tovuz  filialı</v>
          </cell>
          <cell r="D6115" t="str">
            <v>#</v>
          </cell>
          <cell r="E6115" t="str">
            <v>İnzibati bölmə</v>
          </cell>
          <cell r="F6115" t="str">
            <v>Xadimə</v>
          </cell>
          <cell r="G6115" t="str">
            <v>A</v>
          </cell>
          <cell r="H6115">
            <v>45078</v>
          </cell>
        </row>
        <row r="6116">
          <cell r="B6116" t="str">
            <v>Civişov Babək Qərib</v>
          </cell>
          <cell r="C6116" t="str">
            <v>Tovuz  filialı</v>
          </cell>
          <cell r="D6116" t="str">
            <v>#</v>
          </cell>
          <cell r="E6116" t="str">
            <v>Mikro kredit bölməsi</v>
          </cell>
          <cell r="F6116" t="str">
            <v>Bölmə rəhbəri</v>
          </cell>
          <cell r="G6116" t="str">
            <v>A</v>
          </cell>
          <cell r="H6116">
            <v>44441</v>
          </cell>
        </row>
        <row r="6117">
          <cell r="B6117" t="str">
            <v>Əsgərov Erkin Nüsrət</v>
          </cell>
          <cell r="C6117" t="str">
            <v>Tovuz  filialı</v>
          </cell>
          <cell r="D6117" t="str">
            <v>#</v>
          </cell>
          <cell r="E6117" t="str">
            <v>Mikro kredit bölməsi</v>
          </cell>
          <cell r="F6117" t="str">
            <v>Baş mütəxəssis</v>
          </cell>
          <cell r="G6117" t="str">
            <v>A</v>
          </cell>
          <cell r="H6117">
            <v>44440</v>
          </cell>
        </row>
        <row r="6118">
          <cell r="B6118" t="str">
            <v>Məmmədov Ramil Cəbrayıl</v>
          </cell>
          <cell r="C6118" t="str">
            <v>Tovuz  filialı</v>
          </cell>
          <cell r="D6118" t="str">
            <v>#</v>
          </cell>
          <cell r="E6118" t="str">
            <v>Mikro kredit bölməsi</v>
          </cell>
          <cell r="F6118" t="str">
            <v>Mütəxəssis</v>
          </cell>
          <cell r="G6118" t="str">
            <v>A</v>
          </cell>
          <cell r="H6118">
            <v>45156</v>
          </cell>
        </row>
        <row r="6119">
          <cell r="B6119" t="str">
            <v>Tağızadə Elbəy Kamandar</v>
          </cell>
          <cell r="C6119" t="str">
            <v>Tovuz  filialı</v>
          </cell>
          <cell r="D6119" t="str">
            <v>#</v>
          </cell>
          <cell r="E6119" t="str">
            <v>Mikro kredit bölməsi</v>
          </cell>
          <cell r="F6119" t="str">
            <v>Mütəxəssis</v>
          </cell>
          <cell r="G6119" t="str">
            <v>A</v>
          </cell>
          <cell r="H6119">
            <v>43259</v>
          </cell>
        </row>
        <row r="6120">
          <cell r="B6120" t="str">
            <v>Qarabığov Rüfət Qərib</v>
          </cell>
          <cell r="C6120" t="str">
            <v>Tovuz  filialı</v>
          </cell>
          <cell r="D6120" t="str">
            <v>#</v>
          </cell>
          <cell r="E6120" t="str">
            <v>Mikro kredit bölməsi</v>
          </cell>
          <cell r="F6120" t="str">
            <v>Mütəxəssis</v>
          </cell>
          <cell r="G6120" t="str">
            <v>A</v>
          </cell>
          <cell r="H6120">
            <v>43874</v>
          </cell>
        </row>
        <row r="6121">
          <cell r="B6121" t="str">
            <v>İsgəndərov Pərviz İmalət</v>
          </cell>
          <cell r="C6121" t="str">
            <v>Ucar filialı</v>
          </cell>
          <cell r="D6121" t="str">
            <v>#</v>
          </cell>
          <cell r="E6121" t="str">
            <v>#</v>
          </cell>
          <cell r="F6121" t="str">
            <v>Müdir</v>
          </cell>
          <cell r="G6121" t="str">
            <v>A</v>
          </cell>
          <cell r="H6121">
            <v>45628</v>
          </cell>
        </row>
        <row r="6122">
          <cell r="B6122" t="str">
            <v>Zeynalov Əlihəsən Ağahüseyn</v>
          </cell>
          <cell r="C6122" t="str">
            <v>Ucar filialı</v>
          </cell>
          <cell r="D6122" t="str">
            <v>#</v>
          </cell>
          <cell r="E6122" t="str">
            <v>Xidmət bölməsi</v>
          </cell>
          <cell r="F6122" t="str">
            <v>Kassa üzrə baş mütəxəssis</v>
          </cell>
          <cell r="G6122" t="str">
            <v>A</v>
          </cell>
          <cell r="H6122">
            <v>38504</v>
          </cell>
        </row>
        <row r="6123">
          <cell r="B6123" t="str">
            <v>Səfərli Laçın Oqtay</v>
          </cell>
          <cell r="C6123" t="str">
            <v>Ucar filialı</v>
          </cell>
          <cell r="D6123" t="str">
            <v>#</v>
          </cell>
          <cell r="E6123" t="str">
            <v>Xidmət bölməsi</v>
          </cell>
          <cell r="F6123" t="str">
            <v>Müştərilərlə iş üzrə baş mütəxəssis</v>
          </cell>
          <cell r="G6123" t="str">
            <v>A</v>
          </cell>
          <cell r="H6123">
            <v>43824</v>
          </cell>
        </row>
        <row r="6124">
          <cell r="B6124" t="str">
            <v>Əhmədov Türkay Nazir</v>
          </cell>
          <cell r="C6124" t="str">
            <v>Ucar filialı</v>
          </cell>
          <cell r="D6124" t="str">
            <v>#</v>
          </cell>
          <cell r="E6124" t="str">
            <v>Xidmət bölməsi</v>
          </cell>
          <cell r="F6124" t="str">
            <v>Müştərilərlə iş üzrə baş mütəxəssis</v>
          </cell>
          <cell r="G6124" t="str">
            <v>A</v>
          </cell>
          <cell r="H6124">
            <v>42543</v>
          </cell>
        </row>
        <row r="6125">
          <cell r="B6125" t="str">
            <v>Məmmədov Vadim Fikrət</v>
          </cell>
          <cell r="C6125" t="str">
            <v>Ucar filialı</v>
          </cell>
          <cell r="D6125" t="str">
            <v>#</v>
          </cell>
          <cell r="E6125" t="str">
            <v>Xidmət bölməsi</v>
          </cell>
          <cell r="F6125" t="str">
            <v>Müştərilərlə iş üzrə baş mütəxəssis</v>
          </cell>
          <cell r="G6125" t="str">
            <v>A</v>
          </cell>
          <cell r="H6125">
            <v>43160</v>
          </cell>
        </row>
        <row r="6126">
          <cell r="B6126" t="str">
            <v>Beydullayev Coşğun Namik</v>
          </cell>
          <cell r="C6126" t="str">
            <v>Ucar filialı</v>
          </cell>
          <cell r="D6126" t="str">
            <v>#</v>
          </cell>
          <cell r="E6126" t="str">
            <v>Xidmət bölməsi</v>
          </cell>
          <cell r="F6126" t="str">
            <v>Müştərilərlə iş üzrə aparıcı mütəxəssis</v>
          </cell>
          <cell r="G6126" t="str">
            <v>A</v>
          </cell>
          <cell r="H6126">
            <v>42845</v>
          </cell>
        </row>
        <row r="6127">
          <cell r="B6127" t="str">
            <v>Məmmədzadə Şəhriyar Qasım</v>
          </cell>
          <cell r="C6127" t="str">
            <v>Ucar filialı</v>
          </cell>
          <cell r="D6127" t="str">
            <v>#</v>
          </cell>
          <cell r="E6127" t="str">
            <v>Xidmət bölməsi</v>
          </cell>
          <cell r="F6127" t="str">
            <v>Müştərilərlə iş üzrə aparıcı mütəxəssis</v>
          </cell>
          <cell r="G6127" t="str">
            <v>A</v>
          </cell>
          <cell r="H6127">
            <v>40316</v>
          </cell>
        </row>
        <row r="6128">
          <cell r="B6128" t="str">
            <v>Hüseynova Aysel Mahir</v>
          </cell>
          <cell r="C6128" t="str">
            <v>Ucar filialı</v>
          </cell>
          <cell r="D6128" t="str">
            <v>#</v>
          </cell>
          <cell r="E6128" t="str">
            <v>Xidmət bölməsi</v>
          </cell>
          <cell r="F6128" t="str">
            <v>Məlumat xidməti üzrə kiçik mütəxəssis</v>
          </cell>
          <cell r="G6128" t="str">
            <v>A</v>
          </cell>
          <cell r="H6128">
            <v>46146</v>
          </cell>
        </row>
        <row r="6129">
          <cell r="B6129" t="str">
            <v>Əliyeva Səbinə Adil</v>
          </cell>
          <cell r="C6129" t="str">
            <v>Ucar filialı</v>
          </cell>
          <cell r="D6129" t="str">
            <v>#</v>
          </cell>
          <cell r="E6129" t="str">
            <v>İnzibati bölmə</v>
          </cell>
          <cell r="F6129" t="str">
            <v>Xadimə</v>
          </cell>
          <cell r="G6129" t="str">
            <v>A</v>
          </cell>
          <cell r="H6129">
            <v>42121</v>
          </cell>
        </row>
        <row r="6130">
          <cell r="B6130" t="str">
            <v>Abdulov Araz Vəkil</v>
          </cell>
          <cell r="C6130" t="str">
            <v>Yardımlı  filialı</v>
          </cell>
          <cell r="D6130" t="str">
            <v>#</v>
          </cell>
          <cell r="E6130" t="str">
            <v>#</v>
          </cell>
          <cell r="F6130" t="str">
            <v>Müdir</v>
          </cell>
          <cell r="G6130" t="str">
            <v>A</v>
          </cell>
          <cell r="H6130">
            <v>36710</v>
          </cell>
        </row>
        <row r="6131">
          <cell r="B6131" t="str">
            <v>Qəhrəmanlı Fərahim Fikrət</v>
          </cell>
          <cell r="C6131" t="str">
            <v>Yardımlı  filialı</v>
          </cell>
          <cell r="D6131" t="str">
            <v>#</v>
          </cell>
          <cell r="E6131" t="str">
            <v>Xidmət bölməsi</v>
          </cell>
          <cell r="F6131" t="str">
            <v>Baş əməliyyatçı-kassir</v>
          </cell>
          <cell r="G6131" t="str">
            <v>A</v>
          </cell>
          <cell r="H6131">
            <v>42723</v>
          </cell>
        </row>
        <row r="6132">
          <cell r="B6132" t="str">
            <v>Heydərli Nahid Nəsir</v>
          </cell>
          <cell r="C6132" t="str">
            <v>Yardımlı  filialı</v>
          </cell>
          <cell r="D6132" t="str">
            <v>#</v>
          </cell>
          <cell r="E6132" t="str">
            <v>Xidmət bölməsi</v>
          </cell>
          <cell r="F6132" t="str">
            <v>Kassa üzrə mütəxəssis</v>
          </cell>
          <cell r="G6132" t="str">
            <v>A</v>
          </cell>
          <cell r="H6132">
            <v>45481</v>
          </cell>
        </row>
        <row r="6133">
          <cell r="B6133" t="str">
            <v>Həsrətli Tahir Mahir</v>
          </cell>
          <cell r="C6133" t="str">
            <v>Yardımlı  filialı</v>
          </cell>
          <cell r="D6133" t="str">
            <v>#</v>
          </cell>
          <cell r="E6133" t="str">
            <v>Xidmət bölməsi</v>
          </cell>
          <cell r="F6133" t="str">
            <v>Məlumat xidməti üzrə mütəxəssis</v>
          </cell>
          <cell r="G6133" t="str">
            <v>A</v>
          </cell>
          <cell r="H6133">
            <v>45544</v>
          </cell>
        </row>
        <row r="6134">
          <cell r="B6134" t="str">
            <v>Adışov Kamal Əlibala</v>
          </cell>
          <cell r="C6134" t="str">
            <v>Yardımlı  filialı</v>
          </cell>
          <cell r="D6134" t="str">
            <v>#</v>
          </cell>
          <cell r="E6134" t="str">
            <v>Xidmət bölməsi</v>
          </cell>
          <cell r="F6134" t="str">
            <v>Müştərilərlə iş üzrə baş mütəxəssis</v>
          </cell>
          <cell r="G6134" t="str">
            <v>A</v>
          </cell>
          <cell r="H6134">
            <v>41549</v>
          </cell>
        </row>
        <row r="6135">
          <cell r="B6135" t="str">
            <v>Şirinli Orxan Valeh</v>
          </cell>
          <cell r="C6135" t="str">
            <v>Yardımlı  filialı</v>
          </cell>
          <cell r="D6135" t="str">
            <v>#</v>
          </cell>
          <cell r="E6135" t="str">
            <v>Xidmət bölməsi</v>
          </cell>
          <cell r="F6135" t="str">
            <v>Müştərilərlə iş üzrə aparıcı mütəxəssis</v>
          </cell>
          <cell r="G6135" t="str">
            <v>A</v>
          </cell>
          <cell r="H6135">
            <v>43885</v>
          </cell>
        </row>
        <row r="6136">
          <cell r="B6136" t="str">
            <v>Bədirzadə Cabir Teymur</v>
          </cell>
          <cell r="C6136" t="str">
            <v>Yardımlı  filialı</v>
          </cell>
          <cell r="D6136" t="str">
            <v>#</v>
          </cell>
          <cell r="E6136" t="str">
            <v>Xidmət bölməsi</v>
          </cell>
          <cell r="F6136" t="str">
            <v>Müştərilərlə iş üzrə mütəxəssis</v>
          </cell>
          <cell r="G6136" t="str">
            <v>A</v>
          </cell>
          <cell r="H6136">
            <v>45149</v>
          </cell>
        </row>
        <row r="6137">
          <cell r="B6137" t="str">
            <v>Ağayeva Firəngiz Əliteymur</v>
          </cell>
          <cell r="C6137" t="str">
            <v>Yardımlı  filialı</v>
          </cell>
          <cell r="D6137" t="str">
            <v>#</v>
          </cell>
          <cell r="E6137" t="str">
            <v>İnzibati bölmə</v>
          </cell>
          <cell r="F6137" t="str">
            <v>Xadimə</v>
          </cell>
          <cell r="G6137" t="str">
            <v>A</v>
          </cell>
          <cell r="H6137">
            <v>36717</v>
          </cell>
        </row>
        <row r="6138">
          <cell r="B6138" t="str">
            <v>Hüseynov Kənan Sabir</v>
          </cell>
          <cell r="C6138" t="str">
            <v>Yevlax  filialı</v>
          </cell>
          <cell r="D6138" t="str">
            <v>#</v>
          </cell>
          <cell r="E6138" t="str">
            <v>#</v>
          </cell>
          <cell r="F6138" t="str">
            <v>Müdir</v>
          </cell>
          <cell r="G6138" t="str">
            <v>A</v>
          </cell>
          <cell r="H6138">
            <v>41061</v>
          </cell>
        </row>
        <row r="6139">
          <cell r="B6139" t="str">
            <v>Quliyev Vüsal Arif</v>
          </cell>
          <cell r="C6139" t="str">
            <v>Yevlax  filialı</v>
          </cell>
          <cell r="D6139" t="str">
            <v>#</v>
          </cell>
          <cell r="E6139" t="str">
            <v>#</v>
          </cell>
          <cell r="F6139" t="str">
            <v>Menecer</v>
          </cell>
          <cell r="G6139" t="str">
            <v>A</v>
          </cell>
          <cell r="H6139">
            <v>37186</v>
          </cell>
        </row>
        <row r="6140">
          <cell r="B6140" t="str">
            <v>Nəbiyev Vüqar Oktay</v>
          </cell>
          <cell r="C6140" t="str">
            <v>Yevlax  filialı</v>
          </cell>
          <cell r="D6140" t="str">
            <v>#</v>
          </cell>
          <cell r="E6140" t="str">
            <v>Xidmət bölməsi</v>
          </cell>
          <cell r="F6140" t="str">
            <v>Kassa üzrə baş mütəxəssis</v>
          </cell>
          <cell r="G6140" t="str">
            <v>A</v>
          </cell>
          <cell r="H6140">
            <v>41015</v>
          </cell>
        </row>
        <row r="6141">
          <cell r="B6141" t="str">
            <v>Xalıqov Orxan Comərd</v>
          </cell>
          <cell r="C6141" t="str">
            <v>Yevlax  filialı</v>
          </cell>
          <cell r="D6141" t="str">
            <v>#</v>
          </cell>
          <cell r="E6141" t="str">
            <v>Xidmət bölməsi</v>
          </cell>
          <cell r="F6141" t="str">
            <v>Kassir</v>
          </cell>
          <cell r="G6141" t="str">
            <v>A</v>
          </cell>
          <cell r="H6141">
            <v>42130</v>
          </cell>
        </row>
        <row r="6142">
          <cell r="B6142" t="str">
            <v>Məmmədov Vüsal Ədalət</v>
          </cell>
          <cell r="C6142" t="str">
            <v>Yevlax  filialı</v>
          </cell>
          <cell r="D6142" t="str">
            <v>#</v>
          </cell>
          <cell r="E6142" t="str">
            <v>Xidmət bölməsi</v>
          </cell>
          <cell r="F6142" t="str">
            <v>Kassir</v>
          </cell>
          <cell r="G6142" t="str">
            <v>A</v>
          </cell>
          <cell r="H6142">
            <v>41852</v>
          </cell>
        </row>
        <row r="6143">
          <cell r="B6143" t="str">
            <v>Yusifzadə Təbriz İlqar</v>
          </cell>
          <cell r="C6143" t="str">
            <v>Yevlax  filialı</v>
          </cell>
          <cell r="D6143" t="str">
            <v>#</v>
          </cell>
          <cell r="E6143" t="str">
            <v>Xidmət bölməsi</v>
          </cell>
          <cell r="F6143" t="str">
            <v>Müştərilərlə iş üzrə baş mütəxəssis</v>
          </cell>
          <cell r="G6143" t="str">
            <v>A</v>
          </cell>
          <cell r="H6143">
            <v>43761</v>
          </cell>
        </row>
        <row r="6144">
          <cell r="B6144" t="str">
            <v>Aşırov Səbuhi Ələskər</v>
          </cell>
          <cell r="C6144" t="str">
            <v>Yevlax  filialı</v>
          </cell>
          <cell r="D6144" t="str">
            <v>#</v>
          </cell>
          <cell r="E6144" t="str">
            <v>Xidmət bölməsi</v>
          </cell>
          <cell r="F6144" t="str">
            <v>Müştərilərlə iş üzrə baş mütəxəssis</v>
          </cell>
          <cell r="G6144" t="str">
            <v>A</v>
          </cell>
          <cell r="H6144">
            <v>42831</v>
          </cell>
        </row>
        <row r="6145">
          <cell r="B6145" t="str">
            <v>Rəsulova Yeganə Qeysər</v>
          </cell>
          <cell r="C6145" t="str">
            <v>Yevlax  filialı</v>
          </cell>
          <cell r="D6145" t="str">
            <v>#</v>
          </cell>
          <cell r="E6145" t="str">
            <v>Xidmət bölməsi</v>
          </cell>
          <cell r="F6145" t="str">
            <v>Müştərilərlə iş üzrə baş mütəxəssis</v>
          </cell>
          <cell r="G6145" t="str">
            <v>A</v>
          </cell>
          <cell r="H6145">
            <v>39692</v>
          </cell>
        </row>
        <row r="6146">
          <cell r="B6146" t="str">
            <v>Umarova Ruhanə Nazim</v>
          </cell>
          <cell r="C6146" t="str">
            <v>Yevlax  filialı</v>
          </cell>
          <cell r="D6146" t="str">
            <v>#</v>
          </cell>
          <cell r="E6146" t="str">
            <v>Xidmət bölməsi</v>
          </cell>
          <cell r="F6146" t="str">
            <v>Müştərilərlə iş üzrə baş mütəxəssis</v>
          </cell>
          <cell r="G6146" t="str">
            <v>A</v>
          </cell>
          <cell r="H6146">
            <v>42905</v>
          </cell>
        </row>
        <row r="6147">
          <cell r="B6147" t="str">
            <v>Vəlizadə Seymur Hüseyn</v>
          </cell>
          <cell r="C6147" t="str">
            <v>Yevlax  filialı</v>
          </cell>
          <cell r="D6147" t="str">
            <v>#</v>
          </cell>
          <cell r="E6147" t="str">
            <v>Xidmət bölməsi</v>
          </cell>
          <cell r="F6147" t="str">
            <v>Müştərilərlə iş üzrə baş mütəxəssis</v>
          </cell>
          <cell r="G6147" t="str">
            <v>A</v>
          </cell>
          <cell r="H6147">
            <v>43406</v>
          </cell>
        </row>
        <row r="6148">
          <cell r="B6148" t="str">
            <v>Hacıbəyli İlkin Fəxrəddin</v>
          </cell>
          <cell r="C6148" t="str">
            <v>Yevlax  filialı</v>
          </cell>
          <cell r="D6148" t="str">
            <v>#</v>
          </cell>
          <cell r="E6148" t="str">
            <v>Xidmət bölməsi</v>
          </cell>
          <cell r="F6148" t="str">
            <v>Müştərilərlə iş üzrə baş mütəxəssis</v>
          </cell>
          <cell r="G6148" t="str">
            <v>A</v>
          </cell>
          <cell r="H6148">
            <v>43347</v>
          </cell>
        </row>
        <row r="6149">
          <cell r="B6149" t="str">
            <v>Məmmədova Gülayət Namiq</v>
          </cell>
          <cell r="C6149" t="str">
            <v>Yevlax  filialı</v>
          </cell>
          <cell r="D6149" t="str">
            <v>#</v>
          </cell>
          <cell r="E6149" t="str">
            <v>Xidmət bölməsi</v>
          </cell>
          <cell r="F6149" t="str">
            <v>Müştərilərlə iş üzrə mütəxəssis</v>
          </cell>
          <cell r="G6149" t="str">
            <v>A</v>
          </cell>
          <cell r="H6149">
            <v>43326</v>
          </cell>
        </row>
        <row r="6150">
          <cell r="B6150" t="str">
            <v>Rzayeva Gülnur İlqar</v>
          </cell>
          <cell r="C6150" t="str">
            <v>Yevlax  filialı</v>
          </cell>
          <cell r="D6150" t="str">
            <v>#</v>
          </cell>
          <cell r="E6150" t="str">
            <v>Xidmət bölməsi</v>
          </cell>
          <cell r="F6150" t="str">
            <v>Müştərilərlə iş üzrə mütəxəssis</v>
          </cell>
          <cell r="G6150" t="str">
            <v>A</v>
          </cell>
          <cell r="H6150">
            <v>45679</v>
          </cell>
        </row>
        <row r="6151">
          <cell r="B6151" t="str">
            <v>Heydərova Zəkiyyə Abbas</v>
          </cell>
          <cell r="C6151" t="str">
            <v>Yevlax  filialı</v>
          </cell>
          <cell r="D6151" t="str">
            <v>#</v>
          </cell>
          <cell r="E6151" t="str">
            <v>İnzibati bölmə</v>
          </cell>
          <cell r="F6151" t="str">
            <v>Xadimə</v>
          </cell>
          <cell r="G6151" t="str">
            <v>A</v>
          </cell>
          <cell r="H6151">
            <v>44410</v>
          </cell>
        </row>
        <row r="6152">
          <cell r="B6152" t="str">
            <v>Nəbiyeva Aşa Sahib</v>
          </cell>
          <cell r="C6152" t="str">
            <v>Yevlax  filialı</v>
          </cell>
          <cell r="D6152" t="str">
            <v>#</v>
          </cell>
          <cell r="E6152" t="str">
            <v>İnzibati bölmə</v>
          </cell>
          <cell r="F6152" t="str">
            <v>Xadimə</v>
          </cell>
          <cell r="G6152" t="str">
            <v>A</v>
          </cell>
          <cell r="H6152">
            <v>44816</v>
          </cell>
        </row>
        <row r="6153">
          <cell r="B6153" t="str">
            <v>Heydərov Emil Arif</v>
          </cell>
          <cell r="C6153" t="str">
            <v>Zaqatala  filialı</v>
          </cell>
          <cell r="D6153" t="str">
            <v>#</v>
          </cell>
          <cell r="E6153" t="str">
            <v>#</v>
          </cell>
          <cell r="F6153" t="str">
            <v>Müdir</v>
          </cell>
          <cell r="G6153" t="str">
            <v>A</v>
          </cell>
          <cell r="H6153">
            <v>40696</v>
          </cell>
        </row>
        <row r="6154">
          <cell r="B6154" t="str">
            <v>Murtuzayeva Gülmira Kahovna</v>
          </cell>
          <cell r="C6154" t="str">
            <v>Zaqatala  filialı</v>
          </cell>
          <cell r="D6154" t="str">
            <v>#</v>
          </cell>
          <cell r="E6154" t="str">
            <v>Xidmət bölməsi</v>
          </cell>
          <cell r="F6154" t="str">
            <v>Kassa üzrə baş mütəxəssis</v>
          </cell>
          <cell r="G6154" t="str">
            <v>A</v>
          </cell>
          <cell r="H6154">
            <v>39223</v>
          </cell>
        </row>
        <row r="6155">
          <cell r="B6155" t="str">
            <v>Qardaşova Sona İslam</v>
          </cell>
          <cell r="C6155" t="str">
            <v>Zaqatala  filialı</v>
          </cell>
          <cell r="D6155" t="str">
            <v>#</v>
          </cell>
          <cell r="E6155" t="str">
            <v>Xidmət bölməsi</v>
          </cell>
          <cell r="F6155" t="str">
            <v>Kassa üzrə mütəxəssis</v>
          </cell>
          <cell r="G6155" t="str">
            <v>A</v>
          </cell>
          <cell r="H6155">
            <v>45635</v>
          </cell>
        </row>
        <row r="6156">
          <cell r="B6156" t="str">
            <v>Hacıyev Emil Məhəmməd</v>
          </cell>
          <cell r="C6156" t="str">
            <v>Zaqatala  filialı</v>
          </cell>
          <cell r="D6156" t="str">
            <v>#</v>
          </cell>
          <cell r="E6156" t="str">
            <v>Xidmət bölməsi</v>
          </cell>
          <cell r="F6156" t="str">
            <v>Müştərilərlə iş üzrə baş mütəxəssis</v>
          </cell>
          <cell r="G6156" t="str">
            <v>A</v>
          </cell>
          <cell r="H6156">
            <v>42436</v>
          </cell>
        </row>
        <row r="6157">
          <cell r="B6157" t="str">
            <v>Məmmədova Gülnar Ramazan</v>
          </cell>
          <cell r="C6157" t="str">
            <v>Zaqatala  filialı</v>
          </cell>
          <cell r="D6157" t="str">
            <v>#</v>
          </cell>
          <cell r="E6157" t="str">
            <v>Xidmət bölməsi</v>
          </cell>
          <cell r="F6157" t="str">
            <v>Müştərilərlə iş üzrə baş mütəxəssis</v>
          </cell>
          <cell r="G6157" t="str">
            <v>ÖM</v>
          </cell>
          <cell r="H6157">
            <v>40544</v>
          </cell>
        </row>
        <row r="6158">
          <cell r="B6158" t="str">
            <v>Mahmudov Rövşən Sirac</v>
          </cell>
          <cell r="C6158" t="str">
            <v>Zaqatala  filialı</v>
          </cell>
          <cell r="D6158" t="str">
            <v>#</v>
          </cell>
          <cell r="E6158" t="str">
            <v>Xidmət bölməsi</v>
          </cell>
          <cell r="F6158" t="str">
            <v>Müştərilərlə iş üzrə baş mütəxəssis</v>
          </cell>
          <cell r="G6158" t="str">
            <v>A</v>
          </cell>
          <cell r="H6158">
            <v>43866</v>
          </cell>
        </row>
        <row r="6159">
          <cell r="B6159" t="str">
            <v>Əminova Nigar Nail</v>
          </cell>
          <cell r="C6159" t="str">
            <v>Zaqatala  filialı</v>
          </cell>
          <cell r="D6159" t="str">
            <v>#</v>
          </cell>
          <cell r="E6159" t="str">
            <v>Xidmət bölməsi</v>
          </cell>
          <cell r="F6159" t="str">
            <v>Müştərilərlə iş üzrə baş mütəxəssis</v>
          </cell>
          <cell r="G6159" t="str">
            <v>A</v>
          </cell>
          <cell r="H6159">
            <v>43781</v>
          </cell>
        </row>
        <row r="6160">
          <cell r="B6160" t="str">
            <v>Buğluyeva Mövlüdə Şamil</v>
          </cell>
          <cell r="C6160" t="str">
            <v>Zaqatala  filialı</v>
          </cell>
          <cell r="D6160" t="str">
            <v>#</v>
          </cell>
          <cell r="E6160" t="str">
            <v>Xidmət bölməsi</v>
          </cell>
          <cell r="F6160" t="str">
            <v>Müştərilərlə iş üzrə aparıcı mütəxəssis</v>
          </cell>
          <cell r="G6160" t="str">
            <v>A</v>
          </cell>
          <cell r="H6160">
            <v>44778</v>
          </cell>
        </row>
        <row r="6161">
          <cell r="B6161" t="str">
            <v>Əliyeva Şəfəq Azər</v>
          </cell>
          <cell r="C6161" t="str">
            <v>Zaqatala  filialı</v>
          </cell>
          <cell r="D6161" t="str">
            <v>#</v>
          </cell>
          <cell r="E6161" t="str">
            <v>Xidmət bölməsi</v>
          </cell>
          <cell r="F6161" t="str">
            <v>Müştərilərlə iş üzrə aparıcı mütəxəssis</v>
          </cell>
          <cell r="G6161" t="str">
            <v>A</v>
          </cell>
          <cell r="H6161">
            <v>43256</v>
          </cell>
        </row>
        <row r="6162">
          <cell r="B6162" t="str">
            <v>Cumayeva Reyhan Famil</v>
          </cell>
          <cell r="C6162" t="str">
            <v>Zaqatala  filialı</v>
          </cell>
          <cell r="D6162" t="str">
            <v>#</v>
          </cell>
          <cell r="E6162" t="str">
            <v>Xidmət bölməsi</v>
          </cell>
          <cell r="F6162" t="str">
            <v>Müştərilərlə iş üzrə aparıcı mütəxəssis</v>
          </cell>
          <cell r="G6162" t="str">
            <v>A</v>
          </cell>
          <cell r="H6162">
            <v>44657</v>
          </cell>
        </row>
        <row r="6163">
          <cell r="B6163" t="str">
            <v>Rəcəbova Fəridə Fərda</v>
          </cell>
          <cell r="C6163" t="str">
            <v>Zaqatala  filialı</v>
          </cell>
          <cell r="D6163" t="str">
            <v>#</v>
          </cell>
          <cell r="E6163" t="str">
            <v>Xidmət bölməsi</v>
          </cell>
          <cell r="F6163" t="str">
            <v>Müştərilərlə iş üzrə mütəxəssis</v>
          </cell>
          <cell r="G6163" t="str">
            <v>A</v>
          </cell>
          <cell r="H6163">
            <v>42646</v>
          </cell>
        </row>
        <row r="6164">
          <cell r="B6164" t="str">
            <v>Şabanova Aysu Əziz</v>
          </cell>
          <cell r="C6164" t="str">
            <v>Zaqatala  filialı</v>
          </cell>
          <cell r="D6164" t="str">
            <v>#</v>
          </cell>
          <cell r="E6164" t="str">
            <v>Xidmət bölməsi</v>
          </cell>
          <cell r="F6164" t="str">
            <v>Məlumat xidməti üzrə kiçik mütəxəssis</v>
          </cell>
          <cell r="G6164" t="str">
            <v>A</v>
          </cell>
          <cell r="H6164">
            <v>46113</v>
          </cell>
        </row>
        <row r="6165">
          <cell r="B6165" t="str">
            <v>Məmmədov Orxan Şakir</v>
          </cell>
          <cell r="C6165" t="str">
            <v>Zaqatala  filialı</v>
          </cell>
          <cell r="D6165" t="str">
            <v>#</v>
          </cell>
          <cell r="E6165" t="str">
            <v>Mikro kredit bölməsi</v>
          </cell>
          <cell r="F6165" t="str">
            <v>Bölmə rəhbəri</v>
          </cell>
          <cell r="G6165" t="str">
            <v>A</v>
          </cell>
          <cell r="H6165">
            <v>44699</v>
          </cell>
        </row>
        <row r="6166">
          <cell r="B6166" t="str">
            <v>Gondolov Elşən Rüfət</v>
          </cell>
          <cell r="C6166" t="str">
            <v>Zaqatala  filialı</v>
          </cell>
          <cell r="D6166" t="str">
            <v>#</v>
          </cell>
          <cell r="E6166" t="str">
            <v>Mikro kredit bölməsi</v>
          </cell>
          <cell r="F6166" t="str">
            <v>Baş mütəxəssis</v>
          </cell>
          <cell r="G6166" t="str">
            <v>A</v>
          </cell>
          <cell r="H6166">
            <v>44462</v>
          </cell>
        </row>
        <row r="6167">
          <cell r="B6167" t="str">
            <v>Qurbanov Bahaddin Rəcəb</v>
          </cell>
          <cell r="C6167" t="str">
            <v>Zaqatala  filialı</v>
          </cell>
          <cell r="D6167" t="str">
            <v>#</v>
          </cell>
          <cell r="E6167" t="str">
            <v>Mikro kredit bölməsi</v>
          </cell>
          <cell r="F6167" t="str">
            <v>Baş mütəxəssis</v>
          </cell>
          <cell r="G6167" t="str">
            <v>A</v>
          </cell>
          <cell r="H6167">
            <v>44783</v>
          </cell>
        </row>
        <row r="6168">
          <cell r="B6168" t="str">
            <v>Xalayev Rəşad Ramazan</v>
          </cell>
          <cell r="C6168" t="str">
            <v>Zaqatala  filialı</v>
          </cell>
          <cell r="D6168" t="str">
            <v>#</v>
          </cell>
          <cell r="E6168" t="str">
            <v>Mikro kredit bölməsi</v>
          </cell>
          <cell r="F6168" t="str">
            <v>Baş mütəxəssis</v>
          </cell>
          <cell r="G6168" t="str">
            <v>A</v>
          </cell>
          <cell r="H6168">
            <v>44476</v>
          </cell>
        </row>
        <row r="6169">
          <cell r="B6169" t="str">
            <v>Ramazanov Əziz Seyfullah</v>
          </cell>
          <cell r="C6169" t="str">
            <v>Zaqatala  filialı</v>
          </cell>
          <cell r="D6169" t="str">
            <v>#</v>
          </cell>
          <cell r="E6169" t="str">
            <v>Mikro kredit bölməsi</v>
          </cell>
          <cell r="F6169" t="str">
            <v>Mütəxəssis</v>
          </cell>
          <cell r="G6169" t="str">
            <v>A</v>
          </cell>
          <cell r="H6169">
            <v>45245</v>
          </cell>
        </row>
        <row r="6170">
          <cell r="B6170" t="str">
            <v>Sadıxova Xəyalə Xanlar</v>
          </cell>
          <cell r="C6170" t="str">
            <v>Zaqatala  filialı</v>
          </cell>
          <cell r="D6170" t="str">
            <v>#</v>
          </cell>
          <cell r="E6170" t="str">
            <v>İnzibati bölmə</v>
          </cell>
          <cell r="F6170" t="str">
            <v>Xadimə</v>
          </cell>
          <cell r="G6170" t="str">
            <v>A</v>
          </cell>
          <cell r="H6170">
            <v>45559</v>
          </cell>
        </row>
        <row r="6171">
          <cell r="B6171" t="str">
            <v>Balaşov Rauf Nurməmməd</v>
          </cell>
          <cell r="C6171" t="str">
            <v>Zəngilan filialı</v>
          </cell>
          <cell r="D6171" t="str">
            <v>#</v>
          </cell>
          <cell r="E6171" t="str">
            <v>#</v>
          </cell>
          <cell r="F6171" t="str">
            <v>Müdir</v>
          </cell>
          <cell r="G6171" t="str">
            <v>A</v>
          </cell>
          <cell r="H6171">
            <v>42555</v>
          </cell>
        </row>
        <row r="6172">
          <cell r="B6172" t="str">
            <v>Vəliyev Mösüm Füzuli</v>
          </cell>
          <cell r="C6172" t="str">
            <v>Zəngilan filialı</v>
          </cell>
          <cell r="D6172" t="str">
            <v>#</v>
          </cell>
          <cell r="E6172" t="str">
            <v>Xidmət bölməsi</v>
          </cell>
          <cell r="F6172" t="str">
            <v>Kassa üzrə mütəxəssis</v>
          </cell>
          <cell r="G6172" t="str">
            <v>A</v>
          </cell>
          <cell r="H6172">
            <v>45924</v>
          </cell>
        </row>
        <row r="6173">
          <cell r="B6173" t="str">
            <v>Mehdibəyli İmamqulu Yunis</v>
          </cell>
          <cell r="C6173" t="str">
            <v>Zəngilan filialı</v>
          </cell>
          <cell r="D6173" t="str">
            <v>#</v>
          </cell>
          <cell r="E6173" t="str">
            <v>Xidmət bölməsi</v>
          </cell>
          <cell r="F6173" t="str">
            <v xml:space="preserve">Aparıcı əməliyyatçı-kassir </v>
          </cell>
          <cell r="G6173" t="str">
            <v>A</v>
          </cell>
          <cell r="H6173">
            <v>45012</v>
          </cell>
        </row>
        <row r="6174">
          <cell r="B6174" t="str">
            <v>Məhərrəmova Mələkxanım İsgəndər</v>
          </cell>
          <cell r="C6174" t="str">
            <v>Zəngilan filialı</v>
          </cell>
          <cell r="D6174" t="str">
            <v>#</v>
          </cell>
          <cell r="E6174" t="str">
            <v>Xidmət bölməsi</v>
          </cell>
          <cell r="F6174" t="str">
            <v>Müştərilərlə iş üzrə aparıcı mütəxəssis</v>
          </cell>
          <cell r="G6174" t="str">
            <v>A</v>
          </cell>
          <cell r="H6174">
            <v>44699</v>
          </cell>
        </row>
        <row r="6175">
          <cell r="B6175" t="str">
            <v>İbrahimova Günel Asif</v>
          </cell>
          <cell r="C6175" t="str">
            <v>Zəngilan filialı</v>
          </cell>
          <cell r="D6175" t="str">
            <v>#</v>
          </cell>
          <cell r="E6175" t="str">
            <v>İnzibati bölmə</v>
          </cell>
          <cell r="F6175" t="str">
            <v>Xadimə</v>
          </cell>
          <cell r="G6175" t="str">
            <v>A</v>
          </cell>
          <cell r="H6175">
            <v>44826</v>
          </cell>
        </row>
        <row r="6176">
          <cell r="B6176" t="str">
            <v>Zərbəliyeva Şükranə Həsən</v>
          </cell>
          <cell r="C6176" t="str">
            <v>Zərdab  filialı</v>
          </cell>
          <cell r="D6176" t="str">
            <v>#</v>
          </cell>
          <cell r="E6176" t="str">
            <v>Xidmət bölməsi</v>
          </cell>
          <cell r="F6176" t="str">
            <v>Kassa üzrə baş mütəxəssis</v>
          </cell>
          <cell r="G6176" t="str">
            <v>A</v>
          </cell>
          <cell r="H6176">
            <v>39699</v>
          </cell>
        </row>
        <row r="6177">
          <cell r="B6177" t="str">
            <v>Mikayılova Səmayə Şakir</v>
          </cell>
          <cell r="C6177" t="str">
            <v>Zərdab  filialı</v>
          </cell>
          <cell r="D6177" t="str">
            <v>#</v>
          </cell>
          <cell r="E6177" t="str">
            <v>Xidmət bölməsi</v>
          </cell>
          <cell r="F6177" t="str">
            <v>Məlumat xidməti üzrə aparıcı mütəxəssis</v>
          </cell>
          <cell r="G6177" t="str">
            <v>A</v>
          </cell>
          <cell r="H6177">
            <v>43824</v>
          </cell>
        </row>
        <row r="6178">
          <cell r="B6178" t="str">
            <v>Osmanov Seyyət Seyidi</v>
          </cell>
          <cell r="C6178" t="str">
            <v>Zərdab  filialı</v>
          </cell>
          <cell r="D6178" t="str">
            <v>#</v>
          </cell>
          <cell r="E6178" t="str">
            <v>Xidmət bölməsi</v>
          </cell>
          <cell r="F6178" t="str">
            <v>Müştərilərlə iş üzrə baş mütəxəssis</v>
          </cell>
          <cell r="G6178" t="str">
            <v>A</v>
          </cell>
          <cell r="H6178">
            <v>42881</v>
          </cell>
        </row>
        <row r="6179">
          <cell r="B6179" t="str">
            <v>Nuriyeva Sevinc Vüqar</v>
          </cell>
          <cell r="C6179" t="str">
            <v>Zərdab  filialı</v>
          </cell>
          <cell r="D6179" t="str">
            <v>#</v>
          </cell>
          <cell r="E6179" t="str">
            <v>Xidmət bölməsi</v>
          </cell>
          <cell r="F6179" t="str">
            <v>Müştərilərlə iş üzrə baş mütəxəssis</v>
          </cell>
          <cell r="G6179" t="str">
            <v>A</v>
          </cell>
          <cell r="H6179">
            <v>41925</v>
          </cell>
        </row>
        <row r="6180">
          <cell r="B6180" t="str">
            <v>Kərimli Çinarə Sabir</v>
          </cell>
          <cell r="C6180" t="str">
            <v>Zərdab  filialı</v>
          </cell>
          <cell r="D6180" t="str">
            <v>#</v>
          </cell>
          <cell r="E6180" t="str">
            <v>Xidmət bölməsi</v>
          </cell>
          <cell r="F6180" t="str">
            <v>Müştərilərlə iş üzrə aparıcı mütəxəssis</v>
          </cell>
          <cell r="G6180" t="str">
            <v>A</v>
          </cell>
          <cell r="H6180">
            <v>42909</v>
          </cell>
        </row>
        <row r="6181">
          <cell r="B6181" t="str">
            <v>İsmayılova Ürfiyyə Faxrəd</v>
          </cell>
          <cell r="C6181" t="str">
            <v>Zərdab  filialı</v>
          </cell>
          <cell r="D6181" t="str">
            <v>#</v>
          </cell>
          <cell r="E6181" t="str">
            <v>İnzibati bölmə</v>
          </cell>
          <cell r="F6181" t="str">
            <v>Xadimə</v>
          </cell>
          <cell r="G6181" t="str">
            <v>A</v>
          </cell>
          <cell r="H6181">
            <v>43000</v>
          </cell>
        </row>
        <row r="6182">
          <cell r="B6182" t="str">
            <v>Məmmədov Həmzə Əsvər</v>
          </cell>
          <cell r="C6182" t="str">
            <v>#</v>
          </cell>
          <cell r="D6182" t="str">
            <v>Culfa şöbəsi</v>
          </cell>
          <cell r="E6182" t="str">
            <v>#</v>
          </cell>
          <cell r="F6182" t="str">
            <v>Müdir</v>
          </cell>
          <cell r="G6182" t="str">
            <v>A</v>
          </cell>
          <cell r="H6182">
            <v>43755</v>
          </cell>
        </row>
        <row r="6183">
          <cell r="B6183" t="str">
            <v>Məmmədov Rəsul Qılman</v>
          </cell>
          <cell r="C6183" t="str">
            <v>#</v>
          </cell>
          <cell r="D6183" t="str">
            <v>Culfa şöbəsi</v>
          </cell>
          <cell r="E6183" t="str">
            <v>Xidmət bölməsi</v>
          </cell>
          <cell r="F6183" t="str">
            <v xml:space="preserve">Aparıcı əməliyyatçı-kassir </v>
          </cell>
          <cell r="G6183" t="str">
            <v>A</v>
          </cell>
          <cell r="H6183">
            <v>44931</v>
          </cell>
        </row>
        <row r="6184">
          <cell r="B6184" t="str">
            <v>Cabbarov Vüsal Mənsum</v>
          </cell>
          <cell r="C6184" t="str">
            <v>#</v>
          </cell>
          <cell r="D6184" t="str">
            <v>Culfa şöbəsi</v>
          </cell>
          <cell r="E6184" t="str">
            <v>Xidmət bölməsi</v>
          </cell>
          <cell r="F6184" t="str">
            <v xml:space="preserve">Aparıcı əməliyyatçı-kassir </v>
          </cell>
          <cell r="G6184" t="str">
            <v>A</v>
          </cell>
          <cell r="H6184">
            <v>44931</v>
          </cell>
        </row>
        <row r="6185">
          <cell r="B6185" t="str">
            <v>Rəhimov Elşad Elşən</v>
          </cell>
          <cell r="C6185" t="str">
            <v>#</v>
          </cell>
          <cell r="D6185" t="str">
            <v>Culfa şöbəsi</v>
          </cell>
          <cell r="E6185" t="str">
            <v>Xidmət bölməsi</v>
          </cell>
          <cell r="F6185" t="str">
            <v xml:space="preserve">Aparıcı əməliyyatçı-kassir </v>
          </cell>
          <cell r="G6185" t="str">
            <v>A</v>
          </cell>
          <cell r="H6185">
            <v>44971</v>
          </cell>
        </row>
        <row r="6186">
          <cell r="B6186" t="str">
            <v>Mirzəzadə Gündüz İlham</v>
          </cell>
          <cell r="C6186" t="str">
            <v>#</v>
          </cell>
          <cell r="D6186" t="str">
            <v>Culfa şöbəsi</v>
          </cell>
          <cell r="E6186" t="str">
            <v>Xidmət bölməsi</v>
          </cell>
          <cell r="F6186" t="str">
            <v xml:space="preserve">Aparıcı əməliyyatçı-kassir </v>
          </cell>
          <cell r="G6186" t="str">
            <v>A</v>
          </cell>
          <cell r="H6186">
            <v>44958</v>
          </cell>
        </row>
        <row r="6187">
          <cell r="B6187" t="str">
            <v>Məmmədov Bəhruz Niftalı</v>
          </cell>
          <cell r="C6187" t="str">
            <v>#</v>
          </cell>
          <cell r="D6187" t="str">
            <v>Kəngərli şöbəsi</v>
          </cell>
          <cell r="E6187" t="str">
            <v>#</v>
          </cell>
          <cell r="F6187" t="str">
            <v>Müdir</v>
          </cell>
          <cell r="G6187" t="str">
            <v>A</v>
          </cell>
          <cell r="H6187">
            <v>43699</v>
          </cell>
        </row>
        <row r="6188">
          <cell r="B6188" t="str">
            <v>Cəfərov İman Elxan</v>
          </cell>
          <cell r="C6188" t="str">
            <v>#</v>
          </cell>
          <cell r="D6188" t="str">
            <v>Kəngərli şöbəsi</v>
          </cell>
          <cell r="E6188" t="str">
            <v>Xidmət bölməsi</v>
          </cell>
          <cell r="F6188" t="str">
            <v xml:space="preserve">Aparıcı əməliyyatçı-kassir </v>
          </cell>
          <cell r="G6188" t="str">
            <v>A</v>
          </cell>
          <cell r="H6188">
            <v>44965</v>
          </cell>
        </row>
        <row r="6189">
          <cell r="B6189" t="str">
            <v>Hüseynov Əli Hüseynalı</v>
          </cell>
          <cell r="C6189" t="str">
            <v>#</v>
          </cell>
          <cell r="D6189" t="str">
            <v>Kəngərli şöbəsi</v>
          </cell>
          <cell r="E6189" t="str">
            <v>Xidmət bölməsi</v>
          </cell>
          <cell r="F6189" t="str">
            <v xml:space="preserve">Aparıcı əməliyyatçı-kassir </v>
          </cell>
          <cell r="G6189" t="str">
            <v>A</v>
          </cell>
          <cell r="H6189">
            <v>45085</v>
          </cell>
        </row>
        <row r="6190">
          <cell r="B6190" t="str">
            <v>Əliyev Hüseyn Musa</v>
          </cell>
          <cell r="C6190" t="str">
            <v>#</v>
          </cell>
          <cell r="D6190" t="str">
            <v>Kəngərli şöbəsi</v>
          </cell>
          <cell r="E6190" t="str">
            <v>Xidmət bölməsi</v>
          </cell>
          <cell r="F6190" t="str">
            <v>Əməliyyatçı-kassir</v>
          </cell>
          <cell r="G6190" t="str">
            <v>A</v>
          </cell>
          <cell r="H6190">
            <v>45082</v>
          </cell>
        </row>
        <row r="6191">
          <cell r="B6191" t="str">
            <v>Əliyev Əli Umud</v>
          </cell>
          <cell r="C6191" t="str">
            <v>#</v>
          </cell>
          <cell r="D6191" t="str">
            <v>Kəngərli şöbəsi</v>
          </cell>
          <cell r="E6191" t="str">
            <v>Xidmət bölməsi</v>
          </cell>
          <cell r="F6191" t="str">
            <v>Əməliyyatçı-kassir</v>
          </cell>
          <cell r="G6191" t="str">
            <v>A</v>
          </cell>
          <cell r="H6191">
            <v>45166</v>
          </cell>
        </row>
        <row r="6192">
          <cell r="B6192" t="str">
            <v>Məmmədov Elvin Elçin</v>
          </cell>
          <cell r="C6192" t="str">
            <v>#</v>
          </cell>
          <cell r="D6192" t="str">
            <v>Naxçıvan Gömrük şöbəsi</v>
          </cell>
          <cell r="E6192" t="str">
            <v>#</v>
          </cell>
          <cell r="F6192" t="str">
            <v>Müdir</v>
          </cell>
          <cell r="G6192" t="str">
            <v>A</v>
          </cell>
          <cell r="H6192">
            <v>43678</v>
          </cell>
        </row>
        <row r="6193">
          <cell r="B6193" t="str">
            <v>Quliyev Cəfər Əbülfət</v>
          </cell>
          <cell r="C6193" t="str">
            <v>#</v>
          </cell>
          <cell r="D6193" t="str">
            <v>Naxçıvan Gömrük şöbəsi</v>
          </cell>
          <cell r="E6193" t="str">
            <v>Xidmət bölməsi</v>
          </cell>
          <cell r="F6193" t="str">
            <v xml:space="preserve">Aparıcı əməliyyatçı-kassir </v>
          </cell>
          <cell r="G6193" t="str">
            <v>A</v>
          </cell>
          <cell r="H6193">
            <v>44952</v>
          </cell>
        </row>
        <row r="6194">
          <cell r="B6194" t="str">
            <v>Hacıyev Asim Qinyaz</v>
          </cell>
          <cell r="C6194" t="str">
            <v>#</v>
          </cell>
          <cell r="D6194" t="str">
            <v>Naxçıvan şöbəsi</v>
          </cell>
          <cell r="E6194" t="str">
            <v>#</v>
          </cell>
          <cell r="F6194" t="str">
            <v>Müdir</v>
          </cell>
          <cell r="G6194" t="str">
            <v>A</v>
          </cell>
          <cell r="H6194">
            <v>43678</v>
          </cell>
        </row>
        <row r="6195">
          <cell r="B6195" t="str">
            <v>Seyidov Salman Mirrəsul</v>
          </cell>
          <cell r="C6195" t="str">
            <v>#</v>
          </cell>
          <cell r="D6195" t="str">
            <v>Naxçıvan şöbəsi</v>
          </cell>
          <cell r="E6195" t="str">
            <v>Xidmət bölməsi</v>
          </cell>
          <cell r="F6195" t="str">
            <v xml:space="preserve">Aparıcı əməliyyatçı-kassir </v>
          </cell>
          <cell r="G6195" t="str">
            <v>A</v>
          </cell>
          <cell r="H6195">
            <v>44959</v>
          </cell>
        </row>
        <row r="6196">
          <cell r="B6196" t="str">
            <v>Bayramova Səma Zamin</v>
          </cell>
          <cell r="C6196" t="str">
            <v>#</v>
          </cell>
          <cell r="D6196" t="str">
            <v>Naxçıvan şöbəsi</v>
          </cell>
          <cell r="E6196" t="str">
            <v>Xidmət bölməsi</v>
          </cell>
          <cell r="F6196" t="str">
            <v>Əməliyyatçı-kassir</v>
          </cell>
          <cell r="G6196" t="str">
            <v>A</v>
          </cell>
          <cell r="H6196">
            <v>45050</v>
          </cell>
        </row>
        <row r="6197">
          <cell r="B6197" t="str">
            <v>Qurbanov Aydın Nurəli</v>
          </cell>
          <cell r="C6197" t="str">
            <v>#</v>
          </cell>
          <cell r="D6197" t="str">
            <v>Naxçıvan şöbəsi</v>
          </cell>
          <cell r="E6197" t="str">
            <v>Xidmət bölməsi</v>
          </cell>
          <cell r="F6197" t="str">
            <v xml:space="preserve">Aparıcı əməliyyatçı-kassir </v>
          </cell>
          <cell r="G6197" t="str">
            <v>A</v>
          </cell>
          <cell r="H6197">
            <v>45050</v>
          </cell>
        </row>
        <row r="6198">
          <cell r="B6198" t="str">
            <v>Novruzov Nail Rövşən</v>
          </cell>
          <cell r="C6198" t="str">
            <v>#</v>
          </cell>
          <cell r="D6198" t="str">
            <v>Naxçıvan şöbəsi</v>
          </cell>
          <cell r="E6198" t="str">
            <v>Xidmət bölməsi</v>
          </cell>
          <cell r="F6198" t="str">
            <v>Əməliyyatçı-kassir</v>
          </cell>
          <cell r="G6198" t="str">
            <v>A</v>
          </cell>
          <cell r="H6198">
            <v>45133</v>
          </cell>
        </row>
        <row r="6199">
          <cell r="B6199" t="str">
            <v>Kazımov Firudin Rəfail</v>
          </cell>
          <cell r="C6199" t="str">
            <v>#</v>
          </cell>
          <cell r="D6199" t="str">
            <v>Naxçıvan şöbəsi</v>
          </cell>
          <cell r="E6199" t="str">
            <v>Xidmət bölməsi</v>
          </cell>
          <cell r="F6199" t="str">
            <v>Əməliyyatçı-kassir</v>
          </cell>
          <cell r="G6199" t="str">
            <v>A</v>
          </cell>
          <cell r="H6199">
            <v>46016</v>
          </cell>
        </row>
        <row r="6200">
          <cell r="B6200" t="str">
            <v>Məmmədova Fatimə Elnur</v>
          </cell>
          <cell r="C6200" t="str">
            <v>#</v>
          </cell>
          <cell r="D6200" t="str">
            <v>Naxçıvan şöbəsi</v>
          </cell>
          <cell r="E6200" t="str">
            <v>Xidmət bölməsi</v>
          </cell>
          <cell r="F6200" t="str">
            <v>Əməliyyatçı-kassir</v>
          </cell>
          <cell r="G6200" t="str">
            <v>A</v>
          </cell>
          <cell r="H6200">
            <v>45692</v>
          </cell>
        </row>
        <row r="6201">
          <cell r="B6201" t="str">
            <v>Muradlı Laləzər Əbülfəz</v>
          </cell>
          <cell r="C6201" t="str">
            <v>#</v>
          </cell>
          <cell r="D6201" t="str">
            <v>Naxçıvan şöbəsi</v>
          </cell>
          <cell r="E6201" t="str">
            <v>Xidmət bölməsi</v>
          </cell>
          <cell r="F6201" t="str">
            <v>Əməliyyatçı-kassir</v>
          </cell>
          <cell r="G6201" t="str">
            <v>A</v>
          </cell>
          <cell r="H6201">
            <v>45845</v>
          </cell>
        </row>
        <row r="6202">
          <cell r="B6202" t="str">
            <v>Axundov Araz Məhəmməd</v>
          </cell>
          <cell r="C6202" t="str">
            <v>#</v>
          </cell>
          <cell r="D6202" t="str">
            <v>Sədərək şöbəsi</v>
          </cell>
          <cell r="E6202" t="str">
            <v>#</v>
          </cell>
          <cell r="F6202" t="str">
            <v>Müdir</v>
          </cell>
          <cell r="G6202" t="str">
            <v>A</v>
          </cell>
          <cell r="H6202">
            <v>43755</v>
          </cell>
        </row>
        <row r="6203">
          <cell r="B6203" t="str">
            <v>Həbibli İlqar Müzəffər</v>
          </cell>
          <cell r="C6203" t="str">
            <v>#</v>
          </cell>
          <cell r="D6203" t="str">
            <v>Sədərək şöbəsi</v>
          </cell>
          <cell r="E6203" t="str">
            <v>Xidmət bölməsi</v>
          </cell>
          <cell r="F6203" t="str">
            <v>Əməliyyatçı-kassir</v>
          </cell>
          <cell r="G6203" t="str">
            <v>A</v>
          </cell>
          <cell r="H6203">
            <v>43759</v>
          </cell>
        </row>
        <row r="6204">
          <cell r="B6204" t="str">
            <v>İsmayılzadə Elmar Qələndar</v>
          </cell>
          <cell r="C6204" t="str">
            <v>#</v>
          </cell>
          <cell r="D6204" t="str">
            <v>Sədərək şöbəsi</v>
          </cell>
          <cell r="E6204" t="str">
            <v>Xidmət bölməsi</v>
          </cell>
          <cell r="F6204" t="str">
            <v xml:space="preserve">Aparıcı əməliyyatçı-kassir </v>
          </cell>
          <cell r="G6204" t="str">
            <v>A</v>
          </cell>
          <cell r="H6204">
            <v>44963</v>
          </cell>
        </row>
        <row r="6205">
          <cell r="B6205" t="str">
            <v>Qasımlı Qorxmaz Yusif</v>
          </cell>
          <cell r="C6205" t="str">
            <v>#</v>
          </cell>
          <cell r="D6205" t="str">
            <v>Sədərək şöbəsi</v>
          </cell>
          <cell r="E6205" t="str">
            <v>Xidmət bölməsi</v>
          </cell>
          <cell r="F6205" t="str">
            <v xml:space="preserve">Aparıcı əməliyyatçı-kassir </v>
          </cell>
          <cell r="G6205" t="str">
            <v>A</v>
          </cell>
          <cell r="H6205">
            <v>44923</v>
          </cell>
        </row>
        <row r="6206">
          <cell r="B6206" t="str">
            <v>İbrahimov Ülvi Nadir</v>
          </cell>
          <cell r="C6206" t="str">
            <v>#</v>
          </cell>
          <cell r="D6206" t="str">
            <v>Sədərək şöbəsi</v>
          </cell>
          <cell r="E6206" t="str">
            <v>Xidmət bölməsi</v>
          </cell>
          <cell r="F6206" t="str">
            <v xml:space="preserve">Aparıcı əməliyyatçı-kassir </v>
          </cell>
          <cell r="G6206" t="str">
            <v>A</v>
          </cell>
          <cell r="H6206">
            <v>44944</v>
          </cell>
        </row>
        <row r="6207">
          <cell r="B6207" t="str">
            <v>Babayev Yaşar Zülfü</v>
          </cell>
          <cell r="C6207" t="str">
            <v>#</v>
          </cell>
          <cell r="D6207" t="str">
            <v>Sədərək şöbəsi</v>
          </cell>
          <cell r="E6207" t="str">
            <v>Xidmət bölməsi</v>
          </cell>
          <cell r="F6207" t="str">
            <v>Əməliyyatçı-kassir</v>
          </cell>
          <cell r="G6207" t="str">
            <v>A</v>
          </cell>
          <cell r="H6207">
            <v>44935</v>
          </cell>
        </row>
        <row r="6208">
          <cell r="B6208" t="str">
            <v>İmanov Zaur Səyahət</v>
          </cell>
          <cell r="C6208" t="str">
            <v>Babək filialı</v>
          </cell>
          <cell r="D6208" t="str">
            <v>#</v>
          </cell>
          <cell r="E6208" t="str">
            <v>#</v>
          </cell>
          <cell r="F6208" t="str">
            <v>Müdir</v>
          </cell>
          <cell r="G6208" t="str">
            <v>A</v>
          </cell>
          <cell r="H6208">
            <v>43678</v>
          </cell>
        </row>
        <row r="6209">
          <cell r="B6209" t="str">
            <v>Seyidov Cahangir Mirqadir</v>
          </cell>
          <cell r="C6209" t="str">
            <v>Babək filialı</v>
          </cell>
          <cell r="D6209" t="str">
            <v>#</v>
          </cell>
          <cell r="E6209" t="str">
            <v>Xidmət bölməsi</v>
          </cell>
          <cell r="F6209" t="str">
            <v>Kassa üzrə aparıcı mütəxəssis</v>
          </cell>
          <cell r="G6209" t="str">
            <v>A</v>
          </cell>
          <cell r="H6209">
            <v>43647</v>
          </cell>
        </row>
        <row r="6210">
          <cell r="B6210" t="str">
            <v>Əliyeva Aysu Malik</v>
          </cell>
          <cell r="C6210" t="str">
            <v>Babək filialı</v>
          </cell>
          <cell r="D6210" t="str">
            <v>#</v>
          </cell>
          <cell r="E6210" t="str">
            <v>Xidmət bölməsi</v>
          </cell>
          <cell r="F6210" t="str">
            <v>Məlumat xidməti üzrə aparıcı mütəxəssis</v>
          </cell>
          <cell r="G6210" t="str">
            <v>A</v>
          </cell>
          <cell r="H6210">
            <v>45181</v>
          </cell>
        </row>
        <row r="6211">
          <cell r="B6211" t="str">
            <v>Məmmədova Maral Əyyub</v>
          </cell>
          <cell r="C6211" t="str">
            <v>Babək filialı</v>
          </cell>
          <cell r="D6211" t="str">
            <v>#</v>
          </cell>
          <cell r="E6211" t="str">
            <v>Xidmət bölməsi</v>
          </cell>
          <cell r="F6211" t="str">
            <v>Müştərilərlə iş üzrə baş mütəxəssis</v>
          </cell>
          <cell r="G6211" t="str">
            <v>A</v>
          </cell>
          <cell r="H6211">
            <v>43647</v>
          </cell>
        </row>
        <row r="6212">
          <cell r="B6212" t="str">
            <v>Həsənova Nərmin İslam</v>
          </cell>
          <cell r="C6212" t="str">
            <v>Babək filialı</v>
          </cell>
          <cell r="D6212" t="str">
            <v>#</v>
          </cell>
          <cell r="E6212" t="str">
            <v>Xidmət bölməsi</v>
          </cell>
          <cell r="F6212" t="str">
            <v>Müştərilərlə iş üzrə aparıcı mütəxəssis</v>
          </cell>
          <cell r="G6212" t="str">
            <v>A</v>
          </cell>
          <cell r="H6212">
            <v>44238</v>
          </cell>
        </row>
        <row r="6213">
          <cell r="B6213" t="str">
            <v>İsmayılov Cavanşir Rövşən</v>
          </cell>
          <cell r="C6213" t="str">
            <v>Babək filialı</v>
          </cell>
          <cell r="D6213" t="str">
            <v>#</v>
          </cell>
          <cell r="E6213" t="str">
            <v>Xidmət bölməsi</v>
          </cell>
          <cell r="F6213" t="str">
            <v>Müştərilərlə iş üzrə mütəxəssis</v>
          </cell>
          <cell r="G6213" t="str">
            <v>A</v>
          </cell>
          <cell r="H6213">
            <v>45020</v>
          </cell>
        </row>
        <row r="6214">
          <cell r="B6214" t="str">
            <v>Babayeva Nəcibə Fizuli</v>
          </cell>
          <cell r="C6214" t="str">
            <v>Babək filialı</v>
          </cell>
          <cell r="D6214" t="str">
            <v>#</v>
          </cell>
          <cell r="E6214" t="str">
            <v>İnzibati bölmə</v>
          </cell>
          <cell r="F6214" t="str">
            <v>Xadimə</v>
          </cell>
          <cell r="G6214" t="str">
            <v>A</v>
          </cell>
          <cell r="H6214">
            <v>45475</v>
          </cell>
        </row>
        <row r="6215">
          <cell r="B6215" t="str">
            <v>Rzayev Məhəmməd Adil</v>
          </cell>
          <cell r="C6215" t="str">
            <v>Culfa filialı</v>
          </cell>
          <cell r="D6215" t="str">
            <v>#</v>
          </cell>
          <cell r="E6215" t="str">
            <v>Xidmət bölməsi</v>
          </cell>
          <cell r="F6215" t="str">
            <v>Baş əməliyyatçı-kassir</v>
          </cell>
          <cell r="G6215" t="str">
            <v>A</v>
          </cell>
          <cell r="H6215">
            <v>44141</v>
          </cell>
        </row>
        <row r="6216">
          <cell r="B6216" t="str">
            <v>Cəfərova Samirə Akif</v>
          </cell>
          <cell r="C6216" t="str">
            <v>Culfa filialı</v>
          </cell>
          <cell r="D6216" t="str">
            <v>#</v>
          </cell>
          <cell r="E6216" t="str">
            <v>Xidmət bölməsi</v>
          </cell>
          <cell r="F6216" t="str">
            <v>Kassa üzrə aparıcı mütəxəssis</v>
          </cell>
          <cell r="G6216" t="str">
            <v>A</v>
          </cell>
          <cell r="H6216">
            <v>44735</v>
          </cell>
        </row>
        <row r="6217">
          <cell r="B6217" t="str">
            <v>İbrahimova Şəfəq Şahid</v>
          </cell>
          <cell r="C6217" t="str">
            <v>Culfa filialı</v>
          </cell>
          <cell r="D6217" t="str">
            <v>#</v>
          </cell>
          <cell r="E6217" t="str">
            <v>Xidmət bölməsi</v>
          </cell>
          <cell r="F6217" t="str">
            <v>Məlumat xidməti üzrə aparıcı mütəxəssis</v>
          </cell>
          <cell r="G6217" t="str">
            <v>A</v>
          </cell>
          <cell r="H6217">
            <v>45288</v>
          </cell>
        </row>
        <row r="6218">
          <cell r="B6218" t="str">
            <v>Həsənli Vasif Namiq</v>
          </cell>
          <cell r="C6218" t="str">
            <v>Culfa filialı</v>
          </cell>
          <cell r="D6218" t="str">
            <v>#</v>
          </cell>
          <cell r="E6218" t="str">
            <v>Xidmət bölməsi</v>
          </cell>
          <cell r="F6218" t="str">
            <v>Müştərilərlə iş üzrə baş mütəxəssis</v>
          </cell>
          <cell r="G6218" t="str">
            <v>A</v>
          </cell>
          <cell r="H6218">
            <v>43691</v>
          </cell>
        </row>
        <row r="6219">
          <cell r="B6219" t="str">
            <v>Məhərrəmova Səbinə Bayram</v>
          </cell>
          <cell r="C6219" t="str">
            <v>Culfa filialı</v>
          </cell>
          <cell r="D6219" t="str">
            <v>#</v>
          </cell>
          <cell r="E6219" t="str">
            <v>Xidmət bölməsi</v>
          </cell>
          <cell r="F6219" t="str">
            <v>Müştərilərlə iş üzrə baş mütəxəssis</v>
          </cell>
          <cell r="G6219" t="str">
            <v>A</v>
          </cell>
          <cell r="H6219">
            <v>44369</v>
          </cell>
        </row>
        <row r="6220">
          <cell r="B6220" t="str">
            <v>Məmmədli Fəridə Məmməd</v>
          </cell>
          <cell r="C6220" t="str">
            <v>Culfa filialı</v>
          </cell>
          <cell r="D6220" t="str">
            <v>#</v>
          </cell>
          <cell r="E6220" t="str">
            <v>Xidmət bölməsi</v>
          </cell>
          <cell r="F6220" t="str">
            <v>Müştərilərlə iş üzrə aparıcı mütəxəssis</v>
          </cell>
          <cell r="G6220" t="str">
            <v>A</v>
          </cell>
          <cell r="H6220">
            <v>44550</v>
          </cell>
        </row>
        <row r="6221">
          <cell r="B6221" t="str">
            <v>Qafarova Gülnarə Məmməd</v>
          </cell>
          <cell r="C6221" t="str">
            <v>Culfa filialı</v>
          </cell>
          <cell r="D6221" t="str">
            <v>#</v>
          </cell>
          <cell r="E6221" t="str">
            <v>İnzibati bölmə</v>
          </cell>
          <cell r="F6221" t="str">
            <v>Xadimə</v>
          </cell>
          <cell r="G6221" t="str">
            <v>A</v>
          </cell>
          <cell r="H6221">
            <v>43678</v>
          </cell>
        </row>
        <row r="6222">
          <cell r="B6222" t="str">
            <v>Məmmədova Fidan Elmar</v>
          </cell>
          <cell r="C6222" t="str">
            <v>Kəngərli filialı</v>
          </cell>
          <cell r="D6222" t="str">
            <v>#</v>
          </cell>
          <cell r="E6222" t="str">
            <v>Xidmət bölməsi</v>
          </cell>
          <cell r="F6222" t="str">
            <v>Məlumat xidməti üzrə mütəxəssis</v>
          </cell>
          <cell r="G6222" t="str">
            <v>A</v>
          </cell>
          <cell r="H6222">
            <v>45621</v>
          </cell>
        </row>
        <row r="6223">
          <cell r="B6223" t="str">
            <v>Rəhimli Muğan Nağı</v>
          </cell>
          <cell r="C6223" t="str">
            <v>Kəngərli filialı</v>
          </cell>
          <cell r="D6223" t="str">
            <v>#</v>
          </cell>
          <cell r="E6223" t="str">
            <v>Xidmət bölməsi</v>
          </cell>
          <cell r="F6223" t="str">
            <v>Müştərilərlə iş üzrə baş mütəxəssis</v>
          </cell>
          <cell r="G6223" t="str">
            <v>A</v>
          </cell>
          <cell r="H6223">
            <v>43759</v>
          </cell>
        </row>
        <row r="6224">
          <cell r="B6224" t="str">
            <v>Həsənov Rəhim Elxan</v>
          </cell>
          <cell r="C6224" t="str">
            <v>Kəngərli filialı</v>
          </cell>
          <cell r="D6224" t="str">
            <v>#</v>
          </cell>
          <cell r="E6224" t="str">
            <v>Xidmət bölməsi</v>
          </cell>
          <cell r="F6224" t="str">
            <v>Müştərilərlə iş üzrə mütəxəssis</v>
          </cell>
          <cell r="G6224" t="str">
            <v>A</v>
          </cell>
          <cell r="H6224">
            <v>45338</v>
          </cell>
        </row>
        <row r="6225">
          <cell r="B6225" t="str">
            <v>Əliyev Hasil Umud</v>
          </cell>
          <cell r="C6225" t="str">
            <v>Kəngərli filialı</v>
          </cell>
          <cell r="D6225" t="str">
            <v>#</v>
          </cell>
          <cell r="E6225" t="str">
            <v>Xidmət bölməsi</v>
          </cell>
          <cell r="F6225" t="str">
            <v>Müştərilərlə iş üzrə mütəxəssis</v>
          </cell>
          <cell r="G6225" t="str">
            <v>A</v>
          </cell>
          <cell r="H6225">
            <v>45352</v>
          </cell>
        </row>
        <row r="6226">
          <cell r="B6226" t="str">
            <v>Abbasova Elminaz Əli</v>
          </cell>
          <cell r="C6226" t="str">
            <v>Kəngərli filialı</v>
          </cell>
          <cell r="D6226" t="str">
            <v>#</v>
          </cell>
          <cell r="E6226" t="str">
            <v>Xidmət bölməsi</v>
          </cell>
          <cell r="F6226" t="str">
            <v>Kassa üzrə kiçik mütəxəssis</v>
          </cell>
          <cell r="G6226" t="str">
            <v>A</v>
          </cell>
          <cell r="H6226">
            <v>46174</v>
          </cell>
        </row>
        <row r="6227">
          <cell r="B6227" t="str">
            <v>Quliyeva Səbinə Rəhim</v>
          </cell>
          <cell r="C6227" t="str">
            <v>Kəngərli filialı</v>
          </cell>
          <cell r="D6227" t="str">
            <v>#</v>
          </cell>
          <cell r="E6227" t="str">
            <v>İnzibati bölmə</v>
          </cell>
          <cell r="F6227" t="str">
            <v>Xadimə</v>
          </cell>
          <cell r="G6227" t="str">
            <v>A</v>
          </cell>
          <cell r="H6227">
            <v>45245</v>
          </cell>
        </row>
        <row r="6228">
          <cell r="B6228" t="str">
            <v>Aslanov Baba İslam</v>
          </cell>
          <cell r="C6228" t="str">
            <v>Naxçıvan filialı</v>
          </cell>
          <cell r="D6228" t="str">
            <v>#</v>
          </cell>
          <cell r="E6228" t="str">
            <v>#</v>
          </cell>
          <cell r="F6228" t="str">
            <v>Müdir</v>
          </cell>
          <cell r="G6228" t="str">
            <v>A</v>
          </cell>
          <cell r="H6228">
            <v>44421</v>
          </cell>
        </row>
        <row r="6229">
          <cell r="B6229" t="str">
            <v>Zeynalov Əkbər Elbəyi</v>
          </cell>
          <cell r="C6229" t="str">
            <v>Naxçıvan filialı</v>
          </cell>
          <cell r="D6229" t="str">
            <v>#</v>
          </cell>
          <cell r="E6229" t="str">
            <v>#</v>
          </cell>
          <cell r="F6229" t="str">
            <v>Menecer</v>
          </cell>
          <cell r="G6229" t="str">
            <v>A</v>
          </cell>
          <cell r="H6229">
            <v>43755</v>
          </cell>
        </row>
        <row r="6230">
          <cell r="B6230" t="str">
            <v>Əhmədov Ruslan Xasay</v>
          </cell>
          <cell r="C6230" t="str">
            <v>Naxçıvan filialı</v>
          </cell>
          <cell r="D6230" t="str">
            <v>#</v>
          </cell>
          <cell r="E6230" t="str">
            <v>Xidmət bölməsi</v>
          </cell>
          <cell r="F6230" t="str">
            <v>Kassa üzrə baş mütəxəssis</v>
          </cell>
          <cell r="G6230" t="str">
            <v>A</v>
          </cell>
          <cell r="H6230">
            <v>43731</v>
          </cell>
        </row>
        <row r="6231">
          <cell r="B6231" t="str">
            <v>Abbaszadə Leyla Rəfail</v>
          </cell>
          <cell r="C6231" t="str">
            <v>Naxçıvan filialı</v>
          </cell>
          <cell r="D6231" t="str">
            <v>#</v>
          </cell>
          <cell r="E6231" t="str">
            <v>Xidmət bölməsi</v>
          </cell>
          <cell r="F6231" t="str">
            <v>Kassa üzrə aparıcı mütəxəssis</v>
          </cell>
          <cell r="G6231" t="str">
            <v>A</v>
          </cell>
          <cell r="H6231">
            <v>44658</v>
          </cell>
        </row>
        <row r="6232">
          <cell r="B6232" t="str">
            <v>Xəlilov Eldəniz Yadulla</v>
          </cell>
          <cell r="C6232" t="str">
            <v>Naxçıvan filialı</v>
          </cell>
          <cell r="D6232" t="str">
            <v>#</v>
          </cell>
          <cell r="E6232" t="str">
            <v>Xidmət bölməsi</v>
          </cell>
          <cell r="F6232" t="str">
            <v>Kassa üzrə aparıcı mütəxəssis</v>
          </cell>
          <cell r="G6232" t="str">
            <v>A</v>
          </cell>
          <cell r="H6232">
            <v>43755</v>
          </cell>
        </row>
        <row r="6233">
          <cell r="B6233" t="str">
            <v>Abbasova Fatimə Əbdüləli</v>
          </cell>
          <cell r="C6233" t="str">
            <v>Naxçıvan filialı</v>
          </cell>
          <cell r="D6233" t="str">
            <v>#</v>
          </cell>
          <cell r="E6233" t="str">
            <v>Xidmət bölməsi</v>
          </cell>
          <cell r="F6233" t="str">
            <v>Məlumat xidməti üzrə kiçik mütəxəssis</v>
          </cell>
          <cell r="G6233" t="str">
            <v>A</v>
          </cell>
          <cell r="H6233">
            <v>46076</v>
          </cell>
        </row>
        <row r="6234">
          <cell r="B6234" t="str">
            <v>Həsənli Rahib Malik</v>
          </cell>
          <cell r="C6234" t="str">
            <v>Naxçıvan filialı</v>
          </cell>
          <cell r="D6234" t="str">
            <v>#</v>
          </cell>
          <cell r="E6234" t="str">
            <v>Xidmət bölməsi</v>
          </cell>
          <cell r="F6234" t="str">
            <v>Kassa üzrə aparıcı mütəxəssis</v>
          </cell>
          <cell r="G6234" t="str">
            <v>A</v>
          </cell>
          <cell r="H6234">
            <v>45078</v>
          </cell>
        </row>
        <row r="6235">
          <cell r="B6235" t="str">
            <v>İbrahimov Rasim Elşad</v>
          </cell>
          <cell r="C6235" t="str">
            <v>Naxçıvan filialı</v>
          </cell>
          <cell r="D6235" t="str">
            <v>#</v>
          </cell>
          <cell r="E6235" t="str">
            <v>Xidmət bölməsi</v>
          </cell>
          <cell r="F6235" t="str">
            <v>Kassir</v>
          </cell>
          <cell r="G6235" t="str">
            <v>A</v>
          </cell>
          <cell r="H6235">
            <v>43755</v>
          </cell>
        </row>
        <row r="6236">
          <cell r="B6236" t="str">
            <v>Məmmədov Fuad Ramiz</v>
          </cell>
          <cell r="C6236" t="str">
            <v>Naxçıvan filialı</v>
          </cell>
          <cell r="D6236" t="str">
            <v>#</v>
          </cell>
          <cell r="E6236" t="str">
            <v>Xidmət bölməsi</v>
          </cell>
          <cell r="F6236" t="str">
            <v>Kassir</v>
          </cell>
          <cell r="G6236" t="str">
            <v>A</v>
          </cell>
          <cell r="H6236">
            <v>43755</v>
          </cell>
        </row>
        <row r="6237">
          <cell r="B6237" t="str">
            <v>Əliyeva Günel Qabil</v>
          </cell>
          <cell r="C6237" t="str">
            <v>Naxçıvan filialı</v>
          </cell>
          <cell r="D6237" t="str">
            <v>#</v>
          </cell>
          <cell r="E6237" t="str">
            <v>Xidmət bölməsi</v>
          </cell>
          <cell r="F6237" t="str">
            <v>Əməliyyatçı-kassir</v>
          </cell>
          <cell r="G6237" t="str">
            <v>A</v>
          </cell>
          <cell r="H6237">
            <v>44762</v>
          </cell>
        </row>
        <row r="6238">
          <cell r="B6238" t="str">
            <v>Abbasova Hülya Ramin</v>
          </cell>
          <cell r="C6238" t="str">
            <v>Naxçıvan filialı</v>
          </cell>
          <cell r="D6238" t="str">
            <v>#</v>
          </cell>
          <cell r="E6238" t="str">
            <v>Xidmət bölməsi</v>
          </cell>
          <cell r="F6238" t="str">
            <v>Kiçik əməliyyatçı-kassir</v>
          </cell>
          <cell r="G6238" t="str">
            <v>A</v>
          </cell>
          <cell r="H6238">
            <v>46076</v>
          </cell>
        </row>
        <row r="6239">
          <cell r="B6239" t="str">
            <v>Seyidli Mirabbas Mirələkbər</v>
          </cell>
          <cell r="C6239" t="str">
            <v>Naxçıvan filialı</v>
          </cell>
          <cell r="D6239" t="str">
            <v>#</v>
          </cell>
          <cell r="E6239" t="str">
            <v>Xidmət bölməsi</v>
          </cell>
          <cell r="F6239" t="str">
            <v>Müştərilərlə iş üzrə baş mütəxəssis</v>
          </cell>
          <cell r="G6239" t="str">
            <v>A</v>
          </cell>
          <cell r="H6239">
            <v>43731</v>
          </cell>
        </row>
        <row r="6240">
          <cell r="B6240" t="str">
            <v>Məmmədli Afiq Əliyəddin</v>
          </cell>
          <cell r="C6240" t="str">
            <v>Naxçıvan filialı</v>
          </cell>
          <cell r="D6240" t="str">
            <v>#</v>
          </cell>
          <cell r="E6240" t="str">
            <v>Xidmət bölməsi</v>
          </cell>
          <cell r="F6240" t="str">
            <v>Müştərilərlə iş üzrə aparıcı mütəxəssis</v>
          </cell>
          <cell r="G6240" t="str">
            <v>A</v>
          </cell>
          <cell r="H6240">
            <v>43731</v>
          </cell>
        </row>
        <row r="6241">
          <cell r="B6241" t="str">
            <v>Sərxanov Cəfər Maqsud</v>
          </cell>
          <cell r="C6241" t="str">
            <v>Naxçıvan filialı</v>
          </cell>
          <cell r="D6241" t="str">
            <v>#</v>
          </cell>
          <cell r="E6241" t="str">
            <v>Xidmət bölməsi</v>
          </cell>
          <cell r="F6241" t="str">
            <v>Müştərilərlə iş üzrə baş mütəxəssis</v>
          </cell>
          <cell r="G6241" t="str">
            <v>A</v>
          </cell>
          <cell r="H6241">
            <v>43759</v>
          </cell>
        </row>
        <row r="6242">
          <cell r="B6242" t="str">
            <v>Orucova Aişə Zahir</v>
          </cell>
          <cell r="C6242" t="str">
            <v>Naxçıvan filialı</v>
          </cell>
          <cell r="D6242" t="str">
            <v>#</v>
          </cell>
          <cell r="E6242" t="str">
            <v>Xidmət bölməsi</v>
          </cell>
          <cell r="F6242" t="str">
            <v>Müştərilərlə iş üzrə baş mütəxəssis</v>
          </cell>
          <cell r="G6242" t="str">
            <v>A</v>
          </cell>
          <cell r="H6242">
            <v>43763</v>
          </cell>
        </row>
        <row r="6243">
          <cell r="B6243" t="str">
            <v>Qulamova Nuray Elbrus</v>
          </cell>
          <cell r="C6243" t="str">
            <v>Naxçıvan filialı</v>
          </cell>
          <cell r="D6243" t="str">
            <v>#</v>
          </cell>
          <cell r="E6243" t="str">
            <v>Xidmət bölməsi</v>
          </cell>
          <cell r="F6243" t="str">
            <v>Müştərilərlə iş üzrə aparıcı mütəxəssis</v>
          </cell>
          <cell r="G6243" t="str">
            <v>A</v>
          </cell>
          <cell r="H6243">
            <v>44166</v>
          </cell>
        </row>
        <row r="6244">
          <cell r="B6244" t="str">
            <v>Məhərrəmova Məxmər Adil</v>
          </cell>
          <cell r="C6244" t="str">
            <v>Naxçıvan filialı</v>
          </cell>
          <cell r="D6244" t="str">
            <v>#</v>
          </cell>
          <cell r="E6244" t="str">
            <v>Xidmət bölməsi</v>
          </cell>
          <cell r="F6244" t="str">
            <v>Müştərilərlə iş üzrə baş mütəxəssis</v>
          </cell>
          <cell r="G6244" t="str">
            <v>A</v>
          </cell>
          <cell r="H6244">
            <v>44238</v>
          </cell>
        </row>
        <row r="6245">
          <cell r="B6245" t="str">
            <v>Hüseynzadə Aytac İsbəndiyar</v>
          </cell>
          <cell r="C6245" t="str">
            <v>Naxçıvan filialı</v>
          </cell>
          <cell r="D6245" t="str">
            <v>#</v>
          </cell>
          <cell r="E6245" t="str">
            <v>Xidmət bölməsi</v>
          </cell>
          <cell r="F6245" t="str">
            <v>Müştərilərlə iş üzrə mütəxəssis</v>
          </cell>
          <cell r="G6245" t="str">
            <v>SM</v>
          </cell>
          <cell r="H6245">
            <v>44141</v>
          </cell>
        </row>
        <row r="6246">
          <cell r="B6246" t="str">
            <v>Tarverdiyev Ramiz Qurban</v>
          </cell>
          <cell r="C6246" t="str">
            <v>Naxçıvan filialı</v>
          </cell>
          <cell r="D6246" t="str">
            <v>#</v>
          </cell>
          <cell r="E6246" t="str">
            <v>Xidmət bölməsi</v>
          </cell>
          <cell r="F6246" t="str">
            <v>Müştərilərlə iş üzrə mütəxəssis</v>
          </cell>
          <cell r="G6246" t="str">
            <v>A</v>
          </cell>
          <cell r="H6246">
            <v>45253</v>
          </cell>
        </row>
        <row r="6247">
          <cell r="B6247" t="str">
            <v>Nəcəfzadə Fuad İsfəndiyar</v>
          </cell>
          <cell r="C6247" t="str">
            <v>Naxçıvan filialı</v>
          </cell>
          <cell r="D6247" t="str">
            <v>#</v>
          </cell>
          <cell r="E6247" t="str">
            <v>Xidmət bölməsi</v>
          </cell>
          <cell r="F6247" t="str">
            <v>Müştərilərlə iş üzrə aparıcı mütəxəssis</v>
          </cell>
          <cell r="G6247" t="str">
            <v>A</v>
          </cell>
          <cell r="H6247">
            <v>45330</v>
          </cell>
        </row>
        <row r="6248">
          <cell r="B6248" t="str">
            <v>Seyidli Samir Mirismayıl</v>
          </cell>
          <cell r="C6248" t="str">
            <v>Naxçıvan filialı</v>
          </cell>
          <cell r="D6248" t="str">
            <v>#</v>
          </cell>
          <cell r="E6248" t="str">
            <v>Xidmət bölməsi</v>
          </cell>
          <cell r="F6248" t="str">
            <v>Müştərilərlə iş üzrə mütəxəssis</v>
          </cell>
          <cell r="G6248" t="str">
            <v>A</v>
          </cell>
          <cell r="H6248">
            <v>45386</v>
          </cell>
        </row>
        <row r="6249">
          <cell r="B6249" t="str">
            <v>Əsgərov Odər Kazım</v>
          </cell>
          <cell r="C6249" t="str">
            <v>Naxçıvan filialı</v>
          </cell>
          <cell r="D6249" t="str">
            <v>#</v>
          </cell>
          <cell r="E6249" t="str">
            <v>Xidmət bölməsi</v>
          </cell>
          <cell r="F6249" t="str">
            <v>Müştərilərlə iş üzrə mütəxəssis</v>
          </cell>
          <cell r="G6249" t="str">
            <v>A</v>
          </cell>
          <cell r="H6249">
            <v>45859</v>
          </cell>
        </row>
        <row r="6250">
          <cell r="B6250" t="str">
            <v>Orucov Sunay Hüseyn</v>
          </cell>
          <cell r="C6250" t="str">
            <v>Naxçıvan filialı</v>
          </cell>
          <cell r="D6250" t="str">
            <v>#</v>
          </cell>
          <cell r="E6250" t="str">
            <v>Xidmət bölməsi</v>
          </cell>
          <cell r="F6250" t="str">
            <v>Müştərilərlə iş üzrə kiçik mütəxəssis</v>
          </cell>
          <cell r="G6250" t="str">
            <v>A</v>
          </cell>
          <cell r="H6250">
            <v>46150</v>
          </cell>
        </row>
        <row r="6251">
          <cell r="B6251" t="str">
            <v>Cəfərova Samirə Polad</v>
          </cell>
          <cell r="C6251" t="str">
            <v>Naxçıvan filialı</v>
          </cell>
          <cell r="D6251" t="str">
            <v>#</v>
          </cell>
          <cell r="E6251" t="str">
            <v>Xidmət bölməsi</v>
          </cell>
          <cell r="F6251" t="str">
            <v>Müştərilərlə iş üzrə kiçik mütəxəssis</v>
          </cell>
          <cell r="G6251" t="str">
            <v>A</v>
          </cell>
          <cell r="H6251">
            <v>45695</v>
          </cell>
        </row>
        <row r="6252">
          <cell r="B6252" t="str">
            <v>Rzayeva Ülviyyə Əsgər</v>
          </cell>
          <cell r="C6252" t="str">
            <v>Naxçıvan filialı</v>
          </cell>
          <cell r="D6252" t="str">
            <v>#</v>
          </cell>
          <cell r="E6252" t="str">
            <v>İnzibati bölmə</v>
          </cell>
          <cell r="F6252" t="str">
            <v>Xadimə</v>
          </cell>
          <cell r="G6252" t="str">
            <v>A</v>
          </cell>
          <cell r="H6252">
            <v>43819</v>
          </cell>
        </row>
        <row r="6253">
          <cell r="B6253" t="str">
            <v>Qafarova Turanə Eldar</v>
          </cell>
          <cell r="C6253" t="str">
            <v>Naxçıvan filialı</v>
          </cell>
          <cell r="D6253" t="str">
            <v>#</v>
          </cell>
          <cell r="E6253" t="str">
            <v>İnzibati bölmə</v>
          </cell>
          <cell r="F6253" t="str">
            <v>Xadimə</v>
          </cell>
          <cell r="G6253" t="str">
            <v>A</v>
          </cell>
          <cell r="H6253">
            <v>44593</v>
          </cell>
        </row>
        <row r="6254">
          <cell r="B6254" t="str">
            <v>Məmmədov Nurlan Polad</v>
          </cell>
          <cell r="C6254" t="str">
            <v>Naxçıvan filialı</v>
          </cell>
          <cell r="D6254" t="str">
            <v>#</v>
          </cell>
          <cell r="E6254" t="str">
            <v>Mikro kredit bölməsi</v>
          </cell>
          <cell r="F6254" t="str">
            <v>Bölmə rəhbəri</v>
          </cell>
          <cell r="G6254" t="str">
            <v>A</v>
          </cell>
          <cell r="H6254">
            <v>45804</v>
          </cell>
        </row>
        <row r="6255">
          <cell r="B6255" t="str">
            <v>Zamanov Sunay Səfər</v>
          </cell>
          <cell r="C6255" t="str">
            <v>Naxçıvan filialı</v>
          </cell>
          <cell r="D6255" t="str">
            <v>#</v>
          </cell>
          <cell r="E6255" t="str">
            <v>Mikro kredit bölməsi</v>
          </cell>
          <cell r="F6255" t="str">
            <v>Baş mütəxəssis</v>
          </cell>
          <cell r="G6255" t="str">
            <v>A</v>
          </cell>
          <cell r="H6255">
            <v>44756</v>
          </cell>
        </row>
        <row r="6256">
          <cell r="B6256" t="str">
            <v>Rzayev Nail Məhəmməd</v>
          </cell>
          <cell r="C6256" t="str">
            <v>Naxçıvan filialı</v>
          </cell>
          <cell r="D6256" t="str">
            <v>#</v>
          </cell>
          <cell r="E6256" t="str">
            <v>Mikro kredit bölməsi</v>
          </cell>
          <cell r="F6256" t="str">
            <v>Aparıcı mütəxəssis</v>
          </cell>
          <cell r="G6256" t="str">
            <v>A</v>
          </cell>
          <cell r="H6256">
            <v>44811</v>
          </cell>
        </row>
        <row r="6257">
          <cell r="B6257" t="str">
            <v>Quliyev Araz Qulu</v>
          </cell>
          <cell r="C6257" t="str">
            <v>Naxçıvan filialı</v>
          </cell>
          <cell r="D6257" t="str">
            <v>#</v>
          </cell>
          <cell r="E6257" t="str">
            <v>Mikro kredit bölməsi</v>
          </cell>
          <cell r="F6257" t="str">
            <v>Aparıcı mütəxəssis</v>
          </cell>
          <cell r="G6257" t="str">
            <v>A</v>
          </cell>
          <cell r="H6257">
            <v>45184</v>
          </cell>
        </row>
        <row r="6258">
          <cell r="B6258" t="str">
            <v>Kərimli Vidadi Vaqif</v>
          </cell>
          <cell r="C6258" t="str">
            <v>Naxçıvan filialı</v>
          </cell>
          <cell r="D6258" t="str">
            <v>#</v>
          </cell>
          <cell r="E6258" t="str">
            <v>Mikro kredit bölməsi</v>
          </cell>
          <cell r="F6258" t="str">
            <v>Mütəxəssis</v>
          </cell>
          <cell r="G6258" t="str">
            <v>A</v>
          </cell>
          <cell r="H6258">
            <v>45615</v>
          </cell>
        </row>
        <row r="6259">
          <cell r="B6259" t="str">
            <v>İsmayılzadə Məcid Mübariz</v>
          </cell>
          <cell r="C6259" t="str">
            <v>Naxçıvan filialı</v>
          </cell>
          <cell r="D6259" t="str">
            <v>#</v>
          </cell>
          <cell r="E6259" t="str">
            <v>Xidmət bölməsi</v>
          </cell>
          <cell r="F6259" t="str">
            <v>İpoteka üzrə mütəxəssis</v>
          </cell>
          <cell r="G6259" t="str">
            <v>A</v>
          </cell>
          <cell r="H6259">
            <v>45649</v>
          </cell>
        </row>
        <row r="6260">
          <cell r="B6260" t="str">
            <v>Cəlilov Kamil Yəhya</v>
          </cell>
          <cell r="C6260" t="str">
            <v>Ordubad filialı</v>
          </cell>
          <cell r="D6260" t="str">
            <v>#</v>
          </cell>
          <cell r="E6260" t="str">
            <v>#</v>
          </cell>
          <cell r="F6260" t="str">
            <v>Müdir</v>
          </cell>
          <cell r="G6260" t="str">
            <v>A</v>
          </cell>
          <cell r="H6260">
            <v>43678</v>
          </cell>
        </row>
        <row r="6261">
          <cell r="B6261" t="str">
            <v>Tağıyev Fikrət Heydər</v>
          </cell>
          <cell r="C6261" t="str">
            <v>Ordubad filialı</v>
          </cell>
          <cell r="D6261" t="str">
            <v>#</v>
          </cell>
          <cell r="E6261" t="str">
            <v>Xidmət bölməsi</v>
          </cell>
          <cell r="F6261" t="str">
            <v>Kassa üzrə aparıcı mütəxəssis</v>
          </cell>
          <cell r="G6261" t="str">
            <v>A</v>
          </cell>
          <cell r="H6261">
            <v>43731</v>
          </cell>
        </row>
        <row r="6262">
          <cell r="B6262" t="str">
            <v>Məhərrəmli Bəyim Gülməmməd</v>
          </cell>
          <cell r="C6262" t="str">
            <v>Ordubad filialı</v>
          </cell>
          <cell r="D6262" t="str">
            <v>#</v>
          </cell>
          <cell r="E6262" t="str">
            <v>Xidmət bölməsi</v>
          </cell>
          <cell r="F6262" t="str">
            <v>Əməliyyatçı-kassir</v>
          </cell>
          <cell r="G6262" t="str">
            <v>A</v>
          </cell>
          <cell r="H6262">
            <v>45085</v>
          </cell>
        </row>
        <row r="6263">
          <cell r="B6263" t="str">
            <v>Cəfərova Sübhanə Məhərrəm</v>
          </cell>
          <cell r="C6263" t="str">
            <v>Ordubad filialı</v>
          </cell>
          <cell r="D6263" t="str">
            <v>#</v>
          </cell>
          <cell r="E6263" t="str">
            <v>Xidmət bölməsi</v>
          </cell>
          <cell r="F6263" t="str">
            <v>Əməliyyatçı-kassir</v>
          </cell>
          <cell r="G6263" t="str">
            <v>A</v>
          </cell>
          <cell r="H6263">
            <v>44333</v>
          </cell>
        </row>
        <row r="6264">
          <cell r="B6264" t="str">
            <v>Rzalı Vasif Ehtibar</v>
          </cell>
          <cell r="C6264" t="str">
            <v>Ordubad filialı</v>
          </cell>
          <cell r="D6264" t="str">
            <v>#</v>
          </cell>
          <cell r="E6264" t="str">
            <v>Xidmət bölməsi</v>
          </cell>
          <cell r="F6264" t="str">
            <v>Müştərilərlə iş üzrə baş mütəxəssis</v>
          </cell>
          <cell r="G6264" t="str">
            <v>A</v>
          </cell>
          <cell r="H6264">
            <v>43692</v>
          </cell>
        </row>
        <row r="6265">
          <cell r="B6265" t="str">
            <v>Məmmədov Cəbrayıl Qulu</v>
          </cell>
          <cell r="C6265" t="str">
            <v>Ordubad filialı</v>
          </cell>
          <cell r="D6265" t="str">
            <v>#</v>
          </cell>
          <cell r="E6265" t="str">
            <v>Xidmət bölməsi</v>
          </cell>
          <cell r="F6265" t="str">
            <v>Müştərilərlə iş üzrə aparıcı mütəxəssis</v>
          </cell>
          <cell r="G6265" t="str">
            <v>A</v>
          </cell>
          <cell r="H6265">
            <v>44896</v>
          </cell>
        </row>
        <row r="6266">
          <cell r="B6266" t="str">
            <v>Abbasova Nilgün Asiman</v>
          </cell>
          <cell r="C6266" t="str">
            <v>Ordubad filialı</v>
          </cell>
          <cell r="D6266" t="str">
            <v>#</v>
          </cell>
          <cell r="E6266" t="str">
            <v>Xidmət bölməsi</v>
          </cell>
          <cell r="F6266" t="str">
            <v>Məlumat xidməti üzrə aparıcı mütəxəssis</v>
          </cell>
          <cell r="G6266" t="str">
            <v>A</v>
          </cell>
          <cell r="H6266">
            <v>45264</v>
          </cell>
        </row>
        <row r="6267">
          <cell r="B6267" t="str">
            <v>Orucova Elsevər Hüseyn</v>
          </cell>
          <cell r="C6267" t="str">
            <v>Ordubad filialı</v>
          </cell>
          <cell r="D6267" t="str">
            <v>#</v>
          </cell>
          <cell r="E6267" t="str">
            <v>İnzibati bölmə</v>
          </cell>
          <cell r="F6267" t="str">
            <v>Xadimə</v>
          </cell>
          <cell r="G6267" t="str">
            <v>A</v>
          </cell>
          <cell r="H6267">
            <v>43731</v>
          </cell>
        </row>
        <row r="6268">
          <cell r="B6268" t="str">
            <v>Qarayev Röyal Zahid</v>
          </cell>
          <cell r="C6268" t="str">
            <v>Sədərək filialı</v>
          </cell>
          <cell r="D6268" t="str">
            <v>#</v>
          </cell>
          <cell r="E6268" t="str">
            <v>Xidmət bölməsi</v>
          </cell>
          <cell r="F6268" t="str">
            <v xml:space="preserve">Aparıcı əməliyyatçı-kassir </v>
          </cell>
          <cell r="G6268" t="str">
            <v>A</v>
          </cell>
          <cell r="H6268">
            <v>44209</v>
          </cell>
        </row>
        <row r="6269">
          <cell r="B6269" t="str">
            <v>Əhmədov Elsevər Bəhlul</v>
          </cell>
          <cell r="C6269" t="str">
            <v>Sədərək filialı</v>
          </cell>
          <cell r="D6269" t="str">
            <v>#</v>
          </cell>
          <cell r="E6269" t="str">
            <v>Xidmət bölməsi</v>
          </cell>
          <cell r="F6269" t="str">
            <v>Kassa üzrə aparıcı mütəxəssis</v>
          </cell>
          <cell r="G6269" t="str">
            <v>A</v>
          </cell>
          <cell r="H6269">
            <v>43699</v>
          </cell>
        </row>
        <row r="6270">
          <cell r="B6270" t="str">
            <v>Zamanlı Yusif Ramiz</v>
          </cell>
          <cell r="C6270" t="str">
            <v>Sədərək filialı</v>
          </cell>
          <cell r="D6270" t="str">
            <v>#</v>
          </cell>
          <cell r="E6270" t="str">
            <v>Xidmət bölməsi</v>
          </cell>
          <cell r="F6270" t="str">
            <v>Müştərilərlə iş üzrə aparıcı mütəxəssis</v>
          </cell>
          <cell r="G6270" t="str">
            <v>A</v>
          </cell>
          <cell r="H6270">
            <v>43692</v>
          </cell>
        </row>
        <row r="6271">
          <cell r="B6271" t="str">
            <v>İbrahimova Günel Süleyman</v>
          </cell>
          <cell r="C6271" t="str">
            <v>Sədərək filialı</v>
          </cell>
          <cell r="D6271" t="str">
            <v>#</v>
          </cell>
          <cell r="E6271" t="str">
            <v>İnzibati bölmə</v>
          </cell>
          <cell r="F6271" t="str">
            <v>Xadimə (0,5 ştat vahidi üzrə əvəzçilik qaydasında)</v>
          </cell>
          <cell r="G6271" t="str">
            <v>A</v>
          </cell>
          <cell r="H6271">
            <v>45993</v>
          </cell>
        </row>
        <row r="6272">
          <cell r="B6272" t="str">
            <v>Əliyeva Bədurə Əli</v>
          </cell>
          <cell r="C6272" t="str">
            <v>Şahbuz filialı</v>
          </cell>
          <cell r="D6272" t="str">
            <v>#</v>
          </cell>
          <cell r="E6272" t="str">
            <v>#</v>
          </cell>
          <cell r="F6272" t="str">
            <v>Müdir</v>
          </cell>
          <cell r="G6272" t="str">
            <v>A</v>
          </cell>
          <cell r="H6272">
            <v>43879</v>
          </cell>
        </row>
        <row r="6273">
          <cell r="B6273" t="str">
            <v>Mədədli Nərmin Xaliq</v>
          </cell>
          <cell r="C6273" t="str">
            <v>Şahbuz filialı</v>
          </cell>
          <cell r="D6273" t="str">
            <v>#</v>
          </cell>
          <cell r="E6273" t="str">
            <v>Xidmət bölməsi</v>
          </cell>
          <cell r="F6273" t="str">
            <v>Kassa üzrə kiçik mütəxəssis</v>
          </cell>
          <cell r="G6273" t="str">
            <v>A</v>
          </cell>
          <cell r="H6273">
            <v>46087</v>
          </cell>
        </row>
        <row r="6274">
          <cell r="B6274" t="str">
            <v>İbrahimli Asim Eldar</v>
          </cell>
          <cell r="C6274" t="str">
            <v>Şahbuz filialı</v>
          </cell>
          <cell r="D6274" t="str">
            <v>#</v>
          </cell>
          <cell r="E6274" t="str">
            <v>Xidmət bölməsi</v>
          </cell>
          <cell r="F6274" t="str">
            <v>Əməliyyatçı-kassir</v>
          </cell>
          <cell r="G6274" t="str">
            <v>A</v>
          </cell>
          <cell r="H6274">
            <v>45699</v>
          </cell>
        </row>
        <row r="6275">
          <cell r="B6275" t="str">
            <v>Həsənov Orman Bəhrəm</v>
          </cell>
          <cell r="C6275" t="str">
            <v>Şahbuz filialı</v>
          </cell>
          <cell r="D6275" t="str">
            <v>#</v>
          </cell>
          <cell r="E6275" t="str">
            <v>Xidmət bölməsi</v>
          </cell>
          <cell r="F6275" t="str">
            <v>Müştərilərlə iş üzrə baş mütəxəssis</v>
          </cell>
          <cell r="G6275" t="str">
            <v>A</v>
          </cell>
          <cell r="H6275">
            <v>43696</v>
          </cell>
        </row>
        <row r="6276">
          <cell r="B6276" t="str">
            <v>Həbibli Muxtər Xəqani</v>
          </cell>
          <cell r="C6276" t="str">
            <v>Şahbuz filialı</v>
          </cell>
          <cell r="D6276" t="str">
            <v>#</v>
          </cell>
          <cell r="E6276" t="str">
            <v>Xidmət bölməsi</v>
          </cell>
          <cell r="F6276" t="str">
            <v>Əməliyyatçı-kassir</v>
          </cell>
          <cell r="G6276" t="str">
            <v>A</v>
          </cell>
          <cell r="H6276">
            <v>45252</v>
          </cell>
        </row>
        <row r="6277">
          <cell r="B6277" t="str">
            <v>Qarayeva Esmira Nofil</v>
          </cell>
          <cell r="C6277" t="str">
            <v>Şahbuz filialı</v>
          </cell>
          <cell r="D6277" t="str">
            <v>#</v>
          </cell>
          <cell r="E6277" t="str">
            <v>İnzibati bölmə</v>
          </cell>
          <cell r="F6277" t="str">
            <v>Xadimə</v>
          </cell>
          <cell r="G6277" t="str">
            <v>A</v>
          </cell>
          <cell r="H6277">
            <v>44866</v>
          </cell>
        </row>
        <row r="6278">
          <cell r="B6278" t="str">
            <v>Məmmədov Hidayət Nazim</v>
          </cell>
          <cell r="C6278" t="str">
            <v>Şərur filialı</v>
          </cell>
          <cell r="D6278" t="str">
            <v>#</v>
          </cell>
          <cell r="E6278" t="str">
            <v>#</v>
          </cell>
          <cell r="F6278" t="str">
            <v>Müdir</v>
          </cell>
          <cell r="G6278" t="str">
            <v>A</v>
          </cell>
          <cell r="H6278">
            <v>43755</v>
          </cell>
        </row>
        <row r="6279">
          <cell r="B6279" t="str">
            <v>Cəfərova Aysel Əli</v>
          </cell>
          <cell r="C6279" t="str">
            <v>Şərur filialı</v>
          </cell>
          <cell r="D6279" t="str">
            <v>#</v>
          </cell>
          <cell r="E6279" t="str">
            <v>Xidmət bölməsi</v>
          </cell>
          <cell r="F6279" t="str">
            <v xml:space="preserve">Aparıcı əməliyyatçı-kassir </v>
          </cell>
          <cell r="G6279" t="str">
            <v>HX</v>
          </cell>
          <cell r="H6279">
            <v>45233</v>
          </cell>
        </row>
        <row r="6280">
          <cell r="B6280" t="str">
            <v>Nağıyev Şamxal Hikmət</v>
          </cell>
          <cell r="C6280" t="str">
            <v>Şərur filialı</v>
          </cell>
          <cell r="D6280" t="str">
            <v>#</v>
          </cell>
          <cell r="E6280" t="str">
            <v>Xidmət bölməsi</v>
          </cell>
          <cell r="F6280" t="str">
            <v>Əməliyyatçı-kassir</v>
          </cell>
          <cell r="G6280" t="str">
            <v>A</v>
          </cell>
          <cell r="H6280">
            <v>45841</v>
          </cell>
        </row>
        <row r="6281">
          <cell r="B6281" t="str">
            <v>Hüseynli Ülvi Bəxtiyar</v>
          </cell>
          <cell r="C6281" t="str">
            <v>Şərur filialı</v>
          </cell>
          <cell r="D6281" t="str">
            <v>#</v>
          </cell>
          <cell r="E6281" t="str">
            <v>Xidmət bölməsi</v>
          </cell>
          <cell r="F6281" t="str">
            <v>Kassa üzrə aparıcı mütəxəssis</v>
          </cell>
          <cell r="G6281" t="str">
            <v>A</v>
          </cell>
          <cell r="H6281">
            <v>45588</v>
          </cell>
        </row>
        <row r="6282">
          <cell r="B6282" t="str">
            <v>Mehdiyev Fazil Dilavər</v>
          </cell>
          <cell r="C6282" t="str">
            <v>Şərur filialı</v>
          </cell>
          <cell r="D6282" t="str">
            <v>#</v>
          </cell>
          <cell r="E6282" t="str">
            <v>Xidmət bölməsi</v>
          </cell>
          <cell r="F6282" t="str">
            <v>Müştərilərlə iş üzrə baş mütəxəssis</v>
          </cell>
          <cell r="G6282" t="str">
            <v>A</v>
          </cell>
          <cell r="H6282">
            <v>43678</v>
          </cell>
        </row>
        <row r="6283">
          <cell r="B6283" t="str">
            <v>Həsənova Gözəl Elsevər</v>
          </cell>
          <cell r="C6283" t="str">
            <v>Şərur filialı</v>
          </cell>
          <cell r="D6283" t="str">
            <v>#</v>
          </cell>
          <cell r="E6283" t="str">
            <v>Xidmət bölməsi</v>
          </cell>
          <cell r="F6283" t="str">
            <v>Məlumat xidməti üzrə kiçik mütəxəssis</v>
          </cell>
          <cell r="G6283" t="str">
            <v>A</v>
          </cell>
          <cell r="H6283">
            <v>46064</v>
          </cell>
        </row>
        <row r="6284">
          <cell r="B6284" t="str">
            <v>Baxşıyev Hüseyn Sevindik</v>
          </cell>
          <cell r="C6284" t="str">
            <v>Şərur filialı</v>
          </cell>
          <cell r="D6284" t="str">
            <v>#</v>
          </cell>
          <cell r="E6284" t="str">
            <v>Xidmət bölməsi</v>
          </cell>
          <cell r="F6284" t="str">
            <v>Müştərilərlə iş üzrə baş mütəxəssis</v>
          </cell>
          <cell r="G6284" t="str">
            <v>A</v>
          </cell>
          <cell r="H6284">
            <v>43678</v>
          </cell>
        </row>
        <row r="6285">
          <cell r="B6285" t="str">
            <v>Sərxanbəyli Hilal Fazil</v>
          </cell>
          <cell r="C6285" t="str">
            <v>Şərur filialı</v>
          </cell>
          <cell r="D6285" t="str">
            <v>#</v>
          </cell>
          <cell r="E6285" t="str">
            <v>Xidmət bölməsi</v>
          </cell>
          <cell r="F6285" t="str">
            <v>Müştərilərlə iş üzrə baş mütəxəssis</v>
          </cell>
          <cell r="G6285" t="str">
            <v>A</v>
          </cell>
          <cell r="H6285">
            <v>43808</v>
          </cell>
        </row>
        <row r="6286">
          <cell r="B6286" t="str">
            <v>Məmmədov Müslüm Aqil</v>
          </cell>
          <cell r="C6286" t="str">
            <v>Şərur filialı</v>
          </cell>
          <cell r="D6286" t="str">
            <v>#</v>
          </cell>
          <cell r="E6286" t="str">
            <v>Xidmət bölməsi</v>
          </cell>
          <cell r="F6286" t="str">
            <v>Müştərilərlə iş üzrə aparıcı mütəxəssis</v>
          </cell>
          <cell r="G6286" t="str">
            <v>A</v>
          </cell>
          <cell r="H6286">
            <v>44551</v>
          </cell>
        </row>
        <row r="6287">
          <cell r="B6287" t="str">
            <v>Quluzadə Aytac Nuriddin</v>
          </cell>
          <cell r="C6287" t="str">
            <v>Şərur filialı</v>
          </cell>
          <cell r="D6287" t="str">
            <v>#</v>
          </cell>
          <cell r="E6287" t="str">
            <v>Xidmət bölməsi</v>
          </cell>
          <cell r="F6287" t="str">
            <v>Müştərilərlə iş üzrə mütəxəssis</v>
          </cell>
          <cell r="G6287" t="str">
            <v>A</v>
          </cell>
          <cell r="H6287">
            <v>45253</v>
          </cell>
        </row>
        <row r="6288">
          <cell r="B6288" t="str">
            <v>İmanov Kamal Həbib</v>
          </cell>
          <cell r="C6288" t="str">
            <v>Şərur filialı</v>
          </cell>
          <cell r="D6288" t="str">
            <v>#</v>
          </cell>
          <cell r="E6288" t="str">
            <v>Xidmət bölməsi</v>
          </cell>
          <cell r="F6288" t="str">
            <v>Müştərilərlə iş üzrə kiçik mütəxəssis</v>
          </cell>
          <cell r="G6288" t="str">
            <v>A</v>
          </cell>
          <cell r="H6288">
            <v>46204</v>
          </cell>
        </row>
        <row r="6289">
          <cell r="B6289" t="str">
            <v>Bağırova Fizurə Həbib</v>
          </cell>
          <cell r="C6289" t="str">
            <v>Şərur filialı</v>
          </cell>
          <cell r="D6289" t="str">
            <v>#</v>
          </cell>
          <cell r="E6289" t="str">
            <v>İnzibati bölmə</v>
          </cell>
          <cell r="F6289" t="str">
            <v>Xadimə</v>
          </cell>
          <cell r="G6289" t="str">
            <v>A</v>
          </cell>
          <cell r="H6289">
            <v>43819</v>
          </cell>
        </row>
        <row r="6290">
          <cell r="B6290" t="str">
            <v>Səmədli Ülvi Azər</v>
          </cell>
          <cell r="C6290" t="str">
            <v>Xidmət keyfiyyətinin idarə edilməsi departamenti</v>
          </cell>
          <cell r="D6290" t="str">
            <v>Pul və logistika əməliyyatları şöbəsi</v>
          </cell>
          <cell r="E6290" t="str">
            <v>#</v>
          </cell>
          <cell r="F6290" t="str">
            <v>Kassir-inkassator (Şirvan regional inkassasiya mərkəzi üzrə)</v>
          </cell>
          <cell r="G6290" t="str">
            <v>P</v>
          </cell>
          <cell r="H6290">
            <v>46069</v>
          </cell>
        </row>
        <row r="6291">
          <cell r="B6291" t="str">
            <v>Əliyev Telman Rəcəb</v>
          </cell>
          <cell r="C6291" t="str">
            <v>Biznes sahələrinin inkişafı və partnyor şəbəkəsi departamenti</v>
          </cell>
          <cell r="D6291" t="str">
            <v>Gündəlik tələbat və səhiyyə sektoru üzrə partnyorluq şöbəsi</v>
          </cell>
          <cell r="E6291" t="str">
            <v>#</v>
          </cell>
          <cell r="F6291" t="str">
            <v>Kiçik mütəxəssis</v>
          </cell>
          <cell r="G6291" t="str">
            <v>P</v>
          </cell>
          <cell r="H6291">
            <v>46126</v>
          </cell>
          <cell r="I6291" t="str">
            <v>Bir Payment</v>
          </cell>
        </row>
        <row r="6292">
          <cell r="B6292" t="str">
            <v xml:space="preserve">	Sadiqov Arif Vəsaid</v>
          </cell>
          <cell r="C6292" t="str">
            <v>Biznes sahələrinin inkişafı və partnyor şəbəkəsi departamenti</v>
          </cell>
          <cell r="D6292" t="str">
            <v>Satışın təşkili və dəstək şöbəsi</v>
          </cell>
          <cell r="E6292" t="str">
            <v>Merçendayzinq və monitorinq bölməsi</v>
          </cell>
          <cell r="F6292" t="str">
            <v>Bölmə rəhbəri</v>
          </cell>
          <cell r="G6292" t="str">
            <v>P</v>
          </cell>
          <cell r="H6292">
            <v>46126</v>
          </cell>
          <cell r="I6292" t="str">
            <v>Bir Payment</v>
          </cell>
        </row>
        <row r="6293">
          <cell r="B6293" t="str">
            <v>Həsənov Nəriman Elşən</v>
          </cell>
          <cell r="C6293" t="str">
            <v>Biznes sahələrinin inkişafı və partnyor şəbəkəsi departamenti</v>
          </cell>
          <cell r="D6293" t="str">
            <v>Enerji,avto və e-ticarət üzrə partnyorluq şöbəsi</v>
          </cell>
          <cell r="E6293" t="str">
            <v>#</v>
          </cell>
          <cell r="F6293" t="str">
            <v>Mütəxəssis</v>
          </cell>
          <cell r="G6293" t="str">
            <v>P</v>
          </cell>
          <cell r="H6293">
            <v>46127</v>
          </cell>
          <cell r="I6293" t="str">
            <v>Bir Payment</v>
          </cell>
        </row>
        <row r="6294">
          <cell r="B6294" t="str">
            <v>Heydərova Şəms Nazim</v>
          </cell>
          <cell r="C6294" t="str">
            <v>İnzibati idarəetmə departamenti</v>
          </cell>
          <cell r="D6294" t="str">
            <v>Satınalma və Təchizat Şöbəsi</v>
          </cell>
          <cell r="E6294" t="str">
            <v>#</v>
          </cell>
          <cell r="F6294" t="str">
            <v>Aparıcı mütəxəssis</v>
          </cell>
          <cell r="G6294" t="str">
            <v>P</v>
          </cell>
          <cell r="H6294">
            <v>46126</v>
          </cell>
          <cell r="I6294" t="str">
            <v>Bir Payment</v>
          </cell>
        </row>
        <row r="6295">
          <cell r="B6295" t="str">
            <v>Ağayev Fariz Sahib</v>
          </cell>
          <cell r="C6295" t="str">
            <v>İnzibati idarəetmə departamenti</v>
          </cell>
          <cell r="D6295" t="str">
            <v>Satınalma və Təchizat Şöbəsi</v>
          </cell>
          <cell r="E6295" t="str">
            <v>#</v>
          </cell>
          <cell r="F6295" t="str">
            <v>Baş mütəxəssis</v>
          </cell>
          <cell r="G6295" t="str">
            <v>P</v>
          </cell>
          <cell r="H6295">
            <v>46094</v>
          </cell>
          <cell r="I6295" t="str">
            <v>Bir Payment</v>
          </cell>
        </row>
        <row r="6296">
          <cell r="B6296" t="str">
            <v>Mustafayeva Elnarə Əkbər</v>
          </cell>
          <cell r="C6296" t="str">
            <v>Təşkilati inkişaf və HR texnologiyaları departamenti</v>
          </cell>
          <cell r="D6296" t="str">
            <v>HRBP və istedad cəlbi funksional sahəsi</v>
          </cell>
          <cell r="E6296" t="str">
            <v>#</v>
          </cell>
          <cell r="F6296" t="str">
            <v>Baş mütəxəssis</v>
          </cell>
          <cell r="G6296" t="str">
            <v>P</v>
          </cell>
          <cell r="H6296">
            <v>46072</v>
          </cell>
          <cell r="I6296" t="str">
            <v>Bir Payment</v>
          </cell>
        </row>
        <row r="6297">
          <cell r="B6297" t="str">
            <v xml:space="preserve">	Kərimova Gülnar Sahib</v>
          </cell>
          <cell r="C6297" t="str">
            <v>#</v>
          </cell>
          <cell r="D6297" t="str">
            <v>Korporativ katiblik şöbəsi</v>
          </cell>
          <cell r="E6297" t="str">
            <v>Katiblik bölməsi</v>
          </cell>
          <cell r="F6297" t="str">
            <v>Şəxsi köməkçi</v>
          </cell>
          <cell r="G6297" t="str">
            <v>P</v>
          </cell>
          <cell r="H6297">
            <v>46125</v>
          </cell>
          <cell r="I6297" t="str">
            <v>BirMarket</v>
          </cell>
        </row>
        <row r="6298">
          <cell r="B6298" t="str">
            <v>Hüseynli Şahin Mahir</v>
          </cell>
          <cell r="C6298" t="str">
            <v>İnzibati idarəetmə departamenti</v>
          </cell>
          <cell r="D6298" t="str">
            <v>Satınalma və Təchizat Şöbəsi</v>
          </cell>
          <cell r="E6298" t="str">
            <v>#</v>
          </cell>
          <cell r="F6298" t="str">
            <v>Baş mütəxəssis</v>
          </cell>
          <cell r="G6298" t="str">
            <v>P</v>
          </cell>
          <cell r="H6298">
            <v>46072</v>
          </cell>
          <cell r="I6298" t="str">
            <v>Bir Payment</v>
          </cell>
        </row>
        <row r="6299">
          <cell r="B6299" t="str">
            <v>Fərhadov Murad Fərhad</v>
          </cell>
          <cell r="C6299" t="str">
            <v>Biznes sahələrinin inkişafı və partnyor şəbəkəsi departamenti</v>
          </cell>
          <cell r="D6299" t="str">
            <v>Enerji,avto və e-ticarət üzrə partnyorluq şöbəsi</v>
          </cell>
          <cell r="E6299" t="str">
            <v>#</v>
          </cell>
          <cell r="F6299" t="str">
            <v>Kiçik mütəxəssis (0,5 ştat vahidi üzrə)</v>
          </cell>
          <cell r="G6299" t="str">
            <v>P</v>
          </cell>
          <cell r="H6299">
            <v>46126</v>
          </cell>
          <cell r="I6299" t="str">
            <v>Bir Payment</v>
          </cell>
        </row>
        <row r="6300">
          <cell r="B6300" t="str">
            <v>Əliyev Natiq Oruc</v>
          </cell>
          <cell r="C6300" t="str">
            <v>İnzibati idarəetmə departamenti</v>
          </cell>
          <cell r="D6300" t="str">
            <v>Satınalma və Təchizat Şöbəsi</v>
          </cell>
          <cell r="E6300" t="str">
            <v>#</v>
          </cell>
          <cell r="F6300" t="str">
            <v>Mütəxəssis</v>
          </cell>
          <cell r="G6300" t="str">
            <v>P</v>
          </cell>
          <cell r="H6300">
            <v>46071</v>
          </cell>
          <cell r="I6300" t="str">
            <v>BirMarket</v>
          </cell>
        </row>
        <row r="6301">
          <cell r="B6301" t="str">
            <v>Teymurov Həbib Zöhrab</v>
          </cell>
          <cell r="C6301" t="str">
            <v>Hüquq departamenti</v>
          </cell>
          <cell r="D6301" t="str">
            <v>E-ticarət biznesinə hüquqi dəstək şöbəsi</v>
          </cell>
          <cell r="E6301" t="str">
            <v>#</v>
          </cell>
          <cell r="F6301" t="str">
            <v>Şöbə müdiri</v>
          </cell>
          <cell r="G6301" t="str">
            <v>P</v>
          </cell>
          <cell r="H6301">
            <v>46113</v>
          </cell>
          <cell r="I6301" t="str">
            <v>BirMarket</v>
          </cell>
        </row>
        <row r="6302">
          <cell r="B6302" t="str">
            <v>Həşimova Aydan İbrahim</v>
          </cell>
          <cell r="C6302" t="str">
            <v>İstedadların idarə edilməsi departamenti</v>
          </cell>
          <cell r="D6302" t="str">
            <v>İstedadların cəlbi və biznes partnyorluq şöbəsi</v>
          </cell>
          <cell r="E6302" t="str">
            <v>#</v>
          </cell>
          <cell r="F6302" t="str">
            <v>Mütəxəssis</v>
          </cell>
          <cell r="G6302" t="str">
            <v>P</v>
          </cell>
          <cell r="H6302">
            <v>46160</v>
          </cell>
          <cell r="I6302" t="str">
            <v>BirMarket</v>
          </cell>
        </row>
        <row r="6303">
          <cell r="B6303" t="str">
            <v>Quliyeva Nuridə Elşən</v>
          </cell>
          <cell r="C6303" t="str">
            <v>Dizayn ekspert mərkəzi</v>
          </cell>
          <cell r="D6303" t="str">
            <v>Product designer 1</v>
          </cell>
          <cell r="E6303" t="str">
            <v>#</v>
          </cell>
          <cell r="F6303" t="str">
            <v>Məhsul dizayneri</v>
          </cell>
          <cell r="G6303" t="str">
            <v>P</v>
          </cell>
          <cell r="H6303">
            <v>46217</v>
          </cell>
          <cell r="I6303" t="str">
            <v>Bir Payment</v>
          </cell>
        </row>
        <row r="6304">
          <cell r="B6304" t="str">
            <v>İsayev Səbuhi Səmiyəddin</v>
          </cell>
          <cell r="C6304" t="str">
            <v>Texniki dəstək departamenti</v>
          </cell>
          <cell r="D6304" t="str">
            <v>Ödəniş terminallarına texniki dəstək şöbəsi</v>
          </cell>
          <cell r="E6304" t="str">
            <v>#</v>
          </cell>
          <cell r="F6304" t="str">
            <v>Baş mütəxəssis</v>
          </cell>
          <cell r="G6304" t="str">
            <v>P</v>
          </cell>
          <cell r="H6304">
            <v>46185</v>
          </cell>
          <cell r="I6304" t="str">
            <v>Bir Payment</v>
          </cell>
        </row>
        <row r="6305">
          <cell r="B6305" t="str">
            <v>Muxtarov Muxtar Xanlar</v>
          </cell>
          <cell r="C6305" t="str">
            <v>İnzibati idarəetmə departamenti</v>
          </cell>
          <cell r="D6305" t="str">
            <v>Təmir və Xidmət Şöbəsi</v>
          </cell>
          <cell r="E6305" t="str">
            <v>#</v>
          </cell>
          <cell r="F6305" t="str">
            <v>Kiçik mütəxəssis</v>
          </cell>
          <cell r="G6305" t="str">
            <v>P</v>
          </cell>
          <cell r="H6305">
            <v>46113</v>
          </cell>
          <cell r="I6305" t="str">
            <v>Bir Payment</v>
          </cell>
        </row>
        <row r="6306">
          <cell r="B6306" t="str">
            <v>Əhmədov Zülfüqar Məmməd</v>
          </cell>
          <cell r="C6306" t="str">
            <v>Ekosistemin inkişafı və analitikası departamenti</v>
          </cell>
          <cell r="D6306" t="str">
            <v>Ekosistemin analitikası şöbəsi</v>
          </cell>
          <cell r="E6306" t="str">
            <v>#</v>
          </cell>
          <cell r="F6306" t="str">
            <v>Data analitik</v>
          </cell>
          <cell r="G6306" t="str">
            <v>P</v>
          </cell>
          <cell r="H6306">
            <v>46143</v>
          </cell>
          <cell r="I6306" t="str">
            <v>Paşa Holding</v>
          </cell>
        </row>
        <row r="6307">
          <cell r="B6307" t="str">
            <v>Xəlilov Zabit Səməd</v>
          </cell>
          <cell r="C6307" t="str">
            <v>Kassa və inkassasiya prosesləri departamenti</v>
          </cell>
          <cell r="D6307" t="str">
            <v>İnkassasiya mərkəzləri ilə iş şöbəsi</v>
          </cell>
          <cell r="E6307" t="str">
            <v>#</v>
          </cell>
          <cell r="F6307" t="str">
            <v>Kassir-inkassator (Xaçmaz regional inkassasiya mərkəzi üzrə)</v>
          </cell>
          <cell r="G6307" t="str">
            <v>P</v>
          </cell>
          <cell r="H6307">
            <v>46146</v>
          </cell>
          <cell r="I6307" t="str">
            <v>Bir Payment</v>
          </cell>
        </row>
        <row r="6308">
          <cell r="B6308" t="str">
            <v>Dadaş-zadə Arifə Aqşin</v>
          </cell>
          <cell r="C6308" t="str">
            <v>Təşkilati inkişaf və HR texnologiyaları departamenti</v>
          </cell>
          <cell r="D6308" t="str">
            <v>İşəgötürən brendi və KSM funksional sahəsi</v>
          </cell>
          <cell r="E6308" t="str">
            <v>İnternal communications function</v>
          </cell>
          <cell r="F6308" t="str">
            <v>Mütəxəssis</v>
          </cell>
          <cell r="G6308" t="str">
            <v>P</v>
          </cell>
          <cell r="H6308">
            <v>46064</v>
          </cell>
          <cell r="I6308" t="str">
            <v>Paşa Holding</v>
          </cell>
        </row>
        <row r="6309">
          <cell r="B6309" t="str">
            <v>Əliyev Elnur Mövlan</v>
          </cell>
          <cell r="C6309" t="str">
            <v>Kassa və inkassasiya prosesləri departamenti</v>
          </cell>
          <cell r="D6309" t="str">
            <v>İnkassasiya əməliyyatları şöbəsi</v>
          </cell>
          <cell r="E6309" t="str">
            <v>#</v>
          </cell>
          <cell r="F6309" t="str">
            <v>Kassir-inkassator (Sumqayıt regional inkassasiya mərkəzi üzrə)(0,5 ştat vahidi üzrə əvəzçilik qaydasında)</v>
          </cell>
          <cell r="G6309" t="str">
            <v>P</v>
          </cell>
          <cell r="H6309">
            <v>46251</v>
          </cell>
          <cell r="I6309" t="str">
            <v>Bir Payment</v>
          </cell>
        </row>
        <row r="6310">
          <cell r="B6310" t="str">
            <v>Nəbili Pərvin Fuad</v>
          </cell>
          <cell r="C6310" t="str">
            <v>Ekosistemin inkişafı və analitikası departamenti</v>
          </cell>
          <cell r="D6310" t="str">
            <v>Ekosistemin inkişafı şöbəsi</v>
          </cell>
          <cell r="E6310" t="str">
            <v>#</v>
          </cell>
          <cell r="F6310" t="str">
            <v>Aparıcı biznes analitik</v>
          </cell>
          <cell r="G6310" t="str">
            <v>P</v>
          </cell>
          <cell r="H6310">
            <v>46143</v>
          </cell>
          <cell r="I6310" t="str">
            <v>Paşa Holding</v>
          </cell>
        </row>
        <row r="6311">
          <cell r="B6311" t="str">
            <v>Əliyev Elxan Kamran</v>
          </cell>
          <cell r="C6311" t="str">
            <v>Kassa və inkassasiya prosesləri departamenti</v>
          </cell>
          <cell r="D6311" t="str">
            <v>İnkassasiya mərkəzləri ilə iş şöbəsi</v>
          </cell>
          <cell r="E6311" t="str">
            <v>#</v>
          </cell>
          <cell r="F6311" t="str">
            <v>Kassir-inkassator (Beyləqan regional inkassasiya mərkəzi üzrə)</v>
          </cell>
          <cell r="G6311" t="str">
            <v>P</v>
          </cell>
          <cell r="H6311">
            <v>46132</v>
          </cell>
          <cell r="I6311" t="str">
            <v>Bir Payment</v>
          </cell>
        </row>
        <row r="6312">
          <cell r="B6312" t="str">
            <v xml:space="preserve">	Qarayeva Melisa İsmayil</v>
          </cell>
          <cell r="C6312" t="str">
            <v>#</v>
          </cell>
          <cell r="D6312" t="str">
            <v>Korporativ katiblik şöbəsi</v>
          </cell>
          <cell r="E6312" t="str">
            <v>Katiblik bölməsi</v>
          </cell>
          <cell r="F6312" t="str">
            <v>Şəxsi köməkçi</v>
          </cell>
          <cell r="G6312" t="str">
            <v>P</v>
          </cell>
          <cell r="H6312">
            <v>46125</v>
          </cell>
          <cell r="I6312" t="str">
            <v>Bir Payment</v>
          </cell>
        </row>
        <row r="6313">
          <cell r="B6313" t="str">
            <v>Kərimov Asəf Vüqar</v>
          </cell>
          <cell r="C6313" t="str">
            <v>Kassa və inkassasiya prosesləri departamenti</v>
          </cell>
          <cell r="D6313" t="str">
            <v>İnkassasiya mərkəzləri ilə iş şöbəsi</v>
          </cell>
          <cell r="E6313" t="str">
            <v>#</v>
          </cell>
          <cell r="F6313" t="str">
            <v>Kassir-inkassator (Şəki regional inkassasiya mərkəzi üzrə)(0,5 ştat vahidi üzrə əvəzçilik qaydasında)</v>
          </cell>
          <cell r="G6313" t="str">
            <v>P</v>
          </cell>
          <cell r="H6313">
            <v>46259</v>
          </cell>
          <cell r="I6313" t="str">
            <v>Bir Payment</v>
          </cell>
        </row>
        <row r="6314">
          <cell r="B6314" t="str">
            <v>Şirinov Rəşad Əmir</v>
          </cell>
          <cell r="C6314" t="str">
            <v>Kassa və inkassasiya prosesləri departamenti</v>
          </cell>
          <cell r="D6314" t="str">
            <v>İnkassasiya mərkəzləri ilə iş şöbəsi</v>
          </cell>
          <cell r="E6314" t="str">
            <v>#</v>
          </cell>
          <cell r="F6314" t="str">
            <v>Kassir-inkassator (İsmayıllı regional inkassasiya mərkəzi üzrə)(0,5 ştat vahidi üzrə əvəzçilik qaydasında)</v>
          </cell>
          <cell r="G6314" t="str">
            <v>P</v>
          </cell>
          <cell r="H6314">
            <v>46259</v>
          </cell>
          <cell r="I6314" t="str">
            <v>Bir Payment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D3" t="str">
            <v>Ad, soyad, ata adı</v>
          </cell>
        </row>
        <row r="4">
          <cell r="D4" t="str">
            <v>Ağazadə Ramin Cəmil</v>
          </cell>
          <cell r="E4" t="str">
            <v>Pashapay</v>
          </cell>
        </row>
        <row r="5">
          <cell r="D5" t="str">
            <v>Heydərli Elman Çingiz</v>
          </cell>
          <cell r="E5" t="str">
            <v>Pashapay</v>
          </cell>
        </row>
        <row r="6">
          <cell r="D6" t="str">
            <v>Budaqova Tərlanə Camaləddin</v>
          </cell>
          <cell r="E6" t="str">
            <v>Pashapay</v>
          </cell>
        </row>
        <row r="7">
          <cell r="D7" t="str">
            <v>Nəcəfzadə Toğrul Nazim</v>
          </cell>
          <cell r="E7" t="str">
            <v>Pashapay</v>
          </cell>
        </row>
        <row r="8">
          <cell r="D8" t="str">
            <v>Məmmədov Kənan Eldar</v>
          </cell>
          <cell r="E8" t="str">
            <v>Pashapay</v>
          </cell>
        </row>
        <row r="9">
          <cell r="D9" t="str">
            <v>Quliyev Azər Şaban</v>
          </cell>
          <cell r="E9" t="str">
            <v>Pashapay</v>
          </cell>
        </row>
        <row r="10">
          <cell r="D10" t="str">
            <v>Ağamalıyev Kənan Ağamalı</v>
          </cell>
          <cell r="E10" t="str">
            <v>Pashapay</v>
          </cell>
        </row>
        <row r="11">
          <cell r="D11" t="str">
            <v>Məmmədov Bəxtiyar İbadulla</v>
          </cell>
          <cell r="E11" t="str">
            <v>Pashapay</v>
          </cell>
        </row>
        <row r="12">
          <cell r="D12" t="str">
            <v>Abdullayev Gündüz Ayaz</v>
          </cell>
          <cell r="E12" t="str">
            <v>Pashapay</v>
          </cell>
        </row>
        <row r="13">
          <cell r="D13" t="str">
            <v>Tağıyev Kəmran İmran</v>
          </cell>
          <cell r="E13" t="str">
            <v>Pashapay</v>
          </cell>
        </row>
        <row r="14">
          <cell r="D14" t="str">
            <v>Tağıyev Qəni Səadət</v>
          </cell>
          <cell r="E14" t="str">
            <v>Pashapay</v>
          </cell>
        </row>
        <row r="15">
          <cell r="D15" t="str">
            <v>Mehdiyev Nağı Zakir</v>
          </cell>
          <cell r="E15" t="str">
            <v>Pashapay</v>
          </cell>
        </row>
        <row r="16">
          <cell r="D16" t="str">
            <v>Xəlilova Elmira Sarifovna</v>
          </cell>
          <cell r="E16" t="str">
            <v>Pashapay</v>
          </cell>
        </row>
        <row r="17">
          <cell r="D17" t="str">
            <v>Nərmin F. Orucova</v>
          </cell>
          <cell r="E17" t="str">
            <v>Pashapay</v>
          </cell>
        </row>
        <row r="18">
          <cell r="D18" t="str">
            <v>Nərmin Ə. Rəsulova</v>
          </cell>
          <cell r="E18" t="str">
            <v>Pashapay</v>
          </cell>
        </row>
        <row r="19">
          <cell r="D19" t="str">
            <v>Aqşin Q. Əhmədov</v>
          </cell>
          <cell r="E19" t="str">
            <v>Pashapay</v>
          </cell>
        </row>
        <row r="20">
          <cell r="D20" t="str">
            <v>Səlimi (Məmmədzadə) Fidan Emin</v>
          </cell>
          <cell r="E20" t="str">
            <v>Pashapay</v>
          </cell>
        </row>
        <row r="21">
          <cell r="D21" t="str">
            <v>Qasımova Ayla Ağası</v>
          </cell>
          <cell r="E21" t="str">
            <v>Pashapay</v>
          </cell>
        </row>
        <row r="22">
          <cell r="D22" t="str">
            <v>Qarayev Anar Çingiz</v>
          </cell>
          <cell r="E22" t="str">
            <v>Competo</v>
          </cell>
        </row>
        <row r="23">
          <cell r="D23" t="str">
            <v>Hüseynova Lalə Nazim</v>
          </cell>
          <cell r="E23" t="str">
            <v>Competo</v>
          </cell>
        </row>
        <row r="24">
          <cell r="D24" t="str">
            <v>Əliyeva Sona Azad</v>
          </cell>
          <cell r="E24" t="str">
            <v>Competo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7432D0-5DC9-41A7-9A99-8DC96FFE0AE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961e9aea-fed2-4d2c-ad11-5612037d2e9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D07F-D851-4F4B-89D9-A6171F15FB15}">
  <sheetPr>
    <tabColor rgb="FF2E75B6"/>
    <pageSetUpPr fitToPage="1"/>
  </sheetPr>
  <dimension ref="A1:J116"/>
  <sheetViews>
    <sheetView showGridLines="0" zoomScale="90" zoomScaleNormal="90" workbookViewId="0">
      <pane ySplit="2" topLeftCell="A3" activePane="bottomLeft" state="frozen"/>
      <selection pane="bottomLeft" activeCell="C9" sqref="C9"/>
    </sheetView>
  </sheetViews>
  <sheetFormatPr defaultRowHeight="14.5" x14ac:dyDescent="0.35"/>
  <cols>
    <col min="1" max="1" width="2.81640625" customWidth="1"/>
    <col min="2" max="2" width="61.08984375" customWidth="1"/>
    <col min="3" max="9" width="16.6328125" customWidth="1"/>
    <col min="10" max="10" width="2.81640625" customWidth="1"/>
  </cols>
  <sheetData>
    <row r="1" spans="1:10" ht="18.5" x14ac:dyDescent="0.45">
      <c r="A1" s="35"/>
      <c r="B1" s="36" t="s">
        <v>172</v>
      </c>
      <c r="C1" s="35"/>
      <c r="D1" s="35"/>
      <c r="E1" s="35"/>
      <c r="F1" s="35"/>
      <c r="G1" s="35"/>
      <c r="H1" s="35"/>
      <c r="I1" s="35"/>
      <c r="J1" s="35"/>
    </row>
    <row r="2" spans="1:10" x14ac:dyDescent="0.35">
      <c r="A2" s="35"/>
      <c r="B2" s="37"/>
      <c r="C2" s="35"/>
      <c r="D2" s="35"/>
      <c r="E2" s="35"/>
      <c r="F2" s="35"/>
      <c r="G2" s="35"/>
      <c r="H2" s="35"/>
      <c r="I2" s="35"/>
      <c r="J2" s="35"/>
    </row>
    <row r="3" spans="1:10" x14ac:dyDescent="0.35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ht="15.5" x14ac:dyDescent="0.35">
      <c r="A4" s="35"/>
      <c r="B4" s="61" t="s">
        <v>1828</v>
      </c>
      <c r="C4" s="39" t="s">
        <v>0</v>
      </c>
      <c r="D4" s="39"/>
      <c r="E4" s="39"/>
      <c r="F4" s="40"/>
      <c r="G4" s="42" t="s">
        <v>175</v>
      </c>
      <c r="H4" s="39" t="s">
        <v>2</v>
      </c>
      <c r="I4" s="39"/>
      <c r="J4" s="35"/>
    </row>
    <row r="5" spans="1:10" x14ac:dyDescent="0.35">
      <c r="A5" s="35"/>
      <c r="B5" s="62" t="s">
        <v>3</v>
      </c>
      <c r="C5" s="38" t="s">
        <v>4</v>
      </c>
      <c r="D5" s="38" t="s">
        <v>5</v>
      </c>
      <c r="E5" s="38" t="s">
        <v>6</v>
      </c>
      <c r="F5" s="41" t="s">
        <v>7</v>
      </c>
      <c r="G5" s="42" t="s">
        <v>4</v>
      </c>
      <c r="H5" s="38" t="s">
        <v>8</v>
      </c>
      <c r="I5" s="38" t="s">
        <v>9</v>
      </c>
      <c r="J5" s="35"/>
    </row>
    <row r="6" spans="1:10" x14ac:dyDescent="0.35">
      <c r="A6" s="35"/>
      <c r="B6" s="43" t="s">
        <v>31</v>
      </c>
      <c r="C6" s="46">
        <f>SUMIFS('Summary by Division'!$D$6:$D$297,'Summary by Division'!$B$6:$B$297,$B6,'Summary by Division'!$A$6:$A$297,"&lt;&gt;"&amp;$B$38,'Summary by Division'!$A$6:$A$297,"&lt;&gt;"&amp;$B$73)</f>
        <v>0</v>
      </c>
      <c r="D6" s="46">
        <f>SUMIFS('Summary by Division'!$E$6:$E$297,'Summary by Division'!$B$6:$B$297,$B6,'Summary by Division'!$A$6:$A$297,"&lt;&gt;"&amp;$B$38,'Summary by Division'!$A$6:$A$297,"&lt;&gt;"&amp;$B$73)</f>
        <v>0</v>
      </c>
      <c r="E6" s="46">
        <f>SUMIFS('Summary by Division'!$F$6:$F$297,'Summary by Division'!$B$6:$B$297,$B6,'Summary by Division'!$A$6:$A$297,"&lt;&gt;"&amp;$B$38,'Summary by Division'!$A$6:$A$297,"&lt;&gt;"&amp;$B$73)</f>
        <v>0</v>
      </c>
      <c r="F6" s="46">
        <f>SUMIFS('Summary by Division'!$G$6:$G$297,'Summary by Division'!$B$6:$B$297,$B6,'Summary by Division'!$A$6:$A$297,"&lt;&gt;"&amp;$B$38,'Summary by Division'!$A$6:$A$297,"&lt;&gt;"&amp;$B$73)</f>
        <v>0</v>
      </c>
      <c r="G6" s="47">
        <f>SUMIFS('Summary by Division'!$H$6:$H$297,'Summary by Division'!$B$6:$B$297,$B6,'Summary by Division'!$A$6:$A$297,"&lt;&gt;"&amp;$B$38,'Summary by Division'!$A$6:$A$297,"&lt;&gt;"&amp;$B$73)</f>
        <v>0</v>
      </c>
      <c r="H6" s="46">
        <f t="shared" ref="H6:H34" si="0">G6-C6</f>
        <v>0</v>
      </c>
      <c r="I6" s="48">
        <f t="shared" ref="I6:I35" si="1">IF(C6=0,0,H6/C6)</f>
        <v>0</v>
      </c>
      <c r="J6" s="35"/>
    </row>
    <row r="7" spans="1:10" x14ac:dyDescent="0.35">
      <c r="A7" s="35"/>
      <c r="B7" s="44" t="s">
        <v>34</v>
      </c>
      <c r="C7" s="49">
        <f>SUMIFS('Summary by Division'!$D$6:$D$297,'Summary by Division'!$B$6:$B$297,$B7,'Summary by Division'!$A$6:$A$297,"&lt;&gt;"&amp;$B$38,'Summary by Division'!$A$6:$A$297,"&lt;&gt;"&amp;$B$73)</f>
        <v>30</v>
      </c>
      <c r="D7" s="49">
        <f>SUMIFS('Summary by Division'!$E$6:$E$297,'Summary by Division'!$B$6:$B$297,$B7,'Summary by Division'!$A$6:$A$297,"&lt;&gt;"&amp;$B$38,'Summary by Division'!$A$6:$A$297,"&lt;&gt;"&amp;$B$73)</f>
        <v>2</v>
      </c>
      <c r="E7" s="49">
        <f>SUMIFS('Summary by Division'!$F$6:$F$297,'Summary by Division'!$B$6:$B$297,$B7,'Summary by Division'!$A$6:$A$297,"&lt;&gt;"&amp;$B$38,'Summary by Division'!$A$6:$A$297,"&lt;&gt;"&amp;$B$73)</f>
        <v>7.5</v>
      </c>
      <c r="F7" s="49">
        <f>SUMIFS('Summary by Division'!$G$6:$G$297,'Summary by Division'!$B$6:$B$297,$B7,'Summary by Division'!$A$6:$A$297,"&lt;&gt;"&amp;$B$38,'Summary by Division'!$A$6:$A$297,"&lt;&gt;"&amp;$B$73)</f>
        <v>39.5</v>
      </c>
      <c r="G7" s="50">
        <f>SUMIFS('Summary by Division'!$H$6:$H$297,'Summary by Division'!$B$6:$B$297,$B7,'Summary by Division'!$A$6:$A$297,"&lt;&gt;"&amp;$B$38,'Summary by Division'!$A$6:$A$297,"&lt;&gt;"&amp;$B$73)</f>
        <v>37.5</v>
      </c>
      <c r="H7" s="49">
        <f t="shared" si="0"/>
        <v>7.5</v>
      </c>
      <c r="I7" s="51">
        <f t="shared" si="1"/>
        <v>0.25</v>
      </c>
      <c r="J7" s="35"/>
    </row>
    <row r="8" spans="1:10" x14ac:dyDescent="0.35">
      <c r="A8" s="35"/>
      <c r="B8" s="44" t="s">
        <v>35</v>
      </c>
      <c r="C8" s="49">
        <f>SUMIFS('Summary by Division'!$D$6:$D$297,'Summary by Division'!$B$6:$B$297,$B8,'Summary by Division'!$A$6:$A$297,"&lt;&gt;"&amp;$B$38,'Summary by Division'!$A$6:$A$297,"&lt;&gt;"&amp;$B$73)</f>
        <v>19</v>
      </c>
      <c r="D8" s="49">
        <f>SUMIFS('Summary by Division'!$E$6:$E$297,'Summary by Division'!$B$6:$B$297,$B8,'Summary by Division'!$A$6:$A$297,"&lt;&gt;"&amp;$B$38,'Summary by Division'!$A$6:$A$297,"&lt;&gt;"&amp;$B$73)</f>
        <v>2</v>
      </c>
      <c r="E8" s="49">
        <f>SUMIFS('Summary by Division'!$F$6:$F$297,'Summary by Division'!$B$6:$B$297,$B8,'Summary by Division'!$A$6:$A$297,"&lt;&gt;"&amp;$B$38,'Summary by Division'!$A$6:$A$297,"&lt;&gt;"&amp;$B$73)</f>
        <v>4</v>
      </c>
      <c r="F8" s="49">
        <f>SUMIFS('Summary by Division'!$G$6:$G$297,'Summary by Division'!$B$6:$B$297,$B8,'Summary by Division'!$A$6:$A$297,"&lt;&gt;"&amp;$B$38,'Summary by Division'!$A$6:$A$297,"&lt;&gt;"&amp;$B$73)</f>
        <v>25</v>
      </c>
      <c r="G8" s="50">
        <f>SUMIFS('Summary by Division'!$H$6:$H$297,'Summary by Division'!$B$6:$B$297,$B8,'Summary by Division'!$A$6:$A$297,"&lt;&gt;"&amp;$B$38,'Summary by Division'!$A$6:$A$297,"&lt;&gt;"&amp;$B$73)</f>
        <v>26</v>
      </c>
      <c r="H8" s="49">
        <f t="shared" si="0"/>
        <v>7</v>
      </c>
      <c r="I8" s="51">
        <f t="shared" si="1"/>
        <v>0.36842105263157893</v>
      </c>
      <c r="J8" s="35"/>
    </row>
    <row r="9" spans="1:10" x14ac:dyDescent="0.35">
      <c r="A9" s="35"/>
      <c r="B9" s="44" t="s">
        <v>37</v>
      </c>
      <c r="C9" s="49">
        <f>SUMIFS('Summary by Division'!$D$6:$D$297,'Summary by Division'!$B$6:$B$297,$B9,'Summary by Division'!$A$6:$A$297,"&lt;&gt;"&amp;$B$38,'Summary by Division'!$A$6:$A$297,"&lt;&gt;"&amp;$B$73)</f>
        <v>16</v>
      </c>
      <c r="D9" s="49">
        <f>SUMIFS('Summary by Division'!$E$6:$E$297,'Summary by Division'!$B$6:$B$297,$B9,'Summary by Division'!$A$6:$A$297,"&lt;&gt;"&amp;$B$38,'Summary by Division'!$A$6:$A$297,"&lt;&gt;"&amp;$B$73)</f>
        <v>0</v>
      </c>
      <c r="E9" s="49">
        <f>SUMIFS('Summary by Division'!$F$6:$F$297,'Summary by Division'!$B$6:$B$297,$B9,'Summary by Division'!$A$6:$A$297,"&lt;&gt;"&amp;$B$38,'Summary by Division'!$A$6:$A$297,"&lt;&gt;"&amp;$B$73)</f>
        <v>27</v>
      </c>
      <c r="F9" s="49">
        <f>SUMIFS('Summary by Division'!$G$6:$G$297,'Summary by Division'!$B$6:$B$297,$B9,'Summary by Division'!$A$6:$A$297,"&lt;&gt;"&amp;$B$38,'Summary by Division'!$A$6:$A$297,"&lt;&gt;"&amp;$B$73)</f>
        <v>43</v>
      </c>
      <c r="G9" s="50">
        <f>SUMIFS('Summary by Division'!$H$6:$H$297,'Summary by Division'!$B$6:$B$297,$B9,'Summary by Division'!$A$6:$A$297,"&lt;&gt;"&amp;$B$38,'Summary by Division'!$A$6:$A$297,"&lt;&gt;"&amp;$B$73)</f>
        <v>48</v>
      </c>
      <c r="H9" s="49">
        <f t="shared" si="0"/>
        <v>32</v>
      </c>
      <c r="I9" s="51">
        <f t="shared" si="1"/>
        <v>2</v>
      </c>
      <c r="J9" s="35"/>
    </row>
    <row r="10" spans="1:10" x14ac:dyDescent="0.35">
      <c r="A10" s="35"/>
      <c r="B10" s="44" t="s">
        <v>39</v>
      </c>
      <c r="C10" s="49">
        <f>SUMIFS('Summary by Division'!$D$6:$D$297,'Summary by Division'!$B$6:$B$297,$B10,'Summary by Division'!$A$6:$A$297,"&lt;&gt;"&amp;$B$38,'Summary by Division'!$A$6:$A$297,"&lt;&gt;"&amp;$B$73)</f>
        <v>7</v>
      </c>
      <c r="D10" s="49">
        <f>SUMIFS('Summary by Division'!$E$6:$E$297,'Summary by Division'!$B$6:$B$297,$B10,'Summary by Division'!$A$6:$A$297,"&lt;&gt;"&amp;$B$38,'Summary by Division'!$A$6:$A$297,"&lt;&gt;"&amp;$B$73)</f>
        <v>0</v>
      </c>
      <c r="E10" s="49">
        <f>SUMIFS('Summary by Division'!$F$6:$F$297,'Summary by Division'!$B$6:$B$297,$B10,'Summary by Division'!$A$6:$A$297,"&lt;&gt;"&amp;$B$38,'Summary by Division'!$A$6:$A$297,"&lt;&gt;"&amp;$B$73)</f>
        <v>2</v>
      </c>
      <c r="F10" s="49">
        <f>SUMIFS('Summary by Division'!$G$6:$G$297,'Summary by Division'!$B$6:$B$297,$B10,'Summary by Division'!$A$6:$A$297,"&lt;&gt;"&amp;$B$38,'Summary by Division'!$A$6:$A$297,"&lt;&gt;"&amp;$B$73)</f>
        <v>9</v>
      </c>
      <c r="G10" s="50">
        <f>SUMIFS('Summary by Division'!$H$6:$H$297,'Summary by Division'!$B$6:$B$297,$B10,'Summary by Division'!$A$6:$A$297,"&lt;&gt;"&amp;$B$38,'Summary by Division'!$A$6:$A$297,"&lt;&gt;"&amp;$B$73)</f>
        <v>9</v>
      </c>
      <c r="H10" s="49">
        <f t="shared" si="0"/>
        <v>2</v>
      </c>
      <c r="I10" s="51">
        <f t="shared" si="1"/>
        <v>0.2857142857142857</v>
      </c>
      <c r="J10" s="35"/>
    </row>
    <row r="11" spans="1:10" x14ac:dyDescent="0.35">
      <c r="A11" s="35"/>
      <c r="B11" s="44" t="s">
        <v>40</v>
      </c>
      <c r="C11" s="49">
        <f>SUMIFS('Summary by Division'!$D$6:$D$297,'Summary by Division'!$B$6:$B$297,$B11,'Summary by Division'!$A$6:$A$297,"&lt;&gt;"&amp;$B$38,'Summary by Division'!$A$6:$A$297,"&lt;&gt;"&amp;$B$73)</f>
        <v>11</v>
      </c>
      <c r="D11" s="49">
        <f>SUMIFS('Summary by Division'!$E$6:$E$297,'Summary by Division'!$B$6:$B$297,$B11,'Summary by Division'!$A$6:$A$297,"&lt;&gt;"&amp;$B$38,'Summary by Division'!$A$6:$A$297,"&lt;&gt;"&amp;$B$73)</f>
        <v>3</v>
      </c>
      <c r="E11" s="49">
        <f>SUMIFS('Summary by Division'!$F$6:$F$297,'Summary by Division'!$B$6:$B$297,$B11,'Summary by Division'!$A$6:$A$297,"&lt;&gt;"&amp;$B$38,'Summary by Division'!$A$6:$A$297,"&lt;&gt;"&amp;$B$73)</f>
        <v>8</v>
      </c>
      <c r="F11" s="49">
        <f>SUMIFS('Summary by Division'!$G$6:$G$297,'Summary by Division'!$B$6:$B$297,$B11,'Summary by Division'!$A$6:$A$297,"&lt;&gt;"&amp;$B$38,'Summary by Division'!$A$6:$A$297,"&lt;&gt;"&amp;$B$73)</f>
        <v>22</v>
      </c>
      <c r="G11" s="50">
        <f>SUMIFS('Summary by Division'!$H$6:$H$297,'Summary by Division'!$B$6:$B$297,$B11,'Summary by Division'!$A$6:$A$297,"&lt;&gt;"&amp;$B$38,'Summary by Division'!$A$6:$A$297,"&lt;&gt;"&amp;$B$73)</f>
        <v>22</v>
      </c>
      <c r="H11" s="49">
        <f t="shared" si="0"/>
        <v>11</v>
      </c>
      <c r="I11" s="51">
        <f t="shared" si="1"/>
        <v>1</v>
      </c>
      <c r="J11" s="35"/>
    </row>
    <row r="12" spans="1:10" x14ac:dyDescent="0.35">
      <c r="A12" s="35"/>
      <c r="B12" s="44" t="s">
        <v>44</v>
      </c>
      <c r="C12" s="49">
        <f>SUMIFS('Summary by Division'!$D$6:$D$297,'Summary by Division'!$B$6:$B$297,$B12,'Summary by Division'!$A$6:$A$297,"&lt;&gt;"&amp;$B$38,'Summary by Division'!$A$6:$A$297,"&lt;&gt;"&amp;$B$73)</f>
        <v>5</v>
      </c>
      <c r="D12" s="49">
        <f>SUMIFS('Summary by Division'!$E$6:$E$297,'Summary by Division'!$B$6:$B$297,$B12,'Summary by Division'!$A$6:$A$297,"&lt;&gt;"&amp;$B$38,'Summary by Division'!$A$6:$A$297,"&lt;&gt;"&amp;$B$73)</f>
        <v>0</v>
      </c>
      <c r="E12" s="49">
        <f>SUMIFS('Summary by Division'!$F$6:$F$297,'Summary by Division'!$B$6:$B$297,$B12,'Summary by Division'!$A$6:$A$297,"&lt;&gt;"&amp;$B$38,'Summary by Division'!$A$6:$A$297,"&lt;&gt;"&amp;$B$73)</f>
        <v>0</v>
      </c>
      <c r="F12" s="49">
        <f>SUMIFS('Summary by Division'!$G$6:$G$297,'Summary by Division'!$B$6:$B$297,$B12,'Summary by Division'!$A$6:$A$297,"&lt;&gt;"&amp;$B$38,'Summary by Division'!$A$6:$A$297,"&lt;&gt;"&amp;$B$73)</f>
        <v>5</v>
      </c>
      <c r="G12" s="50">
        <f>SUMIFS('Summary by Division'!$H$6:$H$297,'Summary by Division'!$B$6:$B$297,$B12,'Summary by Division'!$A$6:$A$297,"&lt;&gt;"&amp;$B$38,'Summary by Division'!$A$6:$A$297,"&lt;&gt;"&amp;$B$73)</f>
        <v>4</v>
      </c>
      <c r="H12" s="49">
        <f t="shared" si="0"/>
        <v>-1</v>
      </c>
      <c r="I12" s="51">
        <f t="shared" si="1"/>
        <v>-0.2</v>
      </c>
      <c r="J12" s="35"/>
    </row>
    <row r="13" spans="1:10" x14ac:dyDescent="0.35">
      <c r="A13" s="35"/>
      <c r="B13" s="44" t="s">
        <v>47</v>
      </c>
      <c r="C13" s="49">
        <f>SUMIFS('Summary by Division'!$D$6:$D$297,'Summary by Division'!$B$6:$B$297,$B13,'Summary by Division'!$A$6:$A$297,"&lt;&gt;"&amp;$B$38,'Summary by Division'!$A$6:$A$297,"&lt;&gt;"&amp;$B$73)</f>
        <v>2</v>
      </c>
      <c r="D13" s="49">
        <f>SUMIFS('Summary by Division'!$E$6:$E$297,'Summary by Division'!$B$6:$B$297,$B13,'Summary by Division'!$A$6:$A$297,"&lt;&gt;"&amp;$B$38,'Summary by Division'!$A$6:$A$297,"&lt;&gt;"&amp;$B$73)</f>
        <v>0</v>
      </c>
      <c r="E13" s="49">
        <f>SUMIFS('Summary by Division'!$F$6:$F$297,'Summary by Division'!$B$6:$B$297,$B13,'Summary by Division'!$A$6:$A$297,"&lt;&gt;"&amp;$B$38,'Summary by Division'!$A$6:$A$297,"&lt;&gt;"&amp;$B$73)</f>
        <v>1</v>
      </c>
      <c r="F13" s="49">
        <f>SUMIFS('Summary by Division'!$G$6:$G$297,'Summary by Division'!$B$6:$B$297,$B13,'Summary by Division'!$A$6:$A$297,"&lt;&gt;"&amp;$B$38,'Summary by Division'!$A$6:$A$297,"&lt;&gt;"&amp;$B$73)</f>
        <v>3</v>
      </c>
      <c r="G13" s="50">
        <f>SUMIFS('Summary by Division'!$H$6:$H$297,'Summary by Division'!$B$6:$B$297,$B13,'Summary by Division'!$A$6:$A$297,"&lt;&gt;"&amp;$B$38,'Summary by Division'!$A$6:$A$297,"&lt;&gt;"&amp;$B$73)</f>
        <v>3</v>
      </c>
      <c r="H13" s="49">
        <f t="shared" si="0"/>
        <v>1</v>
      </c>
      <c r="I13" s="51">
        <f t="shared" si="1"/>
        <v>0.5</v>
      </c>
      <c r="J13" s="35"/>
    </row>
    <row r="14" spans="1:10" x14ac:dyDescent="0.35">
      <c r="A14" s="35"/>
      <c r="B14" s="44" t="s">
        <v>49</v>
      </c>
      <c r="C14" s="49">
        <f>SUMIFS('Summary by Division'!$D$6:$D$297,'Summary by Division'!$B$6:$B$297,$B14,'Summary by Division'!$A$6:$A$297,"&lt;&gt;"&amp;$B$38,'Summary by Division'!$A$6:$A$297,"&lt;&gt;"&amp;$B$73)</f>
        <v>20</v>
      </c>
      <c r="D14" s="49">
        <f>SUMIFS('Summary by Division'!$E$6:$E$297,'Summary by Division'!$B$6:$B$297,$B14,'Summary by Division'!$A$6:$A$297,"&lt;&gt;"&amp;$B$38,'Summary by Division'!$A$6:$A$297,"&lt;&gt;"&amp;$B$73)</f>
        <v>0</v>
      </c>
      <c r="E14" s="49">
        <f>SUMIFS('Summary by Division'!$F$6:$F$297,'Summary by Division'!$B$6:$B$297,$B14,'Summary by Division'!$A$6:$A$297,"&lt;&gt;"&amp;$B$38,'Summary by Division'!$A$6:$A$297,"&lt;&gt;"&amp;$B$73)</f>
        <v>10</v>
      </c>
      <c r="F14" s="49">
        <f>SUMIFS('Summary by Division'!$G$6:$G$297,'Summary by Division'!$B$6:$B$297,$B14,'Summary by Division'!$A$6:$A$297,"&lt;&gt;"&amp;$B$38,'Summary by Division'!$A$6:$A$297,"&lt;&gt;"&amp;$B$73)</f>
        <v>30</v>
      </c>
      <c r="G14" s="50">
        <f>SUMIFS('Summary by Division'!$H$6:$H$297,'Summary by Division'!$B$6:$B$297,$B14,'Summary by Division'!$A$6:$A$297,"&lt;&gt;"&amp;$B$38,'Summary by Division'!$A$6:$A$297,"&lt;&gt;"&amp;$B$73)</f>
        <v>30</v>
      </c>
      <c r="H14" s="49">
        <f t="shared" si="0"/>
        <v>10</v>
      </c>
      <c r="I14" s="51">
        <f t="shared" si="1"/>
        <v>0.5</v>
      </c>
      <c r="J14" s="35"/>
    </row>
    <row r="15" spans="1:10" x14ac:dyDescent="0.35">
      <c r="A15" s="35"/>
      <c r="B15" s="44" t="s">
        <v>155</v>
      </c>
      <c r="C15" s="49">
        <f>SUMIFS('Summary by Division'!$D$6:$D$297,'Summary by Division'!$B$6:$B$297,$B15,'Summary by Division'!$A$6:$A$297,"&lt;&gt;"&amp;$B$38,'Summary by Division'!$A$6:$A$297,"&lt;&gt;"&amp;$B$73)</f>
        <v>23</v>
      </c>
      <c r="D15" s="49">
        <f>SUMIFS('Summary by Division'!$E$6:$E$297,'Summary by Division'!$B$6:$B$297,$B15,'Summary by Division'!$A$6:$A$297,"&lt;&gt;"&amp;$B$38,'Summary by Division'!$A$6:$A$297,"&lt;&gt;"&amp;$B$73)</f>
        <v>1</v>
      </c>
      <c r="E15" s="49">
        <f>SUMIFS('Summary by Division'!$F$6:$F$297,'Summary by Division'!$B$6:$B$297,$B15,'Summary by Division'!$A$6:$A$297,"&lt;&gt;"&amp;$B$38,'Summary by Division'!$A$6:$A$297,"&lt;&gt;"&amp;$B$73)</f>
        <v>4</v>
      </c>
      <c r="F15" s="49">
        <f>SUMIFS('Summary by Division'!$G$6:$G$297,'Summary by Division'!$B$6:$B$297,$B15,'Summary by Division'!$A$6:$A$297,"&lt;&gt;"&amp;$B$38,'Summary by Division'!$A$6:$A$297,"&lt;&gt;"&amp;$B$73)</f>
        <v>28</v>
      </c>
      <c r="G15" s="50">
        <f>SUMIFS('Summary by Division'!$H$6:$H$297,'Summary by Division'!$B$6:$B$297,$B15,'Summary by Division'!$A$6:$A$297,"&lt;&gt;"&amp;$B$38,'Summary by Division'!$A$6:$A$297,"&lt;&gt;"&amp;$B$73)</f>
        <v>26</v>
      </c>
      <c r="H15" s="49">
        <f t="shared" si="0"/>
        <v>3</v>
      </c>
      <c r="I15" s="51">
        <f t="shared" si="1"/>
        <v>0.13043478260869565</v>
      </c>
      <c r="J15" s="35"/>
    </row>
    <row r="16" spans="1:10" x14ac:dyDescent="0.35">
      <c r="A16" s="35"/>
      <c r="B16" s="44" t="s">
        <v>160</v>
      </c>
      <c r="C16" s="49">
        <f>SUMIFS('Summary by Division'!$D$6:$D$297,'Summary by Division'!$B$6:$B$297,$B16,'Summary by Division'!$A$6:$A$297,"&lt;&gt;"&amp;$B$38,'Summary by Division'!$A$6:$A$297,"&lt;&gt;"&amp;$B$73)</f>
        <v>4</v>
      </c>
      <c r="D16" s="49">
        <f>SUMIFS('Summary by Division'!$E$6:$E$297,'Summary by Division'!$B$6:$B$297,$B16,'Summary by Division'!$A$6:$A$297,"&lt;&gt;"&amp;$B$38,'Summary by Division'!$A$6:$A$297,"&lt;&gt;"&amp;$B$73)</f>
        <v>0</v>
      </c>
      <c r="E16" s="49">
        <f>SUMIFS('Summary by Division'!$F$6:$F$297,'Summary by Division'!$B$6:$B$297,$B16,'Summary by Division'!$A$6:$A$297,"&lt;&gt;"&amp;$B$38,'Summary by Division'!$A$6:$A$297,"&lt;&gt;"&amp;$B$73)</f>
        <v>0</v>
      </c>
      <c r="F16" s="49">
        <f>SUMIFS('Summary by Division'!$G$6:$G$297,'Summary by Division'!$B$6:$B$297,$B16,'Summary by Division'!$A$6:$A$297,"&lt;&gt;"&amp;$B$38,'Summary by Division'!$A$6:$A$297,"&lt;&gt;"&amp;$B$73)</f>
        <v>4</v>
      </c>
      <c r="G16" s="50">
        <f>SUMIFS('Summary by Division'!$H$6:$H$297,'Summary by Division'!$B$6:$B$297,$B16,'Summary by Division'!$A$6:$A$297,"&lt;&gt;"&amp;$B$38,'Summary by Division'!$A$6:$A$297,"&lt;&gt;"&amp;$B$73)</f>
        <v>4</v>
      </c>
      <c r="H16" s="49">
        <f t="shared" si="0"/>
        <v>0</v>
      </c>
      <c r="I16" s="51">
        <f t="shared" si="1"/>
        <v>0</v>
      </c>
      <c r="J16" s="35"/>
    </row>
    <row r="17" spans="1:10" x14ac:dyDescent="0.35">
      <c r="A17" s="35"/>
      <c r="B17" s="44" t="s">
        <v>53</v>
      </c>
      <c r="C17" s="49">
        <f>SUMIFS('Summary by Division'!$D$6:$D$297,'Summary by Division'!$B$6:$B$297,$B17,'Summary by Division'!$A$6:$A$297,"&lt;&gt;"&amp;$B$38,'Summary by Division'!$A$6:$A$297,"&lt;&gt;"&amp;$B$73)</f>
        <v>53</v>
      </c>
      <c r="D17" s="49">
        <f>SUMIFS('Summary by Division'!$E$6:$E$297,'Summary by Division'!$B$6:$B$297,$B17,'Summary by Division'!$A$6:$A$297,"&lt;&gt;"&amp;$B$38,'Summary by Division'!$A$6:$A$297,"&lt;&gt;"&amp;$B$73)</f>
        <v>1</v>
      </c>
      <c r="E17" s="49">
        <f>SUMIFS('Summary by Division'!$F$6:$F$297,'Summary by Division'!$B$6:$B$297,$B17,'Summary by Division'!$A$6:$A$297,"&lt;&gt;"&amp;$B$38,'Summary by Division'!$A$6:$A$297,"&lt;&gt;"&amp;$B$73)</f>
        <v>9</v>
      </c>
      <c r="F17" s="49">
        <f>SUMIFS('Summary by Division'!$G$6:$G$297,'Summary by Division'!$B$6:$B$297,$B17,'Summary by Division'!$A$6:$A$297,"&lt;&gt;"&amp;$B$38,'Summary by Division'!$A$6:$A$297,"&lt;&gt;"&amp;$B$73)</f>
        <v>63</v>
      </c>
      <c r="G17" s="50">
        <f>SUMIFS('Summary by Division'!$H$6:$H$297,'Summary by Division'!$B$6:$B$297,$B17,'Summary by Division'!$A$6:$A$297,"&lt;&gt;"&amp;$B$38,'Summary by Division'!$A$6:$A$297,"&lt;&gt;"&amp;$B$73)</f>
        <v>63</v>
      </c>
      <c r="H17" s="49">
        <f t="shared" si="0"/>
        <v>10</v>
      </c>
      <c r="I17" s="51">
        <f t="shared" si="1"/>
        <v>0.18867924528301888</v>
      </c>
      <c r="J17" s="35"/>
    </row>
    <row r="18" spans="1:10" x14ac:dyDescent="0.35">
      <c r="A18" s="35"/>
      <c r="B18" s="44" t="s">
        <v>60</v>
      </c>
      <c r="C18" s="49">
        <f>SUMIFS('Summary by Division'!$D$6:$D$297,'Summary by Division'!$B$6:$B$297,$B18,'Summary by Division'!$A$6:$A$297,"&lt;&gt;"&amp;$B$38,'Summary by Division'!$A$6:$A$297,"&lt;&gt;"&amp;$B$73)</f>
        <v>4</v>
      </c>
      <c r="D18" s="49">
        <f>SUMIFS('Summary by Division'!$E$6:$E$297,'Summary by Division'!$B$6:$B$297,$B18,'Summary by Division'!$A$6:$A$297,"&lt;&gt;"&amp;$B$38,'Summary by Division'!$A$6:$A$297,"&lt;&gt;"&amp;$B$73)</f>
        <v>0</v>
      </c>
      <c r="E18" s="49">
        <f>SUMIFS('Summary by Division'!$F$6:$F$297,'Summary by Division'!$B$6:$B$297,$B18,'Summary by Division'!$A$6:$A$297,"&lt;&gt;"&amp;$B$38,'Summary by Division'!$A$6:$A$297,"&lt;&gt;"&amp;$B$73)</f>
        <v>0</v>
      </c>
      <c r="F18" s="49">
        <f>SUMIFS('Summary by Division'!$G$6:$G$297,'Summary by Division'!$B$6:$B$297,$B18,'Summary by Division'!$A$6:$A$297,"&lt;&gt;"&amp;$B$38,'Summary by Division'!$A$6:$A$297,"&lt;&gt;"&amp;$B$73)</f>
        <v>4</v>
      </c>
      <c r="G18" s="50">
        <f>SUMIFS('Summary by Division'!$H$6:$H$297,'Summary by Division'!$B$6:$B$297,$B18,'Summary by Division'!$A$6:$A$297,"&lt;&gt;"&amp;$B$38,'Summary by Division'!$A$6:$A$297,"&lt;&gt;"&amp;$B$73)</f>
        <v>4</v>
      </c>
      <c r="H18" s="49">
        <f t="shared" si="0"/>
        <v>0</v>
      </c>
      <c r="I18" s="51">
        <f t="shared" si="1"/>
        <v>0</v>
      </c>
      <c r="J18" s="35"/>
    </row>
    <row r="19" spans="1:10" x14ac:dyDescent="0.35">
      <c r="A19" s="35"/>
      <c r="B19" s="44" t="s">
        <v>64</v>
      </c>
      <c r="C19" s="49">
        <f>SUMIFS('Summary by Division'!$D$6:$D$297,'Summary by Division'!$B$6:$B$297,$B19,'Summary by Division'!$A$6:$A$297,"&lt;&gt;"&amp;$B$38,'Summary by Division'!$A$6:$A$297,"&lt;&gt;"&amp;$B$73)</f>
        <v>66</v>
      </c>
      <c r="D19" s="49">
        <f>SUMIFS('Summary by Division'!$E$6:$E$297,'Summary by Division'!$B$6:$B$297,$B19,'Summary by Division'!$A$6:$A$297,"&lt;&gt;"&amp;$B$38,'Summary by Division'!$A$6:$A$297,"&lt;&gt;"&amp;$B$73)</f>
        <v>2</v>
      </c>
      <c r="E19" s="49">
        <f>SUMIFS('Summary by Division'!$F$6:$F$297,'Summary by Division'!$B$6:$B$297,$B19,'Summary by Division'!$A$6:$A$297,"&lt;&gt;"&amp;$B$38,'Summary by Division'!$A$6:$A$297,"&lt;&gt;"&amp;$B$73)</f>
        <v>5.5</v>
      </c>
      <c r="F19" s="49">
        <f>SUMIFS('Summary by Division'!$G$6:$G$297,'Summary by Division'!$B$6:$B$297,$B19,'Summary by Division'!$A$6:$A$297,"&lt;&gt;"&amp;$B$38,'Summary by Division'!$A$6:$A$297,"&lt;&gt;"&amp;$B$73)</f>
        <v>73.5</v>
      </c>
      <c r="G19" s="50">
        <f>SUMIFS('Summary by Division'!$H$6:$H$297,'Summary by Division'!$B$6:$B$297,$B19,'Summary by Division'!$A$6:$A$297,"&lt;&gt;"&amp;$B$38,'Summary by Division'!$A$6:$A$297,"&lt;&gt;"&amp;$B$73)</f>
        <v>71.5</v>
      </c>
      <c r="H19" s="49">
        <f t="shared" si="0"/>
        <v>5.5</v>
      </c>
      <c r="I19" s="51">
        <f t="shared" si="1"/>
        <v>8.3333333333333329E-2</v>
      </c>
      <c r="J19" s="35"/>
    </row>
    <row r="20" spans="1:10" x14ac:dyDescent="0.35">
      <c r="A20" s="35"/>
      <c r="B20" s="44" t="s">
        <v>72</v>
      </c>
      <c r="C20" s="49">
        <f>SUMIFS('Summary by Division'!$D$6:$D$297,'Summary by Division'!$B$6:$B$297,$B20,'Summary by Division'!$A$6:$A$297,"&lt;&gt;"&amp;$B$38,'Summary by Division'!$A$6:$A$297,"&lt;&gt;"&amp;$B$73)</f>
        <v>56</v>
      </c>
      <c r="D20" s="49">
        <f>SUMIFS('Summary by Division'!$E$6:$E$297,'Summary by Division'!$B$6:$B$297,$B20,'Summary by Division'!$A$6:$A$297,"&lt;&gt;"&amp;$B$38,'Summary by Division'!$A$6:$A$297,"&lt;&gt;"&amp;$B$73)</f>
        <v>0</v>
      </c>
      <c r="E20" s="49">
        <f>SUMIFS('Summary by Division'!$F$6:$F$297,'Summary by Division'!$B$6:$B$297,$B20,'Summary by Division'!$A$6:$A$297,"&lt;&gt;"&amp;$B$38,'Summary by Division'!$A$6:$A$297,"&lt;&gt;"&amp;$B$73)</f>
        <v>10</v>
      </c>
      <c r="F20" s="49">
        <f>SUMIFS('Summary by Division'!$G$6:$G$297,'Summary by Division'!$B$6:$B$297,$B20,'Summary by Division'!$A$6:$A$297,"&lt;&gt;"&amp;$B$38,'Summary by Division'!$A$6:$A$297,"&lt;&gt;"&amp;$B$73)</f>
        <v>66</v>
      </c>
      <c r="G20" s="50">
        <f>SUMIFS('Summary by Division'!$H$6:$H$297,'Summary by Division'!$B$6:$B$297,$B20,'Summary by Division'!$A$6:$A$297,"&lt;&gt;"&amp;$B$38,'Summary by Division'!$A$6:$A$297,"&lt;&gt;"&amp;$B$73)</f>
        <v>66</v>
      </c>
      <c r="H20" s="49">
        <f t="shared" si="0"/>
        <v>10</v>
      </c>
      <c r="I20" s="51">
        <f t="shared" si="1"/>
        <v>0.17857142857142858</v>
      </c>
      <c r="J20" s="35"/>
    </row>
    <row r="21" spans="1:10" x14ac:dyDescent="0.35">
      <c r="A21" s="35"/>
      <c r="B21" s="44" t="s">
        <v>79</v>
      </c>
      <c r="C21" s="49">
        <f>SUMIFS('Summary by Division'!$D$6:$D$297,'Summary by Division'!$B$6:$B$297,$B21,'Summary by Division'!$A$6:$A$297,"&lt;&gt;"&amp;$B$38,'Summary by Division'!$A$6:$A$297,"&lt;&gt;"&amp;$B$73)</f>
        <v>156</v>
      </c>
      <c r="D21" s="49">
        <f>SUMIFS('Summary by Division'!$E$6:$E$297,'Summary by Division'!$B$6:$B$297,$B21,'Summary by Division'!$A$6:$A$297,"&lt;&gt;"&amp;$B$38,'Summary by Division'!$A$6:$A$297,"&lt;&gt;"&amp;$B$73)</f>
        <v>7</v>
      </c>
      <c r="E21" s="49">
        <f>SUMIFS('Summary by Division'!$F$6:$F$297,'Summary by Division'!$B$6:$B$297,$B21,'Summary by Division'!$A$6:$A$297,"&lt;&gt;"&amp;$B$38,'Summary by Division'!$A$6:$A$297,"&lt;&gt;"&amp;$B$73)</f>
        <v>0</v>
      </c>
      <c r="F21" s="49">
        <f>SUMIFS('Summary by Division'!$G$6:$G$297,'Summary by Division'!$B$6:$B$297,$B21,'Summary by Division'!$A$6:$A$297,"&lt;&gt;"&amp;$B$38,'Summary by Division'!$A$6:$A$297,"&lt;&gt;"&amp;$B$73)</f>
        <v>163</v>
      </c>
      <c r="G21" s="50">
        <f>SUMIFS('Summary by Division'!$H$6:$H$297,'Summary by Division'!$B$6:$B$297,$B21,'Summary by Division'!$A$6:$A$297,"&lt;&gt;"&amp;$B$38,'Summary by Division'!$A$6:$A$297,"&lt;&gt;"&amp;$B$73)</f>
        <v>160</v>
      </c>
      <c r="H21" s="49">
        <f t="shared" si="0"/>
        <v>4</v>
      </c>
      <c r="I21" s="51">
        <f t="shared" si="1"/>
        <v>2.564102564102564E-2</v>
      </c>
      <c r="J21" s="35"/>
    </row>
    <row r="22" spans="1:10" x14ac:dyDescent="0.35">
      <c r="A22" s="35"/>
      <c r="B22" s="44" t="s">
        <v>84</v>
      </c>
      <c r="C22" s="49">
        <f>SUMIFS('Summary by Division'!$D$6:$D$297,'Summary by Division'!$B$6:$B$297,$B22,'Summary by Division'!$A$6:$A$297,"&lt;&gt;"&amp;$B$38,'Summary by Division'!$A$6:$A$297,"&lt;&gt;"&amp;$B$73)</f>
        <v>89</v>
      </c>
      <c r="D22" s="49">
        <f>SUMIFS('Summary by Division'!$E$6:$E$297,'Summary by Division'!$B$6:$B$297,$B22,'Summary by Division'!$A$6:$A$297,"&lt;&gt;"&amp;$B$38,'Summary by Division'!$A$6:$A$297,"&lt;&gt;"&amp;$B$73)</f>
        <v>1</v>
      </c>
      <c r="E22" s="49">
        <f>SUMIFS('Summary by Division'!$F$6:$F$297,'Summary by Division'!$B$6:$B$297,$B22,'Summary by Division'!$A$6:$A$297,"&lt;&gt;"&amp;$B$38,'Summary by Division'!$A$6:$A$297,"&lt;&gt;"&amp;$B$73)</f>
        <v>10</v>
      </c>
      <c r="F22" s="49">
        <f>SUMIFS('Summary by Division'!$G$6:$G$297,'Summary by Division'!$B$6:$B$297,$B22,'Summary by Division'!$A$6:$A$297,"&lt;&gt;"&amp;$B$38,'Summary by Division'!$A$6:$A$297,"&lt;&gt;"&amp;$B$73)</f>
        <v>100</v>
      </c>
      <c r="G22" s="50">
        <f>SUMIFS('Summary by Division'!$H$6:$H$297,'Summary by Division'!$B$6:$B$297,$B22,'Summary by Division'!$A$6:$A$297,"&lt;&gt;"&amp;$B$38,'Summary by Division'!$A$6:$A$297,"&lt;&gt;"&amp;$B$73)</f>
        <v>99</v>
      </c>
      <c r="H22" s="49">
        <f t="shared" si="0"/>
        <v>10</v>
      </c>
      <c r="I22" s="51">
        <f t="shared" si="1"/>
        <v>0.11235955056179775</v>
      </c>
      <c r="J22" s="35"/>
    </row>
    <row r="23" spans="1:10" x14ac:dyDescent="0.35">
      <c r="A23" s="35"/>
      <c r="B23" s="44" t="s">
        <v>90</v>
      </c>
      <c r="C23" s="49">
        <f>SUMIFS('Summary by Division'!$D$6:$D$297,'Summary by Division'!$B$6:$B$297,$B23,'Summary by Division'!$A$6:$A$297,"&lt;&gt;"&amp;$B$38,'Summary by Division'!$A$6:$A$297,"&lt;&gt;"&amp;$B$73)</f>
        <v>4</v>
      </c>
      <c r="D23" s="49">
        <f>SUMIFS('Summary by Division'!$E$6:$E$297,'Summary by Division'!$B$6:$B$297,$B23,'Summary by Division'!$A$6:$A$297,"&lt;&gt;"&amp;$B$38,'Summary by Division'!$A$6:$A$297,"&lt;&gt;"&amp;$B$73)</f>
        <v>0</v>
      </c>
      <c r="E23" s="49">
        <f>SUMIFS('Summary by Division'!$F$6:$F$297,'Summary by Division'!$B$6:$B$297,$B23,'Summary by Division'!$A$6:$A$297,"&lt;&gt;"&amp;$B$38,'Summary by Division'!$A$6:$A$297,"&lt;&gt;"&amp;$B$73)</f>
        <v>0</v>
      </c>
      <c r="F23" s="49">
        <f>SUMIFS('Summary by Division'!$G$6:$G$297,'Summary by Division'!$B$6:$B$297,$B23,'Summary by Division'!$A$6:$A$297,"&lt;&gt;"&amp;$B$38,'Summary by Division'!$A$6:$A$297,"&lt;&gt;"&amp;$B$73)</f>
        <v>4</v>
      </c>
      <c r="G23" s="50">
        <f>SUMIFS('Summary by Division'!$H$6:$H$297,'Summary by Division'!$B$6:$B$297,$B23,'Summary by Division'!$A$6:$A$297,"&lt;&gt;"&amp;$B$38,'Summary by Division'!$A$6:$A$297,"&lt;&gt;"&amp;$B$73)</f>
        <v>4</v>
      </c>
      <c r="H23" s="49">
        <f t="shared" si="0"/>
        <v>0</v>
      </c>
      <c r="I23" s="51">
        <f t="shared" si="1"/>
        <v>0</v>
      </c>
      <c r="J23" s="35"/>
    </row>
    <row r="24" spans="1:10" x14ac:dyDescent="0.35">
      <c r="A24" s="35"/>
      <c r="B24" s="44" t="s">
        <v>91</v>
      </c>
      <c r="C24" s="49">
        <f>SUMIFS('Summary by Division'!$D$6:$D$297,'Summary by Division'!$B$6:$B$297,$B24,'Summary by Division'!$A$6:$A$297,"&lt;&gt;"&amp;$B$38,'Summary by Division'!$A$6:$A$297,"&lt;&gt;"&amp;$B$73)</f>
        <v>50</v>
      </c>
      <c r="D24" s="49">
        <f>SUMIFS('Summary by Division'!$E$6:$E$297,'Summary by Division'!$B$6:$B$297,$B24,'Summary by Division'!$A$6:$A$297,"&lt;&gt;"&amp;$B$38,'Summary by Division'!$A$6:$A$297,"&lt;&gt;"&amp;$B$73)</f>
        <v>1</v>
      </c>
      <c r="E24" s="49">
        <f>SUMIFS('Summary by Division'!$F$6:$F$297,'Summary by Division'!$B$6:$B$297,$B24,'Summary by Division'!$A$6:$A$297,"&lt;&gt;"&amp;$B$38,'Summary by Division'!$A$6:$A$297,"&lt;&gt;"&amp;$B$73)</f>
        <v>5</v>
      </c>
      <c r="F24" s="49">
        <f>SUMIFS('Summary by Division'!$G$6:$G$297,'Summary by Division'!$B$6:$B$297,$B24,'Summary by Division'!$A$6:$A$297,"&lt;&gt;"&amp;$B$38,'Summary by Division'!$A$6:$A$297,"&lt;&gt;"&amp;$B$73)</f>
        <v>56</v>
      </c>
      <c r="G24" s="50">
        <f>SUMIFS('Summary by Division'!$H$6:$H$297,'Summary by Division'!$B$6:$B$297,$B24,'Summary by Division'!$A$6:$A$297,"&lt;&gt;"&amp;$B$38,'Summary by Division'!$A$6:$A$297,"&lt;&gt;"&amp;$B$73)</f>
        <v>56</v>
      </c>
      <c r="H24" s="49">
        <f t="shared" si="0"/>
        <v>6</v>
      </c>
      <c r="I24" s="51">
        <f t="shared" si="1"/>
        <v>0.12</v>
      </c>
      <c r="J24" s="35"/>
    </row>
    <row r="25" spans="1:10" x14ac:dyDescent="0.35">
      <c r="A25" s="35"/>
      <c r="B25" s="44" t="s">
        <v>99</v>
      </c>
      <c r="C25" s="49">
        <f>SUMIFS('Summary by Division'!$D$6:$D$297,'Summary by Division'!$B$6:$B$297,$B25,'Summary by Division'!$A$6:$A$297,"&lt;&gt;"&amp;$B$38,'Summary by Division'!$A$6:$A$297,"&lt;&gt;"&amp;$B$73)</f>
        <v>2</v>
      </c>
      <c r="D25" s="49">
        <f>SUMIFS('Summary by Division'!$E$6:$E$297,'Summary by Division'!$B$6:$B$297,$B25,'Summary by Division'!$A$6:$A$297,"&lt;&gt;"&amp;$B$38,'Summary by Division'!$A$6:$A$297,"&lt;&gt;"&amp;$B$73)</f>
        <v>0</v>
      </c>
      <c r="E25" s="49">
        <f>SUMIFS('Summary by Division'!$F$6:$F$297,'Summary by Division'!$B$6:$B$297,$B25,'Summary by Division'!$A$6:$A$297,"&lt;&gt;"&amp;$B$38,'Summary by Division'!$A$6:$A$297,"&lt;&gt;"&amp;$B$73)</f>
        <v>1</v>
      </c>
      <c r="F25" s="49">
        <f>SUMIFS('Summary by Division'!$G$6:$G$297,'Summary by Division'!$B$6:$B$297,$B25,'Summary by Division'!$A$6:$A$297,"&lt;&gt;"&amp;$B$38,'Summary by Division'!$A$6:$A$297,"&lt;&gt;"&amp;$B$73)</f>
        <v>3</v>
      </c>
      <c r="G25" s="50">
        <f>SUMIFS('Summary by Division'!$H$6:$H$297,'Summary by Division'!$B$6:$B$297,$B25,'Summary by Division'!$A$6:$A$297,"&lt;&gt;"&amp;$B$38,'Summary by Division'!$A$6:$A$297,"&lt;&gt;"&amp;$B$73)</f>
        <v>3</v>
      </c>
      <c r="H25" s="49">
        <f t="shared" si="0"/>
        <v>1</v>
      </c>
      <c r="I25" s="51">
        <f t="shared" si="1"/>
        <v>0.5</v>
      </c>
      <c r="J25" s="35"/>
    </row>
    <row r="26" spans="1:10" x14ac:dyDescent="0.35">
      <c r="A26" s="35"/>
      <c r="B26" s="44" t="s">
        <v>100</v>
      </c>
      <c r="C26" s="49">
        <f>SUMIFS('Summary by Division'!$D$6:$D$297,'Summary by Division'!$B$6:$B$297,$B26,'Summary by Division'!$A$6:$A$297,"&lt;&gt;"&amp;$B$38,'Summary by Division'!$A$6:$A$297,"&lt;&gt;"&amp;$B$73)</f>
        <v>68</v>
      </c>
      <c r="D26" s="49">
        <f>SUMIFS('Summary by Division'!$E$6:$E$297,'Summary by Division'!$B$6:$B$297,$B26,'Summary by Division'!$A$6:$A$297,"&lt;&gt;"&amp;$B$38,'Summary by Division'!$A$6:$A$297,"&lt;&gt;"&amp;$B$73)</f>
        <v>4</v>
      </c>
      <c r="E26" s="49">
        <f>SUMIFS('Summary by Division'!$F$6:$F$297,'Summary by Division'!$B$6:$B$297,$B26,'Summary by Division'!$A$6:$A$297,"&lt;&gt;"&amp;$B$38,'Summary by Division'!$A$6:$A$297,"&lt;&gt;"&amp;$B$73)</f>
        <v>5</v>
      </c>
      <c r="F26" s="49">
        <f>SUMIFS('Summary by Division'!$G$6:$G$297,'Summary by Division'!$B$6:$B$297,$B26,'Summary by Division'!$A$6:$A$297,"&lt;&gt;"&amp;$B$38,'Summary by Division'!$A$6:$A$297,"&lt;&gt;"&amp;$B$73)</f>
        <v>77</v>
      </c>
      <c r="G26" s="50">
        <f>SUMIFS('Summary by Division'!$H$6:$H$297,'Summary by Division'!$B$6:$B$297,$B26,'Summary by Division'!$A$6:$A$297,"&lt;&gt;"&amp;$B$38,'Summary by Division'!$A$6:$A$297,"&lt;&gt;"&amp;$B$73)</f>
        <v>78</v>
      </c>
      <c r="H26" s="49">
        <f t="shared" si="0"/>
        <v>10</v>
      </c>
      <c r="I26" s="51">
        <f t="shared" si="1"/>
        <v>0.14705882352941177</v>
      </c>
      <c r="J26" s="35"/>
    </row>
    <row r="27" spans="1:10" x14ac:dyDescent="0.35">
      <c r="A27" s="35"/>
      <c r="B27" s="44" t="s">
        <v>105</v>
      </c>
      <c r="C27" s="49">
        <f>SUMIFS('Summary by Division'!$D$6:$D$297,'Summary by Division'!$B$6:$B$297,$B27,'Summary by Division'!$A$6:$A$297,"&lt;&gt;"&amp;$B$38,'Summary by Division'!$A$6:$A$297,"&lt;&gt;"&amp;$B$73)</f>
        <v>83</v>
      </c>
      <c r="D27" s="49">
        <f>SUMIFS('Summary by Division'!$E$6:$E$297,'Summary by Division'!$B$6:$B$297,$B27,'Summary by Division'!$A$6:$A$297,"&lt;&gt;"&amp;$B$38,'Summary by Division'!$A$6:$A$297,"&lt;&gt;"&amp;$B$73)</f>
        <v>0</v>
      </c>
      <c r="E27" s="49">
        <f>SUMIFS('Summary by Division'!$F$6:$F$297,'Summary by Division'!$B$6:$B$297,$B27,'Summary by Division'!$A$6:$A$297,"&lt;&gt;"&amp;$B$38,'Summary by Division'!$A$6:$A$297,"&lt;&gt;"&amp;$B$73)</f>
        <v>10</v>
      </c>
      <c r="F27" s="49">
        <f>SUMIFS('Summary by Division'!$G$6:$G$297,'Summary by Division'!$B$6:$B$297,$B27,'Summary by Division'!$A$6:$A$297,"&lt;&gt;"&amp;$B$38,'Summary by Division'!$A$6:$A$297,"&lt;&gt;"&amp;$B$73)</f>
        <v>93</v>
      </c>
      <c r="G27" s="50">
        <f>SUMIFS('Summary by Division'!$H$6:$H$297,'Summary by Division'!$B$6:$B$297,$B27,'Summary by Division'!$A$6:$A$297,"&lt;&gt;"&amp;$B$38,'Summary by Division'!$A$6:$A$297,"&lt;&gt;"&amp;$B$73)</f>
        <v>93</v>
      </c>
      <c r="H27" s="49">
        <f t="shared" si="0"/>
        <v>10</v>
      </c>
      <c r="I27" s="51">
        <f t="shared" si="1"/>
        <v>0.12048192771084337</v>
      </c>
      <c r="J27" s="35"/>
    </row>
    <row r="28" spans="1:10" x14ac:dyDescent="0.35">
      <c r="A28" s="35"/>
      <c r="B28" s="44" t="s">
        <v>110</v>
      </c>
      <c r="C28" s="49">
        <f>SUMIFS('Summary by Division'!$D$6:$D$297,'Summary by Division'!$B$6:$B$297,$B28,'Summary by Division'!$A$6:$A$297,"&lt;&gt;"&amp;$B$38,'Summary by Division'!$A$6:$A$297,"&lt;&gt;"&amp;$B$73)</f>
        <v>11</v>
      </c>
      <c r="D28" s="49">
        <f>SUMIFS('Summary by Division'!$E$6:$E$297,'Summary by Division'!$B$6:$B$297,$B28,'Summary by Division'!$A$6:$A$297,"&lt;&gt;"&amp;$B$38,'Summary by Division'!$A$6:$A$297,"&lt;&gt;"&amp;$B$73)</f>
        <v>0</v>
      </c>
      <c r="E28" s="49">
        <f>SUMIFS('Summary by Division'!$F$6:$F$297,'Summary by Division'!$B$6:$B$297,$B28,'Summary by Division'!$A$6:$A$297,"&lt;&gt;"&amp;$B$38,'Summary by Division'!$A$6:$A$297,"&lt;&gt;"&amp;$B$73)</f>
        <v>1</v>
      </c>
      <c r="F28" s="49">
        <f>SUMIFS('Summary by Division'!$G$6:$G$297,'Summary by Division'!$B$6:$B$297,$B28,'Summary by Division'!$A$6:$A$297,"&lt;&gt;"&amp;$B$38,'Summary by Division'!$A$6:$A$297,"&lt;&gt;"&amp;$B$73)</f>
        <v>12</v>
      </c>
      <c r="G28" s="50">
        <f>SUMIFS('Summary by Division'!$H$6:$H$297,'Summary by Division'!$B$6:$B$297,$B28,'Summary by Division'!$A$6:$A$297,"&lt;&gt;"&amp;$B$38,'Summary by Division'!$A$6:$A$297,"&lt;&gt;"&amp;$B$73)</f>
        <v>15</v>
      </c>
      <c r="H28" s="49">
        <f t="shared" si="0"/>
        <v>4</v>
      </c>
      <c r="I28" s="51">
        <f t="shared" si="1"/>
        <v>0.36363636363636365</v>
      </c>
      <c r="J28" s="35"/>
    </row>
    <row r="29" spans="1:10" x14ac:dyDescent="0.35">
      <c r="A29" s="35"/>
      <c r="B29" s="44" t="s">
        <v>113</v>
      </c>
      <c r="C29" s="49">
        <f>SUMIFS('Summary by Division'!$D$6:$D$297,'Summary by Division'!$B$6:$B$297,$B29,'Summary by Division'!$A$6:$A$297,"&lt;&gt;"&amp;$B$38,'Summary by Division'!$A$6:$A$297,"&lt;&gt;"&amp;$B$73)</f>
        <v>139</v>
      </c>
      <c r="D29" s="49">
        <f>SUMIFS('Summary by Division'!$E$6:$E$297,'Summary by Division'!$B$6:$B$297,$B29,'Summary by Division'!$A$6:$A$297,"&lt;&gt;"&amp;$B$38,'Summary by Division'!$A$6:$A$297,"&lt;&gt;"&amp;$B$73)</f>
        <v>1</v>
      </c>
      <c r="E29" s="49">
        <f>SUMIFS('Summary by Division'!$F$6:$F$297,'Summary by Division'!$B$6:$B$297,$B29,'Summary by Division'!$A$6:$A$297,"&lt;&gt;"&amp;$B$38,'Summary by Division'!$A$6:$A$297,"&lt;&gt;"&amp;$B$73)</f>
        <v>25</v>
      </c>
      <c r="F29" s="49">
        <f>SUMIFS('Summary by Division'!$G$6:$G$297,'Summary by Division'!$B$6:$B$297,$B29,'Summary by Division'!$A$6:$A$297,"&lt;&gt;"&amp;$B$38,'Summary by Division'!$A$6:$A$297,"&lt;&gt;"&amp;$B$73)</f>
        <v>165</v>
      </c>
      <c r="G29" s="50">
        <f>SUMIFS('Summary by Division'!$H$6:$H$297,'Summary by Division'!$B$6:$B$297,$B29,'Summary by Division'!$A$6:$A$297,"&lt;&gt;"&amp;$B$38,'Summary by Division'!$A$6:$A$297,"&lt;&gt;"&amp;$B$73)</f>
        <v>164</v>
      </c>
      <c r="H29" s="49">
        <f t="shared" si="0"/>
        <v>25</v>
      </c>
      <c r="I29" s="51">
        <f t="shared" si="1"/>
        <v>0.17985611510791366</v>
      </c>
      <c r="J29" s="35"/>
    </row>
    <row r="30" spans="1:10" x14ac:dyDescent="0.35">
      <c r="A30" s="35"/>
      <c r="B30" s="44" t="s">
        <v>117</v>
      </c>
      <c r="C30" s="49">
        <f>SUMIFS('Summary by Division'!$D$6:$D$297,'Summary by Division'!$B$6:$B$297,$B30,'Summary by Division'!$A$6:$A$297,"&lt;&gt;"&amp;$B$38,'Summary by Division'!$A$6:$A$297,"&lt;&gt;"&amp;$B$73)</f>
        <v>15</v>
      </c>
      <c r="D30" s="49">
        <f>SUMIFS('Summary by Division'!$E$6:$E$297,'Summary by Division'!$B$6:$B$297,$B30,'Summary by Division'!$A$6:$A$297,"&lt;&gt;"&amp;$B$38,'Summary by Division'!$A$6:$A$297,"&lt;&gt;"&amp;$B$73)</f>
        <v>0</v>
      </c>
      <c r="E30" s="49">
        <f>SUMIFS('Summary by Division'!$F$6:$F$297,'Summary by Division'!$B$6:$B$297,$B30,'Summary by Division'!$A$6:$A$297,"&lt;&gt;"&amp;$B$38,'Summary by Division'!$A$6:$A$297,"&lt;&gt;"&amp;$B$73)</f>
        <v>12</v>
      </c>
      <c r="F30" s="49">
        <f>SUMIFS('Summary by Division'!$G$6:$G$297,'Summary by Division'!$B$6:$B$297,$B30,'Summary by Division'!$A$6:$A$297,"&lt;&gt;"&amp;$B$38,'Summary by Division'!$A$6:$A$297,"&lt;&gt;"&amp;$B$73)</f>
        <v>27</v>
      </c>
      <c r="G30" s="50">
        <f>SUMIFS('Summary by Division'!$H$6:$H$297,'Summary by Division'!$B$6:$B$297,$B30,'Summary by Division'!$A$6:$A$297,"&lt;&gt;"&amp;$B$38,'Summary by Division'!$A$6:$A$297,"&lt;&gt;"&amp;$B$73)</f>
        <v>27</v>
      </c>
      <c r="H30" s="49">
        <f t="shared" si="0"/>
        <v>12</v>
      </c>
      <c r="I30" s="51">
        <f t="shared" si="1"/>
        <v>0.8</v>
      </c>
      <c r="J30" s="35"/>
    </row>
    <row r="31" spans="1:10" x14ac:dyDescent="0.35">
      <c r="A31" s="35"/>
      <c r="B31" s="44" t="s">
        <v>121</v>
      </c>
      <c r="C31" s="49">
        <f>SUMIFS('Summary by Division'!$D$6:$D$297,'Summary by Division'!$B$6:$B$297,$B31,'Summary by Division'!$A$6:$A$297,"&lt;&gt;"&amp;$B$38,'Summary by Division'!$A$6:$A$297,"&lt;&gt;"&amp;$B$73)</f>
        <v>20</v>
      </c>
      <c r="D31" s="49">
        <f>SUMIFS('Summary by Division'!$E$6:$E$297,'Summary by Division'!$B$6:$B$297,$B31,'Summary by Division'!$A$6:$A$297,"&lt;&gt;"&amp;$B$38,'Summary by Division'!$A$6:$A$297,"&lt;&gt;"&amp;$B$73)</f>
        <v>2</v>
      </c>
      <c r="E31" s="49">
        <f>SUMIFS('Summary by Division'!$F$6:$F$297,'Summary by Division'!$B$6:$B$297,$B31,'Summary by Division'!$A$6:$A$297,"&lt;&gt;"&amp;$B$38,'Summary by Division'!$A$6:$A$297,"&lt;&gt;"&amp;$B$73)</f>
        <v>9</v>
      </c>
      <c r="F31" s="49">
        <f>SUMIFS('Summary by Division'!$G$6:$G$297,'Summary by Division'!$B$6:$B$297,$B31,'Summary by Division'!$A$6:$A$297,"&lt;&gt;"&amp;$B$38,'Summary by Division'!$A$6:$A$297,"&lt;&gt;"&amp;$B$73)</f>
        <v>31</v>
      </c>
      <c r="G31" s="50">
        <f>SUMIFS('Summary by Division'!$H$6:$H$297,'Summary by Division'!$B$6:$B$297,$B31,'Summary by Division'!$A$6:$A$297,"&lt;&gt;"&amp;$B$38,'Summary by Division'!$A$6:$A$297,"&lt;&gt;"&amp;$B$73)</f>
        <v>31</v>
      </c>
      <c r="H31" s="49">
        <f t="shared" si="0"/>
        <v>11</v>
      </c>
      <c r="I31" s="51">
        <f t="shared" si="1"/>
        <v>0.55000000000000004</v>
      </c>
      <c r="J31" s="35"/>
    </row>
    <row r="32" spans="1:10" x14ac:dyDescent="0.35">
      <c r="A32" s="35"/>
      <c r="B32" s="44" t="s">
        <v>125</v>
      </c>
      <c r="C32" s="49">
        <f>SUMIFS('Summary by Division'!$D$6:$D$297,'Summary by Division'!$B$6:$B$297,$B32,'Summary by Division'!$A$6:$A$297,"&lt;&gt;"&amp;$B$38,'Summary by Division'!$A$6:$A$297,"&lt;&gt;"&amp;$B$73)</f>
        <v>83</v>
      </c>
      <c r="D32" s="49">
        <f>SUMIFS('Summary by Division'!$E$6:$E$297,'Summary by Division'!$B$6:$B$297,$B32,'Summary by Division'!$A$6:$A$297,"&lt;&gt;"&amp;$B$38,'Summary by Division'!$A$6:$A$297,"&lt;&gt;"&amp;$B$73)</f>
        <v>0</v>
      </c>
      <c r="E32" s="49">
        <f>SUMIFS('Summary by Division'!$F$6:$F$297,'Summary by Division'!$B$6:$B$297,$B32,'Summary by Division'!$A$6:$A$297,"&lt;&gt;"&amp;$B$38,'Summary by Division'!$A$6:$A$297,"&lt;&gt;"&amp;$B$73)</f>
        <v>4</v>
      </c>
      <c r="F32" s="49">
        <f>SUMIFS('Summary by Division'!$G$6:$G$297,'Summary by Division'!$B$6:$B$297,$B32,'Summary by Division'!$A$6:$A$297,"&lt;&gt;"&amp;$B$38,'Summary by Division'!$A$6:$A$297,"&lt;&gt;"&amp;$B$73)</f>
        <v>87</v>
      </c>
      <c r="G32" s="50">
        <f>SUMIFS('Summary by Division'!$H$6:$H$297,'Summary by Division'!$B$6:$B$297,$B32,'Summary by Division'!$A$6:$A$297,"&lt;&gt;"&amp;$B$38,'Summary by Division'!$A$6:$A$297,"&lt;&gt;"&amp;$B$73)</f>
        <v>87</v>
      </c>
      <c r="H32" s="49">
        <f t="shared" si="0"/>
        <v>4</v>
      </c>
      <c r="I32" s="51">
        <f t="shared" si="1"/>
        <v>4.8192771084337352E-2</v>
      </c>
      <c r="J32" s="35"/>
    </row>
    <row r="33" spans="1:10" x14ac:dyDescent="0.35">
      <c r="A33" s="35"/>
      <c r="B33" s="44" t="s">
        <v>134</v>
      </c>
      <c r="C33" s="49">
        <f>SUMIFS('Summary by Division'!$D$6:$D$297,'Summary by Division'!$B$6:$B$297,$B33,'Summary by Division'!$A$6:$A$297,"&lt;&gt;"&amp;$B$38,'Summary by Division'!$A$6:$A$297,"&lt;&gt;"&amp;$B$73)</f>
        <v>75</v>
      </c>
      <c r="D33" s="49">
        <f>SUMIFS('Summary by Division'!$E$6:$E$297,'Summary by Division'!$B$6:$B$297,$B33,'Summary by Division'!$A$6:$A$297,"&lt;&gt;"&amp;$B$38,'Summary by Division'!$A$6:$A$297,"&lt;&gt;"&amp;$B$73)</f>
        <v>6</v>
      </c>
      <c r="E33" s="49">
        <f>SUMIFS('Summary by Division'!$F$6:$F$297,'Summary by Division'!$B$6:$B$297,$B33,'Summary by Division'!$A$6:$A$297,"&lt;&gt;"&amp;$B$38,'Summary by Division'!$A$6:$A$297,"&lt;&gt;"&amp;$B$73)</f>
        <v>6</v>
      </c>
      <c r="F33" s="49">
        <f>SUMIFS('Summary by Division'!$G$6:$G$297,'Summary by Division'!$B$6:$B$297,$B33,'Summary by Division'!$A$6:$A$297,"&lt;&gt;"&amp;$B$38,'Summary by Division'!$A$6:$A$297,"&lt;&gt;"&amp;$B$73)</f>
        <v>87</v>
      </c>
      <c r="G33" s="50">
        <f>SUMIFS('Summary by Division'!$H$6:$H$297,'Summary by Division'!$B$6:$B$297,$B33,'Summary by Division'!$A$6:$A$297,"&lt;&gt;"&amp;$B$38,'Summary by Division'!$A$6:$A$297,"&lt;&gt;"&amp;$B$73)</f>
        <v>83</v>
      </c>
      <c r="H33" s="49">
        <f t="shared" si="0"/>
        <v>8</v>
      </c>
      <c r="I33" s="51">
        <f t="shared" si="1"/>
        <v>0.10666666666666667</v>
      </c>
      <c r="J33" s="35"/>
    </row>
    <row r="34" spans="1:10" x14ac:dyDescent="0.35">
      <c r="A34" s="35"/>
      <c r="B34" s="45" t="s">
        <v>139</v>
      </c>
      <c r="C34" s="52">
        <f>SUMIFS('Summary by Division'!$D$6:$D$297,'Summary by Division'!$B$6:$B$297,$B34,'Summary by Division'!$A$6:$A$297,"&lt;&gt;"&amp;$B$38,'Summary by Division'!$A$6:$A$297,"&lt;&gt;"&amp;$B$73)</f>
        <v>58</v>
      </c>
      <c r="D34" s="52">
        <f>SUMIFS('Summary by Division'!$E$6:$E$297,'Summary by Division'!$B$6:$B$297,$B34,'Summary by Division'!$A$6:$A$297,"&lt;&gt;"&amp;$B$38,'Summary by Division'!$A$6:$A$297,"&lt;&gt;"&amp;$B$73)</f>
        <v>1</v>
      </c>
      <c r="E34" s="52">
        <f>SUMIFS('Summary by Division'!$F$6:$F$297,'Summary by Division'!$B$6:$B$297,$B34,'Summary by Division'!$A$6:$A$297,"&lt;&gt;"&amp;$B$38,'Summary by Division'!$A$6:$A$297,"&lt;&gt;"&amp;$B$73)</f>
        <v>5</v>
      </c>
      <c r="F34" s="52">
        <f>SUMIFS('Summary by Division'!$G$6:$G$297,'Summary by Division'!$B$6:$B$297,$B34,'Summary by Division'!$A$6:$A$297,"&lt;&gt;"&amp;$B$38,'Summary by Division'!$A$6:$A$297,"&lt;&gt;"&amp;$B$73)</f>
        <v>64</v>
      </c>
      <c r="G34" s="53">
        <f>SUMIFS('Summary by Division'!$H$6:$H$297,'Summary by Division'!$B$6:$B$297,$B34,'Summary by Division'!$A$6:$A$297,"&lt;&gt;"&amp;$B$38,'Summary by Division'!$A$6:$A$297,"&lt;&gt;"&amp;$B$73)</f>
        <v>70</v>
      </c>
      <c r="H34" s="52">
        <f t="shared" si="0"/>
        <v>12</v>
      </c>
      <c r="I34" s="54">
        <f t="shared" si="1"/>
        <v>0.20689655172413793</v>
      </c>
      <c r="J34" s="35"/>
    </row>
    <row r="35" spans="1:10" x14ac:dyDescent="0.35">
      <c r="A35" s="35"/>
      <c r="B35" s="55" t="s">
        <v>7</v>
      </c>
      <c r="C35" s="56">
        <f>SUM(C6:C34)</f>
        <v>1169</v>
      </c>
      <c r="D35" s="56">
        <f>SUM(D6:D34)</f>
        <v>34</v>
      </c>
      <c r="E35" s="56">
        <f>SUM(E6:E34)</f>
        <v>181</v>
      </c>
      <c r="F35" s="56">
        <f>SUM(F6:F34)</f>
        <v>1384</v>
      </c>
      <c r="G35" s="57">
        <f>SUM(G6:G34)</f>
        <v>1384</v>
      </c>
      <c r="H35" s="56">
        <f t="shared" ref="H35" si="2">SUM(H6:H34)</f>
        <v>215</v>
      </c>
      <c r="I35" s="58">
        <f t="shared" si="1"/>
        <v>0.18391787852865696</v>
      </c>
      <c r="J35" s="35"/>
    </row>
    <row r="36" spans="1:10" x14ac:dyDescent="0.35">
      <c r="A36" s="35"/>
      <c r="B36" s="59"/>
      <c r="C36" s="60">
        <f>C35-SUMIFS('Summary by Division'!$D$6:$D$261,'Summary by Division'!$A$6:$A$261,"&lt;&gt;"&amp;$B$38)</f>
        <v>0</v>
      </c>
      <c r="D36" s="60">
        <f>D35-SUMIFS('Summary by Division'!$E$6:$E$261,'Summary by Division'!$A$6:$A$261,"&lt;&gt;"&amp;$B$38)</f>
        <v>0</v>
      </c>
      <c r="E36" s="60">
        <f>E35-SUMIFS('Summary by Division'!$F$6:$F$261,'Summary by Division'!$A$6:$A$261,"&lt;&gt;"&amp;$B$38)</f>
        <v>0</v>
      </c>
      <c r="F36" s="60">
        <f>F35-SUMIFS('Summary by Division'!$G$6:$G$261,'Summary by Division'!$A$6:$A$261,"&lt;&gt;"&amp;$B$38)</f>
        <v>0</v>
      </c>
      <c r="G36" s="60">
        <f>G35-SUMIFS('Summary by Division'!$H$6:$H$261,'Summary by Division'!$A$6:$A$261,"&lt;&gt;"&amp;$B$38)</f>
        <v>0</v>
      </c>
      <c r="H36" s="60"/>
      <c r="I36" s="59"/>
      <c r="J36" s="35"/>
    </row>
    <row r="37" spans="1:10" x14ac:dyDescent="0.35">
      <c r="J37" s="35"/>
    </row>
    <row r="38" spans="1:10" ht="15.5" x14ac:dyDescent="0.35">
      <c r="B38" s="61" t="s">
        <v>1756</v>
      </c>
      <c r="C38" s="39" t="s">
        <v>0</v>
      </c>
      <c r="D38" s="39"/>
      <c r="E38" s="39"/>
      <c r="F38" s="40"/>
      <c r="G38" s="42" t="s">
        <v>175</v>
      </c>
      <c r="H38" s="39" t="s">
        <v>2</v>
      </c>
      <c r="I38" s="39"/>
    </row>
    <row r="39" spans="1:10" x14ac:dyDescent="0.35">
      <c r="B39" s="62" t="s">
        <v>3</v>
      </c>
      <c r="C39" s="38" t="s">
        <v>4</v>
      </c>
      <c r="D39" s="38" t="s">
        <v>5</v>
      </c>
      <c r="E39" s="38" t="s">
        <v>6</v>
      </c>
      <c r="F39" s="41" t="s">
        <v>7</v>
      </c>
      <c r="G39" s="42" t="s">
        <v>4</v>
      </c>
      <c r="H39" s="38" t="s">
        <v>8</v>
      </c>
      <c r="I39" s="38" t="s">
        <v>9</v>
      </c>
    </row>
    <row r="40" spans="1:10" x14ac:dyDescent="0.35">
      <c r="B40" s="43" t="s">
        <v>31</v>
      </c>
      <c r="C40" s="46">
        <f>SUMIFS('Summary by Division'!$D$6:$D$297,'Summary by Division'!$B$6:$B$297,$B40,'Summary by Division'!$A$6:$A$297,$B$38)</f>
        <v>43</v>
      </c>
      <c r="D40" s="46">
        <f>SUMIFS('Summary by Division'!$E$6:$E$297,'Summary by Division'!$B$6:$B$297,$B40,'Summary by Division'!$A$6:$A$297,$B$38)</f>
        <v>0</v>
      </c>
      <c r="E40" s="46">
        <f>SUMIFS('Summary by Division'!$F$6:$F$297,'Summary by Division'!$B$6:$B$297,$B40,'Summary by Division'!$A$6:$A$297,$B$38)</f>
        <v>0</v>
      </c>
      <c r="F40" s="46">
        <f>SUMIFS('Summary by Division'!$G$6:$G$297,'Summary by Division'!$B$6:$B$297,$B40,'Summary by Division'!$A$6:$A$297,$B$38)</f>
        <v>43</v>
      </c>
      <c r="G40" s="47">
        <f>SUMIFS('Summary by Division'!$H$6:$H$297,'Summary by Division'!$B$6:$B$297,$B40,'Summary by Division'!$A$6:$A$297,$B$38)</f>
        <v>43</v>
      </c>
      <c r="H40" s="46">
        <f t="shared" ref="H40:H69" si="3">G40-C40</f>
        <v>0</v>
      </c>
      <c r="I40" s="48">
        <f t="shared" ref="I40:I70" si="4">IF(C40=0,0,H40/C40)</f>
        <v>0</v>
      </c>
    </row>
    <row r="41" spans="1:10" x14ac:dyDescent="0.35">
      <c r="B41" s="44" t="s">
        <v>1646</v>
      </c>
      <c r="C41" s="49">
        <f>SUMIFS('Summary by Division'!$D$6:$D$297,'Summary by Division'!$B$6:$B$297,$B41,'Summary by Division'!$A$6:$A$297,$B$38)</f>
        <v>8</v>
      </c>
      <c r="D41" s="49">
        <f>SUMIFS('Summary by Division'!$E$6:$E$297,'Summary by Division'!$B$6:$B$297,$B41,'Summary by Division'!$A$6:$A$297,$B$38)</f>
        <v>0</v>
      </c>
      <c r="E41" s="49">
        <f>SUMIFS('Summary by Division'!$F$6:$F$297,'Summary by Division'!$B$6:$B$297,$B41,'Summary by Division'!$A$6:$A$297,$B$38)</f>
        <v>0</v>
      </c>
      <c r="F41" s="49">
        <f>SUMIFS('Summary by Division'!$G$6:$G$297,'Summary by Division'!$B$6:$B$297,$B41,'Summary by Division'!$A$6:$A$297,$B$38)</f>
        <v>8</v>
      </c>
      <c r="G41" s="50">
        <f>SUMIFS('Summary by Division'!$H$6:$H$297,'Summary by Division'!$B$6:$B$297,$B41,'Summary by Division'!$A$6:$A$297,$B$38)</f>
        <v>4</v>
      </c>
      <c r="H41" s="49">
        <f t="shared" si="3"/>
        <v>-4</v>
      </c>
      <c r="I41" s="51">
        <f t="shared" si="4"/>
        <v>-0.5</v>
      </c>
    </row>
    <row r="42" spans="1:10" x14ac:dyDescent="0.35">
      <c r="B42" s="43" t="s">
        <v>1619</v>
      </c>
      <c r="C42" s="46">
        <f>SUMIFS('Summary by Division'!$D$6:$D$297,'Summary by Division'!$B$6:$B$297,$B42,'Summary by Division'!$A$6:$A$297,$B$38)</f>
        <v>7</v>
      </c>
      <c r="D42" s="46">
        <f>SUMIFS('Summary by Division'!$E$6:$E$297,'Summary by Division'!$B$6:$B$297,$B42,'Summary by Division'!$A$6:$A$297,$B$38)</f>
        <v>0</v>
      </c>
      <c r="E42" s="46">
        <f>SUMIFS('Summary by Division'!$F$6:$F$297,'Summary by Division'!$B$6:$B$297,$B42,'Summary by Division'!$A$6:$A$297,$B$38)</f>
        <v>2</v>
      </c>
      <c r="F42" s="46">
        <f>SUMIFS('Summary by Division'!$G$6:$G$297,'Summary by Division'!$B$6:$B$297,$B42,'Summary by Division'!$A$6:$A$297,$B$38)</f>
        <v>9</v>
      </c>
      <c r="G42" s="47">
        <f>SUMIFS('Summary by Division'!$H$6:$H$297,'Summary by Division'!$B$6:$B$297,$B42,'Summary by Division'!$A$6:$A$297,$B$38)</f>
        <v>9</v>
      </c>
      <c r="H42" s="46">
        <f t="shared" si="3"/>
        <v>2</v>
      </c>
      <c r="I42" s="48">
        <f t="shared" si="4"/>
        <v>0.2857142857142857</v>
      </c>
    </row>
    <row r="43" spans="1:10" x14ac:dyDescent="0.35">
      <c r="B43" s="44" t="s">
        <v>1620</v>
      </c>
      <c r="C43" s="49">
        <f>SUMIFS('Summary by Division'!$D$6:$D$297,'Summary by Division'!$B$6:$B$297,$B43,'Summary by Division'!$A$6:$A$297,$B$38)</f>
        <v>99</v>
      </c>
      <c r="D43" s="49">
        <f>SUMIFS('Summary by Division'!$E$6:$E$297,'Summary by Division'!$B$6:$B$297,$B43,'Summary by Division'!$A$6:$A$297,$B$38)</f>
        <v>0</v>
      </c>
      <c r="E43" s="49">
        <f>SUMIFS('Summary by Division'!$F$6:$F$297,'Summary by Division'!$B$6:$B$297,$B43,'Summary by Division'!$A$6:$A$297,$B$38)</f>
        <v>17</v>
      </c>
      <c r="F43" s="49">
        <f>SUMIFS('Summary by Division'!$G$6:$G$297,'Summary by Division'!$B$6:$B$297,$B43,'Summary by Division'!$A$6:$A$297,$B$38)</f>
        <v>116</v>
      </c>
      <c r="G43" s="50">
        <f>SUMIFS('Summary by Division'!$H$6:$H$297,'Summary by Division'!$B$6:$B$297,$B43,'Summary by Division'!$A$6:$A$297,$B$38)</f>
        <v>116</v>
      </c>
      <c r="H43" s="49">
        <f t="shared" si="3"/>
        <v>17</v>
      </c>
      <c r="I43" s="51">
        <f t="shared" si="4"/>
        <v>0.17171717171717171</v>
      </c>
    </row>
    <row r="44" spans="1:10" x14ac:dyDescent="0.35">
      <c r="B44" s="43" t="s">
        <v>1621</v>
      </c>
      <c r="C44" s="46">
        <f>SUMIFS('Summary by Division'!$D$6:$D$297,'Summary by Division'!$B$6:$B$297,$B44,'Summary by Division'!$A$6:$A$297,$B$38)</f>
        <v>39</v>
      </c>
      <c r="D44" s="46">
        <f>SUMIFS('Summary by Division'!$E$6:$E$297,'Summary by Division'!$B$6:$B$297,$B44,'Summary by Division'!$A$6:$A$297,$B$38)</f>
        <v>0</v>
      </c>
      <c r="E44" s="46">
        <f>SUMIFS('Summary by Division'!$F$6:$F$297,'Summary by Division'!$B$6:$B$297,$B44,'Summary by Division'!$A$6:$A$297,$B$38)</f>
        <v>11</v>
      </c>
      <c r="F44" s="46">
        <f>SUMIFS('Summary by Division'!$G$6:$G$297,'Summary by Division'!$B$6:$B$297,$B44,'Summary by Division'!$A$6:$A$297,$B$38)</f>
        <v>50</v>
      </c>
      <c r="G44" s="47">
        <f>SUMIFS('Summary by Division'!$H$6:$H$297,'Summary by Division'!$B$6:$B$297,$B44,'Summary by Division'!$A$6:$A$297,$B$38)</f>
        <v>50</v>
      </c>
      <c r="H44" s="46">
        <f t="shared" si="3"/>
        <v>11</v>
      </c>
      <c r="I44" s="48">
        <f t="shared" si="4"/>
        <v>0.28205128205128205</v>
      </c>
    </row>
    <row r="45" spans="1:10" x14ac:dyDescent="0.35">
      <c r="B45" s="44" t="s">
        <v>1622</v>
      </c>
      <c r="C45" s="49">
        <f>SUMIFS('Summary by Division'!$D$6:$D$297,'Summary by Division'!$B$6:$B$297,$B45,'Summary by Division'!$A$6:$A$297,$B$38)</f>
        <v>3</v>
      </c>
      <c r="D45" s="49">
        <f>SUMIFS('Summary by Division'!$E$6:$E$297,'Summary by Division'!$B$6:$B$297,$B45,'Summary by Division'!$A$6:$A$297,$B$38)</f>
        <v>0</v>
      </c>
      <c r="E45" s="49">
        <f>SUMIFS('Summary by Division'!$F$6:$F$297,'Summary by Division'!$B$6:$B$297,$B45,'Summary by Division'!$A$6:$A$297,$B$38)</f>
        <v>4</v>
      </c>
      <c r="F45" s="49">
        <f>SUMIFS('Summary by Division'!$G$6:$G$297,'Summary by Division'!$B$6:$B$297,$B45,'Summary by Division'!$A$6:$A$297,$B$38)</f>
        <v>7</v>
      </c>
      <c r="G45" s="50">
        <f>SUMIFS('Summary by Division'!$H$6:$H$297,'Summary by Division'!$B$6:$B$297,$B45,'Summary by Division'!$A$6:$A$297,$B$38)</f>
        <v>7</v>
      </c>
      <c r="H45" s="49">
        <f t="shared" si="3"/>
        <v>4</v>
      </c>
      <c r="I45" s="51">
        <f t="shared" si="4"/>
        <v>1.3333333333333333</v>
      </c>
    </row>
    <row r="46" spans="1:10" x14ac:dyDescent="0.35">
      <c r="B46" s="43" t="s">
        <v>1623</v>
      </c>
      <c r="C46" s="46">
        <f>SUMIFS('Summary by Division'!$D$6:$D$297,'Summary by Division'!$B$6:$B$297,$B46,'Summary by Division'!$A$6:$A$297,$B$38)</f>
        <v>30</v>
      </c>
      <c r="D46" s="46">
        <f>SUMIFS('Summary by Division'!$E$6:$E$297,'Summary by Division'!$B$6:$B$297,$B46,'Summary by Division'!$A$6:$A$297,$B$38)</f>
        <v>0</v>
      </c>
      <c r="E46" s="46">
        <f>SUMIFS('Summary by Division'!$F$6:$F$297,'Summary by Division'!$B$6:$B$297,$B46,'Summary by Division'!$A$6:$A$297,$B$38)</f>
        <v>0</v>
      </c>
      <c r="F46" s="46">
        <f>SUMIFS('Summary by Division'!$G$6:$G$297,'Summary by Division'!$B$6:$B$297,$B46,'Summary by Division'!$A$6:$A$297,$B$38)</f>
        <v>30</v>
      </c>
      <c r="G46" s="47">
        <f>SUMIFS('Summary by Division'!$H$6:$H$297,'Summary by Division'!$B$6:$B$297,$B46,'Summary by Division'!$A$6:$A$297,$B$38)</f>
        <v>30</v>
      </c>
      <c r="H46" s="46">
        <f t="shared" si="3"/>
        <v>0</v>
      </c>
      <c r="I46" s="48">
        <f t="shared" si="4"/>
        <v>0</v>
      </c>
    </row>
    <row r="47" spans="1:10" x14ac:dyDescent="0.35">
      <c r="B47" s="44" t="s">
        <v>1624</v>
      </c>
      <c r="C47" s="49">
        <f>SUMIFS('Summary by Division'!$D$6:$D$297,'Summary by Division'!$B$6:$B$297,$B47,'Summary by Division'!$A$6:$A$297,$B$38)</f>
        <v>3</v>
      </c>
      <c r="D47" s="49">
        <f>SUMIFS('Summary by Division'!$E$6:$E$297,'Summary by Division'!$B$6:$B$297,$B47,'Summary by Division'!$A$6:$A$297,$B$38)</f>
        <v>0</v>
      </c>
      <c r="E47" s="49">
        <f>SUMIFS('Summary by Division'!$F$6:$F$297,'Summary by Division'!$B$6:$B$297,$B47,'Summary by Division'!$A$6:$A$297,$B$38)</f>
        <v>2</v>
      </c>
      <c r="F47" s="49">
        <f>SUMIFS('Summary by Division'!$G$6:$G$297,'Summary by Division'!$B$6:$B$297,$B47,'Summary by Division'!$A$6:$A$297,$B$38)</f>
        <v>5</v>
      </c>
      <c r="G47" s="50">
        <f>SUMIFS('Summary by Division'!$H$6:$H$297,'Summary by Division'!$B$6:$B$297,$B47,'Summary by Division'!$A$6:$A$297,$B$38)</f>
        <v>5</v>
      </c>
      <c r="H47" s="49">
        <f t="shared" si="3"/>
        <v>2</v>
      </c>
      <c r="I47" s="51">
        <f t="shared" si="4"/>
        <v>0.66666666666666663</v>
      </c>
    </row>
    <row r="48" spans="1:10" x14ac:dyDescent="0.35">
      <c r="B48" s="43" t="s">
        <v>1625</v>
      </c>
      <c r="C48" s="46">
        <f>SUMIFS('Summary by Division'!$D$6:$D$297,'Summary by Division'!$B$6:$B$297,$B48,'Summary by Division'!$A$6:$A$297,$B$38)</f>
        <v>19</v>
      </c>
      <c r="D48" s="46">
        <f>SUMIFS('Summary by Division'!$E$6:$E$297,'Summary by Division'!$B$6:$B$297,$B48,'Summary by Division'!$A$6:$A$297,$B$38)</f>
        <v>0</v>
      </c>
      <c r="E48" s="46">
        <f>SUMIFS('Summary by Division'!$F$6:$F$297,'Summary by Division'!$B$6:$B$297,$B48,'Summary by Division'!$A$6:$A$297,$B$38)</f>
        <v>0</v>
      </c>
      <c r="F48" s="46">
        <f>SUMIFS('Summary by Division'!$G$6:$G$297,'Summary by Division'!$B$6:$B$297,$B48,'Summary by Division'!$A$6:$A$297,$B$38)</f>
        <v>19</v>
      </c>
      <c r="G48" s="47">
        <f>SUMIFS('Summary by Division'!$H$6:$H$297,'Summary by Division'!$B$6:$B$297,$B48,'Summary by Division'!$A$6:$A$297,$B$38)</f>
        <v>19</v>
      </c>
      <c r="H48" s="46">
        <f t="shared" si="3"/>
        <v>0</v>
      </c>
      <c r="I48" s="48">
        <f t="shared" si="4"/>
        <v>0</v>
      </c>
    </row>
    <row r="49" spans="2:9" x14ac:dyDescent="0.35">
      <c r="B49" s="44" t="s">
        <v>1626</v>
      </c>
      <c r="C49" s="49">
        <f>SUMIFS('Summary by Division'!$D$6:$D$297,'Summary by Division'!$B$6:$B$297,$B49,'Summary by Division'!$A$6:$A$297,$B$38)</f>
        <v>2</v>
      </c>
      <c r="D49" s="49">
        <f>SUMIFS('Summary by Division'!$E$6:$E$297,'Summary by Division'!$B$6:$B$297,$B49,'Summary by Division'!$A$6:$A$297,$B$38)</f>
        <v>0</v>
      </c>
      <c r="E49" s="49">
        <f>SUMIFS('Summary by Division'!$F$6:$F$297,'Summary by Division'!$B$6:$B$297,$B49,'Summary by Division'!$A$6:$A$297,$B$38)</f>
        <v>0</v>
      </c>
      <c r="F49" s="49">
        <f>SUMIFS('Summary by Division'!$G$6:$G$297,'Summary by Division'!$B$6:$B$297,$B49,'Summary by Division'!$A$6:$A$297,$B$38)</f>
        <v>2</v>
      </c>
      <c r="G49" s="50">
        <f>SUMIFS('Summary by Division'!$H$6:$H$297,'Summary by Division'!$B$6:$B$297,$B49,'Summary by Division'!$A$6:$A$297,$B$38)</f>
        <v>2</v>
      </c>
      <c r="H49" s="49">
        <f t="shared" si="3"/>
        <v>0</v>
      </c>
      <c r="I49" s="51">
        <f t="shared" si="4"/>
        <v>0</v>
      </c>
    </row>
    <row r="50" spans="2:9" x14ac:dyDescent="0.35">
      <c r="B50" s="43" t="s">
        <v>1627</v>
      </c>
      <c r="C50" s="46">
        <f>SUMIFS('Summary by Division'!$D$6:$D$297,'Summary by Division'!$B$6:$B$297,$B50,'Summary by Division'!$A$6:$A$297,$B$38)</f>
        <v>14</v>
      </c>
      <c r="D50" s="46">
        <f>SUMIFS('Summary by Division'!$E$6:$E$297,'Summary by Division'!$B$6:$B$297,$B50,'Summary by Division'!$A$6:$A$297,$B$38)</f>
        <v>0</v>
      </c>
      <c r="E50" s="46">
        <f>SUMIFS('Summary by Division'!$F$6:$F$297,'Summary by Division'!$B$6:$B$297,$B50,'Summary by Division'!$A$6:$A$297,$B$38)</f>
        <v>5</v>
      </c>
      <c r="F50" s="46">
        <f>SUMIFS('Summary by Division'!$G$6:$G$297,'Summary by Division'!$B$6:$B$297,$B50,'Summary by Division'!$A$6:$A$297,$B$38)</f>
        <v>19</v>
      </c>
      <c r="G50" s="47">
        <f>SUMIFS('Summary by Division'!$H$6:$H$297,'Summary by Division'!$B$6:$B$297,$B50,'Summary by Division'!$A$6:$A$297,$B$38)</f>
        <v>19</v>
      </c>
      <c r="H50" s="46">
        <f t="shared" si="3"/>
        <v>5</v>
      </c>
      <c r="I50" s="48">
        <f t="shared" si="4"/>
        <v>0.35714285714285715</v>
      </c>
    </row>
    <row r="51" spans="2:9" x14ac:dyDescent="0.35">
      <c r="B51" s="44" t="s">
        <v>1628</v>
      </c>
      <c r="C51" s="49">
        <f>SUMIFS('Summary by Division'!$D$6:$D$297,'Summary by Division'!$B$6:$B$297,$B51,'Summary by Division'!$A$6:$A$297,$B$38)</f>
        <v>21</v>
      </c>
      <c r="D51" s="49">
        <f>SUMIFS('Summary by Division'!$E$6:$E$297,'Summary by Division'!$B$6:$B$297,$B51,'Summary by Division'!$A$6:$A$297,$B$38)</f>
        <v>0</v>
      </c>
      <c r="E51" s="49">
        <f>SUMIFS('Summary by Division'!$F$6:$F$297,'Summary by Division'!$B$6:$B$297,$B51,'Summary by Division'!$A$6:$A$297,$B$38)</f>
        <v>0</v>
      </c>
      <c r="F51" s="49">
        <f>SUMIFS('Summary by Division'!$G$6:$G$297,'Summary by Division'!$B$6:$B$297,$B51,'Summary by Division'!$A$6:$A$297,$B$38)</f>
        <v>21</v>
      </c>
      <c r="G51" s="50">
        <f>SUMIFS('Summary by Division'!$H$6:$H$297,'Summary by Division'!$B$6:$B$297,$B51,'Summary by Division'!$A$6:$A$297,$B$38)</f>
        <v>21</v>
      </c>
      <c r="H51" s="49">
        <f t="shared" si="3"/>
        <v>0</v>
      </c>
      <c r="I51" s="51">
        <f t="shared" si="4"/>
        <v>0</v>
      </c>
    </row>
    <row r="52" spans="2:9" x14ac:dyDescent="0.35">
      <c r="B52" s="43" t="s">
        <v>1629</v>
      </c>
      <c r="C52" s="46">
        <f>SUMIFS('Summary by Division'!$D$6:$D$297,'Summary by Division'!$B$6:$B$297,$B52,'Summary by Division'!$A$6:$A$297,$B$38)</f>
        <v>88</v>
      </c>
      <c r="D52" s="46">
        <f>SUMIFS('Summary by Division'!$E$6:$E$297,'Summary by Division'!$B$6:$B$297,$B52,'Summary by Division'!$A$6:$A$297,$B$38)</f>
        <v>0</v>
      </c>
      <c r="E52" s="46">
        <f>SUMIFS('Summary by Division'!$F$6:$F$297,'Summary by Division'!$B$6:$B$297,$B52,'Summary by Division'!$A$6:$A$297,$B$38)</f>
        <v>6</v>
      </c>
      <c r="F52" s="46">
        <f>SUMIFS('Summary by Division'!$G$6:$G$297,'Summary by Division'!$B$6:$B$297,$B52,'Summary by Division'!$A$6:$A$297,$B$38)</f>
        <v>94</v>
      </c>
      <c r="G52" s="47">
        <f>SUMIFS('Summary by Division'!$H$6:$H$297,'Summary by Division'!$B$6:$B$297,$B52,'Summary by Division'!$A$6:$A$297,$B$38)</f>
        <v>91</v>
      </c>
      <c r="H52" s="46">
        <f t="shared" si="3"/>
        <v>3</v>
      </c>
      <c r="I52" s="48">
        <f t="shared" si="4"/>
        <v>3.4090909090909088E-2</v>
      </c>
    </row>
    <row r="53" spans="2:9" x14ac:dyDescent="0.35">
      <c r="B53" s="44" t="s">
        <v>1630</v>
      </c>
      <c r="C53" s="49">
        <f>SUMIFS('Summary by Division'!$D$6:$D$297,'Summary by Division'!$B$6:$B$297,$B53,'Summary by Division'!$A$6:$A$297,$B$38)</f>
        <v>22</v>
      </c>
      <c r="D53" s="49">
        <f>SUMIFS('Summary by Division'!$E$6:$E$297,'Summary by Division'!$B$6:$B$297,$B53,'Summary by Division'!$A$6:$A$297,$B$38)</f>
        <v>0</v>
      </c>
      <c r="E53" s="49">
        <f>SUMIFS('Summary by Division'!$F$6:$F$297,'Summary by Division'!$B$6:$B$297,$B53,'Summary by Division'!$A$6:$A$297,$B$38)</f>
        <v>5</v>
      </c>
      <c r="F53" s="49">
        <f>SUMIFS('Summary by Division'!$G$6:$G$297,'Summary by Division'!$B$6:$B$297,$B53,'Summary by Division'!$A$6:$A$297,$B$38)</f>
        <v>27</v>
      </c>
      <c r="G53" s="50">
        <f>SUMIFS('Summary by Division'!$H$6:$H$297,'Summary by Division'!$B$6:$B$297,$B53,'Summary by Division'!$A$6:$A$297,$B$38)</f>
        <v>27</v>
      </c>
      <c r="H53" s="49">
        <f t="shared" si="3"/>
        <v>5</v>
      </c>
      <c r="I53" s="51">
        <f t="shared" si="4"/>
        <v>0.22727272727272727</v>
      </c>
    </row>
    <row r="54" spans="2:9" x14ac:dyDescent="0.35">
      <c r="B54" s="43" t="s">
        <v>1631</v>
      </c>
      <c r="C54" s="46">
        <f>SUMIFS('Summary by Division'!$D$6:$D$297,'Summary by Division'!$B$6:$B$297,$B54,'Summary by Division'!$A$6:$A$297,$B$38)</f>
        <v>28</v>
      </c>
      <c r="D54" s="46">
        <f>SUMIFS('Summary by Division'!$E$6:$E$297,'Summary by Division'!$B$6:$B$297,$B54,'Summary by Division'!$A$6:$A$297,$B$38)</f>
        <v>0</v>
      </c>
      <c r="E54" s="46">
        <f>SUMIFS('Summary by Division'!$F$6:$F$297,'Summary by Division'!$B$6:$B$297,$B54,'Summary by Division'!$A$6:$A$297,$B$38)</f>
        <v>5</v>
      </c>
      <c r="F54" s="46">
        <f>SUMIFS('Summary by Division'!$G$6:$G$297,'Summary by Division'!$B$6:$B$297,$B54,'Summary by Division'!$A$6:$A$297,$B$38)</f>
        <v>33</v>
      </c>
      <c r="G54" s="47">
        <f>SUMIFS('Summary by Division'!$H$6:$H$297,'Summary by Division'!$B$6:$B$297,$B54,'Summary by Division'!$A$6:$A$297,$B$38)</f>
        <v>33</v>
      </c>
      <c r="H54" s="46">
        <f t="shared" si="3"/>
        <v>5</v>
      </c>
      <c r="I54" s="48">
        <f t="shared" si="4"/>
        <v>0.17857142857142858</v>
      </c>
    </row>
    <row r="55" spans="2:9" x14ac:dyDescent="0.35">
      <c r="B55" s="44" t="s">
        <v>1632</v>
      </c>
      <c r="C55" s="49">
        <f>SUMIFS('Summary by Division'!$D$6:$D$297,'Summary by Division'!$B$6:$B$297,$B55,'Summary by Division'!$A$6:$A$297,$B$38)</f>
        <v>104</v>
      </c>
      <c r="D55" s="49">
        <f>SUMIFS('Summary by Division'!$E$6:$E$297,'Summary by Division'!$B$6:$B$297,$B55,'Summary by Division'!$A$6:$A$297,$B$38)</f>
        <v>0</v>
      </c>
      <c r="E55" s="49">
        <f>SUMIFS('Summary by Division'!$F$6:$F$297,'Summary by Division'!$B$6:$B$297,$B55,'Summary by Division'!$A$6:$A$297,$B$38)</f>
        <v>2</v>
      </c>
      <c r="F55" s="49">
        <f>SUMIFS('Summary by Division'!$G$6:$G$297,'Summary by Division'!$B$6:$B$297,$B55,'Summary by Division'!$A$6:$A$297,$B$38)</f>
        <v>106</v>
      </c>
      <c r="G55" s="50">
        <f>SUMIFS('Summary by Division'!$H$6:$H$297,'Summary by Division'!$B$6:$B$297,$B55,'Summary by Division'!$A$6:$A$297,$B$38)</f>
        <v>99</v>
      </c>
      <c r="H55" s="49">
        <f t="shared" si="3"/>
        <v>-5</v>
      </c>
      <c r="I55" s="51">
        <f t="shared" si="4"/>
        <v>-4.807692307692308E-2</v>
      </c>
    </row>
    <row r="56" spans="2:9" x14ac:dyDescent="0.35">
      <c r="B56" s="43" t="s">
        <v>1633</v>
      </c>
      <c r="C56" s="46">
        <f>SUMIFS('Summary by Division'!$D$6:$D$297,'Summary by Division'!$B$6:$B$297,$B56,'Summary by Division'!$A$6:$A$297,$B$38)</f>
        <v>57</v>
      </c>
      <c r="D56" s="46">
        <f>SUMIFS('Summary by Division'!$E$6:$E$297,'Summary by Division'!$B$6:$B$297,$B56,'Summary by Division'!$A$6:$A$297,$B$38)</f>
        <v>0</v>
      </c>
      <c r="E56" s="46">
        <f>SUMIFS('Summary by Division'!$F$6:$F$297,'Summary by Division'!$B$6:$B$297,$B56,'Summary by Division'!$A$6:$A$297,$B$38)</f>
        <v>11</v>
      </c>
      <c r="F56" s="46">
        <f>SUMIFS('Summary by Division'!$G$6:$G$297,'Summary by Division'!$B$6:$B$297,$B56,'Summary by Division'!$A$6:$A$297,$B$38)</f>
        <v>68</v>
      </c>
      <c r="G56" s="47">
        <f>SUMIFS('Summary by Division'!$H$6:$H$297,'Summary by Division'!$B$6:$B$297,$B56,'Summary by Division'!$A$6:$A$297,$B$38)</f>
        <v>68</v>
      </c>
      <c r="H56" s="46">
        <f t="shared" si="3"/>
        <v>11</v>
      </c>
      <c r="I56" s="48">
        <f t="shared" si="4"/>
        <v>0.19298245614035087</v>
      </c>
    </row>
    <row r="57" spans="2:9" x14ac:dyDescent="0.35">
      <c r="B57" s="44" t="s">
        <v>1634</v>
      </c>
      <c r="C57" s="49">
        <f>SUMIFS('Summary by Division'!$D$6:$D$297,'Summary by Division'!$B$6:$B$297,$B57,'Summary by Division'!$A$6:$A$297,$B$38)</f>
        <v>171</v>
      </c>
      <c r="D57" s="49">
        <f>SUMIFS('Summary by Division'!$E$6:$E$297,'Summary by Division'!$B$6:$B$297,$B57,'Summary by Division'!$A$6:$A$297,$B$38)</f>
        <v>0</v>
      </c>
      <c r="E57" s="49">
        <f>SUMIFS('Summary by Division'!$F$6:$F$297,'Summary by Division'!$B$6:$B$297,$B57,'Summary by Division'!$A$6:$A$297,$B$38)</f>
        <v>3</v>
      </c>
      <c r="F57" s="49">
        <f>SUMIFS('Summary by Division'!$G$6:$G$297,'Summary by Division'!$B$6:$B$297,$B57,'Summary by Division'!$A$6:$A$297,$B$38)</f>
        <v>174</v>
      </c>
      <c r="G57" s="50">
        <f>SUMIFS('Summary by Division'!$H$6:$H$297,'Summary by Division'!$B$6:$B$297,$B57,'Summary by Division'!$A$6:$A$297,$B$38)</f>
        <v>174</v>
      </c>
      <c r="H57" s="49">
        <f t="shared" si="3"/>
        <v>3</v>
      </c>
      <c r="I57" s="51">
        <f t="shared" si="4"/>
        <v>1.7543859649122806E-2</v>
      </c>
    </row>
    <row r="58" spans="2:9" x14ac:dyDescent="0.35">
      <c r="B58" s="43" t="s">
        <v>1341</v>
      </c>
      <c r="C58" s="46">
        <f>SUMIFS('Summary by Division'!$D$6:$D$297,'Summary by Division'!$B$6:$B$297,$B58,'Summary by Division'!$A$6:$A$297,$B$38)</f>
        <v>23</v>
      </c>
      <c r="D58" s="46">
        <f>SUMIFS('Summary by Division'!$E$6:$E$297,'Summary by Division'!$B$6:$B$297,$B58,'Summary by Division'!$A$6:$A$297,$B$38)</f>
        <v>0</v>
      </c>
      <c r="E58" s="46">
        <f>SUMIFS('Summary by Division'!$F$6:$F$297,'Summary by Division'!$B$6:$B$297,$B58,'Summary by Division'!$A$6:$A$297,$B$38)</f>
        <v>7</v>
      </c>
      <c r="F58" s="46">
        <f>SUMIFS('Summary by Division'!$G$6:$G$297,'Summary by Division'!$B$6:$B$297,$B58,'Summary by Division'!$A$6:$A$297,$B$38)</f>
        <v>30</v>
      </c>
      <c r="G58" s="47">
        <f>SUMIFS('Summary by Division'!$H$6:$H$297,'Summary by Division'!$B$6:$B$297,$B58,'Summary by Division'!$A$6:$A$297,$B$38)</f>
        <v>30</v>
      </c>
      <c r="H58" s="46">
        <f t="shared" si="3"/>
        <v>7</v>
      </c>
      <c r="I58" s="48">
        <f t="shared" si="4"/>
        <v>0.30434782608695654</v>
      </c>
    </row>
    <row r="59" spans="2:9" x14ac:dyDescent="0.35">
      <c r="B59" s="44" t="s">
        <v>1635</v>
      </c>
      <c r="C59" s="49">
        <f>SUMIFS('Summary by Division'!$D$6:$D$297,'Summary by Division'!$B$6:$B$297,$B59,'Summary by Division'!$A$6:$A$297,$B$38)</f>
        <v>21</v>
      </c>
      <c r="D59" s="49">
        <f>SUMIFS('Summary by Division'!$E$6:$E$297,'Summary by Division'!$B$6:$B$297,$B59,'Summary by Division'!$A$6:$A$297,$B$38)</f>
        <v>0</v>
      </c>
      <c r="E59" s="49">
        <f>SUMIFS('Summary by Division'!$F$6:$F$297,'Summary by Division'!$B$6:$B$297,$B59,'Summary by Division'!$A$6:$A$297,$B$38)</f>
        <v>2</v>
      </c>
      <c r="F59" s="49">
        <f>SUMIFS('Summary by Division'!$G$6:$G$297,'Summary by Division'!$B$6:$B$297,$B59,'Summary by Division'!$A$6:$A$297,$B$38)</f>
        <v>23</v>
      </c>
      <c r="G59" s="50">
        <f>SUMIFS('Summary by Division'!$H$6:$H$297,'Summary by Division'!$B$6:$B$297,$B59,'Summary by Division'!$A$6:$A$297,$B$38)</f>
        <v>19</v>
      </c>
      <c r="H59" s="49">
        <f t="shared" si="3"/>
        <v>-2</v>
      </c>
      <c r="I59" s="51">
        <f t="shared" si="4"/>
        <v>-9.5238095238095233E-2</v>
      </c>
    </row>
    <row r="60" spans="2:9" x14ac:dyDescent="0.35">
      <c r="B60" s="43" t="s">
        <v>1636</v>
      </c>
      <c r="C60" s="46">
        <f>SUMIFS('Summary by Division'!$D$6:$D$297,'Summary by Division'!$B$6:$B$297,$B60,'Summary by Division'!$A$6:$A$297,$B$38)</f>
        <v>3</v>
      </c>
      <c r="D60" s="46">
        <f>SUMIFS('Summary by Division'!$E$6:$E$297,'Summary by Division'!$B$6:$B$297,$B60,'Summary by Division'!$A$6:$A$297,$B$38)</f>
        <v>0</v>
      </c>
      <c r="E60" s="46">
        <f>SUMIFS('Summary by Division'!$F$6:$F$297,'Summary by Division'!$B$6:$B$297,$B60,'Summary by Division'!$A$6:$A$297,$B$38)</f>
        <v>1</v>
      </c>
      <c r="F60" s="46">
        <f>SUMIFS('Summary by Division'!$G$6:$G$297,'Summary by Division'!$B$6:$B$297,$B60,'Summary by Division'!$A$6:$A$297,$B$38)</f>
        <v>4</v>
      </c>
      <c r="G60" s="47">
        <f>SUMIFS('Summary by Division'!$H$6:$H$297,'Summary by Division'!$B$6:$B$297,$B60,'Summary by Division'!$A$6:$A$297,$B$38)</f>
        <v>4</v>
      </c>
      <c r="H60" s="46">
        <f t="shared" si="3"/>
        <v>1</v>
      </c>
      <c r="I60" s="48">
        <f t="shared" si="4"/>
        <v>0.33333333333333331</v>
      </c>
    </row>
    <row r="61" spans="2:9" x14ac:dyDescent="0.35">
      <c r="B61" s="44" t="s">
        <v>1637</v>
      </c>
      <c r="C61" s="49">
        <f>SUMIFS('Summary by Division'!$D$6:$D$297,'Summary by Division'!$B$6:$B$297,$B61,'Summary by Division'!$A$6:$A$297,$B$38)</f>
        <v>16</v>
      </c>
      <c r="D61" s="49">
        <f>SUMIFS('Summary by Division'!$E$6:$E$297,'Summary by Division'!$B$6:$B$297,$B61,'Summary by Division'!$A$6:$A$297,$B$38)</f>
        <v>0</v>
      </c>
      <c r="E61" s="49">
        <f>SUMIFS('Summary by Division'!$F$6:$F$297,'Summary by Division'!$B$6:$B$297,$B61,'Summary by Division'!$A$6:$A$297,$B$38)</f>
        <v>3</v>
      </c>
      <c r="F61" s="49">
        <f>SUMIFS('Summary by Division'!$G$6:$G$297,'Summary by Division'!$B$6:$B$297,$B61,'Summary by Division'!$A$6:$A$297,$B$38)</f>
        <v>19</v>
      </c>
      <c r="G61" s="50">
        <f>SUMIFS('Summary by Division'!$H$6:$H$297,'Summary by Division'!$B$6:$B$297,$B61,'Summary by Division'!$A$6:$A$297,$B$38)</f>
        <v>19</v>
      </c>
      <c r="H61" s="49">
        <f t="shared" si="3"/>
        <v>3</v>
      </c>
      <c r="I61" s="51">
        <f t="shared" si="4"/>
        <v>0.1875</v>
      </c>
    </row>
    <row r="62" spans="2:9" x14ac:dyDescent="0.35">
      <c r="B62" s="43" t="s">
        <v>1638</v>
      </c>
      <c r="C62" s="46">
        <f>SUMIFS('Summary by Division'!$D$6:$D$297,'Summary by Division'!$B$6:$B$297,$B62,'Summary by Division'!$A$6:$A$297,$B$38)</f>
        <v>5</v>
      </c>
      <c r="D62" s="46">
        <f>SUMIFS('Summary by Division'!$E$6:$E$297,'Summary by Division'!$B$6:$B$297,$B62,'Summary by Division'!$A$6:$A$297,$B$38)</f>
        <v>0</v>
      </c>
      <c r="E62" s="46">
        <f>SUMIFS('Summary by Division'!$F$6:$F$297,'Summary by Division'!$B$6:$B$297,$B62,'Summary by Division'!$A$6:$A$297,$B$38)</f>
        <v>0</v>
      </c>
      <c r="F62" s="46">
        <f>SUMIFS('Summary by Division'!$G$6:$G$297,'Summary by Division'!$B$6:$B$297,$B62,'Summary by Division'!$A$6:$A$297,$B$38)</f>
        <v>5</v>
      </c>
      <c r="G62" s="47">
        <f>SUMIFS('Summary by Division'!$H$6:$H$297,'Summary by Division'!$B$6:$B$297,$B62,'Summary by Division'!$A$6:$A$297,$B$38)</f>
        <v>5</v>
      </c>
      <c r="H62" s="46">
        <f t="shared" si="3"/>
        <v>0</v>
      </c>
      <c r="I62" s="48">
        <f t="shared" si="4"/>
        <v>0</v>
      </c>
    </row>
    <row r="63" spans="2:9" x14ac:dyDescent="0.35">
      <c r="B63" s="44" t="s">
        <v>1639</v>
      </c>
      <c r="C63" s="49">
        <f>SUMIFS('Summary by Division'!$D$6:$D$297,'Summary by Division'!$B$6:$B$297,$B63,'Summary by Division'!$A$6:$A$297,$B$38)</f>
        <v>4</v>
      </c>
      <c r="D63" s="49">
        <f>SUMIFS('Summary by Division'!$E$6:$E$297,'Summary by Division'!$B$6:$B$297,$B63,'Summary by Division'!$A$6:$A$297,$B$38)</f>
        <v>0</v>
      </c>
      <c r="E63" s="49">
        <f>SUMIFS('Summary by Division'!$F$6:$F$297,'Summary by Division'!$B$6:$B$297,$B63,'Summary by Division'!$A$6:$A$297,$B$38)</f>
        <v>3</v>
      </c>
      <c r="F63" s="49">
        <f>SUMIFS('Summary by Division'!$G$6:$G$297,'Summary by Division'!$B$6:$B$297,$B63,'Summary by Division'!$A$6:$A$297,$B$38)</f>
        <v>7</v>
      </c>
      <c r="G63" s="50">
        <f>SUMIFS('Summary by Division'!$H$6:$H$297,'Summary by Division'!$B$6:$B$297,$B63,'Summary by Division'!$A$6:$A$297,$B$38)</f>
        <v>7</v>
      </c>
      <c r="H63" s="49">
        <f t="shared" si="3"/>
        <v>3</v>
      </c>
      <c r="I63" s="51">
        <f t="shared" si="4"/>
        <v>0.75</v>
      </c>
    </row>
    <row r="64" spans="2:9" x14ac:dyDescent="0.35">
      <c r="B64" s="43" t="s">
        <v>1640</v>
      </c>
      <c r="C64" s="46">
        <f>SUMIFS('Summary by Division'!$D$6:$D$297,'Summary by Division'!$B$6:$B$297,$B64,'Summary by Division'!$A$6:$A$297,$B$38)</f>
        <v>4</v>
      </c>
      <c r="D64" s="46">
        <f>SUMIFS('Summary by Division'!$E$6:$E$297,'Summary by Division'!$B$6:$B$297,$B64,'Summary by Division'!$A$6:$A$297,$B$38)</f>
        <v>0</v>
      </c>
      <c r="E64" s="46">
        <f>SUMIFS('Summary by Division'!$F$6:$F$297,'Summary by Division'!$B$6:$B$297,$B64,'Summary by Division'!$A$6:$A$297,$B$38)</f>
        <v>1</v>
      </c>
      <c r="F64" s="46">
        <f>SUMIFS('Summary by Division'!$G$6:$G$297,'Summary by Division'!$B$6:$B$297,$B64,'Summary by Division'!$A$6:$A$297,$B$38)</f>
        <v>5</v>
      </c>
      <c r="G64" s="47">
        <f>SUMIFS('Summary by Division'!$H$6:$H$297,'Summary by Division'!$B$6:$B$297,$B64,'Summary by Division'!$A$6:$A$297,$B$38)</f>
        <v>5</v>
      </c>
      <c r="H64" s="46">
        <f t="shared" si="3"/>
        <v>1</v>
      </c>
      <c r="I64" s="48">
        <f t="shared" si="4"/>
        <v>0.25</v>
      </c>
    </row>
    <row r="65" spans="1:9" x14ac:dyDescent="0.35">
      <c r="B65" s="44" t="s">
        <v>1641</v>
      </c>
      <c r="C65" s="49">
        <f>SUMIFS('Summary by Division'!$D$6:$D$297,'Summary by Division'!$B$6:$B$297,$B65,'Summary by Division'!$A$6:$A$297,$B$38)</f>
        <v>5</v>
      </c>
      <c r="D65" s="49">
        <f>SUMIFS('Summary by Division'!$E$6:$E$297,'Summary by Division'!$B$6:$B$297,$B65,'Summary by Division'!$A$6:$A$297,$B$38)</f>
        <v>0</v>
      </c>
      <c r="E65" s="49">
        <f>SUMIFS('Summary by Division'!$F$6:$F$297,'Summary by Division'!$B$6:$B$297,$B65,'Summary by Division'!$A$6:$A$297,$B$38)</f>
        <v>3</v>
      </c>
      <c r="F65" s="49">
        <f>SUMIFS('Summary by Division'!$G$6:$G$297,'Summary by Division'!$B$6:$B$297,$B65,'Summary by Division'!$A$6:$A$297,$B$38)</f>
        <v>8</v>
      </c>
      <c r="G65" s="50">
        <f>SUMIFS('Summary by Division'!$H$6:$H$297,'Summary by Division'!$B$6:$B$297,$B65,'Summary by Division'!$A$6:$A$297,$B$38)</f>
        <v>8</v>
      </c>
      <c r="H65" s="49">
        <f t="shared" si="3"/>
        <v>3</v>
      </c>
      <c r="I65" s="51">
        <f t="shared" si="4"/>
        <v>0.6</v>
      </c>
    </row>
    <row r="66" spans="1:9" x14ac:dyDescent="0.35">
      <c r="B66" s="43" t="s">
        <v>1642</v>
      </c>
      <c r="C66" s="46">
        <f>SUMIFS('Summary by Division'!$D$6:$D$297,'Summary by Division'!$B$6:$B$297,$B66,'Summary by Division'!$A$6:$A$297,$B$38)</f>
        <v>588</v>
      </c>
      <c r="D66" s="46">
        <f>SUMIFS('Summary by Division'!$E$6:$E$297,'Summary by Division'!$B$6:$B$297,$B66,'Summary by Division'!$A$6:$A$297,$B$38)</f>
        <v>0</v>
      </c>
      <c r="E66" s="46">
        <f>SUMIFS('Summary by Division'!$F$6:$F$297,'Summary by Division'!$B$6:$B$297,$B66,'Summary by Division'!$A$6:$A$297,$B$38)</f>
        <v>49</v>
      </c>
      <c r="F66" s="46">
        <f>SUMIFS('Summary by Division'!$G$6:$G$297,'Summary by Division'!$B$6:$B$297,$B66,'Summary by Division'!$A$6:$A$297,$B$38)</f>
        <v>637</v>
      </c>
      <c r="G66" s="47">
        <f>SUMIFS('Summary by Division'!$H$6:$H$297,'Summary by Division'!$B$6:$B$297,$B66,'Summary by Division'!$A$6:$A$297,$B$38)</f>
        <v>635</v>
      </c>
      <c r="H66" s="46">
        <f t="shared" si="3"/>
        <v>47</v>
      </c>
      <c r="I66" s="48">
        <f t="shared" si="4"/>
        <v>7.9931972789115652E-2</v>
      </c>
    </row>
    <row r="67" spans="1:9" x14ac:dyDescent="0.35">
      <c r="B67" s="44" t="s">
        <v>1643</v>
      </c>
      <c r="C67" s="49">
        <f>SUMIFS('Summary by Division'!$D$6:$D$297,'Summary by Division'!$B$6:$B$297,$B67,'Summary by Division'!$A$6:$A$297,$B$38)</f>
        <v>18</v>
      </c>
      <c r="D67" s="49">
        <f>SUMIFS('Summary by Division'!$E$6:$E$297,'Summary by Division'!$B$6:$B$297,$B67,'Summary by Division'!$A$6:$A$297,$B$38)</f>
        <v>0</v>
      </c>
      <c r="E67" s="49">
        <f>SUMIFS('Summary by Division'!$F$6:$F$297,'Summary by Division'!$B$6:$B$297,$B67,'Summary by Division'!$A$6:$A$297,$B$38)</f>
        <v>1</v>
      </c>
      <c r="F67" s="49">
        <f>SUMIFS('Summary by Division'!$G$6:$G$297,'Summary by Division'!$B$6:$B$297,$B67,'Summary by Division'!$A$6:$A$297,$B$38)</f>
        <v>19</v>
      </c>
      <c r="G67" s="50">
        <f>SUMIFS('Summary by Division'!$H$6:$H$297,'Summary by Division'!$B$6:$B$297,$B67,'Summary by Division'!$A$6:$A$297,$B$38)</f>
        <v>19</v>
      </c>
      <c r="H67" s="49">
        <f t="shared" si="3"/>
        <v>1</v>
      </c>
      <c r="I67" s="51">
        <f t="shared" si="4"/>
        <v>5.5555555555555552E-2</v>
      </c>
    </row>
    <row r="68" spans="1:9" x14ac:dyDescent="0.35">
      <c r="B68" s="43" t="s">
        <v>1644</v>
      </c>
      <c r="C68" s="46">
        <f>SUMIFS('Summary by Division'!$D$6:$D$297,'Summary by Division'!$B$6:$B$297,$B68,'Summary by Division'!$A$6:$A$297,$B$38)</f>
        <v>126</v>
      </c>
      <c r="D68" s="46">
        <f>SUMIFS('Summary by Division'!$E$6:$E$297,'Summary by Division'!$B$6:$B$297,$B68,'Summary by Division'!$A$6:$A$297,$B$38)</f>
        <v>0</v>
      </c>
      <c r="E68" s="46">
        <f>SUMIFS('Summary by Division'!$F$6:$F$297,'Summary by Division'!$B$6:$B$297,$B68,'Summary by Division'!$A$6:$A$297,$B$38)</f>
        <v>9</v>
      </c>
      <c r="F68" s="46">
        <f>SUMIFS('Summary by Division'!$G$6:$G$297,'Summary by Division'!$B$6:$B$297,$B68,'Summary by Division'!$A$6:$A$297,$B$38)</f>
        <v>135</v>
      </c>
      <c r="G68" s="47">
        <f>SUMIFS('Summary by Division'!$H$6:$H$297,'Summary by Division'!$B$6:$B$297,$B68,'Summary by Division'!$A$6:$A$297,$B$38)</f>
        <v>131</v>
      </c>
      <c r="H68" s="46">
        <f t="shared" si="3"/>
        <v>5</v>
      </c>
      <c r="I68" s="48">
        <f t="shared" si="4"/>
        <v>3.968253968253968E-2</v>
      </c>
    </row>
    <row r="69" spans="1:9" x14ac:dyDescent="0.35">
      <c r="B69" s="44" t="s">
        <v>1645</v>
      </c>
      <c r="C69" s="49">
        <f>SUMIFS('Summary by Division'!$D$6:$D$297,'Summary by Division'!$B$6:$B$297,$B69,'Summary by Division'!$A$6:$A$297,$B$38)</f>
        <v>1860</v>
      </c>
      <c r="D69" s="49">
        <f>SUMIFS('Summary by Division'!$E$6:$E$297,'Summary by Division'!$B$6:$B$297,$B69,'Summary by Division'!$A$6:$A$297,$B$38)</f>
        <v>0</v>
      </c>
      <c r="E69" s="49">
        <f>SUMIFS('Summary by Division'!$F$6:$F$297,'Summary by Division'!$B$6:$B$297,$B69,'Summary by Division'!$A$6:$A$297,$B$38)</f>
        <v>6</v>
      </c>
      <c r="F69" s="49">
        <f>SUMIFS('Summary by Division'!$G$6:$G$297,'Summary by Division'!$B$6:$B$297,$B69,'Summary by Division'!$A$6:$A$297,$B$38)</f>
        <v>1866</v>
      </c>
      <c r="G69" s="50">
        <f>SUMIFS('Summary by Division'!$H$6:$H$297,'Summary by Division'!$B$6:$B$297,$B69,'Summary by Division'!$A$6:$A$297,$B$38)</f>
        <v>1860</v>
      </c>
      <c r="H69" s="49">
        <f t="shared" si="3"/>
        <v>0</v>
      </c>
      <c r="I69" s="51">
        <f t="shared" si="4"/>
        <v>0</v>
      </c>
    </row>
    <row r="70" spans="1:9" x14ac:dyDescent="0.35">
      <c r="B70" s="55" t="s">
        <v>1817</v>
      </c>
      <c r="C70" s="56">
        <f>SUM(C40:C69)</f>
        <v>3431</v>
      </c>
      <c r="D70" s="56">
        <f>SUM(D40:D69)</f>
        <v>0</v>
      </c>
      <c r="E70" s="56">
        <f>SUM(E40:E69)</f>
        <v>158</v>
      </c>
      <c r="F70" s="56">
        <f>SUM(F40:F69)</f>
        <v>3589</v>
      </c>
      <c r="G70" s="57">
        <f>SUM(G40:G69)</f>
        <v>3559</v>
      </c>
      <c r="H70" s="56">
        <f t="shared" ref="H70" si="5">SUM(H40:H69)</f>
        <v>128</v>
      </c>
      <c r="I70" s="58">
        <f t="shared" si="4"/>
        <v>3.7306907607111632E-2</v>
      </c>
    </row>
    <row r="71" spans="1:9" x14ac:dyDescent="0.35">
      <c r="B71" s="59"/>
      <c r="C71" s="60">
        <f>C70-SUMIFS('Summary by Division'!$D$6:$D$261,'Summary by Division'!$A$6:$A$261,$B$38)</f>
        <v>0</v>
      </c>
      <c r="D71" s="60">
        <f>D70-SUMIFS('Summary by Division'!$E$6:$E$261,'Summary by Division'!$A$6:$A$261,$B$38)</f>
        <v>0</v>
      </c>
      <c r="E71" s="60">
        <f>E70-SUMIFS('Summary by Division'!$F$6:$F$261,'Summary by Division'!$A$6:$A$261,$B$38)</f>
        <v>0</v>
      </c>
      <c r="F71" s="60">
        <f>F70-SUMIFS('Summary by Division'!$G$6:$G$261,'Summary by Division'!$A$6:$A$261,$B$38)</f>
        <v>0</v>
      </c>
      <c r="G71" s="60">
        <f>G70-SUMIFS('Summary by Division'!$H$6:$H$261,'Summary by Division'!$A$6:$A$261,$B$38)</f>
        <v>0</v>
      </c>
      <c r="H71" s="60"/>
      <c r="I71" s="59"/>
    </row>
    <row r="73" spans="1:9" s="85" customFormat="1" ht="15.5" x14ac:dyDescent="0.35">
      <c r="A73" s="169"/>
      <c r="B73" s="61" t="s">
        <v>1885</v>
      </c>
      <c r="C73" s="62" t="str">
        <f>C38</f>
        <v>31 August 2026 (actual)</v>
      </c>
      <c r="D73" s="38"/>
      <c r="E73" s="38"/>
      <c r="F73" s="41"/>
      <c r="G73" s="190" t="str">
        <f>G38</f>
        <v>31 Dec 2027 (plan)</v>
      </c>
      <c r="H73" s="190" t="str">
        <f>H38</f>
        <v>Change in Active</v>
      </c>
      <c r="I73" s="38"/>
    </row>
    <row r="74" spans="1:9" s="85" customFormat="1" x14ac:dyDescent="0.35">
      <c r="A74" s="169"/>
      <c r="B74" s="62" t="s">
        <v>3</v>
      </c>
      <c r="C74" s="38" t="str">
        <f>C39</f>
        <v>Active</v>
      </c>
      <c r="D74" s="38" t="str">
        <f>D39</f>
        <v>Passive</v>
      </c>
      <c r="E74" s="38" t="str">
        <f>E39</f>
        <v>Vacant</v>
      </c>
      <c r="F74" s="41" t="str">
        <f>F39</f>
        <v>Total</v>
      </c>
      <c r="G74" s="190" t="str">
        <f>G39</f>
        <v>Active</v>
      </c>
      <c r="H74" s="190" t="str">
        <f>H39</f>
        <v>Absolute</v>
      </c>
      <c r="I74" s="38" t="str">
        <f>I39</f>
        <v>%</v>
      </c>
    </row>
    <row r="75" spans="1:9" s="85" customFormat="1" x14ac:dyDescent="0.35">
      <c r="A75" s="169"/>
      <c r="B75" s="170" t="str">
        <f>'Summary by Division'!B262</f>
        <v>Management</v>
      </c>
      <c r="C75" s="171">
        <f>SUMIFS('Summary by Division'!$D$6:$D$297,'Summary by Division'!$B$6:$B$297,$B75,'Summary by Division'!$A$6:$A$297,$B$73)</f>
        <v>11</v>
      </c>
      <c r="D75" s="171">
        <f>SUMIFS('Summary by Division'!$E$6:$E$297,'Summary by Division'!$B$6:$B$297,$B75,'Summary by Division'!$A$6:$A$297,$B$73)</f>
        <v>0</v>
      </c>
      <c r="E75" s="171">
        <f>SUMIFS('Summary by Division'!$F$6:$F$297,'Summary by Division'!$B$6:$B$297,$B75,'Summary by Division'!$A$6:$A$297,$B$73)</f>
        <v>0</v>
      </c>
      <c r="F75" s="189">
        <f>SUMIFS('Summary by Division'!$G$6:$G$297,'Summary by Division'!$B$6:$B$297,$B75,'Summary by Division'!$A$6:$A$297,$B$73)</f>
        <v>11</v>
      </c>
      <c r="G75" s="191">
        <f>SUMIFS('Summary by Division'!$H$6:$H$297,'Summary by Division'!$B$6:$B$297,$B75,'Summary by Division'!$A$6:$A$297,$B$73)</f>
        <v>11</v>
      </c>
      <c r="H75" s="191">
        <f t="shared" ref="H75:H110" si="6">G75-C75</f>
        <v>0</v>
      </c>
      <c r="I75" s="176">
        <f t="shared" ref="I75:I110" si="7">IF(C75=0,0,H75/C75)</f>
        <v>0</v>
      </c>
    </row>
    <row r="76" spans="1:9" s="85" customFormat="1" x14ac:dyDescent="0.35">
      <c r="A76" s="169"/>
      <c r="B76" s="172" t="str">
        <f>'Summary by Division'!B263</f>
        <v>Birbonus sahəsi</v>
      </c>
      <c r="C76" s="173">
        <f>SUMIFS('Summary by Division'!$D$6:$D$297,'Summary by Division'!$B$6:$B$297,$B76,'Summary by Division'!$A$6:$A$297,$B$73)</f>
        <v>4</v>
      </c>
      <c r="D76" s="173">
        <f>SUMIFS('Summary by Division'!$E$6:$E$297,'Summary by Division'!$B$6:$B$297,$B76,'Summary by Division'!$A$6:$A$297,$B$73)</f>
        <v>0</v>
      </c>
      <c r="E76" s="173">
        <f>SUMIFS('Summary by Division'!$F$6:$F$297,'Summary by Division'!$B$6:$B$297,$B76,'Summary by Division'!$A$6:$A$297,$B$73)</f>
        <v>0</v>
      </c>
      <c r="F76" s="189">
        <f>SUMIFS('Summary by Division'!$G$6:$G$297,'Summary by Division'!$B$6:$B$297,$B76,'Summary by Division'!$A$6:$A$297,$B$73)</f>
        <v>4</v>
      </c>
      <c r="G76" s="191">
        <f>SUMIFS('Summary by Division'!$H$6:$H$297,'Summary by Division'!$B$6:$B$297,$B76,'Summary by Division'!$A$6:$A$297,$B$73)</f>
        <v>4</v>
      </c>
      <c r="H76" s="191">
        <f t="shared" si="6"/>
        <v>0</v>
      </c>
      <c r="I76" s="177">
        <f t="shared" si="7"/>
        <v>0</v>
      </c>
    </row>
    <row r="77" spans="1:9" s="85" customFormat="1" x14ac:dyDescent="0.35">
      <c r="A77" s="169"/>
      <c r="B77" s="172" t="str">
        <f>'Summary by Division'!B264</f>
        <v>Biznes sahələrinin inkişafı və partnyor şəbəkəsi departamenti</v>
      </c>
      <c r="C77" s="173">
        <f>SUMIFS('Summary by Division'!$D$6:$D$297,'Summary by Division'!$B$6:$B$297,$B77,'Summary by Division'!$A$6:$A$297,$B$73)</f>
        <v>82</v>
      </c>
      <c r="D77" s="173">
        <f>SUMIFS('Summary by Division'!$E$6:$E$297,'Summary by Division'!$B$6:$B$297,$B77,'Summary by Division'!$A$6:$A$297,$B$73)</f>
        <v>0</v>
      </c>
      <c r="E77" s="173">
        <f>SUMIFS('Summary by Division'!$F$6:$F$297,'Summary by Division'!$B$6:$B$297,$B77,'Summary by Division'!$A$6:$A$297,$B$73)</f>
        <v>0</v>
      </c>
      <c r="F77" s="189">
        <f>SUMIFS('Summary by Division'!$G$6:$G$297,'Summary by Division'!$B$6:$B$297,$B77,'Summary by Division'!$A$6:$A$297,$B$73)</f>
        <v>82</v>
      </c>
      <c r="G77" s="191">
        <f>SUMIFS('Summary by Division'!$H$6:$H$297,'Summary by Division'!$B$6:$B$297,$B77,'Summary by Division'!$A$6:$A$297,$B$73)</f>
        <v>89</v>
      </c>
      <c r="H77" s="191">
        <f t="shared" si="6"/>
        <v>7</v>
      </c>
      <c r="I77" s="177">
        <f t="shared" si="7"/>
        <v>8.5365853658536592E-2</v>
      </c>
    </row>
    <row r="78" spans="1:9" s="85" customFormat="1" x14ac:dyDescent="0.35">
      <c r="A78" s="169"/>
      <c r="B78" s="172" t="str">
        <f>'Summary by Division'!B265</f>
        <v>Ekvayrinq texnologiyaları sahəsi</v>
      </c>
      <c r="C78" s="173">
        <f>SUMIFS('Summary by Division'!$D$6:$D$297,'Summary by Division'!$B$6:$B$297,$B78,'Summary by Division'!$A$6:$A$297,$B$73)</f>
        <v>3</v>
      </c>
      <c r="D78" s="173">
        <f>SUMIFS('Summary by Division'!$E$6:$E$297,'Summary by Division'!$B$6:$B$297,$B78,'Summary by Division'!$A$6:$A$297,$B$73)</f>
        <v>0</v>
      </c>
      <c r="E78" s="173">
        <f>SUMIFS('Summary by Division'!$F$6:$F$297,'Summary by Division'!$B$6:$B$297,$B78,'Summary by Division'!$A$6:$A$297,$B$73)</f>
        <v>0</v>
      </c>
      <c r="F78" s="189">
        <f>SUMIFS('Summary by Division'!$G$6:$G$297,'Summary by Division'!$B$6:$B$297,$B78,'Summary by Division'!$A$6:$A$297,$B$73)</f>
        <v>3</v>
      </c>
      <c r="G78" s="191">
        <f>SUMIFS('Summary by Division'!$H$6:$H$297,'Summary by Division'!$B$6:$B$297,$B78,'Summary by Division'!$A$6:$A$297,$B$73)</f>
        <v>5</v>
      </c>
      <c r="H78" s="191">
        <f t="shared" si="6"/>
        <v>2</v>
      </c>
      <c r="I78" s="177">
        <f t="shared" si="7"/>
        <v>0.66666666666666663</v>
      </c>
    </row>
    <row r="79" spans="1:9" s="85" customFormat="1" x14ac:dyDescent="0.35">
      <c r="A79" s="169"/>
      <c r="B79" s="172" t="str">
        <f>'Summary by Division'!B266</f>
        <v>Kart biznesi ekspert mərkəzi</v>
      </c>
      <c r="C79" s="173">
        <f>SUMIFS('Summary by Division'!$D$6:$D$297,'Summary by Division'!$B$6:$B$297,$B79,'Summary by Division'!$A$6:$A$297,$B$73)</f>
        <v>11</v>
      </c>
      <c r="D79" s="173">
        <f>SUMIFS('Summary by Division'!$E$6:$E$297,'Summary by Division'!$B$6:$B$297,$B79,'Summary by Division'!$A$6:$A$297,$B$73)</f>
        <v>0</v>
      </c>
      <c r="E79" s="173">
        <f>SUMIFS('Summary by Division'!$F$6:$F$297,'Summary by Division'!$B$6:$B$297,$B79,'Summary by Division'!$A$6:$A$297,$B$73)</f>
        <v>0</v>
      </c>
      <c r="F79" s="189">
        <f>SUMIFS('Summary by Division'!$G$6:$G$297,'Summary by Division'!$B$6:$B$297,$B79,'Summary by Division'!$A$6:$A$297,$B$73)</f>
        <v>11</v>
      </c>
      <c r="G79" s="191">
        <f>SUMIFS('Summary by Division'!$H$6:$H$297,'Summary by Division'!$B$6:$B$297,$B79,'Summary by Division'!$A$6:$A$297,$B$73)</f>
        <v>14</v>
      </c>
      <c r="H79" s="191">
        <f t="shared" si="6"/>
        <v>3</v>
      </c>
      <c r="I79" s="177">
        <f t="shared" si="7"/>
        <v>0.27272727272727271</v>
      </c>
    </row>
    <row r="80" spans="1:9" s="85" customFormat="1" x14ac:dyDescent="0.35">
      <c r="A80" s="169"/>
      <c r="B80" s="172" t="str">
        <f>'Summary by Division'!B267</f>
        <v>Kart məhsulları sahəsi</v>
      </c>
      <c r="C80" s="173">
        <f>SUMIFS('Summary by Division'!$D$6:$D$297,'Summary by Division'!$B$6:$B$297,$B80,'Summary by Division'!$A$6:$A$297,$B$73)</f>
        <v>5</v>
      </c>
      <c r="D80" s="173">
        <f>SUMIFS('Summary by Division'!$E$6:$E$297,'Summary by Division'!$B$6:$B$297,$B80,'Summary by Division'!$A$6:$A$297,$B$73)</f>
        <v>0</v>
      </c>
      <c r="E80" s="173">
        <f>SUMIFS('Summary by Division'!$F$6:$F$297,'Summary by Division'!$B$6:$B$297,$B80,'Summary by Division'!$A$6:$A$297,$B$73)</f>
        <v>0</v>
      </c>
      <c r="F80" s="189">
        <f>SUMIFS('Summary by Division'!$G$6:$G$297,'Summary by Division'!$B$6:$B$297,$B80,'Summary by Division'!$A$6:$A$297,$B$73)</f>
        <v>5</v>
      </c>
      <c r="G80" s="191">
        <f>SUMIFS('Summary by Division'!$H$6:$H$297,'Summary by Division'!$B$6:$B$297,$B80,'Summary by Division'!$A$6:$A$297,$B$73)</f>
        <v>5</v>
      </c>
      <c r="H80" s="191">
        <f t="shared" si="6"/>
        <v>0</v>
      </c>
      <c r="I80" s="177">
        <f t="shared" si="7"/>
        <v>0</v>
      </c>
    </row>
    <row r="81" spans="1:9" s="85" customFormat="1" x14ac:dyDescent="0.35">
      <c r="A81" s="169"/>
      <c r="B81" s="172" t="str">
        <f>'Summary by Division'!B268</f>
        <v>Kassa və inkassasiya prosesləri departamenti</v>
      </c>
      <c r="C81" s="173">
        <f>SUMIFS('Summary by Division'!$D$6:$D$297,'Summary by Division'!$B$6:$B$297,$B81,'Summary by Division'!$A$6:$A$297,$B$73)</f>
        <v>440</v>
      </c>
      <c r="D81" s="173">
        <f>SUMIFS('Summary by Division'!$E$6:$E$297,'Summary by Division'!$B$6:$B$297,$B81,'Summary by Division'!$A$6:$A$297,$B$73)</f>
        <v>0</v>
      </c>
      <c r="E81" s="173">
        <f>SUMIFS('Summary by Division'!$F$6:$F$297,'Summary by Division'!$B$6:$B$297,$B81,'Summary by Division'!$A$6:$A$297,$B$73)</f>
        <v>0</v>
      </c>
      <c r="F81" s="189">
        <f>SUMIFS('Summary by Division'!$G$6:$G$297,'Summary by Division'!$B$6:$B$297,$B81,'Summary by Division'!$A$6:$A$297,$B$73)</f>
        <v>440</v>
      </c>
      <c r="G81" s="191">
        <f>SUMIFS('Summary by Division'!$H$6:$H$297,'Summary by Division'!$B$6:$B$297,$B81,'Summary by Division'!$A$6:$A$297,$B$73)</f>
        <v>470</v>
      </c>
      <c r="H81" s="191">
        <f t="shared" si="6"/>
        <v>30</v>
      </c>
      <c r="I81" s="177">
        <f t="shared" si="7"/>
        <v>6.8181818181818177E-2</v>
      </c>
    </row>
    <row r="82" spans="1:9" s="85" customFormat="1" x14ac:dyDescent="0.35">
      <c r="A82" s="169"/>
      <c r="B82" s="172" t="str">
        <f>'Summary by Division'!B269</f>
        <v>Nağd pulların idarə edilməsi departamenti</v>
      </c>
      <c r="C82" s="173">
        <f>SUMIFS('Summary by Division'!$D$6:$D$297,'Summary by Division'!$B$6:$B$297,$B82,'Summary by Division'!$A$6:$A$297,$B$73)</f>
        <v>36</v>
      </c>
      <c r="D82" s="173">
        <f>SUMIFS('Summary by Division'!$E$6:$E$297,'Summary by Division'!$B$6:$B$297,$B82,'Summary by Division'!$A$6:$A$297,$B$73)</f>
        <v>0</v>
      </c>
      <c r="E82" s="173">
        <f>SUMIFS('Summary by Division'!$F$6:$F$297,'Summary by Division'!$B$6:$B$297,$B82,'Summary by Division'!$A$6:$A$297,$B$73)</f>
        <v>0</v>
      </c>
      <c r="F82" s="189">
        <f>SUMIFS('Summary by Division'!$G$6:$G$297,'Summary by Division'!$B$6:$B$297,$B82,'Summary by Division'!$A$6:$A$297,$B$73)</f>
        <v>36</v>
      </c>
      <c r="G82" s="191">
        <f>SUMIFS('Summary by Division'!$H$6:$H$297,'Summary by Division'!$B$6:$B$297,$B82,'Summary by Division'!$A$6:$A$297,$B$73)</f>
        <v>48</v>
      </c>
      <c r="H82" s="191">
        <f t="shared" si="6"/>
        <v>12</v>
      </c>
      <c r="I82" s="177">
        <f t="shared" si="7"/>
        <v>0.33333333333333331</v>
      </c>
    </row>
    <row r="83" spans="1:9" s="85" customFormat="1" x14ac:dyDescent="0.35">
      <c r="A83" s="169"/>
      <c r="B83" s="172" t="str">
        <f>'Summary by Division'!B270</f>
        <v>Ödəniş biznesinin Agile funksional sahəsi</v>
      </c>
      <c r="C83" s="173">
        <f>SUMIFS('Summary by Division'!$D$6:$D$297,'Summary by Division'!$B$6:$B$297,$B83,'Summary by Division'!$A$6:$A$297,$B$73)</f>
        <v>15</v>
      </c>
      <c r="D83" s="173">
        <f>SUMIFS('Summary by Division'!$E$6:$E$297,'Summary by Division'!$B$6:$B$297,$B83,'Summary by Division'!$A$6:$A$297,$B$73)</f>
        <v>0</v>
      </c>
      <c r="E83" s="173">
        <f>SUMIFS('Summary by Division'!$F$6:$F$297,'Summary by Division'!$B$6:$B$297,$B83,'Summary by Division'!$A$6:$A$297,$B$73)</f>
        <v>0</v>
      </c>
      <c r="F83" s="189">
        <f>SUMIFS('Summary by Division'!$G$6:$G$297,'Summary by Division'!$B$6:$B$297,$B83,'Summary by Division'!$A$6:$A$297,$B$73)</f>
        <v>15</v>
      </c>
      <c r="G83" s="191">
        <f>SUMIFS('Summary by Division'!$H$6:$H$297,'Summary by Division'!$B$6:$B$297,$B83,'Summary by Division'!$A$6:$A$297,$B$73)</f>
        <v>15</v>
      </c>
      <c r="H83" s="191">
        <f t="shared" si="6"/>
        <v>0</v>
      </c>
      <c r="I83" s="177">
        <f t="shared" si="7"/>
        <v>0</v>
      </c>
    </row>
    <row r="84" spans="1:9" s="85" customFormat="1" x14ac:dyDescent="0.35">
      <c r="A84" s="169"/>
      <c r="B84" s="172" t="str">
        <f>'Summary by Division'!B271</f>
        <v>Ödəniş biznesinin Analitika və Aİ ekspert mərkəzi</v>
      </c>
      <c r="C84" s="173">
        <f>SUMIFS('Summary by Division'!$D$6:$D$297,'Summary by Division'!$B$6:$B$297,$B84,'Summary by Division'!$A$6:$A$297,$B$73)</f>
        <v>40</v>
      </c>
      <c r="D84" s="173">
        <f>SUMIFS('Summary by Division'!$E$6:$E$297,'Summary by Division'!$B$6:$B$297,$B84,'Summary by Division'!$A$6:$A$297,$B$73)</f>
        <v>0</v>
      </c>
      <c r="E84" s="173">
        <f>SUMIFS('Summary by Division'!$F$6:$F$297,'Summary by Division'!$B$6:$B$297,$B84,'Summary by Division'!$A$6:$A$297,$B$73)</f>
        <v>0</v>
      </c>
      <c r="F84" s="189">
        <f>SUMIFS('Summary by Division'!$G$6:$G$297,'Summary by Division'!$B$6:$B$297,$B84,'Summary by Division'!$A$6:$A$297,$B$73)</f>
        <v>40</v>
      </c>
      <c r="G84" s="191">
        <f>SUMIFS('Summary by Division'!$H$6:$H$297,'Summary by Division'!$B$6:$B$297,$B84,'Summary by Division'!$A$6:$A$297,$B$73)</f>
        <v>59</v>
      </c>
      <c r="H84" s="191">
        <f t="shared" si="6"/>
        <v>19</v>
      </c>
      <c r="I84" s="177">
        <f t="shared" si="7"/>
        <v>0.47499999999999998</v>
      </c>
    </row>
    <row r="85" spans="1:9" s="85" customFormat="1" x14ac:dyDescent="0.35">
      <c r="A85" s="169"/>
      <c r="B85" s="172" t="str">
        <f>'Summary by Division'!B272</f>
        <v>Ödəniş biznesinin arxitektura və İT idarəetmə prosesi</v>
      </c>
      <c r="C85" s="173">
        <f>SUMIFS('Summary by Division'!$D$6:$D$297,'Summary by Division'!$B$6:$B$297,$B85,'Summary by Division'!$A$6:$A$297,$B$73)</f>
        <v>4</v>
      </c>
      <c r="D85" s="173">
        <f>SUMIFS('Summary by Division'!$E$6:$E$297,'Summary by Division'!$B$6:$B$297,$B85,'Summary by Division'!$A$6:$A$297,$B$73)</f>
        <v>0</v>
      </c>
      <c r="E85" s="173">
        <f>SUMIFS('Summary by Division'!$F$6:$F$297,'Summary by Division'!$B$6:$B$297,$B85,'Summary by Division'!$A$6:$A$297,$B$73)</f>
        <v>0</v>
      </c>
      <c r="F85" s="189">
        <f>SUMIFS('Summary by Division'!$G$6:$G$297,'Summary by Division'!$B$6:$B$297,$B85,'Summary by Division'!$A$6:$A$297,$B$73)</f>
        <v>4</v>
      </c>
      <c r="G85" s="191">
        <f>SUMIFS('Summary by Division'!$H$6:$H$297,'Summary by Division'!$B$6:$B$297,$B85,'Summary by Division'!$A$6:$A$297,$B$73)</f>
        <v>4</v>
      </c>
      <c r="H85" s="191">
        <f t="shared" si="6"/>
        <v>0</v>
      </c>
      <c r="I85" s="177">
        <f t="shared" si="7"/>
        <v>0</v>
      </c>
    </row>
    <row r="86" spans="1:9" s="85" customFormat="1" x14ac:dyDescent="0.35">
      <c r="A86" s="169"/>
      <c r="B86" s="172" t="str">
        <f>'Summary by Division'!B273</f>
        <v>Ödəniş biznesinin mühəndislik ekspert mərkəzi</v>
      </c>
      <c r="C86" s="173">
        <f>SUMIFS('Summary by Division'!$D$6:$D$297,'Summary by Division'!$B$6:$B$297,$B86,'Summary by Division'!$A$6:$A$297,$B$73)</f>
        <v>243</v>
      </c>
      <c r="D86" s="173">
        <f>SUMIFS('Summary by Division'!$E$6:$E$297,'Summary by Division'!$B$6:$B$297,$B86,'Summary by Division'!$A$6:$A$297,$B$73)</f>
        <v>0</v>
      </c>
      <c r="E86" s="173">
        <f>SUMIFS('Summary by Division'!$F$6:$F$297,'Summary by Division'!$B$6:$B$297,$B86,'Summary by Division'!$A$6:$A$297,$B$73)</f>
        <v>0</v>
      </c>
      <c r="F86" s="189">
        <f>SUMIFS('Summary by Division'!$G$6:$G$297,'Summary by Division'!$B$6:$B$297,$B86,'Summary by Division'!$A$6:$A$297,$B$73)</f>
        <v>243</v>
      </c>
      <c r="G86" s="191">
        <f>SUMIFS('Summary by Division'!$H$6:$H$297,'Summary by Division'!$B$6:$B$297,$B86,'Summary by Division'!$A$6:$A$297,$B$73)</f>
        <v>267</v>
      </c>
      <c r="H86" s="191">
        <f t="shared" si="6"/>
        <v>24</v>
      </c>
      <c r="I86" s="177">
        <f t="shared" si="7"/>
        <v>9.8765432098765427E-2</v>
      </c>
    </row>
    <row r="87" spans="1:9" s="85" customFormat="1" x14ac:dyDescent="0.35">
      <c r="A87" s="169"/>
      <c r="B87" s="172" t="str">
        <f>'Summary by Division'!B274</f>
        <v>Ödəniş biznesinin TechOps funksional sahəsi</v>
      </c>
      <c r="C87" s="173">
        <f>SUMIFS('Summary by Division'!$D$6:$D$297,'Summary by Division'!$B$6:$B$297,$B87,'Summary by Division'!$A$6:$A$297,$B$73)</f>
        <v>17</v>
      </c>
      <c r="D87" s="173">
        <f>SUMIFS('Summary by Division'!$E$6:$E$297,'Summary by Division'!$B$6:$B$297,$B87,'Summary by Division'!$A$6:$A$297,$B$73)</f>
        <v>0</v>
      </c>
      <c r="E87" s="173">
        <f>SUMIFS('Summary by Division'!$F$6:$F$297,'Summary by Division'!$B$6:$B$297,$B87,'Summary by Division'!$A$6:$A$297,$B$73)</f>
        <v>0</v>
      </c>
      <c r="F87" s="189">
        <f>SUMIFS('Summary by Division'!$G$6:$G$297,'Summary by Division'!$B$6:$B$297,$B87,'Summary by Division'!$A$6:$A$297,$B$73)</f>
        <v>17</v>
      </c>
      <c r="G87" s="191">
        <f>SUMIFS('Summary by Division'!$H$6:$H$297,'Summary by Division'!$B$6:$B$297,$B87,'Summary by Division'!$A$6:$A$297,$B$73)</f>
        <v>23</v>
      </c>
      <c r="H87" s="191">
        <f t="shared" si="6"/>
        <v>6</v>
      </c>
      <c r="I87" s="177">
        <f t="shared" si="7"/>
        <v>0.35294117647058826</v>
      </c>
    </row>
    <row r="88" spans="1:9" s="85" customFormat="1" x14ac:dyDescent="0.35">
      <c r="A88" s="169"/>
      <c r="B88" s="172" t="str">
        <f>'Summary by Division'!B275</f>
        <v>Ödəniş əməliyyatları ofisi</v>
      </c>
      <c r="C88" s="173">
        <f>SUMIFS('Summary by Division'!$D$6:$D$297,'Summary by Division'!$B$6:$B$297,$B88,'Summary by Division'!$A$6:$A$297,$B$73)</f>
        <v>1</v>
      </c>
      <c r="D88" s="173">
        <f>SUMIFS('Summary by Division'!$E$6:$E$297,'Summary by Division'!$B$6:$B$297,$B88,'Summary by Division'!$A$6:$A$297,$B$73)</f>
        <v>0</v>
      </c>
      <c r="E88" s="173">
        <f>SUMIFS('Summary by Division'!$F$6:$F$297,'Summary by Division'!$B$6:$B$297,$B88,'Summary by Division'!$A$6:$A$297,$B$73)</f>
        <v>0</v>
      </c>
      <c r="F88" s="189">
        <f>SUMIFS('Summary by Division'!$G$6:$G$297,'Summary by Division'!$B$6:$B$297,$B88,'Summary by Division'!$A$6:$A$297,$B$73)</f>
        <v>1</v>
      </c>
      <c r="G88" s="191">
        <f>SUMIFS('Summary by Division'!$H$6:$H$297,'Summary by Division'!$B$6:$B$297,$B88,'Summary by Division'!$A$6:$A$297,$B$73)</f>
        <v>1</v>
      </c>
      <c r="H88" s="191">
        <f t="shared" si="6"/>
        <v>0</v>
      </c>
      <c r="I88" s="177">
        <f t="shared" si="7"/>
        <v>0</v>
      </c>
    </row>
    <row r="89" spans="1:9" s="85" customFormat="1" x14ac:dyDescent="0.35">
      <c r="A89" s="169"/>
      <c r="B89" s="172" t="str">
        <f>'Summary by Division'!B276</f>
        <v>Ödəniş platformaları sahəsi</v>
      </c>
      <c r="C89" s="173">
        <f>SUMIFS('Summary by Division'!$D$6:$D$297,'Summary by Division'!$B$6:$B$297,$B89,'Summary by Division'!$A$6:$A$297,$B$73)</f>
        <v>4</v>
      </c>
      <c r="D89" s="173">
        <f>SUMIFS('Summary by Division'!$E$6:$E$297,'Summary by Division'!$B$6:$B$297,$B89,'Summary by Division'!$A$6:$A$297,$B$73)</f>
        <v>0</v>
      </c>
      <c r="E89" s="173">
        <f>SUMIFS('Summary by Division'!$F$6:$F$297,'Summary by Division'!$B$6:$B$297,$B89,'Summary by Division'!$A$6:$A$297,$B$73)</f>
        <v>0</v>
      </c>
      <c r="F89" s="189">
        <f>SUMIFS('Summary by Division'!$G$6:$G$297,'Summary by Division'!$B$6:$B$297,$B89,'Summary by Division'!$A$6:$A$297,$B$73)</f>
        <v>4</v>
      </c>
      <c r="G89" s="191">
        <f>SUMIFS('Summary by Division'!$H$6:$H$297,'Summary by Division'!$B$6:$B$297,$B89,'Summary by Division'!$A$6:$A$297,$B$73)</f>
        <v>4</v>
      </c>
      <c r="H89" s="191">
        <f t="shared" si="6"/>
        <v>0</v>
      </c>
      <c r="I89" s="177">
        <f t="shared" si="7"/>
        <v>0</v>
      </c>
    </row>
    <row r="90" spans="1:9" s="85" customFormat="1" x14ac:dyDescent="0.35">
      <c r="A90" s="169"/>
      <c r="B90" s="172" t="str">
        <f>'Summary by Division'!B277</f>
        <v>Ödəniş və transferlər sahəsi</v>
      </c>
      <c r="C90" s="173">
        <f>SUMIFS('Summary by Division'!$D$6:$D$297,'Summary by Division'!$B$6:$B$297,$B90,'Summary by Division'!$A$6:$A$297,$B$73)</f>
        <v>2</v>
      </c>
      <c r="D90" s="173">
        <f>SUMIFS('Summary by Division'!$E$6:$E$297,'Summary by Division'!$B$6:$B$297,$B90,'Summary by Division'!$A$6:$A$297,$B$73)</f>
        <v>0</v>
      </c>
      <c r="E90" s="173">
        <f>SUMIFS('Summary by Division'!$F$6:$F$297,'Summary by Division'!$B$6:$B$297,$B90,'Summary by Division'!$A$6:$A$297,$B$73)</f>
        <v>0</v>
      </c>
      <c r="F90" s="189">
        <f>SUMIFS('Summary by Division'!$G$6:$G$297,'Summary by Division'!$B$6:$B$297,$B90,'Summary by Division'!$A$6:$A$297,$B$73)</f>
        <v>2</v>
      </c>
      <c r="G90" s="191">
        <f>SUMIFS('Summary by Division'!$H$6:$H$297,'Summary by Division'!$B$6:$B$297,$B90,'Summary by Division'!$A$6:$A$297,$B$73)</f>
        <v>4</v>
      </c>
      <c r="H90" s="191">
        <f t="shared" si="6"/>
        <v>2</v>
      </c>
      <c r="I90" s="177">
        <f t="shared" si="7"/>
        <v>1</v>
      </c>
    </row>
    <row r="91" spans="1:9" s="85" customFormat="1" x14ac:dyDescent="0.35">
      <c r="A91" s="169"/>
      <c r="B91" s="172" t="str">
        <f>'Summary by Division'!B278</f>
        <v>Özünəxidmət terminalları sahəsi</v>
      </c>
      <c r="C91" s="173">
        <f>SUMIFS('Summary by Division'!$D$6:$D$297,'Summary by Division'!$B$6:$B$297,$B91,'Summary by Division'!$A$6:$A$297,$B$73)</f>
        <v>1</v>
      </c>
      <c r="D91" s="173">
        <f>SUMIFS('Summary by Division'!$E$6:$E$297,'Summary by Division'!$B$6:$B$297,$B91,'Summary by Division'!$A$6:$A$297,$B$73)</f>
        <v>0</v>
      </c>
      <c r="E91" s="173">
        <f>SUMIFS('Summary by Division'!$F$6:$F$297,'Summary by Division'!$B$6:$B$297,$B91,'Summary by Division'!$A$6:$A$297,$B$73)</f>
        <v>0</v>
      </c>
      <c r="F91" s="189">
        <f>SUMIFS('Summary by Division'!$G$6:$G$297,'Summary by Division'!$B$6:$B$297,$B91,'Summary by Division'!$A$6:$A$297,$B$73)</f>
        <v>1</v>
      </c>
      <c r="G91" s="191">
        <f>SUMIFS('Summary by Division'!$H$6:$H$297,'Summary by Division'!$B$6:$B$297,$B91,'Summary by Division'!$A$6:$A$297,$B$73)</f>
        <v>2</v>
      </c>
      <c r="H91" s="191">
        <f t="shared" si="6"/>
        <v>1</v>
      </c>
      <c r="I91" s="177">
        <f t="shared" si="7"/>
        <v>1</v>
      </c>
    </row>
    <row r="92" spans="1:9" s="85" customFormat="1" x14ac:dyDescent="0.35">
      <c r="A92" s="169"/>
      <c r="B92" s="172" t="str">
        <f>'Summary by Division'!B279</f>
        <v>Prosessinq sahəsi</v>
      </c>
      <c r="C92" s="173">
        <f>SUMIFS('Summary by Division'!$D$6:$D$297,'Summary by Division'!$B$6:$B$297,$B92,'Summary by Division'!$A$6:$A$297,$B$73)</f>
        <v>2</v>
      </c>
      <c r="D92" s="173">
        <f>SUMIFS('Summary by Division'!$E$6:$E$297,'Summary by Division'!$B$6:$B$297,$B92,'Summary by Division'!$A$6:$A$297,$B$73)</f>
        <v>0</v>
      </c>
      <c r="E92" s="173">
        <f>SUMIFS('Summary by Division'!$F$6:$F$297,'Summary by Division'!$B$6:$B$297,$B92,'Summary by Division'!$A$6:$A$297,$B$73)</f>
        <v>0</v>
      </c>
      <c r="F92" s="189">
        <f>SUMIFS('Summary by Division'!$G$6:$G$297,'Summary by Division'!$B$6:$B$297,$B92,'Summary by Division'!$A$6:$A$297,$B$73)</f>
        <v>2</v>
      </c>
      <c r="G92" s="191">
        <f>SUMIFS('Summary by Division'!$H$6:$H$297,'Summary by Division'!$B$6:$B$297,$B92,'Summary by Division'!$A$6:$A$297,$B$73)</f>
        <v>3</v>
      </c>
      <c r="H92" s="191">
        <f t="shared" si="6"/>
        <v>1</v>
      </c>
      <c r="I92" s="177">
        <f t="shared" si="7"/>
        <v>0.5</v>
      </c>
    </row>
    <row r="93" spans="1:9" s="85" customFormat="1" x14ac:dyDescent="0.35">
      <c r="A93" s="169"/>
      <c r="B93" s="172" t="str">
        <f>'Summary by Division'!B280</f>
        <v>Rəqəmsal dələduzluğa qarşı mübarizə departamenti</v>
      </c>
      <c r="C93" s="173">
        <f>SUMIFS('Summary by Division'!$D$6:$D$297,'Summary by Division'!$B$6:$B$297,$B93,'Summary by Division'!$A$6:$A$297,$B$73)</f>
        <v>14</v>
      </c>
      <c r="D93" s="173">
        <f>SUMIFS('Summary by Division'!$E$6:$E$297,'Summary by Division'!$B$6:$B$297,$B93,'Summary by Division'!$A$6:$A$297,$B$73)</f>
        <v>0</v>
      </c>
      <c r="E93" s="173">
        <f>SUMIFS('Summary by Division'!$F$6:$F$297,'Summary by Division'!$B$6:$B$297,$B93,'Summary by Division'!$A$6:$A$297,$B$73)</f>
        <v>0</v>
      </c>
      <c r="F93" s="189">
        <f>SUMIFS('Summary by Division'!$G$6:$G$297,'Summary by Division'!$B$6:$B$297,$B93,'Summary by Division'!$A$6:$A$297,$B$73)</f>
        <v>14</v>
      </c>
      <c r="G93" s="191">
        <f>SUMIFS('Summary by Division'!$H$6:$H$297,'Summary by Division'!$B$6:$B$297,$B93,'Summary by Division'!$A$6:$A$297,$B$73)</f>
        <v>17</v>
      </c>
      <c r="H93" s="191">
        <f t="shared" si="6"/>
        <v>3</v>
      </c>
      <c r="I93" s="177">
        <f t="shared" si="7"/>
        <v>0.21428571428571427</v>
      </c>
    </row>
    <row r="94" spans="1:9" s="85" customFormat="1" x14ac:dyDescent="0.35">
      <c r="A94" s="169"/>
      <c r="B94" s="172" t="str">
        <f>'Summary by Division'!B281</f>
        <v>Texniki dəstək departamenti</v>
      </c>
      <c r="C94" s="173">
        <f>SUMIFS('Summary by Division'!$D$6:$D$297,'Summary by Division'!$B$6:$B$297,$B94,'Summary by Division'!$A$6:$A$297,$B$73)</f>
        <v>57</v>
      </c>
      <c r="D94" s="173">
        <f>SUMIFS('Summary by Division'!$E$6:$E$297,'Summary by Division'!$B$6:$B$297,$B94,'Summary by Division'!$A$6:$A$297,$B$73)</f>
        <v>0</v>
      </c>
      <c r="E94" s="173">
        <f>SUMIFS('Summary by Division'!$F$6:$F$297,'Summary by Division'!$B$6:$B$297,$B94,'Summary by Division'!$A$6:$A$297,$B$73)</f>
        <v>0</v>
      </c>
      <c r="F94" s="189">
        <f>SUMIFS('Summary by Division'!$G$6:$G$297,'Summary by Division'!$B$6:$B$297,$B94,'Summary by Division'!$A$6:$A$297,$B$73)</f>
        <v>57</v>
      </c>
      <c r="G94" s="191">
        <f>SUMIFS('Summary by Division'!$H$6:$H$297,'Summary by Division'!$B$6:$B$297,$B94,'Summary by Division'!$A$6:$A$297,$B$73)</f>
        <v>64</v>
      </c>
      <c r="H94" s="191">
        <f t="shared" si="6"/>
        <v>7</v>
      </c>
      <c r="I94" s="177">
        <f t="shared" si="7"/>
        <v>0.12280701754385964</v>
      </c>
    </row>
    <row r="95" spans="1:9" s="85" customFormat="1" x14ac:dyDescent="0.35">
      <c r="A95" s="169"/>
      <c r="B95" s="172" t="str">
        <f>'Summary by Division'!B282</f>
        <v>Terminal and ATM department</v>
      </c>
      <c r="C95" s="173">
        <f>SUMIFS('Summary by Division'!$D$6:$D$297,'Summary by Division'!$B$6:$B$297,$B95,'Summary by Division'!$A$6:$A$297,$B$73)</f>
        <v>27</v>
      </c>
      <c r="D95" s="173">
        <f>SUMIFS('Summary by Division'!$E$6:$E$297,'Summary by Division'!$B$6:$B$297,$B95,'Summary by Division'!$A$6:$A$297,$B$73)</f>
        <v>0</v>
      </c>
      <c r="E95" s="173">
        <f>SUMIFS('Summary by Division'!$F$6:$F$297,'Summary by Division'!$B$6:$B$297,$B95,'Summary by Division'!$A$6:$A$297,$B$73)</f>
        <v>0</v>
      </c>
      <c r="F95" s="189">
        <f>SUMIFS('Summary by Division'!$G$6:$G$297,'Summary by Division'!$B$6:$B$297,$B95,'Summary by Division'!$A$6:$A$297,$B$73)</f>
        <v>27</v>
      </c>
      <c r="G95" s="191">
        <f>SUMIFS('Summary by Division'!$H$6:$H$297,'Summary by Division'!$B$6:$B$297,$B95,'Summary by Division'!$A$6:$A$297,$B$73)</f>
        <v>27</v>
      </c>
      <c r="H95" s="191">
        <f t="shared" si="6"/>
        <v>0</v>
      </c>
      <c r="I95" s="177">
        <f t="shared" si="7"/>
        <v>0</v>
      </c>
    </row>
    <row r="96" spans="1:9" s="85" customFormat="1" x14ac:dyDescent="0.35">
      <c r="A96" s="169"/>
      <c r="B96" s="172" t="str">
        <f>'Summary by Division'!B283</f>
        <v>Terminal business support department</v>
      </c>
      <c r="C96" s="173">
        <f>SUMIFS('Summary by Division'!$D$6:$D$297,'Summary by Division'!$B$6:$B$297,$B96,'Summary by Division'!$A$6:$A$297,$B$73)</f>
        <v>136</v>
      </c>
      <c r="D96" s="173">
        <f>SUMIFS('Summary by Division'!$E$6:$E$297,'Summary by Division'!$B$6:$B$297,$B96,'Summary by Division'!$A$6:$A$297,$B$73)</f>
        <v>0</v>
      </c>
      <c r="E96" s="173">
        <f>SUMIFS('Summary by Division'!$F$6:$F$297,'Summary by Division'!$B$6:$B$297,$B96,'Summary by Division'!$A$6:$A$297,$B$73)</f>
        <v>0</v>
      </c>
      <c r="F96" s="189">
        <f>SUMIFS('Summary by Division'!$G$6:$G$297,'Summary by Division'!$B$6:$B$297,$B96,'Summary by Division'!$A$6:$A$297,$B$73)</f>
        <v>136</v>
      </c>
      <c r="G96" s="191">
        <f>SUMIFS('Summary by Division'!$H$6:$H$297,'Summary by Division'!$B$6:$B$297,$B96,'Summary by Division'!$A$6:$A$297,$B$73)</f>
        <v>137</v>
      </c>
      <c r="H96" s="191">
        <f t="shared" si="6"/>
        <v>1</v>
      </c>
      <c r="I96" s="177">
        <f t="shared" si="7"/>
        <v>7.3529411764705881E-3</v>
      </c>
    </row>
    <row r="97" spans="1:9" s="85" customFormat="1" x14ac:dyDescent="0.35">
      <c r="A97" s="169"/>
      <c r="B97" s="172" t="str">
        <f>'Summary by Division'!B284</f>
        <v>Financial management department</v>
      </c>
      <c r="C97" s="173">
        <f>SUMIFS('Summary by Division'!$D$6:$D$297,'Summary by Division'!$B$6:$B$297,$B97,'Summary by Division'!$A$6:$A$297,$B$73)</f>
        <v>13</v>
      </c>
      <c r="D97" s="173">
        <f>SUMIFS('Summary by Division'!$E$6:$E$297,'Summary by Division'!$B$6:$B$297,$B97,'Summary by Division'!$A$6:$A$297,$B$73)</f>
        <v>0</v>
      </c>
      <c r="E97" s="173">
        <f>SUMIFS('Summary by Division'!$F$6:$F$297,'Summary by Division'!$B$6:$B$297,$B97,'Summary by Division'!$A$6:$A$297,$B$73)</f>
        <v>4</v>
      </c>
      <c r="F97" s="189">
        <f>SUMIFS('Summary by Division'!$G$6:$G$297,'Summary by Division'!$B$6:$B$297,$B97,'Summary by Division'!$A$6:$A$297,$B$73)</f>
        <v>17</v>
      </c>
      <c r="G97" s="191">
        <f>SUMIFS('Summary by Division'!$H$6:$H$297,'Summary by Division'!$B$6:$B$297,$B97,'Summary by Division'!$A$6:$A$297,$B$73)</f>
        <v>19</v>
      </c>
      <c r="H97" s="191">
        <f t="shared" si="6"/>
        <v>6</v>
      </c>
      <c r="I97" s="177">
        <f t="shared" si="7"/>
        <v>0.46153846153846156</v>
      </c>
    </row>
    <row r="98" spans="1:9" s="85" customFormat="1" x14ac:dyDescent="0.35">
      <c r="A98" s="169"/>
      <c r="B98" s="172" t="str">
        <f>'Summary by Division'!B285</f>
        <v>Customer excellence department</v>
      </c>
      <c r="C98" s="173">
        <f>SUMIFS('Summary by Division'!$D$6:$D$297,'Summary by Division'!$B$6:$B$297,$B98,'Summary by Division'!$A$6:$A$297,$B$73)</f>
        <v>117</v>
      </c>
      <c r="D98" s="173">
        <f>SUMIFS('Summary by Division'!$E$6:$E$297,'Summary by Division'!$B$6:$B$297,$B98,'Summary by Division'!$A$6:$A$297,$B$73)</f>
        <v>0</v>
      </c>
      <c r="E98" s="173">
        <f>SUMIFS('Summary by Division'!$F$6:$F$297,'Summary by Division'!$B$6:$B$297,$B98,'Summary by Division'!$A$6:$A$297,$B$73)</f>
        <v>16</v>
      </c>
      <c r="F98" s="189">
        <f>SUMIFS('Summary by Division'!$G$6:$G$297,'Summary by Division'!$B$6:$B$297,$B98,'Summary by Division'!$A$6:$A$297,$B$73)</f>
        <v>133</v>
      </c>
      <c r="G98" s="191">
        <f>SUMIFS('Summary by Division'!$H$6:$H$297,'Summary by Division'!$B$6:$B$297,$B98,'Summary by Division'!$A$6:$A$297,$B$73)</f>
        <v>133</v>
      </c>
      <c r="H98" s="191">
        <f t="shared" si="6"/>
        <v>16</v>
      </c>
      <c r="I98" s="177">
        <f t="shared" si="7"/>
        <v>0.13675213675213677</v>
      </c>
    </row>
    <row r="99" spans="1:9" s="85" customFormat="1" x14ac:dyDescent="0.35">
      <c r="A99" s="169"/>
      <c r="B99" s="172" t="str">
        <f>'Summary by Division'!B286</f>
        <v>Settlements department</v>
      </c>
      <c r="C99" s="173">
        <f>SUMIFS('Summary by Division'!$D$6:$D$297,'Summary by Division'!$B$6:$B$297,$B99,'Summary by Division'!$A$6:$A$297,$B$73)</f>
        <v>13</v>
      </c>
      <c r="D99" s="173">
        <f>SUMIFS('Summary by Division'!$E$6:$E$297,'Summary by Division'!$B$6:$B$297,$B99,'Summary by Division'!$A$6:$A$297,$B$73)</f>
        <v>0</v>
      </c>
      <c r="E99" s="173">
        <f>SUMIFS('Summary by Division'!$F$6:$F$297,'Summary by Division'!$B$6:$B$297,$B99,'Summary by Division'!$A$6:$A$297,$B$73)</f>
        <v>2</v>
      </c>
      <c r="F99" s="189">
        <f>SUMIFS('Summary by Division'!$G$6:$G$297,'Summary by Division'!$B$6:$B$297,$B99,'Summary by Division'!$A$6:$A$297,$B$73)</f>
        <v>15</v>
      </c>
      <c r="G99" s="191">
        <f>SUMIFS('Summary by Division'!$H$6:$H$297,'Summary by Division'!$B$6:$B$297,$B99,'Summary by Division'!$A$6:$A$297,$B$73)</f>
        <v>15</v>
      </c>
      <c r="H99" s="191">
        <f t="shared" si="6"/>
        <v>2</v>
      </c>
      <c r="I99" s="177">
        <f t="shared" si="7"/>
        <v>0.15384615384615385</v>
      </c>
    </row>
    <row r="100" spans="1:9" s="85" customFormat="1" x14ac:dyDescent="0.35">
      <c r="A100" s="169"/>
      <c r="B100" s="172" t="str">
        <f>'Summary by Division'!B287</f>
        <v>Talent management department</v>
      </c>
      <c r="C100" s="173">
        <f>SUMIFS('Summary by Division'!$D$6:$D$297,'Summary by Division'!$B$6:$B$297,$B100,'Summary by Division'!$A$6:$A$297,$B$73)</f>
        <v>2</v>
      </c>
      <c r="D100" s="173">
        <f>SUMIFS('Summary by Division'!$E$6:$E$297,'Summary by Division'!$B$6:$B$297,$B100,'Summary by Division'!$A$6:$A$297,$B$73)</f>
        <v>0</v>
      </c>
      <c r="E100" s="173">
        <f>SUMIFS('Summary by Division'!$F$6:$F$297,'Summary by Division'!$B$6:$B$297,$B100,'Summary by Division'!$A$6:$A$297,$B$73)</f>
        <v>2</v>
      </c>
      <c r="F100" s="189">
        <f>SUMIFS('Summary by Division'!$G$6:$G$297,'Summary by Division'!$B$6:$B$297,$B100,'Summary by Division'!$A$6:$A$297,$B$73)</f>
        <v>4</v>
      </c>
      <c r="G100" s="191">
        <f>SUMIFS('Summary by Division'!$H$6:$H$297,'Summary by Division'!$B$6:$B$297,$B100,'Summary by Division'!$A$6:$A$297,$B$73)</f>
        <v>4</v>
      </c>
      <c r="H100" s="191">
        <f t="shared" si="6"/>
        <v>2</v>
      </c>
      <c r="I100" s="177">
        <f t="shared" si="7"/>
        <v>1</v>
      </c>
    </row>
    <row r="101" spans="1:9" s="85" customFormat="1" x14ac:dyDescent="0.35">
      <c r="A101" s="169"/>
      <c r="B101" s="172" t="str">
        <f>'Summary by Division'!B288</f>
        <v>Accounting department</v>
      </c>
      <c r="C101" s="173">
        <f>SUMIFS('Summary by Division'!$D$6:$D$297,'Summary by Division'!$B$6:$B$297,$B101,'Summary by Division'!$A$6:$A$297,$B$73)</f>
        <v>1</v>
      </c>
      <c r="D101" s="173">
        <f>SUMIFS('Summary by Division'!$E$6:$E$297,'Summary by Division'!$B$6:$B$297,$B101,'Summary by Division'!$A$6:$A$297,$B$73)</f>
        <v>0</v>
      </c>
      <c r="E101" s="173">
        <f>SUMIFS('Summary by Division'!$F$6:$F$297,'Summary by Division'!$B$6:$B$297,$B101,'Summary by Division'!$A$6:$A$297,$B$73)</f>
        <v>0</v>
      </c>
      <c r="F101" s="189">
        <f>SUMIFS('Summary by Division'!$G$6:$G$297,'Summary by Division'!$B$6:$B$297,$B101,'Summary by Division'!$A$6:$A$297,$B$73)</f>
        <v>1</v>
      </c>
      <c r="G101" s="191">
        <f>SUMIFS('Summary by Division'!$H$6:$H$297,'Summary by Division'!$B$6:$B$297,$B101,'Summary by Division'!$A$6:$A$297,$B$73)</f>
        <v>1</v>
      </c>
      <c r="H101" s="191">
        <f t="shared" si="6"/>
        <v>0</v>
      </c>
      <c r="I101" s="177">
        <f t="shared" si="7"/>
        <v>0</v>
      </c>
    </row>
    <row r="102" spans="1:9" s="85" customFormat="1" x14ac:dyDescent="0.35">
      <c r="A102" s="169"/>
      <c r="B102" s="172" t="str">
        <f>'Summary by Division'!B289</f>
        <v>Encashment division</v>
      </c>
      <c r="C102" s="173">
        <f>SUMIFS('Summary by Division'!$D$6:$D$297,'Summary by Division'!$B$6:$B$297,$B102,'Summary by Division'!$A$6:$A$297,$B$73)</f>
        <v>170</v>
      </c>
      <c r="D102" s="173">
        <f>SUMIFS('Summary by Division'!$E$6:$E$297,'Summary by Division'!$B$6:$B$297,$B102,'Summary by Division'!$A$6:$A$297,$B$73)</f>
        <v>0</v>
      </c>
      <c r="E102" s="173">
        <f>SUMIFS('Summary by Division'!$F$6:$F$297,'Summary by Division'!$B$6:$B$297,$B102,'Summary by Division'!$A$6:$A$297,$B$73)</f>
        <v>21</v>
      </c>
      <c r="F102" s="189">
        <f>SUMIFS('Summary by Division'!$G$6:$G$297,'Summary by Division'!$B$6:$B$297,$B102,'Summary by Division'!$A$6:$A$297,$B$73)</f>
        <v>191</v>
      </c>
      <c r="G102" s="191">
        <f>SUMIFS('Summary by Division'!$H$6:$H$297,'Summary by Division'!$B$6:$B$297,$B102,'Summary by Division'!$A$6:$A$297,$B$73)</f>
        <v>191</v>
      </c>
      <c r="H102" s="191">
        <f t="shared" si="6"/>
        <v>21</v>
      </c>
      <c r="I102" s="177">
        <f t="shared" si="7"/>
        <v>0.12352941176470589</v>
      </c>
    </row>
    <row r="103" spans="1:9" s="85" customFormat="1" x14ac:dyDescent="0.35">
      <c r="A103" s="169"/>
      <c r="B103" s="172" t="str">
        <f>'Summary by Division'!B290</f>
        <v>Fraud prevention division</v>
      </c>
      <c r="C103" s="173">
        <f>SUMIFS('Summary by Division'!$D$6:$D$297,'Summary by Division'!$B$6:$B$297,$B103,'Summary by Division'!$A$6:$A$297,$B$73)</f>
        <v>10</v>
      </c>
      <c r="D103" s="173">
        <f>SUMIFS('Summary by Division'!$E$6:$E$297,'Summary by Division'!$B$6:$B$297,$B103,'Summary by Division'!$A$6:$A$297,$B$73)</f>
        <v>0</v>
      </c>
      <c r="E103" s="173">
        <f>SUMIFS('Summary by Division'!$F$6:$F$297,'Summary by Division'!$B$6:$B$297,$B103,'Summary by Division'!$A$6:$A$297,$B$73)</f>
        <v>0</v>
      </c>
      <c r="F103" s="189">
        <f>SUMIFS('Summary by Division'!$G$6:$G$297,'Summary by Division'!$B$6:$B$297,$B103,'Summary by Division'!$A$6:$A$297,$B$73)</f>
        <v>10</v>
      </c>
      <c r="G103" s="191">
        <f>SUMIFS('Summary by Division'!$H$6:$H$297,'Summary by Division'!$B$6:$B$297,$B103,'Summary by Division'!$A$6:$A$297,$B$73)</f>
        <v>10</v>
      </c>
      <c r="H103" s="191">
        <f t="shared" si="6"/>
        <v>0</v>
      </c>
      <c r="I103" s="177">
        <f t="shared" si="7"/>
        <v>0</v>
      </c>
    </row>
    <row r="104" spans="1:9" s="85" customFormat="1" x14ac:dyDescent="0.35">
      <c r="A104" s="169"/>
      <c r="B104" s="172" t="str">
        <f>'Summary by Division'!B291</f>
        <v>IT Division</v>
      </c>
      <c r="C104" s="173">
        <f>SUMIFS('Summary by Division'!$D$6:$D$297,'Summary by Division'!$B$6:$B$297,$B104,'Summary by Division'!$A$6:$A$297,$B$73)</f>
        <v>11</v>
      </c>
      <c r="D104" s="173">
        <f>SUMIFS('Summary by Division'!$E$6:$E$297,'Summary by Division'!$B$6:$B$297,$B104,'Summary by Division'!$A$6:$A$297,$B$73)</f>
        <v>0</v>
      </c>
      <c r="E104" s="173">
        <f>SUMIFS('Summary by Division'!$F$6:$F$297,'Summary by Division'!$B$6:$B$297,$B104,'Summary by Division'!$A$6:$A$297,$B$73)</f>
        <v>0</v>
      </c>
      <c r="F104" s="189">
        <f>SUMIFS('Summary by Division'!$G$6:$G$297,'Summary by Division'!$B$6:$B$297,$B104,'Summary by Division'!$A$6:$A$297,$B$73)</f>
        <v>11</v>
      </c>
      <c r="G104" s="191">
        <f>SUMIFS('Summary by Division'!$H$6:$H$297,'Summary by Division'!$B$6:$B$297,$B104,'Summary by Division'!$A$6:$A$297,$B$73)</f>
        <v>11</v>
      </c>
      <c r="H104" s="191">
        <f t="shared" si="6"/>
        <v>0</v>
      </c>
      <c r="I104" s="177">
        <f t="shared" si="7"/>
        <v>0</v>
      </c>
    </row>
    <row r="105" spans="1:9" s="85" customFormat="1" x14ac:dyDescent="0.35">
      <c r="A105" s="169"/>
      <c r="B105" s="172" t="str">
        <f>'Summary by Division'!B292</f>
        <v>Business optimization division</v>
      </c>
      <c r="C105" s="173">
        <f>SUMIFS('Summary by Division'!$D$6:$D$297,'Summary by Division'!$B$6:$B$297,$B105,'Summary by Division'!$A$6:$A$297,$B$73)</f>
        <v>1</v>
      </c>
      <c r="D105" s="173">
        <f>SUMIFS('Summary by Division'!$E$6:$E$297,'Summary by Division'!$B$6:$B$297,$B105,'Summary by Division'!$A$6:$A$297,$B$73)</f>
        <v>0</v>
      </c>
      <c r="E105" s="173">
        <f>SUMIFS('Summary by Division'!$F$6:$F$297,'Summary by Division'!$B$6:$B$297,$B105,'Summary by Division'!$A$6:$A$297,$B$73)</f>
        <v>0</v>
      </c>
      <c r="F105" s="189">
        <f>SUMIFS('Summary by Division'!$G$6:$G$297,'Summary by Division'!$B$6:$B$297,$B105,'Summary by Division'!$A$6:$A$297,$B$73)</f>
        <v>1</v>
      </c>
      <c r="G105" s="191">
        <f>SUMIFS('Summary by Division'!$H$6:$H$297,'Summary by Division'!$B$6:$B$297,$B105,'Summary by Division'!$A$6:$A$297,$B$73)</f>
        <v>1</v>
      </c>
      <c r="H105" s="191">
        <f t="shared" si="6"/>
        <v>0</v>
      </c>
      <c r="I105" s="177">
        <f t="shared" si="7"/>
        <v>0</v>
      </c>
    </row>
    <row r="106" spans="1:9" s="85" customFormat="1" x14ac:dyDescent="0.35">
      <c r="A106" s="169"/>
      <c r="B106" s="172" t="str">
        <f>'Summary by Division'!B293</f>
        <v>Products division</v>
      </c>
      <c r="C106" s="173">
        <f>SUMIFS('Summary by Division'!$D$6:$D$297,'Summary by Division'!$B$6:$B$297,$B106,'Summary by Division'!$A$6:$A$297,$B$73)</f>
        <v>20</v>
      </c>
      <c r="D106" s="173">
        <f>SUMIFS('Summary by Division'!$E$6:$E$297,'Summary by Division'!$B$6:$B$297,$B106,'Summary by Division'!$A$6:$A$297,$B$73)</f>
        <v>0</v>
      </c>
      <c r="E106" s="173">
        <f>SUMIFS('Summary by Division'!$F$6:$F$297,'Summary by Division'!$B$6:$B$297,$B106,'Summary by Division'!$A$6:$A$297,$B$73)</f>
        <v>0</v>
      </c>
      <c r="F106" s="189">
        <f>SUMIFS('Summary by Division'!$G$6:$G$297,'Summary by Division'!$B$6:$B$297,$B106,'Summary by Division'!$A$6:$A$297,$B$73)</f>
        <v>20</v>
      </c>
      <c r="G106" s="191">
        <f>SUMIFS('Summary by Division'!$H$6:$H$297,'Summary by Division'!$B$6:$B$297,$B106,'Summary by Division'!$A$6:$A$297,$B$73)</f>
        <v>18</v>
      </c>
      <c r="H106" s="191">
        <f t="shared" si="6"/>
        <v>-2</v>
      </c>
      <c r="I106" s="177">
        <f t="shared" si="7"/>
        <v>-0.1</v>
      </c>
    </row>
    <row r="107" spans="1:9" s="85" customFormat="1" x14ac:dyDescent="0.35">
      <c r="A107" s="169"/>
      <c r="B107" s="172" t="str">
        <f>'Summary by Division'!B294</f>
        <v>Cross-border and sales tribe</v>
      </c>
      <c r="C107" s="173">
        <f>SUMIFS('Summary by Division'!$D$6:$D$297,'Summary by Division'!$B$6:$B$297,$B107,'Summary by Division'!$A$6:$A$297,$B$73)</f>
        <v>11</v>
      </c>
      <c r="D107" s="173">
        <f>SUMIFS('Summary by Division'!$E$6:$E$297,'Summary by Division'!$B$6:$B$297,$B107,'Summary by Division'!$A$6:$A$297,$B$73)</f>
        <v>0</v>
      </c>
      <c r="E107" s="173">
        <f>SUMIFS('Summary by Division'!$F$6:$F$297,'Summary by Division'!$B$6:$B$297,$B107,'Summary by Division'!$A$6:$A$297,$B$73)</f>
        <v>1</v>
      </c>
      <c r="F107" s="189">
        <f>SUMIFS('Summary by Division'!$G$6:$G$297,'Summary by Division'!$B$6:$B$297,$B107,'Summary by Division'!$A$6:$A$297,$B$73)</f>
        <v>12</v>
      </c>
      <c r="G107" s="191">
        <f>SUMIFS('Summary by Division'!$H$6:$H$297,'Summary by Division'!$B$6:$B$297,$B107,'Summary by Division'!$A$6:$A$297,$B$73)</f>
        <v>12</v>
      </c>
      <c r="H107" s="191">
        <f t="shared" si="6"/>
        <v>1</v>
      </c>
      <c r="I107" s="177">
        <f t="shared" si="7"/>
        <v>9.0909090909090912E-2</v>
      </c>
    </row>
    <row r="108" spans="1:9" s="85" customFormat="1" x14ac:dyDescent="0.35">
      <c r="A108" s="169"/>
      <c r="B108" s="172" t="str">
        <f>'Summary by Division'!B295</f>
        <v>Internal control division</v>
      </c>
      <c r="C108" s="173">
        <f>SUMIFS('Summary by Division'!$D$6:$D$297,'Summary by Division'!$B$6:$B$297,$B108,'Summary by Division'!$A$6:$A$297,$B$73)</f>
        <v>3</v>
      </c>
      <c r="D108" s="173">
        <f>SUMIFS('Summary by Division'!$E$6:$E$297,'Summary by Division'!$B$6:$B$297,$B108,'Summary by Division'!$A$6:$A$297,$B$73)</f>
        <v>0</v>
      </c>
      <c r="E108" s="173">
        <f>SUMIFS('Summary by Division'!$F$6:$F$297,'Summary by Division'!$B$6:$B$297,$B108,'Summary by Division'!$A$6:$A$297,$B$73)</f>
        <v>0</v>
      </c>
      <c r="F108" s="189">
        <f>SUMIFS('Summary by Division'!$G$6:$G$297,'Summary by Division'!$B$6:$B$297,$B108,'Summary by Division'!$A$6:$A$297,$B$73)</f>
        <v>3</v>
      </c>
      <c r="G108" s="191">
        <f>SUMIFS('Summary by Division'!$H$6:$H$297,'Summary by Division'!$B$6:$B$297,$B108,'Summary by Division'!$A$6:$A$297,$B$73)</f>
        <v>3</v>
      </c>
      <c r="H108" s="191">
        <f t="shared" si="6"/>
        <v>0</v>
      </c>
      <c r="I108" s="177">
        <f t="shared" si="7"/>
        <v>0</v>
      </c>
    </row>
    <row r="109" spans="1:9" s="85" customFormat="1" x14ac:dyDescent="0.35">
      <c r="A109" s="169"/>
      <c r="B109" s="172" t="str">
        <f>'Summary by Division'!B296</f>
        <v>Legal division</v>
      </c>
      <c r="C109" s="173">
        <f>SUMIFS('Summary by Division'!$D$6:$D$297,'Summary by Division'!$B$6:$B$297,$B109,'Summary by Division'!$A$6:$A$297,$B$73)</f>
        <v>3</v>
      </c>
      <c r="D109" s="173">
        <f>SUMIFS('Summary by Division'!$E$6:$E$297,'Summary by Division'!$B$6:$B$297,$B109,'Summary by Division'!$A$6:$A$297,$B$73)</f>
        <v>0</v>
      </c>
      <c r="E109" s="173">
        <f>SUMIFS('Summary by Division'!$F$6:$F$297,'Summary by Division'!$B$6:$B$297,$B109,'Summary by Division'!$A$6:$A$297,$B$73)</f>
        <v>1</v>
      </c>
      <c r="F109" s="189">
        <f>SUMIFS('Summary by Division'!$G$6:$G$297,'Summary by Division'!$B$6:$B$297,$B109,'Summary by Division'!$A$6:$A$297,$B$73)</f>
        <v>4</v>
      </c>
      <c r="G109" s="191">
        <f>SUMIFS('Summary by Division'!$H$6:$H$297,'Summary by Division'!$B$6:$B$297,$B109,'Summary by Division'!$A$6:$A$297,$B$73)</f>
        <v>4</v>
      </c>
      <c r="H109" s="191">
        <f t="shared" si="6"/>
        <v>1</v>
      </c>
      <c r="I109" s="177">
        <f t="shared" si="7"/>
        <v>0.33333333333333331</v>
      </c>
    </row>
    <row r="110" spans="1:9" s="85" customFormat="1" x14ac:dyDescent="0.35">
      <c r="A110" s="169"/>
      <c r="B110" s="174" t="str">
        <f>'Summary by Division'!B297</f>
        <v>Information security division</v>
      </c>
      <c r="C110" s="175">
        <f>SUMIFS('Summary by Division'!$D$6:$D$297,'Summary by Division'!$B$6:$B$297,$B110,'Summary by Division'!$A$6:$A$297,$B$73)</f>
        <v>3</v>
      </c>
      <c r="D110" s="175">
        <f>SUMIFS('Summary by Division'!$E$6:$E$297,'Summary by Division'!$B$6:$B$297,$B110,'Summary by Division'!$A$6:$A$297,$B$73)</f>
        <v>0</v>
      </c>
      <c r="E110" s="175">
        <f>SUMIFS('Summary by Division'!$F$6:$F$297,'Summary by Division'!$B$6:$B$297,$B110,'Summary by Division'!$A$6:$A$297,$B$73)</f>
        <v>0</v>
      </c>
      <c r="F110" s="189">
        <f>SUMIFS('Summary by Division'!$G$6:$G$297,'Summary by Division'!$B$6:$B$297,$B110,'Summary by Division'!$A$6:$A$297,$B$73)</f>
        <v>3</v>
      </c>
      <c r="G110" s="191">
        <f>SUMIFS('Summary by Division'!$H$6:$H$297,'Summary by Division'!$B$6:$B$297,$B110,'Summary by Division'!$A$6:$A$297,$B$73)</f>
        <v>3</v>
      </c>
      <c r="H110" s="191">
        <f t="shared" si="6"/>
        <v>0</v>
      </c>
      <c r="I110" s="178">
        <f t="shared" si="7"/>
        <v>0</v>
      </c>
    </row>
    <row r="111" spans="1:9" s="85" customFormat="1" x14ac:dyDescent="0.35">
      <c r="A111" s="169"/>
      <c r="B111" s="174" t="str">
        <f>'Summary by Division'!B298</f>
        <v>C-level</v>
      </c>
      <c r="C111" s="175">
        <f>SUMIFS('Summary by Division'!$D$6:$D$298,'Summary by Division'!$B$6:$B$298,$B111,'Summary by Division'!$A$6:$A$298,$B$73)</f>
        <v>3</v>
      </c>
      <c r="D111" s="175">
        <f>SUMIFS('Summary by Division'!$E$6:$E$298,'Summary by Division'!$B$6:$B$298,$B111,'Summary by Division'!$A$6:$A$298,$B$73)</f>
        <v>0</v>
      </c>
      <c r="E111" s="175">
        <f>SUMIFS('Summary by Division'!$F$6:$F$298,'Summary by Division'!$B$6:$B$298,$B111,'Summary by Division'!$A$6:$A$298,$B$73)</f>
        <v>0</v>
      </c>
      <c r="F111" s="189">
        <f>SUMIFS('Summary by Division'!$G$6:$G$298,'Summary by Division'!$B$6:$B$298,$B111,'Summary by Division'!$A$6:$A$298,$B$73)</f>
        <v>3</v>
      </c>
      <c r="G111" s="191">
        <f>SUMIFS('Summary by Division'!$H$6:$H$298,'Summary by Division'!$B$6:$B$298,$B111,'Summary by Division'!$A$6:$A$298,$B$73)</f>
        <v>3</v>
      </c>
      <c r="H111" s="191">
        <f t="shared" ref="H111" si="8">G111-C111</f>
        <v>0</v>
      </c>
      <c r="I111" s="178">
        <f t="shared" ref="I111" si="9">IF(C111=0,0,H111/C111)</f>
        <v>0</v>
      </c>
    </row>
    <row r="112" spans="1:9" s="85" customFormat="1" x14ac:dyDescent="0.35">
      <c r="A112" s="169"/>
      <c r="B112" s="179" t="s">
        <v>1887</v>
      </c>
      <c r="C112" s="180">
        <f t="shared" ref="C112:H112" si="10">SUM(C75:C111)</f>
        <v>1536</v>
      </c>
      <c r="D112" s="180">
        <f t="shared" si="10"/>
        <v>0</v>
      </c>
      <c r="E112" s="180">
        <f t="shared" si="10"/>
        <v>47</v>
      </c>
      <c r="F112" s="180">
        <f t="shared" si="10"/>
        <v>1583</v>
      </c>
      <c r="G112" s="180">
        <f t="shared" si="10"/>
        <v>1701</v>
      </c>
      <c r="H112" s="180">
        <f t="shared" si="10"/>
        <v>165</v>
      </c>
      <c r="I112" s="181">
        <f>IF(C112=0,0,H112/C112)</f>
        <v>0.107421875</v>
      </c>
    </row>
    <row r="113" spans="1:9" s="85" customFormat="1" x14ac:dyDescent="0.35">
      <c r="A113" s="169"/>
      <c r="B113" s="182"/>
      <c r="C113" s="183">
        <f>C112-SUMIFS('Summary by Division'!$D$6:$D$298,'Summary by Division'!$A$6:$A$298,$B$73)</f>
        <v>0</v>
      </c>
      <c r="D113" s="183">
        <f>D112-SUMIFS('Summary by Division'!$E$6:$E$298,'Summary by Division'!$A$6:$A$298,$B$73)</f>
        <v>0</v>
      </c>
      <c r="E113" s="183">
        <f>E112-SUMIFS('Summary by Division'!$F$6:$F$297,'Summary by Division'!$A$6:$A$297,$B$73)</f>
        <v>0</v>
      </c>
      <c r="F113" s="183">
        <f>F112-SUMIFS('Summary by Division'!$G$6:$G$298,'Summary by Division'!$A$6:$A$298,$B$73)</f>
        <v>0</v>
      </c>
      <c r="G113" s="183">
        <f>G112-SUMIFS('Summary by Division'!$H$6:$H$298,'Summary by Division'!$A$6:$A$298,$B$73)</f>
        <v>0</v>
      </c>
      <c r="H113" s="182"/>
      <c r="I113" s="182"/>
    </row>
    <row r="114" spans="1:9" s="85" customFormat="1" x14ac:dyDescent="0.35">
      <c r="A114" s="169"/>
      <c r="B114" s="184"/>
      <c r="C114" s="184"/>
      <c r="D114" s="184"/>
      <c r="E114" s="184"/>
      <c r="F114" s="184"/>
      <c r="G114" s="184"/>
      <c r="H114" s="184"/>
      <c r="I114" s="184"/>
    </row>
    <row r="115" spans="1:9" x14ac:dyDescent="0.35">
      <c r="B115" s="185" t="s">
        <v>1818</v>
      </c>
      <c r="C115" s="186">
        <f t="shared" ref="C115:H115" si="11">C35+C70+C112</f>
        <v>6136</v>
      </c>
      <c r="D115" s="186">
        <f t="shared" si="11"/>
        <v>34</v>
      </c>
      <c r="E115" s="186">
        <f t="shared" si="11"/>
        <v>386</v>
      </c>
      <c r="F115" s="186">
        <f t="shared" si="11"/>
        <v>6556</v>
      </c>
      <c r="G115" s="187">
        <f t="shared" si="11"/>
        <v>6644</v>
      </c>
      <c r="H115" s="186">
        <f t="shared" si="11"/>
        <v>508</v>
      </c>
      <c r="I115" s="188">
        <f>IF(C115=0,0,H115/C115)</f>
        <v>8.2790091264667534E-2</v>
      </c>
    </row>
    <row r="116" spans="1:9" x14ac:dyDescent="0.35">
      <c r="B116" s="59"/>
      <c r="C116" s="60">
        <f>C115-'Summary by Division'!D299</f>
        <v>0</v>
      </c>
      <c r="D116" s="60">
        <f>D115-'Summary by Division'!E299</f>
        <v>0</v>
      </c>
      <c r="E116" s="60">
        <f>E115-'Summary by Division'!F299</f>
        <v>0</v>
      </c>
      <c r="F116" s="60">
        <f>F115-'Summary by Division'!G299</f>
        <v>0</v>
      </c>
      <c r="G116" s="60">
        <f>G115-'Summary by Division'!H299</f>
        <v>0</v>
      </c>
      <c r="H116" s="60"/>
      <c r="I116" s="59"/>
    </row>
  </sheetData>
  <conditionalFormatting sqref="B6:I34">
    <cfRule type="expression" dxfId="21" priority="187">
      <formula>MOD(ROW(),2)=0</formula>
    </cfRule>
  </conditionalFormatting>
  <conditionalFormatting sqref="B40:I69">
    <cfRule type="expression" dxfId="20" priority="24">
      <formula>MOD(ROW(),2)=0</formula>
    </cfRule>
  </conditionalFormatting>
  <conditionalFormatting sqref="C36:H36">
    <cfRule type="expression" dxfId="19" priority="188">
      <formula>AND(ISNUMBER(C36),C36&lt;&gt;0)</formula>
    </cfRule>
  </conditionalFormatting>
  <conditionalFormatting sqref="C71:H71">
    <cfRule type="expression" dxfId="18" priority="18">
      <formula>AND(ISNUMBER(C71),C71&lt;&gt;0)</formula>
    </cfRule>
  </conditionalFormatting>
  <conditionalFormatting sqref="C116:H116">
    <cfRule type="expression" dxfId="17" priority="15">
      <formula>AND(ISNUMBER(C116),C116&lt;&gt;0)</formula>
    </cfRule>
  </conditionalFormatting>
  <conditionalFormatting sqref="H6:I35">
    <cfRule type="cellIs" dxfId="16" priority="189" operator="greaterThan">
      <formula>0</formula>
    </cfRule>
    <cfRule type="cellIs" dxfId="15" priority="190" operator="lessThan">
      <formula>0</formula>
    </cfRule>
  </conditionalFormatting>
  <conditionalFormatting sqref="H40:I70">
    <cfRule type="cellIs" dxfId="14" priority="19" operator="greaterThan">
      <formula>0</formula>
    </cfRule>
    <cfRule type="cellIs" dxfId="13" priority="20" operator="lessThan">
      <formula>0</formula>
    </cfRule>
  </conditionalFormatting>
  <conditionalFormatting sqref="H115:I115">
    <cfRule type="cellIs" dxfId="12" priority="16" operator="greaterThan">
      <formula>0</formula>
    </cfRule>
    <cfRule type="cellIs" dxfId="11" priority="17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L299"/>
  <sheetViews>
    <sheetView showGridLines="0" tabSelected="1" topLeftCell="C1" zoomScale="90" zoomScaleNormal="90" workbookViewId="0">
      <pane ySplit="5" topLeftCell="A300" activePane="bottomLeft" state="frozen"/>
      <selection pane="bottomLeft" activeCell="L28" sqref="L28"/>
    </sheetView>
  </sheetViews>
  <sheetFormatPr defaultRowHeight="14.5" x14ac:dyDescent="0.35"/>
  <cols>
    <col min="1" max="1" width="20.6328125" customWidth="1"/>
    <col min="2" max="2" width="55.54296875" customWidth="1"/>
    <col min="3" max="3" width="61.08984375" customWidth="1"/>
    <col min="4" max="7" width="14.81640625" customWidth="1"/>
    <col min="8" max="8" width="25.90625" customWidth="1"/>
    <col min="9" max="9" width="15.81640625" customWidth="1"/>
    <col min="10" max="10" width="14.81640625" customWidth="1"/>
    <col min="12" max="12" width="108.08984375" bestFit="1" customWidth="1"/>
  </cols>
  <sheetData>
    <row r="1" spans="1:12" ht="21" customHeight="1" x14ac:dyDescent="0.35">
      <c r="A1" s="63" t="s">
        <v>1827</v>
      </c>
      <c r="B1" s="63"/>
      <c r="C1" s="63"/>
      <c r="D1" s="63"/>
      <c r="E1" s="63"/>
      <c r="F1" s="63"/>
      <c r="G1" s="63"/>
      <c r="H1" s="63"/>
      <c r="I1" s="63"/>
      <c r="J1" s="63"/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2" x14ac:dyDescent="0.35">
      <c r="D3" s="8"/>
    </row>
    <row r="4" spans="1:12" x14ac:dyDescent="0.35">
      <c r="A4" s="2"/>
      <c r="B4" s="2"/>
      <c r="C4" s="2"/>
      <c r="D4" s="3" t="s">
        <v>0</v>
      </c>
      <c r="E4" s="3"/>
      <c r="F4" s="3"/>
      <c r="G4" s="3"/>
      <c r="H4" s="2" t="s">
        <v>1</v>
      </c>
      <c r="I4" s="3" t="s">
        <v>2</v>
      </c>
      <c r="J4" s="3"/>
    </row>
    <row r="5" spans="1:12" ht="18" customHeight="1" x14ac:dyDescent="0.35">
      <c r="A5" s="67" t="s">
        <v>1618</v>
      </c>
      <c r="B5" s="67" t="s">
        <v>3</v>
      </c>
      <c r="C5" s="67" t="s">
        <v>14</v>
      </c>
      <c r="D5" s="68" t="s">
        <v>4</v>
      </c>
      <c r="E5" s="68" t="s">
        <v>5</v>
      </c>
      <c r="F5" s="71" t="s">
        <v>6</v>
      </c>
      <c r="G5" s="73" t="s">
        <v>7</v>
      </c>
      <c r="H5" s="72" t="s">
        <v>4</v>
      </c>
      <c r="I5" s="68" t="s">
        <v>8</v>
      </c>
      <c r="J5" s="68" t="s">
        <v>9</v>
      </c>
      <c r="L5" s="71" t="s">
        <v>1850</v>
      </c>
    </row>
    <row r="6" spans="1:12" x14ac:dyDescent="0.35">
      <c r="A6" s="69" t="s">
        <v>1757</v>
      </c>
      <c r="B6" s="64" t="str">
        <f>'2027'!C4</f>
        <v>Management</v>
      </c>
      <c r="C6" s="64" t="str">
        <f>'2027'!D4</f>
        <v>C-level, Director, Deputy Director</v>
      </c>
      <c r="D6" s="65">
        <f>'2027'!F4</f>
        <v>0</v>
      </c>
      <c r="E6" s="65">
        <f>'2027'!G4</f>
        <v>0</v>
      </c>
      <c r="F6" s="65">
        <f>'2027'!H4</f>
        <v>0</v>
      </c>
      <c r="G6" s="74">
        <f t="shared" ref="G6:G39" si="0">SUM(D6:F6)</f>
        <v>0</v>
      </c>
      <c r="H6" s="65">
        <f>'2027'!V4</f>
        <v>0</v>
      </c>
      <c r="I6" s="66">
        <f t="shared" ref="I6:I39" si="1">H6-D6</f>
        <v>0</v>
      </c>
      <c r="J6" s="70">
        <f t="shared" ref="J6:J39" si="2">IF(D6=0,0,I6/D6)</f>
        <v>0</v>
      </c>
      <c r="L6" s="105"/>
    </row>
    <row r="7" spans="1:12" x14ac:dyDescent="0.35">
      <c r="A7" s="69" t="s">
        <v>1757</v>
      </c>
      <c r="B7" s="64" t="str">
        <f>'2027'!C5</f>
        <v>Corporate Secretary Division</v>
      </c>
      <c r="C7" s="64" t="str">
        <f>'2027'!D5</f>
        <v>#</v>
      </c>
      <c r="D7" s="65">
        <f>'2027'!F5</f>
        <v>1</v>
      </c>
      <c r="E7" s="65">
        <f>'2027'!G5</f>
        <v>0</v>
      </c>
      <c r="F7" s="65">
        <f>'2027'!H5</f>
        <v>0</v>
      </c>
      <c r="G7" s="74">
        <f t="shared" si="0"/>
        <v>1</v>
      </c>
      <c r="H7" s="65">
        <f>'2027'!V5</f>
        <v>1</v>
      </c>
      <c r="I7" s="66">
        <f t="shared" si="1"/>
        <v>0</v>
      </c>
      <c r="J7" s="70">
        <f t="shared" si="2"/>
        <v>0</v>
      </c>
      <c r="L7" s="107" t="s">
        <v>1830</v>
      </c>
    </row>
    <row r="8" spans="1:12" x14ac:dyDescent="0.35">
      <c r="A8" s="69" t="s">
        <v>1757</v>
      </c>
      <c r="B8" s="64" t="str">
        <f>'2027'!C6</f>
        <v>Corporate Secretary Division</v>
      </c>
      <c r="C8" s="64" t="str">
        <f>'2027'!D6</f>
        <v>Corporate Secretary Division</v>
      </c>
      <c r="D8" s="65">
        <f>'2027'!F6</f>
        <v>29</v>
      </c>
      <c r="E8" s="65">
        <f>'2027'!G6</f>
        <v>2</v>
      </c>
      <c r="F8" s="65">
        <f>'2027'!H6</f>
        <v>7.5</v>
      </c>
      <c r="G8" s="74">
        <f t="shared" si="0"/>
        <v>38.5</v>
      </c>
      <c r="H8" s="65">
        <f>'2027'!V6</f>
        <v>36.5</v>
      </c>
      <c r="I8" s="66">
        <f t="shared" si="1"/>
        <v>7.5</v>
      </c>
      <c r="J8" s="70">
        <f t="shared" si="2"/>
        <v>0.25862068965517243</v>
      </c>
      <c r="L8" s="105"/>
    </row>
    <row r="9" spans="1:12" x14ac:dyDescent="0.35">
      <c r="A9" s="69" t="s">
        <v>1757</v>
      </c>
      <c r="B9" s="64" t="str">
        <f>'2027'!C7</f>
        <v>Agile and Product Center of Expertise</v>
      </c>
      <c r="C9" s="64" t="str">
        <f>'2027'!D7</f>
        <v>Agile and product development chapter</v>
      </c>
      <c r="D9" s="65">
        <f>'2027'!F7</f>
        <v>3</v>
      </c>
      <c r="E9" s="65">
        <f>'2027'!G7</f>
        <v>0</v>
      </c>
      <c r="F9" s="65">
        <f>'2027'!H7</f>
        <v>1</v>
      </c>
      <c r="G9" s="74">
        <f t="shared" si="0"/>
        <v>4</v>
      </c>
      <c r="H9" s="65">
        <f>'2027'!V7</f>
        <v>4</v>
      </c>
      <c r="I9" s="66">
        <f t="shared" si="1"/>
        <v>1</v>
      </c>
      <c r="J9" s="70">
        <f t="shared" si="2"/>
        <v>0.33333333333333331</v>
      </c>
      <c r="L9" s="107" t="s">
        <v>1831</v>
      </c>
    </row>
    <row r="10" spans="1:12" x14ac:dyDescent="0.35">
      <c r="A10" s="69" t="s">
        <v>1757</v>
      </c>
      <c r="B10" s="64" t="str">
        <f>'2027'!C8</f>
        <v>Agile and Product Center of Expertise</v>
      </c>
      <c r="C10" s="64" t="str">
        <f>'2027'!D8</f>
        <v>Fintech chapter</v>
      </c>
      <c r="D10" s="65">
        <f>'2027'!F8</f>
        <v>4</v>
      </c>
      <c r="E10" s="65">
        <f>'2027'!G8</f>
        <v>1</v>
      </c>
      <c r="F10" s="65">
        <f>'2027'!H8</f>
        <v>2</v>
      </c>
      <c r="G10" s="74">
        <f t="shared" si="0"/>
        <v>7</v>
      </c>
      <c r="H10" s="65">
        <f>'2027'!V8</f>
        <v>7</v>
      </c>
      <c r="I10" s="66">
        <f t="shared" si="1"/>
        <v>3</v>
      </c>
      <c r="J10" s="70">
        <f t="shared" si="2"/>
        <v>0.75</v>
      </c>
      <c r="L10" s="105"/>
    </row>
    <row r="11" spans="1:12" x14ac:dyDescent="0.35">
      <c r="A11" s="69" t="s">
        <v>1757</v>
      </c>
      <c r="B11" s="64" t="str">
        <f>'2027'!C9</f>
        <v>Agile and Product Center of Expertise</v>
      </c>
      <c r="C11" s="64" t="str">
        <f>'2027'!D9</f>
        <v>Payment Chapter</v>
      </c>
      <c r="D11" s="65">
        <f>'2027'!F9</f>
        <v>12</v>
      </c>
      <c r="E11" s="65">
        <f>'2027'!G9</f>
        <v>1</v>
      </c>
      <c r="F11" s="65">
        <f>'2027'!H9</f>
        <v>1</v>
      </c>
      <c r="G11" s="74">
        <f t="shared" si="0"/>
        <v>14</v>
      </c>
      <c r="H11" s="65">
        <f>'2027'!V9</f>
        <v>15</v>
      </c>
      <c r="I11" s="66">
        <f t="shared" si="1"/>
        <v>3</v>
      </c>
      <c r="J11" s="70">
        <f t="shared" si="2"/>
        <v>0.25</v>
      </c>
      <c r="K11" s="85"/>
      <c r="L11" s="105"/>
    </row>
    <row r="12" spans="1:12" x14ac:dyDescent="0.35">
      <c r="A12" s="69" t="s">
        <v>1757</v>
      </c>
      <c r="B12" s="64" t="str">
        <f>'2027'!C11</f>
        <v>AI Governance Center of Expertise</v>
      </c>
      <c r="C12" s="64" t="str">
        <f>'2027'!D11</f>
        <v>#</v>
      </c>
      <c r="D12" s="65">
        <f>'2027'!F11</f>
        <v>1</v>
      </c>
      <c r="E12" s="65">
        <f>'2027'!G11</f>
        <v>0</v>
      </c>
      <c r="F12" s="65">
        <f>'2027'!H11</f>
        <v>0</v>
      </c>
      <c r="G12" s="74">
        <f t="shared" si="0"/>
        <v>1</v>
      </c>
      <c r="H12" s="65">
        <f>'2027'!V11</f>
        <v>0</v>
      </c>
      <c r="I12" s="66">
        <f t="shared" si="1"/>
        <v>-1</v>
      </c>
      <c r="J12" s="70">
        <f t="shared" si="2"/>
        <v>-1</v>
      </c>
      <c r="K12" s="95"/>
      <c r="L12" s="107" t="s">
        <v>1847</v>
      </c>
    </row>
    <row r="13" spans="1:12" x14ac:dyDescent="0.35">
      <c r="A13" s="69" t="s">
        <v>1757</v>
      </c>
      <c r="B13" s="64" t="str">
        <f>'2027'!C10</f>
        <v>AI Governance Center of Expertise</v>
      </c>
      <c r="C13" s="64" t="str">
        <f>'2027'!D10</f>
        <v>Ecosystem Analytics</v>
      </c>
      <c r="D13" s="65">
        <f>'2027'!F10</f>
        <v>13</v>
      </c>
      <c r="E13" s="65">
        <f>'2027'!G10</f>
        <v>0</v>
      </c>
      <c r="F13" s="65">
        <f>'2027'!H10</f>
        <v>16</v>
      </c>
      <c r="G13" s="74">
        <f t="shared" si="0"/>
        <v>29</v>
      </c>
      <c r="H13" s="65">
        <f>'2027'!V10</f>
        <v>29</v>
      </c>
      <c r="I13" s="66">
        <f t="shared" si="1"/>
        <v>16</v>
      </c>
      <c r="J13" s="70">
        <f t="shared" si="2"/>
        <v>1.2307692307692308</v>
      </c>
      <c r="L13" s="105"/>
    </row>
    <row r="14" spans="1:12" x14ac:dyDescent="0.35">
      <c r="A14" s="69" t="s">
        <v>1757</v>
      </c>
      <c r="B14" s="64" t="str">
        <f>'2027'!C12</f>
        <v>AI Governance Center of Expertise</v>
      </c>
      <c r="C14" s="64" t="str">
        <f>'2027'!D12</f>
        <v>AI Engineering</v>
      </c>
      <c r="D14" s="65">
        <f>'2027'!F12</f>
        <v>1</v>
      </c>
      <c r="E14" s="65">
        <f>'2027'!G12</f>
        <v>0</v>
      </c>
      <c r="F14" s="65">
        <f>'2027'!H12</f>
        <v>8</v>
      </c>
      <c r="G14" s="74">
        <f t="shared" si="0"/>
        <v>9</v>
      </c>
      <c r="H14" s="65">
        <f>'2027'!V12</f>
        <v>15</v>
      </c>
      <c r="I14" s="66">
        <f t="shared" si="1"/>
        <v>14</v>
      </c>
      <c r="J14" s="70">
        <f t="shared" si="2"/>
        <v>14</v>
      </c>
      <c r="L14" s="105"/>
    </row>
    <row r="15" spans="1:12" x14ac:dyDescent="0.35">
      <c r="A15" s="69" t="s">
        <v>1757</v>
      </c>
      <c r="B15" s="64" t="str">
        <f>'2027'!C13</f>
        <v>AI Governance Center of Expertise</v>
      </c>
      <c r="C15" s="64" t="str">
        <f>'2027'!D13</f>
        <v>AI Governance</v>
      </c>
      <c r="D15" s="65">
        <f>'2027'!F13</f>
        <v>0</v>
      </c>
      <c r="E15" s="65">
        <f>'2027'!G13</f>
        <v>0</v>
      </c>
      <c r="F15" s="65">
        <f>'2027'!H13</f>
        <v>2</v>
      </c>
      <c r="G15" s="74">
        <f t="shared" si="0"/>
        <v>2</v>
      </c>
      <c r="H15" s="65">
        <f>'2027'!V13</f>
        <v>2</v>
      </c>
      <c r="I15" s="66">
        <f t="shared" si="1"/>
        <v>2</v>
      </c>
      <c r="J15" s="70">
        <f t="shared" si="2"/>
        <v>0</v>
      </c>
      <c r="L15" s="105"/>
    </row>
    <row r="16" spans="1:12" x14ac:dyDescent="0.35">
      <c r="A16" s="69" t="s">
        <v>1757</v>
      </c>
      <c r="B16" s="64" t="str">
        <f>'2027'!C14</f>
        <v>AI Governance Center of Expertise</v>
      </c>
      <c r="C16" s="64" t="str">
        <f>'2027'!D14</f>
        <v>AI Platforms</v>
      </c>
      <c r="D16" s="65">
        <f>'2027'!F14</f>
        <v>1</v>
      </c>
      <c r="E16" s="65">
        <f>'2027'!G14</f>
        <v>0</v>
      </c>
      <c r="F16" s="65">
        <f>'2027'!H14</f>
        <v>1</v>
      </c>
      <c r="G16" s="74">
        <f t="shared" si="0"/>
        <v>2</v>
      </c>
      <c r="H16" s="65">
        <f>'2027'!V14</f>
        <v>2</v>
      </c>
      <c r="I16" s="66">
        <f t="shared" si="1"/>
        <v>1</v>
      </c>
      <c r="J16" s="70">
        <f t="shared" si="2"/>
        <v>1</v>
      </c>
      <c r="L16" s="105"/>
    </row>
    <row r="17" spans="1:12" x14ac:dyDescent="0.35">
      <c r="A17" s="69" t="s">
        <v>1757</v>
      </c>
      <c r="B17" s="64" t="str">
        <f>'2027'!C15</f>
        <v>Architecture Center of Expertise</v>
      </c>
      <c r="C17" s="64" t="str">
        <f>'2027'!D15</f>
        <v>#</v>
      </c>
      <c r="D17" s="65">
        <f>'2027'!F15</f>
        <v>1</v>
      </c>
      <c r="E17" s="65">
        <f>'2027'!G15</f>
        <v>0</v>
      </c>
      <c r="F17" s="65">
        <f>'2027'!H15</f>
        <v>0</v>
      </c>
      <c r="G17" s="74">
        <f t="shared" si="0"/>
        <v>1</v>
      </c>
      <c r="H17" s="65">
        <f>'2027'!V15</f>
        <v>1</v>
      </c>
      <c r="I17" s="66">
        <f t="shared" si="1"/>
        <v>0</v>
      </c>
      <c r="J17" s="70">
        <f t="shared" si="2"/>
        <v>0</v>
      </c>
      <c r="L17" s="107" t="s">
        <v>1832</v>
      </c>
    </row>
    <row r="18" spans="1:12" x14ac:dyDescent="0.35">
      <c r="A18" s="69" t="s">
        <v>1757</v>
      </c>
      <c r="B18" s="64" t="str">
        <f>'2027'!C16</f>
        <v>Architecture Center of Expertise</v>
      </c>
      <c r="C18" s="64" t="str">
        <f>'2027'!D16</f>
        <v>Architecture Center of Expertise</v>
      </c>
      <c r="D18" s="65">
        <f>'2027'!F16</f>
        <v>6</v>
      </c>
      <c r="E18" s="65">
        <f>'2027'!G16</f>
        <v>0</v>
      </c>
      <c r="F18" s="65">
        <f>'2027'!H16</f>
        <v>2</v>
      </c>
      <c r="G18" s="74">
        <f t="shared" si="0"/>
        <v>8</v>
      </c>
      <c r="H18" s="65">
        <f>'2027'!V16</f>
        <v>8</v>
      </c>
      <c r="I18" s="66">
        <f t="shared" si="1"/>
        <v>2</v>
      </c>
      <c r="J18" s="70">
        <f t="shared" si="2"/>
        <v>0.33333333333333331</v>
      </c>
      <c r="L18" s="105"/>
    </row>
    <row r="19" spans="1:12" x14ac:dyDescent="0.35">
      <c r="A19" s="69" t="s">
        <v>1757</v>
      </c>
      <c r="B19" s="64" t="str">
        <f>'2027'!C17</f>
        <v>International Reporting and MIS Department</v>
      </c>
      <c r="C19" s="64" t="str">
        <f>'2027'!D17</f>
        <v>#</v>
      </c>
      <c r="D19" s="65">
        <f>'2027'!F17</f>
        <v>1</v>
      </c>
      <c r="E19" s="65">
        <f>'2027'!G17</f>
        <v>0</v>
      </c>
      <c r="F19" s="65">
        <f>'2027'!H17</f>
        <v>0</v>
      </c>
      <c r="G19" s="74">
        <f t="shared" si="0"/>
        <v>1</v>
      </c>
      <c r="H19" s="65">
        <f>'2027'!U17</f>
        <v>1</v>
      </c>
      <c r="I19" s="66">
        <f t="shared" si="1"/>
        <v>0</v>
      </c>
      <c r="J19" s="70">
        <f t="shared" si="2"/>
        <v>0</v>
      </c>
      <c r="L19" s="107" t="s">
        <v>1833</v>
      </c>
    </row>
    <row r="20" spans="1:12" x14ac:dyDescent="0.35">
      <c r="A20" s="69" t="s">
        <v>1757</v>
      </c>
      <c r="B20" s="64" t="str">
        <f>'2027'!C18</f>
        <v>International Reporting and MIS Department</v>
      </c>
      <c r="C20" s="64" t="str">
        <f>'2027'!D18</f>
        <v>MIS Reporting</v>
      </c>
      <c r="D20" s="65">
        <f>'2027'!F18</f>
        <v>4</v>
      </c>
      <c r="E20" s="65">
        <f>'2027'!G18</f>
        <v>1</v>
      </c>
      <c r="F20" s="65">
        <f>'2027'!H18</f>
        <v>0</v>
      </c>
      <c r="G20" s="74">
        <f t="shared" si="0"/>
        <v>5</v>
      </c>
      <c r="H20" s="65">
        <f>'2027'!U18</f>
        <v>5</v>
      </c>
      <c r="I20" s="66">
        <f t="shared" si="1"/>
        <v>1</v>
      </c>
      <c r="J20" s="70">
        <f t="shared" si="2"/>
        <v>0.25</v>
      </c>
      <c r="L20" s="105"/>
    </row>
    <row r="21" spans="1:12" x14ac:dyDescent="0.35">
      <c r="A21" s="69" t="s">
        <v>1757</v>
      </c>
      <c r="B21" s="64" t="str">
        <f>'2027'!C19</f>
        <v>International Reporting and MIS Department</v>
      </c>
      <c r="C21" s="64" t="str">
        <f>'2027'!D19</f>
        <v>IFRS Reporting</v>
      </c>
      <c r="D21" s="65">
        <f>'2027'!F19</f>
        <v>2</v>
      </c>
      <c r="E21" s="65">
        <f>'2027'!G19</f>
        <v>2</v>
      </c>
      <c r="F21" s="65">
        <f>'2027'!H19</f>
        <v>4</v>
      </c>
      <c r="G21" s="74">
        <f t="shared" si="0"/>
        <v>8</v>
      </c>
      <c r="H21" s="65">
        <f>'2027'!U19</f>
        <v>9</v>
      </c>
      <c r="I21" s="66">
        <f t="shared" si="1"/>
        <v>7</v>
      </c>
      <c r="J21" s="70">
        <f t="shared" si="2"/>
        <v>3.5</v>
      </c>
      <c r="L21" s="105"/>
    </row>
    <row r="22" spans="1:12" x14ac:dyDescent="0.35">
      <c r="A22" s="69" t="s">
        <v>1757</v>
      </c>
      <c r="B22" s="64" t="str">
        <f>'2027'!C20</f>
        <v>International Reporting and MIS Department</v>
      </c>
      <c r="C22" s="64" t="str">
        <f>'2027'!D20</f>
        <v>Modelling, Valuation and Consolidated Reporting</v>
      </c>
      <c r="D22" s="65">
        <f>'2027'!F20</f>
        <v>4</v>
      </c>
      <c r="E22" s="65">
        <f>'2027'!G20</f>
        <v>0</v>
      </c>
      <c r="F22" s="65">
        <f>'2027'!H20</f>
        <v>4</v>
      </c>
      <c r="G22" s="74">
        <f t="shared" si="0"/>
        <v>8</v>
      </c>
      <c r="H22" s="65">
        <f>'2027'!U20</f>
        <v>7</v>
      </c>
      <c r="I22" s="66">
        <f t="shared" si="1"/>
        <v>3</v>
      </c>
      <c r="J22" s="70">
        <f t="shared" si="2"/>
        <v>0.75</v>
      </c>
      <c r="L22" s="105"/>
    </row>
    <row r="23" spans="1:12" x14ac:dyDescent="0.35">
      <c r="A23" s="69" t="s">
        <v>1757</v>
      </c>
      <c r="B23" s="64" t="str">
        <f>'2027'!C21</f>
        <v>BirApp Area</v>
      </c>
      <c r="C23" s="64" t="str">
        <f>'2027'!D21</f>
        <v>#</v>
      </c>
      <c r="D23" s="65">
        <f>'2027'!F21</f>
        <v>1</v>
      </c>
      <c r="E23" s="65">
        <f>'2027'!G21</f>
        <v>0</v>
      </c>
      <c r="F23" s="65">
        <f>'2027'!H21</f>
        <v>0</v>
      </c>
      <c r="G23" s="74">
        <f t="shared" si="0"/>
        <v>1</v>
      </c>
      <c r="H23" s="65">
        <f>'2027'!V21</f>
        <v>1</v>
      </c>
      <c r="I23" s="66">
        <f t="shared" si="1"/>
        <v>0</v>
      </c>
      <c r="J23" s="70">
        <f t="shared" si="2"/>
        <v>0</v>
      </c>
      <c r="K23" s="95" t="str">
        <f>IF('2027'!A21="","",'2027'!A21)</f>
        <v/>
      </c>
      <c r="L23" s="107" t="s">
        <v>1846</v>
      </c>
    </row>
    <row r="24" spans="1:12" x14ac:dyDescent="0.35">
      <c r="A24" s="69" t="s">
        <v>1757</v>
      </c>
      <c r="B24" s="64" t="str">
        <f>'2027'!C22</f>
        <v>BirApp Area</v>
      </c>
      <c r="C24" s="64" t="str">
        <f>'2027'!D22</f>
        <v>Bir Enabler</v>
      </c>
      <c r="D24" s="65">
        <f>'2027'!F22</f>
        <v>1</v>
      </c>
      <c r="E24" s="65">
        <f>'2027'!G22</f>
        <v>0</v>
      </c>
      <c r="F24" s="65">
        <f>'2027'!H22</f>
        <v>0</v>
      </c>
      <c r="G24" s="74">
        <f t="shared" si="0"/>
        <v>1</v>
      </c>
      <c r="H24" s="65">
        <f>'2027'!V22</f>
        <v>1</v>
      </c>
      <c r="I24" s="66">
        <f t="shared" si="1"/>
        <v>0</v>
      </c>
      <c r="J24" s="70">
        <f t="shared" si="2"/>
        <v>0</v>
      </c>
      <c r="L24" s="105"/>
    </row>
    <row r="25" spans="1:12" x14ac:dyDescent="0.35">
      <c r="A25" s="69" t="s">
        <v>1757</v>
      </c>
      <c r="B25" s="64" t="str">
        <f>'2027'!C23</f>
        <v>BirApp Area</v>
      </c>
      <c r="C25" s="64" t="str">
        <f>'2027'!D23</f>
        <v>Birbank Mainpage</v>
      </c>
      <c r="D25" s="65">
        <f>'2027'!F23</f>
        <v>1</v>
      </c>
      <c r="E25" s="65">
        <f>'2027'!G23</f>
        <v>0</v>
      </c>
      <c r="F25" s="65">
        <f>'2027'!H23</f>
        <v>0</v>
      </c>
      <c r="G25" s="74">
        <f t="shared" si="0"/>
        <v>1</v>
      </c>
      <c r="H25" s="65">
        <f>'2027'!V23</f>
        <v>1</v>
      </c>
      <c r="I25" s="66">
        <f t="shared" si="1"/>
        <v>0</v>
      </c>
      <c r="J25" s="70">
        <f t="shared" si="2"/>
        <v>0</v>
      </c>
      <c r="L25" s="105"/>
    </row>
    <row r="26" spans="1:12" x14ac:dyDescent="0.35">
      <c r="A26" s="69" t="s">
        <v>1757</v>
      </c>
      <c r="B26" s="64" t="str">
        <f>'2027'!C24</f>
        <v>BirApp Area</v>
      </c>
      <c r="C26" s="64" t="str">
        <f>'2027'!D24</f>
        <v>Travel</v>
      </c>
      <c r="D26" s="65">
        <f>'2027'!F24</f>
        <v>1</v>
      </c>
      <c r="E26" s="65">
        <f>'2027'!G24</f>
        <v>0</v>
      </c>
      <c r="F26" s="65">
        <f>'2027'!H24</f>
        <v>0</v>
      </c>
      <c r="G26" s="74">
        <f t="shared" si="0"/>
        <v>1</v>
      </c>
      <c r="H26" s="65">
        <f>'2027'!V24</f>
        <v>0</v>
      </c>
      <c r="I26" s="66">
        <f t="shared" si="1"/>
        <v>-1</v>
      </c>
      <c r="J26" s="70">
        <f t="shared" si="2"/>
        <v>-1</v>
      </c>
      <c r="L26" s="105"/>
    </row>
    <row r="27" spans="1:12" x14ac:dyDescent="0.35">
      <c r="A27" s="69" t="s">
        <v>1757</v>
      </c>
      <c r="B27" s="64" t="str">
        <f>'2027'!C25</f>
        <v>BirApp Area</v>
      </c>
      <c r="C27" s="64" t="str">
        <f>'2027'!D25</f>
        <v>Bir Search</v>
      </c>
      <c r="D27" s="65">
        <f>'2027'!F25</f>
        <v>1</v>
      </c>
      <c r="E27" s="65">
        <f>'2027'!G25</f>
        <v>0</v>
      </c>
      <c r="F27" s="65">
        <f>'2027'!H25</f>
        <v>0</v>
      </c>
      <c r="G27" s="74">
        <f t="shared" si="0"/>
        <v>1</v>
      </c>
      <c r="H27" s="65">
        <f>'2027'!V25</f>
        <v>1</v>
      </c>
      <c r="I27" s="66">
        <f t="shared" si="1"/>
        <v>0</v>
      </c>
      <c r="J27" s="70">
        <f t="shared" si="2"/>
        <v>0</v>
      </c>
      <c r="L27" s="105"/>
    </row>
    <row r="28" spans="1:12" x14ac:dyDescent="0.35">
      <c r="A28" s="69" t="s">
        <v>1757</v>
      </c>
      <c r="B28" s="64" t="str">
        <f>'2027'!C26</f>
        <v>BirApp Technology Area</v>
      </c>
      <c r="C28" s="64" t="str">
        <f>'2027'!D26</f>
        <v>#</v>
      </c>
      <c r="D28" s="65">
        <f>'2027'!F26</f>
        <v>1</v>
      </c>
      <c r="E28" s="65">
        <f>'2027'!G26</f>
        <v>0</v>
      </c>
      <c r="F28" s="65">
        <f>'2027'!H26</f>
        <v>0</v>
      </c>
      <c r="G28" s="74">
        <f t="shared" ref="G28" si="3">SUM(D28:F28)</f>
        <v>1</v>
      </c>
      <c r="H28" s="65">
        <f>'2027'!V26</f>
        <v>1</v>
      </c>
      <c r="I28" s="66">
        <f t="shared" ref="I28" si="4">H28-D28</f>
        <v>0</v>
      </c>
      <c r="J28" s="70">
        <f t="shared" ref="J28" si="5">IF(D28=0,0,I28/D28)</f>
        <v>0</v>
      </c>
      <c r="L28" s="107" t="s">
        <v>1834</v>
      </c>
    </row>
    <row r="29" spans="1:12" x14ac:dyDescent="0.35">
      <c r="A29" s="69" t="s">
        <v>1757</v>
      </c>
      <c r="B29" s="64" t="str">
        <f>'2027'!C27</f>
        <v>BirApp Technology Area</v>
      </c>
      <c r="C29" s="64" t="str">
        <f>'2027'!D27</f>
        <v>Birbank Platform</v>
      </c>
      <c r="D29" s="65">
        <f>'2027'!F27</f>
        <v>1</v>
      </c>
      <c r="E29" s="65">
        <f>'2027'!G27</f>
        <v>0</v>
      </c>
      <c r="F29" s="65">
        <f>'2027'!H27</f>
        <v>1</v>
      </c>
      <c r="G29" s="74">
        <f t="shared" si="0"/>
        <v>2</v>
      </c>
      <c r="H29" s="65">
        <f>'2027'!V27</f>
        <v>2</v>
      </c>
      <c r="I29" s="66">
        <f t="shared" si="1"/>
        <v>1</v>
      </c>
      <c r="J29" s="70">
        <f t="shared" si="2"/>
        <v>1</v>
      </c>
      <c r="K29" s="85"/>
      <c r="L29" s="105"/>
    </row>
    <row r="30" spans="1:12" x14ac:dyDescent="0.35">
      <c r="A30" s="69" t="s">
        <v>1757</v>
      </c>
      <c r="B30" s="64" t="str">
        <f>'2027'!C28</f>
        <v>BirApp Technology Area</v>
      </c>
      <c r="C30" s="64" t="str">
        <f>'2027'!D28</f>
        <v>Birbank SRE</v>
      </c>
      <c r="D30" s="65">
        <f>'2027'!F28</f>
        <v>0</v>
      </c>
      <c r="E30" s="65">
        <f>'2027'!G28</f>
        <v>0</v>
      </c>
      <c r="F30" s="65">
        <f>'2027'!H28</f>
        <v>0</v>
      </c>
      <c r="G30" s="74">
        <f t="shared" si="0"/>
        <v>0</v>
      </c>
      <c r="H30" s="65">
        <f>'2027'!V28</f>
        <v>0</v>
      </c>
      <c r="I30" s="66">
        <f t="shared" si="1"/>
        <v>0</v>
      </c>
      <c r="J30" s="70">
        <f t="shared" si="2"/>
        <v>0</v>
      </c>
      <c r="L30" s="105"/>
    </row>
    <row r="31" spans="1:12" x14ac:dyDescent="0.35">
      <c r="A31" s="69" t="s">
        <v>1757</v>
      </c>
      <c r="B31" s="64" t="str">
        <f>'2027'!C29</f>
        <v>Data Governance Center of Expertise</v>
      </c>
      <c r="C31" s="64" t="str">
        <f>'2027'!D29</f>
        <v>#</v>
      </c>
      <c r="D31" s="65">
        <f>'2027'!F29</f>
        <v>1</v>
      </c>
      <c r="E31" s="65">
        <f>'2027'!G29</f>
        <v>0</v>
      </c>
      <c r="F31" s="65">
        <f>'2027'!H29</f>
        <v>0</v>
      </c>
      <c r="G31" s="74">
        <f t="shared" si="0"/>
        <v>1</v>
      </c>
      <c r="H31" s="65">
        <f>'2027'!V29</f>
        <v>1</v>
      </c>
      <c r="I31" s="66">
        <f t="shared" si="1"/>
        <v>0</v>
      </c>
      <c r="J31" s="70">
        <f t="shared" si="2"/>
        <v>0</v>
      </c>
      <c r="K31" s="95" t="str">
        <f>IF('2027'!A29="","",'2027'!A29)</f>
        <v/>
      </c>
      <c r="L31" s="105" t="s">
        <v>1845</v>
      </c>
    </row>
    <row r="32" spans="1:12" x14ac:dyDescent="0.35">
      <c r="A32" s="69" t="s">
        <v>1757</v>
      </c>
      <c r="B32" s="64" t="str">
        <f>'2027'!C30</f>
        <v>Data Governance Center of Expertise</v>
      </c>
      <c r="C32" s="64" t="str">
        <f>'2027'!D30</f>
        <v>Data Process Management</v>
      </c>
      <c r="D32" s="65">
        <f>'2027'!F30</f>
        <v>3</v>
      </c>
      <c r="E32" s="65">
        <f>'2027'!G30</f>
        <v>0</v>
      </c>
      <c r="F32" s="65">
        <f>'2027'!H30</f>
        <v>2</v>
      </c>
      <c r="G32" s="74">
        <f t="shared" si="0"/>
        <v>5</v>
      </c>
      <c r="H32" s="65">
        <f>'2027'!V30</f>
        <v>5</v>
      </c>
      <c r="I32" s="66">
        <f t="shared" si="1"/>
        <v>2</v>
      </c>
      <c r="J32" s="70">
        <f t="shared" si="2"/>
        <v>0.66666666666666663</v>
      </c>
      <c r="K32" s="95" t="str">
        <f>IF('2027'!A30="","",'2027'!A30)</f>
        <v/>
      </c>
      <c r="L32" s="105"/>
    </row>
    <row r="33" spans="1:12" x14ac:dyDescent="0.35">
      <c r="A33" s="69" t="s">
        <v>1757</v>
      </c>
      <c r="B33" s="64" t="str">
        <f>'2027'!C31</f>
        <v>Data Governance Center of Expertise</v>
      </c>
      <c r="C33" s="64" t="str">
        <f>'2027'!D31</f>
        <v>Data Quality</v>
      </c>
      <c r="D33" s="65">
        <f>'2027'!F31</f>
        <v>6</v>
      </c>
      <c r="E33" s="65">
        <f>'2027'!G31</f>
        <v>0</v>
      </c>
      <c r="F33" s="65">
        <f>'2027'!H31</f>
        <v>2</v>
      </c>
      <c r="G33" s="74">
        <f t="shared" si="0"/>
        <v>8</v>
      </c>
      <c r="H33" s="65">
        <f>'2027'!V31</f>
        <v>8</v>
      </c>
      <c r="I33" s="66">
        <f t="shared" si="1"/>
        <v>2</v>
      </c>
      <c r="J33" s="70">
        <f t="shared" si="2"/>
        <v>0.33333333333333331</v>
      </c>
      <c r="K33" s="95" t="str">
        <f>IF('2027'!A31="","",'2027'!A31)</f>
        <v/>
      </c>
      <c r="L33" s="105"/>
    </row>
    <row r="34" spans="1:12" x14ac:dyDescent="0.35">
      <c r="A34" s="69" t="s">
        <v>1757</v>
      </c>
      <c r="B34" s="64" t="str">
        <f>'2027'!C32</f>
        <v>Data Governance Center of Expertise</v>
      </c>
      <c r="C34" s="64" t="str">
        <f>'2027'!D32</f>
        <v>Data Steward</v>
      </c>
      <c r="D34" s="65">
        <f>'2027'!F32</f>
        <v>10</v>
      </c>
      <c r="E34" s="65">
        <f>'2027'!G32</f>
        <v>0</v>
      </c>
      <c r="F34" s="65">
        <f>'2027'!H32</f>
        <v>6</v>
      </c>
      <c r="G34" s="74">
        <f t="shared" si="0"/>
        <v>16</v>
      </c>
      <c r="H34" s="65">
        <f>'2027'!V32</f>
        <v>16</v>
      </c>
      <c r="I34" s="66">
        <f t="shared" si="1"/>
        <v>6</v>
      </c>
      <c r="J34" s="70">
        <f t="shared" si="2"/>
        <v>0.6</v>
      </c>
      <c r="K34" s="95" t="str">
        <f>IF('2027'!A32="","",'2027'!A32)</f>
        <v/>
      </c>
      <c r="L34" s="105"/>
    </row>
    <row r="35" spans="1:12" x14ac:dyDescent="0.35">
      <c r="A35" s="69" t="s">
        <v>1757</v>
      </c>
      <c r="B35" s="64" t="str">
        <f>'2027'!C33</f>
        <v>Data mühəndisliyi və texnologiyaları ekspert mərkəzi</v>
      </c>
      <c r="C35" s="64" t="str">
        <f>'2027'!D33</f>
        <v>#</v>
      </c>
      <c r="D35" s="65">
        <f>'2027'!F33</f>
        <v>1</v>
      </c>
      <c r="E35" s="65">
        <f>'2027'!G33</f>
        <v>0</v>
      </c>
      <c r="F35" s="65">
        <f>'2027'!H33</f>
        <v>0</v>
      </c>
      <c r="G35" s="74">
        <f t="shared" ref="G35" si="6">SUM(D35:F35)</f>
        <v>1</v>
      </c>
      <c r="H35" s="65">
        <f>'2027'!V33</f>
        <v>1</v>
      </c>
      <c r="I35" s="66">
        <f t="shared" ref="I35" si="7">H35-D35</f>
        <v>0</v>
      </c>
      <c r="J35" s="70">
        <f t="shared" ref="J35" si="8">IF(D35=0,0,I35/D35)</f>
        <v>0</v>
      </c>
      <c r="L35" s="107" t="s">
        <v>1831</v>
      </c>
    </row>
    <row r="36" spans="1:12" x14ac:dyDescent="0.35">
      <c r="A36" s="69" t="s">
        <v>1757</v>
      </c>
      <c r="B36" s="64" t="str">
        <f>'2027'!C34</f>
        <v>Data mühəndisliyi və texnologiyaları ekspert mərkəzi</v>
      </c>
      <c r="C36" s="64" t="str">
        <f>'2027'!D34</f>
        <v>Data engineering 1</v>
      </c>
      <c r="D36" s="65">
        <f>'2027'!F34</f>
        <v>6</v>
      </c>
      <c r="E36" s="65">
        <f>'2027'!G34</f>
        <v>0</v>
      </c>
      <c r="F36" s="65">
        <f>'2027'!H34</f>
        <v>1</v>
      </c>
      <c r="G36" s="74">
        <f t="shared" si="0"/>
        <v>7</v>
      </c>
      <c r="H36" s="65">
        <f>'2027'!V34</f>
        <v>7</v>
      </c>
      <c r="I36" s="66">
        <f t="shared" si="1"/>
        <v>1</v>
      </c>
      <c r="J36" s="70">
        <f t="shared" si="2"/>
        <v>0.16666666666666666</v>
      </c>
      <c r="L36" s="105"/>
    </row>
    <row r="37" spans="1:12" x14ac:dyDescent="0.35">
      <c r="A37" s="69" t="s">
        <v>1757</v>
      </c>
      <c r="B37" s="64" t="str">
        <f>'2027'!C35</f>
        <v>Data mühəndisliyi və texnologiyaları ekspert mərkəzi</v>
      </c>
      <c r="C37" s="64" t="str">
        <f>'2027'!D35</f>
        <v>Data engineering 2</v>
      </c>
      <c r="D37" s="65">
        <f>'2027'!F35</f>
        <v>6</v>
      </c>
      <c r="E37" s="65">
        <f>'2027'!G35</f>
        <v>1</v>
      </c>
      <c r="F37" s="65">
        <f>'2027'!H35</f>
        <v>2</v>
      </c>
      <c r="G37" s="74">
        <f t="shared" si="0"/>
        <v>9</v>
      </c>
      <c r="H37" s="65">
        <f>'2027'!V35</f>
        <v>7</v>
      </c>
      <c r="I37" s="66">
        <f t="shared" si="1"/>
        <v>1</v>
      </c>
      <c r="J37" s="70">
        <f t="shared" si="2"/>
        <v>0.16666666666666666</v>
      </c>
      <c r="L37" s="105"/>
    </row>
    <row r="38" spans="1:12" x14ac:dyDescent="0.35">
      <c r="A38" s="69" t="s">
        <v>1757</v>
      </c>
      <c r="B38" s="64" t="str">
        <f>'2027'!C36</f>
        <v>Data mühəndisliyi və texnologiyaları ekspert mərkəzi</v>
      </c>
      <c r="C38" s="64" t="str">
        <f>'2027'!D36</f>
        <v>Data engineering 3</v>
      </c>
      <c r="D38" s="65">
        <f>'2027'!F36</f>
        <v>5</v>
      </c>
      <c r="E38" s="65">
        <f>'2027'!G36</f>
        <v>0</v>
      </c>
      <c r="F38" s="65">
        <f>'2027'!H36</f>
        <v>1</v>
      </c>
      <c r="G38" s="74">
        <f t="shared" si="0"/>
        <v>6</v>
      </c>
      <c r="H38" s="65">
        <f>'2027'!V36</f>
        <v>6</v>
      </c>
      <c r="I38" s="66">
        <f t="shared" si="1"/>
        <v>1</v>
      </c>
      <c r="J38" s="70">
        <f t="shared" si="2"/>
        <v>0.2</v>
      </c>
      <c r="L38" s="105"/>
    </row>
    <row r="39" spans="1:12" x14ac:dyDescent="0.35">
      <c r="A39" s="69" t="s">
        <v>1757</v>
      </c>
      <c r="B39" s="64" t="str">
        <f>'2027'!C37</f>
        <v>Data mühəndisliyi və texnologiyaları ekspert mərkəzi</v>
      </c>
      <c r="C39" s="64" t="str">
        <f>'2027'!D37</f>
        <v>Data engineering 4</v>
      </c>
      <c r="D39" s="65">
        <f>'2027'!F37</f>
        <v>5</v>
      </c>
      <c r="E39" s="65">
        <f>'2027'!G37</f>
        <v>0</v>
      </c>
      <c r="F39" s="65">
        <f>'2027'!H37</f>
        <v>0</v>
      </c>
      <c r="G39" s="74">
        <f t="shared" si="0"/>
        <v>5</v>
      </c>
      <c r="H39" s="65">
        <f>'2027'!V37</f>
        <v>5</v>
      </c>
      <c r="I39" s="66">
        <f t="shared" si="1"/>
        <v>0</v>
      </c>
      <c r="J39" s="70">
        <f t="shared" si="2"/>
        <v>0</v>
      </c>
      <c r="L39" s="105"/>
    </row>
    <row r="40" spans="1:12" x14ac:dyDescent="0.35">
      <c r="A40" s="69" t="s">
        <v>1757</v>
      </c>
      <c r="B40" s="64" t="str">
        <f>'2027'!C38</f>
        <v>Data və Analitika departamenti(Marketplace)</v>
      </c>
      <c r="C40" s="64" t="str">
        <f>'2027'!D38</f>
        <v>Data Engineering</v>
      </c>
      <c r="D40" s="65">
        <f>'2027'!F38</f>
        <v>4</v>
      </c>
      <c r="E40" s="65">
        <f>'2027'!G38</f>
        <v>0</v>
      </c>
      <c r="F40" s="65">
        <f>'2027'!H38</f>
        <v>0</v>
      </c>
      <c r="G40" s="74">
        <f t="shared" ref="G40:G72" si="9">SUM(D40:F40)</f>
        <v>4</v>
      </c>
      <c r="H40" s="65">
        <f>'2027'!V38</f>
        <v>4</v>
      </c>
      <c r="I40" s="66">
        <f t="shared" ref="I40:I72" si="10">H40-D40</f>
        <v>0</v>
      </c>
      <c r="J40" s="70">
        <f t="shared" ref="J40:J72" si="11">IF(D40=0,0,I40/D40)</f>
        <v>0</v>
      </c>
      <c r="L40" s="107" t="s">
        <v>1829</v>
      </c>
    </row>
    <row r="41" spans="1:12" x14ac:dyDescent="0.35">
      <c r="A41" s="69" t="s">
        <v>1757</v>
      </c>
      <c r="B41" s="64" t="str">
        <f>'2027'!C39</f>
        <v>Design Center of Expertise</v>
      </c>
      <c r="C41" s="64" t="str">
        <f>'2027'!D39</f>
        <v>#</v>
      </c>
      <c r="D41" s="65">
        <f>'2027'!F39</f>
        <v>4</v>
      </c>
      <c r="E41" s="65">
        <f>'2027'!G39</f>
        <v>0</v>
      </c>
      <c r="F41" s="65">
        <f>'2027'!H39</f>
        <v>4</v>
      </c>
      <c r="G41" s="74">
        <f t="shared" si="9"/>
        <v>8</v>
      </c>
      <c r="H41" s="65">
        <f>'2027'!V39</f>
        <v>8</v>
      </c>
      <c r="I41" s="66">
        <f t="shared" si="10"/>
        <v>4</v>
      </c>
      <c r="J41" s="70">
        <f t="shared" si="11"/>
        <v>1</v>
      </c>
      <c r="L41" s="107" t="s">
        <v>1835</v>
      </c>
    </row>
    <row r="42" spans="1:12" x14ac:dyDescent="0.35">
      <c r="A42" s="69" t="s">
        <v>1757</v>
      </c>
      <c r="B42" s="64" t="str">
        <f>'2027'!C40</f>
        <v>Design Center of Expertise</v>
      </c>
      <c r="C42" s="64" t="str">
        <f>'2027'!D40</f>
        <v>Product Designer 1</v>
      </c>
      <c r="D42" s="65">
        <f>'2027'!F40</f>
        <v>9</v>
      </c>
      <c r="E42" s="65">
        <f>'2027'!G40</f>
        <v>1</v>
      </c>
      <c r="F42" s="65">
        <f>'2027'!H40</f>
        <v>0</v>
      </c>
      <c r="G42" s="74">
        <f t="shared" si="9"/>
        <v>10</v>
      </c>
      <c r="H42" s="65">
        <f>'2027'!V40</f>
        <v>10</v>
      </c>
      <c r="I42" s="66">
        <f t="shared" si="10"/>
        <v>1</v>
      </c>
      <c r="J42" s="70">
        <f t="shared" si="11"/>
        <v>0.1111111111111111</v>
      </c>
      <c r="L42" s="105"/>
    </row>
    <row r="43" spans="1:12" x14ac:dyDescent="0.35">
      <c r="A43" s="69" t="s">
        <v>1757</v>
      </c>
      <c r="B43" s="64" t="str">
        <f>'2027'!C41</f>
        <v>Design Center of Expertise</v>
      </c>
      <c r="C43" s="64" t="str">
        <f>'2027'!D41</f>
        <v>Graphic Design</v>
      </c>
      <c r="D43" s="65">
        <f>'2027'!F41</f>
        <v>20</v>
      </c>
      <c r="E43" s="65">
        <f>'2027'!G41</f>
        <v>0</v>
      </c>
      <c r="F43" s="65">
        <f>'2027'!H41</f>
        <v>1</v>
      </c>
      <c r="G43" s="74">
        <f t="shared" si="9"/>
        <v>21</v>
      </c>
      <c r="H43" s="65">
        <f>'2027'!V41</f>
        <v>21</v>
      </c>
      <c r="I43" s="66">
        <f t="shared" si="10"/>
        <v>1</v>
      </c>
      <c r="J43" s="70">
        <f t="shared" si="11"/>
        <v>0.05</v>
      </c>
      <c r="L43" s="105"/>
    </row>
    <row r="44" spans="1:12" x14ac:dyDescent="0.35">
      <c r="A44" s="69" t="s">
        <v>1757</v>
      </c>
      <c r="B44" s="64" t="str">
        <f>'2027'!C42</f>
        <v>Design Center of Expertise</v>
      </c>
      <c r="C44" s="64" t="str">
        <f>'2027'!D42</f>
        <v>Product Designer 2</v>
      </c>
      <c r="D44" s="65">
        <f>'2027'!F42</f>
        <v>5</v>
      </c>
      <c r="E44" s="65">
        <f>'2027'!G42</f>
        <v>0</v>
      </c>
      <c r="F44" s="65">
        <f>'2027'!H42</f>
        <v>1</v>
      </c>
      <c r="G44" s="74">
        <f t="shared" si="9"/>
        <v>6</v>
      </c>
      <c r="H44" s="65">
        <f>'2027'!V42</f>
        <v>6</v>
      </c>
      <c r="I44" s="66">
        <f t="shared" si="10"/>
        <v>1</v>
      </c>
      <c r="J44" s="70">
        <f t="shared" si="11"/>
        <v>0.2</v>
      </c>
      <c r="L44" s="105"/>
    </row>
    <row r="45" spans="1:12" x14ac:dyDescent="0.35">
      <c r="A45" s="69" t="s">
        <v>1757</v>
      </c>
      <c r="B45" s="64" t="str">
        <f>'2027'!C43</f>
        <v>Design Center of Expertise</v>
      </c>
      <c r="C45" s="64" t="str">
        <f>'2027'!D43</f>
        <v>Product Designer 3</v>
      </c>
      <c r="D45" s="65">
        <f>'2027'!F43</f>
        <v>6</v>
      </c>
      <c r="E45" s="65">
        <f>'2027'!G43</f>
        <v>0</v>
      </c>
      <c r="F45" s="65">
        <f>'2027'!H43</f>
        <v>1</v>
      </c>
      <c r="G45" s="74">
        <f t="shared" si="9"/>
        <v>7</v>
      </c>
      <c r="H45" s="65">
        <f>'2027'!V43</f>
        <v>7</v>
      </c>
      <c r="I45" s="66">
        <f t="shared" si="10"/>
        <v>1</v>
      </c>
      <c r="J45" s="70">
        <f t="shared" si="11"/>
        <v>0.16666666666666666</v>
      </c>
      <c r="L45" s="105"/>
    </row>
    <row r="46" spans="1:12" x14ac:dyDescent="0.35">
      <c r="A46" s="69" t="s">
        <v>1757</v>
      </c>
      <c r="B46" s="64" t="str">
        <f>'2027'!C44</f>
        <v>Design Center of Expertise</v>
      </c>
      <c r="C46" s="64" t="str">
        <f>'2027'!D44</f>
        <v>Product Designer 4</v>
      </c>
      <c r="D46" s="65">
        <f>'2027'!F44</f>
        <v>6</v>
      </c>
      <c r="E46" s="65">
        <f>'2027'!G44</f>
        <v>0</v>
      </c>
      <c r="F46" s="65">
        <f>'2027'!H44</f>
        <v>2</v>
      </c>
      <c r="G46" s="74">
        <f t="shared" si="9"/>
        <v>8</v>
      </c>
      <c r="H46" s="65">
        <f>'2027'!V44</f>
        <v>8</v>
      </c>
      <c r="I46" s="66">
        <f t="shared" si="10"/>
        <v>2</v>
      </c>
      <c r="J46" s="70">
        <f t="shared" si="11"/>
        <v>0.33333333333333331</v>
      </c>
      <c r="L46" s="105"/>
    </row>
    <row r="47" spans="1:12" x14ac:dyDescent="0.35">
      <c r="A47" s="69" t="s">
        <v>1757</v>
      </c>
      <c r="B47" s="64" t="str">
        <f>'2027'!C45</f>
        <v>Design Center of Expertise</v>
      </c>
      <c r="C47" s="64" t="str">
        <f>'2027'!D45</f>
        <v>UX Researcher</v>
      </c>
      <c r="D47" s="65">
        <f>'2027'!F45</f>
        <v>3</v>
      </c>
      <c r="E47" s="65">
        <f>'2027'!G45</f>
        <v>0</v>
      </c>
      <c r="F47" s="65">
        <f>'2027'!H45</f>
        <v>0</v>
      </c>
      <c r="G47" s="74">
        <f t="shared" si="9"/>
        <v>3</v>
      </c>
      <c r="H47" s="65">
        <f>'2027'!V45</f>
        <v>3</v>
      </c>
      <c r="I47" s="66">
        <f t="shared" si="10"/>
        <v>0</v>
      </c>
      <c r="J47" s="70">
        <f t="shared" si="11"/>
        <v>0</v>
      </c>
      <c r="L47" s="105"/>
    </row>
    <row r="48" spans="1:12" x14ac:dyDescent="0.35">
      <c r="A48" s="69" t="s">
        <v>1757</v>
      </c>
      <c r="B48" s="64" t="str">
        <f>'2027'!C46</f>
        <v>Ecosystem Platform and ID Area</v>
      </c>
      <c r="C48" s="64" t="str">
        <f>'2027'!D46</f>
        <v>#</v>
      </c>
      <c r="D48" s="65">
        <f>'2027'!F46</f>
        <v>1</v>
      </c>
      <c r="E48" s="65">
        <f>'2027'!G46</f>
        <v>0</v>
      </c>
      <c r="F48" s="65">
        <f>'2027'!H46</f>
        <v>0</v>
      </c>
      <c r="G48" s="74">
        <f t="shared" si="9"/>
        <v>1</v>
      </c>
      <c r="H48" s="65">
        <f>'2027'!V46</f>
        <v>1</v>
      </c>
      <c r="I48" s="66">
        <f t="shared" si="10"/>
        <v>0</v>
      </c>
      <c r="J48" s="70">
        <f t="shared" si="11"/>
        <v>0</v>
      </c>
      <c r="L48" s="107" t="s">
        <v>1829</v>
      </c>
    </row>
    <row r="49" spans="1:12" x14ac:dyDescent="0.35">
      <c r="A49" s="69" t="s">
        <v>1757</v>
      </c>
      <c r="B49" s="64" t="str">
        <f>'2027'!C47</f>
        <v>Ecosystem Platform and ID Area</v>
      </c>
      <c r="C49" s="64" t="str">
        <f>'2027'!D47</f>
        <v>BirID</v>
      </c>
      <c r="D49" s="65">
        <f>'2027'!F47</f>
        <v>1</v>
      </c>
      <c r="E49" s="65">
        <f>'2027'!G47</f>
        <v>0</v>
      </c>
      <c r="F49" s="65">
        <f>'2027'!H47</f>
        <v>0</v>
      </c>
      <c r="G49" s="74">
        <f t="shared" si="9"/>
        <v>1</v>
      </c>
      <c r="H49" s="65">
        <f>'2027'!V47</f>
        <v>1</v>
      </c>
      <c r="I49" s="66">
        <f t="shared" si="10"/>
        <v>0</v>
      </c>
      <c r="J49" s="70">
        <f t="shared" si="11"/>
        <v>0</v>
      </c>
      <c r="L49" s="105"/>
    </row>
    <row r="50" spans="1:12" x14ac:dyDescent="0.35">
      <c r="A50" s="69" t="s">
        <v>1757</v>
      </c>
      <c r="B50" s="64" t="str">
        <f>'2027'!C48</f>
        <v>Ecosystem Platform and ID Area</v>
      </c>
      <c r="C50" s="64" t="str">
        <f>'2027'!D48</f>
        <v>Business ID</v>
      </c>
      <c r="D50" s="65">
        <f>'2027'!F48</f>
        <v>1</v>
      </c>
      <c r="E50" s="65">
        <f>'2027'!G48</f>
        <v>0</v>
      </c>
      <c r="F50" s="65">
        <f>'2027'!H48</f>
        <v>0</v>
      </c>
      <c r="G50" s="74">
        <f t="shared" si="9"/>
        <v>1</v>
      </c>
      <c r="H50" s="65">
        <f>'2027'!V48</f>
        <v>1</v>
      </c>
      <c r="I50" s="66">
        <f t="shared" si="10"/>
        <v>0</v>
      </c>
      <c r="J50" s="70">
        <f t="shared" si="11"/>
        <v>0</v>
      </c>
      <c r="L50" s="105"/>
    </row>
    <row r="51" spans="1:12" x14ac:dyDescent="0.35">
      <c r="A51" s="69" t="s">
        <v>1757</v>
      </c>
      <c r="B51" s="64" t="str">
        <f>'2027'!C49</f>
        <v>Ecosystem Platform and ID Area</v>
      </c>
      <c r="C51" s="64" t="str">
        <f>'2027'!D49</f>
        <v>DVS</v>
      </c>
      <c r="D51" s="65">
        <f>'2027'!F49</f>
        <v>1</v>
      </c>
      <c r="E51" s="65">
        <f>'2027'!G49</f>
        <v>0</v>
      </c>
      <c r="F51" s="65">
        <f>'2027'!H49</f>
        <v>0</v>
      </c>
      <c r="G51" s="74">
        <f t="shared" si="9"/>
        <v>1</v>
      </c>
      <c r="H51" s="65">
        <f>'2027'!V49</f>
        <v>1</v>
      </c>
      <c r="I51" s="66">
        <f t="shared" si="10"/>
        <v>0</v>
      </c>
      <c r="J51" s="70">
        <f t="shared" si="11"/>
        <v>0</v>
      </c>
      <c r="L51" s="105"/>
    </row>
    <row r="52" spans="1:12" x14ac:dyDescent="0.35">
      <c r="A52" s="69" t="s">
        <v>1757</v>
      </c>
      <c r="B52" s="64" t="str">
        <f>'2027'!C50</f>
        <v>Legal Department</v>
      </c>
      <c r="C52" s="64" t="str">
        <f>'2027'!D50</f>
        <v>#</v>
      </c>
      <c r="D52" s="65">
        <f>'2027'!F50</f>
        <v>2</v>
      </c>
      <c r="E52" s="65">
        <f>'2027'!G50</f>
        <v>0</v>
      </c>
      <c r="F52" s="65">
        <f>'2027'!H50</f>
        <v>0</v>
      </c>
      <c r="G52" s="74">
        <f t="shared" si="9"/>
        <v>2</v>
      </c>
      <c r="H52" s="65">
        <f>'2027'!V50</f>
        <v>2</v>
      </c>
      <c r="I52" s="66">
        <f t="shared" si="10"/>
        <v>0</v>
      </c>
      <c r="J52" s="70">
        <f t="shared" si="11"/>
        <v>0</v>
      </c>
      <c r="L52" s="107" t="s">
        <v>1836</v>
      </c>
    </row>
    <row r="53" spans="1:12" x14ac:dyDescent="0.35">
      <c r="A53" s="69" t="s">
        <v>1757</v>
      </c>
      <c r="B53" s="64" t="str">
        <f>'2027'!C51</f>
        <v>Legal Department</v>
      </c>
      <c r="C53" s="64" t="str">
        <f>'2027'!D51</f>
        <v>Litigation and Legal Support Division</v>
      </c>
      <c r="D53" s="65">
        <f>'2027'!F51</f>
        <v>15</v>
      </c>
      <c r="E53" s="65">
        <f>'2027'!G51</f>
        <v>0</v>
      </c>
      <c r="F53" s="65">
        <f>'2027'!H51</f>
        <v>5.5</v>
      </c>
      <c r="G53" s="74">
        <f t="shared" si="9"/>
        <v>20.5</v>
      </c>
      <c r="H53" s="65">
        <f>'2027'!V51</f>
        <v>20.5</v>
      </c>
      <c r="I53" s="66">
        <f t="shared" si="10"/>
        <v>5.5</v>
      </c>
      <c r="J53" s="70">
        <f t="shared" si="11"/>
        <v>0.36666666666666664</v>
      </c>
      <c r="L53" s="105"/>
    </row>
    <row r="54" spans="1:12" x14ac:dyDescent="0.35">
      <c r="A54" s="69" t="s">
        <v>1757</v>
      </c>
      <c r="B54" s="64" t="str">
        <f>'2027'!C52</f>
        <v>Legal Department</v>
      </c>
      <c r="C54" s="64" t="str">
        <f>'2027'!D52</f>
        <v>Payment Business Legal Support Division</v>
      </c>
      <c r="D54" s="65">
        <f>'2027'!F52</f>
        <v>4</v>
      </c>
      <c r="E54" s="65">
        <f>'2027'!G52</f>
        <v>0</v>
      </c>
      <c r="F54" s="65">
        <f>'2027'!H52</f>
        <v>0</v>
      </c>
      <c r="G54" s="74">
        <f t="shared" si="9"/>
        <v>4</v>
      </c>
      <c r="H54" s="65">
        <f>'2027'!V52</f>
        <v>4</v>
      </c>
      <c r="I54" s="66">
        <f t="shared" si="10"/>
        <v>0</v>
      </c>
      <c r="J54" s="70">
        <f t="shared" si="11"/>
        <v>0</v>
      </c>
      <c r="L54" s="105"/>
    </row>
    <row r="55" spans="1:12" x14ac:dyDescent="0.35">
      <c r="A55" s="69" t="s">
        <v>1757</v>
      </c>
      <c r="B55" s="64" t="str">
        <f>'2027'!C53</f>
        <v>Legal Department</v>
      </c>
      <c r="C55" s="64" t="str">
        <f>'2027'!D53</f>
        <v>E-commerce Business Legal Support Division</v>
      </c>
      <c r="D55" s="65">
        <f>'2027'!F53</f>
        <v>6</v>
      </c>
      <c r="E55" s="65">
        <f>'2027'!G53</f>
        <v>0</v>
      </c>
      <c r="F55" s="65">
        <f>'2027'!H53</f>
        <v>0</v>
      </c>
      <c r="G55" s="74">
        <f t="shared" si="9"/>
        <v>6</v>
      </c>
      <c r="H55" s="65">
        <f>'2027'!V53</f>
        <v>6</v>
      </c>
      <c r="I55" s="66">
        <f t="shared" si="10"/>
        <v>0</v>
      </c>
      <c r="J55" s="70">
        <f t="shared" si="11"/>
        <v>0</v>
      </c>
      <c r="L55" s="105"/>
    </row>
    <row r="56" spans="1:12" x14ac:dyDescent="0.35">
      <c r="A56" s="69" t="s">
        <v>1757</v>
      </c>
      <c r="B56" s="64" t="str">
        <f>'2027'!C54</f>
        <v>Legal Department</v>
      </c>
      <c r="C56" s="64" t="str">
        <f>'2027'!D54</f>
        <v>Archive Division</v>
      </c>
      <c r="D56" s="65">
        <f>'2027'!F54</f>
        <v>12</v>
      </c>
      <c r="E56" s="65">
        <f>'2027'!G54</f>
        <v>0</v>
      </c>
      <c r="F56" s="65">
        <f>'2027'!H54</f>
        <v>0</v>
      </c>
      <c r="G56" s="74">
        <f t="shared" si="9"/>
        <v>12</v>
      </c>
      <c r="H56" s="65">
        <f>'2027'!V54</f>
        <v>12</v>
      </c>
      <c r="I56" s="66">
        <f t="shared" si="10"/>
        <v>0</v>
      </c>
      <c r="J56" s="70">
        <f t="shared" si="11"/>
        <v>0</v>
      </c>
      <c r="L56" s="105"/>
    </row>
    <row r="57" spans="1:12" x14ac:dyDescent="0.35">
      <c r="A57" s="69" t="s">
        <v>1757</v>
      </c>
      <c r="B57" s="64" t="str">
        <f>'2027'!C55</f>
        <v>Legal Department</v>
      </c>
      <c r="C57" s="64" t="str">
        <f>'2027'!D55</f>
        <v>Banking Products Legal Support Division</v>
      </c>
      <c r="D57" s="65">
        <f>'2027'!F55</f>
        <v>10</v>
      </c>
      <c r="E57" s="65">
        <f>'2027'!G55</f>
        <v>0</v>
      </c>
      <c r="F57" s="65">
        <f>'2027'!H55</f>
        <v>0</v>
      </c>
      <c r="G57" s="74">
        <f t="shared" si="9"/>
        <v>10</v>
      </c>
      <c r="H57" s="65">
        <f>'2027'!V55</f>
        <v>10</v>
      </c>
      <c r="I57" s="66">
        <f t="shared" si="10"/>
        <v>0</v>
      </c>
      <c r="J57" s="70">
        <f t="shared" si="11"/>
        <v>0</v>
      </c>
      <c r="L57" s="105"/>
    </row>
    <row r="58" spans="1:12" x14ac:dyDescent="0.35">
      <c r="A58" s="69" t="s">
        <v>1757</v>
      </c>
      <c r="B58" s="64" t="str">
        <f>'2027'!C56</f>
        <v>Legal Department</v>
      </c>
      <c r="C58" s="64" t="str">
        <f>'2027'!D56</f>
        <v>Corporate Law and Corporate Governance Legal Support Division</v>
      </c>
      <c r="D58" s="65">
        <f>'2027'!F56</f>
        <v>10</v>
      </c>
      <c r="E58" s="65">
        <f>'2027'!G56</f>
        <v>0</v>
      </c>
      <c r="F58" s="65">
        <f>'2027'!H56</f>
        <v>0</v>
      </c>
      <c r="G58" s="74">
        <f t="shared" si="9"/>
        <v>10</v>
      </c>
      <c r="H58" s="65">
        <f>'2027'!V56</f>
        <v>10</v>
      </c>
      <c r="I58" s="66">
        <f t="shared" si="10"/>
        <v>0</v>
      </c>
      <c r="J58" s="70">
        <f t="shared" si="11"/>
        <v>0</v>
      </c>
      <c r="L58" s="105"/>
    </row>
    <row r="59" spans="1:12" x14ac:dyDescent="0.35">
      <c r="A59" s="69" t="s">
        <v>1757</v>
      </c>
      <c r="B59" s="64" t="str">
        <f>'2027'!C57</f>
        <v>Legal Department</v>
      </c>
      <c r="C59" s="64" t="str">
        <f>'2027'!D57</f>
        <v>Methodology Division</v>
      </c>
      <c r="D59" s="65">
        <f>'2027'!F57</f>
        <v>7</v>
      </c>
      <c r="E59" s="65">
        <f>'2027'!G57</f>
        <v>2</v>
      </c>
      <c r="F59" s="65">
        <f>'2027'!H57</f>
        <v>0</v>
      </c>
      <c r="G59" s="74">
        <f t="shared" si="9"/>
        <v>9</v>
      </c>
      <c r="H59" s="65">
        <f>'2027'!V57</f>
        <v>7</v>
      </c>
      <c r="I59" s="66">
        <f t="shared" si="10"/>
        <v>0</v>
      </c>
      <c r="J59" s="70">
        <f t="shared" si="11"/>
        <v>0</v>
      </c>
      <c r="L59" s="105"/>
    </row>
    <row r="60" spans="1:12" x14ac:dyDescent="0.35">
      <c r="A60" s="69" t="s">
        <v>1757</v>
      </c>
      <c r="B60" s="64" t="str">
        <f>'2027'!C58</f>
        <v>Information Security Department</v>
      </c>
      <c r="C60" s="64" t="str">
        <f>'2027'!D58</f>
        <v>#</v>
      </c>
      <c r="D60" s="65">
        <f>'2027'!F58</f>
        <v>4</v>
      </c>
      <c r="E60" s="65">
        <f>'2027'!G58</f>
        <v>0</v>
      </c>
      <c r="F60" s="65">
        <f>'2027'!H58</f>
        <v>0</v>
      </c>
      <c r="G60" s="74">
        <f t="shared" si="9"/>
        <v>4</v>
      </c>
      <c r="H60" s="65">
        <f>'2027'!V58</f>
        <v>4</v>
      </c>
      <c r="I60" s="66">
        <f t="shared" si="10"/>
        <v>0</v>
      </c>
      <c r="J60" s="70">
        <f t="shared" si="11"/>
        <v>0</v>
      </c>
      <c r="L60" s="107" t="s">
        <v>1837</v>
      </c>
    </row>
    <row r="61" spans="1:12" x14ac:dyDescent="0.35">
      <c r="A61" s="69" t="s">
        <v>1757</v>
      </c>
      <c r="B61" s="64" t="str">
        <f>'2027'!C59</f>
        <v>Information Security Department</v>
      </c>
      <c r="C61" s="64" t="str">
        <f>'2027'!D59</f>
        <v>Platform Security Division</v>
      </c>
      <c r="D61" s="65">
        <f>'2027'!F59</f>
        <v>9.5</v>
      </c>
      <c r="E61" s="65">
        <f>'2027'!G59</f>
        <v>0</v>
      </c>
      <c r="F61" s="65">
        <f>'2027'!H59</f>
        <v>0</v>
      </c>
      <c r="G61" s="74">
        <f t="shared" si="9"/>
        <v>9.5</v>
      </c>
      <c r="H61" s="65">
        <f>'2027'!V59</f>
        <v>9.5</v>
      </c>
      <c r="I61" s="66">
        <f t="shared" si="10"/>
        <v>0</v>
      </c>
      <c r="J61" s="70">
        <f t="shared" si="11"/>
        <v>0</v>
      </c>
      <c r="L61" s="105"/>
    </row>
    <row r="62" spans="1:12" x14ac:dyDescent="0.35">
      <c r="A62" s="69" t="s">
        <v>1757</v>
      </c>
      <c r="B62" s="64" t="str">
        <f>'2027'!C60</f>
        <v>Information Security Department</v>
      </c>
      <c r="C62" s="64" t="str">
        <f>'2027'!D60</f>
        <v>Network Security Division</v>
      </c>
      <c r="D62" s="65">
        <f>'2027'!F60</f>
        <v>5</v>
      </c>
      <c r="E62" s="65">
        <f>'2027'!G60</f>
        <v>0</v>
      </c>
      <c r="F62" s="65">
        <f>'2027'!H60</f>
        <v>0</v>
      </c>
      <c r="G62" s="74">
        <f t="shared" si="9"/>
        <v>5</v>
      </c>
      <c r="H62" s="65">
        <f>'2027'!V60</f>
        <v>5</v>
      </c>
      <c r="I62" s="66">
        <f t="shared" si="10"/>
        <v>0</v>
      </c>
      <c r="J62" s="70">
        <f t="shared" si="11"/>
        <v>0</v>
      </c>
      <c r="L62" s="105"/>
    </row>
    <row r="63" spans="1:12" x14ac:dyDescent="0.35">
      <c r="A63" s="69" t="s">
        <v>1757</v>
      </c>
      <c r="B63" s="64" t="str">
        <f>'2027'!C61</f>
        <v>Information Security Department</v>
      </c>
      <c r="C63" s="64" t="str">
        <f>'2027'!D61</f>
        <v>Information Security GRC Division</v>
      </c>
      <c r="D63" s="65">
        <f>'2027'!F61</f>
        <v>6</v>
      </c>
      <c r="E63" s="65">
        <f>'2027'!G61</f>
        <v>0</v>
      </c>
      <c r="F63" s="65">
        <f>'2027'!H61</f>
        <v>6</v>
      </c>
      <c r="G63" s="74">
        <f t="shared" si="9"/>
        <v>12</v>
      </c>
      <c r="H63" s="65">
        <f>'2027'!V61</f>
        <v>12</v>
      </c>
      <c r="I63" s="66">
        <f t="shared" si="10"/>
        <v>6</v>
      </c>
      <c r="J63" s="70">
        <f t="shared" si="11"/>
        <v>1</v>
      </c>
      <c r="L63" s="105"/>
    </row>
    <row r="64" spans="1:12" x14ac:dyDescent="0.35">
      <c r="A64" s="69" t="s">
        <v>1757</v>
      </c>
      <c r="B64" s="64" t="str">
        <f>'2027'!C62</f>
        <v>Information Security Department</v>
      </c>
      <c r="C64" s="64" t="str">
        <f>'2027'!D62</f>
        <v>Cyber Defense Division</v>
      </c>
      <c r="D64" s="65">
        <f>'2027'!F62</f>
        <v>17</v>
      </c>
      <c r="E64" s="65">
        <f>'2027'!G62</f>
        <v>0</v>
      </c>
      <c r="F64" s="65">
        <f>'2027'!H62</f>
        <v>1</v>
      </c>
      <c r="G64" s="74">
        <f t="shared" si="9"/>
        <v>18</v>
      </c>
      <c r="H64" s="65">
        <f>'2027'!V62</f>
        <v>18</v>
      </c>
      <c r="I64" s="66">
        <f t="shared" si="10"/>
        <v>1</v>
      </c>
      <c r="J64" s="70">
        <f t="shared" si="11"/>
        <v>5.8823529411764705E-2</v>
      </c>
      <c r="K64" s="84"/>
      <c r="L64" s="105"/>
    </row>
    <row r="65" spans="1:12" x14ac:dyDescent="0.35">
      <c r="A65" s="69" t="s">
        <v>1757</v>
      </c>
      <c r="B65" s="64" t="str">
        <f>'2027'!C63</f>
        <v>Information Security Department</v>
      </c>
      <c r="C65" s="64" t="str">
        <f>'2027'!D63</f>
        <v>Product Security Division</v>
      </c>
      <c r="D65" s="65">
        <f>'2027'!F63</f>
        <v>10.5</v>
      </c>
      <c r="E65" s="65">
        <f>'2027'!G63</f>
        <v>0</v>
      </c>
      <c r="F65" s="65">
        <f>'2027'!H63</f>
        <v>3</v>
      </c>
      <c r="G65" s="74">
        <f t="shared" si="9"/>
        <v>13.5</v>
      </c>
      <c r="H65" s="65">
        <f>'2027'!V63</f>
        <v>13.5</v>
      </c>
      <c r="I65" s="66">
        <f t="shared" si="10"/>
        <v>3</v>
      </c>
      <c r="J65" s="70">
        <f t="shared" si="11"/>
        <v>0.2857142857142857</v>
      </c>
      <c r="K65" s="84"/>
      <c r="L65" s="105"/>
    </row>
    <row r="66" spans="1:12" x14ac:dyDescent="0.35">
      <c r="A66" s="69" t="s">
        <v>1757</v>
      </c>
      <c r="B66" s="64" t="str">
        <f>'2027'!C64</f>
        <v>Information Security Department</v>
      </c>
      <c r="C66" s="64" t="str">
        <f>'2027'!D64</f>
        <v>IT Risk Management Division</v>
      </c>
      <c r="D66" s="65">
        <f>'2027'!F64</f>
        <v>4</v>
      </c>
      <c r="E66" s="65">
        <f>'2027'!G64</f>
        <v>0</v>
      </c>
      <c r="F66" s="65">
        <f>'2027'!H64</f>
        <v>0</v>
      </c>
      <c r="G66" s="74">
        <f t="shared" si="9"/>
        <v>4</v>
      </c>
      <c r="H66" s="65">
        <f>'2027'!V64</f>
        <v>4</v>
      </c>
      <c r="I66" s="66">
        <f t="shared" si="10"/>
        <v>0</v>
      </c>
      <c r="J66" s="70">
        <f t="shared" si="11"/>
        <v>0</v>
      </c>
      <c r="L66" s="105"/>
    </row>
    <row r="67" spans="1:12" s="85" customFormat="1" x14ac:dyDescent="0.35">
      <c r="A67" s="69" t="s">
        <v>1757</v>
      </c>
      <c r="B67" s="64" t="str">
        <f>'2027'!C65</f>
        <v>Administrative Management Department</v>
      </c>
      <c r="C67" s="64" t="str">
        <f>'2027'!D65</f>
        <v>#</v>
      </c>
      <c r="D67" s="65">
        <f>'2027'!F65</f>
        <v>3</v>
      </c>
      <c r="E67" s="65">
        <f>'2027'!G65</f>
        <v>0</v>
      </c>
      <c r="F67" s="65">
        <f>'2027'!H65</f>
        <v>0</v>
      </c>
      <c r="G67" s="74">
        <f>SUM(D67:F67)</f>
        <v>3</v>
      </c>
      <c r="H67" s="65">
        <f>'2027'!V65</f>
        <v>3</v>
      </c>
      <c r="I67" s="66">
        <f>H67-D67</f>
        <v>0</v>
      </c>
      <c r="J67" s="70">
        <f>IF(D67=0,0,I67/D67)</f>
        <v>0</v>
      </c>
      <c r="L67" s="107" t="s">
        <v>1829</v>
      </c>
    </row>
    <row r="68" spans="1:12" s="85" customFormat="1" x14ac:dyDescent="0.35">
      <c r="A68" s="69" t="s">
        <v>1757</v>
      </c>
      <c r="B68" s="64" t="str">
        <f>'2027'!C66</f>
        <v>Administrative Management Department</v>
      </c>
      <c r="C68" s="64" t="str">
        <f>'2027'!D66</f>
        <v>Repair and Maintenance Division</v>
      </c>
      <c r="D68" s="65">
        <f>'2027'!F66</f>
        <v>67</v>
      </c>
      <c r="E68" s="65">
        <f>'2027'!G66</f>
        <v>1</v>
      </c>
      <c r="F68" s="65">
        <f>'2027'!H66</f>
        <v>0</v>
      </c>
      <c r="G68" s="74">
        <f t="shared" si="9"/>
        <v>68</v>
      </c>
      <c r="H68" s="65">
        <f>'2027'!V66</f>
        <v>68</v>
      </c>
      <c r="I68" s="66">
        <f t="shared" si="10"/>
        <v>1</v>
      </c>
      <c r="J68" s="70">
        <f t="shared" si="11"/>
        <v>1.4925373134328358E-2</v>
      </c>
      <c r="L68" s="105"/>
    </row>
    <row r="69" spans="1:12" x14ac:dyDescent="0.35">
      <c r="A69" s="69" t="s">
        <v>1757</v>
      </c>
      <c r="B69" s="64" t="str">
        <f>'2027'!C67</f>
        <v>Administrative Management Department</v>
      </c>
      <c r="C69" s="64" t="str">
        <f>'2027'!D67</f>
        <v>Transport Division</v>
      </c>
      <c r="D69" s="65">
        <f>'2027'!F67</f>
        <v>36</v>
      </c>
      <c r="E69" s="65">
        <f>'2027'!G67</f>
        <v>1</v>
      </c>
      <c r="F69" s="65">
        <f>'2027'!H67</f>
        <v>0</v>
      </c>
      <c r="G69" s="74">
        <f t="shared" si="9"/>
        <v>37</v>
      </c>
      <c r="H69" s="65">
        <f>'2027'!V67</f>
        <v>37</v>
      </c>
      <c r="I69" s="66">
        <f t="shared" si="10"/>
        <v>1</v>
      </c>
      <c r="J69" s="70">
        <f t="shared" si="11"/>
        <v>2.7777777777777776E-2</v>
      </c>
      <c r="L69" s="105"/>
    </row>
    <row r="70" spans="1:12" x14ac:dyDescent="0.35">
      <c r="A70" s="69" t="s">
        <v>1757</v>
      </c>
      <c r="B70" s="64" t="str">
        <f>'2027'!C68</f>
        <v>Administrative Management Department</v>
      </c>
      <c r="C70" s="64" t="str">
        <f>'2027'!D68</f>
        <v>Procurement and Supply Division</v>
      </c>
      <c r="D70" s="65">
        <f>'2027'!F68</f>
        <v>27</v>
      </c>
      <c r="E70" s="65">
        <f>'2027'!G68</f>
        <v>4</v>
      </c>
      <c r="F70" s="65">
        <f>'2027'!H68</f>
        <v>0</v>
      </c>
      <c r="G70" s="74">
        <f t="shared" si="9"/>
        <v>31</v>
      </c>
      <c r="H70" s="65">
        <f>'2027'!V68</f>
        <v>31</v>
      </c>
      <c r="I70" s="66">
        <f t="shared" si="10"/>
        <v>4</v>
      </c>
      <c r="J70" s="70">
        <f t="shared" si="11"/>
        <v>0.14814814814814814</v>
      </c>
      <c r="L70" s="105"/>
    </row>
    <row r="71" spans="1:12" x14ac:dyDescent="0.35">
      <c r="A71" s="69" t="s">
        <v>1757</v>
      </c>
      <c r="B71" s="64" t="str">
        <f>'2027'!C69</f>
        <v>Administrative Management Department</v>
      </c>
      <c r="C71" s="64" t="str">
        <f>'2027'!D69</f>
        <v>Administrative Operations Division</v>
      </c>
      <c r="D71" s="65">
        <f>'2027'!F69</f>
        <v>23</v>
      </c>
      <c r="E71" s="65">
        <f>'2027'!G69</f>
        <v>1</v>
      </c>
      <c r="F71" s="65">
        <f>'2027'!H69</f>
        <v>0</v>
      </c>
      <c r="G71" s="74">
        <f t="shared" si="9"/>
        <v>24</v>
      </c>
      <c r="H71" s="65">
        <f>'2027'!V69</f>
        <v>21</v>
      </c>
      <c r="I71" s="66">
        <f t="shared" si="10"/>
        <v>-2</v>
      </c>
      <c r="J71" s="70">
        <f t="shared" si="11"/>
        <v>-8.6956521739130432E-2</v>
      </c>
      <c r="L71" s="105"/>
    </row>
    <row r="72" spans="1:12" x14ac:dyDescent="0.35">
      <c r="A72" s="69" t="s">
        <v>1757</v>
      </c>
      <c r="B72" s="64" t="str">
        <f>'2027'!C70</f>
        <v>IT Infrastructure Department</v>
      </c>
      <c r="C72" s="64" t="str">
        <f>'2027'!D70</f>
        <v>#</v>
      </c>
      <c r="D72" s="65">
        <f>'2027'!F70</f>
        <v>2</v>
      </c>
      <c r="E72" s="65">
        <f>'2027'!G70</f>
        <v>0</v>
      </c>
      <c r="F72" s="65">
        <f>'2027'!H70</f>
        <v>0</v>
      </c>
      <c r="G72" s="74">
        <f t="shared" si="9"/>
        <v>2</v>
      </c>
      <c r="H72" s="65">
        <f>'2027'!V70</f>
        <v>2</v>
      </c>
      <c r="I72" s="66">
        <f t="shared" si="10"/>
        <v>0</v>
      </c>
      <c r="J72" s="70">
        <f t="shared" si="11"/>
        <v>0</v>
      </c>
      <c r="L72" s="107" t="s">
        <v>1837</v>
      </c>
    </row>
    <row r="73" spans="1:12" x14ac:dyDescent="0.35">
      <c r="A73" s="69" t="s">
        <v>1757</v>
      </c>
      <c r="B73" s="64" t="str">
        <f>'2027'!C71</f>
        <v>IT Infrastructure Department</v>
      </c>
      <c r="C73" s="64" t="str">
        <f>'2027'!D71</f>
        <v>IT Access Management and Technical Support Division</v>
      </c>
      <c r="D73" s="65">
        <f>'2027'!F71</f>
        <v>44</v>
      </c>
      <c r="E73" s="65">
        <f>'2027'!G71</f>
        <v>0</v>
      </c>
      <c r="F73" s="65">
        <f>'2027'!H71</f>
        <v>4</v>
      </c>
      <c r="G73" s="74">
        <f t="shared" ref="G73:G104" si="12">SUM(D73:F73)</f>
        <v>48</v>
      </c>
      <c r="H73" s="65">
        <f>'2027'!V71</f>
        <v>48</v>
      </c>
      <c r="I73" s="66">
        <f t="shared" ref="I73:I104" si="13">H73-D73</f>
        <v>4</v>
      </c>
      <c r="J73" s="70">
        <f t="shared" ref="J73:J104" si="14">IF(D73=0,0,I73/D73)</f>
        <v>9.0909090909090912E-2</v>
      </c>
      <c r="L73" s="105"/>
    </row>
    <row r="74" spans="1:12" x14ac:dyDescent="0.35">
      <c r="A74" s="69" t="s">
        <v>1757</v>
      </c>
      <c r="B74" s="64" t="str">
        <f>'2027'!C72</f>
        <v>IT Infrastructure Department</v>
      </c>
      <c r="C74" s="64" t="str">
        <f>'2027'!D72</f>
        <v>IT Service Management Division</v>
      </c>
      <c r="D74" s="65">
        <f>'2027'!F72</f>
        <v>5</v>
      </c>
      <c r="E74" s="65">
        <f>'2027'!G72</f>
        <v>0</v>
      </c>
      <c r="F74" s="65">
        <f>'2027'!H72</f>
        <v>1</v>
      </c>
      <c r="G74" s="74">
        <f t="shared" si="12"/>
        <v>6</v>
      </c>
      <c r="H74" s="65">
        <f>'2027'!V72</f>
        <v>6</v>
      </c>
      <c r="I74" s="66">
        <f t="shared" si="13"/>
        <v>1</v>
      </c>
      <c r="J74" s="70">
        <f t="shared" si="14"/>
        <v>0.2</v>
      </c>
      <c r="L74" s="105"/>
    </row>
    <row r="75" spans="1:12" x14ac:dyDescent="0.35">
      <c r="A75" s="69" t="s">
        <v>1757</v>
      </c>
      <c r="B75" s="64" t="str">
        <f>'2027'!C73</f>
        <v>IT Infrastructure Department</v>
      </c>
      <c r="C75" s="64" t="str">
        <f>'2027'!D73</f>
        <v>Network Operations Division</v>
      </c>
      <c r="D75" s="65">
        <f>'2027'!F73</f>
        <v>13</v>
      </c>
      <c r="E75" s="65">
        <f>'2027'!G73</f>
        <v>0</v>
      </c>
      <c r="F75" s="65">
        <f>'2027'!H73</f>
        <v>3</v>
      </c>
      <c r="G75" s="74">
        <f t="shared" si="12"/>
        <v>16</v>
      </c>
      <c r="H75" s="65">
        <f>'2027'!V73</f>
        <v>16</v>
      </c>
      <c r="I75" s="66">
        <f t="shared" si="13"/>
        <v>3</v>
      </c>
      <c r="J75" s="70">
        <f t="shared" si="14"/>
        <v>0.23076923076923078</v>
      </c>
      <c r="L75" s="105"/>
    </row>
    <row r="76" spans="1:12" x14ac:dyDescent="0.35">
      <c r="A76" s="69" t="s">
        <v>1757</v>
      </c>
      <c r="B76" s="64" t="str">
        <f>'2027'!C74</f>
        <v>IT Infrastructure Department</v>
      </c>
      <c r="C76" s="64" t="str">
        <f>'2027'!D74</f>
        <v>System and Network Administration Division</v>
      </c>
      <c r="D76" s="65">
        <f>'2027'!F74</f>
        <v>18</v>
      </c>
      <c r="E76" s="65">
        <f>'2027'!G74</f>
        <v>1</v>
      </c>
      <c r="F76" s="65">
        <f>'2027'!H74</f>
        <v>2</v>
      </c>
      <c r="G76" s="74">
        <f t="shared" si="12"/>
        <v>21</v>
      </c>
      <c r="H76" s="65">
        <f>'2027'!V74</f>
        <v>20</v>
      </c>
      <c r="I76" s="66">
        <f t="shared" si="13"/>
        <v>2</v>
      </c>
      <c r="J76" s="70">
        <f t="shared" si="14"/>
        <v>0.1111111111111111</v>
      </c>
      <c r="L76" s="105"/>
    </row>
    <row r="77" spans="1:12" x14ac:dyDescent="0.35">
      <c r="A77" s="69" t="s">
        <v>1757</v>
      </c>
      <c r="B77" s="64" t="str">
        <f>'2027'!C75</f>
        <v>IT Infrastructure Department</v>
      </c>
      <c r="C77" s="64" t="str">
        <f>'2027'!D75</f>
        <v>IT Service Monitoring and Incident Management Division</v>
      </c>
      <c r="D77" s="65">
        <f>'2027'!F75</f>
        <v>7</v>
      </c>
      <c r="E77" s="65">
        <f>'2027'!G75</f>
        <v>0</v>
      </c>
      <c r="F77" s="65">
        <f>'2027'!H75</f>
        <v>0</v>
      </c>
      <c r="G77" s="74">
        <f t="shared" si="12"/>
        <v>7</v>
      </c>
      <c r="H77" s="65">
        <f>'2027'!V75</f>
        <v>7</v>
      </c>
      <c r="I77" s="66">
        <f t="shared" si="13"/>
        <v>0</v>
      </c>
      <c r="J77" s="70">
        <f t="shared" si="14"/>
        <v>0</v>
      </c>
      <c r="L77" s="105"/>
    </row>
    <row r="78" spans="1:12" x14ac:dyDescent="0.35">
      <c r="A78" s="69" t="s">
        <v>1757</v>
      </c>
      <c r="B78" s="64" t="str">
        <f>'2027'!C76</f>
        <v>IT Process Management Functional Area</v>
      </c>
      <c r="C78" s="64" t="str">
        <f>'2027'!D76</f>
        <v>IT Process Management Functional Area</v>
      </c>
      <c r="D78" s="65">
        <f>'2027'!F76</f>
        <v>4</v>
      </c>
      <c r="E78" s="65">
        <f>'2027'!G76</f>
        <v>0</v>
      </c>
      <c r="F78" s="65">
        <f>'2027'!H76</f>
        <v>0</v>
      </c>
      <c r="G78" s="74">
        <f t="shared" si="12"/>
        <v>4</v>
      </c>
      <c r="H78" s="65">
        <f>'2027'!V76</f>
        <v>4</v>
      </c>
      <c r="I78" s="66">
        <f t="shared" si="13"/>
        <v>0</v>
      </c>
      <c r="J78" s="70">
        <f t="shared" si="14"/>
        <v>0</v>
      </c>
      <c r="L78" s="107" t="s">
        <v>1829</v>
      </c>
    </row>
    <row r="79" spans="1:12" x14ac:dyDescent="0.35">
      <c r="A79" s="69" t="s">
        <v>1757</v>
      </c>
      <c r="B79" s="64" t="str">
        <f>'2027'!C77</f>
        <v>Compliance Department</v>
      </c>
      <c r="C79" s="64" t="str">
        <f>'2027'!D77</f>
        <v>#</v>
      </c>
      <c r="D79" s="65">
        <f>'2027'!F77</f>
        <v>3</v>
      </c>
      <c r="E79" s="65">
        <f>'2027'!G77</f>
        <v>0</v>
      </c>
      <c r="F79" s="65">
        <f>'2027'!H77</f>
        <v>0</v>
      </c>
      <c r="G79" s="74">
        <f t="shared" si="12"/>
        <v>3</v>
      </c>
      <c r="H79" s="65">
        <f>'2027'!V77</f>
        <v>3</v>
      </c>
      <c r="I79" s="66">
        <f t="shared" si="13"/>
        <v>0</v>
      </c>
      <c r="J79" s="70">
        <f t="shared" si="14"/>
        <v>0</v>
      </c>
      <c r="K79" s="95"/>
      <c r="L79" s="107" t="s">
        <v>1844</v>
      </c>
    </row>
    <row r="80" spans="1:12" x14ac:dyDescent="0.35">
      <c r="A80" s="69" t="s">
        <v>1757</v>
      </c>
      <c r="B80" s="64" t="str">
        <f>'2027'!C78</f>
        <v>Compliance Department</v>
      </c>
      <c r="C80" s="64" t="str">
        <f>'2027'!D78</f>
        <v>AML and CFT Division</v>
      </c>
      <c r="D80" s="65">
        <f>'2027'!F78</f>
        <v>14</v>
      </c>
      <c r="E80" s="65">
        <f>'2027'!G78</f>
        <v>1</v>
      </c>
      <c r="F80" s="65">
        <f>'2027'!H78</f>
        <v>0</v>
      </c>
      <c r="G80" s="74">
        <f t="shared" si="12"/>
        <v>15</v>
      </c>
      <c r="H80" s="65">
        <f>'2027'!V78</f>
        <v>16</v>
      </c>
      <c r="I80" s="66">
        <f t="shared" si="13"/>
        <v>2</v>
      </c>
      <c r="J80" s="70">
        <f t="shared" si="14"/>
        <v>0.14285714285714285</v>
      </c>
      <c r="L80" s="105"/>
    </row>
    <row r="81" spans="1:12" x14ac:dyDescent="0.35">
      <c r="A81" s="69" t="s">
        <v>1757</v>
      </c>
      <c r="B81" s="64" t="str">
        <f>'2027'!C79</f>
        <v>Compliance Department</v>
      </c>
      <c r="C81" s="64" t="str">
        <f>'2027'!D79</f>
        <v>Compliance Risk Management and Monitoring Division</v>
      </c>
      <c r="D81" s="65">
        <f>'2027'!F79</f>
        <v>10</v>
      </c>
      <c r="E81" s="65">
        <f>'2027'!G79</f>
        <v>0</v>
      </c>
      <c r="F81" s="65">
        <f>'2027'!H79</f>
        <v>0</v>
      </c>
      <c r="G81" s="74">
        <f t="shared" si="12"/>
        <v>10</v>
      </c>
      <c r="H81" s="65">
        <v>10</v>
      </c>
      <c r="I81" s="66">
        <f t="shared" si="13"/>
        <v>0</v>
      </c>
      <c r="J81" s="70">
        <f t="shared" si="14"/>
        <v>0</v>
      </c>
      <c r="L81" s="105"/>
    </row>
    <row r="82" spans="1:12" x14ac:dyDescent="0.35">
      <c r="A82" s="69" t="s">
        <v>1757</v>
      </c>
      <c r="B82" s="64" t="str">
        <f>'2027'!C80</f>
        <v>Compliance Department</v>
      </c>
      <c r="C82" s="64" t="str">
        <f>'2027'!D80</f>
        <v>Compliance Reporting Division</v>
      </c>
      <c r="D82" s="65">
        <f>'2027'!F80</f>
        <v>6</v>
      </c>
      <c r="E82" s="65">
        <f>'2027'!G80</f>
        <v>0</v>
      </c>
      <c r="F82" s="65">
        <f>'2027'!H80</f>
        <v>0</v>
      </c>
      <c r="G82" s="74">
        <f t="shared" si="12"/>
        <v>6</v>
      </c>
      <c r="H82" s="65">
        <v>6</v>
      </c>
      <c r="I82" s="66">
        <f t="shared" si="13"/>
        <v>0</v>
      </c>
      <c r="J82" s="70">
        <f t="shared" si="14"/>
        <v>0</v>
      </c>
      <c r="L82" s="105"/>
    </row>
    <row r="83" spans="1:12" x14ac:dyDescent="0.35">
      <c r="A83" s="69" t="s">
        <v>1757</v>
      </c>
      <c r="B83" s="64" t="str">
        <f>'2027'!C81</f>
        <v>Compliance Department</v>
      </c>
      <c r="C83" s="64" t="str">
        <f>'2027'!D81</f>
        <v>Compliance Function Management Division</v>
      </c>
      <c r="D83" s="65">
        <f>'2027'!F81</f>
        <v>6</v>
      </c>
      <c r="E83" s="65">
        <f>'2027'!G81</f>
        <v>0</v>
      </c>
      <c r="F83" s="65">
        <f>'2027'!H81</f>
        <v>3</v>
      </c>
      <c r="G83" s="74">
        <f t="shared" si="12"/>
        <v>9</v>
      </c>
      <c r="H83" s="65">
        <v>8</v>
      </c>
      <c r="I83" s="66">
        <f t="shared" si="13"/>
        <v>2</v>
      </c>
      <c r="J83" s="70">
        <f t="shared" si="14"/>
        <v>0.33333333333333331</v>
      </c>
      <c r="L83" s="105"/>
    </row>
    <row r="84" spans="1:12" x14ac:dyDescent="0.35">
      <c r="A84" s="69" t="s">
        <v>1757</v>
      </c>
      <c r="B84" s="64" t="str">
        <f>'2027'!C82</f>
        <v>Compliance Department</v>
      </c>
      <c r="C84" s="64" t="str">
        <f>'2027'!D82</f>
        <v>Data and AI Compliance Control Division</v>
      </c>
      <c r="D84" s="65">
        <f>'2027'!F82</f>
        <v>2</v>
      </c>
      <c r="E84" s="65">
        <f>'2027'!G82</f>
        <v>0</v>
      </c>
      <c r="F84" s="65">
        <f>'2027'!H82</f>
        <v>2</v>
      </c>
      <c r="G84" s="74">
        <f t="shared" si="12"/>
        <v>4</v>
      </c>
      <c r="H84" s="65">
        <v>4</v>
      </c>
      <c r="I84" s="66">
        <f t="shared" si="13"/>
        <v>2</v>
      </c>
      <c r="J84" s="70">
        <f t="shared" si="14"/>
        <v>1</v>
      </c>
      <c r="L84" s="105"/>
    </row>
    <row r="85" spans="1:12" x14ac:dyDescent="0.35">
      <c r="A85" s="69" t="s">
        <v>1757</v>
      </c>
      <c r="B85" s="64" t="str">
        <f>'2027'!C83</f>
        <v>Compliance Department</v>
      </c>
      <c r="C85" s="64" t="str">
        <f>'2027'!D83</f>
        <v>Ecosystem Product and Process Compliance Support Division</v>
      </c>
      <c r="D85" s="65">
        <f>'2027'!F83</f>
        <v>4</v>
      </c>
      <c r="E85" s="65">
        <f>'2027'!G83</f>
        <v>0</v>
      </c>
      <c r="F85" s="65">
        <f>'2027'!H83</f>
        <v>0</v>
      </c>
      <c r="G85" s="74">
        <f t="shared" si="12"/>
        <v>4</v>
      </c>
      <c r="H85" s="65">
        <v>4</v>
      </c>
      <c r="I85" s="66">
        <f t="shared" si="13"/>
        <v>0</v>
      </c>
      <c r="J85" s="70">
        <f t="shared" si="14"/>
        <v>0</v>
      </c>
      <c r="L85" s="105"/>
    </row>
    <row r="86" spans="1:12" x14ac:dyDescent="0.35">
      <c r="A86" s="69" t="s">
        <v>1757</v>
      </c>
      <c r="B86" s="64" t="str">
        <f>'2027'!C84</f>
        <v>Compliance Department</v>
      </c>
      <c r="C86" s="64" t="str">
        <f>'2027'!D84</f>
        <v>Regulatory Compliance Division</v>
      </c>
      <c r="D86" s="65">
        <f>'2027'!F84</f>
        <v>5</v>
      </c>
      <c r="E86" s="65">
        <f>'2027'!G84</f>
        <v>0</v>
      </c>
      <c r="F86" s="65">
        <f>'2027'!H84</f>
        <v>0</v>
      </c>
      <c r="G86" s="74">
        <f t="shared" si="12"/>
        <v>5</v>
      </c>
      <c r="H86" s="65">
        <v>5</v>
      </c>
      <c r="I86" s="66">
        <f t="shared" si="13"/>
        <v>0</v>
      </c>
      <c r="J86" s="70">
        <f t="shared" si="14"/>
        <v>0</v>
      </c>
      <c r="L86" s="105"/>
    </row>
    <row r="87" spans="1:12" x14ac:dyDescent="0.35">
      <c r="A87" s="69" t="s">
        <v>1757</v>
      </c>
      <c r="B87" s="64" t="str">
        <f>'2027'!C86</f>
        <v>Corporate Development and Investor Relations Department</v>
      </c>
      <c r="C87" s="64" t="str">
        <f>'2027'!D86</f>
        <v>#</v>
      </c>
      <c r="D87" s="65">
        <f>'2027'!F86</f>
        <v>1</v>
      </c>
      <c r="E87" s="65">
        <f>'2027'!G86</f>
        <v>0</v>
      </c>
      <c r="F87" s="65">
        <f>'2027'!H86</f>
        <v>1</v>
      </c>
      <c r="G87" s="74">
        <f t="shared" si="12"/>
        <v>2</v>
      </c>
      <c r="H87" s="65">
        <f>'2027'!V86</f>
        <v>2</v>
      </c>
      <c r="I87" s="66">
        <f t="shared" si="13"/>
        <v>1</v>
      </c>
      <c r="J87" s="70">
        <f t="shared" si="14"/>
        <v>1</v>
      </c>
      <c r="L87" s="107" t="s">
        <v>1834</v>
      </c>
    </row>
    <row r="88" spans="1:12" x14ac:dyDescent="0.35">
      <c r="A88" s="69" t="s">
        <v>1757</v>
      </c>
      <c r="B88" s="64" t="str">
        <f>'2027'!C85</f>
        <v>Corporate Development and Investor Relations Department</v>
      </c>
      <c r="C88" s="64" t="str">
        <f>'2027'!D85</f>
        <v>Director, Deputy Director</v>
      </c>
      <c r="D88" s="65">
        <f>'2027'!F85</f>
        <v>1</v>
      </c>
      <c r="E88" s="65">
        <f>'2027'!G85</f>
        <v>0</v>
      </c>
      <c r="F88" s="65">
        <f>'2027'!H85</f>
        <v>0</v>
      </c>
      <c r="G88" s="74">
        <f t="shared" si="12"/>
        <v>1</v>
      </c>
      <c r="H88" s="65">
        <f>'2027'!V85</f>
        <v>1</v>
      </c>
      <c r="I88" s="66">
        <f t="shared" si="13"/>
        <v>0</v>
      </c>
      <c r="J88" s="70">
        <f t="shared" si="14"/>
        <v>0</v>
      </c>
      <c r="L88" s="105"/>
    </row>
    <row r="89" spans="1:12" x14ac:dyDescent="0.35">
      <c r="A89" s="69" t="s">
        <v>1757</v>
      </c>
      <c r="B89" s="64" t="str">
        <f>'2027'!C87</f>
        <v>Financial Reporting and Accounting Department</v>
      </c>
      <c r="C89" s="64" t="str">
        <f>'2027'!D87</f>
        <v>#</v>
      </c>
      <c r="D89" s="65">
        <f>'2027'!F87</f>
        <v>4</v>
      </c>
      <c r="E89" s="65">
        <f>'2027'!G87</f>
        <v>0</v>
      </c>
      <c r="F89" s="65">
        <f>'2027'!H87</f>
        <v>0</v>
      </c>
      <c r="G89" s="74">
        <f t="shared" si="12"/>
        <v>4</v>
      </c>
      <c r="H89" s="65">
        <f>'2027'!V87</f>
        <v>4</v>
      </c>
      <c r="I89" s="66">
        <f t="shared" si="13"/>
        <v>0</v>
      </c>
      <c r="J89" s="70">
        <f t="shared" si="14"/>
        <v>0</v>
      </c>
      <c r="L89" s="107" t="s">
        <v>1838</v>
      </c>
    </row>
    <row r="90" spans="1:12" x14ac:dyDescent="0.35">
      <c r="A90" s="69" t="s">
        <v>1757</v>
      </c>
      <c r="B90" s="64" t="str">
        <f>'2027'!C93</f>
        <v>Financial Reporting and Accounting Department</v>
      </c>
      <c r="C90" s="64" t="str">
        <f>'2027'!D93</f>
        <v>#</v>
      </c>
      <c r="D90" s="65">
        <f>'2027'!F93</f>
        <v>1</v>
      </c>
      <c r="E90" s="65">
        <f>'2027'!G93</f>
        <v>0</v>
      </c>
      <c r="F90" s="65">
        <f>'2027'!H93</f>
        <v>0</v>
      </c>
      <c r="G90" s="74">
        <f t="shared" si="12"/>
        <v>1</v>
      </c>
      <c r="H90" s="65">
        <f>'2027'!V93</f>
        <v>1</v>
      </c>
      <c r="I90" s="66">
        <f t="shared" si="13"/>
        <v>0</v>
      </c>
      <c r="J90" s="70">
        <f t="shared" si="14"/>
        <v>0</v>
      </c>
      <c r="L90" s="105"/>
    </row>
    <row r="91" spans="1:12" x14ac:dyDescent="0.35">
      <c r="A91" s="69" t="s">
        <v>1757</v>
      </c>
      <c r="B91" s="64" t="str">
        <f>'2027'!C88</f>
        <v>Financial Reporting and Accounting Department</v>
      </c>
      <c r="C91" s="64" t="str">
        <f>'2027'!D88</f>
        <v>Internal Accounting Division</v>
      </c>
      <c r="D91" s="65">
        <f>'2027'!F88</f>
        <v>10</v>
      </c>
      <c r="E91" s="65">
        <f>'2027'!G88</f>
        <v>0</v>
      </c>
      <c r="F91" s="65">
        <f>'2027'!H88</f>
        <v>4</v>
      </c>
      <c r="G91" s="74">
        <f t="shared" si="12"/>
        <v>14</v>
      </c>
      <c r="H91" s="65">
        <f>'2027'!V88</f>
        <v>14</v>
      </c>
      <c r="I91" s="66">
        <f t="shared" si="13"/>
        <v>4</v>
      </c>
      <c r="J91" s="70">
        <f t="shared" si="14"/>
        <v>0.4</v>
      </c>
      <c r="L91" s="105"/>
    </row>
    <row r="92" spans="1:12" x14ac:dyDescent="0.35">
      <c r="A92" s="69" t="s">
        <v>1757</v>
      </c>
      <c r="B92" s="64" t="str">
        <f>'2027'!C89</f>
        <v>Financial Reporting and Accounting Department</v>
      </c>
      <c r="C92" s="64" t="str">
        <f>'2027'!D89</f>
        <v>Regulatory Reporting Division</v>
      </c>
      <c r="D92" s="65">
        <f>'2027'!F89</f>
        <v>7</v>
      </c>
      <c r="E92" s="65">
        <f>'2027'!G89</f>
        <v>0</v>
      </c>
      <c r="F92" s="65">
        <f>'2027'!H89</f>
        <v>1</v>
      </c>
      <c r="G92" s="74">
        <f t="shared" si="12"/>
        <v>8</v>
      </c>
      <c r="H92" s="65">
        <f>'2027'!V89</f>
        <v>8</v>
      </c>
      <c r="I92" s="66">
        <f t="shared" si="13"/>
        <v>1</v>
      </c>
      <c r="J92" s="70">
        <f t="shared" si="14"/>
        <v>0.14285714285714285</v>
      </c>
      <c r="L92" s="105"/>
    </row>
    <row r="93" spans="1:12" x14ac:dyDescent="0.35">
      <c r="A93" s="69" t="s">
        <v>1757</v>
      </c>
      <c r="B93" s="64" t="str">
        <f>'2027'!C90</f>
        <v>Financial Reporting and Accounting Department</v>
      </c>
      <c r="C93" s="64" t="str">
        <f>'2027'!D90</f>
        <v>Compensation Calculation Division</v>
      </c>
      <c r="D93" s="65">
        <f>'2027'!F90</f>
        <v>5</v>
      </c>
      <c r="E93" s="65">
        <f>'2027'!G90</f>
        <v>1</v>
      </c>
      <c r="F93" s="65">
        <f>'2027'!H90</f>
        <v>0</v>
      </c>
      <c r="G93" s="74">
        <f t="shared" si="12"/>
        <v>6</v>
      </c>
      <c r="H93" s="65">
        <f>'2027'!V90</f>
        <v>6</v>
      </c>
      <c r="I93" s="66">
        <f t="shared" si="13"/>
        <v>1</v>
      </c>
      <c r="J93" s="70">
        <f t="shared" si="14"/>
        <v>0.2</v>
      </c>
      <c r="L93" s="105"/>
    </row>
    <row r="94" spans="1:12" x14ac:dyDescent="0.35">
      <c r="A94" s="69" t="s">
        <v>1757</v>
      </c>
      <c r="B94" s="64" t="str">
        <f>'2027'!C91</f>
        <v>Financial Reporting and Accounting Department</v>
      </c>
      <c r="C94" s="64" t="str">
        <f>'2027'!D91</f>
        <v>Financial Control and Accounting Division</v>
      </c>
      <c r="D94" s="65">
        <f>'2027'!F91</f>
        <v>10</v>
      </c>
      <c r="E94" s="65">
        <f>'2027'!G91</f>
        <v>0</v>
      </c>
      <c r="F94" s="65">
        <f>'2027'!H91</f>
        <v>0</v>
      </c>
      <c r="G94" s="74">
        <f t="shared" si="12"/>
        <v>10</v>
      </c>
      <c r="H94" s="65">
        <f>'2027'!V91</f>
        <v>10</v>
      </c>
      <c r="I94" s="66">
        <f t="shared" si="13"/>
        <v>0</v>
      </c>
      <c r="J94" s="70">
        <f t="shared" si="14"/>
        <v>0</v>
      </c>
      <c r="L94" s="105"/>
    </row>
    <row r="95" spans="1:12" x14ac:dyDescent="0.35">
      <c r="A95" s="69" t="s">
        <v>1757</v>
      </c>
      <c r="B95" s="64" t="str">
        <f>'2027'!C92</f>
        <v>Financial Reporting and Accounting Department</v>
      </c>
      <c r="C95" s="64" t="str">
        <f>'2027'!D92</f>
        <v>Accounting Division</v>
      </c>
      <c r="D95" s="65">
        <f>'2027'!F92</f>
        <v>8</v>
      </c>
      <c r="E95" s="65">
        <f>'2027'!G92</f>
        <v>2</v>
      </c>
      <c r="F95" s="65">
        <f>'2027'!H92</f>
        <v>0</v>
      </c>
      <c r="G95" s="74">
        <f t="shared" si="12"/>
        <v>10</v>
      </c>
      <c r="H95" s="65">
        <f>'2027'!V92</f>
        <v>11</v>
      </c>
      <c r="I95" s="66">
        <f t="shared" si="13"/>
        <v>3</v>
      </c>
      <c r="J95" s="70">
        <f t="shared" si="14"/>
        <v>0.375</v>
      </c>
      <c r="L95" s="105"/>
    </row>
    <row r="96" spans="1:12" x14ac:dyDescent="0.35">
      <c r="A96" s="69" t="s">
        <v>1757</v>
      </c>
      <c r="B96" s="64" t="str">
        <f>'2027'!C94</f>
        <v>Financial Reporting and Accounting Department</v>
      </c>
      <c r="C96" s="64" t="str">
        <f>'2027'!D94</f>
        <v>Operations Accounting and Processing Division</v>
      </c>
      <c r="D96" s="65">
        <f>'2027'!F94</f>
        <v>11</v>
      </c>
      <c r="E96" s="65">
        <f>'2027'!G94</f>
        <v>0</v>
      </c>
      <c r="F96" s="65">
        <f>'2027'!H94</f>
        <v>0</v>
      </c>
      <c r="G96" s="74">
        <f t="shared" si="12"/>
        <v>11</v>
      </c>
      <c r="H96" s="65">
        <f>'2027'!V94</f>
        <v>11</v>
      </c>
      <c r="I96" s="66">
        <f t="shared" si="13"/>
        <v>0</v>
      </c>
      <c r="J96" s="70">
        <f t="shared" si="14"/>
        <v>0</v>
      </c>
      <c r="L96" s="105"/>
    </row>
    <row r="97" spans="1:12" x14ac:dyDescent="0.35">
      <c r="A97" s="69" t="s">
        <v>1757</v>
      </c>
      <c r="B97" s="64" t="str">
        <f>'2027'!C95</f>
        <v>Financial Reporting and Accounting Department</v>
      </c>
      <c r="C97" s="64" t="str">
        <f>'2027'!D95</f>
        <v>Administrative Accounting and Taxation Division</v>
      </c>
      <c r="D97" s="65">
        <f>'2027'!F95</f>
        <v>7</v>
      </c>
      <c r="E97" s="65">
        <f>'2027'!G95</f>
        <v>0</v>
      </c>
      <c r="F97" s="65">
        <f>'2027'!H95</f>
        <v>0</v>
      </c>
      <c r="G97" s="74">
        <f t="shared" si="12"/>
        <v>7</v>
      </c>
      <c r="H97" s="65">
        <f>'2027'!V95</f>
        <v>7</v>
      </c>
      <c r="I97" s="66">
        <f t="shared" si="13"/>
        <v>0</v>
      </c>
      <c r="J97" s="70">
        <f t="shared" si="14"/>
        <v>0</v>
      </c>
      <c r="L97" s="105"/>
    </row>
    <row r="98" spans="1:12" x14ac:dyDescent="0.35">
      <c r="A98" s="69" t="s">
        <v>1757</v>
      </c>
      <c r="B98" s="64" t="str">
        <f>'2027'!C96</f>
        <v>Financial Reporting and Accounting Department</v>
      </c>
      <c r="C98" s="64" t="str">
        <f>'2027'!D96</f>
        <v>Payments Management Division</v>
      </c>
      <c r="D98" s="65">
        <f>'2027'!F96</f>
        <v>3</v>
      </c>
      <c r="E98" s="65">
        <f>'2027'!G96</f>
        <v>1</v>
      </c>
      <c r="F98" s="65">
        <f>'2027'!H96</f>
        <v>0</v>
      </c>
      <c r="G98" s="74">
        <f t="shared" si="12"/>
        <v>4</v>
      </c>
      <c r="H98" s="65">
        <f>'2027'!V96</f>
        <v>4</v>
      </c>
      <c r="I98" s="66">
        <f t="shared" si="13"/>
        <v>1</v>
      </c>
      <c r="J98" s="70">
        <f t="shared" si="14"/>
        <v>0.33333333333333331</v>
      </c>
      <c r="L98" s="105"/>
    </row>
    <row r="99" spans="1:12" x14ac:dyDescent="0.35">
      <c r="A99" s="69" t="s">
        <v>1757</v>
      </c>
      <c r="B99" s="64" t="str">
        <f>'2027'!C97</f>
        <v>Financial Reporting and Accounting Department</v>
      </c>
      <c r="C99" s="64" t="str">
        <f>'2027'!D97</f>
        <v>Expense Control Division</v>
      </c>
      <c r="D99" s="65">
        <f>'2027'!F97</f>
        <v>2</v>
      </c>
      <c r="E99" s="65">
        <f>'2027'!G97</f>
        <v>0</v>
      </c>
      <c r="F99" s="65">
        <f>'2027'!H97</f>
        <v>0</v>
      </c>
      <c r="G99" s="74">
        <f t="shared" si="12"/>
        <v>2</v>
      </c>
      <c r="H99" s="65">
        <f>'2027'!V97</f>
        <v>2</v>
      </c>
      <c r="I99" s="66">
        <f t="shared" si="13"/>
        <v>0</v>
      </c>
      <c r="J99" s="70">
        <f t="shared" si="14"/>
        <v>0</v>
      </c>
      <c r="L99" s="105"/>
    </row>
    <row r="100" spans="1:12" x14ac:dyDescent="0.35">
      <c r="A100" s="69" t="s">
        <v>1757</v>
      </c>
      <c r="B100" s="64" t="str">
        <f>'2027'!C98</f>
        <v>Marketing Center of Expertise</v>
      </c>
      <c r="C100" s="64" t="str">
        <f>'2027'!D98</f>
        <v>#</v>
      </c>
      <c r="D100" s="65">
        <f>'2027'!F98</f>
        <v>3</v>
      </c>
      <c r="E100" s="65">
        <f>'2027'!G98</f>
        <v>0</v>
      </c>
      <c r="F100" s="65">
        <f>'2027'!H98</f>
        <v>0</v>
      </c>
      <c r="G100" s="74">
        <f t="shared" si="12"/>
        <v>3</v>
      </c>
      <c r="H100" s="65">
        <f>'2027'!V98</f>
        <v>3</v>
      </c>
      <c r="I100" s="66">
        <f t="shared" si="13"/>
        <v>0</v>
      </c>
      <c r="J100" s="70">
        <f t="shared" si="14"/>
        <v>0</v>
      </c>
      <c r="L100" s="107" t="s">
        <v>1843</v>
      </c>
    </row>
    <row r="101" spans="1:12" x14ac:dyDescent="0.35">
      <c r="A101" s="69" t="s">
        <v>1757</v>
      </c>
      <c r="B101" s="64" t="str">
        <f>'2027'!C99</f>
        <v>Marketing Center of Expertise</v>
      </c>
      <c r="C101" s="64" t="str">
        <f>'2027'!D99</f>
        <v>Public Relations Process</v>
      </c>
      <c r="D101" s="65">
        <f>'2027'!F99</f>
        <v>3</v>
      </c>
      <c r="E101" s="65">
        <f>'2027'!G99</f>
        <v>0</v>
      </c>
      <c r="F101" s="65">
        <f>'2027'!H99</f>
        <v>0</v>
      </c>
      <c r="G101" s="74">
        <f t="shared" si="12"/>
        <v>3</v>
      </c>
      <c r="H101" s="65">
        <f>'2027'!V99</f>
        <v>3</v>
      </c>
      <c r="I101" s="66">
        <f t="shared" si="13"/>
        <v>0</v>
      </c>
      <c r="J101" s="70">
        <f t="shared" si="14"/>
        <v>0</v>
      </c>
      <c r="L101" s="105"/>
    </row>
    <row r="102" spans="1:12" x14ac:dyDescent="0.35">
      <c r="A102" s="69" t="s">
        <v>1757</v>
      </c>
      <c r="B102" s="64" t="str">
        <f>'2027'!C100</f>
        <v>Marketing Center of Expertise</v>
      </c>
      <c r="C102" s="64" t="str">
        <f>'2027'!D100</f>
        <v>Marketing Communications Process</v>
      </c>
      <c r="D102" s="65">
        <f>'2027'!F100</f>
        <v>14</v>
      </c>
      <c r="E102" s="65">
        <f>'2027'!G100</f>
        <v>0</v>
      </c>
      <c r="F102" s="65">
        <f>'2027'!H100</f>
        <v>0</v>
      </c>
      <c r="G102" s="74">
        <f t="shared" si="12"/>
        <v>14</v>
      </c>
      <c r="H102" s="65">
        <f>'2027'!V100</f>
        <v>14</v>
      </c>
      <c r="I102" s="66">
        <f t="shared" si="13"/>
        <v>0</v>
      </c>
      <c r="J102" s="70">
        <f t="shared" si="14"/>
        <v>0</v>
      </c>
      <c r="L102" s="105"/>
    </row>
    <row r="103" spans="1:12" x14ac:dyDescent="0.35">
      <c r="A103" s="69" t="s">
        <v>1757</v>
      </c>
      <c r="B103" s="64" t="str">
        <f>'2027'!C101</f>
        <v>Marketing Center of Expertise</v>
      </c>
      <c r="C103" s="64" t="str">
        <f>'2027'!D101</f>
        <v>Product Marketing Process</v>
      </c>
      <c r="D103" s="65">
        <f>'2027'!F101</f>
        <v>22</v>
      </c>
      <c r="E103" s="65">
        <f>'2027'!G101</f>
        <v>0</v>
      </c>
      <c r="F103" s="65">
        <f>'2027'!H101</f>
        <v>2</v>
      </c>
      <c r="G103" s="74">
        <f t="shared" si="12"/>
        <v>24</v>
      </c>
      <c r="H103" s="65">
        <f>'2027'!V101</f>
        <v>24</v>
      </c>
      <c r="I103" s="66">
        <f t="shared" si="13"/>
        <v>2</v>
      </c>
      <c r="J103" s="70">
        <f t="shared" si="14"/>
        <v>9.0909090909090912E-2</v>
      </c>
      <c r="L103" s="105"/>
    </row>
    <row r="104" spans="1:12" x14ac:dyDescent="0.35">
      <c r="A104" s="69" t="s">
        <v>1757</v>
      </c>
      <c r="B104" s="64" t="str">
        <f>'2027'!C102</f>
        <v>Marketing Center of Expertise</v>
      </c>
      <c r="C104" s="64" t="str">
        <f>'2027'!D102</f>
        <v>Digital Marketing Process</v>
      </c>
      <c r="D104" s="65">
        <f>'2027'!F102</f>
        <v>41</v>
      </c>
      <c r="E104" s="65">
        <f>'2027'!G102</f>
        <v>0</v>
      </c>
      <c r="F104" s="65">
        <f>'2027'!H102</f>
        <v>8</v>
      </c>
      <c r="G104" s="74">
        <f t="shared" si="12"/>
        <v>49</v>
      </c>
      <c r="H104" s="65">
        <f>'2027'!V102</f>
        <v>49</v>
      </c>
      <c r="I104" s="66">
        <f t="shared" si="13"/>
        <v>8</v>
      </c>
      <c r="J104" s="70">
        <f t="shared" si="14"/>
        <v>0.1951219512195122</v>
      </c>
      <c r="L104" s="105"/>
    </row>
    <row r="105" spans="1:12" x14ac:dyDescent="0.35">
      <c r="A105" s="69" t="s">
        <v>1757</v>
      </c>
      <c r="B105" s="64" t="str">
        <f>'2027'!C105</f>
        <v>Model Risk Management Center of Expertise</v>
      </c>
      <c r="C105" s="64" t="str">
        <f>'2027'!D105</f>
        <v>#</v>
      </c>
      <c r="D105" s="65">
        <f>'2027'!F105</f>
        <v>3</v>
      </c>
      <c r="E105" s="65">
        <f>'2027'!G105</f>
        <v>0</v>
      </c>
      <c r="F105" s="65">
        <f>'2027'!H105</f>
        <v>0</v>
      </c>
      <c r="G105" s="74">
        <f t="shared" ref="G105:G138" si="15">SUM(D105:F105)</f>
        <v>3</v>
      </c>
      <c r="H105" s="65">
        <f>'2027'!V105</f>
        <v>4</v>
      </c>
      <c r="I105" s="66">
        <f t="shared" ref="I105:I138" si="16">H105-D105</f>
        <v>1</v>
      </c>
      <c r="J105" s="70">
        <f t="shared" ref="J105:J138" si="17">IF(D105=0,0,I105/D105)</f>
        <v>0.33333333333333331</v>
      </c>
      <c r="L105" s="107" t="s">
        <v>1834</v>
      </c>
    </row>
    <row r="106" spans="1:12" x14ac:dyDescent="0.35">
      <c r="A106" s="69" t="s">
        <v>1757</v>
      </c>
      <c r="B106" s="64" t="str">
        <f>'2027'!C103</f>
        <v>Model Risk Management Center of Expertise</v>
      </c>
      <c r="C106" s="64" t="str">
        <f>'2027'!D103</f>
        <v>Model Validation Chapter</v>
      </c>
      <c r="D106" s="65">
        <f>'2027'!F103</f>
        <v>6</v>
      </c>
      <c r="E106" s="65">
        <f>'2027'!G103</f>
        <v>0</v>
      </c>
      <c r="F106" s="65">
        <f>'2027'!H103</f>
        <v>1</v>
      </c>
      <c r="G106" s="74">
        <f t="shared" si="15"/>
        <v>7</v>
      </c>
      <c r="H106" s="65">
        <f>'2027'!V103</f>
        <v>8</v>
      </c>
      <c r="I106" s="66">
        <f t="shared" si="16"/>
        <v>2</v>
      </c>
      <c r="J106" s="70">
        <f t="shared" si="17"/>
        <v>0.33333333333333331</v>
      </c>
      <c r="L106" s="107"/>
    </row>
    <row r="107" spans="1:12" x14ac:dyDescent="0.35">
      <c r="A107" s="69" t="s">
        <v>1757</v>
      </c>
      <c r="B107" s="64" t="str">
        <f>'2027'!C104</f>
        <v>Model Risk Management Center of Expertise</v>
      </c>
      <c r="C107" s="64" t="str">
        <f>'2027'!D104</f>
        <v>MRM Chapter</v>
      </c>
      <c r="D107" s="65">
        <f>'2027'!F104</f>
        <v>2</v>
      </c>
      <c r="E107" s="65">
        <f>'2027'!G104</f>
        <v>0</v>
      </c>
      <c r="F107" s="65">
        <f>'2027'!H104</f>
        <v>0</v>
      </c>
      <c r="G107" s="74">
        <f t="shared" si="15"/>
        <v>2</v>
      </c>
      <c r="H107" s="65">
        <f>'2027'!V104</f>
        <v>3</v>
      </c>
      <c r="I107" s="66">
        <f t="shared" si="16"/>
        <v>1</v>
      </c>
      <c r="J107" s="70">
        <f t="shared" si="17"/>
        <v>0.5</v>
      </c>
      <c r="L107" s="107"/>
    </row>
    <row r="108" spans="1:12" x14ac:dyDescent="0.35">
      <c r="A108" s="69" t="s">
        <v>1757</v>
      </c>
      <c r="B108" s="64" t="str">
        <f>'2027'!C106</f>
        <v>Engineering and Technology Platforms Center of Expertise</v>
      </c>
      <c r="C108" s="64" t="str">
        <f>'2027'!D106</f>
        <v>#</v>
      </c>
      <c r="D108" s="65">
        <f>'2027'!F106</f>
        <v>1</v>
      </c>
      <c r="E108" s="65">
        <f>'2027'!G106</f>
        <v>0</v>
      </c>
      <c r="F108" s="65">
        <f>'2027'!H106</f>
        <v>0</v>
      </c>
      <c r="G108" s="74">
        <f t="shared" si="15"/>
        <v>1</v>
      </c>
      <c r="H108" s="65">
        <f>'2027'!V106</f>
        <v>1</v>
      </c>
      <c r="I108" s="66">
        <f t="shared" si="16"/>
        <v>0</v>
      </c>
      <c r="J108" s="70">
        <f t="shared" si="17"/>
        <v>0</v>
      </c>
      <c r="L108" s="107" t="s">
        <v>1839</v>
      </c>
    </row>
    <row r="109" spans="1:12" x14ac:dyDescent="0.35">
      <c r="A109" s="69" t="s">
        <v>1757</v>
      </c>
      <c r="B109" s="64" t="str">
        <f>'2027'!C107</f>
        <v>Engineering and Technology Platforms Center of Expertise</v>
      </c>
      <c r="C109" s="64" t="str">
        <f>'2027'!D107</f>
        <v>Data and AI Platforms Functional Area</v>
      </c>
      <c r="D109" s="65">
        <f>'2027'!F107</f>
        <v>14</v>
      </c>
      <c r="E109" s="65">
        <f>'2027'!G107</f>
        <v>0</v>
      </c>
      <c r="F109" s="65">
        <f>'2027'!H107</f>
        <v>2</v>
      </c>
      <c r="G109" s="74">
        <f t="shared" si="15"/>
        <v>16</v>
      </c>
      <c r="H109" s="65">
        <f>'2027'!V107</f>
        <v>16</v>
      </c>
      <c r="I109" s="66">
        <f t="shared" si="16"/>
        <v>2</v>
      </c>
      <c r="J109" s="70">
        <f t="shared" si="17"/>
        <v>0.14285714285714285</v>
      </c>
      <c r="K109" s="103"/>
      <c r="L109" s="105"/>
    </row>
    <row r="110" spans="1:12" x14ac:dyDescent="0.35">
      <c r="A110" s="69" t="s">
        <v>1757</v>
      </c>
      <c r="B110" s="64" t="str">
        <f>'2027'!C108</f>
        <v>Engineering and Technology Platforms Center of Expertise</v>
      </c>
      <c r="C110" s="64" t="str">
        <f>'2027'!D108</f>
        <v>DevOps and SRE Functional Area</v>
      </c>
      <c r="D110" s="65">
        <f>'2027'!F108</f>
        <v>22</v>
      </c>
      <c r="E110" s="65">
        <f>'2027'!G108</f>
        <v>0</v>
      </c>
      <c r="F110" s="65">
        <f>'2027'!H108</f>
        <v>4</v>
      </c>
      <c r="G110" s="74">
        <f t="shared" si="15"/>
        <v>26</v>
      </c>
      <c r="H110" s="65">
        <f>'2027'!V108</f>
        <v>26</v>
      </c>
      <c r="I110" s="66">
        <f t="shared" si="16"/>
        <v>4</v>
      </c>
      <c r="J110" s="70">
        <f t="shared" si="17"/>
        <v>0.18181818181818182</v>
      </c>
      <c r="K110" s="103"/>
      <c r="L110" s="105"/>
    </row>
    <row r="111" spans="1:12" x14ac:dyDescent="0.35">
      <c r="A111" s="69" t="s">
        <v>1757</v>
      </c>
      <c r="B111" s="64" t="str">
        <f>'2027'!C109</f>
        <v>Engineering and Technology Platforms Center of Expertise</v>
      </c>
      <c r="C111" s="64" t="str">
        <f>'2027'!D109</f>
        <v>Software Engineering Functional Area</v>
      </c>
      <c r="D111" s="65">
        <f>'2027'!F109</f>
        <v>102</v>
      </c>
      <c r="E111" s="65">
        <f>'2027'!G109</f>
        <v>1</v>
      </c>
      <c r="F111" s="65">
        <f>'2027'!H109</f>
        <v>19</v>
      </c>
      <c r="G111" s="74">
        <f t="shared" si="15"/>
        <v>122</v>
      </c>
      <c r="H111" s="65">
        <f>'2027'!V109</f>
        <v>121</v>
      </c>
      <c r="I111" s="66">
        <f t="shared" si="16"/>
        <v>19</v>
      </c>
      <c r="J111" s="70">
        <f t="shared" si="17"/>
        <v>0.18627450980392157</v>
      </c>
      <c r="K111" s="103"/>
      <c r="L111" s="105"/>
    </row>
    <row r="112" spans="1:12" x14ac:dyDescent="0.35">
      <c r="A112" s="69" t="s">
        <v>1757</v>
      </c>
      <c r="B112" s="64" t="str">
        <f>'2027'!C110</f>
        <v>Customer Experience Center of Expertise</v>
      </c>
      <c r="C112" s="64" t="str">
        <f>'2027'!D110</f>
        <v>#</v>
      </c>
      <c r="D112" s="65">
        <f>'2027'!F110</f>
        <v>2</v>
      </c>
      <c r="E112" s="65">
        <f>'2027'!G110</f>
        <v>0</v>
      </c>
      <c r="F112" s="65">
        <f>'2027'!H110</f>
        <v>2</v>
      </c>
      <c r="G112" s="74">
        <f t="shared" si="15"/>
        <v>4</v>
      </c>
      <c r="H112" s="65">
        <f>'2027'!V110</f>
        <v>4</v>
      </c>
      <c r="I112" s="66">
        <f t="shared" si="16"/>
        <v>2</v>
      </c>
      <c r="J112" s="70">
        <f t="shared" si="17"/>
        <v>1</v>
      </c>
      <c r="K112" s="103"/>
      <c r="L112" s="107" t="s">
        <v>1842</v>
      </c>
    </row>
    <row r="113" spans="1:12" x14ac:dyDescent="0.35">
      <c r="A113" s="69" t="s">
        <v>1757</v>
      </c>
      <c r="B113" s="64" t="str">
        <f>'2027'!C111</f>
        <v>Customer Experience Center of Expertise</v>
      </c>
      <c r="C113" s="64" t="str">
        <f>'2027'!D111</f>
        <v>Customer Experience Researcher</v>
      </c>
      <c r="D113" s="65">
        <f>'2027'!F111</f>
        <v>8</v>
      </c>
      <c r="E113" s="65">
        <f>'2027'!G111</f>
        <v>0</v>
      </c>
      <c r="F113" s="65">
        <v>3</v>
      </c>
      <c r="G113" s="74">
        <f t="shared" si="15"/>
        <v>11</v>
      </c>
      <c r="H113" s="65">
        <v>11</v>
      </c>
      <c r="I113" s="66">
        <f t="shared" si="16"/>
        <v>3</v>
      </c>
      <c r="J113" s="70">
        <f t="shared" si="17"/>
        <v>0.375</v>
      </c>
      <c r="K113" s="104"/>
      <c r="L113" s="105"/>
    </row>
    <row r="114" spans="1:12" x14ac:dyDescent="0.35">
      <c r="A114" s="69" t="s">
        <v>1757</v>
      </c>
      <c r="B114" s="64" t="str">
        <f>'2027'!C112</f>
        <v>Customer Experience Center of Expertise</v>
      </c>
      <c r="C114" s="64" t="str">
        <f>'2027'!D112</f>
        <v>Customer Experience Analytics and Research Process</v>
      </c>
      <c r="D114" s="65">
        <f>'2027'!F112</f>
        <v>1</v>
      </c>
      <c r="E114" s="65">
        <f>'2027'!G112</f>
        <v>0</v>
      </c>
      <c r="F114" s="65">
        <f>'2027'!H112</f>
        <v>1</v>
      </c>
      <c r="G114" s="74">
        <f t="shared" si="15"/>
        <v>2</v>
      </c>
      <c r="H114" s="65">
        <f>'2027'!V112</f>
        <v>2</v>
      </c>
      <c r="I114" s="66">
        <f t="shared" si="16"/>
        <v>1</v>
      </c>
      <c r="J114" s="70">
        <f t="shared" si="17"/>
        <v>1</v>
      </c>
      <c r="K114" s="103"/>
      <c r="L114" s="105"/>
    </row>
    <row r="115" spans="1:12" s="85" customFormat="1" x14ac:dyDescent="0.35">
      <c r="A115" s="69" t="s">
        <v>1757</v>
      </c>
      <c r="B115" s="64" t="str">
        <f>'2027'!C113</f>
        <v>Customer Experience Center of Expertise</v>
      </c>
      <c r="C115" s="64" t="str">
        <f>'2027'!D113</f>
        <v>CJM Researcher</v>
      </c>
      <c r="D115" s="65">
        <f>'2027'!F113</f>
        <v>0</v>
      </c>
      <c r="E115" s="65">
        <f>'2027'!G113</f>
        <v>0</v>
      </c>
      <c r="F115" s="65">
        <f>'2027'!H113</f>
        <v>4</v>
      </c>
      <c r="G115" s="74">
        <f t="shared" ref="G115:G116" si="18">SUM(D115:F115)</f>
        <v>4</v>
      </c>
      <c r="H115" s="65">
        <f>'2027'!V113</f>
        <v>4</v>
      </c>
      <c r="I115" s="66">
        <f t="shared" ref="I115:I116" si="19">H115-D115</f>
        <v>4</v>
      </c>
      <c r="J115" s="70">
        <f t="shared" ref="J115:J116" si="20">IF(D115=0,0,I115/D115)</f>
        <v>0</v>
      </c>
      <c r="K115" s="103"/>
      <c r="L115" s="105"/>
    </row>
    <row r="116" spans="1:12" s="85" customFormat="1" x14ac:dyDescent="0.35">
      <c r="A116" s="69" t="s">
        <v>1757</v>
      </c>
      <c r="B116" s="64" t="str">
        <f>'2027'!C114</f>
        <v>Customer Experience Center of Expertise</v>
      </c>
      <c r="C116" s="64" t="str">
        <f>'2027'!D114</f>
        <v>CX analytic</v>
      </c>
      <c r="D116" s="65">
        <f>'2027'!F114</f>
        <v>0</v>
      </c>
      <c r="E116" s="65">
        <f>'2027'!G114</f>
        <v>0</v>
      </c>
      <c r="F116" s="65">
        <f>'2027'!H114</f>
        <v>2</v>
      </c>
      <c r="G116" s="74">
        <f t="shared" si="18"/>
        <v>2</v>
      </c>
      <c r="H116" s="65">
        <f>'2027'!V114</f>
        <v>2</v>
      </c>
      <c r="I116" s="66">
        <f t="shared" si="19"/>
        <v>2</v>
      </c>
      <c r="J116" s="70">
        <f t="shared" si="20"/>
        <v>0</v>
      </c>
      <c r="K116" s="103"/>
      <c r="L116" s="105"/>
    </row>
    <row r="117" spans="1:12" x14ac:dyDescent="0.35">
      <c r="A117" s="69" t="s">
        <v>1757</v>
      </c>
      <c r="B117" s="64" t="str">
        <f>'2027'!C115</f>
        <v>Customer Experience Center of Expertise</v>
      </c>
      <c r="C117" s="64" t="str">
        <f>'2027'!D115</f>
        <v>Customer Experience Expertise</v>
      </c>
      <c r="D117" s="65">
        <f>'2027'!F115</f>
        <v>4</v>
      </c>
      <c r="E117" s="65">
        <f>'2027'!G115</f>
        <v>0</v>
      </c>
      <c r="F117" s="65">
        <f>'2027'!H115</f>
        <v>0</v>
      </c>
      <c r="G117" s="74">
        <f t="shared" si="15"/>
        <v>4</v>
      </c>
      <c r="H117" s="65">
        <f>'2027'!V115</f>
        <v>4</v>
      </c>
      <c r="I117" s="66">
        <f t="shared" si="16"/>
        <v>0</v>
      </c>
      <c r="J117" s="70">
        <f t="shared" si="17"/>
        <v>0</v>
      </c>
      <c r="K117" s="103"/>
      <c r="L117" s="105"/>
    </row>
    <row r="118" spans="1:12" x14ac:dyDescent="0.35">
      <c r="A118" s="69" t="s">
        <v>1757</v>
      </c>
      <c r="B118" s="64" t="str">
        <f>'2027'!C116</f>
        <v>Strategy and Project Management Department</v>
      </c>
      <c r="C118" s="64" t="str">
        <f>'2027'!D116</f>
        <v>#</v>
      </c>
      <c r="D118" s="65">
        <f>'2027'!F116</f>
        <v>1</v>
      </c>
      <c r="E118" s="65">
        <f>'2027'!G116</f>
        <v>0</v>
      </c>
      <c r="F118" s="65">
        <f>'2027'!H116</f>
        <v>0</v>
      </c>
      <c r="G118" s="74">
        <f t="shared" si="15"/>
        <v>1</v>
      </c>
      <c r="H118" s="65">
        <f>'2027'!V116</f>
        <v>2</v>
      </c>
      <c r="I118" s="66">
        <f t="shared" si="16"/>
        <v>1</v>
      </c>
      <c r="J118" s="70">
        <f t="shared" si="17"/>
        <v>1</v>
      </c>
      <c r="K118" s="103"/>
      <c r="L118" s="107" t="s">
        <v>1835</v>
      </c>
    </row>
    <row r="119" spans="1:12" x14ac:dyDescent="0.35">
      <c r="A119" s="69" t="s">
        <v>1757</v>
      </c>
      <c r="B119" s="64" t="str">
        <f>'2027'!C117</f>
        <v>Strategy and Project Management Department</v>
      </c>
      <c r="C119" s="64" t="str">
        <f>'2027'!D117</f>
        <v>Strategy Division</v>
      </c>
      <c r="D119" s="65">
        <f>'2027'!F117</f>
        <v>3</v>
      </c>
      <c r="E119" s="65">
        <f>'2027'!G117</f>
        <v>1</v>
      </c>
      <c r="F119" s="65">
        <f>'2027'!H117</f>
        <v>3</v>
      </c>
      <c r="G119" s="74">
        <f t="shared" si="15"/>
        <v>7</v>
      </c>
      <c r="H119" s="65">
        <f>'2027'!V117</f>
        <v>9</v>
      </c>
      <c r="I119" s="66">
        <f t="shared" si="16"/>
        <v>6</v>
      </c>
      <c r="J119" s="70">
        <f t="shared" si="17"/>
        <v>2</v>
      </c>
      <c r="K119" s="103"/>
      <c r="L119" s="107"/>
    </row>
    <row r="120" spans="1:12" x14ac:dyDescent="0.35">
      <c r="A120" s="69" t="s">
        <v>1757</v>
      </c>
      <c r="B120" s="64" t="str">
        <f>'2027'!C118</f>
        <v>Strategy and Project Management Department</v>
      </c>
      <c r="C120" s="64" t="str">
        <f>'2027'!D118</f>
        <v>Performance Management Division</v>
      </c>
      <c r="D120" s="65">
        <f>'2027'!F118</f>
        <v>3</v>
      </c>
      <c r="E120" s="65">
        <f>'2027'!G118</f>
        <v>0</v>
      </c>
      <c r="F120" s="65">
        <f>'2027'!H118</f>
        <v>3</v>
      </c>
      <c r="G120" s="74">
        <f t="shared" si="15"/>
        <v>6</v>
      </c>
      <c r="H120" s="65">
        <f>'2027'!V118</f>
        <v>6</v>
      </c>
      <c r="I120" s="66">
        <f t="shared" si="16"/>
        <v>3</v>
      </c>
      <c r="J120" s="70">
        <f t="shared" si="17"/>
        <v>1</v>
      </c>
      <c r="K120" s="103"/>
      <c r="L120" s="107"/>
    </row>
    <row r="121" spans="1:12" x14ac:dyDescent="0.35">
      <c r="A121" s="69" t="s">
        <v>1757</v>
      </c>
      <c r="B121" s="64" t="str">
        <f>'2027'!C119</f>
        <v>Strategy and Project Management Department</v>
      </c>
      <c r="C121" s="64" t="str">
        <f>'2027'!D119</f>
        <v>Project Management Division</v>
      </c>
      <c r="D121" s="65">
        <f>'2027'!F119</f>
        <v>13</v>
      </c>
      <c r="E121" s="65">
        <f>'2027'!G119</f>
        <v>1</v>
      </c>
      <c r="F121" s="65">
        <f>'2027'!H119</f>
        <v>3</v>
      </c>
      <c r="G121" s="74">
        <f t="shared" si="15"/>
        <v>17</v>
      </c>
      <c r="H121" s="65">
        <f>'2027'!V119</f>
        <v>14</v>
      </c>
      <c r="I121" s="66">
        <f t="shared" si="16"/>
        <v>1</v>
      </c>
      <c r="J121" s="70">
        <f t="shared" si="17"/>
        <v>7.6923076923076927E-2</v>
      </c>
      <c r="K121" s="103"/>
      <c r="L121" s="107"/>
    </row>
    <row r="122" spans="1:12" x14ac:dyDescent="0.35">
      <c r="A122" s="69" t="s">
        <v>1757</v>
      </c>
      <c r="B122" s="64" t="str">
        <f>'2027'!C120</f>
        <v>Security Department</v>
      </c>
      <c r="C122" s="64" t="str">
        <f>'2027'!D120</f>
        <v>#</v>
      </c>
      <c r="D122" s="65">
        <f>'2027'!F120</f>
        <v>3</v>
      </c>
      <c r="E122" s="65">
        <f>'2027'!G120</f>
        <v>0</v>
      </c>
      <c r="F122" s="65">
        <f>'2027'!H120</f>
        <v>0</v>
      </c>
      <c r="G122" s="74">
        <f t="shared" si="15"/>
        <v>3</v>
      </c>
      <c r="H122" s="65">
        <f>'2027'!V120</f>
        <v>3</v>
      </c>
      <c r="I122" s="66">
        <f t="shared" si="16"/>
        <v>0</v>
      </c>
      <c r="J122" s="70">
        <f t="shared" si="17"/>
        <v>0</v>
      </c>
      <c r="L122" s="107" t="s">
        <v>1831</v>
      </c>
    </row>
    <row r="123" spans="1:12" x14ac:dyDescent="0.35">
      <c r="A123" s="69" t="s">
        <v>1757</v>
      </c>
      <c r="B123" s="64" t="str">
        <f>'2027'!C121</f>
        <v>Security Department</v>
      </c>
      <c r="C123" s="64" t="str">
        <f>'2027'!D121</f>
        <v>Guarding and Access Control Division</v>
      </c>
      <c r="D123" s="65">
        <f>'2027'!F121</f>
        <v>11</v>
      </c>
      <c r="E123" s="65">
        <f>'2027'!G121</f>
        <v>0</v>
      </c>
      <c r="F123" s="65">
        <f>'2027'!H121</f>
        <v>0</v>
      </c>
      <c r="G123" s="74">
        <f t="shared" si="15"/>
        <v>11</v>
      </c>
      <c r="H123" s="65">
        <f>'2027'!V121</f>
        <v>11</v>
      </c>
      <c r="I123" s="66">
        <f t="shared" si="16"/>
        <v>0</v>
      </c>
      <c r="J123" s="70">
        <f t="shared" si="17"/>
        <v>0</v>
      </c>
      <c r="L123" s="105"/>
    </row>
    <row r="124" spans="1:12" x14ac:dyDescent="0.35">
      <c r="A124" s="69" t="s">
        <v>1757</v>
      </c>
      <c r="B124" s="64" t="str">
        <f>'2027'!C122</f>
        <v>Security Department</v>
      </c>
      <c r="C124" s="64" t="str">
        <f>'2027'!D122</f>
        <v>HSE Division</v>
      </c>
      <c r="D124" s="65">
        <f>'2027'!F122</f>
        <v>4</v>
      </c>
      <c r="E124" s="65">
        <f>'2027'!G122</f>
        <v>0</v>
      </c>
      <c r="F124" s="65">
        <f>'2027'!H122</f>
        <v>1</v>
      </c>
      <c r="G124" s="74">
        <f t="shared" si="15"/>
        <v>5</v>
      </c>
      <c r="H124" s="65">
        <f>'2027'!V122</f>
        <v>5</v>
      </c>
      <c r="I124" s="66">
        <f t="shared" si="16"/>
        <v>1</v>
      </c>
      <c r="J124" s="70">
        <f t="shared" si="17"/>
        <v>0.25</v>
      </c>
      <c r="K124" s="104"/>
      <c r="L124" s="105"/>
    </row>
    <row r="125" spans="1:12" x14ac:dyDescent="0.35">
      <c r="A125" s="69" t="s">
        <v>1757</v>
      </c>
      <c r="B125" s="64" t="str">
        <f>'2027'!C123</f>
        <v>Security Department</v>
      </c>
      <c r="C125" s="64" t="str">
        <f>'2027'!D123</f>
        <v>Fraud Cases and Digital Transactions Investigation Division</v>
      </c>
      <c r="D125" s="65">
        <f>'2027'!F123</f>
        <v>16</v>
      </c>
      <c r="E125" s="65">
        <f>'2027'!G123</f>
        <v>0</v>
      </c>
      <c r="F125" s="65">
        <f>'2027'!H123</f>
        <v>1</v>
      </c>
      <c r="G125" s="74">
        <f t="shared" si="15"/>
        <v>17</v>
      </c>
      <c r="H125" s="65">
        <f>'2027'!V123</f>
        <v>17</v>
      </c>
      <c r="I125" s="66">
        <f t="shared" si="16"/>
        <v>1</v>
      </c>
      <c r="J125" s="70">
        <f t="shared" si="17"/>
        <v>6.25E-2</v>
      </c>
      <c r="K125" s="104"/>
      <c r="L125" s="105"/>
    </row>
    <row r="126" spans="1:12" x14ac:dyDescent="0.35">
      <c r="A126" s="69" t="s">
        <v>1757</v>
      </c>
      <c r="B126" s="64" t="str">
        <f>'2027'!C124</f>
        <v>Security Department</v>
      </c>
      <c r="C126" s="64" t="str">
        <f>'2027'!D124</f>
        <v>Fraud Case Management Division</v>
      </c>
      <c r="D126" s="65">
        <f>'2027'!F124</f>
        <v>5</v>
      </c>
      <c r="E126" s="65">
        <f>'2027'!G124</f>
        <v>0</v>
      </c>
      <c r="F126" s="65">
        <f>'2027'!H124</f>
        <v>2</v>
      </c>
      <c r="G126" s="74">
        <f t="shared" si="15"/>
        <v>7</v>
      </c>
      <c r="H126" s="65">
        <f>'2027'!V124</f>
        <v>7</v>
      </c>
      <c r="I126" s="66">
        <f t="shared" si="16"/>
        <v>2</v>
      </c>
      <c r="J126" s="70">
        <f t="shared" si="17"/>
        <v>0.4</v>
      </c>
      <c r="K126" s="104"/>
      <c r="L126" s="105"/>
    </row>
    <row r="127" spans="1:12" x14ac:dyDescent="0.35">
      <c r="A127" s="69" t="s">
        <v>1757</v>
      </c>
      <c r="B127" s="64" t="str">
        <f>'2027'!C125</f>
        <v>Security Department</v>
      </c>
      <c r="C127" s="64" t="str">
        <f>'2027'!D125</f>
        <v>Law Enforcement Liaison Division</v>
      </c>
      <c r="D127" s="65">
        <f>'2027'!F125</f>
        <v>5</v>
      </c>
      <c r="E127" s="65">
        <f>'2027'!G125</f>
        <v>0</v>
      </c>
      <c r="F127" s="65">
        <f>'2027'!H125</f>
        <v>0</v>
      </c>
      <c r="G127" s="74">
        <f t="shared" si="15"/>
        <v>5</v>
      </c>
      <c r="H127" s="65">
        <f>'2027'!V125</f>
        <v>5</v>
      </c>
      <c r="I127" s="66">
        <f t="shared" si="16"/>
        <v>0</v>
      </c>
      <c r="J127" s="70">
        <f t="shared" si="17"/>
        <v>0</v>
      </c>
      <c r="L127" s="105"/>
    </row>
    <row r="128" spans="1:12" x14ac:dyDescent="0.35">
      <c r="A128" s="69" t="s">
        <v>1757</v>
      </c>
      <c r="B128" s="64" t="str">
        <f>'2027'!C126</f>
        <v>Security Department</v>
      </c>
      <c r="C128" s="64" t="str">
        <f>'2027'!D126</f>
        <v>Security Systems Division</v>
      </c>
      <c r="D128" s="65">
        <f>'2027'!F126</f>
        <v>12</v>
      </c>
      <c r="E128" s="65">
        <f>'2027'!G126</f>
        <v>0</v>
      </c>
      <c r="F128" s="65">
        <f>'2027'!H126</f>
        <v>0</v>
      </c>
      <c r="G128" s="74">
        <f t="shared" si="15"/>
        <v>12</v>
      </c>
      <c r="H128" s="65">
        <f>'2027'!V126</f>
        <v>12</v>
      </c>
      <c r="I128" s="66">
        <f t="shared" si="16"/>
        <v>0</v>
      </c>
      <c r="J128" s="70">
        <f t="shared" si="17"/>
        <v>0</v>
      </c>
      <c r="L128" s="105"/>
    </row>
    <row r="129" spans="1:12" x14ac:dyDescent="0.35">
      <c r="A129" s="69" t="s">
        <v>1757</v>
      </c>
      <c r="B129" s="64" t="str">
        <f>'2027'!C127</f>
        <v>Security Department</v>
      </c>
      <c r="C129" s="64" t="str">
        <f>'2027'!D127</f>
        <v>Video Surveillance and Security Analytics Division</v>
      </c>
      <c r="D129" s="65">
        <f>'2027'!F127</f>
        <v>10</v>
      </c>
      <c r="E129" s="65">
        <f>'2027'!G127</f>
        <v>0</v>
      </c>
      <c r="F129" s="65">
        <f>'2027'!H127</f>
        <v>0</v>
      </c>
      <c r="G129" s="74">
        <f t="shared" si="15"/>
        <v>10</v>
      </c>
      <c r="H129" s="65">
        <f>'2027'!V127</f>
        <v>10</v>
      </c>
      <c r="I129" s="66">
        <f t="shared" si="16"/>
        <v>0</v>
      </c>
      <c r="J129" s="70">
        <f t="shared" si="17"/>
        <v>0</v>
      </c>
      <c r="L129" s="105"/>
    </row>
    <row r="130" spans="1:12" x14ac:dyDescent="0.35">
      <c r="A130" s="69" t="s">
        <v>1757</v>
      </c>
      <c r="B130" s="64" t="str">
        <f>'2027'!C128</f>
        <v>Security Department</v>
      </c>
      <c r="C130" s="64" t="str">
        <f>'2027'!D128</f>
        <v>Terminal Network Security Division</v>
      </c>
      <c r="D130" s="65">
        <f>'2027'!F128</f>
        <v>9</v>
      </c>
      <c r="E130" s="65">
        <f>'2027'!G128</f>
        <v>0</v>
      </c>
      <c r="F130" s="65">
        <f>'2027'!H128</f>
        <v>0</v>
      </c>
      <c r="G130" s="74">
        <f t="shared" si="15"/>
        <v>9</v>
      </c>
      <c r="H130" s="65">
        <f>'2027'!V128</f>
        <v>9</v>
      </c>
      <c r="I130" s="66">
        <f t="shared" si="16"/>
        <v>0</v>
      </c>
      <c r="J130" s="70">
        <f t="shared" si="17"/>
        <v>0</v>
      </c>
      <c r="L130" s="105"/>
    </row>
    <row r="131" spans="1:12" x14ac:dyDescent="0.35">
      <c r="A131" s="69" t="s">
        <v>1757</v>
      </c>
      <c r="B131" s="64" t="str">
        <f>'2027'!C129</f>
        <v>Security Department</v>
      </c>
      <c r="C131" s="64" t="str">
        <f>'2027'!D129</f>
        <v>Pashapay</v>
      </c>
      <c r="D131" s="65">
        <f>'2027'!F129</f>
        <v>8</v>
      </c>
      <c r="E131" s="65">
        <f>'2027'!G129</f>
        <v>0</v>
      </c>
      <c r="F131" s="65">
        <f>'2027'!H129</f>
        <v>0</v>
      </c>
      <c r="G131" s="74">
        <f t="shared" si="15"/>
        <v>8</v>
      </c>
      <c r="H131" s="65">
        <f>'2027'!V129</f>
        <v>8</v>
      </c>
      <c r="I131" s="66">
        <f t="shared" si="16"/>
        <v>0</v>
      </c>
      <c r="J131" s="70">
        <f t="shared" si="17"/>
        <v>0</v>
      </c>
      <c r="L131" s="105"/>
    </row>
    <row r="132" spans="1:12" x14ac:dyDescent="0.35">
      <c r="A132" s="69" t="s">
        <v>1757</v>
      </c>
      <c r="B132" s="80" t="str">
        <f>'2027'!C131</f>
        <v>Organizational Development and HR Technologies Department</v>
      </c>
      <c r="C132" s="80" t="str">
        <f>'2027'!D131</f>
        <v>#</v>
      </c>
      <c r="D132" s="65">
        <f>'2027'!F131</f>
        <v>2</v>
      </c>
      <c r="E132" s="65">
        <f>'2027'!G131</f>
        <v>0</v>
      </c>
      <c r="F132" s="65">
        <f>'2027'!H131</f>
        <v>0</v>
      </c>
      <c r="G132" s="74">
        <f t="shared" si="15"/>
        <v>2</v>
      </c>
      <c r="H132" s="65">
        <f>'2027'!V131</f>
        <v>2</v>
      </c>
      <c r="I132" s="66">
        <f t="shared" si="16"/>
        <v>0</v>
      </c>
      <c r="J132" s="70">
        <f t="shared" si="17"/>
        <v>0</v>
      </c>
      <c r="K132" s="95"/>
      <c r="L132" s="107" t="s">
        <v>1841</v>
      </c>
    </row>
    <row r="133" spans="1:12" x14ac:dyDescent="0.35">
      <c r="A133" s="69" t="s">
        <v>1757</v>
      </c>
      <c r="B133" s="80" t="str">
        <f>'2027'!C130</f>
        <v>Organizational Development and HR Technologies Department</v>
      </c>
      <c r="C133" s="80" t="str">
        <f>'2027'!D130</f>
        <v>Employer Brand and CSR Functional Area</v>
      </c>
      <c r="D133" s="65">
        <f>'2027'!F130</f>
        <v>15</v>
      </c>
      <c r="E133" s="65">
        <f>'2027'!G130</f>
        <v>1</v>
      </c>
      <c r="F133" s="65">
        <f>'2027'!H130</f>
        <v>2</v>
      </c>
      <c r="G133" s="74">
        <f t="shared" si="15"/>
        <v>18</v>
      </c>
      <c r="H133" s="65">
        <f>'2027'!V130</f>
        <v>18</v>
      </c>
      <c r="I133" s="66">
        <f t="shared" si="16"/>
        <v>3</v>
      </c>
      <c r="J133" s="70">
        <f t="shared" si="17"/>
        <v>0.2</v>
      </c>
      <c r="K133" s="95"/>
      <c r="L133" s="105"/>
    </row>
    <row r="134" spans="1:12" x14ac:dyDescent="0.35">
      <c r="A134" s="69" t="s">
        <v>1757</v>
      </c>
      <c r="B134" s="80" t="str">
        <f>'2027'!C132</f>
        <v>Organizational Development and HR Technologies Department</v>
      </c>
      <c r="C134" s="80" t="str">
        <f>'2027'!D132</f>
        <v>HRBP and Talent Acquisition Functional Area</v>
      </c>
      <c r="D134" s="65">
        <f>'2027'!F132</f>
        <v>14</v>
      </c>
      <c r="E134" s="65">
        <f>'2027'!G132</f>
        <v>1</v>
      </c>
      <c r="F134" s="65">
        <f>'2027'!H132</f>
        <v>2</v>
      </c>
      <c r="G134" s="74">
        <f t="shared" si="15"/>
        <v>17</v>
      </c>
      <c r="H134" s="65">
        <f>'2027'!V132</f>
        <v>17</v>
      </c>
      <c r="I134" s="66">
        <f t="shared" si="16"/>
        <v>3</v>
      </c>
      <c r="J134" s="70">
        <f t="shared" si="17"/>
        <v>0.21428571428571427</v>
      </c>
      <c r="K134" s="95"/>
      <c r="L134" s="105"/>
    </row>
    <row r="135" spans="1:12" x14ac:dyDescent="0.35">
      <c r="A135" s="69" t="s">
        <v>1757</v>
      </c>
      <c r="B135" s="80" t="str">
        <f>'2027'!C133</f>
        <v>Organizational Development and HR Technologies Department</v>
      </c>
      <c r="C135" s="80" t="str">
        <f>'2027'!D133</f>
        <v>HR TechOps, Performance and Data Functional Area</v>
      </c>
      <c r="D135" s="65">
        <f>'2027'!F133</f>
        <v>33</v>
      </c>
      <c r="E135" s="65">
        <f>'2027'!G133</f>
        <v>3</v>
      </c>
      <c r="F135" s="65">
        <f>'2027'!H133</f>
        <v>0</v>
      </c>
      <c r="G135" s="74">
        <f t="shared" si="15"/>
        <v>36</v>
      </c>
      <c r="H135" s="65">
        <f>'2027'!V133</f>
        <v>33</v>
      </c>
      <c r="I135" s="66">
        <f t="shared" si="16"/>
        <v>0</v>
      </c>
      <c r="J135" s="70">
        <f t="shared" si="17"/>
        <v>0</v>
      </c>
      <c r="K135" s="95"/>
      <c r="L135" s="105"/>
    </row>
    <row r="136" spans="1:12" x14ac:dyDescent="0.35">
      <c r="A136" s="69" t="s">
        <v>1757</v>
      </c>
      <c r="B136" s="80" t="str">
        <f>'2027'!C134</f>
        <v>Organizational Development and HR Technologies Department</v>
      </c>
      <c r="C136" s="80" t="str">
        <f>'2027'!D134</f>
        <v>Organizational Development and Employee Engagement Functional Area</v>
      </c>
      <c r="D136" s="65">
        <f>'2027'!F134</f>
        <v>11</v>
      </c>
      <c r="E136" s="65">
        <f>'2027'!G134</f>
        <v>1</v>
      </c>
      <c r="F136" s="65">
        <f>'2027'!H134</f>
        <v>2</v>
      </c>
      <c r="G136" s="74">
        <f t="shared" si="15"/>
        <v>14</v>
      </c>
      <c r="H136" s="65">
        <f>'2027'!V134</f>
        <v>13</v>
      </c>
      <c r="I136" s="66">
        <f t="shared" si="16"/>
        <v>2</v>
      </c>
      <c r="J136" s="70">
        <f t="shared" si="17"/>
        <v>0.18181818181818182</v>
      </c>
      <c r="K136" s="95"/>
      <c r="L136" s="105"/>
    </row>
    <row r="137" spans="1:12" x14ac:dyDescent="0.35">
      <c r="A137" s="69" t="s">
        <v>1757</v>
      </c>
      <c r="B137" s="64" t="str">
        <f>'2027'!C137</f>
        <v>Organizational and Non-Financial Risk Management Department</v>
      </c>
      <c r="C137" s="64" t="str">
        <f>'2027'!D137</f>
        <v>#</v>
      </c>
      <c r="D137" s="65">
        <f>'2027'!F137</f>
        <v>3</v>
      </c>
      <c r="E137" s="65">
        <f>'2027'!G137</f>
        <v>0</v>
      </c>
      <c r="F137" s="65">
        <f>'2027'!H137</f>
        <v>0</v>
      </c>
      <c r="G137" s="74">
        <f t="shared" si="15"/>
        <v>3</v>
      </c>
      <c r="H137" s="65">
        <f>'2027'!V137</f>
        <v>4</v>
      </c>
      <c r="I137" s="66">
        <f t="shared" si="16"/>
        <v>1</v>
      </c>
      <c r="J137" s="70">
        <f t="shared" si="17"/>
        <v>0.33333333333333331</v>
      </c>
      <c r="K137" s="94"/>
      <c r="L137" s="107" t="s">
        <v>1840</v>
      </c>
    </row>
    <row r="138" spans="1:12" x14ac:dyDescent="0.35">
      <c r="A138" s="69" t="s">
        <v>1757</v>
      </c>
      <c r="B138" s="64" t="str">
        <f>'2027'!C135</f>
        <v>Organizational and Non-Financial Risk Management Department</v>
      </c>
      <c r="C138" s="64" t="str">
        <f>'2027'!D135</f>
        <v>Payment Business Product Control Division</v>
      </c>
      <c r="D138" s="65">
        <f>'2027'!F135</f>
        <v>7</v>
      </c>
      <c r="E138" s="65">
        <f>'2027'!G135</f>
        <v>0</v>
      </c>
      <c r="F138" s="65">
        <f>'2027'!H135</f>
        <v>1</v>
      </c>
      <c r="G138" s="74">
        <f t="shared" si="15"/>
        <v>8</v>
      </c>
      <c r="H138" s="65">
        <f>'2027'!V135</f>
        <v>9</v>
      </c>
      <c r="I138" s="66">
        <f t="shared" si="16"/>
        <v>2</v>
      </c>
      <c r="J138" s="70">
        <f t="shared" si="17"/>
        <v>0.2857142857142857</v>
      </c>
      <c r="K138" s="94"/>
      <c r="L138" s="105"/>
    </row>
    <row r="139" spans="1:12" x14ac:dyDescent="0.35">
      <c r="A139" s="69" t="s">
        <v>1757</v>
      </c>
      <c r="B139" s="64" t="str">
        <f>'2027'!C136</f>
        <v>Organizational and Non-Financial Risk Management Department</v>
      </c>
      <c r="C139" s="64" t="str">
        <f>'2027'!D136</f>
        <v>FinTech Business Product Control Division</v>
      </c>
      <c r="D139" s="65">
        <f>'2027'!F136</f>
        <v>8</v>
      </c>
      <c r="E139" s="65">
        <f>'2027'!G136</f>
        <v>0</v>
      </c>
      <c r="F139" s="65">
        <f>'2027'!H136</f>
        <v>1</v>
      </c>
      <c r="G139" s="74">
        <f t="shared" ref="G139:G144" si="21">SUM(D139:F139)</f>
        <v>9</v>
      </c>
      <c r="H139" s="65">
        <f>'2027'!V136</f>
        <v>8</v>
      </c>
      <c r="I139" s="66">
        <f t="shared" ref="I139:I144" si="22">H139-D139</f>
        <v>0</v>
      </c>
      <c r="J139" s="70">
        <f t="shared" ref="J139:J144" si="23">IF(D139=0,0,I139/D139)</f>
        <v>0</v>
      </c>
      <c r="K139" s="94"/>
      <c r="L139" s="105"/>
    </row>
    <row r="140" spans="1:12" x14ac:dyDescent="0.35">
      <c r="A140" s="69" t="s">
        <v>1757</v>
      </c>
      <c r="B140" s="64" t="str">
        <f>'2027'!C138</f>
        <v>Organizational and Non-Financial Risk Management Department</v>
      </c>
      <c r="C140" s="64" t="str">
        <f>'2027'!D138</f>
        <v>Cash and Valuables Control Division</v>
      </c>
      <c r="D140" s="65">
        <f>'2027'!F138</f>
        <v>7</v>
      </c>
      <c r="E140" s="65">
        <f>'2027'!G138</f>
        <v>1</v>
      </c>
      <c r="F140" s="65">
        <f>'2027'!H138</f>
        <v>0</v>
      </c>
      <c r="G140" s="74">
        <f t="shared" si="21"/>
        <v>8</v>
      </c>
      <c r="H140" s="65">
        <f>'2027'!V138</f>
        <v>8</v>
      </c>
      <c r="I140" s="66">
        <f t="shared" si="22"/>
        <v>1</v>
      </c>
      <c r="J140" s="70">
        <f t="shared" si="23"/>
        <v>0.14285714285714285</v>
      </c>
      <c r="K140" s="94"/>
      <c r="L140" s="105"/>
    </row>
    <row r="141" spans="1:12" x14ac:dyDescent="0.35">
      <c r="A141" s="69" t="s">
        <v>1757</v>
      </c>
      <c r="B141" s="64" t="str">
        <f>'2027'!C139</f>
        <v>Organizational and Non-Financial Risk Management Department</v>
      </c>
      <c r="C141" s="64" t="str">
        <f>'2027'!D139</f>
        <v>Payment Business Operational Risk Management Division</v>
      </c>
      <c r="D141" s="65">
        <f>'2027'!F139</f>
        <v>10</v>
      </c>
      <c r="E141" s="65">
        <f>'2027'!G139</f>
        <v>0</v>
      </c>
      <c r="F141" s="65">
        <f>'2027'!H139</f>
        <v>0</v>
      </c>
      <c r="G141" s="74">
        <f t="shared" si="21"/>
        <v>10</v>
      </c>
      <c r="H141" s="65">
        <f>'2027'!V139</f>
        <v>10</v>
      </c>
      <c r="I141" s="66">
        <f t="shared" si="22"/>
        <v>0</v>
      </c>
      <c r="J141" s="70">
        <f t="shared" si="23"/>
        <v>0</v>
      </c>
      <c r="K141" s="94"/>
      <c r="L141" s="105"/>
    </row>
    <row r="142" spans="1:12" x14ac:dyDescent="0.35">
      <c r="A142" s="69" t="s">
        <v>1757</v>
      </c>
      <c r="B142" s="64" t="str">
        <f>'2027'!C140</f>
        <v>Organizational and Non-Financial Risk Management Department</v>
      </c>
      <c r="C142" s="64" t="str">
        <f>'2027'!D140</f>
        <v>Risk Event Management Division</v>
      </c>
      <c r="D142" s="65">
        <f>'2027'!F140</f>
        <v>6</v>
      </c>
      <c r="E142" s="65">
        <f>'2027'!G140</f>
        <v>0</v>
      </c>
      <c r="F142" s="65">
        <f>'2027'!H140</f>
        <v>1</v>
      </c>
      <c r="G142" s="74">
        <f t="shared" si="21"/>
        <v>7</v>
      </c>
      <c r="H142" s="65">
        <f>'2027'!V140</f>
        <v>9</v>
      </c>
      <c r="I142" s="66">
        <f t="shared" si="22"/>
        <v>3</v>
      </c>
      <c r="J142" s="70">
        <f t="shared" si="23"/>
        <v>0.5</v>
      </c>
      <c r="K142" s="94"/>
      <c r="L142" s="105"/>
    </row>
    <row r="143" spans="1:12" x14ac:dyDescent="0.35">
      <c r="A143" s="69" t="s">
        <v>1757</v>
      </c>
      <c r="B143" s="64" t="str">
        <f>'2027'!C141</f>
        <v>Organizational and Non-Financial Risk Management Department</v>
      </c>
      <c r="C143" s="64" t="str">
        <f>'2027'!D141</f>
        <v>ERM Division</v>
      </c>
      <c r="D143" s="65">
        <f>'2027'!F141</f>
        <v>10</v>
      </c>
      <c r="E143" s="65">
        <f>'2027'!G141</f>
        <v>0</v>
      </c>
      <c r="F143" s="65">
        <f>'2027'!H141</f>
        <v>1</v>
      </c>
      <c r="G143" s="74">
        <f t="shared" si="21"/>
        <v>11</v>
      </c>
      <c r="H143" s="65">
        <f>'2027'!V141</f>
        <v>12</v>
      </c>
      <c r="I143" s="66">
        <f t="shared" si="22"/>
        <v>2</v>
      </c>
      <c r="J143" s="70">
        <f t="shared" si="23"/>
        <v>0.2</v>
      </c>
      <c r="K143" s="94"/>
      <c r="L143" s="105"/>
    </row>
    <row r="144" spans="1:12" x14ac:dyDescent="0.35">
      <c r="A144" s="69" t="s">
        <v>1757</v>
      </c>
      <c r="B144" s="75" t="str">
        <f>'2027'!C142</f>
        <v>Organizational and Non-Financial Risk Management Department</v>
      </c>
      <c r="C144" s="75" t="str">
        <f>'2027'!D142</f>
        <v>FinTech Business Operational Risk Management Division</v>
      </c>
      <c r="D144" s="76">
        <f>'2027'!F142</f>
        <v>7</v>
      </c>
      <c r="E144" s="76">
        <f>'2027'!G142</f>
        <v>0</v>
      </c>
      <c r="F144" s="76">
        <f>'2027'!H142</f>
        <v>1</v>
      </c>
      <c r="G144" s="77">
        <f t="shared" si="21"/>
        <v>8</v>
      </c>
      <c r="H144" s="76">
        <f>'2027'!V142</f>
        <v>10</v>
      </c>
      <c r="I144" s="78">
        <f t="shared" si="22"/>
        <v>3</v>
      </c>
      <c r="J144" s="79">
        <f t="shared" si="23"/>
        <v>0.42857142857142855</v>
      </c>
      <c r="K144" s="94"/>
      <c r="L144" s="106"/>
    </row>
    <row r="145" spans="1:11" s="85" customFormat="1" x14ac:dyDescent="0.35">
      <c r="A145" s="98" t="str">
        <f>'2027'!B143</f>
        <v>Fintech</v>
      </c>
      <c r="B145" s="99" t="str">
        <f>'2027'!C143</f>
        <v>Management</v>
      </c>
      <c r="C145" s="99" t="str">
        <f>'2027'!D143</f>
        <v>C level, Director, Deputy Director</v>
      </c>
      <c r="D145" s="100">
        <f>'2027'!F143</f>
        <v>43</v>
      </c>
      <c r="E145" s="100">
        <f>'2027'!G143</f>
        <v>0</v>
      </c>
      <c r="F145" s="100">
        <f>'2027'!H143</f>
        <v>0</v>
      </c>
      <c r="G145" s="101">
        <f t="shared" ref="G145:G176" si="24">SUM(D145:F145)</f>
        <v>43</v>
      </c>
      <c r="H145" s="100">
        <f>'2027'!V143</f>
        <v>43</v>
      </c>
      <c r="I145" s="101">
        <f t="shared" ref="I145:I176" si="25">H145-D145</f>
        <v>0</v>
      </c>
      <c r="J145" s="102">
        <f t="shared" ref="J145:J176" si="26">IF(D145=0,0,I145/D145)</f>
        <v>0</v>
      </c>
      <c r="K145" s="94"/>
    </row>
    <row r="146" spans="1:11" s="85" customFormat="1" x14ac:dyDescent="0.35">
      <c r="A146" s="98" t="str">
        <f>'2027'!B144</f>
        <v>Fintech</v>
      </c>
      <c r="B146" s="99" t="str">
        <f>'2027'!C144</f>
        <v>VİP müştərilərlə iş şöbəsi</v>
      </c>
      <c r="C146" s="99" t="str">
        <f>'2027'!D144</f>
        <v>VİP müştərilərlə iş şöbəsi</v>
      </c>
      <c r="D146" s="100">
        <f>'2027'!F144</f>
        <v>8</v>
      </c>
      <c r="E146" s="100">
        <f>'2027'!G144</f>
        <v>0</v>
      </c>
      <c r="F146" s="100">
        <f>'2027'!H144</f>
        <v>0</v>
      </c>
      <c r="G146" s="101">
        <f t="shared" si="24"/>
        <v>8</v>
      </c>
      <c r="H146" s="100">
        <f>'2027'!V144</f>
        <v>4</v>
      </c>
      <c r="I146" s="101">
        <f t="shared" si="25"/>
        <v>-4</v>
      </c>
      <c r="J146" s="102">
        <f t="shared" si="26"/>
        <v>-0.5</v>
      </c>
      <c r="K146" s="94"/>
    </row>
    <row r="147" spans="1:11" s="85" customFormat="1" x14ac:dyDescent="0.35">
      <c r="A147" s="98" t="str">
        <f>'2027'!B145</f>
        <v>Fintech</v>
      </c>
      <c r="B147" s="99" t="str">
        <f>'2027'!C145</f>
        <v>Birbank biznes sahəsi</v>
      </c>
      <c r="C147" s="99" t="str">
        <f>'2027'!D145</f>
        <v>Registration and cabinet</v>
      </c>
      <c r="D147" s="100">
        <f>'2027'!F145</f>
        <v>1</v>
      </c>
      <c r="E147" s="100">
        <f>'2027'!G145</f>
        <v>0</v>
      </c>
      <c r="F147" s="100">
        <f>'2027'!H145</f>
        <v>0</v>
      </c>
      <c r="G147" s="101">
        <f t="shared" si="24"/>
        <v>1</v>
      </c>
      <c r="H147" s="100">
        <f>'2027'!V145</f>
        <v>1</v>
      </c>
      <c r="I147" s="101">
        <f t="shared" si="25"/>
        <v>0</v>
      </c>
      <c r="J147" s="102">
        <f t="shared" si="26"/>
        <v>0</v>
      </c>
      <c r="K147" s="94"/>
    </row>
    <row r="148" spans="1:11" s="85" customFormat="1" x14ac:dyDescent="0.35">
      <c r="A148" s="98" t="str">
        <f>'2027'!B146</f>
        <v>Fintech</v>
      </c>
      <c r="B148" s="99" t="str">
        <f>'2027'!C146</f>
        <v>Birbank biznes sahəsi</v>
      </c>
      <c r="C148" s="99" t="str">
        <f>'2027'!D146</f>
        <v>Account Opening, Payments and Cash Operations</v>
      </c>
      <c r="D148" s="100">
        <f>'2027'!F146</f>
        <v>1</v>
      </c>
      <c r="E148" s="100">
        <f>'2027'!G146</f>
        <v>0</v>
      </c>
      <c r="F148" s="100">
        <f>'2027'!H146</f>
        <v>0</v>
      </c>
      <c r="G148" s="101">
        <f t="shared" si="24"/>
        <v>1</v>
      </c>
      <c r="H148" s="100">
        <f>'2027'!V146</f>
        <v>1</v>
      </c>
      <c r="I148" s="101">
        <f t="shared" si="25"/>
        <v>0</v>
      </c>
      <c r="J148" s="102">
        <f t="shared" si="26"/>
        <v>0</v>
      </c>
      <c r="K148" s="94"/>
    </row>
    <row r="149" spans="1:11" s="85" customFormat="1" x14ac:dyDescent="0.35">
      <c r="A149" s="98" t="str">
        <f>'2027'!B147</f>
        <v>Fintech</v>
      </c>
      <c r="B149" s="99" t="str">
        <f>'2027'!C147</f>
        <v>Birbank biznes sahəsi</v>
      </c>
      <c r="C149" s="99" t="str">
        <f>'2027'!D147</f>
        <v>Transfers and Tariff</v>
      </c>
      <c r="D149" s="100">
        <f>'2027'!F147</f>
        <v>1</v>
      </c>
      <c r="E149" s="100">
        <f>'2027'!G147</f>
        <v>0</v>
      </c>
      <c r="F149" s="100">
        <f>'2027'!H147</f>
        <v>0</v>
      </c>
      <c r="G149" s="101">
        <f t="shared" si="24"/>
        <v>1</v>
      </c>
      <c r="H149" s="100">
        <f>'2027'!V147</f>
        <v>1</v>
      </c>
      <c r="I149" s="101">
        <f t="shared" si="25"/>
        <v>0</v>
      </c>
      <c r="J149" s="102">
        <f t="shared" si="26"/>
        <v>0</v>
      </c>
      <c r="K149" s="94"/>
    </row>
    <row r="150" spans="1:11" s="85" customFormat="1" x14ac:dyDescent="0.35">
      <c r="A150" s="98" t="str">
        <f>'2027'!B148</f>
        <v>Fintech</v>
      </c>
      <c r="B150" s="99" t="str">
        <f>'2027'!C148</f>
        <v>Birbank biznes sahəsi</v>
      </c>
      <c r="C150" s="99" t="str">
        <f>'2027'!D148</f>
        <v>CVM &amp; Engagement</v>
      </c>
      <c r="D150" s="100">
        <f>'2027'!F148</f>
        <v>1</v>
      </c>
      <c r="E150" s="100">
        <f>'2027'!G148</f>
        <v>0</v>
      </c>
      <c r="F150" s="100">
        <f>'2027'!H148</f>
        <v>1</v>
      </c>
      <c r="G150" s="101">
        <f t="shared" si="24"/>
        <v>2</v>
      </c>
      <c r="H150" s="100">
        <f>'2027'!V148</f>
        <v>2</v>
      </c>
      <c r="I150" s="101">
        <f t="shared" si="25"/>
        <v>1</v>
      </c>
      <c r="J150" s="102">
        <f t="shared" si="26"/>
        <v>1</v>
      </c>
      <c r="K150" s="94"/>
    </row>
    <row r="151" spans="1:11" s="85" customFormat="1" x14ac:dyDescent="0.35">
      <c r="A151" s="98" t="str">
        <f>'2027'!B149</f>
        <v>Fintech</v>
      </c>
      <c r="B151" s="99" t="str">
        <f>'2027'!C149</f>
        <v>Birbank biznes sahəsi</v>
      </c>
      <c r="C151" s="99" t="str">
        <f>'2027'!D149</f>
        <v>B2B &amp; Digital Experience</v>
      </c>
      <c r="D151" s="100">
        <f>'2027'!F149</f>
        <v>1</v>
      </c>
      <c r="E151" s="100">
        <f>'2027'!G149</f>
        <v>0</v>
      </c>
      <c r="F151" s="100">
        <f>'2027'!H149</f>
        <v>1</v>
      </c>
      <c r="G151" s="101">
        <f t="shared" si="24"/>
        <v>2</v>
      </c>
      <c r="H151" s="100">
        <f>'2027'!V149</f>
        <v>2</v>
      </c>
      <c r="I151" s="101">
        <f t="shared" si="25"/>
        <v>1</v>
      </c>
      <c r="J151" s="102">
        <f t="shared" si="26"/>
        <v>1</v>
      </c>
      <c r="K151" s="94"/>
    </row>
    <row r="152" spans="1:11" s="85" customFormat="1" x14ac:dyDescent="0.35">
      <c r="A152" s="98" t="str">
        <f>'2027'!B150</f>
        <v>Fintech</v>
      </c>
      <c r="B152" s="99" t="str">
        <f>'2027'!C150</f>
        <v>Birbank biznes sahəsi</v>
      </c>
      <c r="C152" s="99" t="str">
        <f>'2027'!D150</f>
        <v>Lending and leasing</v>
      </c>
      <c r="D152" s="100">
        <f>'2027'!F150</f>
        <v>1</v>
      </c>
      <c r="E152" s="100">
        <f>'2027'!G150</f>
        <v>0</v>
      </c>
      <c r="F152" s="100">
        <f>'2027'!H150</f>
        <v>0</v>
      </c>
      <c r="G152" s="101">
        <f t="shared" si="24"/>
        <v>1</v>
      </c>
      <c r="H152" s="100">
        <f>'2027'!V150</f>
        <v>1</v>
      </c>
      <c r="I152" s="101">
        <f t="shared" si="25"/>
        <v>0</v>
      </c>
      <c r="J152" s="102">
        <f t="shared" si="26"/>
        <v>0</v>
      </c>
      <c r="K152" s="94"/>
    </row>
    <row r="153" spans="1:11" s="85" customFormat="1" x14ac:dyDescent="0.35">
      <c r="A153" s="98" t="str">
        <f>'2027'!B151</f>
        <v>Fintech</v>
      </c>
      <c r="B153" s="99" t="str">
        <f>'2027'!C151</f>
        <v>Birbank biznes sahəsi</v>
      </c>
      <c r="C153" s="99" t="str">
        <f>'2027'!D151</f>
        <v>Business CRM</v>
      </c>
      <c r="D153" s="100">
        <f>'2027'!F151</f>
        <v>1</v>
      </c>
      <c r="E153" s="100">
        <f>'2027'!G151</f>
        <v>0</v>
      </c>
      <c r="F153" s="100">
        <f>'2027'!H151</f>
        <v>0</v>
      </c>
      <c r="G153" s="101">
        <f t="shared" si="24"/>
        <v>1</v>
      </c>
      <c r="H153" s="100">
        <f>'2027'!V151</f>
        <v>1</v>
      </c>
      <c r="I153" s="101">
        <f t="shared" si="25"/>
        <v>0</v>
      </c>
      <c r="J153" s="102">
        <f t="shared" si="26"/>
        <v>0</v>
      </c>
      <c r="K153" s="94"/>
    </row>
    <row r="154" spans="1:11" s="85" customFormat="1" x14ac:dyDescent="0.35">
      <c r="A154" s="98" t="str">
        <f>'2027'!B152</f>
        <v>Fintech</v>
      </c>
      <c r="B154" s="99" t="str">
        <f>'2027'!C152</f>
        <v>Biznesə dəstək departamenti</v>
      </c>
      <c r="C154" s="99" t="str">
        <f>'2027'!D152</f>
        <v>Əməliyyatların icrası və dəstək şöbəsi</v>
      </c>
      <c r="D154" s="100">
        <f>'2027'!F152</f>
        <v>43</v>
      </c>
      <c r="E154" s="100">
        <f>'2027'!G152</f>
        <v>0</v>
      </c>
      <c r="F154" s="100">
        <f>'2027'!H152</f>
        <v>5</v>
      </c>
      <c r="G154" s="101">
        <f t="shared" si="24"/>
        <v>48</v>
      </c>
      <c r="H154" s="100">
        <f>'2027'!V152</f>
        <v>48</v>
      </c>
      <c r="I154" s="101">
        <f t="shared" si="25"/>
        <v>5</v>
      </c>
      <c r="J154" s="102">
        <f t="shared" si="26"/>
        <v>0.11627906976744186</v>
      </c>
      <c r="K154" s="94"/>
    </row>
    <row r="155" spans="1:11" s="85" customFormat="1" x14ac:dyDescent="0.35">
      <c r="A155" s="98" t="str">
        <f>'2027'!B153</f>
        <v>Fintech</v>
      </c>
      <c r="B155" s="99" t="str">
        <f>'2027'!C153</f>
        <v>Biznesə dəstək departamenti</v>
      </c>
      <c r="C155" s="99" t="str">
        <f>'2027'!D153</f>
        <v>Əməliyyatların icrası şöbəsi</v>
      </c>
      <c r="D155" s="100">
        <f>'2027'!F153</f>
        <v>1</v>
      </c>
      <c r="E155" s="100">
        <f>'2027'!G153</f>
        <v>0</v>
      </c>
      <c r="F155" s="100">
        <f>'2027'!H153</f>
        <v>7</v>
      </c>
      <c r="G155" s="101">
        <f t="shared" si="24"/>
        <v>8</v>
      </c>
      <c r="H155" s="100">
        <f>'2027'!V153</f>
        <v>8</v>
      </c>
      <c r="I155" s="101">
        <f t="shared" si="25"/>
        <v>7</v>
      </c>
      <c r="J155" s="102">
        <f t="shared" si="26"/>
        <v>7</v>
      </c>
      <c r="K155" s="94"/>
    </row>
    <row r="156" spans="1:11" s="85" customFormat="1" x14ac:dyDescent="0.35">
      <c r="A156" s="98" t="str">
        <f>'2027'!B154</f>
        <v>Fintech</v>
      </c>
      <c r="B156" s="99" t="str">
        <f>'2027'!C154</f>
        <v>Biznesə dəstək departamenti</v>
      </c>
      <c r="C156" s="99" t="str">
        <f>'2027'!D154</f>
        <v>Xüsusi müştərilərlə iş şöbəsi</v>
      </c>
      <c r="D156" s="100">
        <f>'2027'!F154</f>
        <v>26</v>
      </c>
      <c r="E156" s="100">
        <f>'2027'!G154</f>
        <v>0</v>
      </c>
      <c r="F156" s="100">
        <f>'2027'!H154</f>
        <v>1</v>
      </c>
      <c r="G156" s="101">
        <f t="shared" si="24"/>
        <v>27</v>
      </c>
      <c r="H156" s="100">
        <f>'2027'!V154</f>
        <v>27</v>
      </c>
      <c r="I156" s="101">
        <f t="shared" si="25"/>
        <v>1</v>
      </c>
      <c r="J156" s="102">
        <f t="shared" si="26"/>
        <v>3.8461538461538464E-2</v>
      </c>
      <c r="K156" s="94"/>
    </row>
    <row r="157" spans="1:11" s="85" customFormat="1" x14ac:dyDescent="0.35">
      <c r="A157" s="98" t="str">
        <f>'2027'!B155</f>
        <v>Fintech</v>
      </c>
      <c r="B157" s="99" t="str">
        <f>'2027'!C155</f>
        <v>Biznesə dəstək departamenti</v>
      </c>
      <c r="C157" s="99" t="str">
        <f>'2027'!D155</f>
        <v>Biznes müştərilərlə iş şöbəsi</v>
      </c>
      <c r="D157" s="100">
        <f>'2027'!F155</f>
        <v>18</v>
      </c>
      <c r="E157" s="100">
        <f>'2027'!G155</f>
        <v>0</v>
      </c>
      <c r="F157" s="100">
        <f>'2027'!H155</f>
        <v>2</v>
      </c>
      <c r="G157" s="101">
        <f t="shared" si="24"/>
        <v>20</v>
      </c>
      <c r="H157" s="100">
        <f>'2027'!V155</f>
        <v>20</v>
      </c>
      <c r="I157" s="101">
        <f t="shared" si="25"/>
        <v>2</v>
      </c>
      <c r="J157" s="102">
        <f t="shared" si="26"/>
        <v>0.1111111111111111</v>
      </c>
      <c r="K157" s="94"/>
    </row>
    <row r="158" spans="1:11" s="85" customFormat="1" x14ac:dyDescent="0.35">
      <c r="A158" s="98" t="str">
        <f>'2027'!B156</f>
        <v>Fintech</v>
      </c>
      <c r="B158" s="99" t="str">
        <f>'2027'!C156</f>
        <v>Biznesə dəstək departamenti</v>
      </c>
      <c r="C158" s="99" t="str">
        <f>'2027'!D156</f>
        <v>#</v>
      </c>
      <c r="D158" s="100">
        <f>'2027'!F156</f>
        <v>11</v>
      </c>
      <c r="E158" s="100">
        <f>'2027'!G156</f>
        <v>0</v>
      </c>
      <c r="F158" s="100">
        <f>'2027'!H156</f>
        <v>2</v>
      </c>
      <c r="G158" s="101">
        <f t="shared" si="24"/>
        <v>13</v>
      </c>
      <c r="H158" s="100">
        <f>'2027'!V156</f>
        <v>13</v>
      </c>
      <c r="I158" s="101">
        <f t="shared" si="25"/>
        <v>2</v>
      </c>
      <c r="J158" s="102">
        <f t="shared" si="26"/>
        <v>0.18181818181818182</v>
      </c>
      <c r="K158" s="94"/>
    </row>
    <row r="159" spans="1:11" s="85" customFormat="1" x14ac:dyDescent="0.35">
      <c r="A159" s="98" t="str">
        <f>'2027'!B157</f>
        <v>Fintech</v>
      </c>
      <c r="B159" s="99" t="str">
        <f>'2027'!C157</f>
        <v>Daxili audit departamenti</v>
      </c>
      <c r="C159" s="99" t="str">
        <f>'2027'!D157</f>
        <v>Əməliyyat,komplayens və davamlı audit üzrə ekspert mərkəzi</v>
      </c>
      <c r="D159" s="100">
        <f>'2027'!F157</f>
        <v>12</v>
      </c>
      <c r="E159" s="100">
        <f>'2027'!G157</f>
        <v>0</v>
      </c>
      <c r="F159" s="100">
        <f>'2027'!H157</f>
        <v>3</v>
      </c>
      <c r="G159" s="101">
        <f t="shared" si="24"/>
        <v>15</v>
      </c>
      <c r="H159" s="100">
        <f>'2027'!V157</f>
        <v>15</v>
      </c>
      <c r="I159" s="101">
        <f t="shared" si="25"/>
        <v>3</v>
      </c>
      <c r="J159" s="102">
        <f t="shared" si="26"/>
        <v>0.25</v>
      </c>
      <c r="K159" s="94"/>
    </row>
    <row r="160" spans="1:11" s="85" customFormat="1" x14ac:dyDescent="0.35">
      <c r="A160" s="98" t="str">
        <f>'2027'!B158</f>
        <v>Fintech</v>
      </c>
      <c r="B160" s="99" t="str">
        <f>'2027'!C158</f>
        <v>Daxili audit departamenti</v>
      </c>
      <c r="C160" s="99" t="str">
        <f>'2027'!D158</f>
        <v>Mühasibatlıq,büdcə və dəstək funksiyaları üzrə ekspert mərkəzi</v>
      </c>
      <c r="D160" s="100">
        <f>'2027'!F158</f>
        <v>6</v>
      </c>
      <c r="E160" s="100">
        <f>'2027'!G158</f>
        <v>0</v>
      </c>
      <c r="F160" s="100">
        <f>'2027'!H158</f>
        <v>4</v>
      </c>
      <c r="G160" s="101">
        <f t="shared" si="24"/>
        <v>10</v>
      </c>
      <c r="H160" s="100">
        <f>'2027'!V158</f>
        <v>10</v>
      </c>
      <c r="I160" s="101">
        <f t="shared" si="25"/>
        <v>4</v>
      </c>
      <c r="J160" s="102">
        <f t="shared" si="26"/>
        <v>0.66666666666666663</v>
      </c>
      <c r="K160" s="94"/>
    </row>
    <row r="161" spans="1:11" s="85" customFormat="1" x14ac:dyDescent="0.35">
      <c r="A161" s="98" t="str">
        <f>'2027'!B159</f>
        <v>Fintech</v>
      </c>
      <c r="B161" s="99" t="str">
        <f>'2027'!C159</f>
        <v>Daxili audit departamenti</v>
      </c>
      <c r="C161" s="99" t="str">
        <f>'2027'!D159</f>
        <v>Bazar, kredit riskləri və modelləşmə üzrə ekspert mərkəzi</v>
      </c>
      <c r="D161" s="100">
        <f>'2027'!F159</f>
        <v>12</v>
      </c>
      <c r="E161" s="100">
        <f>'2027'!G159</f>
        <v>0</v>
      </c>
      <c r="F161" s="100">
        <f>'2027'!H159</f>
        <v>3</v>
      </c>
      <c r="G161" s="101">
        <f t="shared" si="24"/>
        <v>15</v>
      </c>
      <c r="H161" s="100">
        <f>'2027'!V159</f>
        <v>15</v>
      </c>
      <c r="I161" s="101">
        <f t="shared" si="25"/>
        <v>3</v>
      </c>
      <c r="J161" s="102">
        <f t="shared" si="26"/>
        <v>0.25</v>
      </c>
      <c r="K161" s="94"/>
    </row>
    <row r="162" spans="1:11" s="85" customFormat="1" x14ac:dyDescent="0.35">
      <c r="A162" s="98" t="str">
        <f>'2027'!B160</f>
        <v>Fintech</v>
      </c>
      <c r="B162" s="99" t="str">
        <f>'2027'!C160</f>
        <v>Daxili audit departamenti</v>
      </c>
      <c r="C162" s="99" t="str">
        <f>'2027'!D160</f>
        <v>İT audit üzrə ekspert mərkəzi</v>
      </c>
      <c r="D162" s="100">
        <f>'2027'!F160</f>
        <v>9</v>
      </c>
      <c r="E162" s="100">
        <f>'2027'!G160</f>
        <v>0</v>
      </c>
      <c r="F162" s="100">
        <f>'2027'!H160</f>
        <v>1</v>
      </c>
      <c r="G162" s="101">
        <f t="shared" si="24"/>
        <v>10</v>
      </c>
      <c r="H162" s="100">
        <f>'2027'!V160</f>
        <v>10</v>
      </c>
      <c r="I162" s="101">
        <f t="shared" si="25"/>
        <v>1</v>
      </c>
      <c r="J162" s="102">
        <f t="shared" si="26"/>
        <v>0.1111111111111111</v>
      </c>
      <c r="K162" s="94"/>
    </row>
    <row r="163" spans="1:11" s="85" customFormat="1" x14ac:dyDescent="0.35">
      <c r="A163" s="98" t="str">
        <f>'2027'!B161</f>
        <v>Fintech</v>
      </c>
      <c r="B163" s="99" t="str">
        <f>'2027'!C161</f>
        <v>FinTech Agile funksional sahəsi</v>
      </c>
      <c r="C163" s="99" t="str">
        <f>'2027'!D161</f>
        <v>#</v>
      </c>
      <c r="D163" s="100">
        <f>'2027'!F161</f>
        <v>3</v>
      </c>
      <c r="E163" s="100">
        <f>'2027'!G161</f>
        <v>0</v>
      </c>
      <c r="F163" s="100">
        <f>'2027'!H161</f>
        <v>4</v>
      </c>
      <c r="G163" s="101">
        <f t="shared" si="24"/>
        <v>7</v>
      </c>
      <c r="H163" s="100">
        <f>'2027'!V161</f>
        <v>7</v>
      </c>
      <c r="I163" s="101">
        <f t="shared" si="25"/>
        <v>4</v>
      </c>
      <c r="J163" s="102">
        <f t="shared" si="26"/>
        <v>1.3333333333333333</v>
      </c>
      <c r="K163" s="94"/>
    </row>
    <row r="164" spans="1:11" s="85" customFormat="1" x14ac:dyDescent="0.35">
      <c r="A164" s="98" t="str">
        <f>'2027'!B162</f>
        <v>Fintech</v>
      </c>
      <c r="B164" s="99" t="str">
        <f>'2027'!C162</f>
        <v>Fintech Analitika və Aİ ekspert mərkəzi</v>
      </c>
      <c r="C164" s="99" t="str">
        <f>'2027'!D162</f>
        <v>Analytics chapter</v>
      </c>
      <c r="D164" s="100">
        <f>'2027'!F162</f>
        <v>13</v>
      </c>
      <c r="E164" s="100">
        <f>'2027'!G162</f>
        <v>0</v>
      </c>
      <c r="F164" s="100">
        <f>'2027'!H162</f>
        <v>0</v>
      </c>
      <c r="G164" s="101">
        <f t="shared" si="24"/>
        <v>13</v>
      </c>
      <c r="H164" s="100">
        <f>'2027'!V162</f>
        <v>13</v>
      </c>
      <c r="I164" s="101">
        <f t="shared" si="25"/>
        <v>0</v>
      </c>
      <c r="J164" s="102">
        <f t="shared" si="26"/>
        <v>0</v>
      </c>
      <c r="K164" s="94"/>
    </row>
    <row r="165" spans="1:11" s="85" customFormat="1" x14ac:dyDescent="0.35">
      <c r="A165" s="98" t="str">
        <f>'2027'!B163</f>
        <v>Fintech</v>
      </c>
      <c r="B165" s="99" t="str">
        <f>'2027'!C163</f>
        <v>Fintech Analitika və Aİ ekspert mərkəzi</v>
      </c>
      <c r="C165" s="99" t="str">
        <f>'2027'!D163</f>
        <v>#</v>
      </c>
      <c r="D165" s="100">
        <f>'2027'!F163</f>
        <v>1</v>
      </c>
      <c r="E165" s="100">
        <f>'2027'!G163</f>
        <v>0</v>
      </c>
      <c r="F165" s="100">
        <f>'2027'!H163</f>
        <v>0</v>
      </c>
      <c r="G165" s="101">
        <f t="shared" si="24"/>
        <v>1</v>
      </c>
      <c r="H165" s="100">
        <f>'2027'!V163</f>
        <v>1</v>
      </c>
      <c r="I165" s="101">
        <f t="shared" si="25"/>
        <v>0</v>
      </c>
      <c r="J165" s="102">
        <f t="shared" si="26"/>
        <v>0</v>
      </c>
      <c r="K165" s="94"/>
    </row>
    <row r="166" spans="1:11" s="85" customFormat="1" x14ac:dyDescent="0.35">
      <c r="A166" s="98" t="str">
        <f>'2027'!B164</f>
        <v>Fintech</v>
      </c>
      <c r="B166" s="99" t="str">
        <f>'2027'!C164</f>
        <v>Fintech Analitika və Aİ ekspert mərkəzi</v>
      </c>
      <c r="C166" s="99" t="str">
        <f>'2027'!D164</f>
        <v>Aİ chapter</v>
      </c>
      <c r="D166" s="100">
        <f>'2027'!F164</f>
        <v>16</v>
      </c>
      <c r="E166" s="100">
        <f>'2027'!G164</f>
        <v>0</v>
      </c>
      <c r="F166" s="100">
        <f>'2027'!H164</f>
        <v>0</v>
      </c>
      <c r="G166" s="101">
        <f t="shared" si="24"/>
        <v>16</v>
      </c>
      <c r="H166" s="100">
        <f>'2027'!V164</f>
        <v>16</v>
      </c>
      <c r="I166" s="101">
        <f t="shared" si="25"/>
        <v>0</v>
      </c>
      <c r="J166" s="102">
        <f t="shared" si="26"/>
        <v>0</v>
      </c>
      <c r="K166" s="94"/>
    </row>
    <row r="167" spans="1:11" s="85" customFormat="1" x14ac:dyDescent="0.35">
      <c r="A167" s="98" t="str">
        <f>'2027'!B165</f>
        <v>Fintech</v>
      </c>
      <c r="B167" s="99" t="str">
        <f>'2027'!C165</f>
        <v>FinTech arxitektura və İT idarəetmə prosesi</v>
      </c>
      <c r="C167" s="99" t="str">
        <f>'2027'!D165</f>
        <v>#</v>
      </c>
      <c r="D167" s="100">
        <f>'2027'!F165</f>
        <v>3</v>
      </c>
      <c r="E167" s="100">
        <f>'2027'!G165</f>
        <v>0</v>
      </c>
      <c r="F167" s="100">
        <f>'2027'!H165</f>
        <v>2</v>
      </c>
      <c r="G167" s="101">
        <f t="shared" si="24"/>
        <v>5</v>
      </c>
      <c r="H167" s="100">
        <f>'2027'!V165</f>
        <v>5</v>
      </c>
      <c r="I167" s="101">
        <f t="shared" si="25"/>
        <v>2</v>
      </c>
      <c r="J167" s="102">
        <f t="shared" si="26"/>
        <v>0.66666666666666663</v>
      </c>
      <c r="K167" s="94"/>
    </row>
    <row r="168" spans="1:11" s="85" customFormat="1" x14ac:dyDescent="0.35">
      <c r="A168" s="98" t="str">
        <f>'2027'!B166</f>
        <v>Fintech</v>
      </c>
      <c r="B168" s="99" t="str">
        <f>'2027'!C166</f>
        <v>FinTech mühəndislik ekspert mərkəzi</v>
      </c>
      <c r="C168" s="99" t="str">
        <f>'2027'!D166</f>
        <v>#</v>
      </c>
      <c r="D168" s="100">
        <f>'2027'!F166</f>
        <v>1</v>
      </c>
      <c r="E168" s="100">
        <f>'2027'!G166</f>
        <v>0</v>
      </c>
      <c r="F168" s="100">
        <f>'2027'!H166</f>
        <v>0</v>
      </c>
      <c r="G168" s="101">
        <f t="shared" si="24"/>
        <v>1</v>
      </c>
      <c r="H168" s="100">
        <f>'2027'!V166</f>
        <v>1</v>
      </c>
      <c r="I168" s="101">
        <f t="shared" si="25"/>
        <v>0</v>
      </c>
      <c r="J168" s="102">
        <f t="shared" si="26"/>
        <v>0</v>
      </c>
      <c r="K168" s="94"/>
    </row>
    <row r="169" spans="1:11" s="85" customFormat="1" x14ac:dyDescent="0.35">
      <c r="A169" s="98" t="str">
        <f>'2027'!B167</f>
        <v>Fintech</v>
      </c>
      <c r="B169" s="99" t="str">
        <f>'2027'!C167</f>
        <v>FinTech mühəndislik ekspert mərkəzi</v>
      </c>
      <c r="C169" s="99" t="str">
        <f>'2027'!D167</f>
        <v>İT BA chapter</v>
      </c>
      <c r="D169" s="100">
        <f>'2027'!F167</f>
        <v>5</v>
      </c>
      <c r="E169" s="100">
        <f>'2027'!G167</f>
        <v>0</v>
      </c>
      <c r="F169" s="100">
        <f>'2027'!H167</f>
        <v>0</v>
      </c>
      <c r="G169" s="101">
        <f t="shared" si="24"/>
        <v>5</v>
      </c>
      <c r="H169" s="100">
        <f>'2027'!V167</f>
        <v>5</v>
      </c>
      <c r="I169" s="101">
        <f t="shared" si="25"/>
        <v>0</v>
      </c>
      <c r="J169" s="102">
        <f t="shared" si="26"/>
        <v>0</v>
      </c>
      <c r="K169" s="94"/>
    </row>
    <row r="170" spans="1:11" s="85" customFormat="1" x14ac:dyDescent="0.35">
      <c r="A170" s="98" t="str">
        <f>'2027'!B168</f>
        <v>Fintech</v>
      </c>
      <c r="B170" s="99" t="str">
        <f>'2027'!C168</f>
        <v>FinTech mühəndislik ekspert mərkəzi</v>
      </c>
      <c r="C170" s="99" t="str">
        <f>'2027'!D168</f>
        <v>Softvvare chapter</v>
      </c>
      <c r="D170" s="100">
        <f>'2027'!F168</f>
        <v>7</v>
      </c>
      <c r="E170" s="100">
        <f>'2027'!G168</f>
        <v>0</v>
      </c>
      <c r="F170" s="100">
        <f>'2027'!H168</f>
        <v>0</v>
      </c>
      <c r="G170" s="101">
        <f t="shared" si="24"/>
        <v>7</v>
      </c>
      <c r="H170" s="100">
        <f>'2027'!V168</f>
        <v>7</v>
      </c>
      <c r="I170" s="101">
        <f t="shared" si="25"/>
        <v>0</v>
      </c>
      <c r="J170" s="102">
        <f t="shared" si="26"/>
        <v>0</v>
      </c>
      <c r="K170" s="94"/>
    </row>
    <row r="171" spans="1:11" s="85" customFormat="1" x14ac:dyDescent="0.35">
      <c r="A171" s="98" t="str">
        <f>'2027'!B169</f>
        <v>Fintech</v>
      </c>
      <c r="B171" s="99" t="str">
        <f>'2027'!C169</f>
        <v>FinTech mühəndislik ekspert mərkəzi</v>
      </c>
      <c r="C171" s="99" t="str">
        <f>'2027'!D169</f>
        <v>QA chapter</v>
      </c>
      <c r="D171" s="100">
        <f>'2027'!F169</f>
        <v>6</v>
      </c>
      <c r="E171" s="100">
        <f>'2027'!G169</f>
        <v>0</v>
      </c>
      <c r="F171" s="100">
        <f>'2027'!H169</f>
        <v>0</v>
      </c>
      <c r="G171" s="101">
        <f t="shared" si="24"/>
        <v>6</v>
      </c>
      <c r="H171" s="100">
        <f>'2027'!V169</f>
        <v>6</v>
      </c>
      <c r="I171" s="101">
        <f t="shared" si="25"/>
        <v>0</v>
      </c>
      <c r="J171" s="102">
        <f t="shared" si="26"/>
        <v>0</v>
      </c>
      <c r="K171" s="94"/>
    </row>
    <row r="172" spans="1:11" s="85" customFormat="1" x14ac:dyDescent="0.35">
      <c r="A172" s="98" t="str">
        <f>'2027'!B170</f>
        <v>Fintech</v>
      </c>
      <c r="B172" s="99" t="str">
        <f>'2027'!C170</f>
        <v>FinTech platformalar sahəsi</v>
      </c>
      <c r="C172" s="99" t="str">
        <f>'2027'!D170</f>
        <v>BPM</v>
      </c>
      <c r="D172" s="100">
        <f>'2027'!F170</f>
        <v>1</v>
      </c>
      <c r="E172" s="100">
        <f>'2027'!G170</f>
        <v>0</v>
      </c>
      <c r="F172" s="100">
        <f>'2027'!H170</f>
        <v>0</v>
      </c>
      <c r="G172" s="101">
        <f t="shared" si="24"/>
        <v>1</v>
      </c>
      <c r="H172" s="100">
        <f>'2027'!V170</f>
        <v>1</v>
      </c>
      <c r="I172" s="101">
        <f t="shared" si="25"/>
        <v>0</v>
      </c>
      <c r="J172" s="102">
        <f t="shared" si="26"/>
        <v>0</v>
      </c>
      <c r="K172" s="94"/>
    </row>
    <row r="173" spans="1:11" s="85" customFormat="1" x14ac:dyDescent="0.35">
      <c r="A173" s="98" t="str">
        <f>'2027'!B171</f>
        <v>Fintech</v>
      </c>
      <c r="B173" s="99" t="str">
        <f>'2027'!C171</f>
        <v>FinTech platformalar sahəsi</v>
      </c>
      <c r="C173" s="99" t="str">
        <f>'2027'!D171</f>
        <v>ZEUS</v>
      </c>
      <c r="D173" s="100">
        <f>'2027'!F171</f>
        <v>1</v>
      </c>
      <c r="E173" s="100">
        <f>'2027'!G171</f>
        <v>0</v>
      </c>
      <c r="F173" s="100">
        <f>'2027'!H171</f>
        <v>0</v>
      </c>
      <c r="G173" s="101">
        <f t="shared" si="24"/>
        <v>1</v>
      </c>
      <c r="H173" s="100">
        <f>'2027'!V171</f>
        <v>1</v>
      </c>
      <c r="I173" s="101">
        <f t="shared" si="25"/>
        <v>0</v>
      </c>
      <c r="J173" s="102">
        <f t="shared" si="26"/>
        <v>0</v>
      </c>
      <c r="K173" s="94"/>
    </row>
    <row r="174" spans="1:11" s="85" customFormat="1" x14ac:dyDescent="0.35">
      <c r="A174" s="98" t="str">
        <f>'2027'!B172</f>
        <v>Fintech</v>
      </c>
      <c r="B174" s="99" t="str">
        <f>'2027'!C172</f>
        <v>FinTech TechOps funksional sahəsi</v>
      </c>
      <c r="C174" s="99" t="str">
        <f>'2027'!D172</f>
        <v>#</v>
      </c>
      <c r="D174" s="100">
        <f>'2027'!F172</f>
        <v>14</v>
      </c>
      <c r="E174" s="100">
        <f>'2027'!G172</f>
        <v>0</v>
      </c>
      <c r="F174" s="100">
        <f>'2027'!H172</f>
        <v>5</v>
      </c>
      <c r="G174" s="101">
        <f t="shared" si="24"/>
        <v>19</v>
      </c>
      <c r="H174" s="100">
        <f>'2027'!V172</f>
        <v>19</v>
      </c>
      <c r="I174" s="101">
        <f t="shared" si="25"/>
        <v>5</v>
      </c>
      <c r="J174" s="102">
        <f t="shared" si="26"/>
        <v>0.35714285714285715</v>
      </c>
      <c r="K174" s="94"/>
    </row>
    <row r="175" spans="1:11" s="85" customFormat="1" x14ac:dyDescent="0.35">
      <c r="A175" s="98" t="str">
        <f>'2027'!B173</f>
        <v>Fintech</v>
      </c>
      <c r="B175" s="99" t="str">
        <f>'2027'!C173</f>
        <v>İstedadların idarə edilməsi departamenti</v>
      </c>
      <c r="C175" s="99" t="str">
        <f>'2027'!D173</f>
        <v>Performansın idarə edilməsi və işçi bağlılığı şöbəsi</v>
      </c>
      <c r="D175" s="100">
        <f>'2027'!F173</f>
        <v>9</v>
      </c>
      <c r="E175" s="100">
        <f>'2027'!G173</f>
        <v>0</v>
      </c>
      <c r="F175" s="100">
        <f>'2027'!H173</f>
        <v>0</v>
      </c>
      <c r="G175" s="101">
        <f t="shared" si="24"/>
        <v>9</v>
      </c>
      <c r="H175" s="100">
        <f>'2027'!V173</f>
        <v>9</v>
      </c>
      <c r="I175" s="101">
        <f t="shared" si="25"/>
        <v>0</v>
      </c>
      <c r="J175" s="102">
        <f t="shared" si="26"/>
        <v>0</v>
      </c>
      <c r="K175" s="94"/>
    </row>
    <row r="176" spans="1:11" s="85" customFormat="1" x14ac:dyDescent="0.35">
      <c r="A176" s="98" t="str">
        <f>'2027'!B174</f>
        <v>Fintech</v>
      </c>
      <c r="B176" s="99" t="str">
        <f>'2027'!C174</f>
        <v>İstedadların idarə edilməsi departamenti</v>
      </c>
      <c r="C176" s="99" t="str">
        <f>'2027'!D174</f>
        <v>İstedadların cəlbi və biznes partnyorluq şöbəsi</v>
      </c>
      <c r="D176" s="100">
        <f>'2027'!F174</f>
        <v>12</v>
      </c>
      <c r="E176" s="100">
        <f>'2027'!G174</f>
        <v>0</v>
      </c>
      <c r="F176" s="100">
        <f>'2027'!H174</f>
        <v>0</v>
      </c>
      <c r="G176" s="101">
        <f t="shared" si="24"/>
        <v>12</v>
      </c>
      <c r="H176" s="100">
        <f>'2027'!V174</f>
        <v>12</v>
      </c>
      <c r="I176" s="101">
        <f t="shared" si="25"/>
        <v>0</v>
      </c>
      <c r="J176" s="102">
        <f t="shared" si="26"/>
        <v>0</v>
      </c>
      <c r="K176" s="94"/>
    </row>
    <row r="177" spans="1:11" s="85" customFormat="1" x14ac:dyDescent="0.35">
      <c r="A177" s="98" t="str">
        <f>'2027'!B175</f>
        <v>Fintech</v>
      </c>
      <c r="B177" s="99" t="str">
        <f>'2027'!C175</f>
        <v>Kiçik və orta sahibkarlarla iş departamenti</v>
      </c>
      <c r="C177" s="99" t="str">
        <f>'2027'!D175</f>
        <v>Alternativ satış kanalları şöbəsi</v>
      </c>
      <c r="D177" s="100">
        <f>'2027'!F175</f>
        <v>17</v>
      </c>
      <c r="E177" s="100">
        <f>'2027'!G175</f>
        <v>0</v>
      </c>
      <c r="F177" s="100">
        <f>'2027'!H175</f>
        <v>0</v>
      </c>
      <c r="G177" s="101">
        <f t="shared" ref="G177:G208" si="27">SUM(D177:F177)</f>
        <v>17</v>
      </c>
      <c r="H177" s="100">
        <f>'2027'!V175</f>
        <v>15</v>
      </c>
      <c r="I177" s="101">
        <f t="shared" ref="I177:I208" si="28">H177-D177</f>
        <v>-2</v>
      </c>
      <c r="J177" s="102">
        <f t="shared" ref="J177:J208" si="29">IF(D177=0,0,I177/D177)</f>
        <v>-0.11764705882352941</v>
      </c>
      <c r="K177" s="94"/>
    </row>
    <row r="178" spans="1:11" s="85" customFormat="1" x14ac:dyDescent="0.35">
      <c r="A178" s="98" t="str">
        <f>'2027'!B176</f>
        <v>Fintech</v>
      </c>
      <c r="B178" s="99" t="str">
        <f>'2027'!C176</f>
        <v>Kiçik və orta sahibkarlarla iş departamenti</v>
      </c>
      <c r="C178" s="99" t="str">
        <f>'2027'!D176</f>
        <v>Lizinq və fondlarla iş şöbəsi</v>
      </c>
      <c r="D178" s="100">
        <f>'2027'!F176</f>
        <v>16</v>
      </c>
      <c r="E178" s="100">
        <f>'2027'!G176</f>
        <v>0</v>
      </c>
      <c r="F178" s="100">
        <f>'2027'!H176</f>
        <v>0</v>
      </c>
      <c r="G178" s="101">
        <f t="shared" si="27"/>
        <v>16</v>
      </c>
      <c r="H178" s="100">
        <f>'2027'!V176</f>
        <v>15</v>
      </c>
      <c r="I178" s="101">
        <f t="shared" si="28"/>
        <v>-1</v>
      </c>
      <c r="J178" s="102">
        <f t="shared" si="29"/>
        <v>-6.25E-2</v>
      </c>
      <c r="K178" s="94"/>
    </row>
    <row r="179" spans="1:11" s="85" customFormat="1" x14ac:dyDescent="0.35">
      <c r="A179" s="98" t="str">
        <f>'2027'!B177</f>
        <v>Fintech</v>
      </c>
      <c r="B179" s="99" t="str">
        <f>'2027'!C177</f>
        <v>Kiçik və orta sahibkarlarla iş departamenti</v>
      </c>
      <c r="C179" s="99" t="str">
        <f>'2027'!D177</f>
        <v>KOS satışlar şöbəsi</v>
      </c>
      <c r="D179" s="100">
        <f>'2027'!F177</f>
        <v>55</v>
      </c>
      <c r="E179" s="100">
        <f>'2027'!G177</f>
        <v>0</v>
      </c>
      <c r="F179" s="100">
        <f>'2027'!H177</f>
        <v>6</v>
      </c>
      <c r="G179" s="101">
        <f t="shared" si="27"/>
        <v>61</v>
      </c>
      <c r="H179" s="100">
        <f>'2027'!V177</f>
        <v>61</v>
      </c>
      <c r="I179" s="101">
        <f t="shared" si="28"/>
        <v>6</v>
      </c>
      <c r="J179" s="102">
        <f t="shared" si="29"/>
        <v>0.10909090909090909</v>
      </c>
      <c r="K179" s="94"/>
    </row>
    <row r="180" spans="1:11" s="85" customFormat="1" x14ac:dyDescent="0.35">
      <c r="A180" s="98" t="str">
        <f>'2027'!B178</f>
        <v>Fintech</v>
      </c>
      <c r="B180" s="99" t="str">
        <f>'2027'!C178</f>
        <v>Korporativ satışlar departamenti</v>
      </c>
      <c r="C180" s="99" t="str">
        <f>'2027'!D178</f>
        <v>Qeyri-kredit məhsullarının satışı şöbəsi</v>
      </c>
      <c r="D180" s="100">
        <f>'2027'!F178</f>
        <v>10</v>
      </c>
      <c r="E180" s="100">
        <f>'2027'!G178</f>
        <v>0</v>
      </c>
      <c r="F180" s="100">
        <f>'2027'!H178</f>
        <v>1</v>
      </c>
      <c r="G180" s="101">
        <f t="shared" si="27"/>
        <v>11</v>
      </c>
      <c r="H180" s="100">
        <f>'2027'!V178</f>
        <v>11</v>
      </c>
      <c r="I180" s="101">
        <f t="shared" si="28"/>
        <v>1</v>
      </c>
      <c r="J180" s="102">
        <f t="shared" si="29"/>
        <v>0.1</v>
      </c>
      <c r="K180" s="94"/>
    </row>
    <row r="181" spans="1:11" s="85" customFormat="1" x14ac:dyDescent="0.35">
      <c r="A181" s="98" t="str">
        <f>'2027'!B179</f>
        <v>Fintech</v>
      </c>
      <c r="B181" s="99" t="str">
        <f>'2027'!C179</f>
        <v>Korporativ satışlar departamenti</v>
      </c>
      <c r="C181" s="99" t="str">
        <f>'2027'!D179</f>
        <v>Müştərilərlə iş şöbəsi</v>
      </c>
      <c r="D181" s="100">
        <f>'2027'!F179</f>
        <v>12</v>
      </c>
      <c r="E181" s="100">
        <f>'2027'!G179</f>
        <v>0</v>
      </c>
      <c r="F181" s="100">
        <f>'2027'!H179</f>
        <v>4</v>
      </c>
      <c r="G181" s="101">
        <f t="shared" si="27"/>
        <v>16</v>
      </c>
      <c r="H181" s="100">
        <f>'2027'!V179</f>
        <v>16</v>
      </c>
      <c r="I181" s="101">
        <f t="shared" si="28"/>
        <v>4</v>
      </c>
      <c r="J181" s="102">
        <f t="shared" si="29"/>
        <v>0.33333333333333331</v>
      </c>
      <c r="K181" s="94"/>
    </row>
    <row r="182" spans="1:11" s="85" customFormat="1" x14ac:dyDescent="0.35">
      <c r="A182" s="98" t="str">
        <f>'2027'!B180</f>
        <v>Fintech</v>
      </c>
      <c r="B182" s="99" t="str">
        <f>'2027'!C180</f>
        <v>Kredit portfelinə nəzarət departamenti</v>
      </c>
      <c r="C182" s="99" t="str">
        <f>'2027'!D180</f>
        <v>Təqib Strategiyalarının idarə edilməsi və analitikası şöbəsi</v>
      </c>
      <c r="D182" s="100">
        <f>'2027'!F180</f>
        <v>3</v>
      </c>
      <c r="E182" s="100">
        <f>'2027'!G180</f>
        <v>0</v>
      </c>
      <c r="F182" s="100">
        <f>'2027'!H180</f>
        <v>2</v>
      </c>
      <c r="G182" s="101">
        <f t="shared" si="27"/>
        <v>5</v>
      </c>
      <c r="H182" s="100">
        <f>'2027'!V180</f>
        <v>5</v>
      </c>
      <c r="I182" s="101">
        <f t="shared" si="28"/>
        <v>2</v>
      </c>
      <c r="J182" s="102">
        <f t="shared" si="29"/>
        <v>0.66666666666666663</v>
      </c>
      <c r="K182" s="94"/>
    </row>
    <row r="183" spans="1:11" s="85" customFormat="1" x14ac:dyDescent="0.35">
      <c r="A183" s="98" t="str">
        <f>'2027'!B181</f>
        <v>Fintech</v>
      </c>
      <c r="B183" s="99" t="str">
        <f>'2027'!C181</f>
        <v>Kredit portfelinə nəzarət departamenti</v>
      </c>
      <c r="C183" s="99" t="str">
        <f>'2027'!D181</f>
        <v>Biznes kreditlərinin monitorinqi şöbəsi</v>
      </c>
      <c r="D183" s="100">
        <f>'2027'!F181</f>
        <v>18</v>
      </c>
      <c r="E183" s="100">
        <f>'2027'!G181</f>
        <v>0</v>
      </c>
      <c r="F183" s="100">
        <f>'2027'!H181</f>
        <v>1</v>
      </c>
      <c r="G183" s="101">
        <f t="shared" si="27"/>
        <v>19</v>
      </c>
      <c r="H183" s="100">
        <f>'2027'!V181</f>
        <v>19</v>
      </c>
      <c r="I183" s="101">
        <f t="shared" si="28"/>
        <v>1</v>
      </c>
      <c r="J183" s="102">
        <f t="shared" si="29"/>
        <v>5.5555555555555552E-2</v>
      </c>
      <c r="K183" s="94"/>
    </row>
    <row r="184" spans="1:11" s="85" customFormat="1" x14ac:dyDescent="0.35">
      <c r="A184" s="98" t="str">
        <f>'2027'!B182</f>
        <v>Fintech</v>
      </c>
      <c r="B184" s="99" t="str">
        <f>'2027'!C182</f>
        <v>Kredit portfelinə nəzarət departamenti</v>
      </c>
      <c r="C184" s="99" t="str">
        <f>'2027'!D182</f>
        <v>Kreditləşmə şərtlərinə nəzarət şöbəsi</v>
      </c>
      <c r="D184" s="100">
        <f>'2027'!F182</f>
        <v>7</v>
      </c>
      <c r="E184" s="100">
        <f>'2027'!G182</f>
        <v>0</v>
      </c>
      <c r="F184" s="100">
        <f>'2027'!H182</f>
        <v>1</v>
      </c>
      <c r="G184" s="101">
        <f t="shared" si="27"/>
        <v>8</v>
      </c>
      <c r="H184" s="100">
        <f>'2027'!V182</f>
        <v>8</v>
      </c>
      <c r="I184" s="101">
        <f t="shared" si="28"/>
        <v>1</v>
      </c>
      <c r="J184" s="102">
        <f t="shared" si="29"/>
        <v>0.14285714285714285</v>
      </c>
      <c r="K184" s="94"/>
    </row>
    <row r="185" spans="1:11" s="85" customFormat="1" x14ac:dyDescent="0.35">
      <c r="A185" s="98" t="str">
        <f>'2027'!B183</f>
        <v>Fintech</v>
      </c>
      <c r="B185" s="99" t="str">
        <f>'2027'!C183</f>
        <v>Kredit portfelinə nəzarət departamenti</v>
      </c>
      <c r="C185" s="99" t="str">
        <f>'2027'!D183</f>
        <v>Collection process engineering</v>
      </c>
      <c r="D185" s="100">
        <f>'2027'!F183</f>
        <v>0</v>
      </c>
      <c r="E185" s="100">
        <f>'2027'!G183</f>
        <v>0</v>
      </c>
      <c r="F185" s="100">
        <f>'2027'!H183</f>
        <v>1</v>
      </c>
      <c r="G185" s="101">
        <f t="shared" si="27"/>
        <v>1</v>
      </c>
      <c r="H185" s="100">
        <f>'2027'!V183</f>
        <v>1</v>
      </c>
      <c r="I185" s="101">
        <f t="shared" si="28"/>
        <v>1</v>
      </c>
      <c r="J185" s="102">
        <f t="shared" si="29"/>
        <v>0</v>
      </c>
      <c r="K185" s="94"/>
    </row>
    <row r="186" spans="1:11" s="85" customFormat="1" x14ac:dyDescent="0.35">
      <c r="A186" s="98" t="str">
        <f>'2027'!B184</f>
        <v>Fintech</v>
      </c>
      <c r="B186" s="99" t="str">
        <f>'2027'!C184</f>
        <v>Kredit risklərinin təhlili departamenti</v>
      </c>
      <c r="C186" s="99" t="str">
        <f>'2027'!D184</f>
        <v>Girovlarla iş və qiymətləndirmə prosesinə nəzarət şöbəsi</v>
      </c>
      <c r="D186" s="100">
        <f>'2027'!F184</f>
        <v>9</v>
      </c>
      <c r="E186" s="100">
        <f>'2027'!G184</f>
        <v>0</v>
      </c>
      <c r="F186" s="100">
        <f>'2027'!H184</f>
        <v>0</v>
      </c>
      <c r="G186" s="101">
        <f t="shared" si="27"/>
        <v>9</v>
      </c>
      <c r="H186" s="100">
        <f>'2027'!V184</f>
        <v>8</v>
      </c>
      <c r="I186" s="101">
        <f t="shared" si="28"/>
        <v>-1</v>
      </c>
      <c r="J186" s="102">
        <f t="shared" si="29"/>
        <v>-0.1111111111111111</v>
      </c>
      <c r="K186" s="94"/>
    </row>
    <row r="187" spans="1:11" s="85" customFormat="1" x14ac:dyDescent="0.35">
      <c r="A187" s="98" t="str">
        <f>'2027'!B185</f>
        <v>Fintech</v>
      </c>
      <c r="B187" s="99" t="str">
        <f>'2027'!C185</f>
        <v>Kredit risklərinin təhlili departamenti</v>
      </c>
      <c r="C187" s="99" t="str">
        <f>'2027'!D185</f>
        <v>Pərakəndə və ipoteka kredit risklərinin təhlili şöbəsi</v>
      </c>
      <c r="D187" s="100">
        <f>'2027'!F185</f>
        <v>19</v>
      </c>
      <c r="E187" s="100">
        <f>'2027'!G185</f>
        <v>0</v>
      </c>
      <c r="F187" s="100">
        <f>'2027'!H185</f>
        <v>0</v>
      </c>
      <c r="G187" s="101">
        <f t="shared" si="27"/>
        <v>19</v>
      </c>
      <c r="H187" s="100">
        <f>'2027'!V185</f>
        <v>17</v>
      </c>
      <c r="I187" s="101">
        <f t="shared" si="28"/>
        <v>-2</v>
      </c>
      <c r="J187" s="102">
        <f t="shared" si="29"/>
        <v>-0.10526315789473684</v>
      </c>
      <c r="K187" s="94"/>
    </row>
    <row r="188" spans="1:11" s="85" customFormat="1" x14ac:dyDescent="0.35">
      <c r="A188" s="98" t="str">
        <f>'2027'!B186</f>
        <v>Fintech</v>
      </c>
      <c r="B188" s="99" t="str">
        <f>'2027'!C186</f>
        <v>Kredit risklərinin təhlili departamenti</v>
      </c>
      <c r="C188" s="99" t="str">
        <f>'2027'!D186</f>
        <v>Korporativ kredit risklərinin təhlili şöbəsi</v>
      </c>
      <c r="D188" s="100">
        <f>'2027'!F186</f>
        <v>11</v>
      </c>
      <c r="E188" s="100">
        <f>'2027'!G186</f>
        <v>0</v>
      </c>
      <c r="F188" s="100">
        <f>'2027'!H186</f>
        <v>2</v>
      </c>
      <c r="G188" s="101">
        <f t="shared" si="27"/>
        <v>13</v>
      </c>
      <c r="H188" s="100">
        <f>'2027'!V186</f>
        <v>13</v>
      </c>
      <c r="I188" s="101">
        <f t="shared" si="28"/>
        <v>2</v>
      </c>
      <c r="J188" s="102">
        <f t="shared" si="29"/>
        <v>0.18181818181818182</v>
      </c>
      <c r="K188" s="94"/>
    </row>
    <row r="189" spans="1:11" s="85" customFormat="1" x14ac:dyDescent="0.35">
      <c r="A189" s="98" t="str">
        <f>'2027'!B187</f>
        <v>Fintech</v>
      </c>
      <c r="B189" s="99" t="str">
        <f>'2027'!C187</f>
        <v>Kredit risklərinin təhlili departamenti</v>
      </c>
      <c r="C189" s="99" t="str">
        <f>'2027'!D187</f>
        <v>KOS kredit risklərin təhlili şöbəsi</v>
      </c>
      <c r="D189" s="100">
        <f>'2027'!F187</f>
        <v>30</v>
      </c>
      <c r="E189" s="100">
        <f>'2027'!G187</f>
        <v>0</v>
      </c>
      <c r="F189" s="100">
        <f>'2027'!H187</f>
        <v>0</v>
      </c>
      <c r="G189" s="101">
        <f t="shared" si="27"/>
        <v>30</v>
      </c>
      <c r="H189" s="100">
        <f>'2027'!V187</f>
        <v>28</v>
      </c>
      <c r="I189" s="101">
        <f t="shared" si="28"/>
        <v>-2</v>
      </c>
      <c r="J189" s="102">
        <f t="shared" si="29"/>
        <v>-6.6666666666666666E-2</v>
      </c>
      <c r="K189" s="94"/>
    </row>
    <row r="190" spans="1:11" s="85" customFormat="1" x14ac:dyDescent="0.35">
      <c r="A190" s="98" t="str">
        <f>'2027'!B188</f>
        <v>Fintech</v>
      </c>
      <c r="B190" s="99" t="str">
        <f>'2027'!C188</f>
        <v>Kredit risklərinin təhlili departamenti</v>
      </c>
      <c r="C190" s="99" t="str">
        <f>'2027'!D188</f>
        <v>Kredit inzibatçılığına nəzarət şöbəsi</v>
      </c>
      <c r="D190" s="100">
        <f>'2027'!F188</f>
        <v>17</v>
      </c>
      <c r="E190" s="100">
        <f>'2027'!G188</f>
        <v>0</v>
      </c>
      <c r="F190" s="100">
        <f>'2027'!H188</f>
        <v>0</v>
      </c>
      <c r="G190" s="101">
        <f t="shared" si="27"/>
        <v>17</v>
      </c>
      <c r="H190" s="100">
        <f>'2027'!V188</f>
        <v>16</v>
      </c>
      <c r="I190" s="101">
        <f t="shared" si="28"/>
        <v>-1</v>
      </c>
      <c r="J190" s="102">
        <f t="shared" si="29"/>
        <v>-5.8823529411764705E-2</v>
      </c>
      <c r="K190" s="94"/>
    </row>
    <row r="191" spans="1:11" s="85" customFormat="1" x14ac:dyDescent="0.35">
      <c r="A191" s="98" t="str">
        <f>'2027'!B189</f>
        <v>Fintech</v>
      </c>
      <c r="B191" s="99" t="str">
        <f>'2027'!C189</f>
        <v>Kredit risklərinin təhlili departamenti</v>
      </c>
      <c r="C191" s="99" t="str">
        <f>'2027'!D189</f>
        <v>Qarantiya və rəqəmsal kredit risklərinin təhlili şöbəsi</v>
      </c>
      <c r="D191" s="100">
        <f>'2027'!F189</f>
        <v>12</v>
      </c>
      <c r="E191" s="100">
        <f>'2027'!G189</f>
        <v>0</v>
      </c>
      <c r="F191" s="100">
        <f>'2027'!H189</f>
        <v>0</v>
      </c>
      <c r="G191" s="101">
        <f t="shared" si="27"/>
        <v>12</v>
      </c>
      <c r="H191" s="100">
        <f>'2027'!V189</f>
        <v>11</v>
      </c>
      <c r="I191" s="101">
        <f t="shared" si="28"/>
        <v>-1</v>
      </c>
      <c r="J191" s="102">
        <f t="shared" si="29"/>
        <v>-8.3333333333333329E-2</v>
      </c>
      <c r="K191" s="94"/>
    </row>
    <row r="192" spans="1:11" s="85" customFormat="1" x14ac:dyDescent="0.35">
      <c r="A192" s="98" t="str">
        <f>'2027'!B190</f>
        <v>Fintech</v>
      </c>
      <c r="B192" s="99" t="str">
        <f>'2027'!C190</f>
        <v>Kredit risklərinin təhlili departamenti</v>
      </c>
      <c r="C192" s="99" t="str">
        <f>'2027'!D190</f>
        <v>Mikro kredit və lizinq risklərinin təhlili şöbəsi</v>
      </c>
      <c r="D192" s="100">
        <f>'2027'!F190</f>
        <v>6</v>
      </c>
      <c r="E192" s="100">
        <f>'2027'!G190</f>
        <v>0</v>
      </c>
      <c r="F192" s="100">
        <f>'2027'!H190</f>
        <v>0</v>
      </c>
      <c r="G192" s="101">
        <f t="shared" si="27"/>
        <v>6</v>
      </c>
      <c r="H192" s="100">
        <f>'2027'!V190</f>
        <v>6</v>
      </c>
      <c r="I192" s="101">
        <f t="shared" si="28"/>
        <v>0</v>
      </c>
      <c r="J192" s="102">
        <f t="shared" si="29"/>
        <v>0</v>
      </c>
      <c r="K192" s="94"/>
    </row>
    <row r="193" spans="1:11" s="85" customFormat="1" x14ac:dyDescent="0.35">
      <c r="A193" s="98" t="str">
        <f>'2027'!B191</f>
        <v>Fintech</v>
      </c>
      <c r="B193" s="99" t="str">
        <f>'2027'!C191</f>
        <v>Kreditlərin hüquqi təqibi departamenti</v>
      </c>
      <c r="C193" s="99" t="str">
        <f>'2027'!D191</f>
        <v>İcra orqanları ilə iş şöbəsi</v>
      </c>
      <c r="D193" s="100">
        <f>'2027'!F191</f>
        <v>43</v>
      </c>
      <c r="E193" s="100">
        <f>'2027'!G191</f>
        <v>0</v>
      </c>
      <c r="F193" s="100">
        <f>'2027'!H191</f>
        <v>11</v>
      </c>
      <c r="G193" s="101">
        <f t="shared" si="27"/>
        <v>54</v>
      </c>
      <c r="H193" s="100">
        <f>'2027'!V191</f>
        <v>54</v>
      </c>
      <c r="I193" s="101">
        <f t="shared" si="28"/>
        <v>11</v>
      </c>
      <c r="J193" s="102">
        <f t="shared" si="29"/>
        <v>0.2558139534883721</v>
      </c>
      <c r="K193" s="94"/>
    </row>
    <row r="194" spans="1:11" s="85" customFormat="1" x14ac:dyDescent="0.35">
      <c r="A194" s="98" t="str">
        <f>'2027'!B192</f>
        <v>Fintech</v>
      </c>
      <c r="B194" s="99" t="str">
        <f>'2027'!C192</f>
        <v>Kreditlərin hüquqi təqibi departamenti</v>
      </c>
      <c r="C194" s="99" t="str">
        <f>'2027'!D192</f>
        <v>Korporativ və təminatlı kreditlərlə iş şöbəsi</v>
      </c>
      <c r="D194" s="100">
        <f>'2027'!F192</f>
        <v>6</v>
      </c>
      <c r="E194" s="100">
        <f>'2027'!G192</f>
        <v>0</v>
      </c>
      <c r="F194" s="100">
        <f>'2027'!H192</f>
        <v>0</v>
      </c>
      <c r="G194" s="101">
        <f t="shared" si="27"/>
        <v>6</v>
      </c>
      <c r="H194" s="100">
        <f>'2027'!V192</f>
        <v>6</v>
      </c>
      <c r="I194" s="101">
        <f t="shared" si="28"/>
        <v>0</v>
      </c>
      <c r="J194" s="102">
        <f t="shared" si="29"/>
        <v>0</v>
      </c>
      <c r="K194" s="94"/>
    </row>
    <row r="195" spans="1:11" s="85" customFormat="1" x14ac:dyDescent="0.35">
      <c r="A195" s="98" t="str">
        <f>'2027'!B193</f>
        <v>Fintech</v>
      </c>
      <c r="B195" s="99" t="str">
        <f>'2027'!C193</f>
        <v>Kreditlərin hüquqi təqibi departamenti</v>
      </c>
      <c r="C195" s="99" t="str">
        <f>'2027'!D193</f>
        <v>Məhkəmələrlə iş şöbəsi</v>
      </c>
      <c r="D195" s="100">
        <f>'2027'!F193</f>
        <v>5</v>
      </c>
      <c r="E195" s="100">
        <f>'2027'!G193</f>
        <v>0</v>
      </c>
      <c r="F195" s="100">
        <f>'2027'!H193</f>
        <v>0</v>
      </c>
      <c r="G195" s="101">
        <f t="shared" si="27"/>
        <v>5</v>
      </c>
      <c r="H195" s="100">
        <f>'2027'!V193</f>
        <v>5</v>
      </c>
      <c r="I195" s="101">
        <f t="shared" si="28"/>
        <v>0</v>
      </c>
      <c r="J195" s="102">
        <f t="shared" si="29"/>
        <v>0</v>
      </c>
      <c r="K195" s="94"/>
    </row>
    <row r="196" spans="1:11" s="85" customFormat="1" x14ac:dyDescent="0.35">
      <c r="A196" s="98" t="str">
        <f>'2027'!B194</f>
        <v>Fintech</v>
      </c>
      <c r="B196" s="99" t="str">
        <f>'2027'!C194</f>
        <v>Kreditlərin hüquqi təqibi departamenti</v>
      </c>
      <c r="C196" s="99" t="str">
        <f>'2027'!D194</f>
        <v>Ümidsiz aktivlərin uçotu və qeydiyyat şöbəsi</v>
      </c>
      <c r="D196" s="100">
        <f>'2027'!F194</f>
        <v>3</v>
      </c>
      <c r="E196" s="100">
        <f>'2027'!G194</f>
        <v>0</v>
      </c>
      <c r="F196" s="100">
        <f>'2027'!H194</f>
        <v>0</v>
      </c>
      <c r="G196" s="101">
        <f t="shared" si="27"/>
        <v>3</v>
      </c>
      <c r="H196" s="100">
        <f>'2027'!V194</f>
        <v>3</v>
      </c>
      <c r="I196" s="101">
        <f t="shared" si="28"/>
        <v>0</v>
      </c>
      <c r="J196" s="102">
        <f t="shared" si="29"/>
        <v>0</v>
      </c>
      <c r="K196" s="94"/>
    </row>
    <row r="197" spans="1:11" s="85" customFormat="1" x14ac:dyDescent="0.35">
      <c r="A197" s="98" t="str">
        <f>'2027'!B195</f>
        <v>Fintech</v>
      </c>
      <c r="B197" s="99" t="str">
        <f>'2027'!C195</f>
        <v>Kreditlərin ilkin təqibi departamenti</v>
      </c>
      <c r="C197" s="99" t="str">
        <f>'2027'!D195</f>
        <v>Digər kreditlər ilə iş şöbəsi</v>
      </c>
      <c r="D197" s="100">
        <f>'2027'!F195</f>
        <v>17</v>
      </c>
      <c r="E197" s="100">
        <f>'2027'!G195</f>
        <v>0</v>
      </c>
      <c r="F197" s="100">
        <f>'2027'!H195</f>
        <v>0</v>
      </c>
      <c r="G197" s="101">
        <f t="shared" si="27"/>
        <v>17</v>
      </c>
      <c r="H197" s="100">
        <f>'2027'!V195</f>
        <v>17</v>
      </c>
      <c r="I197" s="101">
        <f t="shared" si="28"/>
        <v>0</v>
      </c>
      <c r="J197" s="102">
        <f t="shared" si="29"/>
        <v>0</v>
      </c>
      <c r="K197" s="94"/>
    </row>
    <row r="198" spans="1:11" s="85" customFormat="1" x14ac:dyDescent="0.35">
      <c r="A198" s="98" t="str">
        <f>'2027'!B196</f>
        <v>Fintech</v>
      </c>
      <c r="B198" s="99" t="str">
        <f>'2027'!C196</f>
        <v>Kreditlərin ilkin təqibi departamenti</v>
      </c>
      <c r="C198" s="99" t="str">
        <f>'2027'!D196</f>
        <v>İntensiv təqib şöbəsi</v>
      </c>
      <c r="D198" s="100">
        <f>'2027'!F196</f>
        <v>70</v>
      </c>
      <c r="E198" s="100">
        <f>'2027'!G196</f>
        <v>0</v>
      </c>
      <c r="F198" s="100">
        <f>'2027'!H196</f>
        <v>3</v>
      </c>
      <c r="G198" s="101">
        <f t="shared" si="27"/>
        <v>73</v>
      </c>
      <c r="H198" s="100">
        <f>'2027'!V196</f>
        <v>73</v>
      </c>
      <c r="I198" s="101">
        <f t="shared" si="28"/>
        <v>3</v>
      </c>
      <c r="J198" s="102">
        <f t="shared" si="29"/>
        <v>4.2857142857142858E-2</v>
      </c>
      <c r="K198" s="94"/>
    </row>
    <row r="199" spans="1:11" s="85" customFormat="1" x14ac:dyDescent="0.35">
      <c r="A199" s="98" t="str">
        <f>'2027'!B197</f>
        <v>Fintech</v>
      </c>
      <c r="B199" s="99" t="str">
        <f>'2027'!C197</f>
        <v>Kreditlərin ilkin təqibi departamenti</v>
      </c>
      <c r="C199" s="99" t="str">
        <f>'2027'!D197</f>
        <v>Təhlil və dəstək şöbəsi</v>
      </c>
      <c r="D199" s="100">
        <f>'2027'!F197</f>
        <v>23</v>
      </c>
      <c r="E199" s="100">
        <f>'2027'!G197</f>
        <v>0</v>
      </c>
      <c r="F199" s="100">
        <f>'2027'!H197</f>
        <v>0</v>
      </c>
      <c r="G199" s="101">
        <f t="shared" si="27"/>
        <v>23</v>
      </c>
      <c r="H199" s="100">
        <f>'2027'!V197</f>
        <v>23</v>
      </c>
      <c r="I199" s="101">
        <f t="shared" si="28"/>
        <v>0</v>
      </c>
      <c r="J199" s="102">
        <f t="shared" si="29"/>
        <v>0</v>
      </c>
      <c r="K199" s="94"/>
    </row>
    <row r="200" spans="1:11" s="85" customFormat="1" x14ac:dyDescent="0.35">
      <c r="A200" s="98" t="str">
        <f>'2027'!B198</f>
        <v>Fintech</v>
      </c>
      <c r="B200" s="99" t="str">
        <f>'2027'!C198</f>
        <v>Kreditlərin ilkin təqibi departamenti</v>
      </c>
      <c r="C200" s="99" t="str">
        <f>'2027'!D198</f>
        <v>Ünvanda təqib şöbəsi</v>
      </c>
      <c r="D200" s="100">
        <f>'2027'!F198</f>
        <v>61</v>
      </c>
      <c r="E200" s="100">
        <f>'2027'!G198</f>
        <v>0</v>
      </c>
      <c r="F200" s="100">
        <f>'2027'!H198</f>
        <v>0</v>
      </c>
      <c r="G200" s="101">
        <f t="shared" si="27"/>
        <v>61</v>
      </c>
      <c r="H200" s="100">
        <f>'2027'!V198</f>
        <v>61</v>
      </c>
      <c r="I200" s="101">
        <f t="shared" si="28"/>
        <v>0</v>
      </c>
      <c r="J200" s="102">
        <f t="shared" si="29"/>
        <v>0</v>
      </c>
      <c r="K200" s="94"/>
    </row>
    <row r="201" spans="1:11" s="85" customFormat="1" x14ac:dyDescent="0.35">
      <c r="A201" s="98" t="str">
        <f>'2027'!B199</f>
        <v>Fintech</v>
      </c>
      <c r="B201" s="99" t="str">
        <f>'2027'!C199</f>
        <v>Maliyyə menecmenti departamenti</v>
      </c>
      <c r="C201" s="99" t="str">
        <f>'2027'!D199</f>
        <v>Strategiya,büdcə və analitika şöbəsi</v>
      </c>
      <c r="D201" s="100">
        <f>'2027'!F199</f>
        <v>14</v>
      </c>
      <c r="E201" s="100">
        <f>'2027'!G199</f>
        <v>0</v>
      </c>
      <c r="F201" s="100">
        <f>'2027'!H199</f>
        <v>0</v>
      </c>
      <c r="G201" s="101">
        <f t="shared" si="27"/>
        <v>14</v>
      </c>
      <c r="H201" s="100">
        <f>'2027'!V199</f>
        <v>14</v>
      </c>
      <c r="I201" s="101">
        <f t="shared" si="28"/>
        <v>0</v>
      </c>
      <c r="J201" s="102">
        <f t="shared" si="29"/>
        <v>0</v>
      </c>
      <c r="K201" s="94"/>
    </row>
    <row r="202" spans="1:11" s="85" customFormat="1" x14ac:dyDescent="0.35">
      <c r="A202" s="98" t="str">
        <f>'2027'!B200</f>
        <v>Fintech</v>
      </c>
      <c r="B202" s="99" t="str">
        <f>'2027'!C200</f>
        <v>Maliyyə menecmenti departamenti</v>
      </c>
      <c r="C202" s="99" t="str">
        <f>'2027'!D200</f>
        <v>Aktiv və passivlərin idarə edilməsi şöbəsi</v>
      </c>
      <c r="D202" s="100">
        <f>'2027'!F200</f>
        <v>3</v>
      </c>
      <c r="E202" s="100">
        <f>'2027'!G200</f>
        <v>0</v>
      </c>
      <c r="F202" s="100">
        <f>'2027'!H200</f>
        <v>4</v>
      </c>
      <c r="G202" s="101">
        <f t="shared" si="27"/>
        <v>7</v>
      </c>
      <c r="H202" s="100">
        <f>'2027'!V200</f>
        <v>7</v>
      </c>
      <c r="I202" s="101">
        <f t="shared" si="28"/>
        <v>4</v>
      </c>
      <c r="J202" s="102">
        <f t="shared" si="29"/>
        <v>1.3333333333333333</v>
      </c>
      <c r="K202" s="94"/>
    </row>
    <row r="203" spans="1:11" s="85" customFormat="1" x14ac:dyDescent="0.35">
      <c r="A203" s="98" t="str">
        <f>'2027'!B201</f>
        <v>Fintech</v>
      </c>
      <c r="B203" s="99" t="str">
        <f>'2027'!C201</f>
        <v>Maliyyə menecmenti departamenti</v>
      </c>
      <c r="C203" s="99" t="str">
        <f>'2027'!D201</f>
        <v>Fəaliyyət göstəricilərinin təyini və hesabatlılığı şöbəsi</v>
      </c>
      <c r="D203" s="100">
        <f>'2027'!F201</f>
        <v>6</v>
      </c>
      <c r="E203" s="100">
        <f>'2027'!G201</f>
        <v>0</v>
      </c>
      <c r="F203" s="100">
        <f>'2027'!H201</f>
        <v>3</v>
      </c>
      <c r="G203" s="101">
        <f t="shared" si="27"/>
        <v>9</v>
      </c>
      <c r="H203" s="100">
        <f>'2027'!V201</f>
        <v>9</v>
      </c>
      <c r="I203" s="101">
        <f t="shared" si="28"/>
        <v>3</v>
      </c>
      <c r="J203" s="102">
        <f t="shared" si="29"/>
        <v>0.5</v>
      </c>
      <c r="K203" s="94"/>
    </row>
    <row r="204" spans="1:11" s="85" customFormat="1" x14ac:dyDescent="0.35">
      <c r="A204" s="98" t="str">
        <f>'2027'!B202</f>
        <v>Fintech</v>
      </c>
      <c r="B204" s="99" t="str">
        <f>'2027'!C202</f>
        <v>Maliyyə risklərinin idarə edilməsi departamenti</v>
      </c>
      <c r="C204" s="99" t="str">
        <f>'2027'!D202</f>
        <v>Kredit risklərinin texnoloji həlləri şöbəsi</v>
      </c>
      <c r="D204" s="100">
        <f>'2027'!F202</f>
        <v>5</v>
      </c>
      <c r="E204" s="100">
        <f>'2027'!G202</f>
        <v>0</v>
      </c>
      <c r="F204" s="100">
        <f>'2027'!H202</f>
        <v>0</v>
      </c>
      <c r="G204" s="101">
        <f t="shared" si="27"/>
        <v>5</v>
      </c>
      <c r="H204" s="100">
        <f>'2027'!V202</f>
        <v>2</v>
      </c>
      <c r="I204" s="101">
        <f t="shared" si="28"/>
        <v>-3</v>
      </c>
      <c r="J204" s="102">
        <f t="shared" si="29"/>
        <v>-0.6</v>
      </c>
      <c r="K204" s="94"/>
    </row>
    <row r="205" spans="1:11" s="85" customFormat="1" x14ac:dyDescent="0.35">
      <c r="A205" s="98" t="str">
        <f>'2027'!B203</f>
        <v>Fintech</v>
      </c>
      <c r="B205" s="99" t="str">
        <f>'2027'!C203</f>
        <v>Maliyyə risklərinin idarə edilməsi departamenti</v>
      </c>
      <c r="C205" s="99" t="str">
        <f>'2027'!D203</f>
        <v>Kredit risklərinin idarə edilməsi şöbəsi</v>
      </c>
      <c r="D205" s="100">
        <f>'2027'!F203</f>
        <v>8</v>
      </c>
      <c r="E205" s="100">
        <f>'2027'!G203</f>
        <v>0</v>
      </c>
      <c r="F205" s="100">
        <f>'2027'!H203</f>
        <v>0</v>
      </c>
      <c r="G205" s="101">
        <f t="shared" si="27"/>
        <v>8</v>
      </c>
      <c r="H205" s="100">
        <f>'2027'!V203</f>
        <v>7</v>
      </c>
      <c r="I205" s="101">
        <f t="shared" si="28"/>
        <v>-1</v>
      </c>
      <c r="J205" s="102">
        <f t="shared" si="29"/>
        <v>-0.125</v>
      </c>
      <c r="K205" s="94"/>
    </row>
    <row r="206" spans="1:11" s="85" customFormat="1" x14ac:dyDescent="0.35">
      <c r="A206" s="98" t="str">
        <f>'2027'!B204</f>
        <v>Fintech</v>
      </c>
      <c r="B206" s="99" t="str">
        <f>'2027'!C204</f>
        <v>Maliyyə risklərinin idarə edilməsi departamenti</v>
      </c>
      <c r="C206" s="99" t="str">
        <f>'2027'!D204</f>
        <v>Maliyyə dayanıqlığı risklərinin idarə edilməsi və requlyativ tədqiqatı şöbəsi</v>
      </c>
      <c r="D206" s="100">
        <f>'2027'!F204</f>
        <v>4</v>
      </c>
      <c r="E206" s="100">
        <f>'2027'!G204</f>
        <v>0</v>
      </c>
      <c r="F206" s="100">
        <f>'2027'!H204</f>
        <v>2</v>
      </c>
      <c r="G206" s="101">
        <f t="shared" si="27"/>
        <v>6</v>
      </c>
      <c r="H206" s="100">
        <f>'2027'!V204</f>
        <v>6</v>
      </c>
      <c r="I206" s="101">
        <f t="shared" si="28"/>
        <v>2</v>
      </c>
      <c r="J206" s="102">
        <f t="shared" si="29"/>
        <v>0.5</v>
      </c>
      <c r="K206" s="94"/>
    </row>
    <row r="207" spans="1:11" s="85" customFormat="1" x14ac:dyDescent="0.35">
      <c r="A207" s="98" t="str">
        <f>'2027'!B205</f>
        <v>Fintech</v>
      </c>
      <c r="B207" s="99" t="str">
        <f>'2027'!C205</f>
        <v>Maliyyə risklərinin idarə edilməsi departamenti</v>
      </c>
      <c r="C207" s="99" t="str">
        <f>'2027'!D205</f>
        <v>Bazar və likvidlik riskinin idarə edilməsi şöbəsi</v>
      </c>
      <c r="D207" s="100">
        <f>'2027'!F205</f>
        <v>4</v>
      </c>
      <c r="E207" s="100">
        <f>'2027'!G205</f>
        <v>0</v>
      </c>
      <c r="F207" s="100">
        <f>'2027'!H205</f>
        <v>0</v>
      </c>
      <c r="G207" s="101">
        <f t="shared" si="27"/>
        <v>4</v>
      </c>
      <c r="H207" s="100">
        <f>'2027'!V205</f>
        <v>4</v>
      </c>
      <c r="I207" s="101">
        <f t="shared" si="28"/>
        <v>0</v>
      </c>
      <c r="J207" s="102">
        <f t="shared" si="29"/>
        <v>0</v>
      </c>
      <c r="K207" s="94"/>
    </row>
    <row r="208" spans="1:11" s="85" customFormat="1" x14ac:dyDescent="0.35">
      <c r="A208" s="98" t="str">
        <f>'2027'!B206</f>
        <v>Fintech</v>
      </c>
      <c r="B208" s="99" t="str">
        <f>'2027'!C206</f>
        <v>Məhsulların rəsmiləşdirilməsi sahəsi</v>
      </c>
      <c r="C208" s="99" t="str">
        <f>'2027'!D206</f>
        <v>Sales channels</v>
      </c>
      <c r="D208" s="100">
        <f>'2027'!F206</f>
        <v>1</v>
      </c>
      <c r="E208" s="100">
        <f>'2027'!G206</f>
        <v>0</v>
      </c>
      <c r="F208" s="100">
        <f>'2027'!H206</f>
        <v>0</v>
      </c>
      <c r="G208" s="101">
        <f t="shared" si="27"/>
        <v>1</v>
      </c>
      <c r="H208" s="100">
        <f>'2027'!V206</f>
        <v>1</v>
      </c>
      <c r="I208" s="101">
        <f t="shared" si="28"/>
        <v>0</v>
      </c>
      <c r="J208" s="102">
        <f t="shared" si="29"/>
        <v>0</v>
      </c>
      <c r="K208" s="94"/>
    </row>
    <row r="209" spans="1:11" s="85" customFormat="1" x14ac:dyDescent="0.35">
      <c r="A209" s="98" t="str">
        <f>'2027'!B207</f>
        <v>Fintech</v>
      </c>
      <c r="B209" s="99" t="str">
        <f>'2027'!C207</f>
        <v>Məhsulların rəsmiləşdirilməsi sahəsi</v>
      </c>
      <c r="C209" s="99" t="str">
        <f>'2027'!D207</f>
        <v>Credit journeys</v>
      </c>
      <c r="D209" s="100">
        <f>'2027'!F207</f>
        <v>1</v>
      </c>
      <c r="E209" s="100">
        <f>'2027'!G207</f>
        <v>0</v>
      </c>
      <c r="F209" s="100">
        <f>'2027'!H207</f>
        <v>0</v>
      </c>
      <c r="G209" s="101">
        <f t="shared" ref="G209:G240" si="30">SUM(D209:F209)</f>
        <v>1</v>
      </c>
      <c r="H209" s="100">
        <f>'2027'!V207</f>
        <v>1</v>
      </c>
      <c r="I209" s="101">
        <f t="shared" ref="I209:I240" si="31">H209-D209</f>
        <v>0</v>
      </c>
      <c r="J209" s="102">
        <f t="shared" ref="J209:J240" si="32">IF(D209=0,0,I209/D209)</f>
        <v>0</v>
      </c>
      <c r="K209" s="94"/>
    </row>
    <row r="210" spans="1:11" s="85" customFormat="1" x14ac:dyDescent="0.35">
      <c r="A210" s="98" t="str">
        <f>'2027'!B208</f>
        <v>Fintech</v>
      </c>
      <c r="B210" s="99" t="str">
        <f>'2027'!C208</f>
        <v>Məhsulların rəsmiləşdirilməsi sahəsi</v>
      </c>
      <c r="C210" s="99" t="str">
        <f>'2027'!D208</f>
        <v>Cards, Accounts and Depozit journeys</v>
      </c>
      <c r="D210" s="100">
        <f>'2027'!F208</f>
        <v>1</v>
      </c>
      <c r="E210" s="100">
        <f>'2027'!G208</f>
        <v>0</v>
      </c>
      <c r="F210" s="100">
        <f>'2027'!H208</f>
        <v>0</v>
      </c>
      <c r="G210" s="101">
        <f t="shared" si="30"/>
        <v>1</v>
      </c>
      <c r="H210" s="100">
        <f>'2027'!V208</f>
        <v>1</v>
      </c>
      <c r="I210" s="101">
        <f t="shared" si="31"/>
        <v>0</v>
      </c>
      <c r="J210" s="102">
        <f t="shared" si="32"/>
        <v>0</v>
      </c>
      <c r="K210" s="94"/>
    </row>
    <row r="211" spans="1:11" s="85" customFormat="1" x14ac:dyDescent="0.35">
      <c r="A211" s="98" t="str">
        <f>'2027'!B209</f>
        <v>Fintech</v>
      </c>
      <c r="B211" s="99" t="str">
        <f>'2027'!C209</f>
        <v>Məhsulların rəsmiləşdirilməsi sahəsi</v>
      </c>
      <c r="C211" s="99" t="str">
        <f>'2027'!D209</f>
        <v>Cabinet</v>
      </c>
      <c r="D211" s="100">
        <f>'2027'!F209</f>
        <v>0</v>
      </c>
      <c r="E211" s="100">
        <f>'2027'!G209</f>
        <v>0</v>
      </c>
      <c r="F211" s="100">
        <f>'2027'!H209</f>
        <v>1</v>
      </c>
      <c r="G211" s="101">
        <f t="shared" si="30"/>
        <v>1</v>
      </c>
      <c r="H211" s="100">
        <f>'2027'!V209</f>
        <v>1</v>
      </c>
      <c r="I211" s="101">
        <f t="shared" si="31"/>
        <v>1</v>
      </c>
      <c r="J211" s="102">
        <f t="shared" si="32"/>
        <v>0</v>
      </c>
      <c r="K211" s="94"/>
    </row>
    <row r="212" spans="1:11" s="85" customFormat="1" x14ac:dyDescent="0.35">
      <c r="A212" s="98" t="str">
        <f>'2027'!B210</f>
        <v>Fintech</v>
      </c>
      <c r="B212" s="99" t="str">
        <f>'2027'!C210</f>
        <v>Mikro biznes departamenti</v>
      </c>
      <c r="C212" s="99" t="str">
        <f>'2027'!D210</f>
        <v>Mikro satışlar şöbəsi</v>
      </c>
      <c r="D212" s="100">
        <f>'2027'!F210</f>
        <v>15</v>
      </c>
      <c r="E212" s="100">
        <f>'2027'!G210</f>
        <v>0</v>
      </c>
      <c r="F212" s="100">
        <f>'2027'!H210</f>
        <v>0</v>
      </c>
      <c r="G212" s="101">
        <f t="shared" si="30"/>
        <v>15</v>
      </c>
      <c r="H212" s="100">
        <f>'2027'!V210</f>
        <v>15</v>
      </c>
      <c r="I212" s="101">
        <f t="shared" si="31"/>
        <v>0</v>
      </c>
      <c r="J212" s="102">
        <f t="shared" si="32"/>
        <v>0</v>
      </c>
      <c r="K212" s="94"/>
    </row>
    <row r="213" spans="1:11" s="85" customFormat="1" x14ac:dyDescent="0.35">
      <c r="A213" s="98" t="str">
        <f>'2027'!B211</f>
        <v>Fintech</v>
      </c>
      <c r="B213" s="99" t="str">
        <f>'2027'!C211</f>
        <v>Mikro biznes departamenti</v>
      </c>
      <c r="C213" s="99" t="str">
        <f>'2027'!D211</f>
        <v>#</v>
      </c>
      <c r="D213" s="100">
        <f>'2027'!F211</f>
        <v>1</v>
      </c>
      <c r="E213" s="100">
        <f>'2027'!G211</f>
        <v>0</v>
      </c>
      <c r="F213" s="100">
        <f>'2027'!H211</f>
        <v>0</v>
      </c>
      <c r="G213" s="101">
        <f t="shared" si="30"/>
        <v>1</v>
      </c>
      <c r="H213" s="100">
        <f>'2027'!V211</f>
        <v>1</v>
      </c>
      <c r="I213" s="101">
        <f t="shared" si="31"/>
        <v>0</v>
      </c>
      <c r="J213" s="102">
        <f t="shared" si="32"/>
        <v>0</v>
      </c>
      <c r="K213" s="94"/>
    </row>
    <row r="214" spans="1:11" s="85" customFormat="1" x14ac:dyDescent="0.35">
      <c r="A214" s="98" t="str">
        <f>'2027'!B212</f>
        <v>Fintech</v>
      </c>
      <c r="B214" s="99" t="str">
        <f>'2027'!C212</f>
        <v>Mikro biznes departamenti</v>
      </c>
      <c r="C214" s="99" t="str">
        <f>'2027'!D212</f>
        <v>E2E Journey</v>
      </c>
      <c r="D214" s="100">
        <f>'2027'!F212</f>
        <v>0</v>
      </c>
      <c r="E214" s="100">
        <f>'2027'!G212</f>
        <v>0</v>
      </c>
      <c r="F214" s="100">
        <f>'2027'!H212</f>
        <v>1</v>
      </c>
      <c r="G214" s="101">
        <f t="shared" si="30"/>
        <v>1</v>
      </c>
      <c r="H214" s="100">
        <f>'2027'!V212</f>
        <v>1</v>
      </c>
      <c r="I214" s="101">
        <f t="shared" si="31"/>
        <v>1</v>
      </c>
      <c r="J214" s="102">
        <f t="shared" si="32"/>
        <v>0</v>
      </c>
      <c r="K214" s="94"/>
    </row>
    <row r="215" spans="1:11" s="85" customFormat="1" x14ac:dyDescent="0.35">
      <c r="A215" s="98" t="str">
        <f>'2027'!B213</f>
        <v>Fintech</v>
      </c>
      <c r="B215" s="99" t="str">
        <f>'2027'!C213</f>
        <v>Mikro biznes departamenti</v>
      </c>
      <c r="C215" s="99" t="str">
        <f>'2027'!D213</f>
        <v>Micro Lending squad</v>
      </c>
      <c r="D215" s="100">
        <f>'2027'!F213</f>
        <v>0</v>
      </c>
      <c r="E215" s="100">
        <f>'2027'!G213</f>
        <v>0</v>
      </c>
      <c r="F215" s="100">
        <f>'2027'!H213</f>
        <v>1</v>
      </c>
      <c r="G215" s="101">
        <f t="shared" si="30"/>
        <v>1</v>
      </c>
      <c r="H215" s="100">
        <f>'2027'!V213</f>
        <v>1</v>
      </c>
      <c r="I215" s="101">
        <f t="shared" si="31"/>
        <v>1</v>
      </c>
      <c r="J215" s="102">
        <f t="shared" si="32"/>
        <v>0</v>
      </c>
      <c r="K215" s="94"/>
    </row>
    <row r="216" spans="1:11" s="85" customFormat="1" x14ac:dyDescent="0.35">
      <c r="A216" s="98" t="str">
        <f>'2027'!B214</f>
        <v>Fintech</v>
      </c>
      <c r="B216" s="99" t="str">
        <f>'2027'!C214</f>
        <v>Mikro biznes departamenti</v>
      </c>
      <c r="C216" s="99" t="str">
        <f>'2027'!D214</f>
        <v>CVM squad</v>
      </c>
      <c r="D216" s="100">
        <f>'2027'!F214</f>
        <v>0</v>
      </c>
      <c r="E216" s="100">
        <f>'2027'!G214</f>
        <v>0</v>
      </c>
      <c r="F216" s="100">
        <f>'2027'!H214</f>
        <v>1</v>
      </c>
      <c r="G216" s="101">
        <f t="shared" si="30"/>
        <v>1</v>
      </c>
      <c r="H216" s="100">
        <f>'2027'!V214</f>
        <v>1</v>
      </c>
      <c r="I216" s="101">
        <f t="shared" si="31"/>
        <v>1</v>
      </c>
      <c r="J216" s="102">
        <f t="shared" si="32"/>
        <v>0</v>
      </c>
      <c r="K216" s="94"/>
    </row>
    <row r="217" spans="1:11" s="85" customFormat="1" x14ac:dyDescent="0.35">
      <c r="A217" s="98" t="str">
        <f>'2027'!B215</f>
        <v>Fintech</v>
      </c>
      <c r="B217" s="99" t="str">
        <f>'2027'!C215</f>
        <v>Müştəri dəyərləri sahəsi</v>
      </c>
      <c r="C217" s="99" t="str">
        <f>'2027'!D215</f>
        <v>Sales models and CRM</v>
      </c>
      <c r="D217" s="100">
        <f>'2027'!F215</f>
        <v>1</v>
      </c>
      <c r="E217" s="100">
        <f>'2027'!G215</f>
        <v>0</v>
      </c>
      <c r="F217" s="100">
        <f>'2027'!H215</f>
        <v>0</v>
      </c>
      <c r="G217" s="101">
        <f t="shared" si="30"/>
        <v>1</v>
      </c>
      <c r="H217" s="100">
        <f>'2027'!V215</f>
        <v>1</v>
      </c>
      <c r="I217" s="101">
        <f t="shared" si="31"/>
        <v>0</v>
      </c>
      <c r="J217" s="102">
        <f t="shared" si="32"/>
        <v>0</v>
      </c>
      <c r="K217" s="94"/>
    </row>
    <row r="218" spans="1:11" s="85" customFormat="1" x14ac:dyDescent="0.35">
      <c r="A218" s="98" t="str">
        <f>'2027'!B216</f>
        <v>Fintech</v>
      </c>
      <c r="B218" s="99" t="str">
        <f>'2027'!C216</f>
        <v>Müştəri dəyərləri sahəsi</v>
      </c>
      <c r="C218" s="99" t="str">
        <f>'2027'!D216</f>
        <v>Segments</v>
      </c>
      <c r="D218" s="100">
        <f>'2027'!F216</f>
        <v>1</v>
      </c>
      <c r="E218" s="100">
        <f>'2027'!G216</f>
        <v>0</v>
      </c>
      <c r="F218" s="100">
        <f>'2027'!H216</f>
        <v>0</v>
      </c>
      <c r="G218" s="101">
        <f t="shared" si="30"/>
        <v>1</v>
      </c>
      <c r="H218" s="100">
        <f>'2027'!V216</f>
        <v>1</v>
      </c>
      <c r="I218" s="101">
        <f t="shared" si="31"/>
        <v>0</v>
      </c>
      <c r="J218" s="102">
        <f t="shared" si="32"/>
        <v>0</v>
      </c>
      <c r="K218" s="94"/>
    </row>
    <row r="219" spans="1:11" s="85" customFormat="1" x14ac:dyDescent="0.35">
      <c r="A219" s="98" t="str">
        <f>'2027'!B217</f>
        <v>Fintech</v>
      </c>
      <c r="B219" s="99" t="str">
        <f>'2027'!C217</f>
        <v>Müştəri dəyərləri sahəsi</v>
      </c>
      <c r="C219" s="99" t="str">
        <f>'2027'!D217</f>
        <v>Lending portfolio</v>
      </c>
      <c r="D219" s="100">
        <f>'2027'!F217</f>
        <v>1</v>
      </c>
      <c r="E219" s="100">
        <f>'2027'!G217</f>
        <v>0</v>
      </c>
      <c r="F219" s="100">
        <f>'2027'!H217</f>
        <v>0</v>
      </c>
      <c r="G219" s="101">
        <f t="shared" si="30"/>
        <v>1</v>
      </c>
      <c r="H219" s="100">
        <f>'2027'!V217</f>
        <v>1</v>
      </c>
      <c r="I219" s="101">
        <f t="shared" si="31"/>
        <v>0</v>
      </c>
      <c r="J219" s="102">
        <f t="shared" si="32"/>
        <v>0</v>
      </c>
      <c r="K219" s="94"/>
    </row>
    <row r="220" spans="1:11" s="85" customFormat="1" x14ac:dyDescent="0.35">
      <c r="A220" s="98" t="str">
        <f>'2027'!B218</f>
        <v>Fintech</v>
      </c>
      <c r="B220" s="99" t="str">
        <f>'2027'!C218</f>
        <v>Müştəri dəyərləri sahəsi</v>
      </c>
      <c r="C220" s="99" t="str">
        <f>'2027'!D218</f>
        <v>Funding and debet portfolio</v>
      </c>
      <c r="D220" s="100">
        <f>'2027'!F218</f>
        <v>1</v>
      </c>
      <c r="E220" s="100">
        <f>'2027'!G218</f>
        <v>0</v>
      </c>
      <c r="F220" s="100">
        <f>'2027'!H218</f>
        <v>0</v>
      </c>
      <c r="G220" s="101">
        <f t="shared" si="30"/>
        <v>1</v>
      </c>
      <c r="H220" s="100">
        <f>'2027'!V218</f>
        <v>1</v>
      </c>
      <c r="I220" s="101">
        <f t="shared" si="31"/>
        <v>0</v>
      </c>
      <c r="J220" s="102">
        <f t="shared" si="32"/>
        <v>0</v>
      </c>
      <c r="K220" s="94"/>
    </row>
    <row r="221" spans="1:11" s="85" customFormat="1" x14ac:dyDescent="0.35">
      <c r="A221" s="98" t="str">
        <f>'2027'!B219</f>
        <v>Fintech</v>
      </c>
      <c r="B221" s="99" t="str">
        <f>'2027'!C219</f>
        <v>Müştəri dəyərləri sahəsi</v>
      </c>
      <c r="C221" s="99" t="str">
        <f>'2027'!D219</f>
        <v>Personalization &amp; Lifecycle</v>
      </c>
      <c r="D221" s="100">
        <f>'2027'!F219</f>
        <v>1</v>
      </c>
      <c r="E221" s="100">
        <f>'2027'!G219</f>
        <v>0</v>
      </c>
      <c r="F221" s="100">
        <f>'2027'!H219</f>
        <v>0</v>
      </c>
      <c r="G221" s="101">
        <f t="shared" si="30"/>
        <v>1</v>
      </c>
      <c r="H221" s="100">
        <f>'2027'!V219</f>
        <v>1</v>
      </c>
      <c r="I221" s="101">
        <f t="shared" si="31"/>
        <v>0</v>
      </c>
      <c r="J221" s="102">
        <f t="shared" si="32"/>
        <v>0</v>
      </c>
      <c r="K221" s="94"/>
    </row>
    <row r="222" spans="1:11" s="85" customFormat="1" x14ac:dyDescent="0.35">
      <c r="A222" s="98" t="str">
        <f>'2027'!B220</f>
        <v>Fintech</v>
      </c>
      <c r="B222" s="99" t="str">
        <f>'2027'!C220</f>
        <v>Pərakəndə biznes platformaları sahəsi</v>
      </c>
      <c r="C222" s="99" t="str">
        <f>'2027'!D220</f>
        <v>Core Lending</v>
      </c>
      <c r="D222" s="100">
        <f>'2027'!F220</f>
        <v>2</v>
      </c>
      <c r="E222" s="100">
        <f>'2027'!G220</f>
        <v>0</v>
      </c>
      <c r="F222" s="100">
        <f>'2027'!H220</f>
        <v>3</v>
      </c>
      <c r="G222" s="101">
        <f t="shared" si="30"/>
        <v>5</v>
      </c>
      <c r="H222" s="100">
        <f>'2027'!V220</f>
        <v>5</v>
      </c>
      <c r="I222" s="101">
        <f t="shared" si="31"/>
        <v>3</v>
      </c>
      <c r="J222" s="102">
        <f t="shared" si="32"/>
        <v>1.5</v>
      </c>
      <c r="K222" s="94"/>
    </row>
    <row r="223" spans="1:11" s="85" customFormat="1" x14ac:dyDescent="0.35">
      <c r="A223" s="98" t="str">
        <f>'2027'!B221</f>
        <v>Fintech</v>
      </c>
      <c r="B223" s="99" t="str">
        <f>'2027'!C221</f>
        <v>Pərakəndə biznes platformaları sahəsi</v>
      </c>
      <c r="C223" s="99" t="str">
        <f>'2027'!D221</f>
        <v>Partner loans</v>
      </c>
      <c r="D223" s="100">
        <f>'2027'!F221</f>
        <v>1</v>
      </c>
      <c r="E223" s="100">
        <f>'2027'!G221</f>
        <v>0</v>
      </c>
      <c r="F223" s="100">
        <f>'2027'!H221</f>
        <v>0</v>
      </c>
      <c r="G223" s="101">
        <f t="shared" si="30"/>
        <v>1</v>
      </c>
      <c r="H223" s="100">
        <f>'2027'!V221</f>
        <v>1</v>
      </c>
      <c r="I223" s="101">
        <f t="shared" si="31"/>
        <v>0</v>
      </c>
      <c r="J223" s="102">
        <f t="shared" si="32"/>
        <v>0</v>
      </c>
      <c r="K223" s="94"/>
    </row>
    <row r="224" spans="1:11" s="85" customFormat="1" x14ac:dyDescent="0.35">
      <c r="A224" s="98" t="str">
        <f>'2027'!B222</f>
        <v>Fintech</v>
      </c>
      <c r="B224" s="99" t="str">
        <f>'2027'!C222</f>
        <v>Pərakəndə biznes platformaları sahəsi</v>
      </c>
      <c r="C224" s="99" t="str">
        <f>'2027'!D222</f>
        <v>Lending Service APİ</v>
      </c>
      <c r="D224" s="100">
        <f>'2027'!F222</f>
        <v>1</v>
      </c>
      <c r="E224" s="100">
        <f>'2027'!G222</f>
        <v>0</v>
      </c>
      <c r="F224" s="100">
        <f>'2027'!H222</f>
        <v>0</v>
      </c>
      <c r="G224" s="101">
        <f t="shared" si="30"/>
        <v>1</v>
      </c>
      <c r="H224" s="100">
        <f>'2027'!V222</f>
        <v>1</v>
      </c>
      <c r="I224" s="101">
        <f t="shared" si="31"/>
        <v>0</v>
      </c>
      <c r="J224" s="102">
        <f t="shared" si="32"/>
        <v>0</v>
      </c>
      <c r="K224" s="94"/>
    </row>
    <row r="225" spans="1:11" s="85" customFormat="1" x14ac:dyDescent="0.35">
      <c r="A225" s="98" t="str">
        <f>'2027'!B223</f>
        <v>Fintech</v>
      </c>
      <c r="B225" s="99" t="str">
        <f>'2027'!C223</f>
        <v>Rəqəmsal həllər sahəsi</v>
      </c>
      <c r="C225" s="99" t="str">
        <f>'2027'!D223</f>
        <v>Unified VVorkStream</v>
      </c>
      <c r="D225" s="100">
        <f>'2027'!F223</f>
        <v>0</v>
      </c>
      <c r="E225" s="100">
        <f>'2027'!G223</f>
        <v>0</v>
      </c>
      <c r="F225" s="100">
        <f>'2027'!H223</f>
        <v>0</v>
      </c>
      <c r="G225" s="101">
        <f t="shared" si="30"/>
        <v>0</v>
      </c>
      <c r="H225" s="100">
        <f>'2027'!V223</f>
        <v>0</v>
      </c>
      <c r="I225" s="101">
        <f t="shared" si="31"/>
        <v>0</v>
      </c>
      <c r="J225" s="102">
        <f t="shared" si="32"/>
        <v>0</v>
      </c>
      <c r="K225" s="94"/>
    </row>
    <row r="226" spans="1:11" s="85" customFormat="1" x14ac:dyDescent="0.35">
      <c r="A226" s="98" t="str">
        <f>'2027'!B224</f>
        <v>Fintech</v>
      </c>
      <c r="B226" s="99" t="str">
        <f>'2027'!C224</f>
        <v>Rəqəmsal həllər sahəsi</v>
      </c>
      <c r="C226" s="99" t="str">
        <f>'2027'!D224</f>
        <v>Branch Optimization</v>
      </c>
      <c r="D226" s="100">
        <f>'2027'!F224</f>
        <v>1</v>
      </c>
      <c r="E226" s="100">
        <f>'2027'!G224</f>
        <v>0</v>
      </c>
      <c r="F226" s="100">
        <f>'2027'!H224</f>
        <v>0</v>
      </c>
      <c r="G226" s="101">
        <f t="shared" si="30"/>
        <v>1</v>
      </c>
      <c r="H226" s="100">
        <f>'2027'!V224</f>
        <v>1</v>
      </c>
      <c r="I226" s="101">
        <f t="shared" si="31"/>
        <v>0</v>
      </c>
      <c r="J226" s="102">
        <f t="shared" si="32"/>
        <v>0</v>
      </c>
      <c r="K226" s="94"/>
    </row>
    <row r="227" spans="1:11" s="85" customFormat="1" x14ac:dyDescent="0.35">
      <c r="A227" s="98" t="str">
        <f>'2027'!B225</f>
        <v>Fintech</v>
      </c>
      <c r="B227" s="99" t="str">
        <f>'2027'!C225</f>
        <v>Rəqəmsal həllər sahəsi</v>
      </c>
      <c r="C227" s="99" t="str">
        <f>'2027'!D225</f>
        <v>Smart service</v>
      </c>
      <c r="D227" s="100">
        <f>'2027'!F225</f>
        <v>1</v>
      </c>
      <c r="E227" s="100">
        <f>'2027'!G225</f>
        <v>0</v>
      </c>
      <c r="F227" s="100">
        <f>'2027'!H225</f>
        <v>1</v>
      </c>
      <c r="G227" s="101">
        <f t="shared" si="30"/>
        <v>2</v>
      </c>
      <c r="H227" s="100">
        <f>'2027'!V225</f>
        <v>2</v>
      </c>
      <c r="I227" s="101">
        <f t="shared" si="31"/>
        <v>1</v>
      </c>
      <c r="J227" s="102">
        <f t="shared" si="32"/>
        <v>1</v>
      </c>
      <c r="K227" s="94"/>
    </row>
    <row r="228" spans="1:11" s="85" customFormat="1" x14ac:dyDescent="0.35">
      <c r="A228" s="98" t="str">
        <f>'2027'!B226</f>
        <v>Fintech</v>
      </c>
      <c r="B228" s="99" t="str">
        <f>'2027'!C226</f>
        <v>Rəqəmsal həllər sahəsi</v>
      </c>
      <c r="C228" s="99" t="str">
        <f>'2027'!D226</f>
        <v>Operations Optimization</v>
      </c>
      <c r="D228" s="100">
        <f>'2027'!F226</f>
        <v>1</v>
      </c>
      <c r="E228" s="100">
        <f>'2027'!G226</f>
        <v>0</v>
      </c>
      <c r="F228" s="100">
        <f>'2027'!H226</f>
        <v>0</v>
      </c>
      <c r="G228" s="101">
        <f t="shared" si="30"/>
        <v>1</v>
      </c>
      <c r="H228" s="100">
        <f>'2027'!V226</f>
        <v>1</v>
      </c>
      <c r="I228" s="101">
        <f t="shared" si="31"/>
        <v>0</v>
      </c>
      <c r="J228" s="102">
        <f t="shared" si="32"/>
        <v>0</v>
      </c>
      <c r="K228" s="94"/>
    </row>
    <row r="229" spans="1:11" s="85" customFormat="1" x14ac:dyDescent="0.35">
      <c r="A229" s="98" t="str">
        <f>'2027'!B227</f>
        <v>Fintech</v>
      </c>
      <c r="B229" s="99" t="str">
        <f>'2027'!C227</f>
        <v>Rəqəmsal həllər sahəsi</v>
      </c>
      <c r="C229" s="99" t="str">
        <f>'2027'!D227</f>
        <v>Service Quality&amp;Platforms</v>
      </c>
      <c r="D229" s="100">
        <f>'2027'!F227</f>
        <v>1</v>
      </c>
      <c r="E229" s="100">
        <f>'2027'!G227</f>
        <v>0</v>
      </c>
      <c r="F229" s="100">
        <f>'2027'!H227</f>
        <v>0</v>
      </c>
      <c r="G229" s="101">
        <f t="shared" si="30"/>
        <v>1</v>
      </c>
      <c r="H229" s="100">
        <f>'2027'!V227</f>
        <v>1</v>
      </c>
      <c r="I229" s="101">
        <f t="shared" si="31"/>
        <v>0</v>
      </c>
      <c r="J229" s="102">
        <f t="shared" si="32"/>
        <v>0</v>
      </c>
      <c r="K229" s="94"/>
    </row>
    <row r="230" spans="1:11" s="85" customFormat="1" x14ac:dyDescent="0.35">
      <c r="A230" s="98" t="str">
        <f>'2027'!B228</f>
        <v>Fintech</v>
      </c>
      <c r="B230" s="99" t="str">
        <f>'2027'!C228</f>
        <v>Risk texnologiyaları sahəsi</v>
      </c>
      <c r="C230" s="99" t="str">
        <f>'2027'!D228</f>
        <v>Micro scoring</v>
      </c>
      <c r="D230" s="100">
        <f>'2027'!F228</f>
        <v>1</v>
      </c>
      <c r="E230" s="100">
        <f>'2027'!G228</f>
        <v>0</v>
      </c>
      <c r="F230" s="100">
        <f>'2027'!H228</f>
        <v>1</v>
      </c>
      <c r="G230" s="101">
        <f t="shared" si="30"/>
        <v>2</v>
      </c>
      <c r="H230" s="100">
        <f>'2027'!V228</f>
        <v>2</v>
      </c>
      <c r="I230" s="101">
        <f t="shared" si="31"/>
        <v>1</v>
      </c>
      <c r="J230" s="102">
        <f t="shared" si="32"/>
        <v>1</v>
      </c>
      <c r="K230" s="94"/>
    </row>
    <row r="231" spans="1:11" s="85" customFormat="1" x14ac:dyDescent="0.35">
      <c r="A231" s="98" t="str">
        <f>'2027'!B229</f>
        <v>Fintech</v>
      </c>
      <c r="B231" s="99" t="str">
        <f>'2027'!C229</f>
        <v>Risk texnologiyaları sahəsi</v>
      </c>
      <c r="C231" s="99" t="str">
        <f>'2027'!D229</f>
        <v>Business Scoring &amp; Decision Platform</v>
      </c>
      <c r="D231" s="100">
        <f>'2027'!F229</f>
        <v>1</v>
      </c>
      <c r="E231" s="100">
        <f>'2027'!G229</f>
        <v>0</v>
      </c>
      <c r="F231" s="100">
        <f>'2027'!H229</f>
        <v>0</v>
      </c>
      <c r="G231" s="101">
        <f t="shared" si="30"/>
        <v>1</v>
      </c>
      <c r="H231" s="100">
        <f>'2027'!V229</f>
        <v>1</v>
      </c>
      <c r="I231" s="101">
        <f t="shared" si="31"/>
        <v>0</v>
      </c>
      <c r="J231" s="102">
        <f t="shared" si="32"/>
        <v>0</v>
      </c>
      <c r="K231" s="94"/>
    </row>
    <row r="232" spans="1:11" s="85" customFormat="1" x14ac:dyDescent="0.35">
      <c r="A232" s="98" t="str">
        <f>'2027'!B230</f>
        <v>Fintech</v>
      </c>
      <c r="B232" s="99" t="str">
        <f>'2027'!C230</f>
        <v>Risk texnologiyaları sahəsi</v>
      </c>
      <c r="C232" s="99" t="str">
        <f>'2027'!D230</f>
        <v>Agro Scoring</v>
      </c>
      <c r="D232" s="100">
        <f>'2027'!F230</f>
        <v>1</v>
      </c>
      <c r="E232" s="100">
        <f>'2027'!G230</f>
        <v>0</v>
      </c>
      <c r="F232" s="100">
        <f>'2027'!H230</f>
        <v>0</v>
      </c>
      <c r="G232" s="101">
        <f t="shared" si="30"/>
        <v>1</v>
      </c>
      <c r="H232" s="100">
        <f>'2027'!V230</f>
        <v>1</v>
      </c>
      <c r="I232" s="101">
        <f t="shared" si="31"/>
        <v>0</v>
      </c>
      <c r="J232" s="102">
        <f t="shared" si="32"/>
        <v>0</v>
      </c>
      <c r="K232" s="94"/>
    </row>
    <row r="233" spans="1:11" s="85" customFormat="1" x14ac:dyDescent="0.35">
      <c r="A233" s="98" t="str">
        <f>'2027'!B231</f>
        <v>Fintech</v>
      </c>
      <c r="B233" s="99" t="str">
        <f>'2027'!C231</f>
        <v>Risk texnologiyaları sahəsi</v>
      </c>
      <c r="C233" s="99" t="str">
        <f>'2027'!D231</f>
        <v>Marketplace Scoring</v>
      </c>
      <c r="D233" s="100">
        <f>'2027'!F231</f>
        <v>1</v>
      </c>
      <c r="E233" s="100">
        <f>'2027'!G231</f>
        <v>0</v>
      </c>
      <c r="F233" s="100">
        <f>'2027'!H231</f>
        <v>0</v>
      </c>
      <c r="G233" s="101">
        <f t="shared" si="30"/>
        <v>1</v>
      </c>
      <c r="H233" s="100">
        <f>'2027'!V231</f>
        <v>1</v>
      </c>
      <c r="I233" s="101">
        <f t="shared" si="31"/>
        <v>0</v>
      </c>
      <c r="J233" s="102">
        <f t="shared" si="32"/>
        <v>0</v>
      </c>
      <c r="K233" s="94"/>
    </row>
    <row r="234" spans="1:11" s="85" customFormat="1" x14ac:dyDescent="0.35">
      <c r="A234" s="98" t="str">
        <f>'2027'!B232</f>
        <v>Fintech</v>
      </c>
      <c r="B234" s="99" t="str">
        <f>'2027'!C232</f>
        <v>Risk texnologiyaları sahəsi</v>
      </c>
      <c r="C234" s="99" t="str">
        <f>'2027'!D232</f>
        <v>Ecosystem Scoring</v>
      </c>
      <c r="D234" s="100">
        <f>'2027'!F232</f>
        <v>1</v>
      </c>
      <c r="E234" s="100">
        <f>'2027'!G232</f>
        <v>0</v>
      </c>
      <c r="F234" s="100">
        <f>'2027'!H232</f>
        <v>0</v>
      </c>
      <c r="G234" s="101">
        <f t="shared" si="30"/>
        <v>1</v>
      </c>
      <c r="H234" s="100">
        <f>'2027'!V232</f>
        <v>1</v>
      </c>
      <c r="I234" s="101">
        <f t="shared" si="31"/>
        <v>0</v>
      </c>
      <c r="J234" s="102">
        <f t="shared" si="32"/>
        <v>0</v>
      </c>
      <c r="K234" s="94"/>
    </row>
    <row r="235" spans="1:11" s="85" customFormat="1" x14ac:dyDescent="0.35">
      <c r="A235" s="98" t="str">
        <f>'2027'!B233</f>
        <v>Fintech</v>
      </c>
      <c r="B235" s="99" t="str">
        <f>'2027'!C233</f>
        <v>Risk texnologiyaları sahəsi</v>
      </c>
      <c r="C235" s="99" t="str">
        <f>'2027'!D233</f>
        <v>Traditional Scoring</v>
      </c>
      <c r="D235" s="100">
        <f>'2027'!F233</f>
        <v>0</v>
      </c>
      <c r="E235" s="100">
        <f>'2027'!G233</f>
        <v>0</v>
      </c>
      <c r="F235" s="100">
        <f>'2027'!H233</f>
        <v>0</v>
      </c>
      <c r="G235" s="101">
        <f t="shared" si="30"/>
        <v>0</v>
      </c>
      <c r="H235" s="100">
        <f>'2027'!V233</f>
        <v>0</v>
      </c>
      <c r="I235" s="101">
        <f t="shared" si="31"/>
        <v>0</v>
      </c>
      <c r="J235" s="102">
        <f t="shared" si="32"/>
        <v>0</v>
      </c>
      <c r="K235" s="94"/>
    </row>
    <row r="236" spans="1:11" s="85" customFormat="1" x14ac:dyDescent="0.35">
      <c r="A236" s="98" t="str">
        <f>'2027'!B234</f>
        <v>Fintech</v>
      </c>
      <c r="B236" s="99" t="str">
        <f>'2027'!C234</f>
        <v>Risk texnologiyaları sahəsi</v>
      </c>
      <c r="C236" s="99" t="str">
        <f>'2027'!D234</f>
        <v>Business Platform</v>
      </c>
      <c r="D236" s="100">
        <f>'2027'!F234</f>
        <v>0</v>
      </c>
      <c r="E236" s="100">
        <f>'2027'!G234</f>
        <v>0</v>
      </c>
      <c r="F236" s="100">
        <f>'2027'!H234</f>
        <v>0</v>
      </c>
      <c r="G236" s="101">
        <f t="shared" si="30"/>
        <v>0</v>
      </c>
      <c r="H236" s="100">
        <f>'2027'!V234</f>
        <v>0</v>
      </c>
      <c r="I236" s="101">
        <f t="shared" si="31"/>
        <v>0</v>
      </c>
      <c r="J236" s="102">
        <f t="shared" si="32"/>
        <v>0</v>
      </c>
      <c r="K236" s="94"/>
    </row>
    <row r="237" spans="1:11" s="85" customFormat="1" x14ac:dyDescent="0.35">
      <c r="A237" s="98" t="str">
        <f>'2027'!B235</f>
        <v>Fintech</v>
      </c>
      <c r="B237" s="99" t="str">
        <f>'2027'!C235</f>
        <v>Risk texnologiyaları sahəsi</v>
      </c>
      <c r="C237" s="99" t="str">
        <f>'2027'!D235</f>
        <v>Tribe Leader</v>
      </c>
      <c r="D237" s="100">
        <f>'2027'!F235</f>
        <v>0</v>
      </c>
      <c r="E237" s="100">
        <f>'2027'!G235</f>
        <v>0</v>
      </c>
      <c r="F237" s="100">
        <f>'2027'!H235</f>
        <v>1</v>
      </c>
      <c r="G237" s="101">
        <f t="shared" si="30"/>
        <v>1</v>
      </c>
      <c r="H237" s="100">
        <f>'2027'!V235</f>
        <v>1</v>
      </c>
      <c r="I237" s="101">
        <f t="shared" si="31"/>
        <v>1</v>
      </c>
      <c r="J237" s="102">
        <f t="shared" si="32"/>
        <v>0</v>
      </c>
      <c r="K237" s="94"/>
    </row>
    <row r="238" spans="1:11" s="85" customFormat="1" x14ac:dyDescent="0.35">
      <c r="A238" s="98" t="str">
        <f>'2027'!B236</f>
        <v>Fintech</v>
      </c>
      <c r="B238" s="99" t="str">
        <f>'2027'!C236</f>
        <v>Risk texnologiyaları sahəsi</v>
      </c>
      <c r="C238" s="99" t="str">
        <f>'2027'!D236</f>
        <v>Deputy Tribe Leader</v>
      </c>
      <c r="D238" s="100">
        <f>'2027'!F236</f>
        <v>0</v>
      </c>
      <c r="E238" s="100">
        <f>'2027'!G236</f>
        <v>0</v>
      </c>
      <c r="F238" s="100">
        <f>'2027'!H236</f>
        <v>1</v>
      </c>
      <c r="G238" s="101">
        <f t="shared" si="30"/>
        <v>1</v>
      </c>
      <c r="H238" s="100">
        <f>'2027'!V236</f>
        <v>1</v>
      </c>
      <c r="I238" s="101">
        <f t="shared" si="31"/>
        <v>1</v>
      </c>
      <c r="J238" s="102">
        <f t="shared" si="32"/>
        <v>0</v>
      </c>
      <c r="K238" s="94"/>
    </row>
    <row r="239" spans="1:11" s="85" customFormat="1" x14ac:dyDescent="0.35">
      <c r="A239" s="98" t="str">
        <f>'2027'!B237</f>
        <v>Fintech</v>
      </c>
      <c r="B239" s="99" t="str">
        <f>'2027'!C237</f>
        <v>Satış kanalları departamenti</v>
      </c>
      <c r="C239" s="99" t="str">
        <f>'2027'!D237</f>
        <v>Alternativ satışlar şöbəsi</v>
      </c>
      <c r="D239" s="100">
        <f>'2027'!F237</f>
        <v>38</v>
      </c>
      <c r="E239" s="100">
        <f>'2027'!G237</f>
        <v>0</v>
      </c>
      <c r="F239" s="100">
        <f>'2027'!H237</f>
        <v>0</v>
      </c>
      <c r="G239" s="101">
        <f t="shared" si="30"/>
        <v>38</v>
      </c>
      <c r="H239" s="100">
        <f>'2027'!V237</f>
        <v>37</v>
      </c>
      <c r="I239" s="101">
        <f t="shared" si="31"/>
        <v>-1</v>
      </c>
      <c r="J239" s="102">
        <f t="shared" si="32"/>
        <v>-2.6315789473684209E-2</v>
      </c>
      <c r="K239" s="94"/>
    </row>
    <row r="240" spans="1:11" s="85" customFormat="1" x14ac:dyDescent="0.35">
      <c r="A240" s="98" t="str">
        <f>'2027'!B238</f>
        <v>Fintech</v>
      </c>
      <c r="B240" s="99" t="str">
        <f>'2027'!C238</f>
        <v>Satış kanalları departamenti</v>
      </c>
      <c r="C240" s="99" t="str">
        <f>'2027'!D238</f>
        <v>Birbaşa satış və xidmət şöbəsi</v>
      </c>
      <c r="D240" s="100">
        <f>'2027'!F238</f>
        <v>94</v>
      </c>
      <c r="E240" s="100">
        <f>'2027'!G238</f>
        <v>0</v>
      </c>
      <c r="F240" s="100">
        <f>'2027'!H238</f>
        <v>34</v>
      </c>
      <c r="G240" s="101">
        <f t="shared" si="30"/>
        <v>128</v>
      </c>
      <c r="H240" s="100">
        <f>'2027'!V238</f>
        <v>128</v>
      </c>
      <c r="I240" s="101">
        <f t="shared" si="31"/>
        <v>34</v>
      </c>
      <c r="J240" s="102">
        <f t="shared" si="32"/>
        <v>0.36170212765957449</v>
      </c>
      <c r="K240" s="94"/>
    </row>
    <row r="241" spans="1:11" s="85" customFormat="1" x14ac:dyDescent="0.35">
      <c r="A241" s="98" t="str">
        <f>'2027'!B239</f>
        <v>Fintech</v>
      </c>
      <c r="B241" s="99" t="str">
        <f>'2027'!C239</f>
        <v>Satış kanalları departamenti</v>
      </c>
      <c r="C241" s="99" t="str">
        <f>'2027'!D239</f>
        <v>YSB-lərdə satış və xidmət şöbəsi</v>
      </c>
      <c r="D241" s="100">
        <f>'2027'!F239</f>
        <v>18</v>
      </c>
      <c r="E241" s="100">
        <f>'2027'!G239</f>
        <v>0</v>
      </c>
      <c r="F241" s="100">
        <f>'2027'!H239</f>
        <v>1</v>
      </c>
      <c r="G241" s="101">
        <f t="shared" ref="G241:G261" si="33">SUM(D241:F241)</f>
        <v>19</v>
      </c>
      <c r="H241" s="100">
        <f>'2027'!V239</f>
        <v>19</v>
      </c>
      <c r="I241" s="101">
        <f t="shared" ref="I241:I261" si="34">H241-D241</f>
        <v>1</v>
      </c>
      <c r="J241" s="102">
        <f t="shared" ref="J241:J299" si="35">IF(D241=0,0,I241/D241)</f>
        <v>5.5555555555555552E-2</v>
      </c>
      <c r="K241" s="94"/>
    </row>
    <row r="242" spans="1:11" s="85" customFormat="1" x14ac:dyDescent="0.35">
      <c r="A242" s="98" t="str">
        <f>'2027'!B240</f>
        <v>Fintech</v>
      </c>
      <c r="B242" s="99" t="str">
        <f>'2027'!C240</f>
        <v>Satış kanalları departamenti</v>
      </c>
      <c r="C242" s="99" t="str">
        <f>'2027'!D240</f>
        <v>Əlaqə mərkəzi şöbəsi</v>
      </c>
      <c r="D242" s="100">
        <f>'2027'!F240</f>
        <v>255</v>
      </c>
      <c r="E242" s="100">
        <f>'2027'!G240</f>
        <v>0</v>
      </c>
      <c r="F242" s="100">
        <f>'2027'!H240</f>
        <v>0</v>
      </c>
      <c r="G242" s="101">
        <f t="shared" si="33"/>
        <v>255</v>
      </c>
      <c r="H242" s="100">
        <f>'2027'!V240</f>
        <v>254</v>
      </c>
      <c r="I242" s="101">
        <f t="shared" si="34"/>
        <v>-1</v>
      </c>
      <c r="J242" s="102">
        <f t="shared" si="35"/>
        <v>-3.9215686274509803E-3</v>
      </c>
      <c r="K242" s="94"/>
    </row>
    <row r="243" spans="1:11" s="85" customFormat="1" x14ac:dyDescent="0.35">
      <c r="A243" s="98" t="str">
        <f>'2027'!B241</f>
        <v>Fintech</v>
      </c>
      <c r="B243" s="99" t="str">
        <f>'2027'!C241</f>
        <v>Satış kanalları departamenti</v>
      </c>
      <c r="C243" s="99" t="str">
        <f>'2027'!D241</f>
        <v>Məsafədən satış və xidmət şöbəsi</v>
      </c>
      <c r="D243" s="100">
        <f>'2027'!F241</f>
        <v>183</v>
      </c>
      <c r="E243" s="100">
        <f>'2027'!G241</f>
        <v>0</v>
      </c>
      <c r="F243" s="100">
        <f>'2027'!H241</f>
        <v>14</v>
      </c>
      <c r="G243" s="101">
        <f t="shared" si="33"/>
        <v>197</v>
      </c>
      <c r="H243" s="100">
        <f>'2027'!V241</f>
        <v>197</v>
      </c>
      <c r="I243" s="101">
        <f t="shared" si="34"/>
        <v>14</v>
      </c>
      <c r="J243" s="102">
        <f t="shared" si="35"/>
        <v>7.650273224043716E-2</v>
      </c>
      <c r="K243" s="94"/>
    </row>
    <row r="244" spans="1:11" s="85" customFormat="1" x14ac:dyDescent="0.35">
      <c r="A244" s="98" t="str">
        <f>'2027'!B242</f>
        <v>Fintech</v>
      </c>
      <c r="B244" s="99" t="str">
        <f>'2027'!C242</f>
        <v>Xəzinədarlıq departamenti</v>
      </c>
      <c r="C244" s="99" t="str">
        <f>'2027'!D242</f>
        <v>#</v>
      </c>
      <c r="D244" s="100">
        <f>'2027'!F242</f>
        <v>1</v>
      </c>
      <c r="E244" s="100">
        <f>'2027'!G242</f>
        <v>0</v>
      </c>
      <c r="F244" s="100">
        <f>'2027'!H242</f>
        <v>0</v>
      </c>
      <c r="G244" s="101">
        <f t="shared" si="33"/>
        <v>1</v>
      </c>
      <c r="H244" s="100">
        <f>'2027'!V242</f>
        <v>1</v>
      </c>
      <c r="I244" s="101">
        <f t="shared" si="34"/>
        <v>0</v>
      </c>
      <c r="J244" s="102">
        <f t="shared" si="35"/>
        <v>0</v>
      </c>
      <c r="K244" s="94"/>
    </row>
    <row r="245" spans="1:11" s="85" customFormat="1" x14ac:dyDescent="0.35">
      <c r="A245" s="98" t="str">
        <f>'2027'!B243</f>
        <v>Fintech</v>
      </c>
      <c r="B245" s="99" t="str">
        <f>'2027'!C243</f>
        <v>Xəzinədarlıq departamenti</v>
      </c>
      <c r="C245" s="99" t="str">
        <f>'2027'!D243</f>
        <v>BirTreasury</v>
      </c>
      <c r="D245" s="100">
        <f>'2027'!F243</f>
        <v>1</v>
      </c>
      <c r="E245" s="100">
        <f>'2027'!G243</f>
        <v>0</v>
      </c>
      <c r="F245" s="100">
        <f>'2027'!H243</f>
        <v>0</v>
      </c>
      <c r="G245" s="101">
        <f t="shared" si="33"/>
        <v>1</v>
      </c>
      <c r="H245" s="100">
        <f>'2027'!V243</f>
        <v>1</v>
      </c>
      <c r="I245" s="101">
        <f t="shared" si="34"/>
        <v>0</v>
      </c>
      <c r="J245" s="102">
        <f t="shared" si="35"/>
        <v>0</v>
      </c>
      <c r="K245" s="94"/>
    </row>
    <row r="246" spans="1:11" s="85" customFormat="1" x14ac:dyDescent="0.35">
      <c r="A246" s="98" t="str">
        <f>'2027'!B244</f>
        <v>Fintech</v>
      </c>
      <c r="B246" s="99" t="str">
        <f>'2027'!C244</f>
        <v>Xəzinədarlıq departamenti</v>
      </c>
      <c r="C246" s="99" t="str">
        <f>'2027'!D244</f>
        <v>Dilinq əməliyyatları şöbəsi</v>
      </c>
      <c r="D246" s="100">
        <f>'2027'!F244</f>
        <v>3</v>
      </c>
      <c r="E246" s="100">
        <f>'2027'!G244</f>
        <v>0</v>
      </c>
      <c r="F246" s="100">
        <f>'2027'!H244</f>
        <v>0</v>
      </c>
      <c r="G246" s="101">
        <f t="shared" si="33"/>
        <v>3</v>
      </c>
      <c r="H246" s="100">
        <f>'2027'!V244</f>
        <v>3</v>
      </c>
      <c r="I246" s="101">
        <f t="shared" si="34"/>
        <v>0</v>
      </c>
      <c r="J246" s="102">
        <f t="shared" si="35"/>
        <v>0</v>
      </c>
      <c r="K246" s="94"/>
    </row>
    <row r="247" spans="1:11" s="85" customFormat="1" x14ac:dyDescent="0.35">
      <c r="A247" s="98" t="str">
        <f>'2027'!B245</f>
        <v>Fintech</v>
      </c>
      <c r="B247" s="99" t="str">
        <f>'2027'!C245</f>
        <v>Xəzinədarlıq departamenti</v>
      </c>
      <c r="C247" s="99" t="str">
        <f>'2027'!D245</f>
        <v>Xəzinədarlıq əməliyyatları şöbəsi</v>
      </c>
      <c r="D247" s="100">
        <f>'2027'!F245</f>
        <v>5</v>
      </c>
      <c r="E247" s="100">
        <f>'2027'!G245</f>
        <v>0</v>
      </c>
      <c r="F247" s="100">
        <f>'2027'!H245</f>
        <v>0</v>
      </c>
      <c r="G247" s="101">
        <f t="shared" si="33"/>
        <v>5</v>
      </c>
      <c r="H247" s="100">
        <f>'2027'!V245</f>
        <v>5</v>
      </c>
      <c r="I247" s="101">
        <f t="shared" si="34"/>
        <v>0</v>
      </c>
      <c r="J247" s="102">
        <f t="shared" si="35"/>
        <v>0</v>
      </c>
      <c r="K247" s="94"/>
    </row>
    <row r="248" spans="1:11" s="85" customFormat="1" x14ac:dyDescent="0.35">
      <c r="A248" s="98" t="str">
        <f>'2027'!B246</f>
        <v>Fintech</v>
      </c>
      <c r="B248" s="99" t="str">
        <f>'2027'!C246</f>
        <v>Xəzinədarlıq departamenti</v>
      </c>
      <c r="C248" s="99" t="str">
        <f>'2027'!D246</f>
        <v>İnvestisiya şöbəsi</v>
      </c>
      <c r="D248" s="100">
        <f>'2027'!F246</f>
        <v>3</v>
      </c>
      <c r="E248" s="100">
        <f>'2027'!G246</f>
        <v>0</v>
      </c>
      <c r="F248" s="100">
        <f>'2027'!H246</f>
        <v>0</v>
      </c>
      <c r="G248" s="101">
        <f t="shared" si="33"/>
        <v>3</v>
      </c>
      <c r="H248" s="100">
        <f>'2027'!V246</f>
        <v>3</v>
      </c>
      <c r="I248" s="101">
        <f t="shared" si="34"/>
        <v>0</v>
      </c>
      <c r="J248" s="102">
        <f t="shared" si="35"/>
        <v>0</v>
      </c>
      <c r="K248" s="94"/>
    </row>
    <row r="249" spans="1:11" s="85" customFormat="1" x14ac:dyDescent="0.35">
      <c r="A249" s="98" t="str">
        <f>'2027'!B247</f>
        <v>Fintech</v>
      </c>
      <c r="B249" s="99" t="str">
        <f>'2027'!C247</f>
        <v>Xəzinədarlıq departamenti</v>
      </c>
      <c r="C249" s="99" t="str">
        <f>'2027'!D247</f>
        <v>Beynəlxalq bankçılıq şöbəsi</v>
      </c>
      <c r="D249" s="100">
        <f>'2027'!F247</f>
        <v>5</v>
      </c>
      <c r="E249" s="100">
        <f>'2027'!G247</f>
        <v>0</v>
      </c>
      <c r="F249" s="100">
        <f>'2027'!H247</f>
        <v>1</v>
      </c>
      <c r="G249" s="101">
        <f t="shared" si="33"/>
        <v>6</v>
      </c>
      <c r="H249" s="100">
        <f>'2027'!V247</f>
        <v>6</v>
      </c>
      <c r="I249" s="101">
        <f t="shared" si="34"/>
        <v>1</v>
      </c>
      <c r="J249" s="102">
        <f t="shared" si="35"/>
        <v>0.2</v>
      </c>
      <c r="K249" s="94"/>
    </row>
    <row r="250" spans="1:11" s="85" customFormat="1" x14ac:dyDescent="0.35">
      <c r="A250" s="98" t="str">
        <f>'2027'!B248</f>
        <v>Fintech</v>
      </c>
      <c r="B250" s="99" t="str">
        <f>'2027'!C248</f>
        <v>Xidmət keyfiyyətinin idarə edilməsi departamenti</v>
      </c>
      <c r="C250" s="99" t="str">
        <f>'2027'!D248</f>
        <v>Müştəri müraciətlərinin araşdırılması şöbəsi</v>
      </c>
      <c r="D250" s="100">
        <f>'2027'!F248</f>
        <v>36</v>
      </c>
      <c r="E250" s="100">
        <f>'2027'!G248</f>
        <v>0</v>
      </c>
      <c r="F250" s="100">
        <f>'2027'!H248</f>
        <v>7</v>
      </c>
      <c r="G250" s="101">
        <f t="shared" si="33"/>
        <v>43</v>
      </c>
      <c r="H250" s="100">
        <f>'2027'!V248</f>
        <v>43</v>
      </c>
      <c r="I250" s="101">
        <f t="shared" si="34"/>
        <v>7</v>
      </c>
      <c r="J250" s="102">
        <f t="shared" si="35"/>
        <v>0.19444444444444445</v>
      </c>
      <c r="K250" s="94"/>
    </row>
    <row r="251" spans="1:11" s="85" customFormat="1" x14ac:dyDescent="0.35">
      <c r="A251" s="98" t="str">
        <f>'2027'!B249</f>
        <v>Fintech</v>
      </c>
      <c r="B251" s="99" t="str">
        <f>'2027'!C249</f>
        <v>Xidmət keyfiyyətinin idarə edilməsi departamenti</v>
      </c>
      <c r="C251" s="99" t="str">
        <f>'2027'!D249</f>
        <v>Biznesə texniki dəstək şöbəsi</v>
      </c>
      <c r="D251" s="100">
        <f>'2027'!F249</f>
        <v>12</v>
      </c>
      <c r="E251" s="100">
        <f>'2027'!G249</f>
        <v>0</v>
      </c>
      <c r="F251" s="100">
        <f>'2027'!H249</f>
        <v>1</v>
      </c>
      <c r="G251" s="101">
        <f t="shared" si="33"/>
        <v>13</v>
      </c>
      <c r="H251" s="100">
        <f>'2027'!V249</f>
        <v>13</v>
      </c>
      <c r="I251" s="101">
        <f t="shared" si="34"/>
        <v>1</v>
      </c>
      <c r="J251" s="102">
        <f t="shared" si="35"/>
        <v>8.3333333333333329E-2</v>
      </c>
      <c r="K251" s="94"/>
    </row>
    <row r="252" spans="1:11" s="85" customFormat="1" x14ac:dyDescent="0.35">
      <c r="A252" s="98" t="str">
        <f>'2027'!B250</f>
        <v>Fintech</v>
      </c>
      <c r="B252" s="99" t="str">
        <f>'2027'!C250</f>
        <v>Xidmət keyfiyyətinin idarə edilməsi departamenti</v>
      </c>
      <c r="C252" s="99" t="str">
        <f>'2027'!D250</f>
        <v>Xidmət keyfiyyətinə nəzarət şöbəsi</v>
      </c>
      <c r="D252" s="100">
        <f>'2027'!F250</f>
        <v>22</v>
      </c>
      <c r="E252" s="100">
        <f>'2027'!G250</f>
        <v>0</v>
      </c>
      <c r="F252" s="100">
        <f>'2027'!H250</f>
        <v>0</v>
      </c>
      <c r="G252" s="101">
        <f t="shared" si="33"/>
        <v>22</v>
      </c>
      <c r="H252" s="100">
        <f>'2027'!V250</f>
        <v>20</v>
      </c>
      <c r="I252" s="101">
        <f t="shared" si="34"/>
        <v>-2</v>
      </c>
      <c r="J252" s="102">
        <f t="shared" si="35"/>
        <v>-9.0909090909090912E-2</v>
      </c>
      <c r="K252" s="94"/>
    </row>
    <row r="253" spans="1:11" s="85" customFormat="1" x14ac:dyDescent="0.35">
      <c r="A253" s="98" t="str">
        <f>'2027'!B251</f>
        <v>Fintech</v>
      </c>
      <c r="B253" s="99" t="str">
        <f>'2027'!C251</f>
        <v>Xidmət keyfiyyətinin idarə edilməsi departamenti</v>
      </c>
      <c r="C253" s="99" t="str">
        <f>'2027'!D251</f>
        <v>Xidmət strukturları ilə iş şöbəsi</v>
      </c>
      <c r="D253" s="100">
        <f>'2027'!F251</f>
        <v>18</v>
      </c>
      <c r="E253" s="100">
        <f>'2027'!G251</f>
        <v>0</v>
      </c>
      <c r="F253" s="100">
        <f>'2027'!H251</f>
        <v>0</v>
      </c>
      <c r="G253" s="101">
        <f t="shared" si="33"/>
        <v>18</v>
      </c>
      <c r="H253" s="100">
        <f>'2027'!V251</f>
        <v>16</v>
      </c>
      <c r="I253" s="101">
        <f t="shared" si="34"/>
        <v>-2</v>
      </c>
      <c r="J253" s="102">
        <f t="shared" si="35"/>
        <v>-0.1111111111111111</v>
      </c>
      <c r="K253" s="94"/>
    </row>
    <row r="254" spans="1:11" s="85" customFormat="1" x14ac:dyDescent="0.35">
      <c r="A254" s="98" t="str">
        <f>'2027'!B252</f>
        <v>Fintech</v>
      </c>
      <c r="B254" s="99" t="str">
        <f>'2027'!C252</f>
        <v>Xidmət keyfiyyətinin idarə edilməsi departamenti</v>
      </c>
      <c r="C254" s="99" t="str">
        <f>'2027'!D252</f>
        <v>Müştəri məmnuniyyəti şöbəsi</v>
      </c>
      <c r="D254" s="100">
        <f>'2027'!F252</f>
        <v>37</v>
      </c>
      <c r="E254" s="100">
        <f>'2027'!G252</f>
        <v>0</v>
      </c>
      <c r="F254" s="100">
        <f>'2027'!H252</f>
        <v>1</v>
      </c>
      <c r="G254" s="101">
        <f t="shared" si="33"/>
        <v>38</v>
      </c>
      <c r="H254" s="100">
        <f>'2027'!V252</f>
        <v>38</v>
      </c>
      <c r="I254" s="101">
        <f t="shared" si="34"/>
        <v>1</v>
      </c>
      <c r="J254" s="102">
        <f t="shared" si="35"/>
        <v>2.7027027027027029E-2</v>
      </c>
      <c r="K254" s="94"/>
    </row>
    <row r="255" spans="1:11" s="85" customFormat="1" x14ac:dyDescent="0.35">
      <c r="A255" s="98" t="str">
        <f>'2027'!B253</f>
        <v>Fintech</v>
      </c>
      <c r="B255" s="99" t="str">
        <f>'2027'!C253</f>
        <v>Xidmət keyfiyyətinin idarə edilməsi departamenti</v>
      </c>
      <c r="C255" s="99" t="str">
        <f>'2027'!D253</f>
        <v>Pul və logistika əməliyyatları şöbəsi</v>
      </c>
      <c r="D255" s="100">
        <f>'2027'!F253</f>
        <v>1</v>
      </c>
      <c r="E255" s="100">
        <f>'2027'!G253</f>
        <v>0</v>
      </c>
      <c r="F255" s="100">
        <f>'2027'!H253</f>
        <v>0</v>
      </c>
      <c r="G255" s="101">
        <f t="shared" si="33"/>
        <v>1</v>
      </c>
      <c r="H255" s="100">
        <f>'2027'!V253</f>
        <v>1</v>
      </c>
      <c r="I255" s="101">
        <f t="shared" si="34"/>
        <v>0</v>
      </c>
      <c r="J255" s="102">
        <f t="shared" si="35"/>
        <v>0</v>
      </c>
      <c r="K255" s="94"/>
    </row>
    <row r="256" spans="1:11" s="85" customFormat="1" x14ac:dyDescent="0.35">
      <c r="A256" s="98" t="str">
        <f>'2027'!B254</f>
        <v>Fintech</v>
      </c>
      <c r="B256" s="99" t="str">
        <f>'2027'!C254</f>
        <v>Branches</v>
      </c>
      <c r="C256" s="99" t="str">
        <f>'2027'!D254</f>
        <v>Branch Directors</v>
      </c>
      <c r="D256" s="100">
        <f>'2027'!F254</f>
        <v>154</v>
      </c>
      <c r="E256" s="100">
        <f>'2027'!G254</f>
        <v>0</v>
      </c>
      <c r="F256" s="100">
        <f>'2027'!H254</f>
        <v>0</v>
      </c>
      <c r="G256" s="101">
        <f t="shared" si="33"/>
        <v>154</v>
      </c>
      <c r="H256" s="100">
        <f>'2027'!V254</f>
        <v>154</v>
      </c>
      <c r="I256" s="101">
        <f t="shared" si="34"/>
        <v>0</v>
      </c>
      <c r="J256" s="102">
        <f t="shared" si="35"/>
        <v>0</v>
      </c>
      <c r="K256" s="94"/>
    </row>
    <row r="257" spans="1:12" s="85" customFormat="1" x14ac:dyDescent="0.35">
      <c r="A257" s="98" t="str">
        <f>'2027'!B255</f>
        <v>Fintech</v>
      </c>
      <c r="B257" s="99" t="str">
        <f>'2027'!C255</f>
        <v>Branches</v>
      </c>
      <c r="C257" s="99" t="str">
        <f>'2027'!D255</f>
        <v>ZM managers</v>
      </c>
      <c r="D257" s="100">
        <f>'2027'!F255</f>
        <v>11</v>
      </c>
      <c r="E257" s="100">
        <f>'2027'!G255</f>
        <v>0</v>
      </c>
      <c r="F257" s="100">
        <f>'2027'!H255</f>
        <v>0</v>
      </c>
      <c r="G257" s="101">
        <f t="shared" si="33"/>
        <v>11</v>
      </c>
      <c r="H257" s="100">
        <f>'2027'!V255</f>
        <v>11</v>
      </c>
      <c r="I257" s="101">
        <f t="shared" si="34"/>
        <v>0</v>
      </c>
      <c r="J257" s="102">
        <f t="shared" si="35"/>
        <v>0</v>
      </c>
      <c r="K257" s="94"/>
    </row>
    <row r="258" spans="1:12" s="85" customFormat="1" x14ac:dyDescent="0.35">
      <c r="A258" s="98" t="str">
        <f>'2027'!B256</f>
        <v>Fintech</v>
      </c>
      <c r="B258" s="99" t="str">
        <f>'2027'!C256</f>
        <v>Branches</v>
      </c>
      <c r="C258" s="99" t="str">
        <f>'2027'!D256</f>
        <v>Retail</v>
      </c>
      <c r="D258" s="100">
        <f>'2027'!F256</f>
        <v>1393</v>
      </c>
      <c r="E258" s="100">
        <f>'2027'!G256</f>
        <v>0</v>
      </c>
      <c r="F258" s="100">
        <f>'2027'!H256</f>
        <v>3</v>
      </c>
      <c r="G258" s="101">
        <f t="shared" si="33"/>
        <v>1396</v>
      </c>
      <c r="H258" s="100">
        <f>'2027'!V256</f>
        <v>1390</v>
      </c>
      <c r="I258" s="101">
        <f t="shared" si="34"/>
        <v>-3</v>
      </c>
      <c r="J258" s="102">
        <f t="shared" si="35"/>
        <v>-2.1536252692031586E-3</v>
      </c>
      <c r="K258" s="94"/>
    </row>
    <row r="259" spans="1:12" s="85" customFormat="1" x14ac:dyDescent="0.35">
      <c r="A259" s="98" t="str">
        <f>'2027'!B257</f>
        <v>Fintech</v>
      </c>
      <c r="B259" s="99" t="str">
        <f>'2027'!C257</f>
        <v>Branches</v>
      </c>
      <c r="C259" s="99" t="str">
        <f>'2027'!D257</f>
        <v>VIP</v>
      </c>
      <c r="D259" s="100">
        <f>'2027'!F257</f>
        <v>10</v>
      </c>
      <c r="E259" s="100">
        <f>'2027'!G257</f>
        <v>0</v>
      </c>
      <c r="F259" s="100">
        <f>'2027'!H257</f>
        <v>0</v>
      </c>
      <c r="G259" s="101">
        <f t="shared" si="33"/>
        <v>10</v>
      </c>
      <c r="H259" s="100">
        <f>'2027'!V257</f>
        <v>10</v>
      </c>
      <c r="I259" s="101">
        <f t="shared" si="34"/>
        <v>0</v>
      </c>
      <c r="J259" s="102">
        <f t="shared" si="35"/>
        <v>0</v>
      </c>
      <c r="K259" s="94"/>
    </row>
    <row r="260" spans="1:12" s="85" customFormat="1" x14ac:dyDescent="0.35">
      <c r="A260" s="98" t="str">
        <f>'2027'!B258</f>
        <v>Fintech</v>
      </c>
      <c r="B260" s="99" t="str">
        <f>'2027'!C258</f>
        <v>Branches</v>
      </c>
      <c r="C260" s="99" t="str">
        <f>'2027'!D258</f>
        <v>Micro</v>
      </c>
      <c r="D260" s="100">
        <f>'2027'!F258</f>
        <v>163</v>
      </c>
      <c r="E260" s="100">
        <f>'2027'!G258</f>
        <v>0</v>
      </c>
      <c r="F260" s="100">
        <f>'2027'!H258</f>
        <v>3</v>
      </c>
      <c r="G260" s="101">
        <f t="shared" si="33"/>
        <v>166</v>
      </c>
      <c r="H260" s="100">
        <f>'2027'!V258</f>
        <v>166</v>
      </c>
      <c r="I260" s="101">
        <f t="shared" si="34"/>
        <v>3</v>
      </c>
      <c r="J260" s="102">
        <f t="shared" si="35"/>
        <v>1.8404907975460124E-2</v>
      </c>
      <c r="K260" s="94"/>
    </row>
    <row r="261" spans="1:12" s="85" customFormat="1" x14ac:dyDescent="0.35">
      <c r="A261" s="98" t="str">
        <f>'2027'!B259</f>
        <v>Fintech</v>
      </c>
      <c r="B261" s="99" t="str">
        <f>'2027'!C259</f>
        <v>Branches</v>
      </c>
      <c r="C261" s="99" t="str">
        <f>'2027'!D259</f>
        <v>Administrative</v>
      </c>
      <c r="D261" s="100">
        <f>'2027'!F259</f>
        <v>129</v>
      </c>
      <c r="E261" s="100">
        <f>'2027'!G259</f>
        <v>0</v>
      </c>
      <c r="F261" s="100">
        <f>'2027'!H259</f>
        <v>0</v>
      </c>
      <c r="G261" s="101">
        <f t="shared" si="33"/>
        <v>129</v>
      </c>
      <c r="H261" s="100">
        <f>'2027'!V259</f>
        <v>129</v>
      </c>
      <c r="I261" s="101">
        <f t="shared" si="34"/>
        <v>0</v>
      </c>
      <c r="J261" s="102">
        <f t="shared" si="35"/>
        <v>0</v>
      </c>
      <c r="K261" s="94"/>
    </row>
    <row r="262" spans="1:12" s="85" customFormat="1" x14ac:dyDescent="0.35">
      <c r="A262" s="157" t="str">
        <f>'2027'!B260</f>
        <v>Payment</v>
      </c>
      <c r="B262" s="158" t="str">
        <f>'2027'!C260</f>
        <v>Management</v>
      </c>
      <c r="C262" s="158" t="str">
        <f>'2027'!D260</f>
        <v>C-level, Director, Deputy Director</v>
      </c>
      <c r="D262" s="159">
        <f>'2027'!F260</f>
        <v>11</v>
      </c>
      <c r="E262" s="159">
        <f>'2027'!G260</f>
        <v>0</v>
      </c>
      <c r="F262" s="159">
        <f>'2027'!H260</f>
        <v>0</v>
      </c>
      <c r="G262" s="160">
        <f t="shared" ref="G262:G297" si="36">SUM(D262:F262)</f>
        <v>11</v>
      </c>
      <c r="H262" s="162">
        <f>'2027'!V260</f>
        <v>11</v>
      </c>
      <c r="I262" s="160">
        <f t="shared" ref="I262:I297" si="37">H262-D262</f>
        <v>0</v>
      </c>
      <c r="J262" s="161">
        <f t="shared" ref="J262:J297" si="38">IF(D262=0,0,I262/D262)</f>
        <v>0</v>
      </c>
      <c r="K262" s="153"/>
      <c r="L262" s="153"/>
    </row>
    <row r="263" spans="1:12" s="85" customFormat="1" x14ac:dyDescent="0.35">
      <c r="A263" s="157" t="str">
        <f>'2027'!B261</f>
        <v>Payment</v>
      </c>
      <c r="B263" s="158" t="str">
        <f>'2027'!C261</f>
        <v>Birbonus sahəsi</v>
      </c>
      <c r="C263" s="158" t="str">
        <f>'2027'!D261</f>
        <v>Birbonus sahəsi</v>
      </c>
      <c r="D263" s="159">
        <f>'2027'!F261</f>
        <v>4</v>
      </c>
      <c r="E263" s="159">
        <f>'2027'!G261</f>
        <v>0</v>
      </c>
      <c r="F263" s="159">
        <f>'2027'!H261</f>
        <v>0</v>
      </c>
      <c r="G263" s="160">
        <f t="shared" si="36"/>
        <v>4</v>
      </c>
      <c r="H263" s="162">
        <f>'2027'!V261</f>
        <v>4</v>
      </c>
      <c r="I263" s="160">
        <f t="shared" si="37"/>
        <v>0</v>
      </c>
      <c r="J263" s="161">
        <f t="shared" si="38"/>
        <v>0</v>
      </c>
      <c r="K263" s="153"/>
      <c r="L263" s="153"/>
    </row>
    <row r="264" spans="1:12" s="85" customFormat="1" x14ac:dyDescent="0.35">
      <c r="A264" s="157" t="str">
        <f>'2027'!B262</f>
        <v>Payment</v>
      </c>
      <c r="B264" s="158" t="str">
        <f>'2027'!C262</f>
        <v>Biznes sahələrinin inkişafı və partnyor şəbəkəsi departamenti</v>
      </c>
      <c r="C264" s="158" t="str">
        <f>'2027'!D262</f>
        <v>Biznes sahələrinin inkişafı və partnyor şəbəkəsi departamenti</v>
      </c>
      <c r="D264" s="159">
        <f>'2027'!F262</f>
        <v>82</v>
      </c>
      <c r="E264" s="159">
        <f>'2027'!G262</f>
        <v>0</v>
      </c>
      <c r="F264" s="159">
        <f>'2027'!H262</f>
        <v>0</v>
      </c>
      <c r="G264" s="160">
        <f t="shared" si="36"/>
        <v>82</v>
      </c>
      <c r="H264" s="162">
        <f>'2027'!V262</f>
        <v>89</v>
      </c>
      <c r="I264" s="160">
        <f t="shared" si="37"/>
        <v>7</v>
      </c>
      <c r="J264" s="161">
        <f t="shared" si="38"/>
        <v>8.5365853658536592E-2</v>
      </c>
      <c r="K264" s="153"/>
      <c r="L264" s="153"/>
    </row>
    <row r="265" spans="1:12" s="85" customFormat="1" x14ac:dyDescent="0.35">
      <c r="A265" s="157" t="str">
        <f>'2027'!B263</f>
        <v>Payment</v>
      </c>
      <c r="B265" s="158" t="str">
        <f>'2027'!C263</f>
        <v>Ekvayrinq texnologiyaları sahəsi</v>
      </c>
      <c r="C265" s="158" t="str">
        <f>'2027'!D263</f>
        <v>Ekvayrinq texnologiyaları sahəsi</v>
      </c>
      <c r="D265" s="159">
        <f>'2027'!F263</f>
        <v>3</v>
      </c>
      <c r="E265" s="159">
        <f>'2027'!G263</f>
        <v>0</v>
      </c>
      <c r="F265" s="159">
        <f>'2027'!H263</f>
        <v>0</v>
      </c>
      <c r="G265" s="160">
        <f t="shared" si="36"/>
        <v>3</v>
      </c>
      <c r="H265" s="162">
        <f>'2027'!V263</f>
        <v>5</v>
      </c>
      <c r="I265" s="160">
        <f t="shared" si="37"/>
        <v>2</v>
      </c>
      <c r="J265" s="161">
        <f t="shared" si="38"/>
        <v>0.66666666666666663</v>
      </c>
      <c r="K265" s="153"/>
      <c r="L265" s="153"/>
    </row>
    <row r="266" spans="1:12" s="85" customFormat="1" x14ac:dyDescent="0.35">
      <c r="A266" s="157" t="str">
        <f>'2027'!B264</f>
        <v>Payment</v>
      </c>
      <c r="B266" s="158" t="str">
        <f>'2027'!C264</f>
        <v>Kart biznesi ekspert mərkəzi</v>
      </c>
      <c r="C266" s="158" t="str">
        <f>'2027'!D264</f>
        <v>Kart biznesi ekspert mərkəzi</v>
      </c>
      <c r="D266" s="159">
        <f>'2027'!F264</f>
        <v>11</v>
      </c>
      <c r="E266" s="159">
        <f>'2027'!G264</f>
        <v>0</v>
      </c>
      <c r="F266" s="159">
        <f>'2027'!H264</f>
        <v>0</v>
      </c>
      <c r="G266" s="160">
        <f t="shared" si="36"/>
        <v>11</v>
      </c>
      <c r="H266" s="162">
        <f>'2027'!V264</f>
        <v>14</v>
      </c>
      <c r="I266" s="160">
        <f t="shared" si="37"/>
        <v>3</v>
      </c>
      <c r="J266" s="161">
        <f t="shared" si="38"/>
        <v>0.27272727272727271</v>
      </c>
      <c r="K266" s="153"/>
      <c r="L266" s="153"/>
    </row>
    <row r="267" spans="1:12" s="85" customFormat="1" x14ac:dyDescent="0.35">
      <c r="A267" s="157" t="str">
        <f>'2027'!B265</f>
        <v>Payment</v>
      </c>
      <c r="B267" s="158" t="str">
        <f>'2027'!C265</f>
        <v>Kart məhsulları sahəsi</v>
      </c>
      <c r="C267" s="158" t="str">
        <f>'2027'!D265</f>
        <v>Kart məhsulları sahəsi</v>
      </c>
      <c r="D267" s="159">
        <f>'2027'!F265</f>
        <v>5</v>
      </c>
      <c r="E267" s="159">
        <f>'2027'!G265</f>
        <v>0</v>
      </c>
      <c r="F267" s="159">
        <f>'2027'!H265</f>
        <v>0</v>
      </c>
      <c r="G267" s="160">
        <f t="shared" si="36"/>
        <v>5</v>
      </c>
      <c r="H267" s="162">
        <f>'2027'!V265</f>
        <v>5</v>
      </c>
      <c r="I267" s="160">
        <f t="shared" si="37"/>
        <v>0</v>
      </c>
      <c r="J267" s="161">
        <f t="shared" si="38"/>
        <v>0</v>
      </c>
      <c r="K267" s="153"/>
      <c r="L267" s="153"/>
    </row>
    <row r="268" spans="1:12" s="85" customFormat="1" x14ac:dyDescent="0.35">
      <c r="A268" s="157" t="str">
        <f>'2027'!B266</f>
        <v>Payment</v>
      </c>
      <c r="B268" s="158" t="str">
        <f>'2027'!C266</f>
        <v>Kassa və inkassasiya prosesləri departamenti</v>
      </c>
      <c r="C268" s="158" t="str">
        <f>'2027'!D266</f>
        <v>Kassa və inkassasiya prosesləri departamenti</v>
      </c>
      <c r="D268" s="159">
        <f>'2027'!F266</f>
        <v>440</v>
      </c>
      <c r="E268" s="159">
        <f>'2027'!G266</f>
        <v>0</v>
      </c>
      <c r="F268" s="159">
        <f>'2027'!H266</f>
        <v>0</v>
      </c>
      <c r="G268" s="160">
        <f t="shared" si="36"/>
        <v>440</v>
      </c>
      <c r="H268" s="162">
        <f>'2027'!V266</f>
        <v>470</v>
      </c>
      <c r="I268" s="160">
        <f t="shared" si="37"/>
        <v>30</v>
      </c>
      <c r="J268" s="161">
        <f t="shared" si="38"/>
        <v>6.8181818181818177E-2</v>
      </c>
      <c r="K268" s="153"/>
      <c r="L268" s="153"/>
    </row>
    <row r="269" spans="1:12" s="85" customFormat="1" x14ac:dyDescent="0.35">
      <c r="A269" s="157" t="str">
        <f>'2027'!B267</f>
        <v>Payment</v>
      </c>
      <c r="B269" s="158" t="str">
        <f>'2027'!C267</f>
        <v>Nağd pulların idarə edilməsi departamenti</v>
      </c>
      <c r="C269" s="158" t="str">
        <f>'2027'!D267</f>
        <v>Nağd pulların idarə edilməsi departamenti</v>
      </c>
      <c r="D269" s="159">
        <f>'2027'!F267</f>
        <v>36</v>
      </c>
      <c r="E269" s="159">
        <f>'2027'!G267</f>
        <v>0</v>
      </c>
      <c r="F269" s="159">
        <f>'2027'!H267</f>
        <v>0</v>
      </c>
      <c r="G269" s="160">
        <f t="shared" si="36"/>
        <v>36</v>
      </c>
      <c r="H269" s="162">
        <f>'2027'!V267</f>
        <v>48</v>
      </c>
      <c r="I269" s="160">
        <f t="shared" si="37"/>
        <v>12</v>
      </c>
      <c r="J269" s="161">
        <f t="shared" si="38"/>
        <v>0.33333333333333331</v>
      </c>
      <c r="K269" s="153"/>
      <c r="L269" s="153"/>
    </row>
    <row r="270" spans="1:12" s="85" customFormat="1" x14ac:dyDescent="0.35">
      <c r="A270" s="157" t="str">
        <f>'2027'!B268</f>
        <v>Payment</v>
      </c>
      <c r="B270" s="158" t="str">
        <f>'2027'!C268</f>
        <v>Ödəniş biznesinin Agile funksional sahəsi</v>
      </c>
      <c r="C270" s="158" t="str">
        <f>'2027'!D268</f>
        <v>Ödəniş biznesinin Agile funksional sahəsi</v>
      </c>
      <c r="D270" s="159">
        <f>'2027'!F268</f>
        <v>15</v>
      </c>
      <c r="E270" s="159">
        <f>'2027'!G268</f>
        <v>0</v>
      </c>
      <c r="F270" s="159">
        <f>'2027'!H268</f>
        <v>0</v>
      </c>
      <c r="G270" s="160">
        <f t="shared" si="36"/>
        <v>15</v>
      </c>
      <c r="H270" s="162">
        <f>'2027'!V268</f>
        <v>15</v>
      </c>
      <c r="I270" s="160">
        <f t="shared" si="37"/>
        <v>0</v>
      </c>
      <c r="J270" s="161">
        <f t="shared" si="38"/>
        <v>0</v>
      </c>
      <c r="K270" s="153"/>
      <c r="L270" s="153"/>
    </row>
    <row r="271" spans="1:12" s="85" customFormat="1" x14ac:dyDescent="0.35">
      <c r="A271" s="157" t="str">
        <f>'2027'!B269</f>
        <v>Payment</v>
      </c>
      <c r="B271" s="158" t="str">
        <f>'2027'!C269</f>
        <v>Ödəniş biznesinin Analitika və Aİ ekspert mərkəzi</v>
      </c>
      <c r="C271" s="158" t="str">
        <f>'2027'!D269</f>
        <v>Ödəniş biznesinin Analitika və Aİ ekspert mərkəzi</v>
      </c>
      <c r="D271" s="159">
        <f>'2027'!F269</f>
        <v>40</v>
      </c>
      <c r="E271" s="159">
        <f>'2027'!G269</f>
        <v>0</v>
      </c>
      <c r="F271" s="159">
        <f>'2027'!H269</f>
        <v>0</v>
      </c>
      <c r="G271" s="160">
        <f t="shared" si="36"/>
        <v>40</v>
      </c>
      <c r="H271" s="162">
        <f>'2027'!V269</f>
        <v>59</v>
      </c>
      <c r="I271" s="160">
        <f t="shared" si="37"/>
        <v>19</v>
      </c>
      <c r="J271" s="161">
        <f t="shared" si="38"/>
        <v>0.47499999999999998</v>
      </c>
      <c r="K271" s="153"/>
      <c r="L271" s="153"/>
    </row>
    <row r="272" spans="1:12" s="85" customFormat="1" x14ac:dyDescent="0.35">
      <c r="A272" s="157" t="str">
        <f>'2027'!B270</f>
        <v>Payment</v>
      </c>
      <c r="B272" s="158" t="str">
        <f>'2027'!C270</f>
        <v>Ödəniş biznesinin arxitektura və İT idarəetmə prosesi</v>
      </c>
      <c r="C272" s="158" t="str">
        <f>'2027'!D270</f>
        <v>Ödəniş biznesinin arxitektura və İT idarəetmə prosesi</v>
      </c>
      <c r="D272" s="159">
        <f>'2027'!F270</f>
        <v>4</v>
      </c>
      <c r="E272" s="159">
        <f>'2027'!G270</f>
        <v>0</v>
      </c>
      <c r="F272" s="159">
        <f>'2027'!H270</f>
        <v>0</v>
      </c>
      <c r="G272" s="160">
        <f t="shared" si="36"/>
        <v>4</v>
      </c>
      <c r="H272" s="162">
        <f>'2027'!V270</f>
        <v>4</v>
      </c>
      <c r="I272" s="160">
        <f t="shared" si="37"/>
        <v>0</v>
      </c>
      <c r="J272" s="161">
        <f t="shared" si="38"/>
        <v>0</v>
      </c>
      <c r="K272" s="153"/>
      <c r="L272" s="153"/>
    </row>
    <row r="273" spans="1:12" s="85" customFormat="1" x14ac:dyDescent="0.35">
      <c r="A273" s="157" t="str">
        <f>'2027'!B271</f>
        <v>Payment</v>
      </c>
      <c r="B273" s="158" t="str">
        <f>'2027'!C271</f>
        <v>Ödəniş biznesinin mühəndislik ekspert mərkəzi</v>
      </c>
      <c r="C273" s="158" t="str">
        <f>'2027'!D271</f>
        <v>Ödəniş biznesinin mühəndislik ekspert mərkəzi</v>
      </c>
      <c r="D273" s="159">
        <f>'2027'!F271</f>
        <v>243</v>
      </c>
      <c r="E273" s="159">
        <f>'2027'!G271</f>
        <v>0</v>
      </c>
      <c r="F273" s="159">
        <f>'2027'!H271</f>
        <v>0</v>
      </c>
      <c r="G273" s="160">
        <f t="shared" si="36"/>
        <v>243</v>
      </c>
      <c r="H273" s="162">
        <f>'2027'!V271</f>
        <v>267</v>
      </c>
      <c r="I273" s="160">
        <f t="shared" si="37"/>
        <v>24</v>
      </c>
      <c r="J273" s="161">
        <f t="shared" si="38"/>
        <v>9.8765432098765427E-2</v>
      </c>
      <c r="K273" s="153"/>
      <c r="L273" s="153"/>
    </row>
    <row r="274" spans="1:12" s="85" customFormat="1" x14ac:dyDescent="0.35">
      <c r="A274" s="157" t="str">
        <f>'2027'!B272</f>
        <v>Payment</v>
      </c>
      <c r="B274" s="158" t="str">
        <f>'2027'!C272</f>
        <v>Ödəniş biznesinin TechOps funksional sahəsi</v>
      </c>
      <c r="C274" s="158" t="str">
        <f>'2027'!D272</f>
        <v>Ödəniş biznesinin TechOps funksional sahəsi</v>
      </c>
      <c r="D274" s="159">
        <f>'2027'!F272</f>
        <v>17</v>
      </c>
      <c r="E274" s="159">
        <f>'2027'!G272</f>
        <v>0</v>
      </c>
      <c r="F274" s="159">
        <f>'2027'!H272</f>
        <v>0</v>
      </c>
      <c r="G274" s="160">
        <f t="shared" si="36"/>
        <v>17</v>
      </c>
      <c r="H274" s="162">
        <f>'2027'!V272</f>
        <v>23</v>
      </c>
      <c r="I274" s="160">
        <f t="shared" si="37"/>
        <v>6</v>
      </c>
      <c r="J274" s="161">
        <f t="shared" si="38"/>
        <v>0.35294117647058826</v>
      </c>
      <c r="K274" s="153"/>
      <c r="L274" s="153"/>
    </row>
    <row r="275" spans="1:12" s="85" customFormat="1" x14ac:dyDescent="0.35">
      <c r="A275" s="157" t="str">
        <f>'2027'!B273</f>
        <v>Payment</v>
      </c>
      <c r="B275" s="158" t="str">
        <f>'2027'!C273</f>
        <v>Ödəniş əməliyyatları ofisi</v>
      </c>
      <c r="C275" s="158" t="str">
        <f>'2027'!D273</f>
        <v>Ödəniş əməliyyatları ofisi</v>
      </c>
      <c r="D275" s="159">
        <f>'2027'!F273</f>
        <v>1</v>
      </c>
      <c r="E275" s="159">
        <f>'2027'!G273</f>
        <v>0</v>
      </c>
      <c r="F275" s="159">
        <f>'2027'!H273</f>
        <v>0</v>
      </c>
      <c r="G275" s="160">
        <f t="shared" si="36"/>
        <v>1</v>
      </c>
      <c r="H275" s="162">
        <f>'2027'!V273</f>
        <v>1</v>
      </c>
      <c r="I275" s="160">
        <f t="shared" si="37"/>
        <v>0</v>
      </c>
      <c r="J275" s="161">
        <f t="shared" si="38"/>
        <v>0</v>
      </c>
      <c r="K275" s="153"/>
      <c r="L275" s="153"/>
    </row>
    <row r="276" spans="1:12" s="85" customFormat="1" x14ac:dyDescent="0.35">
      <c r="A276" s="157" t="str">
        <f>'2027'!B274</f>
        <v>Payment</v>
      </c>
      <c r="B276" s="158" t="str">
        <f>'2027'!C274</f>
        <v>Ödəniş platformaları sahəsi</v>
      </c>
      <c r="C276" s="158" t="str">
        <f>'2027'!D274</f>
        <v>Ödəniş platformaları sahəsi</v>
      </c>
      <c r="D276" s="159">
        <f>'2027'!F274</f>
        <v>4</v>
      </c>
      <c r="E276" s="159">
        <f>'2027'!G274</f>
        <v>0</v>
      </c>
      <c r="F276" s="159">
        <f>'2027'!H274</f>
        <v>0</v>
      </c>
      <c r="G276" s="160">
        <f t="shared" si="36"/>
        <v>4</v>
      </c>
      <c r="H276" s="162">
        <f>'2027'!V274</f>
        <v>4</v>
      </c>
      <c r="I276" s="160">
        <f t="shared" si="37"/>
        <v>0</v>
      </c>
      <c r="J276" s="161">
        <f t="shared" si="38"/>
        <v>0</v>
      </c>
      <c r="K276" s="153"/>
      <c r="L276" s="153"/>
    </row>
    <row r="277" spans="1:12" s="85" customFormat="1" x14ac:dyDescent="0.35">
      <c r="A277" s="157" t="str">
        <f>'2027'!B275</f>
        <v>Payment</v>
      </c>
      <c r="B277" s="158" t="str">
        <f>'2027'!C275</f>
        <v>Ödəniş və transferlər sahəsi</v>
      </c>
      <c r="C277" s="158" t="str">
        <f>'2027'!D275</f>
        <v>Ödəniş və transferlər sahəsi</v>
      </c>
      <c r="D277" s="159">
        <f>'2027'!F275</f>
        <v>2</v>
      </c>
      <c r="E277" s="159">
        <f>'2027'!G275</f>
        <v>0</v>
      </c>
      <c r="F277" s="159">
        <f>'2027'!H275</f>
        <v>0</v>
      </c>
      <c r="G277" s="160">
        <f t="shared" si="36"/>
        <v>2</v>
      </c>
      <c r="H277" s="162">
        <f>'2027'!V275</f>
        <v>4</v>
      </c>
      <c r="I277" s="160">
        <f t="shared" si="37"/>
        <v>2</v>
      </c>
      <c r="J277" s="161">
        <f t="shared" si="38"/>
        <v>1</v>
      </c>
      <c r="K277" s="153"/>
      <c r="L277" s="153"/>
    </row>
    <row r="278" spans="1:12" s="85" customFormat="1" x14ac:dyDescent="0.35">
      <c r="A278" s="157" t="str">
        <f>'2027'!B276</f>
        <v>Payment</v>
      </c>
      <c r="B278" s="158" t="str">
        <f>'2027'!C276</f>
        <v>Özünəxidmət terminalları sahəsi</v>
      </c>
      <c r="C278" s="158" t="str">
        <f>'2027'!D276</f>
        <v>Özünəxidmət terminalları sahəsi</v>
      </c>
      <c r="D278" s="159">
        <f>'2027'!F276</f>
        <v>1</v>
      </c>
      <c r="E278" s="159">
        <f>'2027'!G276</f>
        <v>0</v>
      </c>
      <c r="F278" s="159">
        <f>'2027'!H276</f>
        <v>0</v>
      </c>
      <c r="G278" s="160">
        <f t="shared" si="36"/>
        <v>1</v>
      </c>
      <c r="H278" s="162">
        <f>'2027'!V276</f>
        <v>2</v>
      </c>
      <c r="I278" s="160">
        <f t="shared" si="37"/>
        <v>1</v>
      </c>
      <c r="J278" s="161">
        <f t="shared" si="38"/>
        <v>1</v>
      </c>
      <c r="K278" s="153"/>
      <c r="L278" s="153"/>
    </row>
    <row r="279" spans="1:12" s="85" customFormat="1" x14ac:dyDescent="0.35">
      <c r="A279" s="157" t="str">
        <f>'2027'!B277</f>
        <v>Payment</v>
      </c>
      <c r="B279" s="158" t="str">
        <f>'2027'!C277</f>
        <v>Prosessinq sahəsi</v>
      </c>
      <c r="C279" s="158" t="str">
        <f>'2027'!D277</f>
        <v>Prosessinq sahəsi</v>
      </c>
      <c r="D279" s="159">
        <f>'2027'!F277</f>
        <v>2</v>
      </c>
      <c r="E279" s="159">
        <f>'2027'!G277</f>
        <v>0</v>
      </c>
      <c r="F279" s="159">
        <f>'2027'!H277</f>
        <v>0</v>
      </c>
      <c r="G279" s="160">
        <f t="shared" si="36"/>
        <v>2</v>
      </c>
      <c r="H279" s="162">
        <f>'2027'!V277</f>
        <v>3</v>
      </c>
      <c r="I279" s="160">
        <f t="shared" si="37"/>
        <v>1</v>
      </c>
      <c r="J279" s="161">
        <f t="shared" si="38"/>
        <v>0.5</v>
      </c>
      <c r="K279" s="153"/>
      <c r="L279" s="153"/>
    </row>
    <row r="280" spans="1:12" s="85" customFormat="1" x14ac:dyDescent="0.35">
      <c r="A280" s="157" t="str">
        <f>'2027'!B278</f>
        <v>Payment</v>
      </c>
      <c r="B280" s="158" t="str">
        <f>'2027'!C278</f>
        <v>Rəqəmsal dələduzluğa qarşı mübarizə departamenti</v>
      </c>
      <c r="C280" s="158" t="str">
        <f>'2027'!D278</f>
        <v>Rəqəmsal dələduzluğa qarşı mübarizə departamenti</v>
      </c>
      <c r="D280" s="159">
        <f>'2027'!F278</f>
        <v>14</v>
      </c>
      <c r="E280" s="159">
        <f>'2027'!G278</f>
        <v>0</v>
      </c>
      <c r="F280" s="159">
        <f>'2027'!H278</f>
        <v>0</v>
      </c>
      <c r="G280" s="160">
        <f t="shared" si="36"/>
        <v>14</v>
      </c>
      <c r="H280" s="162">
        <f>'2027'!V278</f>
        <v>17</v>
      </c>
      <c r="I280" s="160">
        <f t="shared" si="37"/>
        <v>3</v>
      </c>
      <c r="J280" s="161">
        <f t="shared" si="38"/>
        <v>0.21428571428571427</v>
      </c>
      <c r="K280" s="153"/>
      <c r="L280" s="153"/>
    </row>
    <row r="281" spans="1:12" s="85" customFormat="1" x14ac:dyDescent="0.35">
      <c r="A281" s="157" t="str">
        <f>'2027'!B279</f>
        <v>Payment</v>
      </c>
      <c r="B281" s="158" t="str">
        <f>'2027'!C279</f>
        <v>Texniki dəstək departamenti</v>
      </c>
      <c r="C281" s="158" t="str">
        <f>'2027'!D279</f>
        <v>Texniki dəstək departamenti</v>
      </c>
      <c r="D281" s="159">
        <f>'2027'!F279</f>
        <v>57</v>
      </c>
      <c r="E281" s="159">
        <f>'2027'!G279</f>
        <v>0</v>
      </c>
      <c r="F281" s="159">
        <f>'2027'!H279</f>
        <v>0</v>
      </c>
      <c r="G281" s="160">
        <f t="shared" si="36"/>
        <v>57</v>
      </c>
      <c r="H281" s="162">
        <f>'2027'!V279</f>
        <v>64</v>
      </c>
      <c r="I281" s="160">
        <f t="shared" si="37"/>
        <v>7</v>
      </c>
      <c r="J281" s="161">
        <f t="shared" si="38"/>
        <v>0.12280701754385964</v>
      </c>
      <c r="K281" s="153"/>
      <c r="L281" s="153"/>
    </row>
    <row r="282" spans="1:12" s="85" customFormat="1" x14ac:dyDescent="0.35">
      <c r="A282" s="157" t="str">
        <f>'2027'!B280</f>
        <v>Payment</v>
      </c>
      <c r="B282" s="158" t="str">
        <f>'2027'!C280</f>
        <v>Terminal and ATM department</v>
      </c>
      <c r="C282" s="158" t="str">
        <f>'2027'!D280</f>
        <v>Terminal and ATM department</v>
      </c>
      <c r="D282" s="159">
        <f>'2027'!F280</f>
        <v>27</v>
      </c>
      <c r="E282" s="159">
        <f>'2027'!G280</f>
        <v>0</v>
      </c>
      <c r="F282" s="159">
        <f>'2027'!H280</f>
        <v>0</v>
      </c>
      <c r="G282" s="160">
        <f t="shared" si="36"/>
        <v>27</v>
      </c>
      <c r="H282" s="162">
        <f>'2027'!V280</f>
        <v>27</v>
      </c>
      <c r="I282" s="160">
        <f t="shared" si="37"/>
        <v>0</v>
      </c>
      <c r="J282" s="161">
        <f t="shared" si="38"/>
        <v>0</v>
      </c>
      <c r="K282" s="153"/>
      <c r="L282" s="153"/>
    </row>
    <row r="283" spans="1:12" s="85" customFormat="1" x14ac:dyDescent="0.35">
      <c r="A283" s="157" t="str">
        <f>'2027'!B281</f>
        <v>Payment</v>
      </c>
      <c r="B283" s="158" t="str">
        <f>'2027'!C281</f>
        <v>Terminal business support department</v>
      </c>
      <c r="C283" s="158" t="str">
        <f>'2027'!D281</f>
        <v>Terminal business support department</v>
      </c>
      <c r="D283" s="159">
        <f>'2027'!F281</f>
        <v>136</v>
      </c>
      <c r="E283" s="159">
        <f>'2027'!G281</f>
        <v>0</v>
      </c>
      <c r="F283" s="159">
        <f>'2027'!H281</f>
        <v>0</v>
      </c>
      <c r="G283" s="160">
        <f t="shared" si="36"/>
        <v>136</v>
      </c>
      <c r="H283" s="162">
        <f>'2027'!V281</f>
        <v>137</v>
      </c>
      <c r="I283" s="160">
        <f t="shared" si="37"/>
        <v>1</v>
      </c>
      <c r="J283" s="161">
        <f t="shared" si="38"/>
        <v>7.3529411764705881E-3</v>
      </c>
      <c r="K283" s="153"/>
      <c r="L283" s="153"/>
    </row>
    <row r="284" spans="1:12" s="85" customFormat="1" x14ac:dyDescent="0.35">
      <c r="A284" s="157" t="str">
        <f>'2027'!B282</f>
        <v>Payment</v>
      </c>
      <c r="B284" s="158" t="str">
        <f>'2027'!C282</f>
        <v>Financial management department</v>
      </c>
      <c r="C284" s="158" t="str">
        <f>'2027'!D282</f>
        <v>Financial management department</v>
      </c>
      <c r="D284" s="159">
        <f>'2027'!F282</f>
        <v>13</v>
      </c>
      <c r="E284" s="159">
        <f>'2027'!G282</f>
        <v>0</v>
      </c>
      <c r="F284" s="159">
        <f>'2027'!H282</f>
        <v>4</v>
      </c>
      <c r="G284" s="160">
        <f t="shared" si="36"/>
        <v>17</v>
      </c>
      <c r="H284" s="162">
        <f>'2027'!V282</f>
        <v>19</v>
      </c>
      <c r="I284" s="160">
        <f t="shared" si="37"/>
        <v>6</v>
      </c>
      <c r="J284" s="161">
        <f t="shared" si="38"/>
        <v>0.46153846153846156</v>
      </c>
      <c r="K284" s="153"/>
      <c r="L284" s="153"/>
    </row>
    <row r="285" spans="1:12" s="85" customFormat="1" x14ac:dyDescent="0.35">
      <c r="A285" s="157" t="str">
        <f>'2027'!B283</f>
        <v>Payment</v>
      </c>
      <c r="B285" s="158" t="str">
        <f>'2027'!C283</f>
        <v>Customer excellence department</v>
      </c>
      <c r="C285" s="158" t="str">
        <f>'2027'!D283</f>
        <v>Customer excellence department</v>
      </c>
      <c r="D285" s="159">
        <f>'2027'!F283</f>
        <v>117</v>
      </c>
      <c r="E285" s="159">
        <f>'2027'!G283</f>
        <v>0</v>
      </c>
      <c r="F285" s="159">
        <f>'2027'!H283</f>
        <v>16</v>
      </c>
      <c r="G285" s="160">
        <f t="shared" si="36"/>
        <v>133</v>
      </c>
      <c r="H285" s="162">
        <f>'2027'!V283</f>
        <v>133</v>
      </c>
      <c r="I285" s="160">
        <f t="shared" si="37"/>
        <v>16</v>
      </c>
      <c r="J285" s="161">
        <f t="shared" si="38"/>
        <v>0.13675213675213677</v>
      </c>
      <c r="K285" s="153"/>
      <c r="L285" s="153"/>
    </row>
    <row r="286" spans="1:12" s="85" customFormat="1" x14ac:dyDescent="0.35">
      <c r="A286" s="157" t="str">
        <f>'2027'!B284</f>
        <v>Payment</v>
      </c>
      <c r="B286" s="158" t="str">
        <f>'2027'!C284</f>
        <v>Settlements department</v>
      </c>
      <c r="C286" s="158" t="str">
        <f>'2027'!D284</f>
        <v>Settlements department</v>
      </c>
      <c r="D286" s="159">
        <f>'2027'!F284</f>
        <v>13</v>
      </c>
      <c r="E286" s="159">
        <f>'2027'!G284</f>
        <v>0</v>
      </c>
      <c r="F286" s="159">
        <f>'2027'!H284</f>
        <v>2</v>
      </c>
      <c r="G286" s="160">
        <f t="shared" si="36"/>
        <v>15</v>
      </c>
      <c r="H286" s="162">
        <f>'2027'!V284</f>
        <v>15</v>
      </c>
      <c r="I286" s="160">
        <f t="shared" si="37"/>
        <v>2</v>
      </c>
      <c r="J286" s="161">
        <f t="shared" si="38"/>
        <v>0.15384615384615385</v>
      </c>
      <c r="K286" s="153"/>
      <c r="L286" s="153"/>
    </row>
    <row r="287" spans="1:12" s="85" customFormat="1" x14ac:dyDescent="0.35">
      <c r="A287" s="157" t="str">
        <f>'2027'!B285</f>
        <v>Payment</v>
      </c>
      <c r="B287" s="158" t="str">
        <f>'2027'!C285</f>
        <v>Talent management department</v>
      </c>
      <c r="C287" s="158" t="str">
        <f>'2027'!D285</f>
        <v>Talent management department</v>
      </c>
      <c r="D287" s="159">
        <f>'2027'!F285</f>
        <v>2</v>
      </c>
      <c r="E287" s="159">
        <f>'2027'!G285</f>
        <v>0</v>
      </c>
      <c r="F287" s="159">
        <f>'2027'!H285</f>
        <v>2</v>
      </c>
      <c r="G287" s="160">
        <f t="shared" si="36"/>
        <v>4</v>
      </c>
      <c r="H287" s="162">
        <f>'2027'!V285</f>
        <v>4</v>
      </c>
      <c r="I287" s="160">
        <f t="shared" si="37"/>
        <v>2</v>
      </c>
      <c r="J287" s="161">
        <f t="shared" si="38"/>
        <v>1</v>
      </c>
      <c r="K287" s="153"/>
      <c r="L287" s="153"/>
    </row>
    <row r="288" spans="1:12" s="85" customFormat="1" x14ac:dyDescent="0.35">
      <c r="A288" s="157" t="str">
        <f>'2027'!B286</f>
        <v>Payment</v>
      </c>
      <c r="B288" s="158" t="str">
        <f>'2027'!C286</f>
        <v>Accounting department</v>
      </c>
      <c r="C288" s="158" t="str">
        <f>'2027'!D286</f>
        <v>Accounting department</v>
      </c>
      <c r="D288" s="159">
        <f>'2027'!F286</f>
        <v>1</v>
      </c>
      <c r="E288" s="159">
        <f>'2027'!G286</f>
        <v>0</v>
      </c>
      <c r="F288" s="159">
        <f>'2027'!H286</f>
        <v>0</v>
      </c>
      <c r="G288" s="160">
        <f t="shared" si="36"/>
        <v>1</v>
      </c>
      <c r="H288" s="162">
        <f>'2027'!V286</f>
        <v>1</v>
      </c>
      <c r="I288" s="160">
        <f t="shared" si="37"/>
        <v>0</v>
      </c>
      <c r="J288" s="161">
        <f t="shared" si="38"/>
        <v>0</v>
      </c>
      <c r="K288" s="153"/>
      <c r="L288" s="153"/>
    </row>
    <row r="289" spans="1:12" s="85" customFormat="1" x14ac:dyDescent="0.35">
      <c r="A289" s="157" t="str">
        <f>'2027'!B287</f>
        <v>Payment</v>
      </c>
      <c r="B289" s="158" t="str">
        <f>'2027'!C287</f>
        <v>Encashment division</v>
      </c>
      <c r="C289" s="158" t="str">
        <f>'2027'!D287</f>
        <v>Encashment division</v>
      </c>
      <c r="D289" s="159">
        <f>'2027'!F287</f>
        <v>170</v>
      </c>
      <c r="E289" s="159">
        <f>'2027'!G287</f>
        <v>0</v>
      </c>
      <c r="F289" s="159">
        <f>'2027'!H287</f>
        <v>21</v>
      </c>
      <c r="G289" s="160">
        <f t="shared" si="36"/>
        <v>191</v>
      </c>
      <c r="H289" s="162">
        <f>'2027'!V287</f>
        <v>191</v>
      </c>
      <c r="I289" s="160">
        <f t="shared" si="37"/>
        <v>21</v>
      </c>
      <c r="J289" s="161">
        <f t="shared" si="38"/>
        <v>0.12352941176470589</v>
      </c>
      <c r="K289" s="153"/>
      <c r="L289" s="153"/>
    </row>
    <row r="290" spans="1:12" s="85" customFormat="1" x14ac:dyDescent="0.35">
      <c r="A290" s="157" t="str">
        <f>'2027'!B288</f>
        <v>Payment</v>
      </c>
      <c r="B290" s="158" t="str">
        <f>'2027'!C288</f>
        <v>Fraud prevention division</v>
      </c>
      <c r="C290" s="158" t="str">
        <f>'2027'!D288</f>
        <v>Fraud prevention division</v>
      </c>
      <c r="D290" s="159">
        <f>'2027'!F288</f>
        <v>10</v>
      </c>
      <c r="E290" s="159">
        <f>'2027'!G288</f>
        <v>0</v>
      </c>
      <c r="F290" s="159">
        <f>'2027'!H288</f>
        <v>0</v>
      </c>
      <c r="G290" s="160">
        <f t="shared" si="36"/>
        <v>10</v>
      </c>
      <c r="H290" s="162">
        <f>'2027'!V288</f>
        <v>10</v>
      </c>
      <c r="I290" s="160">
        <f t="shared" si="37"/>
        <v>0</v>
      </c>
      <c r="J290" s="161">
        <f t="shared" si="38"/>
        <v>0</v>
      </c>
      <c r="K290" s="153"/>
      <c r="L290" s="153"/>
    </row>
    <row r="291" spans="1:12" s="85" customFormat="1" x14ac:dyDescent="0.35">
      <c r="A291" s="157" t="str">
        <f>'2027'!B289</f>
        <v>Payment</v>
      </c>
      <c r="B291" s="158" t="str">
        <f>'2027'!C289</f>
        <v>IT Division</v>
      </c>
      <c r="C291" s="158" t="str">
        <f>'2027'!D289</f>
        <v>IT Division</v>
      </c>
      <c r="D291" s="159">
        <f>'2027'!F289</f>
        <v>11</v>
      </c>
      <c r="E291" s="159">
        <f>'2027'!G289</f>
        <v>0</v>
      </c>
      <c r="F291" s="159">
        <f>'2027'!H289</f>
        <v>0</v>
      </c>
      <c r="G291" s="160">
        <f t="shared" si="36"/>
        <v>11</v>
      </c>
      <c r="H291" s="162">
        <f>'2027'!V289</f>
        <v>11</v>
      </c>
      <c r="I291" s="160">
        <f t="shared" si="37"/>
        <v>0</v>
      </c>
      <c r="J291" s="161">
        <f t="shared" si="38"/>
        <v>0</v>
      </c>
      <c r="K291" s="153"/>
      <c r="L291" s="153"/>
    </row>
    <row r="292" spans="1:12" s="85" customFormat="1" x14ac:dyDescent="0.35">
      <c r="A292" s="157" t="str">
        <f>'2027'!B290</f>
        <v>Payment</v>
      </c>
      <c r="B292" s="158" t="str">
        <f>'2027'!C290</f>
        <v>Business optimization division</v>
      </c>
      <c r="C292" s="158" t="str">
        <f>'2027'!D290</f>
        <v>Business optimization division</v>
      </c>
      <c r="D292" s="159">
        <f>'2027'!F290</f>
        <v>1</v>
      </c>
      <c r="E292" s="159">
        <f>'2027'!G290</f>
        <v>0</v>
      </c>
      <c r="F292" s="159">
        <f>'2027'!H290</f>
        <v>0</v>
      </c>
      <c r="G292" s="160">
        <f t="shared" si="36"/>
        <v>1</v>
      </c>
      <c r="H292" s="162">
        <f>'2027'!V290</f>
        <v>1</v>
      </c>
      <c r="I292" s="160">
        <f t="shared" si="37"/>
        <v>0</v>
      </c>
      <c r="J292" s="161">
        <f t="shared" si="38"/>
        <v>0</v>
      </c>
      <c r="K292" s="153"/>
      <c r="L292" s="153"/>
    </row>
    <row r="293" spans="1:12" s="85" customFormat="1" x14ac:dyDescent="0.35">
      <c r="A293" s="157" t="str">
        <f>'2027'!B291</f>
        <v>Payment</v>
      </c>
      <c r="B293" s="158" t="str">
        <f>'2027'!C291</f>
        <v>Products division</v>
      </c>
      <c r="C293" s="158" t="str">
        <f>'2027'!D291</f>
        <v>Products division</v>
      </c>
      <c r="D293" s="159">
        <f>'2027'!F291</f>
        <v>20</v>
      </c>
      <c r="E293" s="159">
        <f>'2027'!G291</f>
        <v>0</v>
      </c>
      <c r="F293" s="159">
        <f>'2027'!H291</f>
        <v>0</v>
      </c>
      <c r="G293" s="160">
        <f t="shared" si="36"/>
        <v>20</v>
      </c>
      <c r="H293" s="162">
        <f>'2027'!V291</f>
        <v>18</v>
      </c>
      <c r="I293" s="160">
        <f t="shared" si="37"/>
        <v>-2</v>
      </c>
      <c r="J293" s="161">
        <f t="shared" si="38"/>
        <v>-0.1</v>
      </c>
      <c r="K293" s="153"/>
      <c r="L293" s="153"/>
    </row>
    <row r="294" spans="1:12" s="85" customFormat="1" x14ac:dyDescent="0.35">
      <c r="A294" s="157" t="str">
        <f>'2027'!B292</f>
        <v>Payment</v>
      </c>
      <c r="B294" s="158" t="str">
        <f>'2027'!C292</f>
        <v>Cross-border and sales tribe</v>
      </c>
      <c r="C294" s="158" t="str">
        <f>'2027'!D292</f>
        <v>Cross-border and sales tribe</v>
      </c>
      <c r="D294" s="159">
        <f>'2027'!F292</f>
        <v>11</v>
      </c>
      <c r="E294" s="159">
        <f>'2027'!G292</f>
        <v>0</v>
      </c>
      <c r="F294" s="159">
        <f>'2027'!H292</f>
        <v>1</v>
      </c>
      <c r="G294" s="160">
        <f t="shared" si="36"/>
        <v>12</v>
      </c>
      <c r="H294" s="162">
        <f>'2027'!V292</f>
        <v>12</v>
      </c>
      <c r="I294" s="160">
        <f t="shared" si="37"/>
        <v>1</v>
      </c>
      <c r="J294" s="161">
        <f t="shared" si="38"/>
        <v>9.0909090909090912E-2</v>
      </c>
      <c r="K294" s="153"/>
      <c r="L294" s="153"/>
    </row>
    <row r="295" spans="1:12" s="85" customFormat="1" x14ac:dyDescent="0.35">
      <c r="A295" s="157" t="str">
        <f>'2027'!B293</f>
        <v>Payment</v>
      </c>
      <c r="B295" s="158" t="str">
        <f>'2027'!C293</f>
        <v>Internal control division</v>
      </c>
      <c r="C295" s="158" t="str">
        <f>'2027'!D293</f>
        <v>Internal control division</v>
      </c>
      <c r="D295" s="159">
        <f>'2027'!F293</f>
        <v>3</v>
      </c>
      <c r="E295" s="159">
        <f>'2027'!G293</f>
        <v>0</v>
      </c>
      <c r="F295" s="159">
        <f>'2027'!H293</f>
        <v>0</v>
      </c>
      <c r="G295" s="160">
        <f t="shared" si="36"/>
        <v>3</v>
      </c>
      <c r="H295" s="162">
        <f>'2027'!V293</f>
        <v>3</v>
      </c>
      <c r="I295" s="160">
        <f t="shared" si="37"/>
        <v>0</v>
      </c>
      <c r="J295" s="161">
        <f t="shared" si="38"/>
        <v>0</v>
      </c>
      <c r="K295" s="153"/>
      <c r="L295" s="153"/>
    </row>
    <row r="296" spans="1:12" s="85" customFormat="1" x14ac:dyDescent="0.35">
      <c r="A296" s="157" t="str">
        <f>'2027'!B294</f>
        <v>Payment</v>
      </c>
      <c r="B296" s="158" t="str">
        <f>'2027'!C294</f>
        <v>Legal division</v>
      </c>
      <c r="C296" s="158" t="str">
        <f>'2027'!D294</f>
        <v>Legal division</v>
      </c>
      <c r="D296" s="159">
        <f>'2027'!F294</f>
        <v>3</v>
      </c>
      <c r="E296" s="159">
        <f>'2027'!G294</f>
        <v>0</v>
      </c>
      <c r="F296" s="159">
        <f>'2027'!H294</f>
        <v>1</v>
      </c>
      <c r="G296" s="160">
        <f t="shared" si="36"/>
        <v>4</v>
      </c>
      <c r="H296" s="162">
        <f>'2027'!V294</f>
        <v>4</v>
      </c>
      <c r="I296" s="160">
        <f t="shared" si="37"/>
        <v>1</v>
      </c>
      <c r="J296" s="161">
        <f t="shared" si="38"/>
        <v>0.33333333333333331</v>
      </c>
      <c r="K296" s="153"/>
      <c r="L296" s="153"/>
    </row>
    <row r="297" spans="1:12" s="85" customFormat="1" x14ac:dyDescent="0.35">
      <c r="A297" s="163" t="str">
        <f>'2027'!B295</f>
        <v>Payment</v>
      </c>
      <c r="B297" s="164" t="str">
        <f>'2027'!C295</f>
        <v>Information security division</v>
      </c>
      <c r="C297" s="164" t="str">
        <f>'2027'!D295</f>
        <v>Information security division</v>
      </c>
      <c r="D297" s="165">
        <f>'2027'!F295</f>
        <v>3</v>
      </c>
      <c r="E297" s="165">
        <f>'2027'!G295</f>
        <v>0</v>
      </c>
      <c r="F297" s="165">
        <f>'2027'!H295</f>
        <v>0</v>
      </c>
      <c r="G297" s="166">
        <f t="shared" si="36"/>
        <v>3</v>
      </c>
      <c r="H297" s="167">
        <f>'2027'!V295</f>
        <v>3</v>
      </c>
      <c r="I297" s="166">
        <f t="shared" si="37"/>
        <v>0</v>
      </c>
      <c r="J297" s="168">
        <f t="shared" si="38"/>
        <v>0</v>
      </c>
      <c r="K297" s="153"/>
      <c r="L297" s="153"/>
    </row>
    <row r="298" spans="1:12" s="85" customFormat="1" x14ac:dyDescent="0.35">
      <c r="A298" s="163" t="str">
        <f>'2027'!B296</f>
        <v>Payment</v>
      </c>
      <c r="B298" s="164" t="str">
        <f>'2027'!C296</f>
        <v>C-level</v>
      </c>
      <c r="C298" s="164" t="str">
        <f>'2027'!D296</f>
        <v>C-level</v>
      </c>
      <c r="D298" s="165">
        <f>'2027'!F296</f>
        <v>3</v>
      </c>
      <c r="E298" s="165">
        <f>'2027'!G296</f>
        <v>0</v>
      </c>
      <c r="F298" s="165">
        <f>'2027'!H296</f>
        <v>0</v>
      </c>
      <c r="G298" s="166">
        <f t="shared" ref="G298" si="39">SUM(D298:F298)</f>
        <v>3</v>
      </c>
      <c r="H298" s="167">
        <f>'2027'!V296</f>
        <v>3</v>
      </c>
      <c r="I298" s="166">
        <f t="shared" ref="I298" si="40">H298-D298</f>
        <v>0</v>
      </c>
      <c r="J298" s="168">
        <f t="shared" ref="J298" si="41">IF(D298=0,0,I298/D298)</f>
        <v>0</v>
      </c>
      <c r="K298" s="153"/>
      <c r="L298" s="153"/>
    </row>
    <row r="299" spans="1:12" x14ac:dyDescent="0.35">
      <c r="A299" s="154" t="s">
        <v>7</v>
      </c>
      <c r="B299" s="154"/>
      <c r="C299" s="154"/>
      <c r="D299" s="155">
        <f>SUM(D6:D298)</f>
        <v>6136</v>
      </c>
      <c r="E299" s="155">
        <f t="shared" ref="E299:I299" si="42">SUM(E6:E298)</f>
        <v>34</v>
      </c>
      <c r="F299" s="155">
        <f t="shared" si="42"/>
        <v>386</v>
      </c>
      <c r="G299" s="155">
        <f t="shared" si="42"/>
        <v>6556</v>
      </c>
      <c r="H299" s="155">
        <f t="shared" si="42"/>
        <v>6644</v>
      </c>
      <c r="I299" s="155">
        <f t="shared" si="42"/>
        <v>508</v>
      </c>
      <c r="J299" s="156">
        <f t="shared" si="35"/>
        <v>8.2790091264667534E-2</v>
      </c>
    </row>
  </sheetData>
  <autoFilter ref="A5:J299" xr:uid="{00000000-0001-0000-0000-000000000000}"/>
  <conditionalFormatting sqref="A6:J6 B7:J116 A7:A144 B118:J144 A145:J261">
    <cfRule type="expression" dxfId="10" priority="6">
      <formula>MOD(SUMPRODUCT(--($B$6:$B6&lt;&gt;$B$5:$B5)),2)=0</formula>
    </cfRule>
  </conditionalFormatting>
  <conditionalFormatting sqref="B6:B116 B118:B261">
    <cfRule type="expression" dxfId="9" priority="7">
      <formula>$B6&lt;&gt;$B5</formula>
    </cfRule>
  </conditionalFormatting>
  <conditionalFormatting sqref="B117">
    <cfRule type="expression" dxfId="8" priority="185">
      <formula>$B117&lt;&gt;$B114</formula>
    </cfRule>
  </conditionalFormatting>
  <conditionalFormatting sqref="B117:J117">
    <cfRule type="expression" dxfId="7" priority="182">
      <formula>MOD(SUMPRODUCT(--($B$6:$B117&lt;&gt;$B$5:$B114)),2)=0</formula>
    </cfRule>
  </conditionalFormatting>
  <conditionalFormatting sqref="D3">
    <cfRule type="expression" dxfId="6" priority="5">
      <formula>LEFT($D$3,1)="⚠"</formula>
    </cfRule>
  </conditionalFormatting>
  <conditionalFormatting sqref="L6:L116 L118:L144">
    <cfRule type="expression" dxfId="5" priority="3">
      <formula>MOD(SUMPRODUCT(--($B$6:$B6&lt;&gt;$B$5:$B5)),2)=0</formula>
    </cfRule>
  </conditionalFormatting>
  <conditionalFormatting sqref="L117">
    <cfRule type="expression" dxfId="4" priority="4">
      <formula>MOD(SUMPRODUCT(--($B$6:$B117&lt;&gt;$B$5:$B114)),2)=0</formula>
    </cfRule>
  </conditionalFormatting>
  <pageMargins left="0.7" right="0.7" top="0.75" bottom="0.75" header="0.3" footer="0.3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6D6F-745E-4E37-8EEF-0C74B71BAB62}">
  <sheetPr>
    <tabColor rgb="FF7F7F7F"/>
    <pageSetUpPr fitToPage="1"/>
  </sheetPr>
  <dimension ref="A1:W296"/>
  <sheetViews>
    <sheetView showGridLines="0" zoomScale="90" zoomScaleNormal="90" workbookViewId="0">
      <pane ySplit="3" topLeftCell="A4" activePane="bottomLeft" state="frozen"/>
      <selection activeCell="F1" sqref="F1"/>
      <selection pane="bottomLeft" activeCell="A2" sqref="A2"/>
    </sheetView>
  </sheetViews>
  <sheetFormatPr defaultRowHeight="14.5" x14ac:dyDescent="0.35"/>
  <cols>
    <col min="1" max="1" width="20.36328125" customWidth="1"/>
    <col min="2" max="2" width="18.54296875" style="85" customWidth="1"/>
    <col min="3" max="3" width="61.08984375" customWidth="1"/>
    <col min="4" max="4" width="66.6328125" customWidth="1"/>
    <col min="5" max="10" width="16.36328125" customWidth="1"/>
    <col min="11" max="22" width="11.453125" customWidth="1"/>
    <col min="23" max="23" width="3.6328125" customWidth="1"/>
  </cols>
  <sheetData>
    <row r="1" spans="1:23" ht="24" customHeight="1" x14ac:dyDescent="0.45">
      <c r="A1" s="4"/>
      <c r="B1" s="4"/>
      <c r="C1" s="9" t="s">
        <v>173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20" customHeight="1" thickBot="1" x14ac:dyDescent="0.4">
      <c r="A2" s="17"/>
      <c r="B2" s="17"/>
      <c r="C2" s="18"/>
      <c r="D2" s="18"/>
      <c r="E2" s="20"/>
      <c r="F2" s="193" t="s">
        <v>10</v>
      </c>
      <c r="G2" s="194"/>
      <c r="H2" s="194"/>
      <c r="I2" s="195" t="s">
        <v>11</v>
      </c>
      <c r="J2" s="196"/>
      <c r="K2" s="26" t="s">
        <v>12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</row>
    <row r="3" spans="1:23" ht="42" customHeight="1" thickBot="1" x14ac:dyDescent="0.4">
      <c r="A3" s="12" t="s">
        <v>176</v>
      </c>
      <c r="B3" s="12" t="s">
        <v>1755</v>
      </c>
      <c r="C3" s="13" t="s">
        <v>13</v>
      </c>
      <c r="D3" s="14" t="s">
        <v>14</v>
      </c>
      <c r="E3" s="21" t="s">
        <v>15</v>
      </c>
      <c r="F3" s="21" t="s">
        <v>16</v>
      </c>
      <c r="G3" s="10" t="s">
        <v>17</v>
      </c>
      <c r="H3" s="10" t="s">
        <v>174</v>
      </c>
      <c r="I3" s="25" t="s">
        <v>18</v>
      </c>
      <c r="J3" s="11" t="s">
        <v>174</v>
      </c>
      <c r="K3" s="21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</row>
    <row r="4" spans="1:23" ht="17" customHeight="1" x14ac:dyDescent="0.35">
      <c r="A4" s="129"/>
      <c r="B4" s="118" t="s">
        <v>1757</v>
      </c>
      <c r="C4" s="27" t="s">
        <v>31</v>
      </c>
      <c r="D4" s="28" t="s">
        <v>32</v>
      </c>
      <c r="E4" s="23">
        <v>0</v>
      </c>
      <c r="F4" s="22">
        <v>0</v>
      </c>
      <c r="G4" s="19">
        <v>0</v>
      </c>
      <c r="H4" s="24">
        <v>0</v>
      </c>
      <c r="I4" s="22">
        <v>0</v>
      </c>
      <c r="J4" s="24">
        <v>0</v>
      </c>
      <c r="K4" s="22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</row>
    <row r="5" spans="1:23" ht="17" customHeight="1" x14ac:dyDescent="0.35">
      <c r="A5" s="130"/>
      <c r="B5" s="119" t="s">
        <v>1757</v>
      </c>
      <c r="C5" s="29" t="s">
        <v>34</v>
      </c>
      <c r="D5" s="30" t="s">
        <v>33</v>
      </c>
      <c r="E5" s="31">
        <v>0</v>
      </c>
      <c r="F5" s="31">
        <v>1</v>
      </c>
      <c r="G5" s="32">
        <v>0</v>
      </c>
      <c r="H5" s="32">
        <v>0</v>
      </c>
      <c r="I5" s="31">
        <v>1</v>
      </c>
      <c r="J5" s="32">
        <v>0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/>
    </row>
    <row r="6" spans="1:23" ht="17" customHeight="1" x14ac:dyDescent="0.35">
      <c r="A6" s="130"/>
      <c r="B6" s="119" t="s">
        <v>1757</v>
      </c>
      <c r="C6" s="29" t="s">
        <v>34</v>
      </c>
      <c r="D6" s="30" t="s">
        <v>34</v>
      </c>
      <c r="E6" s="31">
        <v>0</v>
      </c>
      <c r="F6" s="31">
        <v>29</v>
      </c>
      <c r="G6" s="32">
        <v>2</v>
      </c>
      <c r="H6" s="32">
        <v>7.5</v>
      </c>
      <c r="I6" s="31">
        <v>31</v>
      </c>
      <c r="J6" s="32">
        <v>5.5</v>
      </c>
      <c r="K6" s="31">
        <v>31</v>
      </c>
      <c r="L6" s="31">
        <v>31</v>
      </c>
      <c r="M6" s="31">
        <v>31</v>
      </c>
      <c r="N6" s="31">
        <v>31</v>
      </c>
      <c r="O6" s="31">
        <v>31</v>
      </c>
      <c r="P6" s="31">
        <v>31</v>
      </c>
      <c r="Q6" s="31">
        <v>31</v>
      </c>
      <c r="R6" s="31">
        <v>31</v>
      </c>
      <c r="S6" s="31">
        <v>31</v>
      </c>
      <c r="T6" s="31">
        <v>31</v>
      </c>
      <c r="U6" s="31">
        <v>31</v>
      </c>
      <c r="V6" s="31">
        <f>31+5.5</f>
        <v>36.5</v>
      </c>
    </row>
    <row r="7" spans="1:23" ht="17" customHeight="1" x14ac:dyDescent="0.35">
      <c r="A7" s="130"/>
      <c r="B7" s="119" t="s">
        <v>1757</v>
      </c>
      <c r="C7" s="29" t="s">
        <v>35</v>
      </c>
      <c r="D7" s="30" t="s">
        <v>147</v>
      </c>
      <c r="E7" s="31">
        <v>0</v>
      </c>
      <c r="F7" s="31">
        <v>3</v>
      </c>
      <c r="G7" s="32">
        <v>0</v>
      </c>
      <c r="H7" s="32">
        <v>1</v>
      </c>
      <c r="I7" s="31">
        <v>3</v>
      </c>
      <c r="J7" s="32">
        <v>1</v>
      </c>
      <c r="K7" s="31">
        <v>4</v>
      </c>
      <c r="L7" s="32">
        <v>4</v>
      </c>
      <c r="M7" s="32">
        <v>4</v>
      </c>
      <c r="N7" s="32">
        <v>4</v>
      </c>
      <c r="O7" s="32">
        <v>4</v>
      </c>
      <c r="P7" s="32">
        <v>4</v>
      </c>
      <c r="Q7" s="32">
        <v>4</v>
      </c>
      <c r="R7" s="32">
        <v>4</v>
      </c>
      <c r="S7" s="32">
        <v>4</v>
      </c>
      <c r="T7" s="32">
        <v>3</v>
      </c>
      <c r="U7" s="32">
        <v>3</v>
      </c>
      <c r="V7" s="32">
        <v>4</v>
      </c>
    </row>
    <row r="8" spans="1:23" ht="17" customHeight="1" x14ac:dyDescent="0.35">
      <c r="A8" s="130"/>
      <c r="B8" s="119" t="s">
        <v>1757</v>
      </c>
      <c r="C8" s="29" t="s">
        <v>35</v>
      </c>
      <c r="D8" s="30" t="s">
        <v>148</v>
      </c>
      <c r="E8" s="31">
        <v>0</v>
      </c>
      <c r="F8" s="31">
        <v>4</v>
      </c>
      <c r="G8" s="32">
        <v>1</v>
      </c>
      <c r="H8" s="32">
        <v>2</v>
      </c>
      <c r="I8" s="31">
        <v>7</v>
      </c>
      <c r="J8" s="32">
        <v>0</v>
      </c>
      <c r="K8" s="31">
        <v>7</v>
      </c>
      <c r="L8" s="32">
        <v>7</v>
      </c>
      <c r="M8" s="32">
        <v>7</v>
      </c>
      <c r="N8" s="32">
        <v>7</v>
      </c>
      <c r="O8" s="32">
        <v>7</v>
      </c>
      <c r="P8" s="32">
        <v>7</v>
      </c>
      <c r="Q8" s="32">
        <v>7</v>
      </c>
      <c r="R8" s="32">
        <v>7</v>
      </c>
      <c r="S8" s="32">
        <v>7</v>
      </c>
      <c r="T8" s="32">
        <v>7</v>
      </c>
      <c r="U8" s="32">
        <v>7</v>
      </c>
      <c r="V8" s="32">
        <v>7</v>
      </c>
    </row>
    <row r="9" spans="1:23" ht="17" customHeight="1" x14ac:dyDescent="0.35">
      <c r="A9" s="130"/>
      <c r="B9" s="119" t="s">
        <v>1757</v>
      </c>
      <c r="C9" s="29" t="s">
        <v>35</v>
      </c>
      <c r="D9" s="30" t="s">
        <v>36</v>
      </c>
      <c r="E9" s="31">
        <v>0</v>
      </c>
      <c r="F9" s="31">
        <v>12</v>
      </c>
      <c r="G9" s="32">
        <v>1</v>
      </c>
      <c r="H9" s="32">
        <v>1</v>
      </c>
      <c r="I9" s="31">
        <v>14</v>
      </c>
      <c r="J9" s="32">
        <v>1</v>
      </c>
      <c r="K9" s="31">
        <v>14</v>
      </c>
      <c r="L9" s="32">
        <v>14</v>
      </c>
      <c r="M9" s="32">
        <v>14</v>
      </c>
      <c r="N9" s="32">
        <v>14</v>
      </c>
      <c r="O9" s="32">
        <v>14</v>
      </c>
      <c r="P9" s="32">
        <v>14</v>
      </c>
      <c r="Q9" s="32">
        <v>14</v>
      </c>
      <c r="R9" s="32">
        <v>14</v>
      </c>
      <c r="S9" s="32">
        <v>14</v>
      </c>
      <c r="T9" s="32">
        <v>14</v>
      </c>
      <c r="U9" s="32">
        <v>14</v>
      </c>
      <c r="V9" s="32">
        <v>15</v>
      </c>
    </row>
    <row r="10" spans="1:23" ht="17" customHeight="1" x14ac:dyDescent="0.35">
      <c r="A10" s="130"/>
      <c r="B10" s="119" t="s">
        <v>1757</v>
      </c>
      <c r="C10" s="29" t="s">
        <v>37</v>
      </c>
      <c r="D10" s="30" t="s">
        <v>38</v>
      </c>
      <c r="E10" s="31">
        <v>0</v>
      </c>
      <c r="F10" s="31">
        <v>13</v>
      </c>
      <c r="G10" s="32">
        <v>0</v>
      </c>
      <c r="H10" s="32">
        <v>16</v>
      </c>
      <c r="I10" s="31">
        <v>16</v>
      </c>
      <c r="J10" s="32">
        <v>13</v>
      </c>
      <c r="K10" s="31">
        <v>13</v>
      </c>
      <c r="L10" s="32">
        <v>14</v>
      </c>
      <c r="M10" s="32">
        <v>18</v>
      </c>
      <c r="N10" s="32">
        <v>22</v>
      </c>
      <c r="O10" s="32">
        <v>24</v>
      </c>
      <c r="P10" s="32">
        <v>26</v>
      </c>
      <c r="Q10" s="32">
        <v>28</v>
      </c>
      <c r="R10" s="32">
        <v>29</v>
      </c>
      <c r="S10" s="32">
        <v>29</v>
      </c>
      <c r="T10" s="32">
        <v>29</v>
      </c>
      <c r="U10" s="32">
        <v>29</v>
      </c>
      <c r="V10" s="32">
        <v>29</v>
      </c>
    </row>
    <row r="11" spans="1:23" ht="17" customHeight="1" x14ac:dyDescent="0.35">
      <c r="A11" s="130"/>
      <c r="B11" s="119" t="s">
        <v>1757</v>
      </c>
      <c r="C11" s="29" t="s">
        <v>37</v>
      </c>
      <c r="D11" s="30" t="s">
        <v>33</v>
      </c>
      <c r="E11" s="31">
        <v>0</v>
      </c>
      <c r="F11" s="31">
        <v>1</v>
      </c>
      <c r="G11" s="32">
        <v>0</v>
      </c>
      <c r="H11" s="32">
        <v>0</v>
      </c>
      <c r="I11" s="31">
        <v>0</v>
      </c>
      <c r="J11" s="32">
        <v>0</v>
      </c>
      <c r="K11" s="31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</row>
    <row r="12" spans="1:23" ht="17" customHeight="1" x14ac:dyDescent="0.35">
      <c r="A12" s="130"/>
      <c r="B12" s="119" t="s">
        <v>1757</v>
      </c>
      <c r="C12" s="29" t="s">
        <v>37</v>
      </c>
      <c r="D12" s="30" t="s">
        <v>149</v>
      </c>
      <c r="E12" s="31">
        <v>0</v>
      </c>
      <c r="F12" s="31">
        <v>1</v>
      </c>
      <c r="G12" s="32">
        <v>0</v>
      </c>
      <c r="H12" s="32">
        <v>8</v>
      </c>
      <c r="I12" s="31">
        <v>1</v>
      </c>
      <c r="J12" s="32">
        <v>8</v>
      </c>
      <c r="K12" s="31">
        <v>8</v>
      </c>
      <c r="L12" s="32">
        <v>10</v>
      </c>
      <c r="M12" s="32">
        <v>10</v>
      </c>
      <c r="N12" s="32">
        <v>12</v>
      </c>
      <c r="O12" s="32">
        <v>12</v>
      </c>
      <c r="P12" s="32">
        <v>15</v>
      </c>
      <c r="Q12" s="32">
        <v>15</v>
      </c>
      <c r="R12" s="32">
        <v>15</v>
      </c>
      <c r="S12" s="32">
        <v>15</v>
      </c>
      <c r="T12" s="32">
        <v>15</v>
      </c>
      <c r="U12" s="32">
        <v>15</v>
      </c>
      <c r="V12" s="32">
        <v>15</v>
      </c>
    </row>
    <row r="13" spans="1:23" ht="17" customHeight="1" x14ac:dyDescent="0.35">
      <c r="A13" s="130"/>
      <c r="B13" s="119" t="s">
        <v>1757</v>
      </c>
      <c r="C13" s="29" t="s">
        <v>37</v>
      </c>
      <c r="D13" s="30" t="s">
        <v>150</v>
      </c>
      <c r="E13" s="31">
        <v>0</v>
      </c>
      <c r="F13" s="31">
        <v>0</v>
      </c>
      <c r="G13" s="32">
        <v>0</v>
      </c>
      <c r="H13" s="32">
        <v>2</v>
      </c>
      <c r="I13" s="31">
        <v>0</v>
      </c>
      <c r="J13" s="32">
        <v>2</v>
      </c>
      <c r="K13" s="31">
        <v>2</v>
      </c>
      <c r="L13" s="32">
        <v>2</v>
      </c>
      <c r="M13" s="32">
        <v>2</v>
      </c>
      <c r="N13" s="32">
        <v>2</v>
      </c>
      <c r="O13" s="32">
        <v>2</v>
      </c>
      <c r="P13" s="32">
        <v>2</v>
      </c>
      <c r="Q13" s="32">
        <v>2</v>
      </c>
      <c r="R13" s="32">
        <v>2</v>
      </c>
      <c r="S13" s="32">
        <v>2</v>
      </c>
      <c r="T13" s="32">
        <v>2</v>
      </c>
      <c r="U13" s="32">
        <v>2</v>
      </c>
      <c r="V13" s="32">
        <v>2</v>
      </c>
    </row>
    <row r="14" spans="1:23" ht="17" customHeight="1" x14ac:dyDescent="0.35">
      <c r="A14" s="130"/>
      <c r="B14" s="119" t="s">
        <v>1757</v>
      </c>
      <c r="C14" s="29" t="s">
        <v>37</v>
      </c>
      <c r="D14" s="30" t="s">
        <v>151</v>
      </c>
      <c r="E14" s="31">
        <v>0</v>
      </c>
      <c r="F14" s="31">
        <v>1</v>
      </c>
      <c r="G14" s="32">
        <v>0</v>
      </c>
      <c r="H14" s="32">
        <v>1</v>
      </c>
      <c r="I14" s="31">
        <v>1</v>
      </c>
      <c r="J14" s="32">
        <v>1</v>
      </c>
      <c r="K14" s="31">
        <v>2</v>
      </c>
      <c r="L14" s="32">
        <v>2</v>
      </c>
      <c r="M14" s="32">
        <v>2</v>
      </c>
      <c r="N14" s="32">
        <v>2</v>
      </c>
      <c r="O14" s="32">
        <v>2</v>
      </c>
      <c r="P14" s="32">
        <v>2</v>
      </c>
      <c r="Q14" s="32">
        <v>2</v>
      </c>
      <c r="R14" s="32">
        <v>2</v>
      </c>
      <c r="S14" s="32">
        <v>2</v>
      </c>
      <c r="T14" s="32">
        <v>2</v>
      </c>
      <c r="U14" s="32">
        <v>2</v>
      </c>
      <c r="V14" s="32">
        <v>2</v>
      </c>
    </row>
    <row r="15" spans="1:23" ht="17" customHeight="1" x14ac:dyDescent="0.35">
      <c r="A15" s="130"/>
      <c r="B15" s="119" t="s">
        <v>1757</v>
      </c>
      <c r="C15" s="29" t="s">
        <v>39</v>
      </c>
      <c r="D15" s="30" t="s">
        <v>33</v>
      </c>
      <c r="E15" s="31">
        <v>0</v>
      </c>
      <c r="F15" s="31">
        <v>1</v>
      </c>
      <c r="G15" s="32">
        <v>0</v>
      </c>
      <c r="H15" s="32">
        <v>0</v>
      </c>
      <c r="I15" s="31">
        <v>1</v>
      </c>
      <c r="J15" s="32">
        <v>0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</row>
    <row r="16" spans="1:23" ht="17" customHeight="1" x14ac:dyDescent="0.35">
      <c r="A16" s="130"/>
      <c r="B16" s="119" t="s">
        <v>1757</v>
      </c>
      <c r="C16" s="29" t="s">
        <v>39</v>
      </c>
      <c r="D16" s="30" t="s">
        <v>39</v>
      </c>
      <c r="E16" s="31">
        <v>0</v>
      </c>
      <c r="F16" s="31">
        <v>6</v>
      </c>
      <c r="G16" s="32">
        <v>0</v>
      </c>
      <c r="H16" s="32">
        <v>2</v>
      </c>
      <c r="I16" s="31">
        <v>6</v>
      </c>
      <c r="J16" s="32">
        <v>2</v>
      </c>
      <c r="K16" s="31">
        <v>6</v>
      </c>
      <c r="L16" s="32">
        <v>6</v>
      </c>
      <c r="M16" s="32">
        <v>7</v>
      </c>
      <c r="N16" s="32">
        <v>7</v>
      </c>
      <c r="O16" s="32">
        <v>7</v>
      </c>
      <c r="P16" s="32">
        <v>8</v>
      </c>
      <c r="Q16" s="32">
        <v>8</v>
      </c>
      <c r="R16" s="32">
        <v>8</v>
      </c>
      <c r="S16" s="32">
        <v>8</v>
      </c>
      <c r="T16" s="32">
        <v>8</v>
      </c>
      <c r="U16" s="32">
        <v>8</v>
      </c>
      <c r="V16" s="32">
        <v>8</v>
      </c>
    </row>
    <row r="17" spans="1:22" ht="17" customHeight="1" x14ac:dyDescent="0.35">
      <c r="A17" s="130"/>
      <c r="B17" s="119" t="s">
        <v>1757</v>
      </c>
      <c r="C17" s="29" t="s">
        <v>40</v>
      </c>
      <c r="D17" s="30" t="s">
        <v>33</v>
      </c>
      <c r="E17" s="31">
        <v>0</v>
      </c>
      <c r="F17" s="31">
        <v>1</v>
      </c>
      <c r="G17" s="32"/>
      <c r="H17" s="32">
        <v>0</v>
      </c>
      <c r="I17" s="31">
        <v>1</v>
      </c>
      <c r="J17" s="31">
        <v>0</v>
      </c>
      <c r="K17" s="32">
        <v>1</v>
      </c>
      <c r="L17" s="32">
        <v>1</v>
      </c>
      <c r="M17" s="32">
        <v>1</v>
      </c>
      <c r="N17" s="32">
        <v>1</v>
      </c>
      <c r="O17" s="32">
        <v>1</v>
      </c>
      <c r="P17" s="32">
        <v>1</v>
      </c>
      <c r="Q17" s="32">
        <v>1</v>
      </c>
      <c r="R17" s="32">
        <v>1</v>
      </c>
      <c r="S17" s="32">
        <v>1</v>
      </c>
      <c r="T17" s="32">
        <v>1</v>
      </c>
      <c r="U17" s="32">
        <v>1</v>
      </c>
      <c r="V17" s="32">
        <v>1</v>
      </c>
    </row>
    <row r="18" spans="1:22" ht="17" customHeight="1" x14ac:dyDescent="0.35">
      <c r="A18" s="130"/>
      <c r="B18" s="119" t="s">
        <v>1757</v>
      </c>
      <c r="C18" s="29" t="s">
        <v>40</v>
      </c>
      <c r="D18" s="30" t="s">
        <v>41</v>
      </c>
      <c r="E18" s="31">
        <v>0</v>
      </c>
      <c r="F18" s="31">
        <v>4</v>
      </c>
      <c r="G18" s="32">
        <v>1</v>
      </c>
      <c r="H18" s="32">
        <v>0</v>
      </c>
      <c r="I18" s="31">
        <v>4</v>
      </c>
      <c r="J18" s="31">
        <v>0</v>
      </c>
      <c r="K18" s="32">
        <v>4</v>
      </c>
      <c r="L18" s="32">
        <v>4</v>
      </c>
      <c r="M18" s="32">
        <v>4</v>
      </c>
      <c r="N18" s="32">
        <v>4</v>
      </c>
      <c r="O18" s="32">
        <v>4</v>
      </c>
      <c r="P18" s="32">
        <v>4</v>
      </c>
      <c r="Q18" s="32">
        <v>5</v>
      </c>
      <c r="R18" s="32">
        <v>5</v>
      </c>
      <c r="S18" s="32">
        <v>5</v>
      </c>
      <c r="T18" s="32">
        <v>5</v>
      </c>
      <c r="U18" s="32">
        <v>5</v>
      </c>
      <c r="V18" s="32">
        <v>5</v>
      </c>
    </row>
    <row r="19" spans="1:22" ht="17" customHeight="1" x14ac:dyDescent="0.35">
      <c r="A19" s="130"/>
      <c r="B19" s="119" t="s">
        <v>1757</v>
      </c>
      <c r="C19" s="29" t="s">
        <v>40</v>
      </c>
      <c r="D19" s="30" t="s">
        <v>42</v>
      </c>
      <c r="E19" s="31">
        <v>0</v>
      </c>
      <c r="F19" s="31">
        <v>2</v>
      </c>
      <c r="G19" s="32">
        <v>2</v>
      </c>
      <c r="H19" s="32">
        <v>4</v>
      </c>
      <c r="I19" s="31">
        <v>7</v>
      </c>
      <c r="J19" s="31">
        <v>0</v>
      </c>
      <c r="K19" s="32">
        <v>6</v>
      </c>
      <c r="L19" s="32">
        <v>6</v>
      </c>
      <c r="M19" s="32">
        <v>6</v>
      </c>
      <c r="N19" s="32">
        <v>6</v>
      </c>
      <c r="O19" s="32">
        <v>6</v>
      </c>
      <c r="P19" s="32">
        <v>6</v>
      </c>
      <c r="Q19" s="32">
        <v>7</v>
      </c>
      <c r="R19" s="32">
        <v>7</v>
      </c>
      <c r="S19" s="32">
        <v>7</v>
      </c>
      <c r="T19" s="32">
        <v>9</v>
      </c>
      <c r="U19" s="32">
        <v>9</v>
      </c>
      <c r="V19" s="32">
        <v>9</v>
      </c>
    </row>
    <row r="20" spans="1:22" ht="16.75" customHeight="1" x14ac:dyDescent="0.35">
      <c r="A20" s="130"/>
      <c r="B20" s="119" t="s">
        <v>1757</v>
      </c>
      <c r="C20" s="29" t="s">
        <v>40</v>
      </c>
      <c r="D20" s="30" t="s">
        <v>43</v>
      </c>
      <c r="E20" s="31">
        <v>0</v>
      </c>
      <c r="F20" s="31">
        <v>4</v>
      </c>
      <c r="G20" s="32">
        <v>0</v>
      </c>
      <c r="H20" s="32">
        <v>4</v>
      </c>
      <c r="I20" s="31">
        <v>6</v>
      </c>
      <c r="J20" s="31">
        <v>2</v>
      </c>
      <c r="K20" s="32">
        <v>7</v>
      </c>
      <c r="L20" s="32">
        <v>7</v>
      </c>
      <c r="M20" s="32">
        <v>7</v>
      </c>
      <c r="N20" s="32">
        <v>7</v>
      </c>
      <c r="O20" s="32">
        <v>7</v>
      </c>
      <c r="P20" s="32">
        <v>7</v>
      </c>
      <c r="Q20" s="32">
        <v>7</v>
      </c>
      <c r="R20" s="32">
        <v>7</v>
      </c>
      <c r="S20" s="32">
        <v>7</v>
      </c>
      <c r="T20" s="32">
        <v>7</v>
      </c>
      <c r="U20" s="32">
        <v>7</v>
      </c>
      <c r="V20" s="32">
        <v>7</v>
      </c>
    </row>
    <row r="21" spans="1:22" ht="17" customHeight="1" x14ac:dyDescent="0.35">
      <c r="A21" s="130"/>
      <c r="B21" s="119" t="s">
        <v>1757</v>
      </c>
      <c r="C21" s="29" t="s">
        <v>44</v>
      </c>
      <c r="D21" s="30" t="s">
        <v>33</v>
      </c>
      <c r="E21" s="31">
        <v>0</v>
      </c>
      <c r="F21" s="31">
        <v>1</v>
      </c>
      <c r="G21" s="32">
        <v>0</v>
      </c>
      <c r="H21" s="32">
        <v>0</v>
      </c>
      <c r="I21" s="31">
        <v>1</v>
      </c>
      <c r="J21" s="32">
        <v>0</v>
      </c>
      <c r="K21" s="31">
        <v>1</v>
      </c>
      <c r="L21" s="32">
        <v>1</v>
      </c>
      <c r="M21" s="32">
        <v>1</v>
      </c>
      <c r="N21" s="32">
        <v>1</v>
      </c>
      <c r="O21" s="32">
        <v>1</v>
      </c>
      <c r="P21" s="32">
        <v>1</v>
      </c>
      <c r="Q21" s="32">
        <v>1</v>
      </c>
      <c r="R21" s="32">
        <v>1</v>
      </c>
      <c r="S21" s="32">
        <v>1</v>
      </c>
      <c r="T21" s="32">
        <v>1</v>
      </c>
      <c r="U21" s="32">
        <v>1</v>
      </c>
      <c r="V21" s="32">
        <v>1</v>
      </c>
    </row>
    <row r="22" spans="1:22" ht="17" customHeight="1" x14ac:dyDescent="0.35">
      <c r="A22" s="130"/>
      <c r="B22" s="119" t="s">
        <v>1757</v>
      </c>
      <c r="C22" s="29" t="s">
        <v>44</v>
      </c>
      <c r="D22" s="30" t="s">
        <v>45</v>
      </c>
      <c r="E22" s="31">
        <v>0</v>
      </c>
      <c r="F22" s="31">
        <v>1</v>
      </c>
      <c r="G22" s="32">
        <v>0</v>
      </c>
      <c r="H22" s="32">
        <v>0</v>
      </c>
      <c r="I22" s="31">
        <v>1</v>
      </c>
      <c r="J22" s="32">
        <v>0</v>
      </c>
      <c r="K22" s="31">
        <v>1</v>
      </c>
      <c r="L22" s="32">
        <v>1</v>
      </c>
      <c r="M22" s="32">
        <v>1</v>
      </c>
      <c r="N22" s="32">
        <v>1</v>
      </c>
      <c r="O22" s="32">
        <v>1</v>
      </c>
      <c r="P22" s="32">
        <v>1</v>
      </c>
      <c r="Q22" s="32">
        <v>1</v>
      </c>
      <c r="R22" s="32">
        <v>1</v>
      </c>
      <c r="S22" s="32">
        <v>1</v>
      </c>
      <c r="T22" s="32">
        <v>1</v>
      </c>
      <c r="U22" s="32">
        <v>1</v>
      </c>
      <c r="V22" s="32">
        <v>1</v>
      </c>
    </row>
    <row r="23" spans="1:22" ht="17" customHeight="1" x14ac:dyDescent="0.35">
      <c r="A23" s="130"/>
      <c r="B23" s="119" t="s">
        <v>1757</v>
      </c>
      <c r="C23" s="29" t="s">
        <v>44</v>
      </c>
      <c r="D23" s="30" t="s">
        <v>46</v>
      </c>
      <c r="E23" s="31">
        <v>0</v>
      </c>
      <c r="F23" s="31">
        <v>1</v>
      </c>
      <c r="G23" s="32">
        <v>0</v>
      </c>
      <c r="H23" s="32">
        <v>0</v>
      </c>
      <c r="I23" s="31">
        <v>1</v>
      </c>
      <c r="J23" s="32">
        <v>0</v>
      </c>
      <c r="K23" s="31">
        <v>1</v>
      </c>
      <c r="L23" s="32">
        <v>1</v>
      </c>
      <c r="M23" s="32">
        <v>1</v>
      </c>
      <c r="N23" s="32">
        <v>1</v>
      </c>
      <c r="O23" s="32">
        <v>1</v>
      </c>
      <c r="P23" s="32">
        <v>1</v>
      </c>
      <c r="Q23" s="32">
        <v>1</v>
      </c>
      <c r="R23" s="32">
        <v>1</v>
      </c>
      <c r="S23" s="32">
        <v>1</v>
      </c>
      <c r="T23" s="32">
        <v>1</v>
      </c>
      <c r="U23" s="32">
        <v>1</v>
      </c>
      <c r="V23" s="32">
        <v>1</v>
      </c>
    </row>
    <row r="24" spans="1:22" ht="17" customHeight="1" x14ac:dyDescent="0.35">
      <c r="A24" s="130"/>
      <c r="B24" s="119" t="s">
        <v>1757</v>
      </c>
      <c r="C24" s="29" t="s">
        <v>44</v>
      </c>
      <c r="D24" s="30" t="s">
        <v>152</v>
      </c>
      <c r="E24" s="31">
        <v>0</v>
      </c>
      <c r="F24" s="31">
        <v>1</v>
      </c>
      <c r="G24" s="32">
        <v>0</v>
      </c>
      <c r="H24" s="32">
        <v>0</v>
      </c>
      <c r="I24" s="31">
        <v>1</v>
      </c>
      <c r="J24" s="32">
        <v>0</v>
      </c>
      <c r="K24" s="31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</row>
    <row r="25" spans="1:22" ht="17" customHeight="1" x14ac:dyDescent="0.35">
      <c r="A25" s="130"/>
      <c r="B25" s="119" t="s">
        <v>1757</v>
      </c>
      <c r="C25" s="29" t="s">
        <v>44</v>
      </c>
      <c r="D25" s="30" t="s">
        <v>153</v>
      </c>
      <c r="E25" s="31">
        <v>0</v>
      </c>
      <c r="F25" s="31">
        <v>1</v>
      </c>
      <c r="G25" s="32">
        <v>0</v>
      </c>
      <c r="H25" s="32">
        <v>0</v>
      </c>
      <c r="I25" s="31">
        <v>1</v>
      </c>
      <c r="J25" s="32">
        <v>0</v>
      </c>
      <c r="K25" s="31">
        <v>1</v>
      </c>
      <c r="L25" s="32">
        <v>1</v>
      </c>
      <c r="M25" s="32">
        <v>1</v>
      </c>
      <c r="N25" s="32">
        <v>1</v>
      </c>
      <c r="O25" s="32">
        <v>1</v>
      </c>
      <c r="P25" s="32">
        <v>1</v>
      </c>
      <c r="Q25" s="32">
        <v>1</v>
      </c>
      <c r="R25" s="32">
        <v>1</v>
      </c>
      <c r="S25" s="32">
        <v>1</v>
      </c>
      <c r="T25" s="32">
        <v>1</v>
      </c>
      <c r="U25" s="32">
        <v>1</v>
      </c>
      <c r="V25" s="32">
        <v>1</v>
      </c>
    </row>
    <row r="26" spans="1:22" ht="17" customHeight="1" x14ac:dyDescent="0.35">
      <c r="A26" s="130"/>
      <c r="B26" s="119" t="s">
        <v>1757</v>
      </c>
      <c r="C26" s="29" t="s">
        <v>47</v>
      </c>
      <c r="D26" s="30" t="s">
        <v>33</v>
      </c>
      <c r="E26" s="31"/>
      <c r="F26" s="31">
        <v>1</v>
      </c>
      <c r="G26" s="32"/>
      <c r="H26" s="32"/>
      <c r="I26" s="31">
        <v>1</v>
      </c>
      <c r="J26" s="32"/>
      <c r="K26" s="31">
        <v>1</v>
      </c>
      <c r="L26" s="31">
        <v>1</v>
      </c>
      <c r="M26" s="31">
        <v>1</v>
      </c>
      <c r="N26" s="31">
        <v>1</v>
      </c>
      <c r="O26" s="31">
        <v>1</v>
      </c>
      <c r="P26" s="31">
        <v>1</v>
      </c>
      <c r="Q26" s="31">
        <v>1</v>
      </c>
      <c r="R26" s="31">
        <v>1</v>
      </c>
      <c r="S26" s="31">
        <v>1</v>
      </c>
      <c r="T26" s="31">
        <v>1</v>
      </c>
      <c r="U26" s="31">
        <v>1</v>
      </c>
      <c r="V26" s="31">
        <v>1</v>
      </c>
    </row>
    <row r="27" spans="1:22" ht="17" customHeight="1" x14ac:dyDescent="0.35">
      <c r="A27" s="130"/>
      <c r="B27" s="119" t="s">
        <v>1757</v>
      </c>
      <c r="C27" s="29" t="s">
        <v>47</v>
      </c>
      <c r="D27" s="30" t="s">
        <v>48</v>
      </c>
      <c r="E27" s="31">
        <v>0</v>
      </c>
      <c r="F27" s="31">
        <v>1</v>
      </c>
      <c r="G27" s="32">
        <v>0</v>
      </c>
      <c r="H27" s="32">
        <v>1</v>
      </c>
      <c r="I27" s="31">
        <v>1</v>
      </c>
      <c r="J27" s="32">
        <v>1</v>
      </c>
      <c r="K27" s="31">
        <f>I27</f>
        <v>1</v>
      </c>
      <c r="L27" s="32">
        <f>K27</f>
        <v>1</v>
      </c>
      <c r="M27" s="32">
        <f t="shared" ref="M27:V27" si="0">L27</f>
        <v>1</v>
      </c>
      <c r="N27" s="32">
        <f t="shared" si="0"/>
        <v>1</v>
      </c>
      <c r="O27" s="32">
        <f t="shared" si="0"/>
        <v>1</v>
      </c>
      <c r="P27" s="32">
        <f t="shared" si="0"/>
        <v>1</v>
      </c>
      <c r="Q27" s="32">
        <f>P27+J27</f>
        <v>2</v>
      </c>
      <c r="R27" s="32">
        <f t="shared" si="0"/>
        <v>2</v>
      </c>
      <c r="S27" s="32">
        <f t="shared" si="0"/>
        <v>2</v>
      </c>
      <c r="T27" s="32">
        <f t="shared" si="0"/>
        <v>2</v>
      </c>
      <c r="U27" s="32">
        <f t="shared" si="0"/>
        <v>2</v>
      </c>
      <c r="V27" s="32">
        <f t="shared" si="0"/>
        <v>2</v>
      </c>
    </row>
    <row r="28" spans="1:22" ht="17" customHeight="1" x14ac:dyDescent="0.35">
      <c r="A28" s="130"/>
      <c r="B28" s="119" t="s">
        <v>1757</v>
      </c>
      <c r="C28" s="29" t="s">
        <v>47</v>
      </c>
      <c r="D28" s="30" t="s">
        <v>154</v>
      </c>
      <c r="E28" s="31">
        <v>0</v>
      </c>
      <c r="F28" s="31">
        <v>0</v>
      </c>
      <c r="G28" s="32">
        <v>0</v>
      </c>
      <c r="H28" s="32">
        <v>0</v>
      </c>
      <c r="I28" s="31">
        <v>0</v>
      </c>
      <c r="J28" s="32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</row>
    <row r="29" spans="1:22" ht="17" customHeight="1" x14ac:dyDescent="0.35">
      <c r="A29" s="130"/>
      <c r="B29" s="119" t="s">
        <v>1757</v>
      </c>
      <c r="C29" s="29" t="s">
        <v>49</v>
      </c>
      <c r="D29" s="30" t="s">
        <v>33</v>
      </c>
      <c r="E29" s="31">
        <v>0</v>
      </c>
      <c r="F29" s="31">
        <v>1</v>
      </c>
      <c r="G29" s="32">
        <v>0</v>
      </c>
      <c r="H29" s="32">
        <v>0</v>
      </c>
      <c r="I29" s="31">
        <v>1</v>
      </c>
      <c r="J29" s="32">
        <v>0</v>
      </c>
      <c r="K29" s="31">
        <v>1</v>
      </c>
      <c r="L29" s="32">
        <v>1</v>
      </c>
      <c r="M29" s="32">
        <v>1</v>
      </c>
      <c r="N29" s="32">
        <v>1</v>
      </c>
      <c r="O29" s="32">
        <v>1</v>
      </c>
      <c r="P29" s="32">
        <v>1</v>
      </c>
      <c r="Q29" s="32">
        <v>1</v>
      </c>
      <c r="R29" s="32">
        <v>1</v>
      </c>
      <c r="S29" s="32">
        <v>1</v>
      </c>
      <c r="T29" s="32">
        <v>1</v>
      </c>
      <c r="U29" s="32">
        <v>1</v>
      </c>
      <c r="V29" s="32">
        <v>1</v>
      </c>
    </row>
    <row r="30" spans="1:22" ht="17" customHeight="1" x14ac:dyDescent="0.35">
      <c r="A30" s="130"/>
      <c r="B30" s="119" t="s">
        <v>1757</v>
      </c>
      <c r="C30" s="29" t="s">
        <v>49</v>
      </c>
      <c r="D30" s="30" t="s">
        <v>50</v>
      </c>
      <c r="E30" s="31">
        <v>0</v>
      </c>
      <c r="F30" s="31">
        <v>3</v>
      </c>
      <c r="G30" s="32">
        <v>0</v>
      </c>
      <c r="H30" s="32">
        <v>2</v>
      </c>
      <c r="I30" s="31">
        <v>3</v>
      </c>
      <c r="J30" s="32">
        <v>2</v>
      </c>
      <c r="K30" s="31">
        <v>3</v>
      </c>
      <c r="L30" s="32">
        <v>3</v>
      </c>
      <c r="M30" s="32">
        <v>4</v>
      </c>
      <c r="N30" s="32">
        <v>4</v>
      </c>
      <c r="O30" s="32">
        <v>5</v>
      </c>
      <c r="P30" s="32">
        <v>5</v>
      </c>
      <c r="Q30" s="32">
        <v>5</v>
      </c>
      <c r="R30" s="32">
        <v>5</v>
      </c>
      <c r="S30" s="32">
        <v>5</v>
      </c>
      <c r="T30" s="32">
        <v>5</v>
      </c>
      <c r="U30" s="32">
        <v>5</v>
      </c>
      <c r="V30" s="32">
        <v>5</v>
      </c>
    </row>
    <row r="31" spans="1:22" ht="17" customHeight="1" x14ac:dyDescent="0.35">
      <c r="A31" s="130"/>
      <c r="B31" s="119" t="s">
        <v>1757</v>
      </c>
      <c r="C31" s="29" t="s">
        <v>49</v>
      </c>
      <c r="D31" s="30" t="s">
        <v>51</v>
      </c>
      <c r="E31" s="31">
        <v>0</v>
      </c>
      <c r="F31" s="31">
        <v>6</v>
      </c>
      <c r="G31" s="32">
        <v>0</v>
      </c>
      <c r="H31" s="32">
        <v>2</v>
      </c>
      <c r="I31" s="31">
        <v>6</v>
      </c>
      <c r="J31" s="32">
        <v>2</v>
      </c>
      <c r="K31" s="31">
        <v>6</v>
      </c>
      <c r="L31" s="32">
        <v>6</v>
      </c>
      <c r="M31" s="32">
        <v>6</v>
      </c>
      <c r="N31" s="32">
        <v>7</v>
      </c>
      <c r="O31" s="32">
        <v>7</v>
      </c>
      <c r="P31" s="32">
        <v>8</v>
      </c>
      <c r="Q31" s="32">
        <v>8</v>
      </c>
      <c r="R31" s="32">
        <v>8</v>
      </c>
      <c r="S31" s="32">
        <v>8</v>
      </c>
      <c r="T31" s="32">
        <v>8</v>
      </c>
      <c r="U31" s="32">
        <v>8</v>
      </c>
      <c r="V31" s="32">
        <v>8</v>
      </c>
    </row>
    <row r="32" spans="1:22" ht="17" customHeight="1" x14ac:dyDescent="0.35">
      <c r="A32" s="130"/>
      <c r="B32" s="119" t="s">
        <v>1757</v>
      </c>
      <c r="C32" s="29" t="s">
        <v>49</v>
      </c>
      <c r="D32" s="30" t="s">
        <v>52</v>
      </c>
      <c r="E32" s="31">
        <v>0</v>
      </c>
      <c r="F32" s="31">
        <v>10</v>
      </c>
      <c r="G32" s="32">
        <v>0</v>
      </c>
      <c r="H32" s="32">
        <v>6</v>
      </c>
      <c r="I32" s="31">
        <v>10</v>
      </c>
      <c r="J32" s="32">
        <v>6</v>
      </c>
      <c r="K32" s="31">
        <v>10</v>
      </c>
      <c r="L32" s="32">
        <v>10</v>
      </c>
      <c r="M32" s="32">
        <v>12</v>
      </c>
      <c r="N32" s="32">
        <v>14</v>
      </c>
      <c r="O32" s="32">
        <v>14</v>
      </c>
      <c r="P32" s="32">
        <v>16</v>
      </c>
      <c r="Q32" s="32">
        <v>16</v>
      </c>
      <c r="R32" s="32">
        <v>16</v>
      </c>
      <c r="S32" s="32">
        <v>16</v>
      </c>
      <c r="T32" s="32">
        <v>16</v>
      </c>
      <c r="U32" s="32">
        <v>16</v>
      </c>
      <c r="V32" s="32">
        <v>16</v>
      </c>
    </row>
    <row r="33" spans="1:22" ht="17" customHeight="1" x14ac:dyDescent="0.35">
      <c r="A33" s="130"/>
      <c r="B33" s="119" t="s">
        <v>1757</v>
      </c>
      <c r="C33" s="29" t="s">
        <v>155</v>
      </c>
      <c r="D33" s="30" t="s">
        <v>33</v>
      </c>
      <c r="E33" s="31">
        <v>0</v>
      </c>
      <c r="F33" s="31">
        <v>1</v>
      </c>
      <c r="G33" s="32">
        <v>0</v>
      </c>
      <c r="H33" s="32">
        <v>0</v>
      </c>
      <c r="I33" s="31">
        <v>1</v>
      </c>
      <c r="J33" s="32">
        <v>0</v>
      </c>
      <c r="K33" s="31">
        <v>1</v>
      </c>
      <c r="L33" s="32">
        <f t="shared" ref="L33:U33" si="1">K33</f>
        <v>1</v>
      </c>
      <c r="M33" s="32">
        <f t="shared" si="1"/>
        <v>1</v>
      </c>
      <c r="N33" s="32">
        <f t="shared" si="1"/>
        <v>1</v>
      </c>
      <c r="O33" s="32">
        <f t="shared" si="1"/>
        <v>1</v>
      </c>
      <c r="P33" s="32">
        <f t="shared" si="1"/>
        <v>1</v>
      </c>
      <c r="Q33" s="32">
        <f t="shared" si="1"/>
        <v>1</v>
      </c>
      <c r="R33" s="32">
        <f t="shared" si="1"/>
        <v>1</v>
      </c>
      <c r="S33" s="32">
        <f t="shared" si="1"/>
        <v>1</v>
      </c>
      <c r="T33" s="32">
        <f t="shared" si="1"/>
        <v>1</v>
      </c>
      <c r="U33" s="32">
        <f t="shared" si="1"/>
        <v>1</v>
      </c>
      <c r="V33" s="32">
        <v>1</v>
      </c>
    </row>
    <row r="34" spans="1:22" ht="17" customHeight="1" x14ac:dyDescent="0.35">
      <c r="A34" s="130"/>
      <c r="B34" s="119" t="s">
        <v>1757</v>
      </c>
      <c r="C34" s="29" t="s">
        <v>155</v>
      </c>
      <c r="D34" s="30" t="s">
        <v>156</v>
      </c>
      <c r="E34" s="31">
        <v>0</v>
      </c>
      <c r="F34" s="31">
        <v>6</v>
      </c>
      <c r="G34" s="32">
        <v>0</v>
      </c>
      <c r="H34" s="32">
        <v>1</v>
      </c>
      <c r="I34" s="31">
        <v>6</v>
      </c>
      <c r="J34" s="32">
        <v>1</v>
      </c>
      <c r="K34" s="31">
        <v>7</v>
      </c>
      <c r="L34" s="31">
        <v>7</v>
      </c>
      <c r="M34" s="31">
        <v>7</v>
      </c>
      <c r="N34" s="31">
        <v>7</v>
      </c>
      <c r="O34" s="31">
        <v>7</v>
      </c>
      <c r="P34" s="31">
        <v>7</v>
      </c>
      <c r="Q34" s="31">
        <v>7</v>
      </c>
      <c r="R34" s="31">
        <v>7</v>
      </c>
      <c r="S34" s="31">
        <v>7</v>
      </c>
      <c r="T34" s="31">
        <v>7</v>
      </c>
      <c r="U34" s="31">
        <v>7</v>
      </c>
      <c r="V34" s="31">
        <v>7</v>
      </c>
    </row>
    <row r="35" spans="1:22" ht="17" customHeight="1" x14ac:dyDescent="0.35">
      <c r="A35" s="130"/>
      <c r="B35" s="119" t="s">
        <v>1757</v>
      </c>
      <c r="C35" s="29" t="s">
        <v>155</v>
      </c>
      <c r="D35" s="30" t="s">
        <v>157</v>
      </c>
      <c r="E35" s="31">
        <v>0</v>
      </c>
      <c r="F35" s="31">
        <v>6</v>
      </c>
      <c r="G35" s="32">
        <v>1</v>
      </c>
      <c r="H35" s="32">
        <v>2</v>
      </c>
      <c r="I35" s="31">
        <v>6</v>
      </c>
      <c r="J35" s="32">
        <v>1</v>
      </c>
      <c r="K35" s="31">
        <v>7</v>
      </c>
      <c r="L35" s="32">
        <v>7</v>
      </c>
      <c r="M35" s="32">
        <v>7</v>
      </c>
      <c r="N35" s="32">
        <v>7</v>
      </c>
      <c r="O35" s="32">
        <v>7</v>
      </c>
      <c r="P35" s="32">
        <v>7</v>
      </c>
      <c r="Q35" s="32">
        <v>7</v>
      </c>
      <c r="R35" s="32">
        <v>7</v>
      </c>
      <c r="S35" s="32">
        <v>7</v>
      </c>
      <c r="T35" s="32">
        <v>7</v>
      </c>
      <c r="U35" s="32">
        <v>7</v>
      </c>
      <c r="V35" s="32">
        <v>7</v>
      </c>
    </row>
    <row r="36" spans="1:22" ht="17" customHeight="1" x14ac:dyDescent="0.35">
      <c r="A36" s="130"/>
      <c r="B36" s="119" t="s">
        <v>1757</v>
      </c>
      <c r="C36" s="29" t="s">
        <v>155</v>
      </c>
      <c r="D36" s="30" t="s">
        <v>158</v>
      </c>
      <c r="E36" s="31">
        <v>0</v>
      </c>
      <c r="F36" s="31">
        <v>5</v>
      </c>
      <c r="G36" s="32">
        <v>0</v>
      </c>
      <c r="H36" s="32">
        <v>1</v>
      </c>
      <c r="I36" s="31">
        <v>5</v>
      </c>
      <c r="J36" s="32">
        <v>1</v>
      </c>
      <c r="K36" s="31">
        <v>6</v>
      </c>
      <c r="L36" s="32">
        <v>6</v>
      </c>
      <c r="M36" s="32">
        <v>6</v>
      </c>
      <c r="N36" s="32">
        <v>6</v>
      </c>
      <c r="O36" s="32">
        <v>6</v>
      </c>
      <c r="P36" s="32">
        <v>6</v>
      </c>
      <c r="Q36" s="32">
        <v>6</v>
      </c>
      <c r="R36" s="32">
        <v>6</v>
      </c>
      <c r="S36" s="32">
        <v>6</v>
      </c>
      <c r="T36" s="32">
        <v>6</v>
      </c>
      <c r="U36" s="32">
        <v>6</v>
      </c>
      <c r="V36" s="32">
        <v>6</v>
      </c>
    </row>
    <row r="37" spans="1:22" ht="17" customHeight="1" x14ac:dyDescent="0.35">
      <c r="A37" s="130"/>
      <c r="B37" s="119" t="s">
        <v>1757</v>
      </c>
      <c r="C37" s="29" t="s">
        <v>155</v>
      </c>
      <c r="D37" s="30" t="s">
        <v>159</v>
      </c>
      <c r="E37" s="31">
        <v>0</v>
      </c>
      <c r="F37" s="31">
        <v>5</v>
      </c>
      <c r="G37" s="32">
        <v>0</v>
      </c>
      <c r="H37" s="32">
        <v>0</v>
      </c>
      <c r="I37" s="31">
        <v>5</v>
      </c>
      <c r="J37" s="32">
        <v>0</v>
      </c>
      <c r="K37" s="31">
        <v>5</v>
      </c>
      <c r="L37" s="32">
        <v>5</v>
      </c>
      <c r="M37" s="32">
        <v>5</v>
      </c>
      <c r="N37" s="32">
        <v>5</v>
      </c>
      <c r="O37" s="32">
        <v>5</v>
      </c>
      <c r="P37" s="32">
        <v>5</v>
      </c>
      <c r="Q37" s="32">
        <v>5</v>
      </c>
      <c r="R37" s="32">
        <v>5</v>
      </c>
      <c r="S37" s="32">
        <v>5</v>
      </c>
      <c r="T37" s="32">
        <v>5</v>
      </c>
      <c r="U37" s="32">
        <v>5</v>
      </c>
      <c r="V37" s="32">
        <v>5</v>
      </c>
    </row>
    <row r="38" spans="1:22" ht="17" customHeight="1" x14ac:dyDescent="0.35">
      <c r="A38" s="130"/>
      <c r="B38" s="119" t="s">
        <v>1757</v>
      </c>
      <c r="C38" s="29" t="s">
        <v>160</v>
      </c>
      <c r="D38" s="30" t="s">
        <v>161</v>
      </c>
      <c r="E38" s="31">
        <v>0</v>
      </c>
      <c r="F38" s="31">
        <v>4</v>
      </c>
      <c r="G38" s="32">
        <v>0</v>
      </c>
      <c r="H38" s="32">
        <v>0</v>
      </c>
      <c r="I38" s="31">
        <v>4</v>
      </c>
      <c r="J38" s="32">
        <v>0</v>
      </c>
      <c r="K38" s="31">
        <v>4</v>
      </c>
      <c r="L38" s="32">
        <v>4</v>
      </c>
      <c r="M38" s="32">
        <v>4</v>
      </c>
      <c r="N38" s="32">
        <v>4</v>
      </c>
      <c r="O38" s="32">
        <v>4</v>
      </c>
      <c r="P38" s="32">
        <v>4</v>
      </c>
      <c r="Q38" s="32">
        <v>4</v>
      </c>
      <c r="R38" s="32">
        <v>4</v>
      </c>
      <c r="S38" s="32">
        <v>4</v>
      </c>
      <c r="T38" s="32">
        <v>4</v>
      </c>
      <c r="U38" s="32">
        <v>4</v>
      </c>
      <c r="V38" s="32">
        <v>4</v>
      </c>
    </row>
    <row r="39" spans="1:22" ht="17" customHeight="1" x14ac:dyDescent="0.35">
      <c r="A39" s="130"/>
      <c r="B39" s="119" t="s">
        <v>1757</v>
      </c>
      <c r="C39" s="29" t="s">
        <v>53</v>
      </c>
      <c r="D39" s="30" t="s">
        <v>33</v>
      </c>
      <c r="E39" s="31">
        <v>0</v>
      </c>
      <c r="F39" s="31">
        <v>4</v>
      </c>
      <c r="G39" s="32">
        <v>0</v>
      </c>
      <c r="H39" s="32">
        <v>4</v>
      </c>
      <c r="I39" s="31">
        <v>7</v>
      </c>
      <c r="J39" s="32">
        <v>1</v>
      </c>
      <c r="K39" s="31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8</v>
      </c>
    </row>
    <row r="40" spans="1:22" ht="17" customHeight="1" x14ac:dyDescent="0.35">
      <c r="A40" s="130"/>
      <c r="B40" s="119" t="s">
        <v>1757</v>
      </c>
      <c r="C40" s="29" t="s">
        <v>53</v>
      </c>
      <c r="D40" s="30" t="s">
        <v>54</v>
      </c>
      <c r="E40" s="31">
        <v>0</v>
      </c>
      <c r="F40" s="31">
        <v>9</v>
      </c>
      <c r="G40" s="32">
        <v>1</v>
      </c>
      <c r="H40" s="32">
        <v>0</v>
      </c>
      <c r="I40" s="31">
        <v>9</v>
      </c>
      <c r="J40" s="32">
        <v>1</v>
      </c>
      <c r="K40" s="31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10</v>
      </c>
    </row>
    <row r="41" spans="1:22" ht="17" customHeight="1" x14ac:dyDescent="0.35">
      <c r="A41" s="130"/>
      <c r="B41" s="119" t="s">
        <v>1757</v>
      </c>
      <c r="C41" s="29" t="s">
        <v>53</v>
      </c>
      <c r="D41" s="30" t="s">
        <v>55</v>
      </c>
      <c r="E41" s="31">
        <v>0</v>
      </c>
      <c r="F41" s="31">
        <v>20</v>
      </c>
      <c r="G41" s="32">
        <v>0</v>
      </c>
      <c r="H41" s="32">
        <v>1</v>
      </c>
      <c r="I41" s="31">
        <v>20</v>
      </c>
      <c r="J41" s="32">
        <v>1</v>
      </c>
      <c r="K41" s="31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32">
        <v>0</v>
      </c>
      <c r="V41" s="32">
        <v>21</v>
      </c>
    </row>
    <row r="42" spans="1:22" ht="17" customHeight="1" x14ac:dyDescent="0.35">
      <c r="A42" s="130"/>
      <c r="B42" s="119" t="s">
        <v>1757</v>
      </c>
      <c r="C42" s="29" t="s">
        <v>53</v>
      </c>
      <c r="D42" s="30" t="s">
        <v>56</v>
      </c>
      <c r="E42" s="31">
        <v>0</v>
      </c>
      <c r="F42" s="31">
        <v>5</v>
      </c>
      <c r="G42" s="32">
        <v>0</v>
      </c>
      <c r="H42" s="32">
        <v>1</v>
      </c>
      <c r="I42" s="31">
        <v>5</v>
      </c>
      <c r="J42" s="32">
        <v>1</v>
      </c>
      <c r="K42" s="31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6</v>
      </c>
    </row>
    <row r="43" spans="1:22" ht="17" customHeight="1" x14ac:dyDescent="0.35">
      <c r="A43" s="130"/>
      <c r="B43" s="119" t="s">
        <v>1757</v>
      </c>
      <c r="C43" s="29" t="s">
        <v>53</v>
      </c>
      <c r="D43" s="30" t="s">
        <v>57</v>
      </c>
      <c r="E43" s="31">
        <v>0</v>
      </c>
      <c r="F43" s="31">
        <v>6</v>
      </c>
      <c r="G43" s="32">
        <v>0</v>
      </c>
      <c r="H43" s="32">
        <v>1</v>
      </c>
      <c r="I43" s="31">
        <v>6</v>
      </c>
      <c r="J43" s="32">
        <v>1</v>
      </c>
      <c r="K43" s="31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7</v>
      </c>
    </row>
    <row r="44" spans="1:22" ht="17" customHeight="1" x14ac:dyDescent="0.35">
      <c r="A44" s="130"/>
      <c r="B44" s="119" t="s">
        <v>1757</v>
      </c>
      <c r="C44" s="29" t="s">
        <v>53</v>
      </c>
      <c r="D44" s="30" t="s">
        <v>58</v>
      </c>
      <c r="E44" s="31">
        <v>0</v>
      </c>
      <c r="F44" s="31">
        <v>6</v>
      </c>
      <c r="G44" s="32">
        <v>0</v>
      </c>
      <c r="H44" s="32">
        <v>2</v>
      </c>
      <c r="I44" s="31">
        <v>7</v>
      </c>
      <c r="J44" s="32">
        <v>1</v>
      </c>
      <c r="K44" s="31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8</v>
      </c>
    </row>
    <row r="45" spans="1:22" ht="17" customHeight="1" x14ac:dyDescent="0.35">
      <c r="A45" s="130"/>
      <c r="B45" s="119" t="s">
        <v>1757</v>
      </c>
      <c r="C45" s="29" t="s">
        <v>53</v>
      </c>
      <c r="D45" s="30" t="s">
        <v>59</v>
      </c>
      <c r="E45" s="31">
        <v>0</v>
      </c>
      <c r="F45" s="31">
        <v>3</v>
      </c>
      <c r="G45" s="32">
        <v>0</v>
      </c>
      <c r="H45" s="32">
        <v>0</v>
      </c>
      <c r="I45" s="31">
        <v>3</v>
      </c>
      <c r="J45" s="32">
        <v>0</v>
      </c>
      <c r="K45" s="31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3</v>
      </c>
    </row>
    <row r="46" spans="1:22" ht="17" customHeight="1" x14ac:dyDescent="0.35">
      <c r="A46" s="130"/>
      <c r="B46" s="119" t="s">
        <v>1757</v>
      </c>
      <c r="C46" s="29" t="s">
        <v>60</v>
      </c>
      <c r="D46" s="30" t="s">
        <v>33</v>
      </c>
      <c r="E46" s="31">
        <v>0</v>
      </c>
      <c r="F46" s="31">
        <v>1</v>
      </c>
      <c r="G46" s="32">
        <v>0</v>
      </c>
      <c r="H46" s="32">
        <v>0</v>
      </c>
      <c r="I46" s="31">
        <v>1</v>
      </c>
      <c r="J46" s="32">
        <v>0</v>
      </c>
      <c r="K46" s="31">
        <v>1</v>
      </c>
      <c r="L46" s="32">
        <v>1</v>
      </c>
      <c r="M46" s="32">
        <v>1</v>
      </c>
      <c r="N46" s="32">
        <v>1</v>
      </c>
      <c r="O46" s="32">
        <v>1</v>
      </c>
      <c r="P46" s="32">
        <v>1</v>
      </c>
      <c r="Q46" s="32">
        <v>1</v>
      </c>
      <c r="R46" s="32">
        <v>1</v>
      </c>
      <c r="S46" s="32">
        <v>1</v>
      </c>
      <c r="T46" s="32">
        <v>1</v>
      </c>
      <c r="U46" s="32">
        <v>1</v>
      </c>
      <c r="V46" s="32">
        <v>1</v>
      </c>
    </row>
    <row r="47" spans="1:22" ht="17" customHeight="1" x14ac:dyDescent="0.35">
      <c r="A47" s="130"/>
      <c r="B47" s="119" t="s">
        <v>1757</v>
      </c>
      <c r="C47" s="29" t="s">
        <v>60</v>
      </c>
      <c r="D47" s="30" t="s">
        <v>61</v>
      </c>
      <c r="E47" s="31">
        <v>0</v>
      </c>
      <c r="F47" s="31">
        <v>1</v>
      </c>
      <c r="G47" s="32">
        <v>0</v>
      </c>
      <c r="H47" s="32">
        <v>0</v>
      </c>
      <c r="I47" s="31">
        <v>1</v>
      </c>
      <c r="J47" s="32">
        <v>0</v>
      </c>
      <c r="K47" s="31">
        <v>1</v>
      </c>
      <c r="L47" s="32">
        <v>1</v>
      </c>
      <c r="M47" s="32">
        <v>1</v>
      </c>
      <c r="N47" s="32">
        <v>1</v>
      </c>
      <c r="O47" s="32">
        <v>1</v>
      </c>
      <c r="P47" s="32">
        <v>1</v>
      </c>
      <c r="Q47" s="32">
        <v>1</v>
      </c>
      <c r="R47" s="32">
        <v>1</v>
      </c>
      <c r="S47" s="32">
        <v>1</v>
      </c>
      <c r="T47" s="32">
        <v>1</v>
      </c>
      <c r="U47" s="32">
        <v>1</v>
      </c>
      <c r="V47" s="32">
        <v>1</v>
      </c>
    </row>
    <row r="48" spans="1:22" ht="17" customHeight="1" x14ac:dyDescent="0.35">
      <c r="A48" s="130"/>
      <c r="B48" s="119" t="s">
        <v>1757</v>
      </c>
      <c r="C48" s="29" t="s">
        <v>60</v>
      </c>
      <c r="D48" s="30" t="s">
        <v>62</v>
      </c>
      <c r="E48" s="31">
        <v>0</v>
      </c>
      <c r="F48" s="31">
        <v>1</v>
      </c>
      <c r="G48" s="32">
        <v>0</v>
      </c>
      <c r="H48" s="32">
        <v>0</v>
      </c>
      <c r="I48" s="31">
        <v>1</v>
      </c>
      <c r="J48" s="32">
        <v>0</v>
      </c>
      <c r="K48" s="31">
        <v>1</v>
      </c>
      <c r="L48" s="32">
        <v>1</v>
      </c>
      <c r="M48" s="32">
        <v>1</v>
      </c>
      <c r="N48" s="32">
        <v>1</v>
      </c>
      <c r="O48" s="32">
        <v>1</v>
      </c>
      <c r="P48" s="32">
        <v>1</v>
      </c>
      <c r="Q48" s="32">
        <v>1</v>
      </c>
      <c r="R48" s="32">
        <v>1</v>
      </c>
      <c r="S48" s="32">
        <v>1</v>
      </c>
      <c r="T48" s="32">
        <v>1</v>
      </c>
      <c r="U48" s="32">
        <v>1</v>
      </c>
      <c r="V48" s="32">
        <v>1</v>
      </c>
    </row>
    <row r="49" spans="1:22" ht="17" customHeight="1" x14ac:dyDescent="0.35">
      <c r="A49" s="130"/>
      <c r="B49" s="119" t="s">
        <v>1757</v>
      </c>
      <c r="C49" s="29" t="s">
        <v>60</v>
      </c>
      <c r="D49" s="30" t="s">
        <v>63</v>
      </c>
      <c r="E49" s="31">
        <v>0</v>
      </c>
      <c r="F49" s="31">
        <v>1</v>
      </c>
      <c r="G49" s="32">
        <v>0</v>
      </c>
      <c r="H49" s="32">
        <v>0</v>
      </c>
      <c r="I49" s="31">
        <v>1</v>
      </c>
      <c r="J49" s="32">
        <v>0</v>
      </c>
      <c r="K49" s="31">
        <v>1</v>
      </c>
      <c r="L49" s="32">
        <v>1</v>
      </c>
      <c r="M49" s="32">
        <v>1</v>
      </c>
      <c r="N49" s="32">
        <v>1</v>
      </c>
      <c r="O49" s="32">
        <v>1</v>
      </c>
      <c r="P49" s="32">
        <v>1</v>
      </c>
      <c r="Q49" s="32">
        <v>1</v>
      </c>
      <c r="R49" s="32">
        <v>1</v>
      </c>
      <c r="S49" s="32">
        <v>1</v>
      </c>
      <c r="T49" s="32">
        <v>1</v>
      </c>
      <c r="U49" s="32">
        <v>1</v>
      </c>
      <c r="V49" s="32">
        <v>1</v>
      </c>
    </row>
    <row r="50" spans="1:22" ht="17" customHeight="1" x14ac:dyDescent="0.35">
      <c r="A50" s="130"/>
      <c r="B50" s="119" t="s">
        <v>1757</v>
      </c>
      <c r="C50" s="29" t="s">
        <v>64</v>
      </c>
      <c r="D50" s="30" t="s">
        <v>33</v>
      </c>
      <c r="E50" s="31">
        <v>0</v>
      </c>
      <c r="F50" s="31">
        <v>2</v>
      </c>
      <c r="G50" s="32">
        <v>0</v>
      </c>
      <c r="H50" s="32">
        <v>0</v>
      </c>
      <c r="I50" s="31">
        <v>2</v>
      </c>
      <c r="J50" s="32">
        <v>0</v>
      </c>
      <c r="K50" s="31">
        <v>2</v>
      </c>
      <c r="L50" s="31">
        <v>2</v>
      </c>
      <c r="M50" s="31">
        <v>2</v>
      </c>
      <c r="N50" s="31">
        <v>2</v>
      </c>
      <c r="O50" s="31">
        <v>2</v>
      </c>
      <c r="P50" s="31">
        <v>2</v>
      </c>
      <c r="Q50" s="31">
        <v>2</v>
      </c>
      <c r="R50" s="31">
        <v>2</v>
      </c>
      <c r="S50" s="31">
        <v>2</v>
      </c>
      <c r="T50" s="31">
        <v>2</v>
      </c>
      <c r="U50" s="31">
        <v>2</v>
      </c>
      <c r="V50" s="31">
        <v>2</v>
      </c>
    </row>
    <row r="51" spans="1:22" ht="17" customHeight="1" x14ac:dyDescent="0.35">
      <c r="A51" s="130"/>
      <c r="B51" s="119" t="s">
        <v>1757</v>
      </c>
      <c r="C51" s="29" t="s">
        <v>64</v>
      </c>
      <c r="D51" s="30" t="s">
        <v>65</v>
      </c>
      <c r="E51" s="31">
        <v>0</v>
      </c>
      <c r="F51" s="31">
        <v>15</v>
      </c>
      <c r="G51" s="32">
        <v>0</v>
      </c>
      <c r="H51" s="32">
        <v>5.5</v>
      </c>
      <c r="I51" s="31">
        <v>15</v>
      </c>
      <c r="J51" s="32">
        <v>5.5</v>
      </c>
      <c r="K51" s="31">
        <f>I51+J51</f>
        <v>20.5</v>
      </c>
      <c r="L51" s="32">
        <f>K51</f>
        <v>20.5</v>
      </c>
      <c r="M51" s="32">
        <f t="shared" ref="M51:V51" si="2">L51</f>
        <v>20.5</v>
      </c>
      <c r="N51" s="32">
        <f t="shared" si="2"/>
        <v>20.5</v>
      </c>
      <c r="O51" s="32">
        <f t="shared" si="2"/>
        <v>20.5</v>
      </c>
      <c r="P51" s="32">
        <f t="shared" si="2"/>
        <v>20.5</v>
      </c>
      <c r="Q51" s="32">
        <f t="shared" si="2"/>
        <v>20.5</v>
      </c>
      <c r="R51" s="32">
        <f t="shared" si="2"/>
        <v>20.5</v>
      </c>
      <c r="S51" s="32">
        <f t="shared" si="2"/>
        <v>20.5</v>
      </c>
      <c r="T51" s="32">
        <f t="shared" si="2"/>
        <v>20.5</v>
      </c>
      <c r="U51" s="32">
        <f t="shared" si="2"/>
        <v>20.5</v>
      </c>
      <c r="V51" s="32">
        <f t="shared" si="2"/>
        <v>20.5</v>
      </c>
    </row>
    <row r="52" spans="1:22" ht="17" customHeight="1" x14ac:dyDescent="0.35">
      <c r="A52" s="130"/>
      <c r="B52" s="119" t="s">
        <v>1757</v>
      </c>
      <c r="C52" s="29" t="s">
        <v>64</v>
      </c>
      <c r="D52" s="30" t="s">
        <v>66</v>
      </c>
      <c r="E52" s="31">
        <v>0</v>
      </c>
      <c r="F52" s="31">
        <v>4</v>
      </c>
      <c r="G52" s="32">
        <v>0</v>
      </c>
      <c r="H52" s="32">
        <v>0</v>
      </c>
      <c r="I52" s="31">
        <v>4</v>
      </c>
      <c r="J52" s="32">
        <v>0</v>
      </c>
      <c r="K52" s="31">
        <v>4</v>
      </c>
      <c r="L52" s="32">
        <v>4</v>
      </c>
      <c r="M52" s="32">
        <v>4</v>
      </c>
      <c r="N52" s="32">
        <v>4</v>
      </c>
      <c r="O52" s="32">
        <v>4</v>
      </c>
      <c r="P52" s="32">
        <v>4</v>
      </c>
      <c r="Q52" s="32">
        <v>4</v>
      </c>
      <c r="R52" s="32">
        <v>4</v>
      </c>
      <c r="S52" s="32">
        <v>4</v>
      </c>
      <c r="T52" s="32">
        <v>4</v>
      </c>
      <c r="U52" s="32">
        <v>4</v>
      </c>
      <c r="V52" s="32">
        <v>4</v>
      </c>
    </row>
    <row r="53" spans="1:22" ht="17" customHeight="1" x14ac:dyDescent="0.35">
      <c r="A53" s="130"/>
      <c r="B53" s="119" t="s">
        <v>1757</v>
      </c>
      <c r="C53" s="29" t="s">
        <v>64</v>
      </c>
      <c r="D53" s="30" t="s">
        <v>67</v>
      </c>
      <c r="E53" s="31">
        <v>0</v>
      </c>
      <c r="F53" s="31">
        <v>6</v>
      </c>
      <c r="G53" s="32">
        <v>0</v>
      </c>
      <c r="H53" s="32">
        <v>0</v>
      </c>
      <c r="I53" s="31">
        <v>6</v>
      </c>
      <c r="J53" s="32">
        <v>0</v>
      </c>
      <c r="K53" s="31">
        <v>6</v>
      </c>
      <c r="L53" s="32">
        <v>6</v>
      </c>
      <c r="M53" s="32">
        <v>6</v>
      </c>
      <c r="N53" s="32">
        <v>6</v>
      </c>
      <c r="O53" s="32">
        <v>6</v>
      </c>
      <c r="P53" s="32">
        <v>6</v>
      </c>
      <c r="Q53" s="32">
        <v>6</v>
      </c>
      <c r="R53" s="32">
        <v>6</v>
      </c>
      <c r="S53" s="32">
        <v>6</v>
      </c>
      <c r="T53" s="32">
        <v>6</v>
      </c>
      <c r="U53" s="32">
        <v>6</v>
      </c>
      <c r="V53" s="32">
        <v>6</v>
      </c>
    </row>
    <row r="54" spans="1:22" ht="17" customHeight="1" x14ac:dyDescent="0.35">
      <c r="A54" s="130"/>
      <c r="B54" s="119" t="s">
        <v>1757</v>
      </c>
      <c r="C54" s="29" t="s">
        <v>64</v>
      </c>
      <c r="D54" s="30" t="s">
        <v>68</v>
      </c>
      <c r="E54" s="31">
        <v>0</v>
      </c>
      <c r="F54" s="31">
        <v>12</v>
      </c>
      <c r="G54" s="32">
        <v>0</v>
      </c>
      <c r="H54" s="32">
        <v>0</v>
      </c>
      <c r="I54" s="31">
        <v>12</v>
      </c>
      <c r="J54" s="32">
        <v>0</v>
      </c>
      <c r="K54" s="31">
        <v>12</v>
      </c>
      <c r="L54" s="32">
        <v>12</v>
      </c>
      <c r="M54" s="32">
        <v>12</v>
      </c>
      <c r="N54" s="32">
        <v>12</v>
      </c>
      <c r="O54" s="32">
        <v>12</v>
      </c>
      <c r="P54" s="32">
        <v>12</v>
      </c>
      <c r="Q54" s="32">
        <v>12</v>
      </c>
      <c r="R54" s="32">
        <v>12</v>
      </c>
      <c r="S54" s="32">
        <v>12</v>
      </c>
      <c r="T54" s="32">
        <v>12</v>
      </c>
      <c r="U54" s="32">
        <v>12</v>
      </c>
      <c r="V54" s="32">
        <v>12</v>
      </c>
    </row>
    <row r="55" spans="1:22" ht="17" customHeight="1" x14ac:dyDescent="0.35">
      <c r="A55" s="130"/>
      <c r="B55" s="119" t="s">
        <v>1757</v>
      </c>
      <c r="C55" s="29" t="s">
        <v>64</v>
      </c>
      <c r="D55" s="30" t="s">
        <v>69</v>
      </c>
      <c r="E55" s="31">
        <v>0</v>
      </c>
      <c r="F55" s="31">
        <v>10</v>
      </c>
      <c r="G55" s="32">
        <v>0</v>
      </c>
      <c r="H55" s="32">
        <v>0</v>
      </c>
      <c r="I55" s="31">
        <v>10</v>
      </c>
      <c r="J55" s="32">
        <v>0</v>
      </c>
      <c r="K55" s="31">
        <v>10</v>
      </c>
      <c r="L55" s="32">
        <v>10</v>
      </c>
      <c r="M55" s="32">
        <v>10</v>
      </c>
      <c r="N55" s="32">
        <v>10</v>
      </c>
      <c r="O55" s="32">
        <v>10</v>
      </c>
      <c r="P55" s="32">
        <v>10</v>
      </c>
      <c r="Q55" s="32">
        <v>10</v>
      </c>
      <c r="R55" s="32">
        <v>10</v>
      </c>
      <c r="S55" s="32">
        <v>10</v>
      </c>
      <c r="T55" s="32">
        <v>10</v>
      </c>
      <c r="U55" s="32">
        <v>10</v>
      </c>
      <c r="V55" s="32">
        <v>10</v>
      </c>
    </row>
    <row r="56" spans="1:22" ht="17" customHeight="1" x14ac:dyDescent="0.35">
      <c r="A56" s="130"/>
      <c r="B56" s="119" t="s">
        <v>1757</v>
      </c>
      <c r="C56" s="29" t="s">
        <v>64</v>
      </c>
      <c r="D56" s="30" t="s">
        <v>70</v>
      </c>
      <c r="E56" s="31">
        <v>0</v>
      </c>
      <c r="F56" s="31">
        <v>10</v>
      </c>
      <c r="G56" s="32">
        <v>0</v>
      </c>
      <c r="H56" s="32">
        <v>0</v>
      </c>
      <c r="I56" s="31">
        <v>10</v>
      </c>
      <c r="J56" s="32">
        <v>0</v>
      </c>
      <c r="K56" s="31">
        <v>10</v>
      </c>
      <c r="L56" s="32">
        <v>10</v>
      </c>
      <c r="M56" s="32">
        <v>10</v>
      </c>
      <c r="N56" s="32">
        <v>10</v>
      </c>
      <c r="O56" s="32">
        <v>10</v>
      </c>
      <c r="P56" s="32">
        <v>10</v>
      </c>
      <c r="Q56" s="32">
        <v>10</v>
      </c>
      <c r="R56" s="32">
        <v>10</v>
      </c>
      <c r="S56" s="32">
        <v>10</v>
      </c>
      <c r="T56" s="32">
        <v>10</v>
      </c>
      <c r="U56" s="32">
        <v>10</v>
      </c>
      <c r="V56" s="32">
        <v>10</v>
      </c>
    </row>
    <row r="57" spans="1:22" ht="17" customHeight="1" x14ac:dyDescent="0.35">
      <c r="A57" s="130"/>
      <c r="B57" s="119" t="s">
        <v>1757</v>
      </c>
      <c r="C57" s="29" t="s">
        <v>64</v>
      </c>
      <c r="D57" s="30" t="s">
        <v>71</v>
      </c>
      <c r="E57" s="31">
        <v>0</v>
      </c>
      <c r="F57" s="31">
        <v>7</v>
      </c>
      <c r="G57" s="32">
        <v>2</v>
      </c>
      <c r="H57" s="32">
        <v>0</v>
      </c>
      <c r="I57" s="31">
        <v>7</v>
      </c>
      <c r="J57" s="32">
        <v>0</v>
      </c>
      <c r="K57" s="31">
        <v>7</v>
      </c>
      <c r="L57" s="32">
        <v>7</v>
      </c>
      <c r="M57" s="32">
        <v>7</v>
      </c>
      <c r="N57" s="32">
        <v>7</v>
      </c>
      <c r="O57" s="32">
        <v>7</v>
      </c>
      <c r="P57" s="32">
        <v>7</v>
      </c>
      <c r="Q57" s="32">
        <v>7</v>
      </c>
      <c r="R57" s="32">
        <v>7</v>
      </c>
      <c r="S57" s="32">
        <v>7</v>
      </c>
      <c r="T57" s="32">
        <v>7</v>
      </c>
      <c r="U57" s="32">
        <v>7</v>
      </c>
      <c r="V57" s="32">
        <v>7</v>
      </c>
    </row>
    <row r="58" spans="1:22" ht="17" customHeight="1" x14ac:dyDescent="0.35">
      <c r="A58" s="130"/>
      <c r="B58" s="119" t="s">
        <v>1757</v>
      </c>
      <c r="C58" s="29" t="s">
        <v>72</v>
      </c>
      <c r="D58" s="30" t="s">
        <v>33</v>
      </c>
      <c r="E58" s="31">
        <v>0</v>
      </c>
      <c r="F58" s="31">
        <v>4</v>
      </c>
      <c r="G58" s="32">
        <v>0</v>
      </c>
      <c r="H58" s="32">
        <v>0</v>
      </c>
      <c r="I58" s="31">
        <f>F58</f>
        <v>4</v>
      </c>
      <c r="J58" s="32">
        <v>0</v>
      </c>
      <c r="K58" s="31">
        <v>4</v>
      </c>
      <c r="L58" s="31">
        <v>4</v>
      </c>
      <c r="M58" s="31">
        <v>4</v>
      </c>
      <c r="N58" s="31">
        <v>4</v>
      </c>
      <c r="O58" s="31">
        <v>4</v>
      </c>
      <c r="P58" s="31">
        <v>4</v>
      </c>
      <c r="Q58" s="31">
        <v>4</v>
      </c>
      <c r="R58" s="31">
        <v>4</v>
      </c>
      <c r="S58" s="31">
        <v>4</v>
      </c>
      <c r="T58" s="31">
        <v>4</v>
      </c>
      <c r="U58" s="31">
        <v>4</v>
      </c>
      <c r="V58" s="31">
        <v>4</v>
      </c>
    </row>
    <row r="59" spans="1:22" ht="17" customHeight="1" x14ac:dyDescent="0.35">
      <c r="A59" s="130"/>
      <c r="B59" s="119" t="s">
        <v>1757</v>
      </c>
      <c r="C59" s="29" t="s">
        <v>72</v>
      </c>
      <c r="D59" s="30" t="s">
        <v>73</v>
      </c>
      <c r="E59" s="31">
        <v>0</v>
      </c>
      <c r="F59" s="31">
        <v>9.5</v>
      </c>
      <c r="G59" s="32">
        <v>0</v>
      </c>
      <c r="H59" s="32">
        <v>0</v>
      </c>
      <c r="I59" s="31">
        <f>F59</f>
        <v>9.5</v>
      </c>
      <c r="J59" s="32">
        <v>0</v>
      </c>
      <c r="K59" s="31">
        <f>I59</f>
        <v>9.5</v>
      </c>
      <c r="L59" s="31">
        <f>K59</f>
        <v>9.5</v>
      </c>
      <c r="M59" s="31">
        <f t="shared" ref="M59:V59" si="3">L59</f>
        <v>9.5</v>
      </c>
      <c r="N59" s="31">
        <f t="shared" si="3"/>
        <v>9.5</v>
      </c>
      <c r="O59" s="31">
        <f t="shared" si="3"/>
        <v>9.5</v>
      </c>
      <c r="P59" s="31">
        <f t="shared" si="3"/>
        <v>9.5</v>
      </c>
      <c r="Q59" s="31">
        <f t="shared" si="3"/>
        <v>9.5</v>
      </c>
      <c r="R59" s="31">
        <f t="shared" si="3"/>
        <v>9.5</v>
      </c>
      <c r="S59" s="31">
        <f t="shared" si="3"/>
        <v>9.5</v>
      </c>
      <c r="T59" s="31">
        <f t="shared" si="3"/>
        <v>9.5</v>
      </c>
      <c r="U59" s="31">
        <f t="shared" si="3"/>
        <v>9.5</v>
      </c>
      <c r="V59" s="31">
        <f t="shared" si="3"/>
        <v>9.5</v>
      </c>
    </row>
    <row r="60" spans="1:22" ht="17" customHeight="1" x14ac:dyDescent="0.35">
      <c r="A60" s="130"/>
      <c r="B60" s="119" t="s">
        <v>1757</v>
      </c>
      <c r="C60" s="29" t="s">
        <v>72</v>
      </c>
      <c r="D60" s="30" t="s">
        <v>74</v>
      </c>
      <c r="E60" s="31">
        <v>0</v>
      </c>
      <c r="F60" s="31">
        <v>5</v>
      </c>
      <c r="G60" s="32">
        <v>0</v>
      </c>
      <c r="H60" s="32">
        <v>0</v>
      </c>
      <c r="I60" s="31">
        <v>5</v>
      </c>
      <c r="J60" s="32">
        <v>0</v>
      </c>
      <c r="K60" s="31">
        <v>5</v>
      </c>
      <c r="L60" s="31">
        <v>5</v>
      </c>
      <c r="M60" s="31">
        <v>5</v>
      </c>
      <c r="N60" s="31">
        <v>5</v>
      </c>
      <c r="O60" s="31">
        <v>5</v>
      </c>
      <c r="P60" s="31">
        <v>5</v>
      </c>
      <c r="Q60" s="31">
        <v>5</v>
      </c>
      <c r="R60" s="31">
        <v>5</v>
      </c>
      <c r="S60" s="31">
        <v>5</v>
      </c>
      <c r="T60" s="31">
        <v>5</v>
      </c>
      <c r="U60" s="31">
        <v>5</v>
      </c>
      <c r="V60" s="31">
        <v>5</v>
      </c>
    </row>
    <row r="61" spans="1:22" ht="17" customHeight="1" x14ac:dyDescent="0.35">
      <c r="A61" s="130"/>
      <c r="B61" s="119" t="s">
        <v>1757</v>
      </c>
      <c r="C61" s="29" t="s">
        <v>72</v>
      </c>
      <c r="D61" s="30" t="s">
        <v>75</v>
      </c>
      <c r="E61" s="31">
        <v>0</v>
      </c>
      <c r="F61" s="31">
        <v>6</v>
      </c>
      <c r="G61" s="32">
        <v>0</v>
      </c>
      <c r="H61" s="32">
        <v>6</v>
      </c>
      <c r="I61" s="31">
        <v>8</v>
      </c>
      <c r="J61" s="32">
        <v>4</v>
      </c>
      <c r="K61" s="31">
        <f>I61+J61</f>
        <v>12</v>
      </c>
      <c r="L61" s="31">
        <f>K61</f>
        <v>12</v>
      </c>
      <c r="M61" s="31">
        <f t="shared" ref="M61:V61" si="4">L61</f>
        <v>12</v>
      </c>
      <c r="N61" s="31">
        <f t="shared" si="4"/>
        <v>12</v>
      </c>
      <c r="O61" s="31">
        <f t="shared" si="4"/>
        <v>12</v>
      </c>
      <c r="P61" s="31">
        <f t="shared" si="4"/>
        <v>12</v>
      </c>
      <c r="Q61" s="31">
        <f t="shared" si="4"/>
        <v>12</v>
      </c>
      <c r="R61" s="31">
        <f t="shared" si="4"/>
        <v>12</v>
      </c>
      <c r="S61" s="31">
        <f t="shared" si="4"/>
        <v>12</v>
      </c>
      <c r="T61" s="31">
        <f t="shared" si="4"/>
        <v>12</v>
      </c>
      <c r="U61" s="31">
        <f t="shared" si="4"/>
        <v>12</v>
      </c>
      <c r="V61" s="31">
        <f t="shared" si="4"/>
        <v>12</v>
      </c>
    </row>
    <row r="62" spans="1:22" ht="17" customHeight="1" x14ac:dyDescent="0.35">
      <c r="A62" s="130"/>
      <c r="B62" s="119" t="s">
        <v>1757</v>
      </c>
      <c r="C62" s="29" t="s">
        <v>72</v>
      </c>
      <c r="D62" s="30" t="s">
        <v>76</v>
      </c>
      <c r="E62" s="31">
        <v>0</v>
      </c>
      <c r="F62" s="31">
        <v>17</v>
      </c>
      <c r="G62" s="32">
        <v>0</v>
      </c>
      <c r="H62" s="32">
        <v>1</v>
      </c>
      <c r="I62" s="31">
        <v>18</v>
      </c>
      <c r="J62" s="32">
        <v>0</v>
      </c>
      <c r="K62" s="31">
        <v>18</v>
      </c>
      <c r="L62" s="32">
        <v>18</v>
      </c>
      <c r="M62" s="32">
        <v>18</v>
      </c>
      <c r="N62" s="32">
        <v>18</v>
      </c>
      <c r="O62" s="32">
        <v>18</v>
      </c>
      <c r="P62" s="32">
        <v>18</v>
      </c>
      <c r="Q62" s="32">
        <v>18</v>
      </c>
      <c r="R62" s="32">
        <v>18</v>
      </c>
      <c r="S62" s="32">
        <v>18</v>
      </c>
      <c r="T62" s="32">
        <v>18</v>
      </c>
      <c r="U62" s="32">
        <v>18</v>
      </c>
      <c r="V62" s="32">
        <v>18</v>
      </c>
    </row>
    <row r="63" spans="1:22" ht="17" customHeight="1" x14ac:dyDescent="0.35">
      <c r="A63" s="130"/>
      <c r="B63" s="119" t="s">
        <v>1757</v>
      </c>
      <c r="C63" s="29" t="s">
        <v>72</v>
      </c>
      <c r="D63" s="30" t="s">
        <v>77</v>
      </c>
      <c r="E63" s="31">
        <v>0</v>
      </c>
      <c r="F63" s="31">
        <v>10.5</v>
      </c>
      <c r="G63" s="32">
        <v>0</v>
      </c>
      <c r="H63" s="32">
        <v>3</v>
      </c>
      <c r="I63" s="31">
        <v>10.5</v>
      </c>
      <c r="J63" s="32">
        <v>3</v>
      </c>
      <c r="K63" s="31">
        <f>I63+J63</f>
        <v>13.5</v>
      </c>
      <c r="L63" s="32">
        <f>K63</f>
        <v>13.5</v>
      </c>
      <c r="M63" s="32">
        <f t="shared" ref="M63:V63" si="5">L63</f>
        <v>13.5</v>
      </c>
      <c r="N63" s="32">
        <f t="shared" si="5"/>
        <v>13.5</v>
      </c>
      <c r="O63" s="32">
        <f t="shared" si="5"/>
        <v>13.5</v>
      </c>
      <c r="P63" s="32">
        <f t="shared" si="5"/>
        <v>13.5</v>
      </c>
      <c r="Q63" s="32">
        <f t="shared" si="5"/>
        <v>13.5</v>
      </c>
      <c r="R63" s="32">
        <f t="shared" si="5"/>
        <v>13.5</v>
      </c>
      <c r="S63" s="32">
        <f t="shared" si="5"/>
        <v>13.5</v>
      </c>
      <c r="T63" s="32">
        <f t="shared" si="5"/>
        <v>13.5</v>
      </c>
      <c r="U63" s="32">
        <f t="shared" si="5"/>
        <v>13.5</v>
      </c>
      <c r="V63" s="32">
        <f t="shared" si="5"/>
        <v>13.5</v>
      </c>
    </row>
    <row r="64" spans="1:22" ht="17" customHeight="1" x14ac:dyDescent="0.35">
      <c r="A64" s="130"/>
      <c r="B64" s="119" t="s">
        <v>1757</v>
      </c>
      <c r="C64" s="29" t="s">
        <v>72</v>
      </c>
      <c r="D64" s="30" t="s">
        <v>78</v>
      </c>
      <c r="E64" s="31">
        <v>0</v>
      </c>
      <c r="F64" s="31">
        <v>4</v>
      </c>
      <c r="G64" s="32">
        <v>0</v>
      </c>
      <c r="H64" s="32">
        <v>0</v>
      </c>
      <c r="I64" s="31">
        <v>4</v>
      </c>
      <c r="J64" s="32">
        <v>0</v>
      </c>
      <c r="K64" s="31">
        <f>I64+J64</f>
        <v>4</v>
      </c>
      <c r="L64" s="32">
        <f>K64</f>
        <v>4</v>
      </c>
      <c r="M64" s="32">
        <f t="shared" ref="M64:V64" si="6">L64</f>
        <v>4</v>
      </c>
      <c r="N64" s="32">
        <f t="shared" si="6"/>
        <v>4</v>
      </c>
      <c r="O64" s="32">
        <f t="shared" si="6"/>
        <v>4</v>
      </c>
      <c r="P64" s="32">
        <f t="shared" si="6"/>
        <v>4</v>
      </c>
      <c r="Q64" s="32">
        <f t="shared" si="6"/>
        <v>4</v>
      </c>
      <c r="R64" s="32">
        <f t="shared" si="6"/>
        <v>4</v>
      </c>
      <c r="S64" s="32">
        <f t="shared" si="6"/>
        <v>4</v>
      </c>
      <c r="T64" s="32">
        <f t="shared" si="6"/>
        <v>4</v>
      </c>
      <c r="U64" s="32">
        <f t="shared" si="6"/>
        <v>4</v>
      </c>
      <c r="V64" s="32">
        <f t="shared" si="6"/>
        <v>4</v>
      </c>
    </row>
    <row r="65" spans="1:22" s="85" customFormat="1" ht="17" customHeight="1" x14ac:dyDescent="0.35">
      <c r="A65" s="130"/>
      <c r="B65" s="119" t="s">
        <v>1757</v>
      </c>
      <c r="C65" s="29" t="s">
        <v>79</v>
      </c>
      <c r="D65" s="30" t="s">
        <v>33</v>
      </c>
      <c r="E65" s="31"/>
      <c r="F65" s="31">
        <v>3</v>
      </c>
      <c r="G65" s="32">
        <v>0</v>
      </c>
      <c r="H65" s="32">
        <v>0</v>
      </c>
      <c r="I65" s="31">
        <v>3</v>
      </c>
      <c r="J65" s="32">
        <v>0</v>
      </c>
      <c r="K65" s="31">
        <v>3</v>
      </c>
      <c r="L65" s="31">
        <v>3</v>
      </c>
      <c r="M65" s="31">
        <v>3</v>
      </c>
      <c r="N65" s="31">
        <v>3</v>
      </c>
      <c r="O65" s="31">
        <v>3</v>
      </c>
      <c r="P65" s="31">
        <v>3</v>
      </c>
      <c r="Q65" s="31">
        <v>3</v>
      </c>
      <c r="R65" s="31">
        <v>3</v>
      </c>
      <c r="S65" s="31">
        <v>3</v>
      </c>
      <c r="T65" s="31">
        <v>3</v>
      </c>
      <c r="U65" s="31">
        <v>3</v>
      </c>
      <c r="V65" s="31">
        <v>3</v>
      </c>
    </row>
    <row r="66" spans="1:22" ht="17" customHeight="1" x14ac:dyDescent="0.35">
      <c r="A66" s="130"/>
      <c r="B66" s="119" t="s">
        <v>1757</v>
      </c>
      <c r="C66" s="29" t="s">
        <v>79</v>
      </c>
      <c r="D66" s="30" t="s">
        <v>80</v>
      </c>
      <c r="E66" s="31">
        <v>0</v>
      </c>
      <c r="F66" s="31">
        <v>67</v>
      </c>
      <c r="G66" s="32">
        <v>1</v>
      </c>
      <c r="H66" s="32">
        <v>0</v>
      </c>
      <c r="I66" s="31">
        <v>67</v>
      </c>
      <c r="J66" s="32">
        <v>1</v>
      </c>
      <c r="K66" s="31">
        <v>68</v>
      </c>
      <c r="L66" s="31">
        <v>68</v>
      </c>
      <c r="M66" s="31">
        <v>68</v>
      </c>
      <c r="N66" s="31">
        <v>68</v>
      </c>
      <c r="O66" s="31">
        <v>68</v>
      </c>
      <c r="P66" s="31">
        <v>68</v>
      </c>
      <c r="Q66" s="31">
        <v>68</v>
      </c>
      <c r="R66" s="31">
        <v>68</v>
      </c>
      <c r="S66" s="31">
        <v>68</v>
      </c>
      <c r="T66" s="31">
        <v>68</v>
      </c>
      <c r="U66" s="31">
        <v>68</v>
      </c>
      <c r="V66" s="31">
        <v>68</v>
      </c>
    </row>
    <row r="67" spans="1:22" ht="17" customHeight="1" x14ac:dyDescent="0.35">
      <c r="A67" s="130"/>
      <c r="B67" s="119" t="s">
        <v>1757</v>
      </c>
      <c r="C67" s="29" t="s">
        <v>79</v>
      </c>
      <c r="D67" s="30" t="s">
        <v>81</v>
      </c>
      <c r="E67" s="31">
        <v>0</v>
      </c>
      <c r="F67" s="31">
        <v>36</v>
      </c>
      <c r="G67" s="32">
        <v>1</v>
      </c>
      <c r="H67" s="32">
        <v>0</v>
      </c>
      <c r="I67" s="31">
        <v>36</v>
      </c>
      <c r="J67" s="32">
        <v>1</v>
      </c>
      <c r="K67" s="31">
        <v>37</v>
      </c>
      <c r="L67" s="32">
        <v>37</v>
      </c>
      <c r="M67" s="32">
        <v>37</v>
      </c>
      <c r="N67" s="32">
        <v>37</v>
      </c>
      <c r="O67" s="32">
        <v>37</v>
      </c>
      <c r="P67" s="32">
        <v>37</v>
      </c>
      <c r="Q67" s="32">
        <v>37</v>
      </c>
      <c r="R67" s="32">
        <v>37</v>
      </c>
      <c r="S67" s="32">
        <v>37</v>
      </c>
      <c r="T67" s="32">
        <v>37</v>
      </c>
      <c r="U67" s="32">
        <v>37</v>
      </c>
      <c r="V67" s="32">
        <v>37</v>
      </c>
    </row>
    <row r="68" spans="1:22" ht="17" customHeight="1" x14ac:dyDescent="0.35">
      <c r="A68" s="130"/>
      <c r="B68" s="119" t="s">
        <v>1757</v>
      </c>
      <c r="C68" s="29" t="s">
        <v>79</v>
      </c>
      <c r="D68" s="30" t="s">
        <v>82</v>
      </c>
      <c r="E68" s="31">
        <v>0</v>
      </c>
      <c r="F68" s="31">
        <v>27</v>
      </c>
      <c r="G68" s="32">
        <v>4</v>
      </c>
      <c r="H68" s="32">
        <v>0</v>
      </c>
      <c r="I68" s="31">
        <v>27</v>
      </c>
      <c r="J68" s="32">
        <v>4</v>
      </c>
      <c r="K68" s="31">
        <v>27</v>
      </c>
      <c r="L68" s="32">
        <v>27</v>
      </c>
      <c r="M68" s="32">
        <v>29</v>
      </c>
      <c r="N68" s="32">
        <v>30</v>
      </c>
      <c r="O68" s="32">
        <v>30</v>
      </c>
      <c r="P68" s="32">
        <v>30</v>
      </c>
      <c r="Q68" s="32">
        <v>30</v>
      </c>
      <c r="R68" s="32">
        <v>31</v>
      </c>
      <c r="S68" s="32">
        <v>31</v>
      </c>
      <c r="T68" s="32">
        <v>31</v>
      </c>
      <c r="U68" s="32">
        <v>31</v>
      </c>
      <c r="V68" s="32">
        <v>31</v>
      </c>
    </row>
    <row r="69" spans="1:22" ht="17" customHeight="1" x14ac:dyDescent="0.35">
      <c r="A69" s="130"/>
      <c r="B69" s="119" t="s">
        <v>1757</v>
      </c>
      <c r="C69" s="29" t="s">
        <v>79</v>
      </c>
      <c r="D69" s="30" t="s">
        <v>83</v>
      </c>
      <c r="E69" s="31">
        <v>0</v>
      </c>
      <c r="F69" s="31">
        <v>23</v>
      </c>
      <c r="G69" s="32">
        <v>1</v>
      </c>
      <c r="H69" s="32">
        <v>0</v>
      </c>
      <c r="I69" s="31">
        <v>20</v>
      </c>
      <c r="J69" s="32">
        <v>1</v>
      </c>
      <c r="K69" s="31">
        <v>21</v>
      </c>
      <c r="L69" s="32">
        <v>21</v>
      </c>
      <c r="M69" s="32">
        <v>21</v>
      </c>
      <c r="N69" s="32">
        <v>21</v>
      </c>
      <c r="O69" s="32">
        <v>21</v>
      </c>
      <c r="P69" s="32">
        <v>21</v>
      </c>
      <c r="Q69" s="32">
        <v>21</v>
      </c>
      <c r="R69" s="32">
        <v>21</v>
      </c>
      <c r="S69" s="32">
        <v>21</v>
      </c>
      <c r="T69" s="32">
        <v>21</v>
      </c>
      <c r="U69" s="32">
        <v>21</v>
      </c>
      <c r="V69" s="32">
        <v>21</v>
      </c>
    </row>
    <row r="70" spans="1:22" ht="17" customHeight="1" x14ac:dyDescent="0.35">
      <c r="A70" s="130"/>
      <c r="B70" s="119" t="s">
        <v>1757</v>
      </c>
      <c r="C70" s="29" t="s">
        <v>84</v>
      </c>
      <c r="D70" s="30" t="s">
        <v>33</v>
      </c>
      <c r="E70" s="31">
        <v>0</v>
      </c>
      <c r="F70" s="31">
        <v>2</v>
      </c>
      <c r="G70" s="32">
        <v>0</v>
      </c>
      <c r="H70" s="32">
        <v>0</v>
      </c>
      <c r="I70" s="31">
        <v>2</v>
      </c>
      <c r="J70" s="32">
        <v>0</v>
      </c>
      <c r="K70" s="31">
        <v>2</v>
      </c>
      <c r="L70" s="32">
        <v>2</v>
      </c>
      <c r="M70" s="32">
        <v>2</v>
      </c>
      <c r="N70" s="32">
        <v>2</v>
      </c>
      <c r="O70" s="32">
        <v>2</v>
      </c>
      <c r="P70" s="32">
        <v>2</v>
      </c>
      <c r="Q70" s="32">
        <v>2</v>
      </c>
      <c r="R70" s="32">
        <v>2</v>
      </c>
      <c r="S70" s="32">
        <v>2</v>
      </c>
      <c r="T70" s="32">
        <v>2</v>
      </c>
      <c r="U70" s="32">
        <v>2</v>
      </c>
      <c r="V70" s="32">
        <v>2</v>
      </c>
    </row>
    <row r="71" spans="1:22" ht="17" customHeight="1" x14ac:dyDescent="0.35">
      <c r="A71" s="130"/>
      <c r="B71" s="119" t="s">
        <v>1757</v>
      </c>
      <c r="C71" s="29" t="s">
        <v>84</v>
      </c>
      <c r="D71" s="30" t="s">
        <v>85</v>
      </c>
      <c r="E71" s="31">
        <v>0</v>
      </c>
      <c r="F71" s="31">
        <v>44</v>
      </c>
      <c r="G71" s="32">
        <v>0</v>
      </c>
      <c r="H71" s="32">
        <v>4</v>
      </c>
      <c r="I71" s="31">
        <v>48</v>
      </c>
      <c r="J71" s="32">
        <v>0</v>
      </c>
      <c r="K71" s="31">
        <v>48</v>
      </c>
      <c r="L71" s="32">
        <v>48</v>
      </c>
      <c r="M71" s="32">
        <v>48</v>
      </c>
      <c r="N71" s="32">
        <v>48</v>
      </c>
      <c r="O71" s="32">
        <v>48</v>
      </c>
      <c r="P71" s="32">
        <v>48</v>
      </c>
      <c r="Q71" s="32">
        <v>48</v>
      </c>
      <c r="R71" s="32">
        <v>48</v>
      </c>
      <c r="S71" s="32">
        <v>48</v>
      </c>
      <c r="T71" s="32">
        <v>48</v>
      </c>
      <c r="U71" s="32">
        <v>48</v>
      </c>
      <c r="V71" s="32">
        <v>48</v>
      </c>
    </row>
    <row r="72" spans="1:22" ht="17" customHeight="1" x14ac:dyDescent="0.35">
      <c r="A72" s="130"/>
      <c r="B72" s="119" t="s">
        <v>1757</v>
      </c>
      <c r="C72" s="29" t="s">
        <v>84</v>
      </c>
      <c r="D72" s="30" t="s">
        <v>86</v>
      </c>
      <c r="E72" s="31">
        <v>0</v>
      </c>
      <c r="F72" s="31">
        <v>5</v>
      </c>
      <c r="G72" s="32">
        <v>0</v>
      </c>
      <c r="H72" s="32">
        <v>1</v>
      </c>
      <c r="I72" s="31">
        <v>5</v>
      </c>
      <c r="J72" s="32">
        <v>1</v>
      </c>
      <c r="K72" s="31">
        <v>6</v>
      </c>
      <c r="L72" s="32">
        <v>6</v>
      </c>
      <c r="M72" s="32">
        <v>6</v>
      </c>
      <c r="N72" s="32">
        <v>6</v>
      </c>
      <c r="O72" s="32">
        <v>6</v>
      </c>
      <c r="P72" s="32">
        <v>6</v>
      </c>
      <c r="Q72" s="32">
        <v>6</v>
      </c>
      <c r="R72" s="32">
        <v>6</v>
      </c>
      <c r="S72" s="32">
        <v>6</v>
      </c>
      <c r="T72" s="32">
        <v>6</v>
      </c>
      <c r="U72" s="32">
        <v>6</v>
      </c>
      <c r="V72" s="32">
        <v>6</v>
      </c>
    </row>
    <row r="73" spans="1:22" ht="17" customHeight="1" x14ac:dyDescent="0.35">
      <c r="A73" s="130"/>
      <c r="B73" s="119" t="s">
        <v>1757</v>
      </c>
      <c r="C73" s="29" t="s">
        <v>84</v>
      </c>
      <c r="D73" s="30" t="s">
        <v>87</v>
      </c>
      <c r="E73" s="31">
        <v>0</v>
      </c>
      <c r="F73" s="31">
        <v>13</v>
      </c>
      <c r="G73" s="32">
        <v>0</v>
      </c>
      <c r="H73" s="32">
        <v>3</v>
      </c>
      <c r="I73" s="31">
        <v>15</v>
      </c>
      <c r="J73" s="32">
        <v>1</v>
      </c>
      <c r="K73" s="31">
        <v>16</v>
      </c>
      <c r="L73" s="32">
        <v>16</v>
      </c>
      <c r="M73" s="32">
        <v>16</v>
      </c>
      <c r="N73" s="32">
        <v>16</v>
      </c>
      <c r="O73" s="32">
        <v>16</v>
      </c>
      <c r="P73" s="32">
        <v>16</v>
      </c>
      <c r="Q73" s="32">
        <v>16</v>
      </c>
      <c r="R73" s="32">
        <v>16</v>
      </c>
      <c r="S73" s="32">
        <v>16</v>
      </c>
      <c r="T73" s="32">
        <v>16</v>
      </c>
      <c r="U73" s="32">
        <v>16</v>
      </c>
      <c r="V73" s="32">
        <v>16</v>
      </c>
    </row>
    <row r="74" spans="1:22" ht="17" customHeight="1" x14ac:dyDescent="0.35">
      <c r="A74" s="130"/>
      <c r="B74" s="119" t="s">
        <v>1757</v>
      </c>
      <c r="C74" s="29" t="s">
        <v>84</v>
      </c>
      <c r="D74" s="30" t="s">
        <v>88</v>
      </c>
      <c r="E74" s="31">
        <v>0</v>
      </c>
      <c r="F74" s="31">
        <v>18</v>
      </c>
      <c r="G74" s="32">
        <v>1</v>
      </c>
      <c r="H74" s="32">
        <v>2</v>
      </c>
      <c r="I74" s="31">
        <v>19</v>
      </c>
      <c r="J74" s="32">
        <v>1</v>
      </c>
      <c r="K74" s="31">
        <v>20</v>
      </c>
      <c r="L74" s="32">
        <v>20</v>
      </c>
      <c r="M74" s="32">
        <v>20</v>
      </c>
      <c r="N74" s="32">
        <v>20</v>
      </c>
      <c r="O74" s="32">
        <v>20</v>
      </c>
      <c r="P74" s="32">
        <v>20</v>
      </c>
      <c r="Q74" s="32">
        <v>20</v>
      </c>
      <c r="R74" s="32">
        <v>20</v>
      </c>
      <c r="S74" s="32">
        <v>20</v>
      </c>
      <c r="T74" s="32">
        <v>20</v>
      </c>
      <c r="U74" s="32">
        <v>20</v>
      </c>
      <c r="V74" s="32">
        <v>20</v>
      </c>
    </row>
    <row r="75" spans="1:22" ht="17" customHeight="1" x14ac:dyDescent="0.35">
      <c r="A75" s="130"/>
      <c r="B75" s="119" t="s">
        <v>1757</v>
      </c>
      <c r="C75" s="29" t="s">
        <v>84</v>
      </c>
      <c r="D75" s="30" t="s">
        <v>89</v>
      </c>
      <c r="E75" s="31">
        <v>0</v>
      </c>
      <c r="F75" s="31">
        <v>7</v>
      </c>
      <c r="G75" s="32">
        <v>0</v>
      </c>
      <c r="H75" s="32">
        <v>0</v>
      </c>
      <c r="I75" s="31">
        <v>7</v>
      </c>
      <c r="J75" s="32">
        <v>0</v>
      </c>
      <c r="K75" s="31">
        <v>7</v>
      </c>
      <c r="L75" s="32">
        <v>7</v>
      </c>
      <c r="M75" s="32">
        <v>7</v>
      </c>
      <c r="N75" s="32">
        <v>7</v>
      </c>
      <c r="O75" s="32">
        <v>7</v>
      </c>
      <c r="P75" s="32">
        <v>7</v>
      </c>
      <c r="Q75" s="32">
        <v>7</v>
      </c>
      <c r="R75" s="32">
        <v>7</v>
      </c>
      <c r="S75" s="32">
        <v>7</v>
      </c>
      <c r="T75" s="32">
        <v>7</v>
      </c>
      <c r="U75" s="32">
        <v>7</v>
      </c>
      <c r="V75" s="32">
        <v>7</v>
      </c>
    </row>
    <row r="76" spans="1:22" ht="17" customHeight="1" x14ac:dyDescent="0.35">
      <c r="A76" s="130"/>
      <c r="B76" s="119" t="s">
        <v>1757</v>
      </c>
      <c r="C76" s="29" t="s">
        <v>90</v>
      </c>
      <c r="D76" s="30" t="s">
        <v>90</v>
      </c>
      <c r="E76" s="31">
        <v>0</v>
      </c>
      <c r="F76" s="31">
        <v>4</v>
      </c>
      <c r="G76" s="32">
        <v>0</v>
      </c>
      <c r="H76" s="32">
        <v>0</v>
      </c>
      <c r="I76" s="31">
        <v>4</v>
      </c>
      <c r="J76" s="32">
        <v>0</v>
      </c>
      <c r="K76" s="31">
        <v>4</v>
      </c>
      <c r="L76" s="32">
        <v>4</v>
      </c>
      <c r="M76" s="32">
        <v>4</v>
      </c>
      <c r="N76" s="32">
        <v>4</v>
      </c>
      <c r="O76" s="32">
        <v>4</v>
      </c>
      <c r="P76" s="32">
        <v>4</v>
      </c>
      <c r="Q76" s="32">
        <v>4</v>
      </c>
      <c r="R76" s="32">
        <v>4</v>
      </c>
      <c r="S76" s="32">
        <v>4</v>
      </c>
      <c r="T76" s="32">
        <v>4</v>
      </c>
      <c r="U76" s="32">
        <v>4</v>
      </c>
      <c r="V76" s="32">
        <v>4</v>
      </c>
    </row>
    <row r="77" spans="1:22" ht="17" customHeight="1" x14ac:dyDescent="0.35">
      <c r="A77" s="130"/>
      <c r="B77" s="119" t="s">
        <v>1757</v>
      </c>
      <c r="C77" s="29" t="s">
        <v>91</v>
      </c>
      <c r="D77" s="30" t="s">
        <v>33</v>
      </c>
      <c r="E77" s="31">
        <v>0</v>
      </c>
      <c r="F77" s="31">
        <v>3</v>
      </c>
      <c r="G77" s="32">
        <v>0</v>
      </c>
      <c r="H77" s="32">
        <v>0</v>
      </c>
      <c r="I77" s="31">
        <v>3</v>
      </c>
      <c r="J77" s="32">
        <v>0</v>
      </c>
      <c r="K77" s="31">
        <v>3</v>
      </c>
      <c r="L77" s="32">
        <v>3</v>
      </c>
      <c r="M77" s="32">
        <v>3</v>
      </c>
      <c r="N77" s="32">
        <v>3</v>
      </c>
      <c r="O77" s="32">
        <v>3</v>
      </c>
      <c r="P77" s="32">
        <v>3</v>
      </c>
      <c r="Q77" s="32">
        <v>3</v>
      </c>
      <c r="R77" s="32">
        <v>3</v>
      </c>
      <c r="S77" s="32">
        <v>3</v>
      </c>
      <c r="T77" s="32">
        <v>3</v>
      </c>
      <c r="U77" s="32">
        <v>3</v>
      </c>
      <c r="V77" s="32">
        <v>3</v>
      </c>
    </row>
    <row r="78" spans="1:22" ht="17" customHeight="1" x14ac:dyDescent="0.35">
      <c r="A78" s="130"/>
      <c r="B78" s="119" t="s">
        <v>1757</v>
      </c>
      <c r="C78" s="29" t="s">
        <v>91</v>
      </c>
      <c r="D78" s="30" t="s">
        <v>92</v>
      </c>
      <c r="E78" s="31">
        <v>0</v>
      </c>
      <c r="F78" s="31">
        <v>14</v>
      </c>
      <c r="G78" s="32">
        <v>1</v>
      </c>
      <c r="H78" s="32">
        <v>0</v>
      </c>
      <c r="I78" s="31">
        <v>14</v>
      </c>
      <c r="J78" s="32">
        <v>0</v>
      </c>
      <c r="K78" s="31">
        <v>14</v>
      </c>
      <c r="L78" s="32">
        <v>14</v>
      </c>
      <c r="M78" s="32">
        <v>14</v>
      </c>
      <c r="N78" s="32">
        <v>14</v>
      </c>
      <c r="O78" s="32">
        <v>14</v>
      </c>
      <c r="P78" s="32">
        <v>16</v>
      </c>
      <c r="Q78" s="32">
        <v>16</v>
      </c>
      <c r="R78" s="32">
        <v>16</v>
      </c>
      <c r="S78" s="32">
        <v>16</v>
      </c>
      <c r="T78" s="32">
        <v>16</v>
      </c>
      <c r="U78" s="32">
        <v>16</v>
      </c>
      <c r="V78" s="32">
        <v>16</v>
      </c>
    </row>
    <row r="79" spans="1:22" ht="17" customHeight="1" x14ac:dyDescent="0.35">
      <c r="A79" s="130"/>
      <c r="B79" s="119" t="s">
        <v>1757</v>
      </c>
      <c r="C79" s="29" t="s">
        <v>91</v>
      </c>
      <c r="D79" s="30" t="s">
        <v>93</v>
      </c>
      <c r="E79" s="31">
        <v>0</v>
      </c>
      <c r="F79" s="31">
        <v>10</v>
      </c>
      <c r="G79" s="32">
        <v>0</v>
      </c>
      <c r="H79" s="32">
        <v>0</v>
      </c>
      <c r="I79" s="31">
        <v>10</v>
      </c>
      <c r="J79" s="32">
        <v>1</v>
      </c>
      <c r="K79" s="31">
        <v>10</v>
      </c>
      <c r="L79" s="32">
        <v>10</v>
      </c>
      <c r="M79" s="32">
        <v>13</v>
      </c>
      <c r="N79" s="32">
        <v>13</v>
      </c>
      <c r="O79" s="32">
        <v>13</v>
      </c>
      <c r="P79" s="32">
        <v>16</v>
      </c>
      <c r="Q79" s="32">
        <v>16</v>
      </c>
      <c r="R79" s="32">
        <v>16</v>
      </c>
      <c r="S79" s="32">
        <v>16</v>
      </c>
      <c r="T79" s="32">
        <v>16</v>
      </c>
      <c r="U79" s="32">
        <v>16</v>
      </c>
      <c r="V79" s="32">
        <v>16</v>
      </c>
    </row>
    <row r="80" spans="1:22" ht="17" customHeight="1" x14ac:dyDescent="0.35">
      <c r="A80" s="130"/>
      <c r="B80" s="119" t="s">
        <v>1757</v>
      </c>
      <c r="C80" s="29" t="s">
        <v>91</v>
      </c>
      <c r="D80" s="30" t="s">
        <v>94</v>
      </c>
      <c r="E80" s="31">
        <v>0</v>
      </c>
      <c r="F80" s="31">
        <v>6</v>
      </c>
      <c r="G80" s="32">
        <v>0</v>
      </c>
      <c r="H80" s="32">
        <v>0</v>
      </c>
      <c r="I80" s="31">
        <v>6</v>
      </c>
      <c r="J80" s="32">
        <v>0</v>
      </c>
      <c r="K80" s="31">
        <v>6</v>
      </c>
      <c r="L80" s="32">
        <v>6</v>
      </c>
      <c r="M80" s="32">
        <v>6</v>
      </c>
      <c r="N80" s="32">
        <v>6</v>
      </c>
      <c r="O80" s="32">
        <v>6</v>
      </c>
      <c r="P80" s="32">
        <v>7</v>
      </c>
      <c r="Q80" s="32">
        <v>7</v>
      </c>
      <c r="R80" s="32">
        <v>7</v>
      </c>
      <c r="S80" s="32">
        <v>7</v>
      </c>
      <c r="T80" s="32">
        <v>7</v>
      </c>
      <c r="U80" s="32">
        <v>7</v>
      </c>
      <c r="V80" s="32">
        <v>7</v>
      </c>
    </row>
    <row r="81" spans="1:23" ht="17" customHeight="1" x14ac:dyDescent="0.35">
      <c r="A81" s="130"/>
      <c r="B81" s="119" t="s">
        <v>1757</v>
      </c>
      <c r="C81" s="29" t="s">
        <v>91</v>
      </c>
      <c r="D81" s="30" t="s">
        <v>95</v>
      </c>
      <c r="E81" s="31">
        <v>0</v>
      </c>
      <c r="F81" s="31">
        <v>6</v>
      </c>
      <c r="G81" s="32"/>
      <c r="H81" s="32">
        <v>3</v>
      </c>
      <c r="I81" s="31">
        <v>6</v>
      </c>
      <c r="J81" s="32">
        <v>3</v>
      </c>
      <c r="K81" s="31">
        <v>9</v>
      </c>
      <c r="L81" s="32">
        <v>9</v>
      </c>
      <c r="M81" s="32">
        <v>9</v>
      </c>
      <c r="N81" s="32">
        <v>9</v>
      </c>
      <c r="O81" s="32">
        <v>9</v>
      </c>
      <c r="P81" s="32">
        <v>9</v>
      </c>
      <c r="Q81" s="32">
        <v>9</v>
      </c>
      <c r="R81" s="32">
        <v>9</v>
      </c>
      <c r="S81" s="32">
        <v>9</v>
      </c>
      <c r="T81" s="32">
        <v>9</v>
      </c>
      <c r="U81" s="32">
        <v>9</v>
      </c>
      <c r="V81" s="32">
        <v>9</v>
      </c>
    </row>
    <row r="82" spans="1:23" ht="17" customHeight="1" x14ac:dyDescent="0.35">
      <c r="A82" s="130"/>
      <c r="B82" s="119" t="s">
        <v>1757</v>
      </c>
      <c r="C82" s="29" t="s">
        <v>91</v>
      </c>
      <c r="D82" s="30" t="s">
        <v>96</v>
      </c>
      <c r="E82" s="31">
        <v>0</v>
      </c>
      <c r="F82" s="31">
        <v>2</v>
      </c>
      <c r="G82" s="32">
        <v>0</v>
      </c>
      <c r="H82" s="32">
        <v>2</v>
      </c>
      <c r="I82" s="31">
        <v>4</v>
      </c>
      <c r="J82" s="32">
        <v>0</v>
      </c>
      <c r="K82" s="31">
        <v>4</v>
      </c>
      <c r="L82" s="32">
        <v>4</v>
      </c>
      <c r="M82" s="32">
        <v>4</v>
      </c>
      <c r="N82" s="32">
        <v>4</v>
      </c>
      <c r="O82" s="32">
        <v>4</v>
      </c>
      <c r="P82" s="32">
        <v>4</v>
      </c>
      <c r="Q82" s="32">
        <v>4</v>
      </c>
      <c r="R82" s="32">
        <v>4</v>
      </c>
      <c r="S82" s="32">
        <v>4</v>
      </c>
      <c r="T82" s="32">
        <v>4</v>
      </c>
      <c r="U82" s="32">
        <v>4</v>
      </c>
      <c r="V82" s="32">
        <v>4</v>
      </c>
    </row>
    <row r="83" spans="1:23" ht="17" customHeight="1" x14ac:dyDescent="0.35">
      <c r="A83" s="130"/>
      <c r="B83" s="119" t="s">
        <v>1757</v>
      </c>
      <c r="C83" s="29" t="s">
        <v>91</v>
      </c>
      <c r="D83" s="30" t="s">
        <v>97</v>
      </c>
      <c r="E83" s="31">
        <v>0</v>
      </c>
      <c r="F83" s="31">
        <v>4</v>
      </c>
      <c r="G83" s="32">
        <v>0</v>
      </c>
      <c r="H83" s="32">
        <v>0</v>
      </c>
      <c r="I83" s="31">
        <v>4</v>
      </c>
      <c r="J83" s="32">
        <v>2</v>
      </c>
      <c r="K83" s="31">
        <v>6</v>
      </c>
      <c r="L83" s="32">
        <v>6</v>
      </c>
      <c r="M83" s="32">
        <v>6</v>
      </c>
      <c r="N83" s="32">
        <v>6</v>
      </c>
      <c r="O83" s="32">
        <v>7</v>
      </c>
      <c r="P83" s="32">
        <v>8</v>
      </c>
      <c r="Q83" s="32">
        <v>9</v>
      </c>
      <c r="R83" s="32">
        <v>9</v>
      </c>
      <c r="S83" s="32">
        <v>9</v>
      </c>
      <c r="T83" s="32">
        <v>9</v>
      </c>
      <c r="U83" s="32">
        <v>9</v>
      </c>
      <c r="V83" s="32">
        <v>9</v>
      </c>
    </row>
    <row r="84" spans="1:23" ht="17" customHeight="1" x14ac:dyDescent="0.35">
      <c r="A84" s="130"/>
      <c r="B84" s="119" t="s">
        <v>1757</v>
      </c>
      <c r="C84" s="29" t="s">
        <v>91</v>
      </c>
      <c r="D84" s="30" t="s">
        <v>98</v>
      </c>
      <c r="E84" s="31">
        <v>0</v>
      </c>
      <c r="F84" s="31">
        <v>5</v>
      </c>
      <c r="G84" s="32">
        <v>0</v>
      </c>
      <c r="H84" s="32">
        <v>0</v>
      </c>
      <c r="I84" s="31">
        <v>5</v>
      </c>
      <c r="J84" s="32">
        <v>1</v>
      </c>
      <c r="K84" s="31">
        <v>6</v>
      </c>
      <c r="L84" s="32">
        <v>6</v>
      </c>
      <c r="M84" s="32">
        <v>6</v>
      </c>
      <c r="N84" s="32">
        <v>6</v>
      </c>
      <c r="O84" s="32">
        <v>6</v>
      </c>
      <c r="P84" s="32">
        <v>6</v>
      </c>
      <c r="Q84" s="32">
        <v>6</v>
      </c>
      <c r="R84" s="32">
        <v>6</v>
      </c>
      <c r="S84" s="32">
        <v>6</v>
      </c>
      <c r="T84" s="32">
        <v>6</v>
      </c>
      <c r="U84" s="32">
        <v>6</v>
      </c>
      <c r="V84" s="32">
        <v>6</v>
      </c>
    </row>
    <row r="85" spans="1:23" ht="17" customHeight="1" x14ac:dyDescent="0.4">
      <c r="A85" s="130"/>
      <c r="B85" s="119" t="s">
        <v>1757</v>
      </c>
      <c r="C85" s="29" t="s">
        <v>99</v>
      </c>
      <c r="D85" s="30" t="s">
        <v>170</v>
      </c>
      <c r="E85" s="31">
        <v>0</v>
      </c>
      <c r="F85" s="31">
        <v>1</v>
      </c>
      <c r="G85" s="32">
        <v>0</v>
      </c>
      <c r="H85" s="32">
        <v>0</v>
      </c>
      <c r="I85" s="31">
        <v>1</v>
      </c>
      <c r="J85" s="32">
        <v>0</v>
      </c>
      <c r="K85" s="31">
        <v>1</v>
      </c>
      <c r="L85" s="32">
        <v>1</v>
      </c>
      <c r="M85" s="32">
        <v>1</v>
      </c>
      <c r="N85" s="32">
        <v>1</v>
      </c>
      <c r="O85" s="32">
        <v>1</v>
      </c>
      <c r="P85" s="32">
        <v>1</v>
      </c>
      <c r="Q85" s="32">
        <v>1</v>
      </c>
      <c r="R85" s="32">
        <v>1</v>
      </c>
      <c r="S85" s="32">
        <v>1</v>
      </c>
      <c r="T85" s="32">
        <v>1</v>
      </c>
      <c r="U85" s="32">
        <v>1</v>
      </c>
      <c r="V85" s="32">
        <v>1</v>
      </c>
      <c r="W85" s="7"/>
    </row>
    <row r="86" spans="1:23" ht="17" customHeight="1" x14ac:dyDescent="0.4">
      <c r="A86" s="130"/>
      <c r="B86" s="119" t="s">
        <v>1757</v>
      </c>
      <c r="C86" s="29" t="s">
        <v>99</v>
      </c>
      <c r="D86" s="30" t="s">
        <v>33</v>
      </c>
      <c r="E86" s="31">
        <v>0</v>
      </c>
      <c r="F86" s="31">
        <v>1</v>
      </c>
      <c r="G86" s="32">
        <v>0</v>
      </c>
      <c r="H86" s="32">
        <v>1</v>
      </c>
      <c r="I86" s="31">
        <v>2</v>
      </c>
      <c r="J86" s="32">
        <v>0</v>
      </c>
      <c r="K86" s="31">
        <v>2</v>
      </c>
      <c r="L86" s="32">
        <v>2</v>
      </c>
      <c r="M86" s="32">
        <v>2</v>
      </c>
      <c r="N86" s="32">
        <v>2</v>
      </c>
      <c r="O86" s="32">
        <v>2</v>
      </c>
      <c r="P86" s="32">
        <v>2</v>
      </c>
      <c r="Q86" s="32">
        <v>2</v>
      </c>
      <c r="R86" s="32">
        <v>2</v>
      </c>
      <c r="S86" s="32">
        <v>2</v>
      </c>
      <c r="T86" s="32">
        <v>2</v>
      </c>
      <c r="U86" s="32">
        <v>2</v>
      </c>
      <c r="V86" s="32">
        <v>2</v>
      </c>
      <c r="W86" s="6"/>
    </row>
    <row r="87" spans="1:23" ht="17" customHeight="1" x14ac:dyDescent="0.35">
      <c r="A87" s="130" t="s">
        <v>162</v>
      </c>
      <c r="B87" s="119" t="s">
        <v>1757</v>
      </c>
      <c r="C87" s="29" t="s">
        <v>100</v>
      </c>
      <c r="D87" s="30" t="s">
        <v>33</v>
      </c>
      <c r="E87" s="31">
        <v>0</v>
      </c>
      <c r="F87" s="31">
        <v>4</v>
      </c>
      <c r="G87" s="32">
        <v>0</v>
      </c>
      <c r="H87" s="32">
        <v>0</v>
      </c>
      <c r="I87" s="31">
        <v>4</v>
      </c>
      <c r="J87" s="32">
        <v>0</v>
      </c>
      <c r="K87" s="31">
        <v>4</v>
      </c>
      <c r="L87" s="32">
        <v>4</v>
      </c>
      <c r="M87" s="32">
        <v>4</v>
      </c>
      <c r="N87" s="32">
        <v>4</v>
      </c>
      <c r="O87" s="32">
        <v>4</v>
      </c>
      <c r="P87" s="32">
        <v>4</v>
      </c>
      <c r="Q87" s="32">
        <v>4</v>
      </c>
      <c r="R87" s="32">
        <v>4</v>
      </c>
      <c r="S87" s="32">
        <v>4</v>
      </c>
      <c r="T87" s="32">
        <v>4</v>
      </c>
      <c r="U87" s="32">
        <v>4</v>
      </c>
      <c r="V87" s="32">
        <v>4</v>
      </c>
    </row>
    <row r="88" spans="1:23" ht="17" customHeight="1" x14ac:dyDescent="0.35">
      <c r="A88" s="130" t="s">
        <v>162</v>
      </c>
      <c r="B88" s="119" t="s">
        <v>1757</v>
      </c>
      <c r="C88" s="29" t="s">
        <v>100</v>
      </c>
      <c r="D88" s="30" t="s">
        <v>101</v>
      </c>
      <c r="E88" s="31">
        <v>0</v>
      </c>
      <c r="F88" s="31">
        <v>10</v>
      </c>
      <c r="G88" s="32">
        <v>0</v>
      </c>
      <c r="H88" s="32">
        <v>4</v>
      </c>
      <c r="I88" s="31">
        <v>14</v>
      </c>
      <c r="J88" s="32">
        <v>0</v>
      </c>
      <c r="K88" s="31">
        <v>14</v>
      </c>
      <c r="L88" s="32">
        <v>14</v>
      </c>
      <c r="M88" s="32">
        <v>14</v>
      </c>
      <c r="N88" s="32">
        <v>14</v>
      </c>
      <c r="O88" s="32">
        <v>14</v>
      </c>
      <c r="P88" s="32">
        <v>14</v>
      </c>
      <c r="Q88" s="32">
        <v>14</v>
      </c>
      <c r="R88" s="32">
        <v>14</v>
      </c>
      <c r="S88" s="32">
        <v>14</v>
      </c>
      <c r="T88" s="32">
        <v>14</v>
      </c>
      <c r="U88" s="32">
        <v>14</v>
      </c>
      <c r="V88" s="32">
        <v>14</v>
      </c>
    </row>
    <row r="89" spans="1:23" ht="17" customHeight="1" x14ac:dyDescent="0.35">
      <c r="A89" s="130" t="s">
        <v>162</v>
      </c>
      <c r="B89" s="119" t="s">
        <v>1757</v>
      </c>
      <c r="C89" s="29" t="s">
        <v>100</v>
      </c>
      <c r="D89" s="30" t="s">
        <v>102</v>
      </c>
      <c r="E89" s="31">
        <v>0</v>
      </c>
      <c r="F89" s="31">
        <v>7</v>
      </c>
      <c r="G89" s="32">
        <v>0</v>
      </c>
      <c r="H89" s="32">
        <v>1</v>
      </c>
      <c r="I89" s="31">
        <v>8</v>
      </c>
      <c r="J89" s="32">
        <v>0</v>
      </c>
      <c r="K89" s="31">
        <v>8</v>
      </c>
      <c r="L89" s="32">
        <v>8</v>
      </c>
      <c r="M89" s="32">
        <v>8</v>
      </c>
      <c r="N89" s="32">
        <v>8</v>
      </c>
      <c r="O89" s="32">
        <v>8</v>
      </c>
      <c r="P89" s="32">
        <v>8</v>
      </c>
      <c r="Q89" s="32">
        <v>8</v>
      </c>
      <c r="R89" s="32">
        <v>8</v>
      </c>
      <c r="S89" s="32">
        <v>8</v>
      </c>
      <c r="T89" s="32">
        <v>8</v>
      </c>
      <c r="U89" s="32">
        <v>8</v>
      </c>
      <c r="V89" s="32">
        <v>8</v>
      </c>
    </row>
    <row r="90" spans="1:23" ht="17" customHeight="1" x14ac:dyDescent="0.35">
      <c r="A90" s="130" t="s">
        <v>162</v>
      </c>
      <c r="B90" s="119" t="s">
        <v>1757</v>
      </c>
      <c r="C90" s="29" t="s">
        <v>100</v>
      </c>
      <c r="D90" s="30" t="s">
        <v>103</v>
      </c>
      <c r="E90" s="31">
        <v>0</v>
      </c>
      <c r="F90" s="31">
        <v>5</v>
      </c>
      <c r="G90" s="32">
        <v>1</v>
      </c>
      <c r="H90" s="32">
        <v>0</v>
      </c>
      <c r="I90" s="31">
        <v>5</v>
      </c>
      <c r="J90" s="32">
        <v>0</v>
      </c>
      <c r="K90" s="31">
        <v>6</v>
      </c>
      <c r="L90" s="32">
        <v>6</v>
      </c>
      <c r="M90" s="32">
        <v>6</v>
      </c>
      <c r="N90" s="32">
        <v>6</v>
      </c>
      <c r="O90" s="32">
        <v>6</v>
      </c>
      <c r="P90" s="32">
        <v>6</v>
      </c>
      <c r="Q90" s="32">
        <v>6</v>
      </c>
      <c r="R90" s="32">
        <v>6</v>
      </c>
      <c r="S90" s="32">
        <v>6</v>
      </c>
      <c r="T90" s="32">
        <v>6</v>
      </c>
      <c r="U90" s="32">
        <v>6</v>
      </c>
      <c r="V90" s="32">
        <v>6</v>
      </c>
    </row>
    <row r="91" spans="1:23" ht="17" customHeight="1" x14ac:dyDescent="0.35">
      <c r="A91" s="130" t="s">
        <v>162</v>
      </c>
      <c r="B91" s="119" t="s">
        <v>1757</v>
      </c>
      <c r="C91" s="29" t="s">
        <v>100</v>
      </c>
      <c r="D91" s="30" t="s">
        <v>104</v>
      </c>
      <c r="E91" s="31">
        <v>0</v>
      </c>
      <c r="F91" s="31">
        <v>10</v>
      </c>
      <c r="G91" s="32">
        <v>0</v>
      </c>
      <c r="H91" s="32">
        <v>0</v>
      </c>
      <c r="I91" s="31">
        <v>10</v>
      </c>
      <c r="J91" s="32">
        <v>0</v>
      </c>
      <c r="K91" s="31">
        <v>10</v>
      </c>
      <c r="L91" s="32">
        <v>10</v>
      </c>
      <c r="M91" s="32">
        <v>10</v>
      </c>
      <c r="N91" s="32">
        <v>10</v>
      </c>
      <c r="O91" s="32">
        <v>10</v>
      </c>
      <c r="P91" s="32">
        <v>10</v>
      </c>
      <c r="Q91" s="32">
        <v>10</v>
      </c>
      <c r="R91" s="32">
        <v>10</v>
      </c>
      <c r="S91" s="32">
        <v>10</v>
      </c>
      <c r="T91" s="32">
        <v>10</v>
      </c>
      <c r="U91" s="32">
        <v>10</v>
      </c>
      <c r="V91" s="32">
        <v>10</v>
      </c>
    </row>
    <row r="92" spans="1:23" ht="17" customHeight="1" x14ac:dyDescent="0.35">
      <c r="A92" s="130" t="s">
        <v>163</v>
      </c>
      <c r="B92" s="119" t="s">
        <v>1757</v>
      </c>
      <c r="C92" s="29" t="s">
        <v>100</v>
      </c>
      <c r="D92" s="30" t="s">
        <v>165</v>
      </c>
      <c r="E92" s="31">
        <v>0</v>
      </c>
      <c r="F92" s="31">
        <v>8</v>
      </c>
      <c r="G92" s="32">
        <v>2</v>
      </c>
      <c r="H92" s="32">
        <v>0</v>
      </c>
      <c r="I92" s="31">
        <v>8</v>
      </c>
      <c r="J92" s="32">
        <v>0</v>
      </c>
      <c r="K92" s="31">
        <v>11</v>
      </c>
      <c r="L92" s="31">
        <v>11</v>
      </c>
      <c r="M92" s="31">
        <v>11</v>
      </c>
      <c r="N92" s="31">
        <v>11</v>
      </c>
      <c r="O92" s="31">
        <v>11</v>
      </c>
      <c r="P92" s="31">
        <v>11</v>
      </c>
      <c r="Q92" s="31">
        <v>11</v>
      </c>
      <c r="R92" s="31">
        <v>11</v>
      </c>
      <c r="S92" s="31">
        <v>11</v>
      </c>
      <c r="T92" s="31">
        <v>11</v>
      </c>
      <c r="U92" s="31">
        <v>11</v>
      </c>
      <c r="V92" s="31">
        <v>11</v>
      </c>
    </row>
    <row r="93" spans="1:23" ht="17" customHeight="1" x14ac:dyDescent="0.35">
      <c r="A93" s="130" t="s">
        <v>164</v>
      </c>
      <c r="B93" s="119" t="s">
        <v>1757</v>
      </c>
      <c r="C93" s="29" t="s">
        <v>100</v>
      </c>
      <c r="D93" s="30" t="s">
        <v>33</v>
      </c>
      <c r="E93" s="31">
        <v>0</v>
      </c>
      <c r="F93" s="31">
        <v>1</v>
      </c>
      <c r="G93" s="32">
        <v>0</v>
      </c>
      <c r="H93" s="32">
        <v>0</v>
      </c>
      <c r="I93" s="31">
        <v>1</v>
      </c>
      <c r="J93" s="32">
        <v>0</v>
      </c>
      <c r="K93" s="31">
        <v>1</v>
      </c>
      <c r="L93" s="32">
        <v>1</v>
      </c>
      <c r="M93" s="32">
        <v>1</v>
      </c>
      <c r="N93" s="32">
        <v>1</v>
      </c>
      <c r="O93" s="32">
        <v>1</v>
      </c>
      <c r="P93" s="32">
        <v>1</v>
      </c>
      <c r="Q93" s="32">
        <v>1</v>
      </c>
      <c r="R93" s="32">
        <v>1</v>
      </c>
      <c r="S93" s="32">
        <v>1</v>
      </c>
      <c r="T93" s="32">
        <v>1</v>
      </c>
      <c r="U93" s="32">
        <v>1</v>
      </c>
      <c r="V93" s="32">
        <v>1</v>
      </c>
    </row>
    <row r="94" spans="1:23" ht="17" customHeight="1" x14ac:dyDescent="0.35">
      <c r="A94" s="130" t="s">
        <v>164</v>
      </c>
      <c r="B94" s="119" t="s">
        <v>1757</v>
      </c>
      <c r="C94" s="29" t="s">
        <v>100</v>
      </c>
      <c r="D94" s="30" t="s">
        <v>166</v>
      </c>
      <c r="E94" s="31">
        <v>0</v>
      </c>
      <c r="F94" s="31">
        <v>11</v>
      </c>
      <c r="G94" s="32">
        <v>0</v>
      </c>
      <c r="H94" s="32">
        <v>0</v>
      </c>
      <c r="I94" s="31">
        <v>11</v>
      </c>
      <c r="J94" s="32">
        <v>0</v>
      </c>
      <c r="K94" s="31">
        <v>11</v>
      </c>
      <c r="L94" s="32">
        <v>11</v>
      </c>
      <c r="M94" s="32">
        <v>11</v>
      </c>
      <c r="N94" s="32">
        <v>11</v>
      </c>
      <c r="O94" s="32">
        <v>11</v>
      </c>
      <c r="P94" s="32">
        <v>11</v>
      </c>
      <c r="Q94" s="32">
        <v>11</v>
      </c>
      <c r="R94" s="32">
        <v>11</v>
      </c>
      <c r="S94" s="32">
        <v>11</v>
      </c>
      <c r="T94" s="32">
        <v>11</v>
      </c>
      <c r="U94" s="32">
        <v>11</v>
      </c>
      <c r="V94" s="32">
        <v>11</v>
      </c>
    </row>
    <row r="95" spans="1:23" ht="17" customHeight="1" x14ac:dyDescent="0.35">
      <c r="A95" s="130" t="s">
        <v>164</v>
      </c>
      <c r="B95" s="119" t="s">
        <v>1757</v>
      </c>
      <c r="C95" s="29" t="s">
        <v>100</v>
      </c>
      <c r="D95" s="30" t="s">
        <v>167</v>
      </c>
      <c r="E95" s="31">
        <v>0</v>
      </c>
      <c r="F95" s="31">
        <v>7</v>
      </c>
      <c r="G95" s="32">
        <v>0</v>
      </c>
      <c r="H95" s="32">
        <v>0</v>
      </c>
      <c r="I95" s="31">
        <v>7</v>
      </c>
      <c r="J95" s="32">
        <v>0</v>
      </c>
      <c r="K95" s="31">
        <v>7</v>
      </c>
      <c r="L95" s="32">
        <v>7</v>
      </c>
      <c r="M95" s="32">
        <v>7</v>
      </c>
      <c r="N95" s="32">
        <v>7</v>
      </c>
      <c r="O95" s="32">
        <v>7</v>
      </c>
      <c r="P95" s="32">
        <v>7</v>
      </c>
      <c r="Q95" s="32">
        <v>7</v>
      </c>
      <c r="R95" s="32">
        <v>7</v>
      </c>
      <c r="S95" s="32">
        <v>7</v>
      </c>
      <c r="T95" s="32">
        <v>7</v>
      </c>
      <c r="U95" s="32">
        <v>7</v>
      </c>
      <c r="V95" s="32">
        <v>7</v>
      </c>
    </row>
    <row r="96" spans="1:23" ht="17" customHeight="1" x14ac:dyDescent="0.35">
      <c r="A96" s="130" t="s">
        <v>164</v>
      </c>
      <c r="B96" s="119" t="s">
        <v>1757</v>
      </c>
      <c r="C96" s="29" t="s">
        <v>100</v>
      </c>
      <c r="D96" s="30" t="s">
        <v>168</v>
      </c>
      <c r="E96" s="31">
        <v>0</v>
      </c>
      <c r="F96" s="31">
        <v>3</v>
      </c>
      <c r="G96" s="32">
        <v>1</v>
      </c>
      <c r="H96" s="32">
        <v>0</v>
      </c>
      <c r="I96" s="31">
        <v>3</v>
      </c>
      <c r="J96" s="32">
        <v>0</v>
      </c>
      <c r="K96" s="31">
        <v>4</v>
      </c>
      <c r="L96" s="32">
        <v>4</v>
      </c>
      <c r="M96" s="32">
        <v>4</v>
      </c>
      <c r="N96" s="32">
        <v>4</v>
      </c>
      <c r="O96" s="32">
        <v>4</v>
      </c>
      <c r="P96" s="32">
        <v>4</v>
      </c>
      <c r="Q96" s="32">
        <v>4</v>
      </c>
      <c r="R96" s="32">
        <v>4</v>
      </c>
      <c r="S96" s="32">
        <v>4</v>
      </c>
      <c r="T96" s="32">
        <v>4</v>
      </c>
      <c r="U96" s="32">
        <v>4</v>
      </c>
      <c r="V96" s="32">
        <v>4</v>
      </c>
    </row>
    <row r="97" spans="1:22" ht="17" customHeight="1" x14ac:dyDescent="0.35">
      <c r="A97" s="130" t="s">
        <v>164</v>
      </c>
      <c r="B97" s="119" t="s">
        <v>1757</v>
      </c>
      <c r="C97" s="29" t="s">
        <v>100</v>
      </c>
      <c r="D97" s="30" t="s">
        <v>169</v>
      </c>
      <c r="E97" s="31">
        <v>0</v>
      </c>
      <c r="F97" s="31">
        <v>2</v>
      </c>
      <c r="G97" s="32">
        <v>0</v>
      </c>
      <c r="H97" s="32">
        <v>0</v>
      </c>
      <c r="I97" s="31">
        <v>2</v>
      </c>
      <c r="J97" s="32">
        <v>0</v>
      </c>
      <c r="K97" s="31">
        <v>2</v>
      </c>
      <c r="L97" s="32">
        <v>2</v>
      </c>
      <c r="M97" s="32">
        <v>2</v>
      </c>
      <c r="N97" s="32">
        <v>2</v>
      </c>
      <c r="O97" s="32">
        <v>2</v>
      </c>
      <c r="P97" s="32">
        <v>2</v>
      </c>
      <c r="Q97" s="32">
        <v>2</v>
      </c>
      <c r="R97" s="32">
        <v>2</v>
      </c>
      <c r="S97" s="32">
        <v>2</v>
      </c>
      <c r="T97" s="32">
        <v>2</v>
      </c>
      <c r="U97" s="32">
        <v>2</v>
      </c>
      <c r="V97" s="32">
        <v>2</v>
      </c>
    </row>
    <row r="98" spans="1:22" ht="17" customHeight="1" x14ac:dyDescent="0.35">
      <c r="A98" s="130"/>
      <c r="B98" s="119" t="s">
        <v>1757</v>
      </c>
      <c r="C98" s="29" t="s">
        <v>105</v>
      </c>
      <c r="D98" s="30" t="s">
        <v>33</v>
      </c>
      <c r="E98" s="31">
        <v>0</v>
      </c>
      <c r="F98" s="31">
        <v>3</v>
      </c>
      <c r="G98" s="32">
        <v>0</v>
      </c>
      <c r="H98" s="32">
        <v>0</v>
      </c>
      <c r="I98" s="31">
        <v>3</v>
      </c>
      <c r="J98" s="32">
        <v>0</v>
      </c>
      <c r="K98" s="31">
        <v>0</v>
      </c>
      <c r="L98" s="32">
        <v>0</v>
      </c>
      <c r="M98" s="32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3</v>
      </c>
    </row>
    <row r="99" spans="1:22" ht="17" customHeight="1" x14ac:dyDescent="0.35">
      <c r="A99" s="130"/>
      <c r="B99" s="119" t="s">
        <v>1757</v>
      </c>
      <c r="C99" s="29" t="s">
        <v>105</v>
      </c>
      <c r="D99" s="30" t="s">
        <v>106</v>
      </c>
      <c r="E99" s="31">
        <v>0</v>
      </c>
      <c r="F99" s="31">
        <v>3</v>
      </c>
      <c r="G99" s="32">
        <v>0</v>
      </c>
      <c r="H99" s="32">
        <v>0</v>
      </c>
      <c r="I99" s="31">
        <v>3</v>
      </c>
      <c r="J99" s="32">
        <v>0</v>
      </c>
      <c r="K99" s="31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3</v>
      </c>
    </row>
    <row r="100" spans="1:22" ht="17" customHeight="1" x14ac:dyDescent="0.35">
      <c r="A100" s="130"/>
      <c r="B100" s="119" t="s">
        <v>1757</v>
      </c>
      <c r="C100" s="29" t="s">
        <v>105</v>
      </c>
      <c r="D100" s="30" t="s">
        <v>107</v>
      </c>
      <c r="E100" s="31">
        <v>0</v>
      </c>
      <c r="F100" s="31">
        <v>14</v>
      </c>
      <c r="G100" s="32">
        <v>0</v>
      </c>
      <c r="H100" s="32">
        <v>0</v>
      </c>
      <c r="I100" s="31">
        <v>14</v>
      </c>
      <c r="J100" s="32">
        <v>0</v>
      </c>
      <c r="K100" s="31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14</v>
      </c>
    </row>
    <row r="101" spans="1:22" ht="17" customHeight="1" x14ac:dyDescent="0.35">
      <c r="A101" s="130"/>
      <c r="B101" s="119" t="s">
        <v>1757</v>
      </c>
      <c r="C101" s="29" t="s">
        <v>105</v>
      </c>
      <c r="D101" s="30" t="s">
        <v>108</v>
      </c>
      <c r="E101" s="31">
        <v>0</v>
      </c>
      <c r="F101" s="31">
        <v>22</v>
      </c>
      <c r="G101" s="32">
        <v>0</v>
      </c>
      <c r="H101" s="32">
        <v>2</v>
      </c>
      <c r="I101" s="31">
        <v>22</v>
      </c>
      <c r="J101" s="32">
        <v>2</v>
      </c>
      <c r="K101" s="31">
        <v>0</v>
      </c>
      <c r="L101" s="32">
        <v>0</v>
      </c>
      <c r="M101" s="32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24</v>
      </c>
    </row>
    <row r="102" spans="1:22" ht="17" customHeight="1" x14ac:dyDescent="0.35">
      <c r="A102" s="130"/>
      <c r="B102" s="119" t="s">
        <v>1757</v>
      </c>
      <c r="C102" s="29" t="s">
        <v>105</v>
      </c>
      <c r="D102" s="30" t="s">
        <v>109</v>
      </c>
      <c r="E102" s="31">
        <v>0</v>
      </c>
      <c r="F102" s="31">
        <v>41</v>
      </c>
      <c r="G102" s="32">
        <v>0</v>
      </c>
      <c r="H102" s="32">
        <v>8</v>
      </c>
      <c r="I102" s="31">
        <v>46</v>
      </c>
      <c r="J102" s="32">
        <v>3</v>
      </c>
      <c r="K102" s="31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49</v>
      </c>
    </row>
    <row r="103" spans="1:22" ht="17" customHeight="1" x14ac:dyDescent="0.35">
      <c r="A103" s="130"/>
      <c r="B103" s="119" t="s">
        <v>1757</v>
      </c>
      <c r="C103" s="29" t="s">
        <v>110</v>
      </c>
      <c r="D103" s="30" t="s">
        <v>111</v>
      </c>
      <c r="E103" s="31">
        <v>0</v>
      </c>
      <c r="F103" s="31">
        <v>6</v>
      </c>
      <c r="G103" s="32">
        <v>0</v>
      </c>
      <c r="H103" s="32">
        <v>1</v>
      </c>
      <c r="I103" s="31">
        <v>6</v>
      </c>
      <c r="J103" s="32">
        <v>1</v>
      </c>
      <c r="K103" s="31">
        <v>8</v>
      </c>
      <c r="L103" s="32">
        <v>8</v>
      </c>
      <c r="M103" s="32">
        <v>8</v>
      </c>
      <c r="N103" s="32">
        <v>8</v>
      </c>
      <c r="O103" s="32">
        <v>8</v>
      </c>
      <c r="P103" s="32">
        <v>8</v>
      </c>
      <c r="Q103" s="32">
        <v>8</v>
      </c>
      <c r="R103" s="32">
        <v>8</v>
      </c>
      <c r="S103" s="32">
        <v>8</v>
      </c>
      <c r="T103" s="32">
        <v>8</v>
      </c>
      <c r="U103" s="32">
        <v>8</v>
      </c>
      <c r="V103" s="32">
        <v>8</v>
      </c>
    </row>
    <row r="104" spans="1:22" ht="17" customHeight="1" x14ac:dyDescent="0.35">
      <c r="A104" s="130"/>
      <c r="B104" s="119" t="s">
        <v>1757</v>
      </c>
      <c r="C104" s="29" t="s">
        <v>110</v>
      </c>
      <c r="D104" s="30" t="s">
        <v>112</v>
      </c>
      <c r="E104" s="31">
        <v>0</v>
      </c>
      <c r="F104" s="31">
        <v>2</v>
      </c>
      <c r="G104" s="32">
        <v>0</v>
      </c>
      <c r="H104" s="32">
        <v>0</v>
      </c>
      <c r="I104" s="31">
        <v>2</v>
      </c>
      <c r="J104" s="32">
        <v>0</v>
      </c>
      <c r="K104" s="31">
        <v>3</v>
      </c>
      <c r="L104" s="32">
        <v>3</v>
      </c>
      <c r="M104" s="32">
        <v>3</v>
      </c>
      <c r="N104" s="32">
        <v>3</v>
      </c>
      <c r="O104" s="32">
        <v>3</v>
      </c>
      <c r="P104" s="32">
        <v>3</v>
      </c>
      <c r="Q104" s="32">
        <v>3</v>
      </c>
      <c r="R104" s="32">
        <v>3</v>
      </c>
      <c r="S104" s="32">
        <v>3</v>
      </c>
      <c r="T104" s="32">
        <v>3</v>
      </c>
      <c r="U104" s="32">
        <v>3</v>
      </c>
      <c r="V104" s="32">
        <v>3</v>
      </c>
    </row>
    <row r="105" spans="1:22" ht="17" customHeight="1" x14ac:dyDescent="0.35">
      <c r="A105" s="130"/>
      <c r="B105" s="119" t="s">
        <v>1757</v>
      </c>
      <c r="C105" s="29" t="s">
        <v>110</v>
      </c>
      <c r="D105" s="30" t="s">
        <v>33</v>
      </c>
      <c r="E105" s="31">
        <v>0</v>
      </c>
      <c r="F105" s="31">
        <v>3</v>
      </c>
      <c r="G105" s="32">
        <v>0</v>
      </c>
      <c r="H105" s="32">
        <v>0</v>
      </c>
      <c r="I105" s="31">
        <v>3</v>
      </c>
      <c r="J105" s="32">
        <v>0</v>
      </c>
      <c r="K105" s="31">
        <v>4</v>
      </c>
      <c r="L105" s="32">
        <v>4</v>
      </c>
      <c r="M105" s="32">
        <v>4</v>
      </c>
      <c r="N105" s="32">
        <v>4</v>
      </c>
      <c r="O105" s="32">
        <v>4</v>
      </c>
      <c r="P105" s="32">
        <v>4</v>
      </c>
      <c r="Q105" s="32">
        <v>4</v>
      </c>
      <c r="R105" s="32">
        <v>4</v>
      </c>
      <c r="S105" s="32">
        <v>4</v>
      </c>
      <c r="T105" s="32">
        <v>4</v>
      </c>
      <c r="U105" s="32">
        <v>4</v>
      </c>
      <c r="V105" s="32">
        <v>4</v>
      </c>
    </row>
    <row r="106" spans="1:22" ht="17" customHeight="1" x14ac:dyDescent="0.35">
      <c r="A106" s="130"/>
      <c r="B106" s="119" t="s">
        <v>1757</v>
      </c>
      <c r="C106" s="29" t="s">
        <v>113</v>
      </c>
      <c r="D106" s="30" t="s">
        <v>33</v>
      </c>
      <c r="E106" s="31">
        <v>0</v>
      </c>
      <c r="F106" s="31">
        <v>1</v>
      </c>
      <c r="G106" s="32">
        <v>0</v>
      </c>
      <c r="H106" s="32">
        <v>0</v>
      </c>
      <c r="I106" s="31">
        <v>1</v>
      </c>
      <c r="J106" s="32">
        <v>0</v>
      </c>
      <c r="K106" s="31">
        <v>0</v>
      </c>
      <c r="L106" s="32">
        <v>0</v>
      </c>
      <c r="M106" s="32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f>I106+J106</f>
        <v>1</v>
      </c>
    </row>
    <row r="107" spans="1:22" ht="17" customHeight="1" x14ac:dyDescent="0.35">
      <c r="A107" s="130"/>
      <c r="B107" s="119" t="s">
        <v>1757</v>
      </c>
      <c r="C107" s="29" t="s">
        <v>113</v>
      </c>
      <c r="D107" s="30" t="s">
        <v>114</v>
      </c>
      <c r="E107" s="31">
        <v>0</v>
      </c>
      <c r="F107" s="31">
        <v>14</v>
      </c>
      <c r="G107" s="32">
        <v>0</v>
      </c>
      <c r="H107" s="32">
        <v>2</v>
      </c>
      <c r="I107" s="31">
        <v>14</v>
      </c>
      <c r="J107" s="32">
        <v>2</v>
      </c>
      <c r="K107" s="31">
        <v>0</v>
      </c>
      <c r="L107" s="32">
        <v>0</v>
      </c>
      <c r="M107" s="32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f>I107+J107</f>
        <v>16</v>
      </c>
    </row>
    <row r="108" spans="1:22" ht="17" customHeight="1" x14ac:dyDescent="0.35">
      <c r="A108" s="130"/>
      <c r="B108" s="119" t="s">
        <v>1757</v>
      </c>
      <c r="C108" s="29" t="s">
        <v>113</v>
      </c>
      <c r="D108" s="30" t="s">
        <v>115</v>
      </c>
      <c r="E108" s="31">
        <v>0</v>
      </c>
      <c r="F108" s="31">
        <v>22</v>
      </c>
      <c r="G108" s="32">
        <v>0</v>
      </c>
      <c r="H108" s="32">
        <v>4</v>
      </c>
      <c r="I108" s="31">
        <v>22</v>
      </c>
      <c r="J108" s="32">
        <v>4</v>
      </c>
      <c r="K108" s="31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f>I108+J108</f>
        <v>26</v>
      </c>
    </row>
    <row r="109" spans="1:22" ht="17" customHeight="1" x14ac:dyDescent="0.35">
      <c r="A109" s="130"/>
      <c r="B109" s="119" t="s">
        <v>1757</v>
      </c>
      <c r="C109" s="29" t="s">
        <v>113</v>
      </c>
      <c r="D109" s="30" t="s">
        <v>116</v>
      </c>
      <c r="E109" s="31">
        <v>2</v>
      </c>
      <c r="F109" s="31">
        <v>102</v>
      </c>
      <c r="G109" s="32">
        <v>1</v>
      </c>
      <c r="H109" s="32">
        <v>19</v>
      </c>
      <c r="I109" s="31">
        <v>102</v>
      </c>
      <c r="J109" s="32">
        <v>19</v>
      </c>
      <c r="K109" s="31">
        <v>0</v>
      </c>
      <c r="L109" s="32">
        <v>0</v>
      </c>
      <c r="M109" s="32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f>I109+J109</f>
        <v>121</v>
      </c>
    </row>
    <row r="110" spans="1:22" ht="17" customHeight="1" x14ac:dyDescent="0.35">
      <c r="A110" s="130"/>
      <c r="B110" s="119" t="s">
        <v>1757</v>
      </c>
      <c r="C110" s="29" t="s">
        <v>117</v>
      </c>
      <c r="D110" s="30" t="s">
        <v>33</v>
      </c>
      <c r="E110" s="31">
        <v>0</v>
      </c>
      <c r="F110" s="31">
        <v>2</v>
      </c>
      <c r="G110" s="32">
        <v>0</v>
      </c>
      <c r="H110" s="32">
        <v>2</v>
      </c>
      <c r="I110" s="31">
        <v>4</v>
      </c>
      <c r="J110" s="32">
        <v>0</v>
      </c>
      <c r="K110" s="31">
        <f>I110+J110</f>
        <v>4</v>
      </c>
      <c r="L110" s="32">
        <f>K110</f>
        <v>4</v>
      </c>
      <c r="M110" s="32">
        <f t="shared" ref="M110:V110" si="7">L110</f>
        <v>4</v>
      </c>
      <c r="N110" s="32">
        <f t="shared" si="7"/>
        <v>4</v>
      </c>
      <c r="O110" s="32">
        <f t="shared" si="7"/>
        <v>4</v>
      </c>
      <c r="P110" s="32">
        <f t="shared" si="7"/>
        <v>4</v>
      </c>
      <c r="Q110" s="32">
        <f t="shared" si="7"/>
        <v>4</v>
      </c>
      <c r="R110" s="32">
        <f t="shared" si="7"/>
        <v>4</v>
      </c>
      <c r="S110" s="32">
        <f t="shared" si="7"/>
        <v>4</v>
      </c>
      <c r="T110" s="32">
        <f t="shared" si="7"/>
        <v>4</v>
      </c>
      <c r="U110" s="32">
        <f t="shared" si="7"/>
        <v>4</v>
      </c>
      <c r="V110" s="32">
        <f t="shared" si="7"/>
        <v>4</v>
      </c>
    </row>
    <row r="111" spans="1:22" ht="17" customHeight="1" x14ac:dyDescent="0.35">
      <c r="A111" s="130"/>
      <c r="B111" s="119" t="s">
        <v>1757</v>
      </c>
      <c r="C111" s="29" t="s">
        <v>117</v>
      </c>
      <c r="D111" s="30" t="s">
        <v>118</v>
      </c>
      <c r="E111" s="31">
        <v>0</v>
      </c>
      <c r="F111" s="31">
        <v>8</v>
      </c>
      <c r="G111" s="32">
        <v>0</v>
      </c>
      <c r="H111" s="32">
        <v>1</v>
      </c>
      <c r="I111" s="31">
        <v>8</v>
      </c>
      <c r="J111" s="32">
        <v>1</v>
      </c>
      <c r="K111" s="31">
        <f t="shared" ref="K111:K115" si="8">I111+J111</f>
        <v>9</v>
      </c>
      <c r="L111" s="32">
        <f t="shared" ref="L111:V115" si="9">K111</f>
        <v>9</v>
      </c>
      <c r="M111" s="32">
        <f t="shared" si="9"/>
        <v>9</v>
      </c>
      <c r="N111" s="32">
        <f t="shared" si="9"/>
        <v>9</v>
      </c>
      <c r="O111" s="32">
        <f t="shared" si="9"/>
        <v>9</v>
      </c>
      <c r="P111" s="32">
        <f t="shared" si="9"/>
        <v>9</v>
      </c>
      <c r="Q111" s="32">
        <f t="shared" si="9"/>
        <v>9</v>
      </c>
      <c r="R111" s="32">
        <f t="shared" si="9"/>
        <v>9</v>
      </c>
      <c r="S111" s="32">
        <f t="shared" si="9"/>
        <v>9</v>
      </c>
      <c r="T111" s="32">
        <f t="shared" si="9"/>
        <v>9</v>
      </c>
      <c r="U111" s="32">
        <f t="shared" si="9"/>
        <v>9</v>
      </c>
      <c r="V111" s="32">
        <f t="shared" si="9"/>
        <v>9</v>
      </c>
    </row>
    <row r="112" spans="1:22" ht="17" customHeight="1" x14ac:dyDescent="0.35">
      <c r="A112" s="130"/>
      <c r="B112" s="119" t="s">
        <v>1757</v>
      </c>
      <c r="C112" s="29" t="s">
        <v>117</v>
      </c>
      <c r="D112" s="30" t="s">
        <v>119</v>
      </c>
      <c r="E112" s="31">
        <v>0</v>
      </c>
      <c r="F112" s="31">
        <v>1</v>
      </c>
      <c r="G112" s="32">
        <v>0</v>
      </c>
      <c r="H112" s="32">
        <v>1</v>
      </c>
      <c r="I112" s="31">
        <f t="shared" ref="I112:I115" si="10">F112</f>
        <v>1</v>
      </c>
      <c r="J112" s="32">
        <v>1</v>
      </c>
      <c r="K112" s="31">
        <f t="shared" si="8"/>
        <v>2</v>
      </c>
      <c r="L112" s="32">
        <f t="shared" si="9"/>
        <v>2</v>
      </c>
      <c r="M112" s="32">
        <f t="shared" si="9"/>
        <v>2</v>
      </c>
      <c r="N112" s="32">
        <f t="shared" si="9"/>
        <v>2</v>
      </c>
      <c r="O112" s="32">
        <f t="shared" si="9"/>
        <v>2</v>
      </c>
      <c r="P112" s="32">
        <f t="shared" si="9"/>
        <v>2</v>
      </c>
      <c r="Q112" s="32">
        <f t="shared" si="9"/>
        <v>2</v>
      </c>
      <c r="R112" s="32">
        <f t="shared" si="9"/>
        <v>2</v>
      </c>
      <c r="S112" s="32">
        <f t="shared" si="9"/>
        <v>2</v>
      </c>
      <c r="T112" s="32">
        <f t="shared" si="9"/>
        <v>2</v>
      </c>
      <c r="U112" s="32">
        <f t="shared" si="9"/>
        <v>2</v>
      </c>
      <c r="V112" s="32">
        <f t="shared" si="9"/>
        <v>2</v>
      </c>
    </row>
    <row r="113" spans="1:23" s="85" customFormat="1" ht="17" customHeight="1" x14ac:dyDescent="0.35">
      <c r="A113" s="130"/>
      <c r="B113" s="119" t="s">
        <v>1757</v>
      </c>
      <c r="C113" s="29" t="s">
        <v>117</v>
      </c>
      <c r="D113" s="30" t="s">
        <v>1825</v>
      </c>
      <c r="E113" s="31">
        <v>0</v>
      </c>
      <c r="F113" s="31">
        <v>0</v>
      </c>
      <c r="G113" s="32">
        <v>0</v>
      </c>
      <c r="H113" s="32">
        <v>4</v>
      </c>
      <c r="I113" s="31">
        <v>4</v>
      </c>
      <c r="J113" s="32">
        <v>0</v>
      </c>
      <c r="K113" s="31">
        <v>4</v>
      </c>
      <c r="L113" s="31">
        <v>4</v>
      </c>
      <c r="M113" s="31">
        <v>4</v>
      </c>
      <c r="N113" s="31">
        <v>4</v>
      </c>
      <c r="O113" s="31">
        <v>4</v>
      </c>
      <c r="P113" s="31">
        <v>4</v>
      </c>
      <c r="Q113" s="31">
        <v>4</v>
      </c>
      <c r="R113" s="31">
        <v>4</v>
      </c>
      <c r="S113" s="31">
        <v>4</v>
      </c>
      <c r="T113" s="31">
        <v>4</v>
      </c>
      <c r="U113" s="31">
        <v>4</v>
      </c>
      <c r="V113" s="31">
        <v>4</v>
      </c>
      <c r="W113" s="31"/>
    </row>
    <row r="114" spans="1:23" s="85" customFormat="1" ht="17" customHeight="1" x14ac:dyDescent="0.35">
      <c r="A114" s="130"/>
      <c r="B114" s="119" t="s">
        <v>1757</v>
      </c>
      <c r="C114" s="29" t="s">
        <v>117</v>
      </c>
      <c r="D114" s="30" t="s">
        <v>1824</v>
      </c>
      <c r="E114" s="31">
        <v>0</v>
      </c>
      <c r="F114" s="31">
        <v>0</v>
      </c>
      <c r="G114" s="32">
        <v>0</v>
      </c>
      <c r="H114" s="32">
        <v>2</v>
      </c>
      <c r="I114" s="31">
        <v>2</v>
      </c>
      <c r="J114" s="32">
        <v>0</v>
      </c>
      <c r="K114" s="31">
        <v>2</v>
      </c>
      <c r="L114" s="31">
        <v>2</v>
      </c>
      <c r="M114" s="31">
        <v>2</v>
      </c>
      <c r="N114" s="31">
        <v>2</v>
      </c>
      <c r="O114" s="31">
        <v>2</v>
      </c>
      <c r="P114" s="31">
        <v>2</v>
      </c>
      <c r="Q114" s="31">
        <v>2</v>
      </c>
      <c r="R114" s="31">
        <v>2</v>
      </c>
      <c r="S114" s="31">
        <v>2</v>
      </c>
      <c r="T114" s="31">
        <v>2</v>
      </c>
      <c r="U114" s="31">
        <v>2</v>
      </c>
      <c r="V114" s="31">
        <v>2</v>
      </c>
    </row>
    <row r="115" spans="1:23" ht="17" customHeight="1" x14ac:dyDescent="0.35">
      <c r="A115" s="130"/>
      <c r="B115" s="119" t="s">
        <v>1757</v>
      </c>
      <c r="C115" s="29" t="s">
        <v>117</v>
      </c>
      <c r="D115" s="30" t="s">
        <v>120</v>
      </c>
      <c r="E115" s="31">
        <v>0</v>
      </c>
      <c r="F115" s="31">
        <v>4</v>
      </c>
      <c r="G115" s="32">
        <v>0</v>
      </c>
      <c r="H115" s="32">
        <v>0</v>
      </c>
      <c r="I115" s="31">
        <f t="shared" si="10"/>
        <v>4</v>
      </c>
      <c r="J115" s="32">
        <v>0</v>
      </c>
      <c r="K115" s="31">
        <f t="shared" si="8"/>
        <v>4</v>
      </c>
      <c r="L115" s="32">
        <f t="shared" si="9"/>
        <v>4</v>
      </c>
      <c r="M115" s="32">
        <f t="shared" si="9"/>
        <v>4</v>
      </c>
      <c r="N115" s="32">
        <f t="shared" si="9"/>
        <v>4</v>
      </c>
      <c r="O115" s="32">
        <f t="shared" si="9"/>
        <v>4</v>
      </c>
      <c r="P115" s="32">
        <f t="shared" si="9"/>
        <v>4</v>
      </c>
      <c r="Q115" s="32">
        <f t="shared" si="9"/>
        <v>4</v>
      </c>
      <c r="R115" s="32">
        <f t="shared" si="9"/>
        <v>4</v>
      </c>
      <c r="S115" s="32">
        <f t="shared" si="9"/>
        <v>4</v>
      </c>
      <c r="T115" s="32">
        <f t="shared" si="9"/>
        <v>4</v>
      </c>
      <c r="U115" s="32">
        <f t="shared" si="9"/>
        <v>4</v>
      </c>
      <c r="V115" s="32">
        <f t="shared" si="9"/>
        <v>4</v>
      </c>
    </row>
    <row r="116" spans="1:23" ht="17" customHeight="1" x14ac:dyDescent="0.35">
      <c r="A116" s="130"/>
      <c r="B116" s="119" t="s">
        <v>1757</v>
      </c>
      <c r="C116" s="29" t="s">
        <v>121</v>
      </c>
      <c r="D116" s="30" t="s">
        <v>33</v>
      </c>
      <c r="E116" s="31">
        <v>0</v>
      </c>
      <c r="F116" s="31">
        <v>1</v>
      </c>
      <c r="G116" s="32">
        <v>0</v>
      </c>
      <c r="H116" s="32">
        <v>0</v>
      </c>
      <c r="I116" s="31">
        <v>1</v>
      </c>
      <c r="J116" s="32">
        <v>1</v>
      </c>
      <c r="K116" s="31">
        <v>1</v>
      </c>
      <c r="L116" s="32">
        <v>1</v>
      </c>
      <c r="M116" s="32">
        <v>1</v>
      </c>
      <c r="N116" s="32">
        <v>2</v>
      </c>
      <c r="O116" s="32">
        <v>2</v>
      </c>
      <c r="P116" s="32">
        <v>2</v>
      </c>
      <c r="Q116" s="32">
        <v>2</v>
      </c>
      <c r="R116" s="32">
        <v>2</v>
      </c>
      <c r="S116" s="32">
        <v>2</v>
      </c>
      <c r="T116" s="32">
        <v>2</v>
      </c>
      <c r="U116" s="32">
        <v>2</v>
      </c>
      <c r="V116" s="32">
        <v>2</v>
      </c>
    </row>
    <row r="117" spans="1:23" ht="17" customHeight="1" x14ac:dyDescent="0.35">
      <c r="A117" s="130"/>
      <c r="B117" s="119" t="s">
        <v>1757</v>
      </c>
      <c r="C117" s="29" t="s">
        <v>121</v>
      </c>
      <c r="D117" s="30" t="s">
        <v>122</v>
      </c>
      <c r="E117" s="31">
        <v>0</v>
      </c>
      <c r="F117" s="31">
        <v>3</v>
      </c>
      <c r="G117" s="32">
        <v>1</v>
      </c>
      <c r="H117" s="32">
        <v>3</v>
      </c>
      <c r="I117" s="31">
        <v>7</v>
      </c>
      <c r="J117" s="32">
        <v>2</v>
      </c>
      <c r="K117" s="31">
        <v>8</v>
      </c>
      <c r="L117" s="32">
        <v>9</v>
      </c>
      <c r="M117" s="32">
        <v>9</v>
      </c>
      <c r="N117" s="32">
        <v>9</v>
      </c>
      <c r="O117" s="32">
        <v>9</v>
      </c>
      <c r="P117" s="32">
        <v>9</v>
      </c>
      <c r="Q117" s="32">
        <v>9</v>
      </c>
      <c r="R117" s="32">
        <v>9</v>
      </c>
      <c r="S117" s="32">
        <v>9</v>
      </c>
      <c r="T117" s="32">
        <v>9</v>
      </c>
      <c r="U117" s="32">
        <v>9</v>
      </c>
      <c r="V117" s="32">
        <v>9</v>
      </c>
    </row>
    <row r="118" spans="1:23" ht="17" customHeight="1" x14ac:dyDescent="0.35">
      <c r="A118" s="130"/>
      <c r="B118" s="119" t="s">
        <v>1757</v>
      </c>
      <c r="C118" s="29" t="s">
        <v>121</v>
      </c>
      <c r="D118" s="30" t="s">
        <v>123</v>
      </c>
      <c r="E118" s="31">
        <v>0</v>
      </c>
      <c r="F118" s="31">
        <v>3</v>
      </c>
      <c r="G118" s="32">
        <v>0</v>
      </c>
      <c r="H118" s="32">
        <v>3</v>
      </c>
      <c r="I118" s="31">
        <v>6</v>
      </c>
      <c r="J118" s="32">
        <v>0</v>
      </c>
      <c r="K118" s="31">
        <v>6</v>
      </c>
      <c r="L118" s="32">
        <v>6</v>
      </c>
      <c r="M118" s="32">
        <v>6</v>
      </c>
      <c r="N118" s="32">
        <v>6</v>
      </c>
      <c r="O118" s="32">
        <v>6</v>
      </c>
      <c r="P118" s="32">
        <v>6</v>
      </c>
      <c r="Q118" s="32">
        <v>6</v>
      </c>
      <c r="R118" s="32">
        <v>6</v>
      </c>
      <c r="S118" s="32">
        <v>6</v>
      </c>
      <c r="T118" s="32">
        <v>6</v>
      </c>
      <c r="U118" s="32">
        <v>6</v>
      </c>
      <c r="V118" s="32">
        <v>6</v>
      </c>
    </row>
    <row r="119" spans="1:23" ht="17" customHeight="1" x14ac:dyDescent="0.35">
      <c r="A119" s="130"/>
      <c r="B119" s="119" t="s">
        <v>1757</v>
      </c>
      <c r="C119" s="29" t="s">
        <v>121</v>
      </c>
      <c r="D119" s="30" t="s">
        <v>124</v>
      </c>
      <c r="E119" s="31">
        <v>0</v>
      </c>
      <c r="F119" s="31">
        <v>13</v>
      </c>
      <c r="G119" s="32">
        <v>1</v>
      </c>
      <c r="H119" s="32">
        <v>3</v>
      </c>
      <c r="I119" s="31">
        <v>14</v>
      </c>
      <c r="J119" s="32">
        <v>0</v>
      </c>
      <c r="K119" s="31">
        <v>14</v>
      </c>
      <c r="L119" s="32">
        <v>14</v>
      </c>
      <c r="M119" s="32">
        <v>14</v>
      </c>
      <c r="N119" s="32">
        <v>14</v>
      </c>
      <c r="O119" s="32">
        <v>14</v>
      </c>
      <c r="P119" s="32">
        <v>14</v>
      </c>
      <c r="Q119" s="32">
        <v>14</v>
      </c>
      <c r="R119" s="32">
        <v>14</v>
      </c>
      <c r="S119" s="32">
        <v>14</v>
      </c>
      <c r="T119" s="32">
        <v>14</v>
      </c>
      <c r="U119" s="32">
        <v>14</v>
      </c>
      <c r="V119" s="32">
        <v>14</v>
      </c>
    </row>
    <row r="120" spans="1:23" ht="17" customHeight="1" x14ac:dyDescent="0.4">
      <c r="A120" s="130"/>
      <c r="B120" s="119" t="s">
        <v>1757</v>
      </c>
      <c r="C120" s="29" t="s">
        <v>125</v>
      </c>
      <c r="D120" s="30" t="s">
        <v>33</v>
      </c>
      <c r="E120" s="31">
        <v>0</v>
      </c>
      <c r="F120" s="31">
        <v>3</v>
      </c>
      <c r="G120" s="32">
        <v>0</v>
      </c>
      <c r="H120" s="32">
        <v>0</v>
      </c>
      <c r="I120" s="31">
        <v>3</v>
      </c>
      <c r="J120" s="32">
        <v>0</v>
      </c>
      <c r="K120" s="31">
        <v>3</v>
      </c>
      <c r="L120" s="32">
        <v>3</v>
      </c>
      <c r="M120" s="32">
        <v>3</v>
      </c>
      <c r="N120" s="32">
        <v>3</v>
      </c>
      <c r="O120" s="32">
        <v>3</v>
      </c>
      <c r="P120" s="32">
        <v>3</v>
      </c>
      <c r="Q120" s="32">
        <v>3</v>
      </c>
      <c r="R120" s="32">
        <v>3</v>
      </c>
      <c r="S120" s="32">
        <v>3</v>
      </c>
      <c r="T120" s="32">
        <v>3</v>
      </c>
      <c r="U120" s="32">
        <v>3</v>
      </c>
      <c r="V120" s="32">
        <v>3</v>
      </c>
      <c r="W120" s="5"/>
    </row>
    <row r="121" spans="1:23" ht="17" customHeight="1" x14ac:dyDescent="0.4">
      <c r="A121" s="130"/>
      <c r="B121" s="119" t="s">
        <v>1757</v>
      </c>
      <c r="C121" s="29" t="s">
        <v>125</v>
      </c>
      <c r="D121" s="30" t="s">
        <v>126</v>
      </c>
      <c r="E121" s="31">
        <v>0</v>
      </c>
      <c r="F121" s="31">
        <v>11</v>
      </c>
      <c r="G121" s="32">
        <v>0</v>
      </c>
      <c r="H121" s="32">
        <v>0</v>
      </c>
      <c r="I121" s="31">
        <v>11</v>
      </c>
      <c r="J121" s="32">
        <v>0</v>
      </c>
      <c r="K121" s="31">
        <v>11</v>
      </c>
      <c r="L121" s="32">
        <v>11</v>
      </c>
      <c r="M121" s="32">
        <v>11</v>
      </c>
      <c r="N121" s="32">
        <v>11</v>
      </c>
      <c r="O121" s="32">
        <v>11</v>
      </c>
      <c r="P121" s="32">
        <v>11</v>
      </c>
      <c r="Q121" s="32">
        <v>11</v>
      </c>
      <c r="R121" s="32">
        <v>11</v>
      </c>
      <c r="S121" s="32">
        <v>11</v>
      </c>
      <c r="T121" s="32">
        <v>11</v>
      </c>
      <c r="U121" s="32">
        <v>11</v>
      </c>
      <c r="V121" s="32">
        <v>11</v>
      </c>
      <c r="W121" s="7"/>
    </row>
    <row r="122" spans="1:23" ht="17" customHeight="1" x14ac:dyDescent="0.4">
      <c r="A122" s="130"/>
      <c r="B122" s="119" t="s">
        <v>1757</v>
      </c>
      <c r="C122" s="29" t="s">
        <v>125</v>
      </c>
      <c r="D122" s="30" t="s">
        <v>127</v>
      </c>
      <c r="E122" s="31">
        <v>0</v>
      </c>
      <c r="F122" s="31">
        <v>4</v>
      </c>
      <c r="G122" s="32">
        <v>0</v>
      </c>
      <c r="H122" s="32">
        <v>1</v>
      </c>
      <c r="I122" s="31">
        <v>5</v>
      </c>
      <c r="J122" s="32">
        <v>0</v>
      </c>
      <c r="K122" s="31">
        <v>5</v>
      </c>
      <c r="L122" s="32">
        <v>5</v>
      </c>
      <c r="M122" s="32">
        <v>5</v>
      </c>
      <c r="N122" s="32">
        <v>5</v>
      </c>
      <c r="O122" s="32">
        <v>5</v>
      </c>
      <c r="P122" s="32">
        <v>5</v>
      </c>
      <c r="Q122" s="32">
        <v>5</v>
      </c>
      <c r="R122" s="32">
        <v>5</v>
      </c>
      <c r="S122" s="32">
        <v>5</v>
      </c>
      <c r="T122" s="32">
        <v>5</v>
      </c>
      <c r="U122" s="32">
        <v>5</v>
      </c>
      <c r="V122" s="32">
        <v>5</v>
      </c>
      <c r="W122" s="7"/>
    </row>
    <row r="123" spans="1:23" ht="17" customHeight="1" x14ac:dyDescent="0.4">
      <c r="A123" s="130"/>
      <c r="B123" s="119" t="s">
        <v>1757</v>
      </c>
      <c r="C123" s="29" t="s">
        <v>125</v>
      </c>
      <c r="D123" s="30" t="s">
        <v>128</v>
      </c>
      <c r="E123" s="31">
        <v>0</v>
      </c>
      <c r="F123" s="31">
        <v>16</v>
      </c>
      <c r="G123" s="32">
        <v>0</v>
      </c>
      <c r="H123" s="32">
        <v>1</v>
      </c>
      <c r="I123" s="31">
        <v>17</v>
      </c>
      <c r="J123" s="32">
        <v>0</v>
      </c>
      <c r="K123" s="31">
        <v>17</v>
      </c>
      <c r="L123" s="32">
        <v>17</v>
      </c>
      <c r="M123" s="32">
        <v>17</v>
      </c>
      <c r="N123" s="32">
        <v>17</v>
      </c>
      <c r="O123" s="32">
        <v>17</v>
      </c>
      <c r="P123" s="32">
        <v>17</v>
      </c>
      <c r="Q123" s="32">
        <v>17</v>
      </c>
      <c r="R123" s="32">
        <v>17</v>
      </c>
      <c r="S123" s="32">
        <v>17</v>
      </c>
      <c r="T123" s="32">
        <v>17</v>
      </c>
      <c r="U123" s="32">
        <v>17</v>
      </c>
      <c r="V123" s="32">
        <v>17</v>
      </c>
      <c r="W123" s="7"/>
    </row>
    <row r="124" spans="1:23" ht="17" customHeight="1" x14ac:dyDescent="0.4">
      <c r="A124" s="130"/>
      <c r="B124" s="119" t="s">
        <v>1757</v>
      </c>
      <c r="C124" s="29" t="s">
        <v>125</v>
      </c>
      <c r="D124" s="30" t="s">
        <v>129</v>
      </c>
      <c r="E124" s="31">
        <v>0</v>
      </c>
      <c r="F124" s="31">
        <v>5</v>
      </c>
      <c r="G124" s="32">
        <v>0</v>
      </c>
      <c r="H124" s="32">
        <v>2</v>
      </c>
      <c r="I124" s="31">
        <v>7</v>
      </c>
      <c r="J124" s="32">
        <v>0</v>
      </c>
      <c r="K124" s="31">
        <v>7</v>
      </c>
      <c r="L124" s="32">
        <v>7</v>
      </c>
      <c r="M124" s="32">
        <v>7</v>
      </c>
      <c r="N124" s="32">
        <v>7</v>
      </c>
      <c r="O124" s="32">
        <v>7</v>
      </c>
      <c r="P124" s="32">
        <v>7</v>
      </c>
      <c r="Q124" s="32">
        <v>7</v>
      </c>
      <c r="R124" s="32">
        <v>7</v>
      </c>
      <c r="S124" s="32">
        <v>7</v>
      </c>
      <c r="T124" s="32">
        <v>7</v>
      </c>
      <c r="U124" s="32">
        <v>7</v>
      </c>
      <c r="V124" s="32">
        <v>7</v>
      </c>
      <c r="W124" s="7"/>
    </row>
    <row r="125" spans="1:23" ht="17" customHeight="1" x14ac:dyDescent="0.4">
      <c r="A125" s="130"/>
      <c r="B125" s="119" t="s">
        <v>1757</v>
      </c>
      <c r="C125" s="29" t="s">
        <v>125</v>
      </c>
      <c r="D125" s="30" t="s">
        <v>130</v>
      </c>
      <c r="E125" s="31">
        <v>0</v>
      </c>
      <c r="F125" s="31">
        <v>5</v>
      </c>
      <c r="G125" s="32">
        <v>0</v>
      </c>
      <c r="H125" s="32">
        <v>0</v>
      </c>
      <c r="I125" s="31">
        <v>5</v>
      </c>
      <c r="J125" s="32">
        <v>0</v>
      </c>
      <c r="K125" s="31">
        <v>5</v>
      </c>
      <c r="L125" s="32">
        <v>5</v>
      </c>
      <c r="M125" s="32">
        <v>5</v>
      </c>
      <c r="N125" s="32">
        <v>5</v>
      </c>
      <c r="O125" s="32">
        <v>5</v>
      </c>
      <c r="P125" s="32">
        <v>5</v>
      </c>
      <c r="Q125" s="32">
        <v>5</v>
      </c>
      <c r="R125" s="32">
        <v>5</v>
      </c>
      <c r="S125" s="32">
        <v>5</v>
      </c>
      <c r="T125" s="32">
        <v>5</v>
      </c>
      <c r="U125" s="32">
        <v>5</v>
      </c>
      <c r="V125" s="32">
        <v>5</v>
      </c>
      <c r="W125" s="7"/>
    </row>
    <row r="126" spans="1:23" ht="17" customHeight="1" x14ac:dyDescent="0.4">
      <c r="A126" s="130"/>
      <c r="B126" s="119" t="s">
        <v>1757</v>
      </c>
      <c r="C126" s="29" t="s">
        <v>125</v>
      </c>
      <c r="D126" s="30" t="s">
        <v>131</v>
      </c>
      <c r="E126" s="31">
        <v>0</v>
      </c>
      <c r="F126" s="31">
        <v>12</v>
      </c>
      <c r="G126" s="32">
        <v>0</v>
      </c>
      <c r="H126" s="32">
        <v>0</v>
      </c>
      <c r="I126" s="31">
        <v>12</v>
      </c>
      <c r="J126" s="32">
        <v>0</v>
      </c>
      <c r="K126" s="31">
        <v>12</v>
      </c>
      <c r="L126" s="32">
        <v>12</v>
      </c>
      <c r="M126" s="32">
        <v>12</v>
      </c>
      <c r="N126" s="32">
        <v>12</v>
      </c>
      <c r="O126" s="32">
        <v>12</v>
      </c>
      <c r="P126" s="32">
        <v>12</v>
      </c>
      <c r="Q126" s="32">
        <v>12</v>
      </c>
      <c r="R126" s="32">
        <v>12</v>
      </c>
      <c r="S126" s="32">
        <v>12</v>
      </c>
      <c r="T126" s="32">
        <v>12</v>
      </c>
      <c r="U126" s="32">
        <v>12</v>
      </c>
      <c r="V126" s="32">
        <v>12</v>
      </c>
      <c r="W126" s="7"/>
    </row>
    <row r="127" spans="1:23" ht="17" customHeight="1" x14ac:dyDescent="0.4">
      <c r="A127" s="130"/>
      <c r="B127" s="119" t="s">
        <v>1757</v>
      </c>
      <c r="C127" s="29" t="s">
        <v>125</v>
      </c>
      <c r="D127" s="30" t="s">
        <v>132</v>
      </c>
      <c r="E127" s="31">
        <v>0</v>
      </c>
      <c r="F127" s="31">
        <v>10</v>
      </c>
      <c r="G127" s="32">
        <v>0</v>
      </c>
      <c r="H127" s="32">
        <v>0</v>
      </c>
      <c r="I127" s="31">
        <v>10</v>
      </c>
      <c r="J127" s="32">
        <v>0</v>
      </c>
      <c r="K127" s="31">
        <v>10</v>
      </c>
      <c r="L127" s="32">
        <v>10</v>
      </c>
      <c r="M127" s="32">
        <v>10</v>
      </c>
      <c r="N127" s="32">
        <v>10</v>
      </c>
      <c r="O127" s="32">
        <v>10</v>
      </c>
      <c r="P127" s="32">
        <v>10</v>
      </c>
      <c r="Q127" s="32">
        <v>10</v>
      </c>
      <c r="R127" s="32">
        <v>10</v>
      </c>
      <c r="S127" s="32">
        <v>10</v>
      </c>
      <c r="T127" s="32">
        <v>10</v>
      </c>
      <c r="U127" s="32">
        <v>10</v>
      </c>
      <c r="V127" s="32">
        <v>10</v>
      </c>
      <c r="W127" s="7"/>
    </row>
    <row r="128" spans="1:23" ht="17" customHeight="1" x14ac:dyDescent="0.4">
      <c r="A128" s="130"/>
      <c r="B128" s="119" t="s">
        <v>1757</v>
      </c>
      <c r="C128" s="29" t="s">
        <v>125</v>
      </c>
      <c r="D128" s="30" t="s">
        <v>133</v>
      </c>
      <c r="E128" s="31">
        <v>0</v>
      </c>
      <c r="F128" s="31">
        <v>9</v>
      </c>
      <c r="G128" s="32">
        <v>0</v>
      </c>
      <c r="H128" s="32">
        <v>0</v>
      </c>
      <c r="I128" s="31">
        <v>9</v>
      </c>
      <c r="J128" s="32">
        <v>0</v>
      </c>
      <c r="K128" s="31">
        <v>9</v>
      </c>
      <c r="L128" s="32">
        <v>9</v>
      </c>
      <c r="M128" s="32">
        <v>9</v>
      </c>
      <c r="N128" s="32">
        <v>9</v>
      </c>
      <c r="O128" s="32">
        <v>9</v>
      </c>
      <c r="P128" s="32">
        <v>9</v>
      </c>
      <c r="Q128" s="32">
        <v>9</v>
      </c>
      <c r="R128" s="32">
        <v>9</v>
      </c>
      <c r="S128" s="32">
        <v>9</v>
      </c>
      <c r="T128" s="32">
        <v>9</v>
      </c>
      <c r="U128" s="32">
        <v>9</v>
      </c>
      <c r="V128" s="32">
        <v>9</v>
      </c>
      <c r="W128" s="7"/>
    </row>
    <row r="129" spans="1:23" ht="17" customHeight="1" x14ac:dyDescent="0.4">
      <c r="A129" s="130"/>
      <c r="B129" s="119" t="s">
        <v>1757</v>
      </c>
      <c r="C129" s="29" t="s">
        <v>125</v>
      </c>
      <c r="D129" s="30" t="s">
        <v>171</v>
      </c>
      <c r="E129" s="31">
        <v>0</v>
      </c>
      <c r="F129" s="31">
        <v>8</v>
      </c>
      <c r="G129" s="32">
        <v>0</v>
      </c>
      <c r="H129" s="32">
        <v>0</v>
      </c>
      <c r="I129" s="31">
        <v>8</v>
      </c>
      <c r="J129" s="32">
        <v>0</v>
      </c>
      <c r="K129" s="31">
        <v>8</v>
      </c>
      <c r="L129" s="32">
        <v>8</v>
      </c>
      <c r="M129" s="32">
        <v>8</v>
      </c>
      <c r="N129" s="32">
        <v>8</v>
      </c>
      <c r="O129" s="32">
        <v>8</v>
      </c>
      <c r="P129" s="32">
        <v>8</v>
      </c>
      <c r="Q129" s="32">
        <v>8</v>
      </c>
      <c r="R129" s="32">
        <v>8</v>
      </c>
      <c r="S129" s="32">
        <v>8</v>
      </c>
      <c r="T129" s="32">
        <v>8</v>
      </c>
      <c r="U129" s="32">
        <v>8</v>
      </c>
      <c r="V129" s="32">
        <v>8</v>
      </c>
      <c r="W129" s="7"/>
    </row>
    <row r="130" spans="1:23" ht="17" customHeight="1" x14ac:dyDescent="0.35">
      <c r="A130" s="130" t="s">
        <v>177</v>
      </c>
      <c r="B130" s="119" t="s">
        <v>1757</v>
      </c>
      <c r="C130" s="29" t="s">
        <v>134</v>
      </c>
      <c r="D130" s="30" t="s">
        <v>135</v>
      </c>
      <c r="E130" s="31">
        <v>0</v>
      </c>
      <c r="F130" s="31">
        <v>15</v>
      </c>
      <c r="G130" s="32">
        <v>1</v>
      </c>
      <c r="H130" s="32">
        <v>2</v>
      </c>
      <c r="I130" s="31">
        <f>F130+H130</f>
        <v>17</v>
      </c>
      <c r="J130" s="137">
        <v>1</v>
      </c>
      <c r="K130" s="31">
        <v>0</v>
      </c>
      <c r="L130" s="32">
        <v>0</v>
      </c>
      <c r="M130" s="32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f>I130+J130</f>
        <v>18</v>
      </c>
    </row>
    <row r="131" spans="1:23" ht="17" customHeight="1" x14ac:dyDescent="0.35">
      <c r="A131" s="130" t="s">
        <v>177</v>
      </c>
      <c r="B131" s="119" t="s">
        <v>1757</v>
      </c>
      <c r="C131" s="29" t="s">
        <v>134</v>
      </c>
      <c r="D131" s="30" t="s">
        <v>33</v>
      </c>
      <c r="E131" s="31">
        <v>0</v>
      </c>
      <c r="F131" s="31">
        <v>2</v>
      </c>
      <c r="G131" s="32">
        <v>0</v>
      </c>
      <c r="H131" s="32">
        <v>0</v>
      </c>
      <c r="I131" s="31">
        <f t="shared" ref="I131" si="11">F131+H131</f>
        <v>2</v>
      </c>
      <c r="J131" s="137">
        <v>0</v>
      </c>
      <c r="K131" s="31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f t="shared" ref="V131:V134" si="12">I131+J131</f>
        <v>2</v>
      </c>
    </row>
    <row r="132" spans="1:23" ht="17" customHeight="1" x14ac:dyDescent="0.35">
      <c r="A132" s="130" t="s">
        <v>177</v>
      </c>
      <c r="B132" s="119" t="s">
        <v>1757</v>
      </c>
      <c r="C132" s="29" t="s">
        <v>134</v>
      </c>
      <c r="D132" s="30" t="s">
        <v>136</v>
      </c>
      <c r="E132" s="31">
        <v>0</v>
      </c>
      <c r="F132" s="31">
        <v>14</v>
      </c>
      <c r="G132" s="32">
        <v>1</v>
      </c>
      <c r="H132" s="137">
        <v>2</v>
      </c>
      <c r="I132" s="31">
        <v>15</v>
      </c>
      <c r="J132" s="137">
        <v>2</v>
      </c>
      <c r="K132" s="31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f t="shared" si="12"/>
        <v>17</v>
      </c>
    </row>
    <row r="133" spans="1:23" ht="17" customHeight="1" x14ac:dyDescent="0.35">
      <c r="A133" s="130" t="s">
        <v>177</v>
      </c>
      <c r="B133" s="119" t="s">
        <v>1757</v>
      </c>
      <c r="C133" s="29" t="s">
        <v>134</v>
      </c>
      <c r="D133" s="30" t="s">
        <v>137</v>
      </c>
      <c r="E133" s="31">
        <v>0</v>
      </c>
      <c r="F133" s="31">
        <v>33</v>
      </c>
      <c r="G133" s="32">
        <v>3</v>
      </c>
      <c r="H133" s="32">
        <v>0</v>
      </c>
      <c r="I133" s="31">
        <f>F133+H133-2</f>
        <v>31</v>
      </c>
      <c r="J133" s="137">
        <v>2</v>
      </c>
      <c r="K133" s="31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f t="shared" si="12"/>
        <v>33</v>
      </c>
    </row>
    <row r="134" spans="1:23" ht="17" customHeight="1" x14ac:dyDescent="0.35">
      <c r="A134" s="130" t="s">
        <v>177</v>
      </c>
      <c r="B134" s="119" t="s">
        <v>1757</v>
      </c>
      <c r="C134" s="29" t="s">
        <v>134</v>
      </c>
      <c r="D134" s="30" t="s">
        <v>138</v>
      </c>
      <c r="E134" s="31">
        <v>0</v>
      </c>
      <c r="F134" s="31">
        <v>11</v>
      </c>
      <c r="G134" s="32">
        <v>1</v>
      </c>
      <c r="H134" s="32">
        <v>2</v>
      </c>
      <c r="I134" s="31">
        <v>11</v>
      </c>
      <c r="J134" s="137">
        <v>2</v>
      </c>
      <c r="K134" s="31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f t="shared" si="12"/>
        <v>13</v>
      </c>
    </row>
    <row r="135" spans="1:23" ht="17" customHeight="1" x14ac:dyDescent="0.35">
      <c r="A135" s="130"/>
      <c r="B135" s="119" t="s">
        <v>1757</v>
      </c>
      <c r="C135" s="29" t="s">
        <v>139</v>
      </c>
      <c r="D135" s="30" t="s">
        <v>140</v>
      </c>
      <c r="E135" s="31">
        <v>0</v>
      </c>
      <c r="F135" s="31">
        <v>7</v>
      </c>
      <c r="G135" s="32">
        <v>0</v>
      </c>
      <c r="H135" s="32">
        <v>1</v>
      </c>
      <c r="I135" s="31">
        <v>9</v>
      </c>
      <c r="J135" s="32">
        <v>0</v>
      </c>
      <c r="K135" s="31">
        <v>9</v>
      </c>
      <c r="L135" s="32">
        <v>9</v>
      </c>
      <c r="M135" s="32">
        <v>9</v>
      </c>
      <c r="N135" s="32">
        <v>9</v>
      </c>
      <c r="O135" s="32">
        <v>9</v>
      </c>
      <c r="P135" s="32">
        <v>9</v>
      </c>
      <c r="Q135" s="32">
        <v>9</v>
      </c>
      <c r="R135" s="32">
        <v>9</v>
      </c>
      <c r="S135" s="32">
        <v>9</v>
      </c>
      <c r="T135" s="32">
        <v>9</v>
      </c>
      <c r="U135" s="32">
        <v>9</v>
      </c>
      <c r="V135" s="32">
        <v>9</v>
      </c>
    </row>
    <row r="136" spans="1:23" ht="17" customHeight="1" x14ac:dyDescent="0.35">
      <c r="A136" s="130"/>
      <c r="B136" s="119" t="s">
        <v>1757</v>
      </c>
      <c r="C136" s="29" t="s">
        <v>139</v>
      </c>
      <c r="D136" s="30" t="s">
        <v>141</v>
      </c>
      <c r="E136" s="31">
        <v>0</v>
      </c>
      <c r="F136" s="31">
        <v>8</v>
      </c>
      <c r="G136" s="32">
        <v>0</v>
      </c>
      <c r="H136" s="32">
        <v>1</v>
      </c>
      <c r="I136" s="31">
        <v>8</v>
      </c>
      <c r="J136" s="32">
        <v>1</v>
      </c>
      <c r="K136" s="31">
        <v>8</v>
      </c>
      <c r="L136" s="32">
        <v>8</v>
      </c>
      <c r="M136" s="32">
        <v>8</v>
      </c>
      <c r="N136" s="32">
        <v>8</v>
      </c>
      <c r="O136" s="32">
        <v>8</v>
      </c>
      <c r="P136" s="32">
        <v>8</v>
      </c>
      <c r="Q136" s="32">
        <v>8</v>
      </c>
      <c r="R136" s="32">
        <v>8</v>
      </c>
      <c r="S136" s="32">
        <v>8</v>
      </c>
      <c r="T136" s="32">
        <v>8</v>
      </c>
      <c r="U136" s="32">
        <v>8</v>
      </c>
      <c r="V136" s="32">
        <v>8</v>
      </c>
    </row>
    <row r="137" spans="1:23" ht="17" customHeight="1" x14ac:dyDescent="0.35">
      <c r="A137" s="130"/>
      <c r="B137" s="119" t="s">
        <v>1757</v>
      </c>
      <c r="C137" s="29" t="s">
        <v>139</v>
      </c>
      <c r="D137" s="30" t="s">
        <v>33</v>
      </c>
      <c r="E137" s="31">
        <v>0</v>
      </c>
      <c r="F137" s="31">
        <v>3</v>
      </c>
      <c r="G137" s="32">
        <v>0</v>
      </c>
      <c r="H137" s="32">
        <v>0</v>
      </c>
      <c r="I137" s="31">
        <v>3</v>
      </c>
      <c r="J137" s="32">
        <v>0</v>
      </c>
      <c r="K137" s="31">
        <v>4</v>
      </c>
      <c r="L137" s="32">
        <v>4</v>
      </c>
      <c r="M137" s="32">
        <v>4</v>
      </c>
      <c r="N137" s="32">
        <v>4</v>
      </c>
      <c r="O137" s="32">
        <v>4</v>
      </c>
      <c r="P137" s="32">
        <v>4</v>
      </c>
      <c r="Q137" s="32">
        <v>4</v>
      </c>
      <c r="R137" s="32">
        <v>4</v>
      </c>
      <c r="S137" s="32">
        <v>4</v>
      </c>
      <c r="T137" s="32">
        <v>4</v>
      </c>
      <c r="U137" s="32">
        <v>4</v>
      </c>
      <c r="V137" s="32">
        <v>4</v>
      </c>
    </row>
    <row r="138" spans="1:23" ht="17" customHeight="1" x14ac:dyDescent="0.35">
      <c r="A138" s="130"/>
      <c r="B138" s="119" t="s">
        <v>1757</v>
      </c>
      <c r="C138" s="29" t="s">
        <v>139</v>
      </c>
      <c r="D138" s="30" t="s">
        <v>142</v>
      </c>
      <c r="E138" s="31">
        <v>0</v>
      </c>
      <c r="F138" s="31">
        <v>7</v>
      </c>
      <c r="G138" s="32">
        <v>1</v>
      </c>
      <c r="H138" s="32">
        <v>0</v>
      </c>
      <c r="I138" s="31">
        <v>7</v>
      </c>
      <c r="J138" s="32">
        <v>0</v>
      </c>
      <c r="K138" s="31">
        <v>8</v>
      </c>
      <c r="L138" s="32">
        <v>8</v>
      </c>
      <c r="M138" s="32">
        <v>8</v>
      </c>
      <c r="N138" s="32">
        <v>8</v>
      </c>
      <c r="O138" s="32">
        <v>8</v>
      </c>
      <c r="P138" s="32">
        <v>8</v>
      </c>
      <c r="Q138" s="32">
        <v>8</v>
      </c>
      <c r="R138" s="32">
        <v>8</v>
      </c>
      <c r="S138" s="32">
        <v>8</v>
      </c>
      <c r="T138" s="32">
        <v>8</v>
      </c>
      <c r="U138" s="32">
        <v>8</v>
      </c>
      <c r="V138" s="32">
        <v>8</v>
      </c>
    </row>
    <row r="139" spans="1:23" ht="17" customHeight="1" x14ac:dyDescent="0.35">
      <c r="A139" s="130"/>
      <c r="B139" s="119" t="s">
        <v>1757</v>
      </c>
      <c r="C139" s="29" t="s">
        <v>139</v>
      </c>
      <c r="D139" s="30" t="s">
        <v>143</v>
      </c>
      <c r="E139" s="31">
        <v>0</v>
      </c>
      <c r="F139" s="31">
        <v>10</v>
      </c>
      <c r="G139" s="32">
        <v>0</v>
      </c>
      <c r="H139" s="32">
        <v>0</v>
      </c>
      <c r="I139" s="31">
        <v>10</v>
      </c>
      <c r="J139" s="32">
        <v>0</v>
      </c>
      <c r="K139" s="31">
        <v>8</v>
      </c>
      <c r="L139" s="32">
        <v>9</v>
      </c>
      <c r="M139" s="32">
        <v>10</v>
      </c>
      <c r="N139" s="32">
        <v>10</v>
      </c>
      <c r="O139" s="32">
        <v>10</v>
      </c>
      <c r="P139" s="32">
        <v>10</v>
      </c>
      <c r="Q139" s="32">
        <v>10</v>
      </c>
      <c r="R139" s="32">
        <v>10</v>
      </c>
      <c r="S139" s="32">
        <v>10</v>
      </c>
      <c r="T139" s="32">
        <v>10</v>
      </c>
      <c r="U139" s="32">
        <v>10</v>
      </c>
      <c r="V139" s="32">
        <v>10</v>
      </c>
    </row>
    <row r="140" spans="1:23" ht="17" customHeight="1" x14ac:dyDescent="0.35">
      <c r="A140" s="130"/>
      <c r="B140" s="119" t="s">
        <v>1757</v>
      </c>
      <c r="C140" s="29" t="s">
        <v>139</v>
      </c>
      <c r="D140" s="30" t="s">
        <v>144</v>
      </c>
      <c r="E140" s="31">
        <v>0</v>
      </c>
      <c r="F140" s="31">
        <v>6</v>
      </c>
      <c r="G140" s="32">
        <v>0</v>
      </c>
      <c r="H140" s="32">
        <v>1</v>
      </c>
      <c r="I140" s="31">
        <v>7</v>
      </c>
      <c r="J140" s="32">
        <v>0</v>
      </c>
      <c r="K140" s="31">
        <v>7</v>
      </c>
      <c r="L140" s="32">
        <v>7</v>
      </c>
      <c r="M140" s="32">
        <v>8</v>
      </c>
      <c r="N140" s="32">
        <v>8</v>
      </c>
      <c r="O140" s="32">
        <v>8</v>
      </c>
      <c r="P140" s="32">
        <v>9</v>
      </c>
      <c r="Q140" s="32">
        <v>9</v>
      </c>
      <c r="R140" s="32">
        <v>9</v>
      </c>
      <c r="S140" s="32">
        <v>9</v>
      </c>
      <c r="T140" s="32">
        <v>9</v>
      </c>
      <c r="U140" s="32">
        <v>9</v>
      </c>
      <c r="V140" s="32">
        <v>9</v>
      </c>
    </row>
    <row r="141" spans="1:23" ht="17" customHeight="1" x14ac:dyDescent="0.35">
      <c r="A141" s="130"/>
      <c r="B141" s="119" t="s">
        <v>1757</v>
      </c>
      <c r="C141" s="29" t="s">
        <v>139</v>
      </c>
      <c r="D141" s="30" t="s">
        <v>145</v>
      </c>
      <c r="E141" s="31">
        <v>0</v>
      </c>
      <c r="F141" s="31">
        <v>10</v>
      </c>
      <c r="G141" s="32">
        <v>0</v>
      </c>
      <c r="H141" s="32">
        <v>1</v>
      </c>
      <c r="I141" s="31">
        <v>9</v>
      </c>
      <c r="J141" s="32">
        <v>2</v>
      </c>
      <c r="K141" s="31">
        <v>9</v>
      </c>
      <c r="L141" s="32">
        <v>10</v>
      </c>
      <c r="M141" s="32">
        <v>11</v>
      </c>
      <c r="N141" s="32">
        <v>11</v>
      </c>
      <c r="O141" s="32">
        <v>11</v>
      </c>
      <c r="P141" s="32">
        <v>12</v>
      </c>
      <c r="Q141" s="32">
        <v>12</v>
      </c>
      <c r="R141" s="32">
        <v>12</v>
      </c>
      <c r="S141" s="32">
        <v>12</v>
      </c>
      <c r="T141" s="32">
        <v>12</v>
      </c>
      <c r="U141" s="32">
        <v>12</v>
      </c>
      <c r="V141" s="32">
        <v>12</v>
      </c>
    </row>
    <row r="142" spans="1:23" ht="17" customHeight="1" thickBot="1" x14ac:dyDescent="0.4">
      <c r="A142" s="131"/>
      <c r="B142" s="120" t="s">
        <v>1757</v>
      </c>
      <c r="C142" s="133" t="s">
        <v>139</v>
      </c>
      <c r="D142" s="134" t="s">
        <v>146</v>
      </c>
      <c r="E142" s="33">
        <v>0</v>
      </c>
      <c r="F142" s="33">
        <v>7</v>
      </c>
      <c r="G142" s="34">
        <v>0</v>
      </c>
      <c r="H142" s="34">
        <v>1</v>
      </c>
      <c r="I142" s="33">
        <v>8</v>
      </c>
      <c r="J142" s="34">
        <v>0</v>
      </c>
      <c r="K142" s="33">
        <v>8</v>
      </c>
      <c r="L142" s="34">
        <v>8</v>
      </c>
      <c r="M142" s="34">
        <v>9</v>
      </c>
      <c r="N142" s="34">
        <v>9</v>
      </c>
      <c r="O142" s="34">
        <v>10</v>
      </c>
      <c r="P142" s="34">
        <v>10</v>
      </c>
      <c r="Q142" s="34">
        <v>10</v>
      </c>
      <c r="R142" s="34">
        <v>10</v>
      </c>
      <c r="S142" s="34">
        <v>10</v>
      </c>
      <c r="T142" s="34">
        <v>10</v>
      </c>
      <c r="U142" s="34">
        <v>10</v>
      </c>
      <c r="V142" s="34">
        <v>10</v>
      </c>
    </row>
    <row r="143" spans="1:23" ht="17" customHeight="1" x14ac:dyDescent="0.35">
      <c r="A143" s="132"/>
      <c r="B143" s="121" t="s">
        <v>1756</v>
      </c>
      <c r="C143" s="135" t="s">
        <v>31</v>
      </c>
      <c r="D143" s="136" t="s">
        <v>1647</v>
      </c>
      <c r="E143" s="112"/>
      <c r="F143" s="112">
        <v>43</v>
      </c>
      <c r="G143" s="113"/>
      <c r="H143" s="113">
        <v>0</v>
      </c>
      <c r="I143" s="112">
        <v>43</v>
      </c>
      <c r="J143" s="113">
        <v>0</v>
      </c>
      <c r="K143" s="112">
        <v>43</v>
      </c>
      <c r="L143" s="113">
        <v>43</v>
      </c>
      <c r="M143" s="113">
        <v>43</v>
      </c>
      <c r="N143" s="113">
        <v>43</v>
      </c>
      <c r="O143" s="113">
        <v>43</v>
      </c>
      <c r="P143" s="113">
        <v>43</v>
      </c>
      <c r="Q143" s="113">
        <v>43</v>
      </c>
      <c r="R143" s="113">
        <v>43</v>
      </c>
      <c r="S143" s="113">
        <v>43</v>
      </c>
      <c r="T143" s="113">
        <v>43</v>
      </c>
      <c r="U143" s="113">
        <v>43</v>
      </c>
      <c r="V143" s="113">
        <v>43</v>
      </c>
      <c r="W143" s="85"/>
    </row>
    <row r="144" spans="1:23" ht="17" customHeight="1" x14ac:dyDescent="0.35">
      <c r="A144" s="129"/>
      <c r="B144" s="122" t="s">
        <v>1756</v>
      </c>
      <c r="C144" s="27" t="s">
        <v>1646</v>
      </c>
      <c r="D144" s="28" t="s">
        <v>1646</v>
      </c>
      <c r="E144" s="23"/>
      <c r="F144" s="23">
        <v>8</v>
      </c>
      <c r="G144" s="24"/>
      <c r="H144" s="24">
        <v>0</v>
      </c>
      <c r="I144" s="23">
        <v>8</v>
      </c>
      <c r="J144" s="24">
        <v>0</v>
      </c>
      <c r="K144" s="23">
        <v>7</v>
      </c>
      <c r="L144" s="24">
        <v>6</v>
      </c>
      <c r="M144" s="24">
        <v>6</v>
      </c>
      <c r="N144" s="24">
        <v>6</v>
      </c>
      <c r="O144" s="24">
        <v>5</v>
      </c>
      <c r="P144" s="24">
        <v>5</v>
      </c>
      <c r="Q144" s="24">
        <v>5</v>
      </c>
      <c r="R144" s="24">
        <v>4</v>
      </c>
      <c r="S144" s="24">
        <v>4</v>
      </c>
      <c r="T144" s="24">
        <v>4</v>
      </c>
      <c r="U144" s="24">
        <v>4</v>
      </c>
      <c r="V144" s="24">
        <v>4</v>
      </c>
      <c r="W144" s="85"/>
    </row>
    <row r="145" spans="1:23" ht="17" customHeight="1" x14ac:dyDescent="0.35">
      <c r="A145" s="130"/>
      <c r="B145" s="123" t="s">
        <v>1756</v>
      </c>
      <c r="C145" s="29" t="s">
        <v>1619</v>
      </c>
      <c r="D145" s="30" t="s">
        <v>1648</v>
      </c>
      <c r="E145" s="31"/>
      <c r="F145" s="31">
        <v>1</v>
      </c>
      <c r="G145" s="32"/>
      <c r="H145" s="32">
        <v>0</v>
      </c>
      <c r="I145" s="31">
        <v>1</v>
      </c>
      <c r="J145" s="32">
        <v>0</v>
      </c>
      <c r="K145" s="31">
        <v>1</v>
      </c>
      <c r="L145" s="32">
        <v>1</v>
      </c>
      <c r="M145" s="32">
        <v>1</v>
      </c>
      <c r="N145" s="32">
        <v>1</v>
      </c>
      <c r="O145" s="32">
        <v>1</v>
      </c>
      <c r="P145" s="32">
        <v>1</v>
      </c>
      <c r="Q145" s="32">
        <v>1</v>
      </c>
      <c r="R145" s="32">
        <v>1</v>
      </c>
      <c r="S145" s="32">
        <v>1</v>
      </c>
      <c r="T145" s="32">
        <v>1</v>
      </c>
      <c r="U145" s="32">
        <v>1</v>
      </c>
      <c r="V145" s="32">
        <v>1</v>
      </c>
      <c r="W145" s="85"/>
    </row>
    <row r="146" spans="1:23" ht="17" customHeight="1" x14ac:dyDescent="0.35">
      <c r="A146" s="130"/>
      <c r="B146" s="123" t="s">
        <v>1756</v>
      </c>
      <c r="C146" s="29" t="s">
        <v>1619</v>
      </c>
      <c r="D146" s="30" t="s">
        <v>1649</v>
      </c>
      <c r="E146" s="31"/>
      <c r="F146" s="31">
        <v>1</v>
      </c>
      <c r="G146" s="32"/>
      <c r="H146" s="32">
        <v>0</v>
      </c>
      <c r="I146" s="31">
        <v>1</v>
      </c>
      <c r="J146" s="32">
        <v>0</v>
      </c>
      <c r="K146" s="31">
        <v>1</v>
      </c>
      <c r="L146" s="32">
        <v>1</v>
      </c>
      <c r="M146" s="32">
        <v>1</v>
      </c>
      <c r="N146" s="32">
        <v>1</v>
      </c>
      <c r="O146" s="32">
        <v>1</v>
      </c>
      <c r="P146" s="32">
        <v>1</v>
      </c>
      <c r="Q146" s="32">
        <v>1</v>
      </c>
      <c r="R146" s="32">
        <v>1</v>
      </c>
      <c r="S146" s="32">
        <v>1</v>
      </c>
      <c r="T146" s="32">
        <v>1</v>
      </c>
      <c r="U146" s="32">
        <v>1</v>
      </c>
      <c r="V146" s="32">
        <v>1</v>
      </c>
      <c r="W146" s="85"/>
    </row>
    <row r="147" spans="1:23" ht="17" customHeight="1" x14ac:dyDescent="0.35">
      <c r="A147" s="130"/>
      <c r="B147" s="123" t="s">
        <v>1756</v>
      </c>
      <c r="C147" s="29" t="s">
        <v>1619</v>
      </c>
      <c r="D147" s="30" t="s">
        <v>1650</v>
      </c>
      <c r="E147" s="31"/>
      <c r="F147" s="31">
        <v>1</v>
      </c>
      <c r="G147" s="32"/>
      <c r="H147" s="32">
        <v>0</v>
      </c>
      <c r="I147" s="31">
        <v>1</v>
      </c>
      <c r="J147" s="32">
        <v>0</v>
      </c>
      <c r="K147" s="31">
        <v>1</v>
      </c>
      <c r="L147" s="32">
        <v>1</v>
      </c>
      <c r="M147" s="32">
        <v>1</v>
      </c>
      <c r="N147" s="32">
        <v>1</v>
      </c>
      <c r="O147" s="32">
        <v>1</v>
      </c>
      <c r="P147" s="32">
        <v>1</v>
      </c>
      <c r="Q147" s="32">
        <v>1</v>
      </c>
      <c r="R147" s="32">
        <v>1</v>
      </c>
      <c r="S147" s="32">
        <v>1</v>
      </c>
      <c r="T147" s="32">
        <v>1</v>
      </c>
      <c r="U147" s="32">
        <v>1</v>
      </c>
      <c r="V147" s="32">
        <v>1</v>
      </c>
      <c r="W147" s="85"/>
    </row>
    <row r="148" spans="1:23" ht="17" customHeight="1" x14ac:dyDescent="0.35">
      <c r="A148" s="130"/>
      <c r="B148" s="123" t="s">
        <v>1756</v>
      </c>
      <c r="C148" s="29" t="s">
        <v>1619</v>
      </c>
      <c r="D148" s="30" t="s">
        <v>1651</v>
      </c>
      <c r="E148" s="31"/>
      <c r="F148" s="31">
        <v>1</v>
      </c>
      <c r="G148" s="32"/>
      <c r="H148" s="32">
        <v>1</v>
      </c>
      <c r="I148" s="31">
        <v>1</v>
      </c>
      <c r="J148" s="32">
        <v>1</v>
      </c>
      <c r="K148" s="31">
        <v>1</v>
      </c>
      <c r="L148" s="32">
        <v>2</v>
      </c>
      <c r="M148" s="32">
        <v>2</v>
      </c>
      <c r="N148" s="32">
        <v>2</v>
      </c>
      <c r="O148" s="32">
        <v>2</v>
      </c>
      <c r="P148" s="32">
        <v>2</v>
      </c>
      <c r="Q148" s="32">
        <v>2</v>
      </c>
      <c r="R148" s="32">
        <v>2</v>
      </c>
      <c r="S148" s="32">
        <v>2</v>
      </c>
      <c r="T148" s="32">
        <v>2</v>
      </c>
      <c r="U148" s="32">
        <v>2</v>
      </c>
      <c r="V148" s="32">
        <v>2</v>
      </c>
      <c r="W148" s="85"/>
    </row>
    <row r="149" spans="1:23" ht="17" customHeight="1" x14ac:dyDescent="0.35">
      <c r="A149" s="130"/>
      <c r="B149" s="123" t="s">
        <v>1756</v>
      </c>
      <c r="C149" s="29" t="s">
        <v>1619</v>
      </c>
      <c r="D149" s="30" t="s">
        <v>1652</v>
      </c>
      <c r="E149" s="31"/>
      <c r="F149" s="31">
        <v>1</v>
      </c>
      <c r="G149" s="32"/>
      <c r="H149" s="32">
        <v>1</v>
      </c>
      <c r="I149" s="31">
        <v>1</v>
      </c>
      <c r="J149" s="32">
        <v>1</v>
      </c>
      <c r="K149" s="31">
        <v>1</v>
      </c>
      <c r="L149" s="32">
        <v>2</v>
      </c>
      <c r="M149" s="32">
        <v>2</v>
      </c>
      <c r="N149" s="32">
        <v>2</v>
      </c>
      <c r="O149" s="32">
        <v>2</v>
      </c>
      <c r="P149" s="32">
        <v>2</v>
      </c>
      <c r="Q149" s="32">
        <v>2</v>
      </c>
      <c r="R149" s="32">
        <v>2</v>
      </c>
      <c r="S149" s="32">
        <v>2</v>
      </c>
      <c r="T149" s="32">
        <v>2</v>
      </c>
      <c r="U149" s="32">
        <v>2</v>
      </c>
      <c r="V149" s="32">
        <v>2</v>
      </c>
      <c r="W149" s="85"/>
    </row>
    <row r="150" spans="1:23" ht="17" customHeight="1" x14ac:dyDescent="0.35">
      <c r="A150" s="130"/>
      <c r="B150" s="123" t="s">
        <v>1756</v>
      </c>
      <c r="C150" s="29" t="s">
        <v>1619</v>
      </c>
      <c r="D150" s="30" t="s">
        <v>1653</v>
      </c>
      <c r="E150" s="31"/>
      <c r="F150" s="31">
        <v>1</v>
      </c>
      <c r="G150" s="32"/>
      <c r="H150" s="32">
        <v>0</v>
      </c>
      <c r="I150" s="31">
        <v>1</v>
      </c>
      <c r="J150" s="32">
        <v>0</v>
      </c>
      <c r="K150" s="31">
        <v>1</v>
      </c>
      <c r="L150" s="32">
        <v>1</v>
      </c>
      <c r="M150" s="32">
        <v>1</v>
      </c>
      <c r="N150" s="32">
        <v>1</v>
      </c>
      <c r="O150" s="32">
        <v>1</v>
      </c>
      <c r="P150" s="32">
        <v>1</v>
      </c>
      <c r="Q150" s="32">
        <v>1</v>
      </c>
      <c r="R150" s="32">
        <v>1</v>
      </c>
      <c r="S150" s="32">
        <v>1</v>
      </c>
      <c r="T150" s="32">
        <v>1</v>
      </c>
      <c r="U150" s="32">
        <v>1</v>
      </c>
      <c r="V150" s="32">
        <v>1</v>
      </c>
      <c r="W150" s="85"/>
    </row>
    <row r="151" spans="1:23" ht="17" customHeight="1" x14ac:dyDescent="0.35">
      <c r="A151" s="130"/>
      <c r="B151" s="123" t="s">
        <v>1756</v>
      </c>
      <c r="C151" s="29" t="s">
        <v>1619</v>
      </c>
      <c r="D151" s="30" t="s">
        <v>1654</v>
      </c>
      <c r="E151" s="31"/>
      <c r="F151" s="31">
        <v>1</v>
      </c>
      <c r="G151" s="32"/>
      <c r="H151" s="32">
        <v>0</v>
      </c>
      <c r="I151" s="31">
        <v>1</v>
      </c>
      <c r="J151" s="32">
        <v>0</v>
      </c>
      <c r="K151" s="31">
        <v>1</v>
      </c>
      <c r="L151" s="32">
        <v>1</v>
      </c>
      <c r="M151" s="32">
        <v>1</v>
      </c>
      <c r="N151" s="32">
        <v>1</v>
      </c>
      <c r="O151" s="32">
        <v>1</v>
      </c>
      <c r="P151" s="32">
        <v>1</v>
      </c>
      <c r="Q151" s="32">
        <v>1</v>
      </c>
      <c r="R151" s="32">
        <v>1</v>
      </c>
      <c r="S151" s="32">
        <v>1</v>
      </c>
      <c r="T151" s="32">
        <v>1</v>
      </c>
      <c r="U151" s="32">
        <v>1</v>
      </c>
      <c r="V151" s="32">
        <v>1</v>
      </c>
      <c r="W151" s="85"/>
    </row>
    <row r="152" spans="1:23" ht="17" customHeight="1" x14ac:dyDescent="0.35">
      <c r="A152" s="130"/>
      <c r="B152" s="123" t="s">
        <v>1756</v>
      </c>
      <c r="C152" s="29" t="s">
        <v>1620</v>
      </c>
      <c r="D152" s="30" t="s">
        <v>1655</v>
      </c>
      <c r="E152" s="31"/>
      <c r="F152" s="31">
        <v>43</v>
      </c>
      <c r="G152" s="32"/>
      <c r="H152" s="32">
        <v>5</v>
      </c>
      <c r="I152" s="31">
        <v>43</v>
      </c>
      <c r="J152" s="32">
        <v>5</v>
      </c>
      <c r="K152" s="31">
        <v>48</v>
      </c>
      <c r="L152" s="32">
        <v>48</v>
      </c>
      <c r="M152" s="32">
        <v>48</v>
      </c>
      <c r="N152" s="32">
        <v>48</v>
      </c>
      <c r="O152" s="32">
        <v>48</v>
      </c>
      <c r="P152" s="32">
        <v>48</v>
      </c>
      <c r="Q152" s="32">
        <v>48</v>
      </c>
      <c r="R152" s="32">
        <v>48</v>
      </c>
      <c r="S152" s="32">
        <v>48</v>
      </c>
      <c r="T152" s="32">
        <v>48</v>
      </c>
      <c r="U152" s="32">
        <v>48</v>
      </c>
      <c r="V152" s="32">
        <v>48</v>
      </c>
      <c r="W152" s="85"/>
    </row>
    <row r="153" spans="1:23" ht="17" customHeight="1" x14ac:dyDescent="0.35">
      <c r="A153" s="130"/>
      <c r="B153" s="123" t="s">
        <v>1756</v>
      </c>
      <c r="C153" s="29" t="s">
        <v>1620</v>
      </c>
      <c r="D153" s="30" t="s">
        <v>1656</v>
      </c>
      <c r="E153" s="31"/>
      <c r="F153" s="31">
        <v>1</v>
      </c>
      <c r="G153" s="32"/>
      <c r="H153" s="32">
        <v>7</v>
      </c>
      <c r="I153" s="31">
        <v>1</v>
      </c>
      <c r="J153" s="32">
        <v>7</v>
      </c>
      <c r="K153" s="31">
        <v>8</v>
      </c>
      <c r="L153" s="32">
        <v>8</v>
      </c>
      <c r="M153" s="32">
        <v>8</v>
      </c>
      <c r="N153" s="32">
        <v>8</v>
      </c>
      <c r="O153" s="32">
        <v>8</v>
      </c>
      <c r="P153" s="32">
        <v>8</v>
      </c>
      <c r="Q153" s="32">
        <v>8</v>
      </c>
      <c r="R153" s="32">
        <v>8</v>
      </c>
      <c r="S153" s="32">
        <v>8</v>
      </c>
      <c r="T153" s="32">
        <v>8</v>
      </c>
      <c r="U153" s="32">
        <v>8</v>
      </c>
      <c r="V153" s="32">
        <v>8</v>
      </c>
      <c r="W153" s="85"/>
    </row>
    <row r="154" spans="1:23" ht="17" customHeight="1" x14ac:dyDescent="0.35">
      <c r="A154" s="130"/>
      <c r="B154" s="123" t="s">
        <v>1756</v>
      </c>
      <c r="C154" s="29" t="s">
        <v>1620</v>
      </c>
      <c r="D154" s="30" t="s">
        <v>1657</v>
      </c>
      <c r="E154" s="31"/>
      <c r="F154" s="31">
        <v>26</v>
      </c>
      <c r="G154" s="32"/>
      <c r="H154" s="32">
        <v>1</v>
      </c>
      <c r="I154" s="31">
        <v>26</v>
      </c>
      <c r="J154" s="32">
        <v>1</v>
      </c>
      <c r="K154" s="31">
        <v>27</v>
      </c>
      <c r="L154" s="32">
        <v>27</v>
      </c>
      <c r="M154" s="32">
        <v>27</v>
      </c>
      <c r="N154" s="32">
        <v>27</v>
      </c>
      <c r="O154" s="32">
        <v>27</v>
      </c>
      <c r="P154" s="32">
        <v>27</v>
      </c>
      <c r="Q154" s="32">
        <v>27</v>
      </c>
      <c r="R154" s="32">
        <v>27</v>
      </c>
      <c r="S154" s="32">
        <v>27</v>
      </c>
      <c r="T154" s="32">
        <v>27</v>
      </c>
      <c r="U154" s="32">
        <v>27</v>
      </c>
      <c r="V154" s="32">
        <v>27</v>
      </c>
      <c r="W154" s="85"/>
    </row>
    <row r="155" spans="1:23" ht="17" customHeight="1" x14ac:dyDescent="0.35">
      <c r="A155" s="130"/>
      <c r="B155" s="123" t="s">
        <v>1756</v>
      </c>
      <c r="C155" s="29" t="s">
        <v>1620</v>
      </c>
      <c r="D155" s="30" t="s">
        <v>1658</v>
      </c>
      <c r="E155" s="31"/>
      <c r="F155" s="31">
        <v>18</v>
      </c>
      <c r="G155" s="32"/>
      <c r="H155" s="32">
        <v>2</v>
      </c>
      <c r="I155" s="31">
        <v>18</v>
      </c>
      <c r="J155" s="32">
        <v>2</v>
      </c>
      <c r="K155" s="31">
        <v>20</v>
      </c>
      <c r="L155" s="32">
        <v>20</v>
      </c>
      <c r="M155" s="32">
        <v>20</v>
      </c>
      <c r="N155" s="32">
        <v>20</v>
      </c>
      <c r="O155" s="32">
        <v>20</v>
      </c>
      <c r="P155" s="32">
        <v>20</v>
      </c>
      <c r="Q155" s="32">
        <v>20</v>
      </c>
      <c r="R155" s="32">
        <v>20</v>
      </c>
      <c r="S155" s="32">
        <v>20</v>
      </c>
      <c r="T155" s="32">
        <v>20</v>
      </c>
      <c r="U155" s="32">
        <v>20</v>
      </c>
      <c r="V155" s="32">
        <v>20</v>
      </c>
      <c r="W155" s="85"/>
    </row>
    <row r="156" spans="1:23" ht="17" customHeight="1" x14ac:dyDescent="0.35">
      <c r="A156" s="130"/>
      <c r="B156" s="123" t="s">
        <v>1756</v>
      </c>
      <c r="C156" s="29" t="s">
        <v>1620</v>
      </c>
      <c r="D156" s="30" t="s">
        <v>33</v>
      </c>
      <c r="E156" s="31"/>
      <c r="F156" s="31">
        <v>11</v>
      </c>
      <c r="G156" s="32"/>
      <c r="H156" s="32">
        <v>2</v>
      </c>
      <c r="I156" s="31">
        <v>11</v>
      </c>
      <c r="J156" s="32">
        <v>2</v>
      </c>
      <c r="K156" s="31">
        <v>13</v>
      </c>
      <c r="L156" s="32">
        <v>13</v>
      </c>
      <c r="M156" s="32">
        <v>13</v>
      </c>
      <c r="N156" s="32">
        <v>13</v>
      </c>
      <c r="O156" s="32">
        <v>13</v>
      </c>
      <c r="P156" s="32">
        <v>13</v>
      </c>
      <c r="Q156" s="32">
        <v>13</v>
      </c>
      <c r="R156" s="32">
        <v>13</v>
      </c>
      <c r="S156" s="32">
        <v>13</v>
      </c>
      <c r="T156" s="32">
        <v>13</v>
      </c>
      <c r="U156" s="32">
        <v>13</v>
      </c>
      <c r="V156" s="32">
        <v>13</v>
      </c>
      <c r="W156" s="85"/>
    </row>
    <row r="157" spans="1:23" ht="17" customHeight="1" x14ac:dyDescent="0.35">
      <c r="A157" s="130"/>
      <c r="B157" s="123" t="s">
        <v>1756</v>
      </c>
      <c r="C157" s="29" t="s">
        <v>1621</v>
      </c>
      <c r="D157" s="30" t="s">
        <v>1659</v>
      </c>
      <c r="E157" s="31"/>
      <c r="F157" s="31">
        <v>12</v>
      </c>
      <c r="G157" s="32"/>
      <c r="H157" s="32">
        <v>3</v>
      </c>
      <c r="I157" s="31">
        <v>12</v>
      </c>
      <c r="J157" s="32">
        <v>3</v>
      </c>
      <c r="K157" s="31">
        <v>12</v>
      </c>
      <c r="L157" s="32">
        <v>13</v>
      </c>
      <c r="M157" s="32">
        <v>13</v>
      </c>
      <c r="N157" s="32">
        <v>13</v>
      </c>
      <c r="O157" s="32">
        <v>14</v>
      </c>
      <c r="P157" s="32">
        <v>14</v>
      </c>
      <c r="Q157" s="32">
        <v>14</v>
      </c>
      <c r="R157" s="32">
        <v>15</v>
      </c>
      <c r="S157" s="32">
        <v>15</v>
      </c>
      <c r="T157" s="32">
        <v>15</v>
      </c>
      <c r="U157" s="32">
        <v>15</v>
      </c>
      <c r="V157" s="32">
        <v>15</v>
      </c>
      <c r="W157" s="85"/>
    </row>
    <row r="158" spans="1:23" ht="17" customHeight="1" x14ac:dyDescent="0.35">
      <c r="A158" s="130"/>
      <c r="B158" s="123" t="s">
        <v>1756</v>
      </c>
      <c r="C158" s="29" t="s">
        <v>1621</v>
      </c>
      <c r="D158" s="30" t="s">
        <v>1660</v>
      </c>
      <c r="E158" s="31"/>
      <c r="F158" s="31">
        <v>6</v>
      </c>
      <c r="G158" s="32"/>
      <c r="H158" s="32">
        <v>4</v>
      </c>
      <c r="I158" s="31">
        <v>6</v>
      </c>
      <c r="J158" s="32">
        <v>4</v>
      </c>
      <c r="K158" s="31">
        <v>7</v>
      </c>
      <c r="L158" s="32">
        <v>8</v>
      </c>
      <c r="M158" s="32">
        <v>8</v>
      </c>
      <c r="N158" s="32">
        <v>8</v>
      </c>
      <c r="O158" s="32">
        <v>9</v>
      </c>
      <c r="P158" s="32">
        <v>9</v>
      </c>
      <c r="Q158" s="32">
        <v>9</v>
      </c>
      <c r="R158" s="32">
        <v>10</v>
      </c>
      <c r="S158" s="32">
        <v>10</v>
      </c>
      <c r="T158" s="32">
        <v>10</v>
      </c>
      <c r="U158" s="32">
        <v>10</v>
      </c>
      <c r="V158" s="32">
        <v>10</v>
      </c>
      <c r="W158" s="85"/>
    </row>
    <row r="159" spans="1:23" ht="17" customHeight="1" x14ac:dyDescent="0.35">
      <c r="A159" s="130"/>
      <c r="B159" s="123" t="s">
        <v>1756</v>
      </c>
      <c r="C159" s="29" t="s">
        <v>1621</v>
      </c>
      <c r="D159" s="30" t="s">
        <v>1661</v>
      </c>
      <c r="E159" s="31"/>
      <c r="F159" s="31">
        <v>12</v>
      </c>
      <c r="G159" s="32"/>
      <c r="H159" s="32">
        <v>3</v>
      </c>
      <c r="I159" s="31">
        <v>12</v>
      </c>
      <c r="J159" s="32">
        <v>3</v>
      </c>
      <c r="K159" s="31">
        <v>14</v>
      </c>
      <c r="L159" s="32">
        <v>14</v>
      </c>
      <c r="M159" s="32">
        <v>14</v>
      </c>
      <c r="N159" s="32">
        <v>14</v>
      </c>
      <c r="O159" s="32">
        <v>15</v>
      </c>
      <c r="P159" s="32">
        <v>15</v>
      </c>
      <c r="Q159" s="32">
        <v>15</v>
      </c>
      <c r="R159" s="32">
        <v>15</v>
      </c>
      <c r="S159" s="32">
        <v>15</v>
      </c>
      <c r="T159" s="32">
        <v>15</v>
      </c>
      <c r="U159" s="32">
        <v>15</v>
      </c>
      <c r="V159" s="32">
        <v>15</v>
      </c>
      <c r="W159" s="85"/>
    </row>
    <row r="160" spans="1:23" ht="17" customHeight="1" x14ac:dyDescent="0.35">
      <c r="A160" s="130"/>
      <c r="B160" s="123" t="s">
        <v>1756</v>
      </c>
      <c r="C160" s="29" t="s">
        <v>1621</v>
      </c>
      <c r="D160" s="30" t="s">
        <v>1662</v>
      </c>
      <c r="E160" s="31"/>
      <c r="F160" s="31">
        <v>9</v>
      </c>
      <c r="G160" s="32"/>
      <c r="H160" s="32">
        <v>1</v>
      </c>
      <c r="I160" s="31">
        <v>9</v>
      </c>
      <c r="J160" s="32">
        <v>1</v>
      </c>
      <c r="K160" s="31">
        <v>10</v>
      </c>
      <c r="L160" s="32">
        <v>10</v>
      </c>
      <c r="M160" s="32">
        <v>10</v>
      </c>
      <c r="N160" s="32">
        <v>10</v>
      </c>
      <c r="O160" s="32">
        <v>10</v>
      </c>
      <c r="P160" s="32">
        <v>10</v>
      </c>
      <c r="Q160" s="32">
        <v>10</v>
      </c>
      <c r="R160" s="32">
        <v>10</v>
      </c>
      <c r="S160" s="32">
        <v>10</v>
      </c>
      <c r="T160" s="32">
        <v>10</v>
      </c>
      <c r="U160" s="32">
        <v>10</v>
      </c>
      <c r="V160" s="32">
        <v>10</v>
      </c>
      <c r="W160" s="85"/>
    </row>
    <row r="161" spans="1:23" ht="17" customHeight="1" x14ac:dyDescent="0.35">
      <c r="A161" s="130"/>
      <c r="B161" s="123" t="s">
        <v>1756</v>
      </c>
      <c r="C161" s="29" t="s">
        <v>1622</v>
      </c>
      <c r="D161" s="30" t="s">
        <v>33</v>
      </c>
      <c r="E161" s="31"/>
      <c r="F161" s="31">
        <v>3</v>
      </c>
      <c r="G161" s="32"/>
      <c r="H161" s="32">
        <v>4</v>
      </c>
      <c r="I161" s="31">
        <v>3</v>
      </c>
      <c r="J161" s="32">
        <v>4</v>
      </c>
      <c r="K161" s="31">
        <v>3</v>
      </c>
      <c r="L161" s="32">
        <v>3</v>
      </c>
      <c r="M161" s="32">
        <v>4</v>
      </c>
      <c r="N161" s="32">
        <v>4</v>
      </c>
      <c r="O161" s="32">
        <v>5</v>
      </c>
      <c r="P161" s="32">
        <v>5</v>
      </c>
      <c r="Q161" s="32">
        <v>6</v>
      </c>
      <c r="R161" s="32">
        <v>6</v>
      </c>
      <c r="S161" s="32">
        <v>7</v>
      </c>
      <c r="T161" s="32">
        <v>7</v>
      </c>
      <c r="U161" s="32">
        <v>7</v>
      </c>
      <c r="V161" s="32">
        <v>7</v>
      </c>
      <c r="W161" s="85"/>
    </row>
    <row r="162" spans="1:23" ht="17" customHeight="1" x14ac:dyDescent="0.35">
      <c r="A162" s="130"/>
      <c r="B162" s="123" t="s">
        <v>1756</v>
      </c>
      <c r="C162" s="29" t="s">
        <v>1623</v>
      </c>
      <c r="D162" s="30" t="s">
        <v>1663</v>
      </c>
      <c r="E162" s="31"/>
      <c r="F162" s="31">
        <v>13</v>
      </c>
      <c r="G162" s="32"/>
      <c r="H162" s="32">
        <v>0</v>
      </c>
      <c r="I162" s="31">
        <v>13</v>
      </c>
      <c r="J162" s="32">
        <v>0</v>
      </c>
      <c r="K162" s="31">
        <v>13</v>
      </c>
      <c r="L162" s="32">
        <v>13</v>
      </c>
      <c r="M162" s="32">
        <v>13</v>
      </c>
      <c r="N162" s="32">
        <v>13</v>
      </c>
      <c r="O162" s="32">
        <v>13</v>
      </c>
      <c r="P162" s="32">
        <v>13</v>
      </c>
      <c r="Q162" s="32">
        <v>13</v>
      </c>
      <c r="R162" s="32">
        <v>13</v>
      </c>
      <c r="S162" s="32">
        <v>13</v>
      </c>
      <c r="T162" s="32">
        <v>13</v>
      </c>
      <c r="U162" s="32">
        <v>13</v>
      </c>
      <c r="V162" s="32">
        <v>13</v>
      </c>
      <c r="W162" s="85"/>
    </row>
    <row r="163" spans="1:23" ht="17" customHeight="1" x14ac:dyDescent="0.35">
      <c r="A163" s="130"/>
      <c r="B163" s="123" t="s">
        <v>1756</v>
      </c>
      <c r="C163" s="29" t="s">
        <v>1623</v>
      </c>
      <c r="D163" s="30" t="s">
        <v>33</v>
      </c>
      <c r="E163" s="31"/>
      <c r="F163" s="31">
        <v>1</v>
      </c>
      <c r="G163" s="32"/>
      <c r="H163" s="32">
        <v>0</v>
      </c>
      <c r="I163" s="31">
        <v>1</v>
      </c>
      <c r="J163" s="32">
        <v>0</v>
      </c>
      <c r="K163" s="31">
        <v>1</v>
      </c>
      <c r="L163" s="32">
        <v>1</v>
      </c>
      <c r="M163" s="32">
        <v>1</v>
      </c>
      <c r="N163" s="32">
        <v>1</v>
      </c>
      <c r="O163" s="32">
        <v>1</v>
      </c>
      <c r="P163" s="32">
        <v>1</v>
      </c>
      <c r="Q163" s="32">
        <v>1</v>
      </c>
      <c r="R163" s="32">
        <v>1</v>
      </c>
      <c r="S163" s="32">
        <v>1</v>
      </c>
      <c r="T163" s="32">
        <v>1</v>
      </c>
      <c r="U163" s="32">
        <v>1</v>
      </c>
      <c r="V163" s="32">
        <v>1</v>
      </c>
      <c r="W163" s="85"/>
    </row>
    <row r="164" spans="1:23" ht="17" customHeight="1" x14ac:dyDescent="0.35">
      <c r="A164" s="130"/>
      <c r="B164" s="123" t="s">
        <v>1756</v>
      </c>
      <c r="C164" s="29" t="s">
        <v>1623</v>
      </c>
      <c r="D164" s="30" t="s">
        <v>1664</v>
      </c>
      <c r="E164" s="31"/>
      <c r="F164" s="31">
        <v>16</v>
      </c>
      <c r="G164" s="32"/>
      <c r="H164" s="32">
        <v>0</v>
      </c>
      <c r="I164" s="31">
        <v>16</v>
      </c>
      <c r="J164" s="32">
        <v>0</v>
      </c>
      <c r="K164" s="31">
        <v>16</v>
      </c>
      <c r="L164" s="32">
        <v>16</v>
      </c>
      <c r="M164" s="32">
        <v>16</v>
      </c>
      <c r="N164" s="32">
        <v>16</v>
      </c>
      <c r="O164" s="32">
        <v>16</v>
      </c>
      <c r="P164" s="32">
        <v>16</v>
      </c>
      <c r="Q164" s="32">
        <v>16</v>
      </c>
      <c r="R164" s="32">
        <v>16</v>
      </c>
      <c r="S164" s="32">
        <v>16</v>
      </c>
      <c r="T164" s="32">
        <v>16</v>
      </c>
      <c r="U164" s="32">
        <v>16</v>
      </c>
      <c r="V164" s="32">
        <v>16</v>
      </c>
      <c r="W164" s="85"/>
    </row>
    <row r="165" spans="1:23" ht="17" customHeight="1" x14ac:dyDescent="0.35">
      <c r="A165" s="130"/>
      <c r="B165" s="123" t="s">
        <v>1756</v>
      </c>
      <c r="C165" s="29" t="s">
        <v>1624</v>
      </c>
      <c r="D165" s="30" t="s">
        <v>33</v>
      </c>
      <c r="E165" s="31"/>
      <c r="F165" s="31">
        <v>3</v>
      </c>
      <c r="G165" s="32"/>
      <c r="H165" s="32">
        <v>2</v>
      </c>
      <c r="I165" s="31">
        <v>3</v>
      </c>
      <c r="J165" s="32">
        <v>2</v>
      </c>
      <c r="K165" s="31">
        <v>3</v>
      </c>
      <c r="L165" s="32">
        <v>3</v>
      </c>
      <c r="M165" s="32">
        <v>4</v>
      </c>
      <c r="N165" s="32">
        <v>4</v>
      </c>
      <c r="O165" s="32">
        <v>4</v>
      </c>
      <c r="P165" s="32">
        <v>4</v>
      </c>
      <c r="Q165" s="32">
        <v>4</v>
      </c>
      <c r="R165" s="32">
        <v>4</v>
      </c>
      <c r="S165" s="32">
        <v>5</v>
      </c>
      <c r="T165" s="32">
        <v>5</v>
      </c>
      <c r="U165" s="32">
        <v>5</v>
      </c>
      <c r="V165" s="32">
        <v>5</v>
      </c>
      <c r="W165" s="85"/>
    </row>
    <row r="166" spans="1:23" ht="17" customHeight="1" x14ac:dyDescent="0.35">
      <c r="A166" s="130"/>
      <c r="B166" s="123" t="s">
        <v>1756</v>
      </c>
      <c r="C166" s="29" t="s">
        <v>1625</v>
      </c>
      <c r="D166" s="30" t="s">
        <v>33</v>
      </c>
      <c r="E166" s="31"/>
      <c r="F166" s="31">
        <v>1</v>
      </c>
      <c r="G166" s="32"/>
      <c r="H166" s="32">
        <v>0</v>
      </c>
      <c r="I166" s="31">
        <v>1</v>
      </c>
      <c r="J166" s="32">
        <v>0</v>
      </c>
      <c r="K166" s="31">
        <v>1</v>
      </c>
      <c r="L166" s="32">
        <v>1</v>
      </c>
      <c r="M166" s="32">
        <v>1</v>
      </c>
      <c r="N166" s="32">
        <v>1</v>
      </c>
      <c r="O166" s="32">
        <v>1</v>
      </c>
      <c r="P166" s="32">
        <v>1</v>
      </c>
      <c r="Q166" s="32">
        <v>1</v>
      </c>
      <c r="R166" s="32">
        <v>1</v>
      </c>
      <c r="S166" s="32">
        <v>1</v>
      </c>
      <c r="T166" s="32">
        <v>1</v>
      </c>
      <c r="U166" s="32">
        <v>1</v>
      </c>
      <c r="V166" s="32">
        <v>1</v>
      </c>
      <c r="W166" s="85"/>
    </row>
    <row r="167" spans="1:23" ht="17" customHeight="1" x14ac:dyDescent="0.35">
      <c r="A167" s="130"/>
      <c r="B167" s="123" t="s">
        <v>1756</v>
      </c>
      <c r="C167" s="29" t="s">
        <v>1625</v>
      </c>
      <c r="D167" s="30" t="s">
        <v>1665</v>
      </c>
      <c r="E167" s="31"/>
      <c r="F167" s="31">
        <v>5</v>
      </c>
      <c r="G167" s="32"/>
      <c r="H167" s="32">
        <v>0</v>
      </c>
      <c r="I167" s="31">
        <v>5</v>
      </c>
      <c r="J167" s="32">
        <v>0</v>
      </c>
      <c r="K167" s="31">
        <v>5</v>
      </c>
      <c r="L167" s="32">
        <v>5</v>
      </c>
      <c r="M167" s="32">
        <v>5</v>
      </c>
      <c r="N167" s="32">
        <v>5</v>
      </c>
      <c r="O167" s="32">
        <v>5</v>
      </c>
      <c r="P167" s="32">
        <v>5</v>
      </c>
      <c r="Q167" s="32">
        <v>5</v>
      </c>
      <c r="R167" s="32">
        <v>5</v>
      </c>
      <c r="S167" s="32">
        <v>5</v>
      </c>
      <c r="T167" s="32">
        <v>5</v>
      </c>
      <c r="U167" s="32">
        <v>5</v>
      </c>
      <c r="V167" s="32">
        <v>5</v>
      </c>
      <c r="W167" s="85"/>
    </row>
    <row r="168" spans="1:23" ht="17" customHeight="1" x14ac:dyDescent="0.35">
      <c r="A168" s="130"/>
      <c r="B168" s="123" t="s">
        <v>1756</v>
      </c>
      <c r="C168" s="29" t="s">
        <v>1625</v>
      </c>
      <c r="D168" s="30" t="s">
        <v>1666</v>
      </c>
      <c r="E168" s="31"/>
      <c r="F168" s="31">
        <v>7</v>
      </c>
      <c r="G168" s="32"/>
      <c r="H168" s="32">
        <v>0</v>
      </c>
      <c r="I168" s="31">
        <v>7</v>
      </c>
      <c r="J168" s="32">
        <v>0</v>
      </c>
      <c r="K168" s="31">
        <v>7</v>
      </c>
      <c r="L168" s="32">
        <v>7</v>
      </c>
      <c r="M168" s="32">
        <v>7</v>
      </c>
      <c r="N168" s="32">
        <v>7</v>
      </c>
      <c r="O168" s="32">
        <v>7</v>
      </c>
      <c r="P168" s="32">
        <v>7</v>
      </c>
      <c r="Q168" s="32">
        <v>7</v>
      </c>
      <c r="R168" s="32">
        <v>7</v>
      </c>
      <c r="S168" s="32">
        <v>7</v>
      </c>
      <c r="T168" s="32">
        <v>7</v>
      </c>
      <c r="U168" s="32">
        <v>7</v>
      </c>
      <c r="V168" s="32">
        <v>7</v>
      </c>
      <c r="W168" s="85"/>
    </row>
    <row r="169" spans="1:23" ht="17" customHeight="1" x14ac:dyDescent="0.35">
      <c r="A169" s="130"/>
      <c r="B169" s="123" t="s">
        <v>1756</v>
      </c>
      <c r="C169" s="29" t="s">
        <v>1625</v>
      </c>
      <c r="D169" s="30" t="s">
        <v>1667</v>
      </c>
      <c r="E169" s="31"/>
      <c r="F169" s="31">
        <v>6</v>
      </c>
      <c r="G169" s="32"/>
      <c r="H169" s="32">
        <v>0</v>
      </c>
      <c r="I169" s="31">
        <v>6</v>
      </c>
      <c r="J169" s="32">
        <v>0</v>
      </c>
      <c r="K169" s="31">
        <v>6</v>
      </c>
      <c r="L169" s="32">
        <v>6</v>
      </c>
      <c r="M169" s="32">
        <v>6</v>
      </c>
      <c r="N169" s="32">
        <v>6</v>
      </c>
      <c r="O169" s="32">
        <v>6</v>
      </c>
      <c r="P169" s="32">
        <v>6</v>
      </c>
      <c r="Q169" s="32">
        <v>6</v>
      </c>
      <c r="R169" s="32">
        <v>6</v>
      </c>
      <c r="S169" s="32">
        <v>6</v>
      </c>
      <c r="T169" s="32">
        <v>6</v>
      </c>
      <c r="U169" s="32">
        <v>6</v>
      </c>
      <c r="V169" s="32">
        <v>6</v>
      </c>
      <c r="W169" s="85"/>
    </row>
    <row r="170" spans="1:23" ht="17" customHeight="1" x14ac:dyDescent="0.35">
      <c r="A170" s="130"/>
      <c r="B170" s="123" t="s">
        <v>1756</v>
      </c>
      <c r="C170" s="29" t="s">
        <v>1626</v>
      </c>
      <c r="D170" s="30" t="s">
        <v>1668</v>
      </c>
      <c r="E170" s="31"/>
      <c r="F170" s="31">
        <v>1</v>
      </c>
      <c r="G170" s="32"/>
      <c r="H170" s="32">
        <v>0</v>
      </c>
      <c r="I170" s="31">
        <v>1</v>
      </c>
      <c r="J170" s="32">
        <v>0</v>
      </c>
      <c r="K170" s="31">
        <v>1</v>
      </c>
      <c r="L170" s="32">
        <v>1</v>
      </c>
      <c r="M170" s="32">
        <v>1</v>
      </c>
      <c r="N170" s="32">
        <v>1</v>
      </c>
      <c r="O170" s="32">
        <v>1</v>
      </c>
      <c r="P170" s="32">
        <v>1</v>
      </c>
      <c r="Q170" s="32">
        <v>1</v>
      </c>
      <c r="R170" s="32">
        <v>1</v>
      </c>
      <c r="S170" s="32">
        <v>1</v>
      </c>
      <c r="T170" s="32">
        <v>1</v>
      </c>
      <c r="U170" s="32">
        <v>1</v>
      </c>
      <c r="V170" s="32">
        <v>1</v>
      </c>
      <c r="W170" s="85"/>
    </row>
    <row r="171" spans="1:23" ht="17" customHeight="1" x14ac:dyDescent="0.35">
      <c r="A171" s="130"/>
      <c r="B171" s="123" t="s">
        <v>1756</v>
      </c>
      <c r="C171" s="29" t="s">
        <v>1626</v>
      </c>
      <c r="D171" s="30" t="s">
        <v>1669</v>
      </c>
      <c r="E171" s="31"/>
      <c r="F171" s="31">
        <v>1</v>
      </c>
      <c r="G171" s="32"/>
      <c r="H171" s="32">
        <v>0</v>
      </c>
      <c r="I171" s="31">
        <v>1</v>
      </c>
      <c r="J171" s="32">
        <v>0</v>
      </c>
      <c r="K171" s="31">
        <v>1</v>
      </c>
      <c r="L171" s="32">
        <v>1</v>
      </c>
      <c r="M171" s="32">
        <v>1</v>
      </c>
      <c r="N171" s="32">
        <v>1</v>
      </c>
      <c r="O171" s="32">
        <v>1</v>
      </c>
      <c r="P171" s="32">
        <v>1</v>
      </c>
      <c r="Q171" s="32">
        <v>1</v>
      </c>
      <c r="R171" s="32">
        <v>1</v>
      </c>
      <c r="S171" s="32">
        <v>1</v>
      </c>
      <c r="T171" s="32">
        <v>1</v>
      </c>
      <c r="U171" s="32">
        <v>1</v>
      </c>
      <c r="V171" s="32">
        <v>1</v>
      </c>
      <c r="W171" s="85"/>
    </row>
    <row r="172" spans="1:23" ht="17" customHeight="1" x14ac:dyDescent="0.35">
      <c r="A172" s="130"/>
      <c r="B172" s="123" t="s">
        <v>1756</v>
      </c>
      <c r="C172" s="29" t="s">
        <v>1627</v>
      </c>
      <c r="D172" s="30" t="s">
        <v>33</v>
      </c>
      <c r="E172" s="31"/>
      <c r="F172" s="31">
        <v>14</v>
      </c>
      <c r="G172" s="32"/>
      <c r="H172" s="32">
        <v>5</v>
      </c>
      <c r="I172" s="31">
        <v>14</v>
      </c>
      <c r="J172" s="32">
        <v>5</v>
      </c>
      <c r="K172" s="31">
        <v>15</v>
      </c>
      <c r="L172" s="32">
        <v>15</v>
      </c>
      <c r="M172" s="32">
        <v>15</v>
      </c>
      <c r="N172" s="32">
        <v>15</v>
      </c>
      <c r="O172" s="32">
        <v>15</v>
      </c>
      <c r="P172" s="32">
        <v>15</v>
      </c>
      <c r="Q172" s="32">
        <v>16</v>
      </c>
      <c r="R172" s="32">
        <v>16</v>
      </c>
      <c r="S172" s="32">
        <v>17</v>
      </c>
      <c r="T172" s="32">
        <v>18</v>
      </c>
      <c r="U172" s="32">
        <v>18</v>
      </c>
      <c r="V172" s="32">
        <v>19</v>
      </c>
      <c r="W172" s="85"/>
    </row>
    <row r="173" spans="1:23" ht="17" customHeight="1" x14ac:dyDescent="0.35">
      <c r="A173" s="130"/>
      <c r="B173" s="123" t="s">
        <v>1756</v>
      </c>
      <c r="C173" s="29" t="s">
        <v>1628</v>
      </c>
      <c r="D173" s="30" t="s">
        <v>1670</v>
      </c>
      <c r="E173" s="31"/>
      <c r="F173" s="31">
        <v>9</v>
      </c>
      <c r="G173" s="32"/>
      <c r="H173" s="32">
        <v>0</v>
      </c>
      <c r="I173" s="31">
        <v>9</v>
      </c>
      <c r="J173" s="32">
        <v>0</v>
      </c>
      <c r="K173" s="31">
        <v>9</v>
      </c>
      <c r="L173" s="32">
        <v>9</v>
      </c>
      <c r="M173" s="32">
        <v>9</v>
      </c>
      <c r="N173" s="32">
        <v>9</v>
      </c>
      <c r="O173" s="32">
        <v>9</v>
      </c>
      <c r="P173" s="32">
        <v>9</v>
      </c>
      <c r="Q173" s="32">
        <v>9</v>
      </c>
      <c r="R173" s="32">
        <v>9</v>
      </c>
      <c r="S173" s="32">
        <v>9</v>
      </c>
      <c r="T173" s="32">
        <v>9</v>
      </c>
      <c r="U173" s="32">
        <v>9</v>
      </c>
      <c r="V173" s="32">
        <v>9</v>
      </c>
      <c r="W173" s="85"/>
    </row>
    <row r="174" spans="1:23" ht="17" customHeight="1" x14ac:dyDescent="0.35">
      <c r="A174" s="130"/>
      <c r="B174" s="123" t="s">
        <v>1756</v>
      </c>
      <c r="C174" s="29" t="s">
        <v>1628</v>
      </c>
      <c r="D174" s="30" t="s">
        <v>1671</v>
      </c>
      <c r="E174" s="31"/>
      <c r="F174" s="31">
        <v>12</v>
      </c>
      <c r="G174" s="32"/>
      <c r="H174" s="32">
        <v>0</v>
      </c>
      <c r="I174" s="31">
        <v>12</v>
      </c>
      <c r="J174" s="32">
        <v>0</v>
      </c>
      <c r="K174" s="31">
        <v>12</v>
      </c>
      <c r="L174" s="32">
        <v>12</v>
      </c>
      <c r="M174" s="32">
        <v>12</v>
      </c>
      <c r="N174" s="32">
        <v>12</v>
      </c>
      <c r="O174" s="32">
        <v>12</v>
      </c>
      <c r="P174" s="32">
        <v>12</v>
      </c>
      <c r="Q174" s="32">
        <v>12</v>
      </c>
      <c r="R174" s="32">
        <v>12</v>
      </c>
      <c r="S174" s="32">
        <v>12</v>
      </c>
      <c r="T174" s="32">
        <v>12</v>
      </c>
      <c r="U174" s="32">
        <v>12</v>
      </c>
      <c r="V174" s="32">
        <v>12</v>
      </c>
      <c r="W174" s="85"/>
    </row>
    <row r="175" spans="1:23" ht="17" customHeight="1" x14ac:dyDescent="0.35">
      <c r="A175" s="130"/>
      <c r="B175" s="123" t="s">
        <v>1756</v>
      </c>
      <c r="C175" s="29" t="s">
        <v>1629</v>
      </c>
      <c r="D175" s="30" t="s">
        <v>1672</v>
      </c>
      <c r="E175" s="31"/>
      <c r="F175" s="31">
        <v>17</v>
      </c>
      <c r="G175" s="32"/>
      <c r="H175" s="32">
        <v>0</v>
      </c>
      <c r="I175" s="31">
        <v>17</v>
      </c>
      <c r="J175" s="32">
        <v>0</v>
      </c>
      <c r="K175" s="31">
        <v>15</v>
      </c>
      <c r="L175" s="32">
        <v>15</v>
      </c>
      <c r="M175" s="32">
        <v>15</v>
      </c>
      <c r="N175" s="32">
        <v>15</v>
      </c>
      <c r="O175" s="32">
        <v>15</v>
      </c>
      <c r="P175" s="32">
        <v>15</v>
      </c>
      <c r="Q175" s="32">
        <v>15</v>
      </c>
      <c r="R175" s="32">
        <v>15</v>
      </c>
      <c r="S175" s="32">
        <v>15</v>
      </c>
      <c r="T175" s="32">
        <v>15</v>
      </c>
      <c r="U175" s="32">
        <v>15</v>
      </c>
      <c r="V175" s="32">
        <v>15</v>
      </c>
      <c r="W175" s="85"/>
    </row>
    <row r="176" spans="1:23" ht="17" customHeight="1" x14ac:dyDescent="0.35">
      <c r="A176" s="130"/>
      <c r="B176" s="123" t="s">
        <v>1756</v>
      </c>
      <c r="C176" s="29" t="s">
        <v>1629</v>
      </c>
      <c r="D176" s="30" t="s">
        <v>1673</v>
      </c>
      <c r="E176" s="31"/>
      <c r="F176" s="31">
        <v>16</v>
      </c>
      <c r="G176" s="32"/>
      <c r="H176" s="32">
        <v>0</v>
      </c>
      <c r="I176" s="31">
        <v>16</v>
      </c>
      <c r="J176" s="32">
        <v>0</v>
      </c>
      <c r="K176" s="31">
        <v>15</v>
      </c>
      <c r="L176" s="32">
        <v>15</v>
      </c>
      <c r="M176" s="32">
        <v>15</v>
      </c>
      <c r="N176" s="32">
        <v>15</v>
      </c>
      <c r="O176" s="32">
        <v>15</v>
      </c>
      <c r="P176" s="32">
        <v>15</v>
      </c>
      <c r="Q176" s="32">
        <v>15</v>
      </c>
      <c r="R176" s="32">
        <v>15</v>
      </c>
      <c r="S176" s="32">
        <v>15</v>
      </c>
      <c r="T176" s="32">
        <v>15</v>
      </c>
      <c r="U176" s="32">
        <v>15</v>
      </c>
      <c r="V176" s="32">
        <v>15</v>
      </c>
      <c r="W176" s="85"/>
    </row>
    <row r="177" spans="1:23" ht="17" customHeight="1" x14ac:dyDescent="0.35">
      <c r="A177" s="130"/>
      <c r="B177" s="123" t="s">
        <v>1756</v>
      </c>
      <c r="C177" s="29" t="s">
        <v>1629</v>
      </c>
      <c r="D177" s="30" t="s">
        <v>1674</v>
      </c>
      <c r="E177" s="31"/>
      <c r="F177" s="31">
        <v>55</v>
      </c>
      <c r="G177" s="32"/>
      <c r="H177" s="32">
        <v>6</v>
      </c>
      <c r="I177" s="31">
        <v>55</v>
      </c>
      <c r="J177" s="32">
        <v>6</v>
      </c>
      <c r="K177" s="31">
        <v>57</v>
      </c>
      <c r="L177" s="32">
        <v>58</v>
      </c>
      <c r="M177" s="32">
        <v>59</v>
      </c>
      <c r="N177" s="32">
        <v>59</v>
      </c>
      <c r="O177" s="32">
        <v>59</v>
      </c>
      <c r="P177" s="32">
        <v>60</v>
      </c>
      <c r="Q177" s="32">
        <v>60</v>
      </c>
      <c r="R177" s="32">
        <v>60</v>
      </c>
      <c r="S177" s="32">
        <v>60</v>
      </c>
      <c r="T177" s="32">
        <v>61</v>
      </c>
      <c r="U177" s="32">
        <v>61</v>
      </c>
      <c r="V177" s="32">
        <v>61</v>
      </c>
      <c r="W177" s="85"/>
    </row>
    <row r="178" spans="1:23" ht="17" customHeight="1" x14ac:dyDescent="0.35">
      <c r="A178" s="130"/>
      <c r="B178" s="123" t="s">
        <v>1756</v>
      </c>
      <c r="C178" s="29" t="s">
        <v>1630</v>
      </c>
      <c r="D178" s="30" t="s">
        <v>1675</v>
      </c>
      <c r="E178" s="31"/>
      <c r="F178" s="31">
        <v>10</v>
      </c>
      <c r="G178" s="32"/>
      <c r="H178" s="32">
        <v>1</v>
      </c>
      <c r="I178" s="31">
        <v>10</v>
      </c>
      <c r="J178" s="32">
        <v>1</v>
      </c>
      <c r="K178" s="31">
        <v>10</v>
      </c>
      <c r="L178" s="32">
        <v>10</v>
      </c>
      <c r="M178" s="32">
        <v>11</v>
      </c>
      <c r="N178" s="32">
        <v>11</v>
      </c>
      <c r="O178" s="32">
        <v>11</v>
      </c>
      <c r="P178" s="32">
        <v>11</v>
      </c>
      <c r="Q178" s="32">
        <v>11</v>
      </c>
      <c r="R178" s="32">
        <v>11</v>
      </c>
      <c r="S178" s="32">
        <v>11</v>
      </c>
      <c r="T178" s="32">
        <v>11</v>
      </c>
      <c r="U178" s="32">
        <v>11</v>
      </c>
      <c r="V178" s="32">
        <v>11</v>
      </c>
      <c r="W178" s="85"/>
    </row>
    <row r="179" spans="1:23" ht="17" customHeight="1" x14ac:dyDescent="0.35">
      <c r="A179" s="130"/>
      <c r="B179" s="123" t="s">
        <v>1756</v>
      </c>
      <c r="C179" s="29" t="s">
        <v>1630</v>
      </c>
      <c r="D179" s="30" t="s">
        <v>1676</v>
      </c>
      <c r="E179" s="31"/>
      <c r="F179" s="31">
        <v>12</v>
      </c>
      <c r="G179" s="32"/>
      <c r="H179" s="32">
        <v>4</v>
      </c>
      <c r="I179" s="31">
        <v>12</v>
      </c>
      <c r="J179" s="32">
        <v>4</v>
      </c>
      <c r="K179" s="31">
        <v>15</v>
      </c>
      <c r="L179" s="32">
        <v>15</v>
      </c>
      <c r="M179" s="32">
        <v>16</v>
      </c>
      <c r="N179" s="32">
        <v>16</v>
      </c>
      <c r="O179" s="32">
        <v>16</v>
      </c>
      <c r="P179" s="32">
        <v>16</v>
      </c>
      <c r="Q179" s="32">
        <v>16</v>
      </c>
      <c r="R179" s="32">
        <v>16</v>
      </c>
      <c r="S179" s="32">
        <v>16</v>
      </c>
      <c r="T179" s="32">
        <v>16</v>
      </c>
      <c r="U179" s="32">
        <v>16</v>
      </c>
      <c r="V179" s="32">
        <v>16</v>
      </c>
      <c r="W179" s="85"/>
    </row>
    <row r="180" spans="1:23" ht="17" customHeight="1" x14ac:dyDescent="0.35">
      <c r="A180" s="130"/>
      <c r="B180" s="123" t="s">
        <v>1756</v>
      </c>
      <c r="C180" s="29" t="s">
        <v>1631</v>
      </c>
      <c r="D180" s="30" t="s">
        <v>1677</v>
      </c>
      <c r="E180" s="31"/>
      <c r="F180" s="31">
        <v>3</v>
      </c>
      <c r="G180" s="32"/>
      <c r="H180" s="32">
        <v>2</v>
      </c>
      <c r="I180" s="31">
        <v>3</v>
      </c>
      <c r="J180" s="32">
        <v>2</v>
      </c>
      <c r="K180" s="31">
        <v>3</v>
      </c>
      <c r="L180" s="32">
        <v>3</v>
      </c>
      <c r="M180" s="32">
        <v>4</v>
      </c>
      <c r="N180" s="32">
        <v>4</v>
      </c>
      <c r="O180" s="32">
        <v>4</v>
      </c>
      <c r="P180" s="32">
        <v>4</v>
      </c>
      <c r="Q180" s="32">
        <v>5</v>
      </c>
      <c r="R180" s="32">
        <v>5</v>
      </c>
      <c r="S180" s="32">
        <v>5</v>
      </c>
      <c r="T180" s="32">
        <v>5</v>
      </c>
      <c r="U180" s="32">
        <v>5</v>
      </c>
      <c r="V180" s="32">
        <v>5</v>
      </c>
      <c r="W180" s="85"/>
    </row>
    <row r="181" spans="1:23" ht="17" customHeight="1" x14ac:dyDescent="0.35">
      <c r="A181" s="130"/>
      <c r="B181" s="123" t="s">
        <v>1756</v>
      </c>
      <c r="C181" s="29" t="s">
        <v>1631</v>
      </c>
      <c r="D181" s="30" t="s">
        <v>1678</v>
      </c>
      <c r="E181" s="31"/>
      <c r="F181" s="31">
        <v>18</v>
      </c>
      <c r="G181" s="32"/>
      <c r="H181" s="32">
        <v>1</v>
      </c>
      <c r="I181" s="31">
        <v>18</v>
      </c>
      <c r="J181" s="32">
        <v>1</v>
      </c>
      <c r="K181" s="31">
        <v>18</v>
      </c>
      <c r="L181" s="32">
        <v>18</v>
      </c>
      <c r="M181" s="32">
        <v>18</v>
      </c>
      <c r="N181" s="32">
        <v>18</v>
      </c>
      <c r="O181" s="32">
        <v>19</v>
      </c>
      <c r="P181" s="32">
        <v>19</v>
      </c>
      <c r="Q181" s="32">
        <v>19</v>
      </c>
      <c r="R181" s="32">
        <v>19</v>
      </c>
      <c r="S181" s="32">
        <v>19</v>
      </c>
      <c r="T181" s="32">
        <v>19</v>
      </c>
      <c r="U181" s="32">
        <v>19</v>
      </c>
      <c r="V181" s="32">
        <v>19</v>
      </c>
      <c r="W181" s="85"/>
    </row>
    <row r="182" spans="1:23" ht="17" customHeight="1" x14ac:dyDescent="0.35">
      <c r="A182" s="130"/>
      <c r="B182" s="123" t="s">
        <v>1756</v>
      </c>
      <c r="C182" s="29" t="s">
        <v>1631</v>
      </c>
      <c r="D182" s="30" t="s">
        <v>1679</v>
      </c>
      <c r="E182" s="31"/>
      <c r="F182" s="31">
        <v>7</v>
      </c>
      <c r="G182" s="32"/>
      <c r="H182" s="32">
        <v>1</v>
      </c>
      <c r="I182" s="31">
        <v>7</v>
      </c>
      <c r="J182" s="32">
        <v>1</v>
      </c>
      <c r="K182" s="31">
        <v>6</v>
      </c>
      <c r="L182" s="32">
        <v>6</v>
      </c>
      <c r="M182" s="32">
        <v>7</v>
      </c>
      <c r="N182" s="32">
        <v>7</v>
      </c>
      <c r="O182" s="32">
        <v>7</v>
      </c>
      <c r="P182" s="32">
        <v>7</v>
      </c>
      <c r="Q182" s="32">
        <v>8</v>
      </c>
      <c r="R182" s="32">
        <v>8</v>
      </c>
      <c r="S182" s="32">
        <v>8</v>
      </c>
      <c r="T182" s="32">
        <v>8</v>
      </c>
      <c r="U182" s="32">
        <v>8</v>
      </c>
      <c r="V182" s="32">
        <v>8</v>
      </c>
      <c r="W182" s="85"/>
    </row>
    <row r="183" spans="1:23" ht="17" customHeight="1" x14ac:dyDescent="0.35">
      <c r="A183" s="130"/>
      <c r="B183" s="123" t="s">
        <v>1756</v>
      </c>
      <c r="C183" s="29" t="s">
        <v>1631</v>
      </c>
      <c r="D183" s="30" t="s">
        <v>1680</v>
      </c>
      <c r="E183" s="31"/>
      <c r="F183" s="31">
        <v>0</v>
      </c>
      <c r="G183" s="32"/>
      <c r="H183" s="32">
        <v>1</v>
      </c>
      <c r="I183" s="31">
        <v>0</v>
      </c>
      <c r="J183" s="32">
        <v>1</v>
      </c>
      <c r="K183" s="31">
        <v>1</v>
      </c>
      <c r="L183" s="32">
        <v>1</v>
      </c>
      <c r="M183" s="32">
        <v>1</v>
      </c>
      <c r="N183" s="32">
        <v>1</v>
      </c>
      <c r="O183" s="32">
        <v>1</v>
      </c>
      <c r="P183" s="32">
        <v>1</v>
      </c>
      <c r="Q183" s="32">
        <v>1</v>
      </c>
      <c r="R183" s="32">
        <v>1</v>
      </c>
      <c r="S183" s="32">
        <v>1</v>
      </c>
      <c r="T183" s="32">
        <v>1</v>
      </c>
      <c r="U183" s="32">
        <v>1</v>
      </c>
      <c r="V183" s="32">
        <v>1</v>
      </c>
      <c r="W183" s="85"/>
    </row>
    <row r="184" spans="1:23" ht="17" customHeight="1" x14ac:dyDescent="0.35">
      <c r="A184" s="130"/>
      <c r="B184" s="123" t="s">
        <v>1756</v>
      </c>
      <c r="C184" s="29" t="s">
        <v>1632</v>
      </c>
      <c r="D184" s="30" t="s">
        <v>1681</v>
      </c>
      <c r="E184" s="31"/>
      <c r="F184" s="31">
        <v>9</v>
      </c>
      <c r="G184" s="32"/>
      <c r="H184" s="32">
        <v>0</v>
      </c>
      <c r="I184" s="31">
        <v>9</v>
      </c>
      <c r="J184" s="32">
        <v>0</v>
      </c>
      <c r="K184" s="31">
        <v>9</v>
      </c>
      <c r="L184" s="32">
        <v>9</v>
      </c>
      <c r="M184" s="32">
        <v>9</v>
      </c>
      <c r="N184" s="32">
        <v>9</v>
      </c>
      <c r="O184" s="32">
        <v>8</v>
      </c>
      <c r="P184" s="32">
        <v>8</v>
      </c>
      <c r="Q184" s="32">
        <v>8</v>
      </c>
      <c r="R184" s="32">
        <v>8</v>
      </c>
      <c r="S184" s="32">
        <v>8</v>
      </c>
      <c r="T184" s="32">
        <v>8</v>
      </c>
      <c r="U184" s="32">
        <v>8</v>
      </c>
      <c r="V184" s="32">
        <v>8</v>
      </c>
      <c r="W184" s="85"/>
    </row>
    <row r="185" spans="1:23" ht="17" customHeight="1" x14ac:dyDescent="0.35">
      <c r="A185" s="130"/>
      <c r="B185" s="123" t="s">
        <v>1756</v>
      </c>
      <c r="C185" s="29" t="s">
        <v>1632</v>
      </c>
      <c r="D185" s="30" t="s">
        <v>1682</v>
      </c>
      <c r="E185" s="31"/>
      <c r="F185" s="31">
        <v>19</v>
      </c>
      <c r="G185" s="32"/>
      <c r="H185" s="32">
        <v>0</v>
      </c>
      <c r="I185" s="31">
        <v>19</v>
      </c>
      <c r="J185" s="32">
        <v>0</v>
      </c>
      <c r="K185" s="31">
        <v>19</v>
      </c>
      <c r="L185" s="32">
        <v>19</v>
      </c>
      <c r="M185" s="32">
        <v>18</v>
      </c>
      <c r="N185" s="32">
        <v>18</v>
      </c>
      <c r="O185" s="32">
        <v>18</v>
      </c>
      <c r="P185" s="32">
        <v>18</v>
      </c>
      <c r="Q185" s="32">
        <v>17</v>
      </c>
      <c r="R185" s="32">
        <v>17</v>
      </c>
      <c r="S185" s="32">
        <v>17</v>
      </c>
      <c r="T185" s="32">
        <v>17</v>
      </c>
      <c r="U185" s="32">
        <v>17</v>
      </c>
      <c r="V185" s="32">
        <v>17</v>
      </c>
      <c r="W185" s="85"/>
    </row>
    <row r="186" spans="1:23" ht="17" customHeight="1" x14ac:dyDescent="0.35">
      <c r="A186" s="130"/>
      <c r="B186" s="123" t="s">
        <v>1756</v>
      </c>
      <c r="C186" s="29" t="s">
        <v>1632</v>
      </c>
      <c r="D186" s="30" t="s">
        <v>1683</v>
      </c>
      <c r="E186" s="31"/>
      <c r="F186" s="31">
        <v>11</v>
      </c>
      <c r="G186" s="32"/>
      <c r="H186" s="32">
        <v>2</v>
      </c>
      <c r="I186" s="31">
        <v>11</v>
      </c>
      <c r="J186" s="32">
        <v>2</v>
      </c>
      <c r="K186" s="31">
        <v>13</v>
      </c>
      <c r="L186" s="32">
        <v>13</v>
      </c>
      <c r="M186" s="32">
        <v>13</v>
      </c>
      <c r="N186" s="32">
        <v>13</v>
      </c>
      <c r="O186" s="32">
        <v>13</v>
      </c>
      <c r="P186" s="32">
        <v>13</v>
      </c>
      <c r="Q186" s="32">
        <v>13</v>
      </c>
      <c r="R186" s="32">
        <v>13</v>
      </c>
      <c r="S186" s="32">
        <v>13</v>
      </c>
      <c r="T186" s="32">
        <v>13</v>
      </c>
      <c r="U186" s="32">
        <v>13</v>
      </c>
      <c r="V186" s="32">
        <v>13</v>
      </c>
      <c r="W186" s="85"/>
    </row>
    <row r="187" spans="1:23" ht="17" customHeight="1" x14ac:dyDescent="0.35">
      <c r="A187" s="130"/>
      <c r="B187" s="123" t="s">
        <v>1756</v>
      </c>
      <c r="C187" s="29" t="s">
        <v>1632</v>
      </c>
      <c r="D187" s="30" t="s">
        <v>1684</v>
      </c>
      <c r="E187" s="31"/>
      <c r="F187" s="31">
        <v>30</v>
      </c>
      <c r="G187" s="32"/>
      <c r="H187" s="32">
        <v>0</v>
      </c>
      <c r="I187" s="31">
        <v>30</v>
      </c>
      <c r="J187" s="32">
        <v>0</v>
      </c>
      <c r="K187" s="31">
        <v>30</v>
      </c>
      <c r="L187" s="32">
        <v>30</v>
      </c>
      <c r="M187" s="32">
        <v>29</v>
      </c>
      <c r="N187" s="32">
        <v>29</v>
      </c>
      <c r="O187" s="32">
        <v>29</v>
      </c>
      <c r="P187" s="32">
        <v>29</v>
      </c>
      <c r="Q187" s="32">
        <v>28</v>
      </c>
      <c r="R187" s="32">
        <v>28</v>
      </c>
      <c r="S187" s="32">
        <v>28</v>
      </c>
      <c r="T187" s="32">
        <v>28</v>
      </c>
      <c r="U187" s="32">
        <v>28</v>
      </c>
      <c r="V187" s="32">
        <v>28</v>
      </c>
      <c r="W187" s="85"/>
    </row>
    <row r="188" spans="1:23" ht="17" customHeight="1" x14ac:dyDescent="0.35">
      <c r="A188" s="130"/>
      <c r="B188" s="123" t="s">
        <v>1756</v>
      </c>
      <c r="C188" s="29" t="s">
        <v>1632</v>
      </c>
      <c r="D188" s="30" t="s">
        <v>1685</v>
      </c>
      <c r="E188" s="31"/>
      <c r="F188" s="31">
        <v>17</v>
      </c>
      <c r="G188" s="32"/>
      <c r="H188" s="32">
        <v>0</v>
      </c>
      <c r="I188" s="31">
        <v>17</v>
      </c>
      <c r="J188" s="32">
        <v>0</v>
      </c>
      <c r="K188" s="31">
        <v>17</v>
      </c>
      <c r="L188" s="32">
        <v>17</v>
      </c>
      <c r="M188" s="32">
        <v>17</v>
      </c>
      <c r="N188" s="32">
        <v>17</v>
      </c>
      <c r="O188" s="32">
        <v>16</v>
      </c>
      <c r="P188" s="32">
        <v>16</v>
      </c>
      <c r="Q188" s="32">
        <v>16</v>
      </c>
      <c r="R188" s="32">
        <v>16</v>
      </c>
      <c r="S188" s="32">
        <v>16</v>
      </c>
      <c r="T188" s="32">
        <v>16</v>
      </c>
      <c r="U188" s="32">
        <v>16</v>
      </c>
      <c r="V188" s="32">
        <v>16</v>
      </c>
      <c r="W188" s="85"/>
    </row>
    <row r="189" spans="1:23" ht="17" customHeight="1" x14ac:dyDescent="0.35">
      <c r="A189" s="130"/>
      <c r="B189" s="123" t="s">
        <v>1756</v>
      </c>
      <c r="C189" s="29" t="s">
        <v>1632</v>
      </c>
      <c r="D189" s="30" t="s">
        <v>1686</v>
      </c>
      <c r="E189" s="31"/>
      <c r="F189" s="31">
        <v>12</v>
      </c>
      <c r="G189" s="32"/>
      <c r="H189" s="32">
        <v>0</v>
      </c>
      <c r="I189" s="31">
        <v>12</v>
      </c>
      <c r="J189" s="32">
        <v>0</v>
      </c>
      <c r="K189" s="31">
        <v>12</v>
      </c>
      <c r="L189" s="32">
        <v>12</v>
      </c>
      <c r="M189" s="32">
        <v>12</v>
      </c>
      <c r="N189" s="32">
        <v>12</v>
      </c>
      <c r="O189" s="32">
        <v>11</v>
      </c>
      <c r="P189" s="32">
        <v>11</v>
      </c>
      <c r="Q189" s="32">
        <v>11</v>
      </c>
      <c r="R189" s="32">
        <v>11</v>
      </c>
      <c r="S189" s="32">
        <v>11</v>
      </c>
      <c r="T189" s="32">
        <v>11</v>
      </c>
      <c r="U189" s="32">
        <v>11</v>
      </c>
      <c r="V189" s="32">
        <v>11</v>
      </c>
      <c r="W189" s="85"/>
    </row>
    <row r="190" spans="1:23" ht="17" customHeight="1" x14ac:dyDescent="0.35">
      <c r="A190" s="130"/>
      <c r="B190" s="123" t="s">
        <v>1756</v>
      </c>
      <c r="C190" s="29" t="s">
        <v>1632</v>
      </c>
      <c r="D190" s="30" t="s">
        <v>1687</v>
      </c>
      <c r="E190" s="31"/>
      <c r="F190" s="31">
        <v>6</v>
      </c>
      <c r="G190" s="32"/>
      <c r="H190" s="32">
        <v>0</v>
      </c>
      <c r="I190" s="31">
        <v>6</v>
      </c>
      <c r="J190" s="32">
        <v>0</v>
      </c>
      <c r="K190" s="31">
        <v>6</v>
      </c>
      <c r="L190" s="32">
        <v>6</v>
      </c>
      <c r="M190" s="32">
        <v>6</v>
      </c>
      <c r="N190" s="32">
        <v>6</v>
      </c>
      <c r="O190" s="32">
        <v>6</v>
      </c>
      <c r="P190" s="32">
        <v>6</v>
      </c>
      <c r="Q190" s="32">
        <v>6</v>
      </c>
      <c r="R190" s="32">
        <v>6</v>
      </c>
      <c r="S190" s="32">
        <v>6</v>
      </c>
      <c r="T190" s="32">
        <v>6</v>
      </c>
      <c r="U190" s="32">
        <v>6</v>
      </c>
      <c r="V190" s="32">
        <v>6</v>
      </c>
      <c r="W190" s="85"/>
    </row>
    <row r="191" spans="1:23" ht="17" customHeight="1" x14ac:dyDescent="0.35">
      <c r="A191" s="130"/>
      <c r="B191" s="123" t="s">
        <v>1756</v>
      </c>
      <c r="C191" s="29" t="s">
        <v>1633</v>
      </c>
      <c r="D191" s="30" t="s">
        <v>1688</v>
      </c>
      <c r="E191" s="31"/>
      <c r="F191" s="31">
        <v>43</v>
      </c>
      <c r="G191" s="32"/>
      <c r="H191" s="32">
        <v>11</v>
      </c>
      <c r="I191" s="31">
        <v>43</v>
      </c>
      <c r="J191" s="32">
        <v>11</v>
      </c>
      <c r="K191" s="31">
        <v>43</v>
      </c>
      <c r="L191" s="32">
        <v>44</v>
      </c>
      <c r="M191" s="32">
        <v>45</v>
      </c>
      <c r="N191" s="32">
        <v>46</v>
      </c>
      <c r="O191" s="32">
        <v>47</v>
      </c>
      <c r="P191" s="32">
        <v>48</v>
      </c>
      <c r="Q191" s="32">
        <v>49</v>
      </c>
      <c r="R191" s="32">
        <v>50</v>
      </c>
      <c r="S191" s="32">
        <v>51</v>
      </c>
      <c r="T191" s="32">
        <v>52</v>
      </c>
      <c r="U191" s="32">
        <v>53</v>
      </c>
      <c r="V191" s="32">
        <v>54</v>
      </c>
      <c r="W191" s="85"/>
    </row>
    <row r="192" spans="1:23" ht="17" customHeight="1" x14ac:dyDescent="0.35">
      <c r="A192" s="130"/>
      <c r="B192" s="123" t="s">
        <v>1756</v>
      </c>
      <c r="C192" s="29" t="s">
        <v>1633</v>
      </c>
      <c r="D192" s="30" t="s">
        <v>1689</v>
      </c>
      <c r="E192" s="31"/>
      <c r="F192" s="31">
        <v>6</v>
      </c>
      <c r="G192" s="32"/>
      <c r="H192" s="32">
        <v>0</v>
      </c>
      <c r="I192" s="31">
        <v>6</v>
      </c>
      <c r="J192" s="32">
        <v>0</v>
      </c>
      <c r="K192" s="31">
        <v>6</v>
      </c>
      <c r="L192" s="32">
        <v>6</v>
      </c>
      <c r="M192" s="32">
        <v>6</v>
      </c>
      <c r="N192" s="32">
        <v>6</v>
      </c>
      <c r="O192" s="32">
        <v>6</v>
      </c>
      <c r="P192" s="32">
        <v>6</v>
      </c>
      <c r="Q192" s="32">
        <v>6</v>
      </c>
      <c r="R192" s="32">
        <v>6</v>
      </c>
      <c r="S192" s="32">
        <v>6</v>
      </c>
      <c r="T192" s="32">
        <v>6</v>
      </c>
      <c r="U192" s="32">
        <v>6</v>
      </c>
      <c r="V192" s="32">
        <v>6</v>
      </c>
      <c r="W192" s="85"/>
    </row>
    <row r="193" spans="1:23" ht="17" customHeight="1" x14ac:dyDescent="0.35">
      <c r="A193" s="130"/>
      <c r="B193" s="123" t="s">
        <v>1756</v>
      </c>
      <c r="C193" s="29" t="s">
        <v>1633</v>
      </c>
      <c r="D193" s="30" t="s">
        <v>1690</v>
      </c>
      <c r="E193" s="31"/>
      <c r="F193" s="31">
        <v>5</v>
      </c>
      <c r="G193" s="32"/>
      <c r="H193" s="32">
        <v>0</v>
      </c>
      <c r="I193" s="31">
        <v>5</v>
      </c>
      <c r="J193" s="32">
        <v>0</v>
      </c>
      <c r="K193" s="31">
        <v>5</v>
      </c>
      <c r="L193" s="32">
        <v>5</v>
      </c>
      <c r="M193" s="32">
        <v>5</v>
      </c>
      <c r="N193" s="32">
        <v>5</v>
      </c>
      <c r="O193" s="32">
        <v>5</v>
      </c>
      <c r="P193" s="32">
        <v>5</v>
      </c>
      <c r="Q193" s="32">
        <v>5</v>
      </c>
      <c r="R193" s="32">
        <v>5</v>
      </c>
      <c r="S193" s="32">
        <v>5</v>
      </c>
      <c r="T193" s="32">
        <v>5</v>
      </c>
      <c r="U193" s="32">
        <v>5</v>
      </c>
      <c r="V193" s="32">
        <v>5</v>
      </c>
      <c r="W193" s="85"/>
    </row>
    <row r="194" spans="1:23" ht="17" customHeight="1" x14ac:dyDescent="0.35">
      <c r="A194" s="130"/>
      <c r="B194" s="123" t="s">
        <v>1756</v>
      </c>
      <c r="C194" s="29" t="s">
        <v>1633</v>
      </c>
      <c r="D194" s="30" t="s">
        <v>1691</v>
      </c>
      <c r="E194" s="31"/>
      <c r="F194" s="31">
        <v>3</v>
      </c>
      <c r="G194" s="32"/>
      <c r="H194" s="32">
        <v>0</v>
      </c>
      <c r="I194" s="31">
        <v>3</v>
      </c>
      <c r="J194" s="32">
        <v>0</v>
      </c>
      <c r="K194" s="31">
        <v>3</v>
      </c>
      <c r="L194" s="32">
        <v>3</v>
      </c>
      <c r="M194" s="32">
        <v>3</v>
      </c>
      <c r="N194" s="32">
        <v>3</v>
      </c>
      <c r="O194" s="32">
        <v>3</v>
      </c>
      <c r="P194" s="32">
        <v>3</v>
      </c>
      <c r="Q194" s="32">
        <v>3</v>
      </c>
      <c r="R194" s="32">
        <v>3</v>
      </c>
      <c r="S194" s="32">
        <v>3</v>
      </c>
      <c r="T194" s="32">
        <v>3</v>
      </c>
      <c r="U194" s="32">
        <v>3</v>
      </c>
      <c r="V194" s="32">
        <v>3</v>
      </c>
      <c r="W194" s="85"/>
    </row>
    <row r="195" spans="1:23" ht="17" customHeight="1" x14ac:dyDescent="0.35">
      <c r="A195" s="130"/>
      <c r="B195" s="123" t="s">
        <v>1756</v>
      </c>
      <c r="C195" s="29" t="s">
        <v>1634</v>
      </c>
      <c r="D195" s="30" t="s">
        <v>1692</v>
      </c>
      <c r="E195" s="31"/>
      <c r="F195" s="31">
        <v>17</v>
      </c>
      <c r="G195" s="32"/>
      <c r="H195" s="32">
        <v>0</v>
      </c>
      <c r="I195" s="31">
        <v>17</v>
      </c>
      <c r="J195" s="32">
        <v>0</v>
      </c>
      <c r="K195" s="31">
        <v>17</v>
      </c>
      <c r="L195" s="32">
        <v>17</v>
      </c>
      <c r="M195" s="32">
        <v>17</v>
      </c>
      <c r="N195" s="32">
        <v>17</v>
      </c>
      <c r="O195" s="32">
        <v>17</v>
      </c>
      <c r="P195" s="32">
        <v>17</v>
      </c>
      <c r="Q195" s="32">
        <v>17</v>
      </c>
      <c r="R195" s="32">
        <v>17</v>
      </c>
      <c r="S195" s="32">
        <v>17</v>
      </c>
      <c r="T195" s="32">
        <v>17</v>
      </c>
      <c r="U195" s="32">
        <v>17</v>
      </c>
      <c r="V195" s="32">
        <v>17</v>
      </c>
      <c r="W195" s="85"/>
    </row>
    <row r="196" spans="1:23" ht="17" customHeight="1" x14ac:dyDescent="0.35">
      <c r="A196" s="130"/>
      <c r="B196" s="123" t="s">
        <v>1756</v>
      </c>
      <c r="C196" s="29" t="s">
        <v>1634</v>
      </c>
      <c r="D196" s="30" t="s">
        <v>1693</v>
      </c>
      <c r="E196" s="31"/>
      <c r="F196" s="31">
        <v>70</v>
      </c>
      <c r="G196" s="32"/>
      <c r="H196" s="32">
        <v>3</v>
      </c>
      <c r="I196" s="31">
        <v>70</v>
      </c>
      <c r="J196" s="32">
        <v>3</v>
      </c>
      <c r="K196" s="31">
        <v>73</v>
      </c>
      <c r="L196" s="32">
        <v>73</v>
      </c>
      <c r="M196" s="32">
        <v>73</v>
      </c>
      <c r="N196" s="32">
        <v>73</v>
      </c>
      <c r="O196" s="32">
        <v>73</v>
      </c>
      <c r="P196" s="32">
        <v>73</v>
      </c>
      <c r="Q196" s="32">
        <v>73</v>
      </c>
      <c r="R196" s="32">
        <v>73</v>
      </c>
      <c r="S196" s="32">
        <v>73</v>
      </c>
      <c r="T196" s="32">
        <v>73</v>
      </c>
      <c r="U196" s="32">
        <v>73</v>
      </c>
      <c r="V196" s="32">
        <v>73</v>
      </c>
      <c r="W196" s="85"/>
    </row>
    <row r="197" spans="1:23" ht="17" customHeight="1" x14ac:dyDescent="0.35">
      <c r="A197" s="130"/>
      <c r="B197" s="123" t="s">
        <v>1756</v>
      </c>
      <c r="C197" s="29" t="s">
        <v>1634</v>
      </c>
      <c r="D197" s="30" t="s">
        <v>1694</v>
      </c>
      <c r="E197" s="31"/>
      <c r="F197" s="31">
        <v>23</v>
      </c>
      <c r="G197" s="32"/>
      <c r="H197" s="32">
        <v>0</v>
      </c>
      <c r="I197" s="31">
        <v>23</v>
      </c>
      <c r="J197" s="32">
        <v>0</v>
      </c>
      <c r="K197" s="31">
        <v>23</v>
      </c>
      <c r="L197" s="32">
        <v>23</v>
      </c>
      <c r="M197" s="32">
        <v>23</v>
      </c>
      <c r="N197" s="32">
        <v>23</v>
      </c>
      <c r="O197" s="32">
        <v>23</v>
      </c>
      <c r="P197" s="32">
        <v>23</v>
      </c>
      <c r="Q197" s="32">
        <v>23</v>
      </c>
      <c r="R197" s="32">
        <v>23</v>
      </c>
      <c r="S197" s="32">
        <v>23</v>
      </c>
      <c r="T197" s="32">
        <v>23</v>
      </c>
      <c r="U197" s="32">
        <v>23</v>
      </c>
      <c r="V197" s="32">
        <v>23</v>
      </c>
      <c r="W197" s="85"/>
    </row>
    <row r="198" spans="1:23" ht="17" customHeight="1" x14ac:dyDescent="0.35">
      <c r="A198" s="130"/>
      <c r="B198" s="123" t="s">
        <v>1756</v>
      </c>
      <c r="C198" s="29" t="s">
        <v>1634</v>
      </c>
      <c r="D198" s="30" t="s">
        <v>1695</v>
      </c>
      <c r="E198" s="31"/>
      <c r="F198" s="31">
        <v>61</v>
      </c>
      <c r="G198" s="32"/>
      <c r="H198" s="32">
        <v>0</v>
      </c>
      <c r="I198" s="31">
        <v>61</v>
      </c>
      <c r="J198" s="32">
        <v>0</v>
      </c>
      <c r="K198" s="31">
        <v>61</v>
      </c>
      <c r="L198" s="32">
        <v>61</v>
      </c>
      <c r="M198" s="32">
        <v>61</v>
      </c>
      <c r="N198" s="32">
        <v>61</v>
      </c>
      <c r="O198" s="32">
        <v>61</v>
      </c>
      <c r="P198" s="32">
        <v>61</v>
      </c>
      <c r="Q198" s="32">
        <v>61</v>
      </c>
      <c r="R198" s="32">
        <v>61</v>
      </c>
      <c r="S198" s="32">
        <v>61</v>
      </c>
      <c r="T198" s="32">
        <v>61</v>
      </c>
      <c r="U198" s="32">
        <v>61</v>
      </c>
      <c r="V198" s="32">
        <v>61</v>
      </c>
      <c r="W198" s="85"/>
    </row>
    <row r="199" spans="1:23" ht="17" customHeight="1" x14ac:dyDescent="0.35">
      <c r="A199" s="130"/>
      <c r="B199" s="123" t="s">
        <v>1756</v>
      </c>
      <c r="C199" s="29" t="s">
        <v>1341</v>
      </c>
      <c r="D199" s="30" t="s">
        <v>1696</v>
      </c>
      <c r="E199" s="31"/>
      <c r="F199" s="31">
        <v>14</v>
      </c>
      <c r="G199" s="32"/>
      <c r="H199" s="32">
        <v>0</v>
      </c>
      <c r="I199" s="31">
        <v>14</v>
      </c>
      <c r="J199" s="32">
        <v>0</v>
      </c>
      <c r="K199" s="31">
        <v>12</v>
      </c>
      <c r="L199" s="32">
        <v>12</v>
      </c>
      <c r="M199" s="32">
        <v>13</v>
      </c>
      <c r="N199" s="32">
        <v>13</v>
      </c>
      <c r="O199" s="32">
        <v>13</v>
      </c>
      <c r="P199" s="32">
        <v>13</v>
      </c>
      <c r="Q199" s="32">
        <v>14</v>
      </c>
      <c r="R199" s="32">
        <v>14</v>
      </c>
      <c r="S199" s="32">
        <v>14</v>
      </c>
      <c r="T199" s="32">
        <v>14</v>
      </c>
      <c r="U199" s="32">
        <v>14</v>
      </c>
      <c r="V199" s="32">
        <v>14</v>
      </c>
      <c r="W199" s="85"/>
    </row>
    <row r="200" spans="1:23" ht="17" customHeight="1" x14ac:dyDescent="0.35">
      <c r="A200" s="130"/>
      <c r="B200" s="123" t="s">
        <v>1756</v>
      </c>
      <c r="C200" s="29" t="s">
        <v>1341</v>
      </c>
      <c r="D200" s="30" t="s">
        <v>1697</v>
      </c>
      <c r="E200" s="31"/>
      <c r="F200" s="31">
        <v>3</v>
      </c>
      <c r="G200" s="32"/>
      <c r="H200" s="32">
        <v>4</v>
      </c>
      <c r="I200" s="31">
        <v>3</v>
      </c>
      <c r="J200" s="32">
        <v>4</v>
      </c>
      <c r="K200" s="31">
        <v>6</v>
      </c>
      <c r="L200" s="32">
        <v>6</v>
      </c>
      <c r="M200" s="32">
        <v>6</v>
      </c>
      <c r="N200" s="32">
        <v>6</v>
      </c>
      <c r="O200" s="32">
        <v>7</v>
      </c>
      <c r="P200" s="32">
        <v>7</v>
      </c>
      <c r="Q200" s="32">
        <v>7</v>
      </c>
      <c r="R200" s="32">
        <v>7</v>
      </c>
      <c r="S200" s="32">
        <v>7</v>
      </c>
      <c r="T200" s="32">
        <v>7</v>
      </c>
      <c r="U200" s="32">
        <v>7</v>
      </c>
      <c r="V200" s="32">
        <v>7</v>
      </c>
      <c r="W200" s="85"/>
    </row>
    <row r="201" spans="1:23" ht="17" customHeight="1" x14ac:dyDescent="0.35">
      <c r="A201" s="130"/>
      <c r="B201" s="123" t="s">
        <v>1756</v>
      </c>
      <c r="C201" s="29" t="s">
        <v>1341</v>
      </c>
      <c r="D201" s="30" t="s">
        <v>1698</v>
      </c>
      <c r="E201" s="31"/>
      <c r="F201" s="31">
        <v>6</v>
      </c>
      <c r="G201" s="32"/>
      <c r="H201" s="32">
        <v>3</v>
      </c>
      <c r="I201" s="31">
        <v>6</v>
      </c>
      <c r="J201" s="32">
        <v>3</v>
      </c>
      <c r="K201" s="31">
        <v>7</v>
      </c>
      <c r="L201" s="32">
        <v>7</v>
      </c>
      <c r="M201" s="32">
        <v>8</v>
      </c>
      <c r="N201" s="32">
        <v>8</v>
      </c>
      <c r="O201" s="32">
        <v>8</v>
      </c>
      <c r="P201" s="32">
        <v>8</v>
      </c>
      <c r="Q201" s="32">
        <v>9</v>
      </c>
      <c r="R201" s="32">
        <v>9</v>
      </c>
      <c r="S201" s="32">
        <v>9</v>
      </c>
      <c r="T201" s="32">
        <v>9</v>
      </c>
      <c r="U201" s="32">
        <v>9</v>
      </c>
      <c r="V201" s="32">
        <v>9</v>
      </c>
      <c r="W201" s="85"/>
    </row>
    <row r="202" spans="1:23" ht="17" customHeight="1" x14ac:dyDescent="0.35">
      <c r="A202" s="130"/>
      <c r="B202" s="123" t="s">
        <v>1756</v>
      </c>
      <c r="C202" s="29" t="s">
        <v>1635</v>
      </c>
      <c r="D202" s="30" t="s">
        <v>1699</v>
      </c>
      <c r="E202" s="31"/>
      <c r="F202" s="31">
        <v>5</v>
      </c>
      <c r="G202" s="32"/>
      <c r="H202" s="32">
        <v>0</v>
      </c>
      <c r="I202" s="31">
        <v>5</v>
      </c>
      <c r="J202" s="32">
        <v>0</v>
      </c>
      <c r="K202" s="31">
        <v>1</v>
      </c>
      <c r="L202" s="32">
        <v>1</v>
      </c>
      <c r="M202" s="32">
        <v>1</v>
      </c>
      <c r="N202" s="32">
        <v>1</v>
      </c>
      <c r="O202" s="32">
        <v>2</v>
      </c>
      <c r="P202" s="32">
        <v>2</v>
      </c>
      <c r="Q202" s="32">
        <v>2</v>
      </c>
      <c r="R202" s="32">
        <v>2</v>
      </c>
      <c r="S202" s="32">
        <v>2</v>
      </c>
      <c r="T202" s="32">
        <v>2</v>
      </c>
      <c r="U202" s="32">
        <v>2</v>
      </c>
      <c r="V202" s="32">
        <v>2</v>
      </c>
      <c r="W202" s="85"/>
    </row>
    <row r="203" spans="1:23" ht="17" customHeight="1" x14ac:dyDescent="0.35">
      <c r="A203" s="130"/>
      <c r="B203" s="123" t="s">
        <v>1756</v>
      </c>
      <c r="C203" s="29" t="s">
        <v>1635</v>
      </c>
      <c r="D203" s="30" t="s">
        <v>1700</v>
      </c>
      <c r="E203" s="31"/>
      <c r="F203" s="31">
        <v>8</v>
      </c>
      <c r="G203" s="32"/>
      <c r="H203" s="32">
        <v>0</v>
      </c>
      <c r="I203" s="31">
        <v>8</v>
      </c>
      <c r="J203" s="32">
        <v>0</v>
      </c>
      <c r="K203" s="31">
        <v>7</v>
      </c>
      <c r="L203" s="32">
        <v>7</v>
      </c>
      <c r="M203" s="32">
        <v>7</v>
      </c>
      <c r="N203" s="32">
        <v>7</v>
      </c>
      <c r="O203" s="32">
        <v>7</v>
      </c>
      <c r="P203" s="32">
        <v>7</v>
      </c>
      <c r="Q203" s="32">
        <v>7</v>
      </c>
      <c r="R203" s="32">
        <v>7</v>
      </c>
      <c r="S203" s="32">
        <v>7</v>
      </c>
      <c r="T203" s="32">
        <v>7</v>
      </c>
      <c r="U203" s="32">
        <v>7</v>
      </c>
      <c r="V203" s="32">
        <v>7</v>
      </c>
      <c r="W203" s="85"/>
    </row>
    <row r="204" spans="1:23" ht="17" customHeight="1" x14ac:dyDescent="0.35">
      <c r="A204" s="130"/>
      <c r="B204" s="123" t="s">
        <v>1756</v>
      </c>
      <c r="C204" s="29" t="s">
        <v>1635</v>
      </c>
      <c r="D204" s="30" t="s">
        <v>1701</v>
      </c>
      <c r="E204" s="31"/>
      <c r="F204" s="31">
        <v>4</v>
      </c>
      <c r="G204" s="32"/>
      <c r="H204" s="32">
        <v>2</v>
      </c>
      <c r="I204" s="31">
        <v>4</v>
      </c>
      <c r="J204" s="32">
        <v>2</v>
      </c>
      <c r="K204" s="31">
        <v>6</v>
      </c>
      <c r="L204" s="32">
        <v>6</v>
      </c>
      <c r="M204" s="32">
        <v>6</v>
      </c>
      <c r="N204" s="32">
        <v>6</v>
      </c>
      <c r="O204" s="32">
        <v>6</v>
      </c>
      <c r="P204" s="32">
        <v>6</v>
      </c>
      <c r="Q204" s="32">
        <v>6</v>
      </c>
      <c r="R204" s="32">
        <v>6</v>
      </c>
      <c r="S204" s="32">
        <v>6</v>
      </c>
      <c r="T204" s="32">
        <v>6</v>
      </c>
      <c r="U204" s="32">
        <v>6</v>
      </c>
      <c r="V204" s="32">
        <v>6</v>
      </c>
      <c r="W204" s="85"/>
    </row>
    <row r="205" spans="1:23" ht="17" customHeight="1" x14ac:dyDescent="0.35">
      <c r="A205" s="130"/>
      <c r="B205" s="123" t="s">
        <v>1756</v>
      </c>
      <c r="C205" s="29" t="s">
        <v>1635</v>
      </c>
      <c r="D205" s="30" t="s">
        <v>1702</v>
      </c>
      <c r="E205" s="31"/>
      <c r="F205" s="31">
        <v>4</v>
      </c>
      <c r="G205" s="32"/>
      <c r="H205" s="32">
        <v>0</v>
      </c>
      <c r="I205" s="31">
        <v>4</v>
      </c>
      <c r="J205" s="32">
        <v>0</v>
      </c>
      <c r="K205" s="31">
        <v>4</v>
      </c>
      <c r="L205" s="32">
        <v>4</v>
      </c>
      <c r="M205" s="32">
        <v>4</v>
      </c>
      <c r="N205" s="32">
        <v>4</v>
      </c>
      <c r="O205" s="32">
        <v>4</v>
      </c>
      <c r="P205" s="32">
        <v>4</v>
      </c>
      <c r="Q205" s="32">
        <v>4</v>
      </c>
      <c r="R205" s="32">
        <v>4</v>
      </c>
      <c r="S205" s="32">
        <v>4</v>
      </c>
      <c r="T205" s="32">
        <v>4</v>
      </c>
      <c r="U205" s="32">
        <v>4</v>
      </c>
      <c r="V205" s="32">
        <v>4</v>
      </c>
      <c r="W205" s="85"/>
    </row>
    <row r="206" spans="1:23" ht="17" customHeight="1" x14ac:dyDescent="0.35">
      <c r="A206" s="130"/>
      <c r="B206" s="123" t="s">
        <v>1756</v>
      </c>
      <c r="C206" s="29" t="s">
        <v>1636</v>
      </c>
      <c r="D206" s="30" t="s">
        <v>1703</v>
      </c>
      <c r="E206" s="31"/>
      <c r="F206" s="31">
        <v>1</v>
      </c>
      <c r="G206" s="32"/>
      <c r="H206" s="32">
        <v>0</v>
      </c>
      <c r="I206" s="31">
        <v>1</v>
      </c>
      <c r="J206" s="32">
        <v>0</v>
      </c>
      <c r="K206" s="31">
        <v>1</v>
      </c>
      <c r="L206" s="32">
        <v>1</v>
      </c>
      <c r="M206" s="32">
        <v>1</v>
      </c>
      <c r="N206" s="32">
        <v>1</v>
      </c>
      <c r="O206" s="32">
        <v>1</v>
      </c>
      <c r="P206" s="32">
        <v>1</v>
      </c>
      <c r="Q206" s="32">
        <v>1</v>
      </c>
      <c r="R206" s="32">
        <v>1</v>
      </c>
      <c r="S206" s="32">
        <v>1</v>
      </c>
      <c r="T206" s="32">
        <v>1</v>
      </c>
      <c r="U206" s="32">
        <v>1</v>
      </c>
      <c r="V206" s="32">
        <v>1</v>
      </c>
      <c r="W206" s="85"/>
    </row>
    <row r="207" spans="1:23" ht="17" customHeight="1" x14ac:dyDescent="0.35">
      <c r="A207" s="130"/>
      <c r="B207" s="123" t="s">
        <v>1756</v>
      </c>
      <c r="C207" s="29" t="s">
        <v>1636</v>
      </c>
      <c r="D207" s="30" t="s">
        <v>1704</v>
      </c>
      <c r="E207" s="31"/>
      <c r="F207" s="31">
        <v>1</v>
      </c>
      <c r="G207" s="32"/>
      <c r="H207" s="32">
        <v>0</v>
      </c>
      <c r="I207" s="31">
        <v>1</v>
      </c>
      <c r="J207" s="32">
        <v>0</v>
      </c>
      <c r="K207" s="31">
        <v>1</v>
      </c>
      <c r="L207" s="32">
        <v>1</v>
      </c>
      <c r="M207" s="32">
        <v>1</v>
      </c>
      <c r="N207" s="32">
        <v>1</v>
      </c>
      <c r="O207" s="32">
        <v>1</v>
      </c>
      <c r="P207" s="32">
        <v>1</v>
      </c>
      <c r="Q207" s="32">
        <v>1</v>
      </c>
      <c r="R207" s="32">
        <v>1</v>
      </c>
      <c r="S207" s="32">
        <v>1</v>
      </c>
      <c r="T207" s="32">
        <v>1</v>
      </c>
      <c r="U207" s="32">
        <v>1</v>
      </c>
      <c r="V207" s="32">
        <v>1</v>
      </c>
      <c r="W207" s="85"/>
    </row>
    <row r="208" spans="1:23" ht="17" customHeight="1" x14ac:dyDescent="0.35">
      <c r="A208" s="130"/>
      <c r="B208" s="123" t="s">
        <v>1756</v>
      </c>
      <c r="C208" s="29" t="s">
        <v>1636</v>
      </c>
      <c r="D208" s="30" t="s">
        <v>1705</v>
      </c>
      <c r="E208" s="31"/>
      <c r="F208" s="31">
        <v>1</v>
      </c>
      <c r="G208" s="32"/>
      <c r="H208" s="32">
        <v>0</v>
      </c>
      <c r="I208" s="31">
        <v>1</v>
      </c>
      <c r="J208" s="32">
        <v>0</v>
      </c>
      <c r="K208" s="31">
        <v>1</v>
      </c>
      <c r="L208" s="32">
        <v>1</v>
      </c>
      <c r="M208" s="32">
        <v>1</v>
      </c>
      <c r="N208" s="32">
        <v>1</v>
      </c>
      <c r="O208" s="32">
        <v>1</v>
      </c>
      <c r="P208" s="32">
        <v>1</v>
      </c>
      <c r="Q208" s="32">
        <v>1</v>
      </c>
      <c r="R208" s="32">
        <v>1</v>
      </c>
      <c r="S208" s="32">
        <v>1</v>
      </c>
      <c r="T208" s="32">
        <v>1</v>
      </c>
      <c r="U208" s="32">
        <v>1</v>
      </c>
      <c r="V208" s="32">
        <v>1</v>
      </c>
      <c r="W208" s="85"/>
    </row>
    <row r="209" spans="1:23" ht="17" customHeight="1" x14ac:dyDescent="0.35">
      <c r="A209" s="130"/>
      <c r="B209" s="123" t="s">
        <v>1756</v>
      </c>
      <c r="C209" s="29" t="s">
        <v>1636</v>
      </c>
      <c r="D209" s="30" t="s">
        <v>1706</v>
      </c>
      <c r="E209" s="31"/>
      <c r="F209" s="31">
        <v>0</v>
      </c>
      <c r="G209" s="32"/>
      <c r="H209" s="32">
        <v>1</v>
      </c>
      <c r="I209" s="31">
        <v>0</v>
      </c>
      <c r="J209" s="32">
        <v>1</v>
      </c>
      <c r="K209" s="31">
        <v>1</v>
      </c>
      <c r="L209" s="32">
        <v>1</v>
      </c>
      <c r="M209" s="32">
        <v>1</v>
      </c>
      <c r="N209" s="32">
        <v>1</v>
      </c>
      <c r="O209" s="32">
        <v>1</v>
      </c>
      <c r="P209" s="32">
        <v>1</v>
      </c>
      <c r="Q209" s="32">
        <v>1</v>
      </c>
      <c r="R209" s="32">
        <v>1</v>
      </c>
      <c r="S209" s="32">
        <v>1</v>
      </c>
      <c r="T209" s="32">
        <v>1</v>
      </c>
      <c r="U209" s="32">
        <v>1</v>
      </c>
      <c r="V209" s="32">
        <v>1</v>
      </c>
      <c r="W209" s="85"/>
    </row>
    <row r="210" spans="1:23" ht="17" customHeight="1" x14ac:dyDescent="0.35">
      <c r="A210" s="130"/>
      <c r="B210" s="123" t="s">
        <v>1756</v>
      </c>
      <c r="C210" s="29" t="s">
        <v>1637</v>
      </c>
      <c r="D210" s="30" t="s">
        <v>1707</v>
      </c>
      <c r="E210" s="31"/>
      <c r="F210" s="31">
        <v>15</v>
      </c>
      <c r="G210" s="32"/>
      <c r="H210" s="32">
        <v>0</v>
      </c>
      <c r="I210" s="31">
        <v>15</v>
      </c>
      <c r="J210" s="32">
        <v>0</v>
      </c>
      <c r="K210" s="31">
        <v>15</v>
      </c>
      <c r="L210" s="32">
        <v>15</v>
      </c>
      <c r="M210" s="32">
        <v>15</v>
      </c>
      <c r="N210" s="32">
        <v>15</v>
      </c>
      <c r="O210" s="32">
        <v>15</v>
      </c>
      <c r="P210" s="32">
        <v>15</v>
      </c>
      <c r="Q210" s="32">
        <v>15</v>
      </c>
      <c r="R210" s="32">
        <v>15</v>
      </c>
      <c r="S210" s="32">
        <v>15</v>
      </c>
      <c r="T210" s="32">
        <v>15</v>
      </c>
      <c r="U210" s="32">
        <v>15</v>
      </c>
      <c r="V210" s="32">
        <v>15</v>
      </c>
      <c r="W210" s="85"/>
    </row>
    <row r="211" spans="1:23" ht="17" customHeight="1" x14ac:dyDescent="0.35">
      <c r="A211" s="130"/>
      <c r="B211" s="123" t="s">
        <v>1756</v>
      </c>
      <c r="C211" s="29" t="s">
        <v>1637</v>
      </c>
      <c r="D211" s="30" t="s">
        <v>33</v>
      </c>
      <c r="E211" s="31"/>
      <c r="F211" s="31">
        <v>1</v>
      </c>
      <c r="G211" s="32"/>
      <c r="H211" s="32">
        <v>0</v>
      </c>
      <c r="I211" s="31">
        <v>1</v>
      </c>
      <c r="J211" s="32">
        <v>0</v>
      </c>
      <c r="K211" s="31">
        <v>1</v>
      </c>
      <c r="L211" s="32">
        <v>1</v>
      </c>
      <c r="M211" s="32">
        <v>1</v>
      </c>
      <c r="N211" s="32">
        <v>1</v>
      </c>
      <c r="O211" s="32">
        <v>1</v>
      </c>
      <c r="P211" s="32">
        <v>1</v>
      </c>
      <c r="Q211" s="32">
        <v>1</v>
      </c>
      <c r="R211" s="32">
        <v>1</v>
      </c>
      <c r="S211" s="32">
        <v>1</v>
      </c>
      <c r="T211" s="32">
        <v>1</v>
      </c>
      <c r="U211" s="32">
        <v>1</v>
      </c>
      <c r="V211" s="32">
        <v>1</v>
      </c>
      <c r="W211" s="85"/>
    </row>
    <row r="212" spans="1:23" ht="17" customHeight="1" x14ac:dyDescent="0.35">
      <c r="A212" s="130"/>
      <c r="B212" s="123" t="s">
        <v>1756</v>
      </c>
      <c r="C212" s="29" t="s">
        <v>1637</v>
      </c>
      <c r="D212" s="30" t="s">
        <v>1708</v>
      </c>
      <c r="E212" s="31"/>
      <c r="F212" s="31">
        <v>0</v>
      </c>
      <c r="G212" s="32"/>
      <c r="H212" s="32">
        <v>1</v>
      </c>
      <c r="I212" s="31">
        <v>0</v>
      </c>
      <c r="J212" s="32">
        <v>1</v>
      </c>
      <c r="K212" s="31">
        <v>1</v>
      </c>
      <c r="L212" s="32">
        <v>1</v>
      </c>
      <c r="M212" s="32">
        <v>1</v>
      </c>
      <c r="N212" s="32">
        <v>1</v>
      </c>
      <c r="O212" s="32">
        <v>1</v>
      </c>
      <c r="P212" s="32">
        <v>1</v>
      </c>
      <c r="Q212" s="32">
        <v>1</v>
      </c>
      <c r="R212" s="32">
        <v>1</v>
      </c>
      <c r="S212" s="32">
        <v>1</v>
      </c>
      <c r="T212" s="32">
        <v>1</v>
      </c>
      <c r="U212" s="32">
        <v>1</v>
      </c>
      <c r="V212" s="32">
        <v>1</v>
      </c>
      <c r="W212" s="85"/>
    </row>
    <row r="213" spans="1:23" ht="17" customHeight="1" x14ac:dyDescent="0.35">
      <c r="A213" s="130"/>
      <c r="B213" s="123" t="s">
        <v>1756</v>
      </c>
      <c r="C213" s="29" t="s">
        <v>1637</v>
      </c>
      <c r="D213" s="30" t="s">
        <v>1709</v>
      </c>
      <c r="E213" s="31"/>
      <c r="F213" s="31">
        <v>0</v>
      </c>
      <c r="G213" s="32"/>
      <c r="H213" s="32">
        <v>1</v>
      </c>
      <c r="I213" s="31">
        <v>0</v>
      </c>
      <c r="J213" s="32">
        <v>1</v>
      </c>
      <c r="K213" s="31">
        <v>1</v>
      </c>
      <c r="L213" s="32">
        <v>1</v>
      </c>
      <c r="M213" s="32">
        <v>1</v>
      </c>
      <c r="N213" s="32">
        <v>1</v>
      </c>
      <c r="O213" s="32">
        <v>1</v>
      </c>
      <c r="P213" s="32">
        <v>1</v>
      </c>
      <c r="Q213" s="32">
        <v>1</v>
      </c>
      <c r="R213" s="32">
        <v>1</v>
      </c>
      <c r="S213" s="32">
        <v>1</v>
      </c>
      <c r="T213" s="32">
        <v>1</v>
      </c>
      <c r="U213" s="32">
        <v>1</v>
      </c>
      <c r="V213" s="32">
        <v>1</v>
      </c>
      <c r="W213" s="85"/>
    </row>
    <row r="214" spans="1:23" ht="17" customHeight="1" x14ac:dyDescent="0.35">
      <c r="A214" s="130"/>
      <c r="B214" s="123" t="s">
        <v>1756</v>
      </c>
      <c r="C214" s="29" t="s">
        <v>1637</v>
      </c>
      <c r="D214" s="30" t="s">
        <v>1710</v>
      </c>
      <c r="E214" s="31"/>
      <c r="F214" s="31">
        <v>0</v>
      </c>
      <c r="G214" s="32"/>
      <c r="H214" s="32">
        <v>1</v>
      </c>
      <c r="I214" s="31">
        <v>0</v>
      </c>
      <c r="J214" s="32">
        <v>1</v>
      </c>
      <c r="K214" s="31">
        <v>0</v>
      </c>
      <c r="L214" s="32">
        <v>0</v>
      </c>
      <c r="M214" s="32">
        <v>0</v>
      </c>
      <c r="N214" s="32">
        <v>0</v>
      </c>
      <c r="O214" s="32">
        <v>1</v>
      </c>
      <c r="P214" s="32">
        <v>1</v>
      </c>
      <c r="Q214" s="32">
        <v>1</v>
      </c>
      <c r="R214" s="32">
        <v>1</v>
      </c>
      <c r="S214" s="32">
        <v>1</v>
      </c>
      <c r="T214" s="32">
        <v>1</v>
      </c>
      <c r="U214" s="32">
        <v>1</v>
      </c>
      <c r="V214" s="32">
        <v>1</v>
      </c>
      <c r="W214" s="85"/>
    </row>
    <row r="215" spans="1:23" ht="17" customHeight="1" x14ac:dyDescent="0.35">
      <c r="A215" s="130"/>
      <c r="B215" s="123" t="s">
        <v>1756</v>
      </c>
      <c r="C215" s="29" t="s">
        <v>1638</v>
      </c>
      <c r="D215" s="30" t="s">
        <v>1711</v>
      </c>
      <c r="E215" s="31"/>
      <c r="F215" s="31">
        <v>1</v>
      </c>
      <c r="G215" s="32"/>
      <c r="H215" s="32">
        <v>0</v>
      </c>
      <c r="I215" s="31">
        <v>1</v>
      </c>
      <c r="J215" s="32">
        <v>0</v>
      </c>
      <c r="K215" s="31">
        <v>1</v>
      </c>
      <c r="L215" s="32">
        <v>1</v>
      </c>
      <c r="M215" s="32">
        <v>1</v>
      </c>
      <c r="N215" s="32">
        <v>1</v>
      </c>
      <c r="O215" s="32">
        <v>1</v>
      </c>
      <c r="P215" s="32">
        <v>1</v>
      </c>
      <c r="Q215" s="32">
        <v>1</v>
      </c>
      <c r="R215" s="32">
        <v>1</v>
      </c>
      <c r="S215" s="32">
        <v>1</v>
      </c>
      <c r="T215" s="32">
        <v>1</v>
      </c>
      <c r="U215" s="32">
        <v>1</v>
      </c>
      <c r="V215" s="32">
        <v>1</v>
      </c>
      <c r="W215" s="85"/>
    </row>
    <row r="216" spans="1:23" ht="17" customHeight="1" x14ac:dyDescent="0.35">
      <c r="A216" s="130"/>
      <c r="B216" s="123" t="s">
        <v>1756</v>
      </c>
      <c r="C216" s="29" t="s">
        <v>1638</v>
      </c>
      <c r="D216" s="30" t="s">
        <v>1712</v>
      </c>
      <c r="E216" s="31"/>
      <c r="F216" s="31">
        <v>1</v>
      </c>
      <c r="G216" s="32"/>
      <c r="H216" s="32">
        <v>0</v>
      </c>
      <c r="I216" s="31">
        <v>1</v>
      </c>
      <c r="J216" s="32">
        <v>0</v>
      </c>
      <c r="K216" s="31">
        <v>1</v>
      </c>
      <c r="L216" s="32">
        <v>1</v>
      </c>
      <c r="M216" s="32">
        <v>1</v>
      </c>
      <c r="N216" s="32">
        <v>1</v>
      </c>
      <c r="O216" s="32">
        <v>1</v>
      </c>
      <c r="P216" s="32">
        <v>1</v>
      </c>
      <c r="Q216" s="32">
        <v>1</v>
      </c>
      <c r="R216" s="32">
        <v>1</v>
      </c>
      <c r="S216" s="32">
        <v>1</v>
      </c>
      <c r="T216" s="32">
        <v>1</v>
      </c>
      <c r="U216" s="32">
        <v>1</v>
      </c>
      <c r="V216" s="32">
        <v>1</v>
      </c>
      <c r="W216" s="85"/>
    </row>
    <row r="217" spans="1:23" ht="17" customHeight="1" x14ac:dyDescent="0.35">
      <c r="A217" s="130"/>
      <c r="B217" s="123" t="s">
        <v>1756</v>
      </c>
      <c r="C217" s="29" t="s">
        <v>1638</v>
      </c>
      <c r="D217" s="30" t="s">
        <v>1713</v>
      </c>
      <c r="E217" s="31"/>
      <c r="F217" s="31">
        <v>1</v>
      </c>
      <c r="G217" s="32"/>
      <c r="H217" s="32">
        <v>0</v>
      </c>
      <c r="I217" s="31">
        <v>1</v>
      </c>
      <c r="J217" s="32">
        <v>0</v>
      </c>
      <c r="K217" s="31">
        <v>1</v>
      </c>
      <c r="L217" s="32">
        <v>1</v>
      </c>
      <c r="M217" s="32">
        <v>1</v>
      </c>
      <c r="N217" s="32">
        <v>1</v>
      </c>
      <c r="O217" s="32">
        <v>1</v>
      </c>
      <c r="P217" s="32">
        <v>1</v>
      </c>
      <c r="Q217" s="32">
        <v>1</v>
      </c>
      <c r="R217" s="32">
        <v>1</v>
      </c>
      <c r="S217" s="32">
        <v>1</v>
      </c>
      <c r="T217" s="32">
        <v>1</v>
      </c>
      <c r="U217" s="32">
        <v>1</v>
      </c>
      <c r="V217" s="32">
        <v>1</v>
      </c>
      <c r="W217" s="85"/>
    </row>
    <row r="218" spans="1:23" ht="17" customHeight="1" x14ac:dyDescent="0.35">
      <c r="A218" s="130"/>
      <c r="B218" s="123" t="s">
        <v>1756</v>
      </c>
      <c r="C218" s="29" t="s">
        <v>1638</v>
      </c>
      <c r="D218" s="30" t="s">
        <v>1714</v>
      </c>
      <c r="E218" s="31"/>
      <c r="F218" s="31">
        <v>1</v>
      </c>
      <c r="G218" s="32"/>
      <c r="H218" s="32">
        <v>0</v>
      </c>
      <c r="I218" s="31">
        <v>1</v>
      </c>
      <c r="J218" s="32">
        <v>0</v>
      </c>
      <c r="K218" s="31">
        <v>1</v>
      </c>
      <c r="L218" s="32">
        <v>1</v>
      </c>
      <c r="M218" s="32">
        <v>1</v>
      </c>
      <c r="N218" s="32">
        <v>1</v>
      </c>
      <c r="O218" s="32">
        <v>1</v>
      </c>
      <c r="P218" s="32">
        <v>1</v>
      </c>
      <c r="Q218" s="32">
        <v>1</v>
      </c>
      <c r="R218" s="32">
        <v>1</v>
      </c>
      <c r="S218" s="32">
        <v>1</v>
      </c>
      <c r="T218" s="32">
        <v>1</v>
      </c>
      <c r="U218" s="32">
        <v>1</v>
      </c>
      <c r="V218" s="32">
        <v>1</v>
      </c>
      <c r="W218" s="85"/>
    </row>
    <row r="219" spans="1:23" ht="17" customHeight="1" x14ac:dyDescent="0.35">
      <c r="A219" s="130"/>
      <c r="B219" s="123" t="s">
        <v>1756</v>
      </c>
      <c r="C219" s="29" t="s">
        <v>1638</v>
      </c>
      <c r="D219" s="30" t="s">
        <v>1715</v>
      </c>
      <c r="E219" s="31"/>
      <c r="F219" s="31">
        <v>1</v>
      </c>
      <c r="G219" s="32"/>
      <c r="H219" s="32">
        <v>0</v>
      </c>
      <c r="I219" s="31">
        <v>1</v>
      </c>
      <c r="J219" s="32">
        <v>0</v>
      </c>
      <c r="K219" s="31">
        <v>1</v>
      </c>
      <c r="L219" s="32">
        <v>1</v>
      </c>
      <c r="M219" s="32">
        <v>1</v>
      </c>
      <c r="N219" s="32">
        <v>1</v>
      </c>
      <c r="O219" s="32">
        <v>1</v>
      </c>
      <c r="P219" s="32">
        <v>1</v>
      </c>
      <c r="Q219" s="32">
        <v>1</v>
      </c>
      <c r="R219" s="32">
        <v>1</v>
      </c>
      <c r="S219" s="32">
        <v>1</v>
      </c>
      <c r="T219" s="32">
        <v>1</v>
      </c>
      <c r="U219" s="32">
        <v>1</v>
      </c>
      <c r="V219" s="32">
        <v>1</v>
      </c>
      <c r="W219" s="85"/>
    </row>
    <row r="220" spans="1:23" ht="17" customHeight="1" x14ac:dyDescent="0.35">
      <c r="A220" s="130"/>
      <c r="B220" s="123" t="s">
        <v>1756</v>
      </c>
      <c r="C220" s="29" t="s">
        <v>1639</v>
      </c>
      <c r="D220" s="30" t="s">
        <v>1716</v>
      </c>
      <c r="E220" s="31"/>
      <c r="F220" s="31">
        <v>2</v>
      </c>
      <c r="G220" s="32"/>
      <c r="H220" s="32">
        <v>3</v>
      </c>
      <c r="I220" s="31">
        <v>2</v>
      </c>
      <c r="J220" s="32">
        <v>3</v>
      </c>
      <c r="K220" s="31">
        <v>5</v>
      </c>
      <c r="L220" s="32">
        <v>5</v>
      </c>
      <c r="M220" s="32">
        <v>5</v>
      </c>
      <c r="N220" s="32">
        <v>5</v>
      </c>
      <c r="O220" s="32">
        <v>5</v>
      </c>
      <c r="P220" s="32">
        <v>5</v>
      </c>
      <c r="Q220" s="32">
        <v>5</v>
      </c>
      <c r="R220" s="32">
        <v>5</v>
      </c>
      <c r="S220" s="32">
        <v>5</v>
      </c>
      <c r="T220" s="32">
        <v>5</v>
      </c>
      <c r="U220" s="32">
        <v>5</v>
      </c>
      <c r="V220" s="32">
        <v>5</v>
      </c>
      <c r="W220" s="85"/>
    </row>
    <row r="221" spans="1:23" ht="17" customHeight="1" x14ac:dyDescent="0.35">
      <c r="A221" s="130"/>
      <c r="B221" s="123" t="s">
        <v>1756</v>
      </c>
      <c r="C221" s="29" t="s">
        <v>1639</v>
      </c>
      <c r="D221" s="30" t="s">
        <v>1717</v>
      </c>
      <c r="E221" s="31"/>
      <c r="F221" s="31">
        <v>1</v>
      </c>
      <c r="G221" s="32"/>
      <c r="H221" s="32">
        <v>0</v>
      </c>
      <c r="I221" s="31">
        <v>1</v>
      </c>
      <c r="J221" s="32">
        <v>0</v>
      </c>
      <c r="K221" s="31">
        <v>1</v>
      </c>
      <c r="L221" s="32">
        <v>1</v>
      </c>
      <c r="M221" s="32">
        <v>1</v>
      </c>
      <c r="N221" s="32">
        <v>1</v>
      </c>
      <c r="O221" s="32">
        <v>1</v>
      </c>
      <c r="P221" s="32">
        <v>1</v>
      </c>
      <c r="Q221" s="32">
        <v>1</v>
      </c>
      <c r="R221" s="32">
        <v>1</v>
      </c>
      <c r="S221" s="32">
        <v>1</v>
      </c>
      <c r="T221" s="32">
        <v>1</v>
      </c>
      <c r="U221" s="32">
        <v>1</v>
      </c>
      <c r="V221" s="32">
        <v>1</v>
      </c>
      <c r="W221" s="85"/>
    </row>
    <row r="222" spans="1:23" ht="17" customHeight="1" x14ac:dyDescent="0.35">
      <c r="A222" s="130"/>
      <c r="B222" s="123" t="s">
        <v>1756</v>
      </c>
      <c r="C222" s="29" t="s">
        <v>1639</v>
      </c>
      <c r="D222" s="30" t="s">
        <v>1718</v>
      </c>
      <c r="E222" s="31"/>
      <c r="F222" s="31">
        <v>1</v>
      </c>
      <c r="G222" s="32"/>
      <c r="H222" s="32">
        <v>0</v>
      </c>
      <c r="I222" s="31">
        <v>1</v>
      </c>
      <c r="J222" s="32">
        <v>0</v>
      </c>
      <c r="K222" s="31">
        <v>1</v>
      </c>
      <c r="L222" s="32">
        <v>1</v>
      </c>
      <c r="M222" s="32">
        <v>1</v>
      </c>
      <c r="N222" s="32">
        <v>1</v>
      </c>
      <c r="O222" s="32">
        <v>1</v>
      </c>
      <c r="P222" s="32">
        <v>1</v>
      </c>
      <c r="Q222" s="32">
        <v>1</v>
      </c>
      <c r="R222" s="32">
        <v>1</v>
      </c>
      <c r="S222" s="32">
        <v>1</v>
      </c>
      <c r="T222" s="32">
        <v>1</v>
      </c>
      <c r="U222" s="32">
        <v>1</v>
      </c>
      <c r="V222" s="32">
        <v>1</v>
      </c>
      <c r="W222" s="85"/>
    </row>
    <row r="223" spans="1:23" ht="17" customHeight="1" x14ac:dyDescent="0.35">
      <c r="A223" s="130"/>
      <c r="B223" s="123" t="s">
        <v>1756</v>
      </c>
      <c r="C223" s="29" t="s">
        <v>1640</v>
      </c>
      <c r="D223" s="30" t="s">
        <v>1719</v>
      </c>
      <c r="E223" s="31"/>
      <c r="F223" s="31">
        <v>0</v>
      </c>
      <c r="G223" s="32"/>
      <c r="H223" s="32">
        <v>0</v>
      </c>
      <c r="I223" s="31">
        <v>0</v>
      </c>
      <c r="J223" s="32">
        <v>0</v>
      </c>
      <c r="K223" s="31">
        <v>0</v>
      </c>
      <c r="L223" s="32">
        <v>0</v>
      </c>
      <c r="M223" s="32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85"/>
    </row>
    <row r="224" spans="1:23" ht="17" customHeight="1" x14ac:dyDescent="0.35">
      <c r="A224" s="130"/>
      <c r="B224" s="123" t="s">
        <v>1756</v>
      </c>
      <c r="C224" s="29" t="s">
        <v>1640</v>
      </c>
      <c r="D224" s="30" t="s">
        <v>1720</v>
      </c>
      <c r="E224" s="31"/>
      <c r="F224" s="31">
        <v>1</v>
      </c>
      <c r="G224" s="32"/>
      <c r="H224" s="32">
        <v>0</v>
      </c>
      <c r="I224" s="31">
        <v>1</v>
      </c>
      <c r="J224" s="32">
        <v>0</v>
      </c>
      <c r="K224" s="31">
        <v>1</v>
      </c>
      <c r="L224" s="32">
        <v>1</v>
      </c>
      <c r="M224" s="32">
        <v>1</v>
      </c>
      <c r="N224" s="32">
        <v>1</v>
      </c>
      <c r="O224" s="32">
        <v>1</v>
      </c>
      <c r="P224" s="32">
        <v>1</v>
      </c>
      <c r="Q224" s="32">
        <v>1</v>
      </c>
      <c r="R224" s="32">
        <v>1</v>
      </c>
      <c r="S224" s="32">
        <v>1</v>
      </c>
      <c r="T224" s="32">
        <v>1</v>
      </c>
      <c r="U224" s="32">
        <v>1</v>
      </c>
      <c r="V224" s="32">
        <v>1</v>
      </c>
      <c r="W224" s="85"/>
    </row>
    <row r="225" spans="1:23" ht="17" customHeight="1" x14ac:dyDescent="0.35">
      <c r="A225" s="130"/>
      <c r="B225" s="123" t="s">
        <v>1756</v>
      </c>
      <c r="C225" s="29" t="s">
        <v>1640</v>
      </c>
      <c r="D225" s="30" t="s">
        <v>1721</v>
      </c>
      <c r="E225" s="31"/>
      <c r="F225" s="31">
        <v>1</v>
      </c>
      <c r="G225" s="32"/>
      <c r="H225" s="32">
        <v>1</v>
      </c>
      <c r="I225" s="31">
        <v>1</v>
      </c>
      <c r="J225" s="32">
        <v>1</v>
      </c>
      <c r="K225" s="31">
        <v>2</v>
      </c>
      <c r="L225" s="32">
        <v>2</v>
      </c>
      <c r="M225" s="32">
        <v>2</v>
      </c>
      <c r="N225" s="32">
        <v>2</v>
      </c>
      <c r="O225" s="32">
        <v>2</v>
      </c>
      <c r="P225" s="32">
        <v>2</v>
      </c>
      <c r="Q225" s="32">
        <v>2</v>
      </c>
      <c r="R225" s="32">
        <v>2</v>
      </c>
      <c r="S225" s="32">
        <v>2</v>
      </c>
      <c r="T225" s="32">
        <v>2</v>
      </c>
      <c r="U225" s="32">
        <v>2</v>
      </c>
      <c r="V225" s="32">
        <v>2</v>
      </c>
      <c r="W225" s="85"/>
    </row>
    <row r="226" spans="1:23" ht="17" customHeight="1" x14ac:dyDescent="0.35">
      <c r="A226" s="130"/>
      <c r="B226" s="123" t="s">
        <v>1756</v>
      </c>
      <c r="C226" s="29" t="s">
        <v>1640</v>
      </c>
      <c r="D226" s="30" t="s">
        <v>1722</v>
      </c>
      <c r="E226" s="31"/>
      <c r="F226" s="31">
        <v>1</v>
      </c>
      <c r="G226" s="32"/>
      <c r="H226" s="32">
        <v>0</v>
      </c>
      <c r="I226" s="31">
        <v>1</v>
      </c>
      <c r="J226" s="32">
        <v>0</v>
      </c>
      <c r="K226" s="31">
        <v>1</v>
      </c>
      <c r="L226" s="32">
        <v>1</v>
      </c>
      <c r="M226" s="32">
        <v>1</v>
      </c>
      <c r="N226" s="32">
        <v>1</v>
      </c>
      <c r="O226" s="32">
        <v>1</v>
      </c>
      <c r="P226" s="32">
        <v>1</v>
      </c>
      <c r="Q226" s="32">
        <v>1</v>
      </c>
      <c r="R226" s="32">
        <v>1</v>
      </c>
      <c r="S226" s="32">
        <v>1</v>
      </c>
      <c r="T226" s="32">
        <v>1</v>
      </c>
      <c r="U226" s="32">
        <v>1</v>
      </c>
      <c r="V226" s="32">
        <v>1</v>
      </c>
      <c r="W226" s="85"/>
    </row>
    <row r="227" spans="1:23" ht="17" customHeight="1" x14ac:dyDescent="0.35">
      <c r="A227" s="130"/>
      <c r="B227" s="123" t="s">
        <v>1756</v>
      </c>
      <c r="C227" s="29" t="s">
        <v>1640</v>
      </c>
      <c r="D227" s="30" t="s">
        <v>1723</v>
      </c>
      <c r="E227" s="31"/>
      <c r="F227" s="31">
        <v>1</v>
      </c>
      <c r="G227" s="32"/>
      <c r="H227" s="32">
        <v>0</v>
      </c>
      <c r="I227" s="31">
        <v>1</v>
      </c>
      <c r="J227" s="32">
        <v>0</v>
      </c>
      <c r="K227" s="31">
        <v>1</v>
      </c>
      <c r="L227" s="32">
        <v>1</v>
      </c>
      <c r="M227" s="32">
        <v>1</v>
      </c>
      <c r="N227" s="32">
        <v>1</v>
      </c>
      <c r="O227" s="32">
        <v>1</v>
      </c>
      <c r="P227" s="32">
        <v>1</v>
      </c>
      <c r="Q227" s="32">
        <v>1</v>
      </c>
      <c r="R227" s="32">
        <v>1</v>
      </c>
      <c r="S227" s="32">
        <v>1</v>
      </c>
      <c r="T227" s="32">
        <v>1</v>
      </c>
      <c r="U227" s="32">
        <v>1</v>
      </c>
      <c r="V227" s="32">
        <v>1</v>
      </c>
      <c r="W227" s="85"/>
    </row>
    <row r="228" spans="1:23" ht="17" customHeight="1" x14ac:dyDescent="0.35">
      <c r="A228" s="130"/>
      <c r="B228" s="123" t="s">
        <v>1756</v>
      </c>
      <c r="C228" s="29" t="s">
        <v>1641</v>
      </c>
      <c r="D228" s="30" t="s">
        <v>1724</v>
      </c>
      <c r="E228" s="31"/>
      <c r="F228" s="31">
        <v>1</v>
      </c>
      <c r="G228" s="32"/>
      <c r="H228" s="32">
        <v>1</v>
      </c>
      <c r="I228" s="31">
        <v>1</v>
      </c>
      <c r="J228" s="32">
        <v>1</v>
      </c>
      <c r="K228" s="31">
        <v>2</v>
      </c>
      <c r="L228" s="32">
        <v>2</v>
      </c>
      <c r="M228" s="32">
        <v>2</v>
      </c>
      <c r="N228" s="32">
        <v>2</v>
      </c>
      <c r="O228" s="32">
        <v>2</v>
      </c>
      <c r="P228" s="32">
        <v>2</v>
      </c>
      <c r="Q228" s="32">
        <v>2</v>
      </c>
      <c r="R228" s="32">
        <v>2</v>
      </c>
      <c r="S228" s="32">
        <v>2</v>
      </c>
      <c r="T228" s="32">
        <v>2</v>
      </c>
      <c r="U228" s="32">
        <v>2</v>
      </c>
      <c r="V228" s="32">
        <v>2</v>
      </c>
      <c r="W228" s="85"/>
    </row>
    <row r="229" spans="1:23" ht="17" customHeight="1" x14ac:dyDescent="0.35">
      <c r="A229" s="130"/>
      <c r="B229" s="123" t="s">
        <v>1756</v>
      </c>
      <c r="C229" s="29" t="s">
        <v>1641</v>
      </c>
      <c r="D229" s="30" t="s">
        <v>1725</v>
      </c>
      <c r="E229" s="31"/>
      <c r="F229" s="31">
        <v>1</v>
      </c>
      <c r="G229" s="32"/>
      <c r="H229" s="32">
        <v>0</v>
      </c>
      <c r="I229" s="31">
        <v>1</v>
      </c>
      <c r="J229" s="32">
        <v>0</v>
      </c>
      <c r="K229" s="31">
        <v>1</v>
      </c>
      <c r="L229" s="32">
        <v>1</v>
      </c>
      <c r="M229" s="32">
        <v>1</v>
      </c>
      <c r="N229" s="32">
        <v>1</v>
      </c>
      <c r="O229" s="32">
        <v>1</v>
      </c>
      <c r="P229" s="32">
        <v>1</v>
      </c>
      <c r="Q229" s="32">
        <v>1</v>
      </c>
      <c r="R229" s="32">
        <v>1</v>
      </c>
      <c r="S229" s="32">
        <v>1</v>
      </c>
      <c r="T229" s="32">
        <v>1</v>
      </c>
      <c r="U229" s="32">
        <v>1</v>
      </c>
      <c r="V229" s="32">
        <v>1</v>
      </c>
      <c r="W229" s="85"/>
    </row>
    <row r="230" spans="1:23" ht="17" customHeight="1" x14ac:dyDescent="0.35">
      <c r="A230" s="130"/>
      <c r="B230" s="123" t="s">
        <v>1756</v>
      </c>
      <c r="C230" s="29" t="s">
        <v>1641</v>
      </c>
      <c r="D230" s="30" t="s">
        <v>1726</v>
      </c>
      <c r="E230" s="31"/>
      <c r="F230" s="31">
        <v>1</v>
      </c>
      <c r="G230" s="32"/>
      <c r="H230" s="32">
        <v>0</v>
      </c>
      <c r="I230" s="31">
        <v>1</v>
      </c>
      <c r="J230" s="32">
        <v>0</v>
      </c>
      <c r="K230" s="31">
        <v>1</v>
      </c>
      <c r="L230" s="32">
        <v>1</v>
      </c>
      <c r="M230" s="32">
        <v>1</v>
      </c>
      <c r="N230" s="32">
        <v>1</v>
      </c>
      <c r="O230" s="32">
        <v>1</v>
      </c>
      <c r="P230" s="32">
        <v>1</v>
      </c>
      <c r="Q230" s="32">
        <v>1</v>
      </c>
      <c r="R230" s="32">
        <v>1</v>
      </c>
      <c r="S230" s="32">
        <v>1</v>
      </c>
      <c r="T230" s="32">
        <v>1</v>
      </c>
      <c r="U230" s="32">
        <v>1</v>
      </c>
      <c r="V230" s="32">
        <v>1</v>
      </c>
      <c r="W230" s="85"/>
    </row>
    <row r="231" spans="1:23" ht="17" customHeight="1" x14ac:dyDescent="0.35">
      <c r="A231" s="130"/>
      <c r="B231" s="123" t="s">
        <v>1756</v>
      </c>
      <c r="C231" s="29" t="s">
        <v>1641</v>
      </c>
      <c r="D231" s="30" t="s">
        <v>1727</v>
      </c>
      <c r="E231" s="31"/>
      <c r="F231" s="31">
        <v>1</v>
      </c>
      <c r="G231" s="32"/>
      <c r="H231" s="32">
        <v>0</v>
      </c>
      <c r="I231" s="31">
        <v>1</v>
      </c>
      <c r="J231" s="32">
        <v>0</v>
      </c>
      <c r="K231" s="31">
        <v>1</v>
      </c>
      <c r="L231" s="32">
        <v>1</v>
      </c>
      <c r="M231" s="32">
        <v>1</v>
      </c>
      <c r="N231" s="32">
        <v>1</v>
      </c>
      <c r="O231" s="32">
        <v>1</v>
      </c>
      <c r="P231" s="32">
        <v>1</v>
      </c>
      <c r="Q231" s="32">
        <v>1</v>
      </c>
      <c r="R231" s="32">
        <v>1</v>
      </c>
      <c r="S231" s="32">
        <v>1</v>
      </c>
      <c r="T231" s="32">
        <v>1</v>
      </c>
      <c r="U231" s="32">
        <v>1</v>
      </c>
      <c r="V231" s="32">
        <v>1</v>
      </c>
      <c r="W231" s="85"/>
    </row>
    <row r="232" spans="1:23" ht="17" customHeight="1" x14ac:dyDescent="0.35">
      <c r="A232" s="130"/>
      <c r="B232" s="123" t="s">
        <v>1756</v>
      </c>
      <c r="C232" s="29" t="s">
        <v>1641</v>
      </c>
      <c r="D232" s="30" t="s">
        <v>1728</v>
      </c>
      <c r="E232" s="31"/>
      <c r="F232" s="31">
        <v>1</v>
      </c>
      <c r="G232" s="32"/>
      <c r="H232" s="32">
        <v>0</v>
      </c>
      <c r="I232" s="31">
        <v>1</v>
      </c>
      <c r="J232" s="32">
        <v>0</v>
      </c>
      <c r="K232" s="31">
        <v>1</v>
      </c>
      <c r="L232" s="32">
        <v>1</v>
      </c>
      <c r="M232" s="32">
        <v>1</v>
      </c>
      <c r="N232" s="32">
        <v>1</v>
      </c>
      <c r="O232" s="32">
        <v>1</v>
      </c>
      <c r="P232" s="32">
        <v>1</v>
      </c>
      <c r="Q232" s="32">
        <v>1</v>
      </c>
      <c r="R232" s="32">
        <v>1</v>
      </c>
      <c r="S232" s="32">
        <v>1</v>
      </c>
      <c r="T232" s="32">
        <v>1</v>
      </c>
      <c r="U232" s="32">
        <v>1</v>
      </c>
      <c r="V232" s="32">
        <v>1</v>
      </c>
      <c r="W232" s="85"/>
    </row>
    <row r="233" spans="1:23" ht="17" customHeight="1" x14ac:dyDescent="0.35">
      <c r="A233" s="130"/>
      <c r="B233" s="123" t="s">
        <v>1756</v>
      </c>
      <c r="C233" s="29" t="s">
        <v>1641</v>
      </c>
      <c r="D233" s="30" t="s">
        <v>1729</v>
      </c>
      <c r="E233" s="31"/>
      <c r="F233" s="31">
        <v>0</v>
      </c>
      <c r="G233" s="32"/>
      <c r="H233" s="32">
        <v>0</v>
      </c>
      <c r="I233" s="31">
        <v>0</v>
      </c>
      <c r="J233" s="32">
        <v>0</v>
      </c>
      <c r="K233" s="31">
        <v>0</v>
      </c>
      <c r="L233" s="32">
        <v>0</v>
      </c>
      <c r="M233" s="32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85"/>
    </row>
    <row r="234" spans="1:23" ht="17" customHeight="1" x14ac:dyDescent="0.35">
      <c r="A234" s="130"/>
      <c r="B234" s="123" t="s">
        <v>1756</v>
      </c>
      <c r="C234" s="29" t="s">
        <v>1641</v>
      </c>
      <c r="D234" s="30" t="s">
        <v>1730</v>
      </c>
      <c r="E234" s="31"/>
      <c r="F234" s="31">
        <v>0</v>
      </c>
      <c r="G234" s="32"/>
      <c r="H234" s="32">
        <v>0</v>
      </c>
      <c r="I234" s="31">
        <v>0</v>
      </c>
      <c r="J234" s="32">
        <v>0</v>
      </c>
      <c r="K234" s="31">
        <v>0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0</v>
      </c>
      <c r="U234" s="32">
        <v>0</v>
      </c>
      <c r="V234" s="32">
        <v>0</v>
      </c>
      <c r="W234" s="85"/>
    </row>
    <row r="235" spans="1:23" ht="17" customHeight="1" x14ac:dyDescent="0.35">
      <c r="A235" s="130"/>
      <c r="B235" s="123" t="s">
        <v>1756</v>
      </c>
      <c r="C235" s="29" t="s">
        <v>1641</v>
      </c>
      <c r="D235" s="30" t="s">
        <v>1731</v>
      </c>
      <c r="E235" s="31"/>
      <c r="F235" s="31">
        <v>0</v>
      </c>
      <c r="G235" s="32"/>
      <c r="H235" s="32">
        <v>1</v>
      </c>
      <c r="I235" s="31">
        <v>0</v>
      </c>
      <c r="J235" s="32">
        <v>1</v>
      </c>
      <c r="K235" s="31">
        <v>1</v>
      </c>
      <c r="L235" s="32">
        <v>1</v>
      </c>
      <c r="M235" s="32">
        <v>1</v>
      </c>
      <c r="N235" s="32">
        <v>1</v>
      </c>
      <c r="O235" s="32">
        <v>1</v>
      </c>
      <c r="P235" s="32">
        <v>1</v>
      </c>
      <c r="Q235" s="32">
        <v>1</v>
      </c>
      <c r="R235" s="32">
        <v>1</v>
      </c>
      <c r="S235" s="32">
        <v>1</v>
      </c>
      <c r="T235" s="32">
        <v>1</v>
      </c>
      <c r="U235" s="32">
        <v>1</v>
      </c>
      <c r="V235" s="32">
        <v>1</v>
      </c>
      <c r="W235" s="85"/>
    </row>
    <row r="236" spans="1:23" ht="17" customHeight="1" x14ac:dyDescent="0.35">
      <c r="A236" s="130"/>
      <c r="B236" s="123" t="s">
        <v>1756</v>
      </c>
      <c r="C236" s="29" t="s">
        <v>1641</v>
      </c>
      <c r="D236" s="30" t="s">
        <v>1732</v>
      </c>
      <c r="E236" s="31"/>
      <c r="F236" s="31">
        <v>0</v>
      </c>
      <c r="G236" s="32"/>
      <c r="H236" s="32">
        <v>1</v>
      </c>
      <c r="I236" s="31">
        <v>0</v>
      </c>
      <c r="J236" s="32">
        <v>1</v>
      </c>
      <c r="K236" s="31">
        <v>1</v>
      </c>
      <c r="L236" s="32">
        <v>1</v>
      </c>
      <c r="M236" s="32">
        <v>1</v>
      </c>
      <c r="N236" s="32">
        <v>1</v>
      </c>
      <c r="O236" s="32">
        <v>1</v>
      </c>
      <c r="P236" s="32">
        <v>1</v>
      </c>
      <c r="Q236" s="32">
        <v>1</v>
      </c>
      <c r="R236" s="32">
        <v>1</v>
      </c>
      <c r="S236" s="32">
        <v>1</v>
      </c>
      <c r="T236" s="32">
        <v>1</v>
      </c>
      <c r="U236" s="32">
        <v>1</v>
      </c>
      <c r="V236" s="32">
        <v>1</v>
      </c>
      <c r="W236" s="85"/>
    </row>
    <row r="237" spans="1:23" ht="17" customHeight="1" x14ac:dyDescent="0.35">
      <c r="A237" s="130"/>
      <c r="B237" s="123" t="s">
        <v>1756</v>
      </c>
      <c r="C237" s="29" t="s">
        <v>1642</v>
      </c>
      <c r="D237" s="30" t="s">
        <v>1733</v>
      </c>
      <c r="E237" s="31"/>
      <c r="F237" s="31">
        <v>38</v>
      </c>
      <c r="G237" s="32"/>
      <c r="H237" s="32">
        <v>0</v>
      </c>
      <c r="I237" s="31">
        <v>38</v>
      </c>
      <c r="J237" s="32">
        <v>0</v>
      </c>
      <c r="K237" s="31">
        <v>38</v>
      </c>
      <c r="L237" s="32">
        <v>38</v>
      </c>
      <c r="M237" s="32">
        <v>38</v>
      </c>
      <c r="N237" s="32">
        <v>38</v>
      </c>
      <c r="O237" s="32">
        <v>37</v>
      </c>
      <c r="P237" s="32">
        <v>37</v>
      </c>
      <c r="Q237" s="32">
        <v>37</v>
      </c>
      <c r="R237" s="32">
        <v>37</v>
      </c>
      <c r="S237" s="32">
        <v>37</v>
      </c>
      <c r="T237" s="32">
        <v>37</v>
      </c>
      <c r="U237" s="32">
        <v>37</v>
      </c>
      <c r="V237" s="32">
        <v>37</v>
      </c>
      <c r="W237" s="85"/>
    </row>
    <row r="238" spans="1:23" ht="17" customHeight="1" x14ac:dyDescent="0.35">
      <c r="A238" s="130"/>
      <c r="B238" s="123" t="s">
        <v>1756</v>
      </c>
      <c r="C238" s="29" t="s">
        <v>1642</v>
      </c>
      <c r="D238" s="30" t="s">
        <v>1734</v>
      </c>
      <c r="E238" s="31"/>
      <c r="F238" s="31">
        <v>94</v>
      </c>
      <c r="G238" s="32"/>
      <c r="H238" s="32">
        <v>34</v>
      </c>
      <c r="I238" s="31">
        <v>94</v>
      </c>
      <c r="J238" s="32">
        <v>34</v>
      </c>
      <c r="K238" s="31">
        <v>98</v>
      </c>
      <c r="L238" s="32">
        <v>99</v>
      </c>
      <c r="M238" s="32">
        <v>100</v>
      </c>
      <c r="N238" s="32">
        <v>107</v>
      </c>
      <c r="O238" s="32">
        <v>115</v>
      </c>
      <c r="P238" s="32">
        <v>122</v>
      </c>
      <c r="Q238" s="32">
        <v>123</v>
      </c>
      <c r="R238" s="32">
        <v>124</v>
      </c>
      <c r="S238" s="32">
        <v>125</v>
      </c>
      <c r="T238" s="32">
        <v>126</v>
      </c>
      <c r="U238" s="32">
        <v>127</v>
      </c>
      <c r="V238" s="32">
        <v>128</v>
      </c>
      <c r="W238" s="85"/>
    </row>
    <row r="239" spans="1:23" ht="17" customHeight="1" x14ac:dyDescent="0.35">
      <c r="A239" s="130"/>
      <c r="B239" s="123" t="s">
        <v>1756</v>
      </c>
      <c r="C239" s="29" t="s">
        <v>1642</v>
      </c>
      <c r="D239" s="30" t="s">
        <v>1735</v>
      </c>
      <c r="E239" s="31"/>
      <c r="F239" s="31">
        <v>18</v>
      </c>
      <c r="G239" s="32"/>
      <c r="H239" s="32">
        <v>1</v>
      </c>
      <c r="I239" s="31">
        <v>18</v>
      </c>
      <c r="J239" s="32">
        <v>1</v>
      </c>
      <c r="K239" s="31">
        <v>18</v>
      </c>
      <c r="L239" s="32">
        <v>18</v>
      </c>
      <c r="M239" s="32">
        <v>18</v>
      </c>
      <c r="N239" s="32">
        <v>18</v>
      </c>
      <c r="O239" s="32">
        <v>19</v>
      </c>
      <c r="P239" s="32">
        <v>19</v>
      </c>
      <c r="Q239" s="32">
        <v>19</v>
      </c>
      <c r="R239" s="32">
        <v>19</v>
      </c>
      <c r="S239" s="32">
        <v>19</v>
      </c>
      <c r="T239" s="32">
        <v>19</v>
      </c>
      <c r="U239" s="32">
        <v>19</v>
      </c>
      <c r="V239" s="32">
        <v>19</v>
      </c>
      <c r="W239" s="85"/>
    </row>
    <row r="240" spans="1:23" ht="17" customHeight="1" x14ac:dyDescent="0.35">
      <c r="A240" s="130"/>
      <c r="B240" s="123" t="s">
        <v>1756</v>
      </c>
      <c r="C240" s="29" t="s">
        <v>1642</v>
      </c>
      <c r="D240" s="30" t="s">
        <v>1736</v>
      </c>
      <c r="E240" s="31"/>
      <c r="F240" s="31">
        <v>255</v>
      </c>
      <c r="G240" s="32"/>
      <c r="H240" s="32">
        <v>0</v>
      </c>
      <c r="I240" s="31">
        <v>255</v>
      </c>
      <c r="J240" s="32">
        <v>0</v>
      </c>
      <c r="K240" s="31">
        <v>249</v>
      </c>
      <c r="L240" s="32">
        <v>249</v>
      </c>
      <c r="M240" s="32">
        <v>250</v>
      </c>
      <c r="N240" s="32">
        <v>251</v>
      </c>
      <c r="O240" s="32">
        <v>252</v>
      </c>
      <c r="P240" s="32">
        <v>253</v>
      </c>
      <c r="Q240" s="32">
        <v>253</v>
      </c>
      <c r="R240" s="32">
        <v>253</v>
      </c>
      <c r="S240" s="32">
        <v>254</v>
      </c>
      <c r="T240" s="32">
        <v>254</v>
      </c>
      <c r="U240" s="32">
        <v>254</v>
      </c>
      <c r="V240" s="32">
        <v>254</v>
      </c>
      <c r="W240" s="85"/>
    </row>
    <row r="241" spans="1:23" ht="17" customHeight="1" x14ac:dyDescent="0.35">
      <c r="A241" s="130"/>
      <c r="B241" s="123" t="s">
        <v>1756</v>
      </c>
      <c r="C241" s="29" t="s">
        <v>1642</v>
      </c>
      <c r="D241" s="30" t="s">
        <v>1737</v>
      </c>
      <c r="E241" s="31"/>
      <c r="F241" s="31">
        <v>183</v>
      </c>
      <c r="G241" s="32"/>
      <c r="H241" s="32">
        <v>14</v>
      </c>
      <c r="I241" s="31">
        <v>183</v>
      </c>
      <c r="J241" s="32">
        <v>14</v>
      </c>
      <c r="K241" s="31">
        <v>187</v>
      </c>
      <c r="L241" s="32">
        <v>188</v>
      </c>
      <c r="M241" s="32">
        <v>188</v>
      </c>
      <c r="N241" s="32">
        <v>190</v>
      </c>
      <c r="O241" s="32">
        <v>193</v>
      </c>
      <c r="P241" s="32">
        <v>195</v>
      </c>
      <c r="Q241" s="32">
        <v>195</v>
      </c>
      <c r="R241" s="32">
        <v>196</v>
      </c>
      <c r="S241" s="32">
        <v>196</v>
      </c>
      <c r="T241" s="32">
        <v>196</v>
      </c>
      <c r="U241" s="32">
        <v>197</v>
      </c>
      <c r="V241" s="32">
        <v>197</v>
      </c>
      <c r="W241" s="85"/>
    </row>
    <row r="242" spans="1:23" ht="17" customHeight="1" x14ac:dyDescent="0.35">
      <c r="A242" s="130"/>
      <c r="B242" s="123" t="s">
        <v>1756</v>
      </c>
      <c r="C242" s="29" t="s">
        <v>1643</v>
      </c>
      <c r="D242" s="30" t="s">
        <v>33</v>
      </c>
      <c r="E242" s="31"/>
      <c r="F242" s="31">
        <v>1</v>
      </c>
      <c r="G242" s="32"/>
      <c r="H242" s="32">
        <v>0</v>
      </c>
      <c r="I242" s="31">
        <v>1</v>
      </c>
      <c r="J242" s="32">
        <v>0</v>
      </c>
      <c r="K242" s="31">
        <v>1</v>
      </c>
      <c r="L242" s="32">
        <v>1</v>
      </c>
      <c r="M242" s="32">
        <v>1</v>
      </c>
      <c r="N242" s="32">
        <v>1</v>
      </c>
      <c r="O242" s="32">
        <v>1</v>
      </c>
      <c r="P242" s="32">
        <v>1</v>
      </c>
      <c r="Q242" s="32">
        <v>1</v>
      </c>
      <c r="R242" s="32">
        <v>1</v>
      </c>
      <c r="S242" s="32">
        <v>1</v>
      </c>
      <c r="T242" s="32">
        <v>1</v>
      </c>
      <c r="U242" s="32">
        <v>1</v>
      </c>
      <c r="V242" s="32">
        <v>1</v>
      </c>
      <c r="W242" s="85"/>
    </row>
    <row r="243" spans="1:23" ht="17" customHeight="1" x14ac:dyDescent="0.35">
      <c r="A243" s="130"/>
      <c r="B243" s="123" t="s">
        <v>1756</v>
      </c>
      <c r="C243" s="29" t="s">
        <v>1643</v>
      </c>
      <c r="D243" s="30" t="s">
        <v>1738</v>
      </c>
      <c r="E243" s="31"/>
      <c r="F243" s="31">
        <v>1</v>
      </c>
      <c r="G243" s="32"/>
      <c r="H243" s="32">
        <v>0</v>
      </c>
      <c r="I243" s="31">
        <v>1</v>
      </c>
      <c r="J243" s="32">
        <v>0</v>
      </c>
      <c r="K243" s="31">
        <v>1</v>
      </c>
      <c r="L243" s="32">
        <v>1</v>
      </c>
      <c r="M243" s="32">
        <v>1</v>
      </c>
      <c r="N243" s="32">
        <v>1</v>
      </c>
      <c r="O243" s="32">
        <v>1</v>
      </c>
      <c r="P243" s="32">
        <v>1</v>
      </c>
      <c r="Q243" s="32">
        <v>1</v>
      </c>
      <c r="R243" s="32">
        <v>1</v>
      </c>
      <c r="S243" s="32">
        <v>1</v>
      </c>
      <c r="T243" s="32">
        <v>1</v>
      </c>
      <c r="U243" s="32">
        <v>1</v>
      </c>
      <c r="V243" s="32">
        <v>1</v>
      </c>
      <c r="W243" s="85"/>
    </row>
    <row r="244" spans="1:23" ht="17" customHeight="1" x14ac:dyDescent="0.35">
      <c r="A244" s="130"/>
      <c r="B244" s="123" t="s">
        <v>1756</v>
      </c>
      <c r="C244" s="29" t="s">
        <v>1643</v>
      </c>
      <c r="D244" s="30" t="s">
        <v>1739</v>
      </c>
      <c r="E244" s="31"/>
      <c r="F244" s="31">
        <v>3</v>
      </c>
      <c r="G244" s="32"/>
      <c r="H244" s="32">
        <v>0</v>
      </c>
      <c r="I244" s="31">
        <v>3</v>
      </c>
      <c r="J244" s="32">
        <v>0</v>
      </c>
      <c r="K244" s="31">
        <v>3</v>
      </c>
      <c r="L244" s="32">
        <v>3</v>
      </c>
      <c r="M244" s="32">
        <v>3</v>
      </c>
      <c r="N244" s="32">
        <v>3</v>
      </c>
      <c r="O244" s="32">
        <v>3</v>
      </c>
      <c r="P244" s="32">
        <v>3</v>
      </c>
      <c r="Q244" s="32">
        <v>3</v>
      </c>
      <c r="R244" s="32">
        <v>3</v>
      </c>
      <c r="S244" s="32">
        <v>3</v>
      </c>
      <c r="T244" s="32">
        <v>3</v>
      </c>
      <c r="U244" s="32">
        <v>3</v>
      </c>
      <c r="V244" s="32">
        <v>3</v>
      </c>
      <c r="W244" s="85"/>
    </row>
    <row r="245" spans="1:23" ht="17" customHeight="1" x14ac:dyDescent="0.35">
      <c r="A245" s="130"/>
      <c r="B245" s="123" t="s">
        <v>1756</v>
      </c>
      <c r="C245" s="29" t="s">
        <v>1643</v>
      </c>
      <c r="D245" s="30" t="s">
        <v>1740</v>
      </c>
      <c r="E245" s="31"/>
      <c r="F245" s="31">
        <v>5</v>
      </c>
      <c r="G245" s="32"/>
      <c r="H245" s="32">
        <v>0</v>
      </c>
      <c r="I245" s="31">
        <v>5</v>
      </c>
      <c r="J245" s="32">
        <v>0</v>
      </c>
      <c r="K245" s="31">
        <v>5</v>
      </c>
      <c r="L245" s="32">
        <v>5</v>
      </c>
      <c r="M245" s="32">
        <v>5</v>
      </c>
      <c r="N245" s="32">
        <v>5</v>
      </c>
      <c r="O245" s="32">
        <v>5</v>
      </c>
      <c r="P245" s="32">
        <v>5</v>
      </c>
      <c r="Q245" s="32">
        <v>5</v>
      </c>
      <c r="R245" s="32">
        <v>5</v>
      </c>
      <c r="S245" s="32">
        <v>5</v>
      </c>
      <c r="T245" s="32">
        <v>5</v>
      </c>
      <c r="U245" s="32">
        <v>5</v>
      </c>
      <c r="V245" s="32">
        <v>5</v>
      </c>
      <c r="W245" s="85"/>
    </row>
    <row r="246" spans="1:23" ht="17" customHeight="1" x14ac:dyDescent="0.35">
      <c r="A246" s="130"/>
      <c r="B246" s="123" t="s">
        <v>1756</v>
      </c>
      <c r="C246" s="29" t="s">
        <v>1643</v>
      </c>
      <c r="D246" s="30" t="s">
        <v>1741</v>
      </c>
      <c r="E246" s="31"/>
      <c r="F246" s="31">
        <v>3</v>
      </c>
      <c r="G246" s="32"/>
      <c r="H246" s="32">
        <v>0</v>
      </c>
      <c r="I246" s="31">
        <v>3</v>
      </c>
      <c r="J246" s="32">
        <v>0</v>
      </c>
      <c r="K246" s="31">
        <v>3</v>
      </c>
      <c r="L246" s="32">
        <v>3</v>
      </c>
      <c r="M246" s="32">
        <v>3</v>
      </c>
      <c r="N246" s="32">
        <v>3</v>
      </c>
      <c r="O246" s="32">
        <v>3</v>
      </c>
      <c r="P246" s="32">
        <v>3</v>
      </c>
      <c r="Q246" s="32">
        <v>3</v>
      </c>
      <c r="R246" s="32">
        <v>3</v>
      </c>
      <c r="S246" s="32">
        <v>3</v>
      </c>
      <c r="T246" s="32">
        <v>3</v>
      </c>
      <c r="U246" s="32">
        <v>3</v>
      </c>
      <c r="V246" s="32">
        <v>3</v>
      </c>
      <c r="W246" s="85"/>
    </row>
    <row r="247" spans="1:23" ht="17" customHeight="1" x14ac:dyDescent="0.35">
      <c r="A247" s="130"/>
      <c r="B247" s="123" t="s">
        <v>1756</v>
      </c>
      <c r="C247" s="29" t="s">
        <v>1643</v>
      </c>
      <c r="D247" s="30" t="s">
        <v>1742</v>
      </c>
      <c r="E247" s="31"/>
      <c r="F247" s="31">
        <v>5</v>
      </c>
      <c r="G247" s="32"/>
      <c r="H247" s="32">
        <v>1</v>
      </c>
      <c r="I247" s="31">
        <v>5</v>
      </c>
      <c r="J247" s="32">
        <v>1</v>
      </c>
      <c r="K247" s="31">
        <v>5</v>
      </c>
      <c r="L247" s="32">
        <v>5</v>
      </c>
      <c r="M247" s="32">
        <v>5</v>
      </c>
      <c r="N247" s="32">
        <v>5</v>
      </c>
      <c r="O247" s="32">
        <v>5</v>
      </c>
      <c r="P247" s="32">
        <v>5</v>
      </c>
      <c r="Q247" s="32">
        <v>5</v>
      </c>
      <c r="R247" s="32">
        <v>6</v>
      </c>
      <c r="S247" s="32">
        <v>6</v>
      </c>
      <c r="T247" s="32">
        <v>6</v>
      </c>
      <c r="U247" s="32">
        <v>6</v>
      </c>
      <c r="V247" s="32">
        <v>6</v>
      </c>
      <c r="W247" s="85"/>
    </row>
    <row r="248" spans="1:23" ht="17" customHeight="1" x14ac:dyDescent="0.35">
      <c r="A248" s="130"/>
      <c r="B248" s="123" t="s">
        <v>1756</v>
      </c>
      <c r="C248" s="29" t="s">
        <v>1644</v>
      </c>
      <c r="D248" s="30" t="s">
        <v>1743</v>
      </c>
      <c r="E248" s="31"/>
      <c r="F248" s="31">
        <v>36</v>
      </c>
      <c r="G248" s="32"/>
      <c r="H248" s="32">
        <v>7</v>
      </c>
      <c r="I248" s="31">
        <v>36</v>
      </c>
      <c r="J248" s="32">
        <v>7</v>
      </c>
      <c r="K248" s="31">
        <v>39</v>
      </c>
      <c r="L248" s="32">
        <v>40</v>
      </c>
      <c r="M248" s="32">
        <v>40</v>
      </c>
      <c r="N248" s="32">
        <v>40</v>
      </c>
      <c r="O248" s="32">
        <v>41</v>
      </c>
      <c r="P248" s="32">
        <v>41</v>
      </c>
      <c r="Q248" s="32">
        <v>41</v>
      </c>
      <c r="R248" s="32">
        <v>42</v>
      </c>
      <c r="S248" s="32">
        <v>42</v>
      </c>
      <c r="T248" s="32">
        <v>42</v>
      </c>
      <c r="U248" s="32">
        <v>43</v>
      </c>
      <c r="V248" s="32">
        <v>43</v>
      </c>
      <c r="W248" s="85"/>
    </row>
    <row r="249" spans="1:23" ht="17" customHeight="1" x14ac:dyDescent="0.35">
      <c r="A249" s="130"/>
      <c r="B249" s="123" t="s">
        <v>1756</v>
      </c>
      <c r="C249" s="29" t="s">
        <v>1644</v>
      </c>
      <c r="D249" s="30" t="s">
        <v>1744</v>
      </c>
      <c r="E249" s="31"/>
      <c r="F249" s="31">
        <v>12</v>
      </c>
      <c r="G249" s="32"/>
      <c r="H249" s="32">
        <v>1</v>
      </c>
      <c r="I249" s="31">
        <v>12</v>
      </c>
      <c r="J249" s="32">
        <v>1</v>
      </c>
      <c r="K249" s="31">
        <v>13</v>
      </c>
      <c r="L249" s="32">
        <v>13</v>
      </c>
      <c r="M249" s="32">
        <v>13</v>
      </c>
      <c r="N249" s="32">
        <v>13</v>
      </c>
      <c r="O249" s="32">
        <v>13</v>
      </c>
      <c r="P249" s="32">
        <v>13</v>
      </c>
      <c r="Q249" s="32">
        <v>13</v>
      </c>
      <c r="R249" s="32">
        <v>13</v>
      </c>
      <c r="S249" s="32">
        <v>13</v>
      </c>
      <c r="T249" s="32">
        <v>13</v>
      </c>
      <c r="U249" s="32">
        <v>13</v>
      </c>
      <c r="V249" s="32">
        <v>13</v>
      </c>
      <c r="W249" s="85"/>
    </row>
    <row r="250" spans="1:23" ht="17" customHeight="1" x14ac:dyDescent="0.35">
      <c r="A250" s="130"/>
      <c r="B250" s="123" t="s">
        <v>1756</v>
      </c>
      <c r="C250" s="29" t="s">
        <v>1644</v>
      </c>
      <c r="D250" s="30" t="s">
        <v>1745</v>
      </c>
      <c r="E250" s="31"/>
      <c r="F250" s="31">
        <v>22</v>
      </c>
      <c r="G250" s="32"/>
      <c r="H250" s="32">
        <v>0</v>
      </c>
      <c r="I250" s="31">
        <v>22</v>
      </c>
      <c r="J250" s="32">
        <v>0</v>
      </c>
      <c r="K250" s="31">
        <v>21</v>
      </c>
      <c r="L250" s="32">
        <v>21</v>
      </c>
      <c r="M250" s="32">
        <v>21</v>
      </c>
      <c r="N250" s="32">
        <v>21</v>
      </c>
      <c r="O250" s="32">
        <v>21</v>
      </c>
      <c r="P250" s="32">
        <v>21</v>
      </c>
      <c r="Q250" s="32">
        <v>20</v>
      </c>
      <c r="R250" s="32">
        <v>20</v>
      </c>
      <c r="S250" s="32">
        <v>20</v>
      </c>
      <c r="T250" s="32">
        <v>20</v>
      </c>
      <c r="U250" s="32">
        <v>20</v>
      </c>
      <c r="V250" s="32">
        <v>20</v>
      </c>
      <c r="W250" s="85"/>
    </row>
    <row r="251" spans="1:23" ht="17" customHeight="1" x14ac:dyDescent="0.35">
      <c r="A251" s="130"/>
      <c r="B251" s="123" t="s">
        <v>1756</v>
      </c>
      <c r="C251" s="29" t="s">
        <v>1644</v>
      </c>
      <c r="D251" s="30" t="s">
        <v>1746</v>
      </c>
      <c r="E251" s="31"/>
      <c r="F251" s="31">
        <v>18</v>
      </c>
      <c r="G251" s="32"/>
      <c r="H251" s="32">
        <v>0</v>
      </c>
      <c r="I251" s="31">
        <v>18</v>
      </c>
      <c r="J251" s="32">
        <v>0</v>
      </c>
      <c r="K251" s="31">
        <v>16</v>
      </c>
      <c r="L251" s="32">
        <v>16</v>
      </c>
      <c r="M251" s="32">
        <v>16</v>
      </c>
      <c r="N251" s="32">
        <v>16</v>
      </c>
      <c r="O251" s="32">
        <v>16</v>
      </c>
      <c r="P251" s="32">
        <v>16</v>
      </c>
      <c r="Q251" s="32">
        <v>16</v>
      </c>
      <c r="R251" s="32">
        <v>16</v>
      </c>
      <c r="S251" s="32">
        <v>16</v>
      </c>
      <c r="T251" s="32">
        <v>16</v>
      </c>
      <c r="U251" s="32">
        <v>16</v>
      </c>
      <c r="V251" s="32">
        <v>16</v>
      </c>
      <c r="W251" s="85"/>
    </row>
    <row r="252" spans="1:23" ht="17" customHeight="1" x14ac:dyDescent="0.35">
      <c r="A252" s="130"/>
      <c r="B252" s="123" t="s">
        <v>1756</v>
      </c>
      <c r="C252" s="29" t="s">
        <v>1644</v>
      </c>
      <c r="D252" s="30" t="s">
        <v>1747</v>
      </c>
      <c r="E252" s="31"/>
      <c r="F252" s="31">
        <v>37</v>
      </c>
      <c r="G252" s="32"/>
      <c r="H252" s="32">
        <v>1</v>
      </c>
      <c r="I252" s="31">
        <v>37</v>
      </c>
      <c r="J252" s="32">
        <v>1</v>
      </c>
      <c r="K252" s="31">
        <v>38</v>
      </c>
      <c r="L252" s="32">
        <v>38</v>
      </c>
      <c r="M252" s="32">
        <v>38</v>
      </c>
      <c r="N252" s="32">
        <v>38</v>
      </c>
      <c r="O252" s="32">
        <v>38</v>
      </c>
      <c r="P252" s="32">
        <v>38</v>
      </c>
      <c r="Q252" s="32">
        <v>38</v>
      </c>
      <c r="R252" s="32">
        <v>38</v>
      </c>
      <c r="S252" s="32">
        <v>38</v>
      </c>
      <c r="T252" s="32">
        <v>38</v>
      </c>
      <c r="U252" s="32">
        <v>38</v>
      </c>
      <c r="V252" s="32">
        <v>38</v>
      </c>
      <c r="W252" s="85"/>
    </row>
    <row r="253" spans="1:23" ht="17" customHeight="1" x14ac:dyDescent="0.35">
      <c r="A253" s="130"/>
      <c r="B253" s="123" t="s">
        <v>1756</v>
      </c>
      <c r="C253" s="29" t="s">
        <v>1644</v>
      </c>
      <c r="D253" s="30" t="s">
        <v>1748</v>
      </c>
      <c r="E253" s="31"/>
      <c r="F253" s="31">
        <v>1</v>
      </c>
      <c r="G253" s="32"/>
      <c r="H253" s="32">
        <v>0</v>
      </c>
      <c r="I253" s="31">
        <v>1</v>
      </c>
      <c r="J253" s="32">
        <v>0</v>
      </c>
      <c r="K253" s="31">
        <v>1</v>
      </c>
      <c r="L253" s="32">
        <v>1</v>
      </c>
      <c r="M253" s="32">
        <v>1</v>
      </c>
      <c r="N253" s="32">
        <v>1</v>
      </c>
      <c r="O253" s="32">
        <v>1</v>
      </c>
      <c r="P253" s="32">
        <v>1</v>
      </c>
      <c r="Q253" s="32">
        <v>1</v>
      </c>
      <c r="R253" s="32">
        <v>1</v>
      </c>
      <c r="S253" s="32">
        <v>1</v>
      </c>
      <c r="T253" s="32">
        <v>1</v>
      </c>
      <c r="U253" s="32">
        <v>1</v>
      </c>
      <c r="V253" s="32">
        <v>1</v>
      </c>
      <c r="W253" s="85"/>
    </row>
    <row r="254" spans="1:23" ht="17" customHeight="1" x14ac:dyDescent="0.35">
      <c r="A254" s="130"/>
      <c r="B254" s="123" t="s">
        <v>1756</v>
      </c>
      <c r="C254" s="29" t="s">
        <v>1645</v>
      </c>
      <c r="D254" s="30" t="s">
        <v>1749</v>
      </c>
      <c r="E254" s="31"/>
      <c r="F254" s="31">
        <v>154</v>
      </c>
      <c r="G254" s="32"/>
      <c r="H254" s="32">
        <v>0</v>
      </c>
      <c r="I254" s="31">
        <v>154</v>
      </c>
      <c r="J254" s="32">
        <v>0</v>
      </c>
      <c r="K254" s="31">
        <v>154</v>
      </c>
      <c r="L254" s="32">
        <v>154</v>
      </c>
      <c r="M254" s="32">
        <v>154</v>
      </c>
      <c r="N254" s="32">
        <v>154</v>
      </c>
      <c r="O254" s="32">
        <v>154</v>
      </c>
      <c r="P254" s="32">
        <v>154</v>
      </c>
      <c r="Q254" s="32">
        <v>154</v>
      </c>
      <c r="R254" s="32">
        <v>154</v>
      </c>
      <c r="S254" s="32">
        <v>154</v>
      </c>
      <c r="T254" s="32">
        <v>154</v>
      </c>
      <c r="U254" s="32">
        <v>154</v>
      </c>
      <c r="V254" s="32">
        <v>154</v>
      </c>
      <c r="W254" s="85"/>
    </row>
    <row r="255" spans="1:23" ht="17" customHeight="1" x14ac:dyDescent="0.35">
      <c r="A255" s="130"/>
      <c r="B255" s="123" t="s">
        <v>1756</v>
      </c>
      <c r="C255" s="29" t="s">
        <v>1645</v>
      </c>
      <c r="D255" s="30" t="s">
        <v>1750</v>
      </c>
      <c r="E255" s="31"/>
      <c r="F255" s="31">
        <v>11</v>
      </c>
      <c r="G255" s="32"/>
      <c r="H255" s="32">
        <v>0</v>
      </c>
      <c r="I255" s="31">
        <v>11</v>
      </c>
      <c r="J255" s="32">
        <v>0</v>
      </c>
      <c r="K255" s="31">
        <v>11</v>
      </c>
      <c r="L255" s="32">
        <v>11</v>
      </c>
      <c r="M255" s="32">
        <v>11</v>
      </c>
      <c r="N255" s="32">
        <v>11</v>
      </c>
      <c r="O255" s="32">
        <v>11</v>
      </c>
      <c r="P255" s="32">
        <v>11</v>
      </c>
      <c r="Q255" s="32">
        <v>11</v>
      </c>
      <c r="R255" s="32">
        <v>11</v>
      </c>
      <c r="S255" s="32">
        <v>11</v>
      </c>
      <c r="T255" s="32">
        <v>11</v>
      </c>
      <c r="U255" s="32">
        <v>11</v>
      </c>
      <c r="V255" s="32">
        <v>11</v>
      </c>
      <c r="W255" s="85"/>
    </row>
    <row r="256" spans="1:23" ht="17" customHeight="1" x14ac:dyDescent="0.35">
      <c r="A256" s="130"/>
      <c r="B256" s="123" t="s">
        <v>1756</v>
      </c>
      <c r="C256" s="29" t="s">
        <v>1645</v>
      </c>
      <c r="D256" s="30" t="s">
        <v>1751</v>
      </c>
      <c r="E256" s="31"/>
      <c r="F256" s="31">
        <v>1393</v>
      </c>
      <c r="G256" s="32"/>
      <c r="H256" s="32">
        <v>3</v>
      </c>
      <c r="I256" s="31">
        <v>1393</v>
      </c>
      <c r="J256" s="32">
        <v>3</v>
      </c>
      <c r="K256" s="31">
        <v>1396</v>
      </c>
      <c r="L256" s="32">
        <v>1395</v>
      </c>
      <c r="M256" s="32">
        <v>1395</v>
      </c>
      <c r="N256" s="32">
        <v>1394</v>
      </c>
      <c r="O256" s="32">
        <v>1393</v>
      </c>
      <c r="P256" s="32">
        <v>1392</v>
      </c>
      <c r="Q256" s="32">
        <v>1392</v>
      </c>
      <c r="R256" s="32">
        <v>1391</v>
      </c>
      <c r="S256" s="32">
        <v>1390</v>
      </c>
      <c r="T256" s="32">
        <v>1390</v>
      </c>
      <c r="U256" s="32">
        <v>1390</v>
      </c>
      <c r="V256" s="32">
        <v>1390</v>
      </c>
      <c r="W256" s="85"/>
    </row>
    <row r="257" spans="1:23" ht="17" customHeight="1" x14ac:dyDescent="0.35">
      <c r="A257" s="130"/>
      <c r="B257" s="123" t="s">
        <v>1756</v>
      </c>
      <c r="C257" s="29" t="s">
        <v>1645</v>
      </c>
      <c r="D257" s="30" t="s">
        <v>1752</v>
      </c>
      <c r="E257" s="31"/>
      <c r="F257" s="31">
        <v>10</v>
      </c>
      <c r="G257" s="32"/>
      <c r="H257" s="32">
        <v>0</v>
      </c>
      <c r="I257" s="31">
        <v>10</v>
      </c>
      <c r="J257" s="32">
        <v>0</v>
      </c>
      <c r="K257" s="31">
        <v>10</v>
      </c>
      <c r="L257" s="32">
        <v>10</v>
      </c>
      <c r="M257" s="32">
        <v>10</v>
      </c>
      <c r="N257" s="32">
        <v>10</v>
      </c>
      <c r="O257" s="32">
        <v>10</v>
      </c>
      <c r="P257" s="32">
        <v>10</v>
      </c>
      <c r="Q257" s="32">
        <v>10</v>
      </c>
      <c r="R257" s="32">
        <v>10</v>
      </c>
      <c r="S257" s="32">
        <v>10</v>
      </c>
      <c r="T257" s="32">
        <v>10</v>
      </c>
      <c r="U257" s="32">
        <v>10</v>
      </c>
      <c r="V257" s="32">
        <v>10</v>
      </c>
      <c r="W257" s="85"/>
    </row>
    <row r="258" spans="1:23" ht="17" customHeight="1" x14ac:dyDescent="0.35">
      <c r="A258" s="130"/>
      <c r="B258" s="123" t="s">
        <v>1756</v>
      </c>
      <c r="C258" s="29" t="s">
        <v>1645</v>
      </c>
      <c r="D258" s="30" t="s">
        <v>1753</v>
      </c>
      <c r="E258" s="31"/>
      <c r="F258" s="31">
        <v>163</v>
      </c>
      <c r="G258" s="32"/>
      <c r="H258" s="32">
        <v>3</v>
      </c>
      <c r="I258" s="31">
        <v>163</v>
      </c>
      <c r="J258" s="32">
        <v>3</v>
      </c>
      <c r="K258" s="31">
        <v>166</v>
      </c>
      <c r="L258" s="32">
        <v>166</v>
      </c>
      <c r="M258" s="32">
        <v>166</v>
      </c>
      <c r="N258" s="32">
        <v>166</v>
      </c>
      <c r="O258" s="32">
        <v>166</v>
      </c>
      <c r="P258" s="32">
        <v>166</v>
      </c>
      <c r="Q258" s="32">
        <v>166</v>
      </c>
      <c r="R258" s="32">
        <v>166</v>
      </c>
      <c r="S258" s="32">
        <v>166</v>
      </c>
      <c r="T258" s="32">
        <v>166</v>
      </c>
      <c r="U258" s="32">
        <v>166</v>
      </c>
      <c r="V258" s="32">
        <v>166</v>
      </c>
      <c r="W258" s="85"/>
    </row>
    <row r="259" spans="1:23" ht="17" customHeight="1" thickBot="1" x14ac:dyDescent="0.4">
      <c r="A259" s="131"/>
      <c r="B259" s="124" t="s">
        <v>1756</v>
      </c>
      <c r="C259" s="133" t="s">
        <v>1645</v>
      </c>
      <c r="D259" s="134" t="s">
        <v>1754</v>
      </c>
      <c r="E259" s="33"/>
      <c r="F259" s="33">
        <v>129</v>
      </c>
      <c r="G259" s="34"/>
      <c r="H259" s="34">
        <v>0</v>
      </c>
      <c r="I259" s="33">
        <v>129</v>
      </c>
      <c r="J259" s="34">
        <v>0</v>
      </c>
      <c r="K259" s="33">
        <v>129</v>
      </c>
      <c r="L259" s="34">
        <v>129</v>
      </c>
      <c r="M259" s="34">
        <v>129</v>
      </c>
      <c r="N259" s="34">
        <v>129</v>
      </c>
      <c r="O259" s="34">
        <v>129</v>
      </c>
      <c r="P259" s="34">
        <v>129</v>
      </c>
      <c r="Q259" s="34">
        <v>129</v>
      </c>
      <c r="R259" s="34">
        <v>129</v>
      </c>
      <c r="S259" s="34">
        <v>129</v>
      </c>
      <c r="T259" s="34">
        <v>129</v>
      </c>
      <c r="U259" s="34">
        <v>129</v>
      </c>
      <c r="V259" s="34">
        <v>129</v>
      </c>
      <c r="W259" s="85"/>
    </row>
    <row r="260" spans="1:23" x14ac:dyDescent="0.35">
      <c r="A260" s="146"/>
      <c r="B260" s="125" t="s">
        <v>1885</v>
      </c>
      <c r="C260" s="116" t="s">
        <v>31</v>
      </c>
      <c r="D260" s="117" t="s">
        <v>32</v>
      </c>
      <c r="E260" s="138"/>
      <c r="F260" s="138">
        <v>11</v>
      </c>
      <c r="G260" s="138"/>
      <c r="H260" s="138"/>
      <c r="I260" s="139">
        <v>11</v>
      </c>
      <c r="J260" s="147"/>
      <c r="K260" s="147">
        <v>11</v>
      </c>
      <c r="L260" s="147">
        <v>11</v>
      </c>
      <c r="M260" s="147">
        <v>11</v>
      </c>
      <c r="N260" s="147">
        <v>11</v>
      </c>
      <c r="O260" s="147">
        <v>11</v>
      </c>
      <c r="P260" s="147">
        <v>11</v>
      </c>
      <c r="Q260" s="147">
        <v>11</v>
      </c>
      <c r="R260" s="147">
        <v>11</v>
      </c>
      <c r="S260" s="147">
        <v>11</v>
      </c>
      <c r="T260" s="147">
        <v>11</v>
      </c>
      <c r="U260" s="147">
        <v>11</v>
      </c>
      <c r="V260" s="147">
        <v>11</v>
      </c>
    </row>
    <row r="261" spans="1:23" x14ac:dyDescent="0.35">
      <c r="A261" s="148"/>
      <c r="B261" s="126" t="s">
        <v>1885</v>
      </c>
      <c r="C261" s="114" t="s">
        <v>1851</v>
      </c>
      <c r="D261" s="115" t="s">
        <v>1851</v>
      </c>
      <c r="E261" s="140"/>
      <c r="F261" s="140">
        <v>4</v>
      </c>
      <c r="G261" s="140"/>
      <c r="H261" s="140">
        <v>0</v>
      </c>
      <c r="I261" s="141">
        <v>4</v>
      </c>
      <c r="J261" s="149">
        <v>0</v>
      </c>
      <c r="K261" s="149">
        <v>4</v>
      </c>
      <c r="L261" s="149">
        <v>4</v>
      </c>
      <c r="M261" s="149">
        <v>4</v>
      </c>
      <c r="N261" s="149">
        <v>4</v>
      </c>
      <c r="O261" s="149">
        <v>4</v>
      </c>
      <c r="P261" s="149">
        <v>4</v>
      </c>
      <c r="Q261" s="149">
        <v>4</v>
      </c>
      <c r="R261" s="149">
        <v>4</v>
      </c>
      <c r="S261" s="149">
        <v>4</v>
      </c>
      <c r="T261" s="149">
        <v>4</v>
      </c>
      <c r="U261" s="149">
        <v>4</v>
      </c>
      <c r="V261" s="149">
        <v>4</v>
      </c>
    </row>
    <row r="262" spans="1:23" x14ac:dyDescent="0.35">
      <c r="A262" s="150"/>
      <c r="B262" s="127" t="s">
        <v>1885</v>
      </c>
      <c r="C262" s="108" t="s">
        <v>1852</v>
      </c>
      <c r="D262" s="109" t="s">
        <v>1852</v>
      </c>
      <c r="E262" s="142"/>
      <c r="F262" s="142">
        <v>82</v>
      </c>
      <c r="G262" s="142"/>
      <c r="H262" s="142">
        <v>0</v>
      </c>
      <c r="I262" s="143">
        <v>82</v>
      </c>
      <c r="J262" s="151">
        <v>7</v>
      </c>
      <c r="K262" s="151">
        <v>89</v>
      </c>
      <c r="L262" s="151">
        <v>89</v>
      </c>
      <c r="M262" s="151">
        <v>89</v>
      </c>
      <c r="N262" s="151">
        <v>89</v>
      </c>
      <c r="O262" s="151">
        <v>89</v>
      </c>
      <c r="P262" s="151">
        <v>89</v>
      </c>
      <c r="Q262" s="151">
        <v>89</v>
      </c>
      <c r="R262" s="151">
        <v>89</v>
      </c>
      <c r="S262" s="151">
        <v>89</v>
      </c>
      <c r="T262" s="151">
        <v>89</v>
      </c>
      <c r="U262" s="151">
        <v>89</v>
      </c>
      <c r="V262" s="151">
        <v>89</v>
      </c>
    </row>
    <row r="263" spans="1:23" x14ac:dyDescent="0.35">
      <c r="A263" s="150"/>
      <c r="B263" s="127" t="s">
        <v>1885</v>
      </c>
      <c r="C263" s="108" t="s">
        <v>1853</v>
      </c>
      <c r="D263" s="109" t="s">
        <v>1853</v>
      </c>
      <c r="E263" s="142"/>
      <c r="F263" s="142">
        <v>3</v>
      </c>
      <c r="G263" s="142"/>
      <c r="H263" s="142">
        <v>0</v>
      </c>
      <c r="I263" s="143">
        <v>3</v>
      </c>
      <c r="J263" s="151">
        <v>2</v>
      </c>
      <c r="K263" s="151">
        <v>5</v>
      </c>
      <c r="L263" s="151">
        <v>5</v>
      </c>
      <c r="M263" s="151">
        <v>5</v>
      </c>
      <c r="N263" s="151">
        <v>5</v>
      </c>
      <c r="O263" s="151">
        <v>5</v>
      </c>
      <c r="P263" s="151">
        <v>5</v>
      </c>
      <c r="Q263" s="151">
        <v>5</v>
      </c>
      <c r="R263" s="151">
        <v>5</v>
      </c>
      <c r="S263" s="151">
        <v>5</v>
      </c>
      <c r="T263" s="151">
        <v>5</v>
      </c>
      <c r="U263" s="151">
        <v>5</v>
      </c>
      <c r="V263" s="151">
        <v>5</v>
      </c>
    </row>
    <row r="264" spans="1:23" x14ac:dyDescent="0.35">
      <c r="A264" s="150"/>
      <c r="B264" s="127" t="s">
        <v>1885</v>
      </c>
      <c r="C264" s="108" t="s">
        <v>1854</v>
      </c>
      <c r="D264" s="109" t="s">
        <v>1854</v>
      </c>
      <c r="E264" s="142"/>
      <c r="F264" s="142">
        <v>11</v>
      </c>
      <c r="G264" s="142"/>
      <c r="H264" s="142">
        <v>0</v>
      </c>
      <c r="I264" s="143">
        <v>11</v>
      </c>
      <c r="J264" s="151">
        <v>3</v>
      </c>
      <c r="K264" s="151">
        <v>14</v>
      </c>
      <c r="L264" s="151">
        <v>14</v>
      </c>
      <c r="M264" s="151">
        <v>14</v>
      </c>
      <c r="N264" s="151">
        <v>14</v>
      </c>
      <c r="O264" s="151">
        <v>14</v>
      </c>
      <c r="P264" s="151">
        <v>14</v>
      </c>
      <c r="Q264" s="151">
        <v>14</v>
      </c>
      <c r="R264" s="151">
        <v>14</v>
      </c>
      <c r="S264" s="151">
        <v>14</v>
      </c>
      <c r="T264" s="151">
        <v>14</v>
      </c>
      <c r="U264" s="151">
        <v>14</v>
      </c>
      <c r="V264" s="151">
        <v>14</v>
      </c>
    </row>
    <row r="265" spans="1:23" x14ac:dyDescent="0.35">
      <c r="A265" s="150"/>
      <c r="B265" s="127" t="s">
        <v>1885</v>
      </c>
      <c r="C265" s="108" t="s">
        <v>1855</v>
      </c>
      <c r="D265" s="109" t="s">
        <v>1855</v>
      </c>
      <c r="E265" s="142"/>
      <c r="F265" s="142">
        <v>5</v>
      </c>
      <c r="G265" s="142"/>
      <c r="H265" s="142">
        <v>0</v>
      </c>
      <c r="I265" s="143">
        <v>5</v>
      </c>
      <c r="J265" s="151"/>
      <c r="K265" s="151">
        <v>5</v>
      </c>
      <c r="L265" s="151">
        <v>5</v>
      </c>
      <c r="M265" s="151">
        <v>5</v>
      </c>
      <c r="N265" s="151">
        <v>5</v>
      </c>
      <c r="O265" s="151">
        <v>5</v>
      </c>
      <c r="P265" s="151">
        <v>5</v>
      </c>
      <c r="Q265" s="151">
        <v>5</v>
      </c>
      <c r="R265" s="151">
        <v>5</v>
      </c>
      <c r="S265" s="151">
        <v>5</v>
      </c>
      <c r="T265" s="151">
        <v>5</v>
      </c>
      <c r="U265" s="151">
        <v>5</v>
      </c>
      <c r="V265" s="151">
        <v>5</v>
      </c>
    </row>
    <row r="266" spans="1:23" x14ac:dyDescent="0.35">
      <c r="A266" s="150"/>
      <c r="B266" s="127" t="s">
        <v>1885</v>
      </c>
      <c r="C266" s="108" t="s">
        <v>1856</v>
      </c>
      <c r="D266" s="109" t="s">
        <v>1856</v>
      </c>
      <c r="E266" s="142"/>
      <c r="F266" s="142">
        <v>440</v>
      </c>
      <c r="G266" s="142"/>
      <c r="H266" s="142">
        <v>0</v>
      </c>
      <c r="I266" s="143">
        <v>440</v>
      </c>
      <c r="J266" s="151">
        <v>30</v>
      </c>
      <c r="K266" s="151">
        <v>470</v>
      </c>
      <c r="L266" s="151">
        <v>470</v>
      </c>
      <c r="M266" s="151">
        <v>470</v>
      </c>
      <c r="N266" s="151">
        <v>470</v>
      </c>
      <c r="O266" s="151">
        <v>470</v>
      </c>
      <c r="P266" s="151">
        <v>470</v>
      </c>
      <c r="Q266" s="151">
        <v>470</v>
      </c>
      <c r="R266" s="151">
        <v>470</v>
      </c>
      <c r="S266" s="151">
        <v>470</v>
      </c>
      <c r="T266" s="151">
        <v>470</v>
      </c>
      <c r="U266" s="151">
        <v>470</v>
      </c>
      <c r="V266" s="151">
        <v>470</v>
      </c>
    </row>
    <row r="267" spans="1:23" x14ac:dyDescent="0.35">
      <c r="A267" s="150"/>
      <c r="B267" s="127" t="s">
        <v>1885</v>
      </c>
      <c r="C267" s="108" t="s">
        <v>1857</v>
      </c>
      <c r="D267" s="109" t="s">
        <v>1857</v>
      </c>
      <c r="E267" s="142"/>
      <c r="F267" s="142">
        <v>36</v>
      </c>
      <c r="G267" s="142"/>
      <c r="H267" s="142">
        <v>0</v>
      </c>
      <c r="I267" s="143">
        <v>36</v>
      </c>
      <c r="J267" s="151">
        <v>12</v>
      </c>
      <c r="K267" s="151">
        <v>48</v>
      </c>
      <c r="L267" s="151">
        <v>48</v>
      </c>
      <c r="M267" s="151">
        <v>48</v>
      </c>
      <c r="N267" s="151">
        <v>48</v>
      </c>
      <c r="O267" s="151">
        <v>48</v>
      </c>
      <c r="P267" s="151">
        <v>48</v>
      </c>
      <c r="Q267" s="151">
        <v>48</v>
      </c>
      <c r="R267" s="151">
        <v>48</v>
      </c>
      <c r="S267" s="151">
        <v>48</v>
      </c>
      <c r="T267" s="151">
        <v>48</v>
      </c>
      <c r="U267" s="151">
        <v>48</v>
      </c>
      <c r="V267" s="151">
        <v>48</v>
      </c>
    </row>
    <row r="268" spans="1:23" x14ac:dyDescent="0.35">
      <c r="A268" s="150"/>
      <c r="B268" s="127" t="s">
        <v>1885</v>
      </c>
      <c r="C268" s="108" t="s">
        <v>1858</v>
      </c>
      <c r="D268" s="109" t="s">
        <v>1858</v>
      </c>
      <c r="E268" s="142"/>
      <c r="F268" s="142">
        <v>15</v>
      </c>
      <c r="G268" s="142"/>
      <c r="H268" s="142">
        <v>0</v>
      </c>
      <c r="I268" s="143">
        <v>15</v>
      </c>
      <c r="J268" s="151"/>
      <c r="K268" s="151">
        <v>15</v>
      </c>
      <c r="L268" s="151">
        <v>15</v>
      </c>
      <c r="M268" s="151">
        <v>15</v>
      </c>
      <c r="N268" s="151">
        <v>15</v>
      </c>
      <c r="O268" s="151">
        <v>15</v>
      </c>
      <c r="P268" s="151">
        <v>15</v>
      </c>
      <c r="Q268" s="151">
        <v>15</v>
      </c>
      <c r="R268" s="151">
        <v>15</v>
      </c>
      <c r="S268" s="151">
        <v>15</v>
      </c>
      <c r="T268" s="151">
        <v>15</v>
      </c>
      <c r="U268" s="151">
        <v>15</v>
      </c>
      <c r="V268" s="151">
        <v>15</v>
      </c>
    </row>
    <row r="269" spans="1:23" x14ac:dyDescent="0.35">
      <c r="A269" s="150"/>
      <c r="B269" s="127" t="s">
        <v>1885</v>
      </c>
      <c r="C269" s="108" t="s">
        <v>1859</v>
      </c>
      <c r="D269" s="109" t="s">
        <v>1859</v>
      </c>
      <c r="E269" s="142"/>
      <c r="F269" s="142">
        <v>40</v>
      </c>
      <c r="G269" s="142"/>
      <c r="H269" s="142">
        <v>0</v>
      </c>
      <c r="I269" s="143">
        <v>40</v>
      </c>
      <c r="J269" s="151">
        <v>19</v>
      </c>
      <c r="K269" s="151">
        <v>59</v>
      </c>
      <c r="L269" s="151">
        <v>59</v>
      </c>
      <c r="M269" s="151">
        <v>59</v>
      </c>
      <c r="N269" s="151">
        <v>59</v>
      </c>
      <c r="O269" s="151">
        <v>59</v>
      </c>
      <c r="P269" s="151">
        <v>59</v>
      </c>
      <c r="Q269" s="151">
        <v>59</v>
      </c>
      <c r="R269" s="151">
        <v>59</v>
      </c>
      <c r="S269" s="151">
        <v>59</v>
      </c>
      <c r="T269" s="151">
        <v>59</v>
      </c>
      <c r="U269" s="151">
        <v>59</v>
      </c>
      <c r="V269" s="151">
        <v>59</v>
      </c>
    </row>
    <row r="270" spans="1:23" x14ac:dyDescent="0.35">
      <c r="A270" s="150"/>
      <c r="B270" s="127" t="s">
        <v>1885</v>
      </c>
      <c r="C270" s="108" t="s">
        <v>1860</v>
      </c>
      <c r="D270" s="109" t="s">
        <v>1860</v>
      </c>
      <c r="E270" s="142"/>
      <c r="F270" s="142">
        <v>4</v>
      </c>
      <c r="G270" s="142"/>
      <c r="H270" s="142">
        <v>0</v>
      </c>
      <c r="I270" s="143">
        <v>4</v>
      </c>
      <c r="J270" s="151"/>
      <c r="K270" s="151">
        <v>4</v>
      </c>
      <c r="L270" s="151">
        <v>4</v>
      </c>
      <c r="M270" s="151">
        <v>4</v>
      </c>
      <c r="N270" s="151">
        <v>4</v>
      </c>
      <c r="O270" s="151">
        <v>4</v>
      </c>
      <c r="P270" s="151">
        <v>4</v>
      </c>
      <c r="Q270" s="151">
        <v>4</v>
      </c>
      <c r="R270" s="151">
        <v>4</v>
      </c>
      <c r="S270" s="151">
        <v>4</v>
      </c>
      <c r="T270" s="151">
        <v>4</v>
      </c>
      <c r="U270" s="151">
        <v>4</v>
      </c>
      <c r="V270" s="151">
        <v>4</v>
      </c>
    </row>
    <row r="271" spans="1:23" x14ac:dyDescent="0.35">
      <c r="A271" s="150"/>
      <c r="B271" s="127" t="s">
        <v>1885</v>
      </c>
      <c r="C271" s="108" t="s">
        <v>1861</v>
      </c>
      <c r="D271" s="109" t="s">
        <v>1861</v>
      </c>
      <c r="E271" s="142"/>
      <c r="F271" s="142">
        <v>243</v>
      </c>
      <c r="G271" s="142"/>
      <c r="H271" s="142">
        <v>0</v>
      </c>
      <c r="I271" s="143">
        <v>243</v>
      </c>
      <c r="J271" s="151">
        <v>24</v>
      </c>
      <c r="K271" s="151">
        <v>267</v>
      </c>
      <c r="L271" s="151">
        <v>267</v>
      </c>
      <c r="M271" s="151">
        <v>267</v>
      </c>
      <c r="N271" s="151">
        <v>267</v>
      </c>
      <c r="O271" s="151">
        <v>267</v>
      </c>
      <c r="P271" s="151">
        <v>267</v>
      </c>
      <c r="Q271" s="151">
        <v>267</v>
      </c>
      <c r="R271" s="151">
        <v>267</v>
      </c>
      <c r="S271" s="151">
        <v>267</v>
      </c>
      <c r="T271" s="151">
        <v>267</v>
      </c>
      <c r="U271" s="151">
        <v>267</v>
      </c>
      <c r="V271" s="151">
        <v>267</v>
      </c>
    </row>
    <row r="272" spans="1:23" x14ac:dyDescent="0.35">
      <c r="A272" s="150"/>
      <c r="B272" s="127" t="s">
        <v>1885</v>
      </c>
      <c r="C272" s="108" t="s">
        <v>1862</v>
      </c>
      <c r="D272" s="109" t="s">
        <v>1862</v>
      </c>
      <c r="E272" s="142"/>
      <c r="F272" s="142">
        <v>17</v>
      </c>
      <c r="G272" s="142"/>
      <c r="H272" s="142">
        <v>0</v>
      </c>
      <c r="I272" s="143">
        <v>17</v>
      </c>
      <c r="J272" s="151">
        <v>6</v>
      </c>
      <c r="K272" s="151">
        <v>23</v>
      </c>
      <c r="L272" s="151">
        <v>23</v>
      </c>
      <c r="M272" s="151">
        <v>23</v>
      </c>
      <c r="N272" s="151">
        <v>23</v>
      </c>
      <c r="O272" s="151">
        <v>23</v>
      </c>
      <c r="P272" s="151">
        <v>23</v>
      </c>
      <c r="Q272" s="151">
        <v>23</v>
      </c>
      <c r="R272" s="151">
        <v>23</v>
      </c>
      <c r="S272" s="151">
        <v>23</v>
      </c>
      <c r="T272" s="151">
        <v>23</v>
      </c>
      <c r="U272" s="151">
        <v>23</v>
      </c>
      <c r="V272" s="151">
        <v>23</v>
      </c>
    </row>
    <row r="273" spans="1:22" x14ac:dyDescent="0.35">
      <c r="A273" s="150"/>
      <c r="B273" s="127" t="s">
        <v>1885</v>
      </c>
      <c r="C273" s="108" t="s">
        <v>1863</v>
      </c>
      <c r="D273" s="109" t="s">
        <v>1863</v>
      </c>
      <c r="E273" s="142"/>
      <c r="F273" s="142">
        <v>1</v>
      </c>
      <c r="G273" s="142"/>
      <c r="H273" s="142">
        <v>0</v>
      </c>
      <c r="I273" s="143">
        <v>1</v>
      </c>
      <c r="J273" s="151">
        <v>0</v>
      </c>
      <c r="K273" s="151">
        <v>1</v>
      </c>
      <c r="L273" s="151">
        <v>1</v>
      </c>
      <c r="M273" s="151">
        <v>1</v>
      </c>
      <c r="N273" s="151">
        <v>1</v>
      </c>
      <c r="O273" s="151">
        <v>1</v>
      </c>
      <c r="P273" s="151">
        <v>1</v>
      </c>
      <c r="Q273" s="151">
        <v>1</v>
      </c>
      <c r="R273" s="151">
        <v>1</v>
      </c>
      <c r="S273" s="151">
        <v>1</v>
      </c>
      <c r="T273" s="151">
        <v>1</v>
      </c>
      <c r="U273" s="151">
        <v>1</v>
      </c>
      <c r="V273" s="151">
        <v>1</v>
      </c>
    </row>
    <row r="274" spans="1:22" x14ac:dyDescent="0.35">
      <c r="A274" s="150"/>
      <c r="B274" s="127" t="s">
        <v>1885</v>
      </c>
      <c r="C274" s="108" t="s">
        <v>1864</v>
      </c>
      <c r="D274" s="109" t="s">
        <v>1864</v>
      </c>
      <c r="E274" s="142"/>
      <c r="F274" s="142">
        <v>4</v>
      </c>
      <c r="G274" s="142"/>
      <c r="H274" s="142">
        <v>0</v>
      </c>
      <c r="I274" s="143">
        <v>4</v>
      </c>
      <c r="J274" s="151">
        <v>0</v>
      </c>
      <c r="K274" s="151">
        <v>4</v>
      </c>
      <c r="L274" s="151">
        <v>4</v>
      </c>
      <c r="M274" s="151">
        <v>4</v>
      </c>
      <c r="N274" s="151">
        <v>4</v>
      </c>
      <c r="O274" s="151">
        <v>4</v>
      </c>
      <c r="P274" s="151">
        <v>4</v>
      </c>
      <c r="Q274" s="151">
        <v>4</v>
      </c>
      <c r="R274" s="151">
        <v>4</v>
      </c>
      <c r="S274" s="151">
        <v>4</v>
      </c>
      <c r="T274" s="151">
        <v>4</v>
      </c>
      <c r="U274" s="151">
        <v>4</v>
      </c>
      <c r="V274" s="151">
        <v>4</v>
      </c>
    </row>
    <row r="275" spans="1:22" x14ac:dyDescent="0.35">
      <c r="A275" s="150"/>
      <c r="B275" s="127" t="s">
        <v>1885</v>
      </c>
      <c r="C275" s="108" t="s">
        <v>1865</v>
      </c>
      <c r="D275" s="109" t="s">
        <v>1865</v>
      </c>
      <c r="E275" s="142"/>
      <c r="F275" s="142">
        <v>2</v>
      </c>
      <c r="G275" s="142"/>
      <c r="H275" s="142">
        <v>0</v>
      </c>
      <c r="I275" s="143">
        <v>2</v>
      </c>
      <c r="J275" s="151">
        <v>2</v>
      </c>
      <c r="K275" s="151">
        <v>4</v>
      </c>
      <c r="L275" s="151">
        <v>4</v>
      </c>
      <c r="M275" s="151">
        <v>4</v>
      </c>
      <c r="N275" s="151">
        <v>4</v>
      </c>
      <c r="O275" s="151">
        <v>4</v>
      </c>
      <c r="P275" s="151">
        <v>4</v>
      </c>
      <c r="Q275" s="151">
        <v>4</v>
      </c>
      <c r="R275" s="151">
        <v>4</v>
      </c>
      <c r="S275" s="151">
        <v>4</v>
      </c>
      <c r="T275" s="151">
        <v>4</v>
      </c>
      <c r="U275" s="151">
        <v>4</v>
      </c>
      <c r="V275" s="151">
        <v>4</v>
      </c>
    </row>
    <row r="276" spans="1:22" x14ac:dyDescent="0.35">
      <c r="A276" s="150"/>
      <c r="B276" s="127" t="s">
        <v>1885</v>
      </c>
      <c r="C276" s="108" t="s">
        <v>1866</v>
      </c>
      <c r="D276" s="109" t="s">
        <v>1866</v>
      </c>
      <c r="E276" s="142"/>
      <c r="F276" s="142">
        <v>1</v>
      </c>
      <c r="G276" s="142"/>
      <c r="H276" s="142">
        <v>0</v>
      </c>
      <c r="I276" s="143">
        <v>1</v>
      </c>
      <c r="J276" s="151">
        <v>1</v>
      </c>
      <c r="K276" s="151">
        <v>2</v>
      </c>
      <c r="L276" s="151">
        <v>2</v>
      </c>
      <c r="M276" s="151">
        <v>2</v>
      </c>
      <c r="N276" s="151">
        <v>2</v>
      </c>
      <c r="O276" s="151">
        <v>2</v>
      </c>
      <c r="P276" s="151">
        <v>2</v>
      </c>
      <c r="Q276" s="151">
        <v>2</v>
      </c>
      <c r="R276" s="151">
        <v>2</v>
      </c>
      <c r="S276" s="151">
        <v>2</v>
      </c>
      <c r="T276" s="151">
        <v>2</v>
      </c>
      <c r="U276" s="151">
        <v>2</v>
      </c>
      <c r="V276" s="151">
        <v>2</v>
      </c>
    </row>
    <row r="277" spans="1:22" x14ac:dyDescent="0.35">
      <c r="A277" s="150"/>
      <c r="B277" s="127" t="s">
        <v>1885</v>
      </c>
      <c r="C277" s="108" t="s">
        <v>1867</v>
      </c>
      <c r="D277" s="109" t="s">
        <v>1867</v>
      </c>
      <c r="E277" s="142"/>
      <c r="F277" s="142">
        <v>2</v>
      </c>
      <c r="G277" s="142"/>
      <c r="H277" s="142">
        <v>0</v>
      </c>
      <c r="I277" s="143">
        <v>2</v>
      </c>
      <c r="J277" s="151">
        <v>1</v>
      </c>
      <c r="K277" s="151">
        <v>3</v>
      </c>
      <c r="L277" s="151">
        <v>3</v>
      </c>
      <c r="M277" s="151">
        <v>3</v>
      </c>
      <c r="N277" s="151">
        <v>3</v>
      </c>
      <c r="O277" s="151">
        <v>3</v>
      </c>
      <c r="P277" s="151">
        <v>3</v>
      </c>
      <c r="Q277" s="151">
        <v>3</v>
      </c>
      <c r="R277" s="151">
        <v>3</v>
      </c>
      <c r="S277" s="151">
        <v>3</v>
      </c>
      <c r="T277" s="151">
        <v>3</v>
      </c>
      <c r="U277" s="151">
        <v>3</v>
      </c>
      <c r="V277" s="151">
        <v>3</v>
      </c>
    </row>
    <row r="278" spans="1:22" x14ac:dyDescent="0.35">
      <c r="A278" s="150"/>
      <c r="B278" s="127" t="s">
        <v>1885</v>
      </c>
      <c r="C278" s="108" t="s">
        <v>1868</v>
      </c>
      <c r="D278" s="109" t="s">
        <v>1868</v>
      </c>
      <c r="E278" s="142"/>
      <c r="F278" s="142">
        <v>14</v>
      </c>
      <c r="G278" s="142"/>
      <c r="H278" s="142">
        <v>0</v>
      </c>
      <c r="I278" s="143">
        <v>14</v>
      </c>
      <c r="J278" s="151">
        <v>3</v>
      </c>
      <c r="K278" s="151">
        <v>17</v>
      </c>
      <c r="L278" s="151">
        <v>17</v>
      </c>
      <c r="M278" s="151">
        <v>17</v>
      </c>
      <c r="N278" s="151">
        <v>17</v>
      </c>
      <c r="O278" s="151">
        <v>17</v>
      </c>
      <c r="P278" s="151">
        <v>17</v>
      </c>
      <c r="Q278" s="151">
        <v>17</v>
      </c>
      <c r="R278" s="151">
        <v>17</v>
      </c>
      <c r="S278" s="151">
        <v>17</v>
      </c>
      <c r="T278" s="151">
        <v>17</v>
      </c>
      <c r="U278" s="151">
        <v>17</v>
      </c>
      <c r="V278" s="151">
        <v>17</v>
      </c>
    </row>
    <row r="279" spans="1:22" x14ac:dyDescent="0.35">
      <c r="A279" s="150"/>
      <c r="B279" s="127" t="s">
        <v>1885</v>
      </c>
      <c r="C279" s="108" t="s">
        <v>1869</v>
      </c>
      <c r="D279" s="109" t="s">
        <v>1869</v>
      </c>
      <c r="E279" s="142"/>
      <c r="F279" s="142">
        <v>57</v>
      </c>
      <c r="G279" s="142"/>
      <c r="H279" s="142">
        <v>0</v>
      </c>
      <c r="I279" s="143">
        <v>57</v>
      </c>
      <c r="J279" s="151">
        <v>7</v>
      </c>
      <c r="K279" s="151">
        <v>64</v>
      </c>
      <c r="L279" s="151">
        <v>64</v>
      </c>
      <c r="M279" s="151">
        <v>64</v>
      </c>
      <c r="N279" s="151">
        <v>64</v>
      </c>
      <c r="O279" s="151">
        <v>64</v>
      </c>
      <c r="P279" s="151">
        <v>64</v>
      </c>
      <c r="Q279" s="151">
        <v>64</v>
      </c>
      <c r="R279" s="151">
        <v>64</v>
      </c>
      <c r="S279" s="151">
        <v>64</v>
      </c>
      <c r="T279" s="151">
        <v>64</v>
      </c>
      <c r="U279" s="151">
        <v>64</v>
      </c>
      <c r="V279" s="151">
        <v>64</v>
      </c>
    </row>
    <row r="280" spans="1:22" x14ac:dyDescent="0.35">
      <c r="A280" s="150"/>
      <c r="B280" s="127" t="s">
        <v>1885</v>
      </c>
      <c r="C280" s="108" t="s">
        <v>1870</v>
      </c>
      <c r="D280" s="109" t="s">
        <v>1870</v>
      </c>
      <c r="E280" s="142"/>
      <c r="F280" s="142">
        <v>27</v>
      </c>
      <c r="G280" s="142"/>
      <c r="H280" s="142">
        <v>0</v>
      </c>
      <c r="I280" s="143">
        <v>27</v>
      </c>
      <c r="J280" s="151">
        <v>0</v>
      </c>
      <c r="K280" s="151">
        <v>27</v>
      </c>
      <c r="L280" s="151">
        <v>27</v>
      </c>
      <c r="M280" s="151">
        <v>27</v>
      </c>
      <c r="N280" s="151">
        <v>27</v>
      </c>
      <c r="O280" s="151">
        <v>27</v>
      </c>
      <c r="P280" s="151">
        <v>27</v>
      </c>
      <c r="Q280" s="151">
        <v>27</v>
      </c>
      <c r="R280" s="151">
        <v>27</v>
      </c>
      <c r="S280" s="151">
        <v>27</v>
      </c>
      <c r="T280" s="151">
        <v>27</v>
      </c>
      <c r="U280" s="151">
        <v>27</v>
      </c>
      <c r="V280" s="151">
        <v>27</v>
      </c>
    </row>
    <row r="281" spans="1:22" x14ac:dyDescent="0.35">
      <c r="A281" s="150"/>
      <c r="B281" s="127" t="s">
        <v>1885</v>
      </c>
      <c r="C281" s="108" t="s">
        <v>1886</v>
      </c>
      <c r="D281" s="109" t="s">
        <v>1886</v>
      </c>
      <c r="E281" s="142"/>
      <c r="F281" s="142">
        <v>136</v>
      </c>
      <c r="G281" s="142"/>
      <c r="H281" s="142">
        <v>0</v>
      </c>
      <c r="I281" s="143">
        <v>136</v>
      </c>
      <c r="J281" s="151">
        <v>1</v>
      </c>
      <c r="K281" s="151">
        <v>137</v>
      </c>
      <c r="L281" s="151">
        <v>137</v>
      </c>
      <c r="M281" s="151">
        <v>137</v>
      </c>
      <c r="N281" s="151">
        <v>137</v>
      </c>
      <c r="O281" s="151">
        <v>137</v>
      </c>
      <c r="P281" s="151">
        <v>137</v>
      </c>
      <c r="Q281" s="151">
        <v>137</v>
      </c>
      <c r="R281" s="151">
        <v>137</v>
      </c>
      <c r="S281" s="151">
        <v>137</v>
      </c>
      <c r="T281" s="151">
        <v>137</v>
      </c>
      <c r="U281" s="151">
        <v>137</v>
      </c>
      <c r="V281" s="151">
        <v>137</v>
      </c>
    </row>
    <row r="282" spans="1:22" x14ac:dyDescent="0.35">
      <c r="A282" s="150"/>
      <c r="B282" s="127" t="s">
        <v>1885</v>
      </c>
      <c r="C282" s="108" t="s">
        <v>1871</v>
      </c>
      <c r="D282" s="109" t="s">
        <v>1871</v>
      </c>
      <c r="E282" s="142"/>
      <c r="F282" s="142">
        <v>13</v>
      </c>
      <c r="G282" s="142"/>
      <c r="H282" s="142">
        <v>4</v>
      </c>
      <c r="I282" s="143">
        <v>17</v>
      </c>
      <c r="J282" s="151">
        <v>2</v>
      </c>
      <c r="K282" s="151">
        <v>19</v>
      </c>
      <c r="L282" s="151">
        <v>19</v>
      </c>
      <c r="M282" s="151">
        <v>19</v>
      </c>
      <c r="N282" s="151">
        <v>19</v>
      </c>
      <c r="O282" s="151">
        <v>19</v>
      </c>
      <c r="P282" s="151">
        <v>19</v>
      </c>
      <c r="Q282" s="151">
        <v>19</v>
      </c>
      <c r="R282" s="151">
        <v>19</v>
      </c>
      <c r="S282" s="151">
        <v>19</v>
      </c>
      <c r="T282" s="151">
        <v>19</v>
      </c>
      <c r="U282" s="151">
        <v>19</v>
      </c>
      <c r="V282" s="151">
        <v>19</v>
      </c>
    </row>
    <row r="283" spans="1:22" x14ac:dyDescent="0.35">
      <c r="A283" s="150"/>
      <c r="B283" s="127" t="s">
        <v>1885</v>
      </c>
      <c r="C283" s="108" t="s">
        <v>1872</v>
      </c>
      <c r="D283" s="109" t="s">
        <v>1872</v>
      </c>
      <c r="E283" s="142"/>
      <c r="F283" s="142">
        <v>117</v>
      </c>
      <c r="G283" s="142"/>
      <c r="H283" s="142">
        <v>16</v>
      </c>
      <c r="I283" s="143">
        <v>133</v>
      </c>
      <c r="J283" s="151">
        <v>0</v>
      </c>
      <c r="K283" s="151">
        <v>133</v>
      </c>
      <c r="L283" s="151">
        <v>133</v>
      </c>
      <c r="M283" s="151">
        <v>133</v>
      </c>
      <c r="N283" s="151">
        <v>133</v>
      </c>
      <c r="O283" s="151">
        <v>133</v>
      </c>
      <c r="P283" s="151">
        <v>133</v>
      </c>
      <c r="Q283" s="151">
        <v>133</v>
      </c>
      <c r="R283" s="151">
        <v>133</v>
      </c>
      <c r="S283" s="151">
        <v>133</v>
      </c>
      <c r="T283" s="151">
        <v>133</v>
      </c>
      <c r="U283" s="151">
        <v>133</v>
      </c>
      <c r="V283" s="151">
        <v>133</v>
      </c>
    </row>
    <row r="284" spans="1:22" x14ac:dyDescent="0.35">
      <c r="A284" s="150"/>
      <c r="B284" s="127" t="s">
        <v>1885</v>
      </c>
      <c r="C284" s="108" t="s">
        <v>1873</v>
      </c>
      <c r="D284" s="109" t="s">
        <v>1873</v>
      </c>
      <c r="E284" s="142"/>
      <c r="F284" s="142">
        <v>13</v>
      </c>
      <c r="G284" s="142"/>
      <c r="H284" s="142">
        <v>2</v>
      </c>
      <c r="I284" s="143">
        <v>15</v>
      </c>
      <c r="J284" s="151">
        <v>0</v>
      </c>
      <c r="K284" s="151">
        <v>15</v>
      </c>
      <c r="L284" s="151">
        <v>15</v>
      </c>
      <c r="M284" s="151">
        <v>15</v>
      </c>
      <c r="N284" s="151">
        <v>15</v>
      </c>
      <c r="O284" s="151">
        <v>15</v>
      </c>
      <c r="P284" s="151">
        <v>15</v>
      </c>
      <c r="Q284" s="151">
        <v>15</v>
      </c>
      <c r="R284" s="151">
        <v>15</v>
      </c>
      <c r="S284" s="151">
        <v>15</v>
      </c>
      <c r="T284" s="151">
        <v>15</v>
      </c>
      <c r="U284" s="151">
        <v>15</v>
      </c>
      <c r="V284" s="151">
        <v>15</v>
      </c>
    </row>
    <row r="285" spans="1:22" x14ac:dyDescent="0.35">
      <c r="A285" s="150"/>
      <c r="B285" s="127" t="s">
        <v>1885</v>
      </c>
      <c r="C285" s="108" t="s">
        <v>1874</v>
      </c>
      <c r="D285" s="109" t="s">
        <v>1874</v>
      </c>
      <c r="E285" s="142"/>
      <c r="F285" s="142">
        <v>2</v>
      </c>
      <c r="G285" s="142"/>
      <c r="H285" s="142">
        <v>2</v>
      </c>
      <c r="I285" s="143">
        <v>4</v>
      </c>
      <c r="J285" s="151"/>
      <c r="K285" s="151">
        <v>4</v>
      </c>
      <c r="L285" s="151">
        <v>4</v>
      </c>
      <c r="M285" s="151">
        <v>4</v>
      </c>
      <c r="N285" s="151">
        <v>4</v>
      </c>
      <c r="O285" s="151">
        <v>4</v>
      </c>
      <c r="P285" s="151">
        <v>4</v>
      </c>
      <c r="Q285" s="151">
        <v>4</v>
      </c>
      <c r="R285" s="151">
        <v>4</v>
      </c>
      <c r="S285" s="151">
        <v>4</v>
      </c>
      <c r="T285" s="151">
        <v>4</v>
      </c>
      <c r="U285" s="151">
        <v>4</v>
      </c>
      <c r="V285" s="151">
        <v>4</v>
      </c>
    </row>
    <row r="286" spans="1:22" x14ac:dyDescent="0.35">
      <c r="A286" s="150"/>
      <c r="B286" s="127" t="s">
        <v>1885</v>
      </c>
      <c r="C286" s="108" t="s">
        <v>1875</v>
      </c>
      <c r="D286" s="109" t="s">
        <v>1875</v>
      </c>
      <c r="E286" s="142"/>
      <c r="F286" s="142">
        <v>1</v>
      </c>
      <c r="G286" s="142"/>
      <c r="H286" s="142">
        <v>0</v>
      </c>
      <c r="I286" s="143">
        <v>1</v>
      </c>
      <c r="J286" s="151"/>
      <c r="K286" s="151">
        <v>1</v>
      </c>
      <c r="L286" s="151">
        <v>1</v>
      </c>
      <c r="M286" s="151">
        <v>1</v>
      </c>
      <c r="N286" s="151">
        <v>1</v>
      </c>
      <c r="O286" s="151">
        <v>1</v>
      </c>
      <c r="P286" s="151">
        <v>1</v>
      </c>
      <c r="Q286" s="151">
        <v>1</v>
      </c>
      <c r="R286" s="151">
        <v>1</v>
      </c>
      <c r="S286" s="151">
        <v>1</v>
      </c>
      <c r="T286" s="151">
        <v>1</v>
      </c>
      <c r="U286" s="151">
        <v>1</v>
      </c>
      <c r="V286" s="151">
        <v>1</v>
      </c>
    </row>
    <row r="287" spans="1:22" x14ac:dyDescent="0.35">
      <c r="A287" s="150"/>
      <c r="B287" s="127" t="s">
        <v>1885</v>
      </c>
      <c r="C287" s="108" t="s">
        <v>1876</v>
      </c>
      <c r="D287" s="109" t="s">
        <v>1876</v>
      </c>
      <c r="E287" s="142"/>
      <c r="F287" s="142">
        <v>170</v>
      </c>
      <c r="G287" s="142"/>
      <c r="H287" s="142">
        <v>21</v>
      </c>
      <c r="I287" s="143">
        <v>191</v>
      </c>
      <c r="J287" s="151"/>
      <c r="K287" s="151">
        <v>191</v>
      </c>
      <c r="L287" s="151">
        <v>191</v>
      </c>
      <c r="M287" s="151">
        <v>191</v>
      </c>
      <c r="N287" s="151">
        <v>191</v>
      </c>
      <c r="O287" s="151">
        <v>191</v>
      </c>
      <c r="P287" s="151">
        <v>191</v>
      </c>
      <c r="Q287" s="151">
        <v>191</v>
      </c>
      <c r="R287" s="151">
        <v>191</v>
      </c>
      <c r="S287" s="151">
        <v>191</v>
      </c>
      <c r="T287" s="151">
        <v>191</v>
      </c>
      <c r="U287" s="151">
        <v>191</v>
      </c>
      <c r="V287" s="151">
        <v>191</v>
      </c>
    </row>
    <row r="288" spans="1:22" x14ac:dyDescent="0.35">
      <c r="A288" s="150"/>
      <c r="B288" s="127" t="s">
        <v>1885</v>
      </c>
      <c r="C288" s="108" t="s">
        <v>1877</v>
      </c>
      <c r="D288" s="109" t="s">
        <v>1877</v>
      </c>
      <c r="E288" s="142"/>
      <c r="F288" s="142">
        <v>10</v>
      </c>
      <c r="G288" s="142"/>
      <c r="H288" s="142">
        <v>0</v>
      </c>
      <c r="I288" s="143">
        <v>10</v>
      </c>
      <c r="J288" s="151">
        <v>0</v>
      </c>
      <c r="K288" s="151">
        <v>10</v>
      </c>
      <c r="L288" s="151">
        <v>10</v>
      </c>
      <c r="M288" s="151">
        <v>10</v>
      </c>
      <c r="N288" s="151">
        <v>10</v>
      </c>
      <c r="O288" s="151">
        <v>10</v>
      </c>
      <c r="P288" s="151">
        <v>10</v>
      </c>
      <c r="Q288" s="151">
        <v>10</v>
      </c>
      <c r="R288" s="151">
        <v>10</v>
      </c>
      <c r="S288" s="151">
        <v>10</v>
      </c>
      <c r="T288" s="151">
        <v>10</v>
      </c>
      <c r="U288" s="151">
        <v>10</v>
      </c>
      <c r="V288" s="151">
        <v>10</v>
      </c>
    </row>
    <row r="289" spans="1:22" x14ac:dyDescent="0.35">
      <c r="A289" s="150"/>
      <c r="B289" s="127" t="s">
        <v>1885</v>
      </c>
      <c r="C289" s="108" t="s">
        <v>1878</v>
      </c>
      <c r="D289" s="109" t="s">
        <v>1878</v>
      </c>
      <c r="E289" s="142"/>
      <c r="F289" s="142">
        <v>11</v>
      </c>
      <c r="G289" s="142"/>
      <c r="H289" s="142">
        <v>0</v>
      </c>
      <c r="I289" s="143">
        <v>11</v>
      </c>
      <c r="J289" s="151">
        <v>0</v>
      </c>
      <c r="K289" s="151">
        <v>11</v>
      </c>
      <c r="L289" s="151">
        <v>11</v>
      </c>
      <c r="M289" s="151">
        <v>11</v>
      </c>
      <c r="N289" s="151">
        <v>11</v>
      </c>
      <c r="O289" s="151">
        <v>11</v>
      </c>
      <c r="P289" s="151">
        <v>11</v>
      </c>
      <c r="Q289" s="151">
        <v>11</v>
      </c>
      <c r="R289" s="151">
        <v>11</v>
      </c>
      <c r="S289" s="151">
        <v>11</v>
      </c>
      <c r="T289" s="151">
        <v>11</v>
      </c>
      <c r="U289" s="151">
        <v>11</v>
      </c>
      <c r="V289" s="151">
        <v>11</v>
      </c>
    </row>
    <row r="290" spans="1:22" x14ac:dyDescent="0.35">
      <c r="A290" s="150"/>
      <c r="B290" s="127" t="s">
        <v>1885</v>
      </c>
      <c r="C290" s="108" t="s">
        <v>1879</v>
      </c>
      <c r="D290" s="109" t="s">
        <v>1879</v>
      </c>
      <c r="E290" s="142"/>
      <c r="F290" s="142">
        <v>1</v>
      </c>
      <c r="G290" s="142"/>
      <c r="H290" s="142">
        <v>0</v>
      </c>
      <c r="I290" s="143">
        <v>1</v>
      </c>
      <c r="J290" s="151">
        <v>0</v>
      </c>
      <c r="K290" s="151">
        <v>1</v>
      </c>
      <c r="L290" s="151">
        <v>1</v>
      </c>
      <c r="M290" s="151">
        <v>1</v>
      </c>
      <c r="N290" s="151">
        <v>1</v>
      </c>
      <c r="O290" s="151">
        <v>1</v>
      </c>
      <c r="P290" s="151">
        <v>1</v>
      </c>
      <c r="Q290" s="151">
        <v>1</v>
      </c>
      <c r="R290" s="151">
        <v>1</v>
      </c>
      <c r="S290" s="151">
        <v>1</v>
      </c>
      <c r="T290" s="151">
        <v>1</v>
      </c>
      <c r="U290" s="151">
        <v>1</v>
      </c>
      <c r="V290" s="151">
        <v>1</v>
      </c>
    </row>
    <row r="291" spans="1:22" x14ac:dyDescent="0.35">
      <c r="A291" s="150"/>
      <c r="B291" s="127" t="s">
        <v>1885</v>
      </c>
      <c r="C291" s="108" t="s">
        <v>1880</v>
      </c>
      <c r="D291" s="109" t="s">
        <v>1880</v>
      </c>
      <c r="E291" s="142"/>
      <c r="F291" s="142">
        <v>20</v>
      </c>
      <c r="G291" s="142"/>
      <c r="H291" s="142">
        <v>0</v>
      </c>
      <c r="I291" s="143">
        <v>20</v>
      </c>
      <c r="J291" s="151">
        <v>0</v>
      </c>
      <c r="K291" s="151">
        <v>18</v>
      </c>
      <c r="L291" s="151">
        <v>18</v>
      </c>
      <c r="M291" s="151">
        <v>18</v>
      </c>
      <c r="N291" s="151">
        <v>18</v>
      </c>
      <c r="O291" s="151">
        <v>18</v>
      </c>
      <c r="P291" s="151">
        <v>18</v>
      </c>
      <c r="Q291" s="151">
        <v>18</v>
      </c>
      <c r="R291" s="151">
        <v>18</v>
      </c>
      <c r="S291" s="151">
        <v>18</v>
      </c>
      <c r="T291" s="151">
        <v>18</v>
      </c>
      <c r="U291" s="151">
        <v>18</v>
      </c>
      <c r="V291" s="151">
        <v>18</v>
      </c>
    </row>
    <row r="292" spans="1:22" x14ac:dyDescent="0.35">
      <c r="A292" s="150"/>
      <c r="B292" s="127" t="s">
        <v>1885</v>
      </c>
      <c r="C292" s="108" t="s">
        <v>1881</v>
      </c>
      <c r="D292" s="109" t="s">
        <v>1881</v>
      </c>
      <c r="E292" s="142"/>
      <c r="F292" s="142">
        <v>11</v>
      </c>
      <c r="G292" s="142"/>
      <c r="H292" s="142">
        <v>1</v>
      </c>
      <c r="I292" s="143">
        <v>12</v>
      </c>
      <c r="J292" s="151">
        <v>0</v>
      </c>
      <c r="K292" s="151">
        <v>12</v>
      </c>
      <c r="L292" s="151">
        <v>12</v>
      </c>
      <c r="M292" s="151">
        <v>12</v>
      </c>
      <c r="N292" s="151">
        <v>12</v>
      </c>
      <c r="O292" s="151">
        <v>12</v>
      </c>
      <c r="P292" s="151">
        <v>12</v>
      </c>
      <c r="Q292" s="151">
        <v>12</v>
      </c>
      <c r="R292" s="151">
        <v>12</v>
      </c>
      <c r="S292" s="151">
        <v>12</v>
      </c>
      <c r="T292" s="151">
        <v>12</v>
      </c>
      <c r="U292" s="151">
        <v>12</v>
      </c>
      <c r="V292" s="151">
        <v>12</v>
      </c>
    </row>
    <row r="293" spans="1:22" x14ac:dyDescent="0.35">
      <c r="A293" s="150"/>
      <c r="B293" s="127" t="s">
        <v>1885</v>
      </c>
      <c r="C293" s="108" t="s">
        <v>1882</v>
      </c>
      <c r="D293" s="109" t="s">
        <v>1882</v>
      </c>
      <c r="E293" s="142"/>
      <c r="F293" s="142">
        <v>3</v>
      </c>
      <c r="G293" s="142"/>
      <c r="H293" s="142">
        <v>0</v>
      </c>
      <c r="I293" s="143">
        <v>3</v>
      </c>
      <c r="J293" s="151">
        <v>0</v>
      </c>
      <c r="K293" s="151">
        <v>3</v>
      </c>
      <c r="L293" s="151">
        <v>3</v>
      </c>
      <c r="M293" s="151">
        <v>3</v>
      </c>
      <c r="N293" s="151">
        <v>3</v>
      </c>
      <c r="O293" s="151">
        <v>3</v>
      </c>
      <c r="P293" s="151">
        <v>3</v>
      </c>
      <c r="Q293" s="151">
        <v>3</v>
      </c>
      <c r="R293" s="151">
        <v>3</v>
      </c>
      <c r="S293" s="151">
        <v>3</v>
      </c>
      <c r="T293" s="151">
        <v>3</v>
      </c>
      <c r="U293" s="151">
        <v>3</v>
      </c>
      <c r="V293" s="151">
        <v>3</v>
      </c>
    </row>
    <row r="294" spans="1:22" x14ac:dyDescent="0.35">
      <c r="A294" s="150"/>
      <c r="B294" s="127" t="s">
        <v>1885</v>
      </c>
      <c r="C294" s="108" t="s">
        <v>1883</v>
      </c>
      <c r="D294" s="109" t="s">
        <v>1883</v>
      </c>
      <c r="E294" s="142"/>
      <c r="F294" s="142">
        <v>3</v>
      </c>
      <c r="G294" s="142"/>
      <c r="H294" s="142">
        <v>1</v>
      </c>
      <c r="I294" s="143">
        <v>4</v>
      </c>
      <c r="J294" s="151">
        <v>0</v>
      </c>
      <c r="K294" s="151">
        <v>4</v>
      </c>
      <c r="L294" s="151">
        <v>4</v>
      </c>
      <c r="M294" s="151">
        <v>4</v>
      </c>
      <c r="N294" s="151">
        <v>4</v>
      </c>
      <c r="O294" s="151">
        <v>4</v>
      </c>
      <c r="P294" s="151">
        <v>4</v>
      </c>
      <c r="Q294" s="151">
        <v>4</v>
      </c>
      <c r="R294" s="151">
        <v>4</v>
      </c>
      <c r="S294" s="151">
        <v>4</v>
      </c>
      <c r="T294" s="151">
        <v>4</v>
      </c>
      <c r="U294" s="151">
        <v>4</v>
      </c>
      <c r="V294" s="151">
        <v>4</v>
      </c>
    </row>
    <row r="295" spans="1:22" x14ac:dyDescent="0.35">
      <c r="A295" s="150"/>
      <c r="B295" s="128" t="s">
        <v>1885</v>
      </c>
      <c r="C295" s="110" t="s">
        <v>1884</v>
      </c>
      <c r="D295" s="111" t="s">
        <v>1884</v>
      </c>
      <c r="E295" s="144"/>
      <c r="F295" s="144">
        <v>3</v>
      </c>
      <c r="G295" s="144"/>
      <c r="H295" s="144">
        <v>0</v>
      </c>
      <c r="I295" s="145">
        <v>3</v>
      </c>
      <c r="J295" s="152">
        <v>0</v>
      </c>
      <c r="K295" s="152">
        <v>3</v>
      </c>
      <c r="L295" s="152">
        <v>3</v>
      </c>
      <c r="M295" s="152">
        <v>3</v>
      </c>
      <c r="N295" s="152">
        <v>3</v>
      </c>
      <c r="O295" s="152">
        <v>3</v>
      </c>
      <c r="P295" s="152">
        <v>3</v>
      </c>
      <c r="Q295" s="152">
        <v>3</v>
      </c>
      <c r="R295" s="152">
        <v>3</v>
      </c>
      <c r="S295" s="152">
        <v>3</v>
      </c>
      <c r="T295" s="152">
        <v>3</v>
      </c>
      <c r="U295" s="152">
        <v>3</v>
      </c>
      <c r="V295" s="152">
        <v>3</v>
      </c>
    </row>
    <row r="296" spans="1:22" x14ac:dyDescent="0.35">
      <c r="A296" s="150"/>
      <c r="B296" s="128" t="s">
        <v>1885</v>
      </c>
      <c r="C296" s="192" t="s">
        <v>1888</v>
      </c>
      <c r="D296" s="192" t="s">
        <v>1888</v>
      </c>
      <c r="E296" s="144"/>
      <c r="F296" s="144">
        <v>3</v>
      </c>
      <c r="G296" s="144"/>
      <c r="H296" s="144">
        <v>0</v>
      </c>
      <c r="I296" s="145">
        <v>3</v>
      </c>
      <c r="J296" s="152">
        <v>0</v>
      </c>
      <c r="K296" s="152">
        <v>3</v>
      </c>
      <c r="L296" s="152">
        <v>3</v>
      </c>
      <c r="M296" s="152">
        <v>3</v>
      </c>
      <c r="N296" s="152">
        <v>3</v>
      </c>
      <c r="O296" s="152">
        <v>3</v>
      </c>
      <c r="P296" s="152">
        <v>3</v>
      </c>
      <c r="Q296" s="152">
        <v>3</v>
      </c>
      <c r="R296" s="152">
        <v>3</v>
      </c>
      <c r="S296" s="152">
        <v>3</v>
      </c>
      <c r="T296" s="152">
        <v>3</v>
      </c>
      <c r="U296" s="152">
        <v>3</v>
      </c>
      <c r="V296" s="152">
        <v>3</v>
      </c>
    </row>
  </sheetData>
  <autoFilter ref="A3:V340" xr:uid="{F6786D6F-745E-4E37-8EEF-0C74B71BAB62}"/>
  <mergeCells count="2">
    <mergeCell ref="F2:H2"/>
    <mergeCell ref="I2:J2"/>
  </mergeCells>
  <conditionalFormatting sqref="A4:V4 C5:W5 A5:B112 A113:W113 A114:V296">
    <cfRule type="expression" dxfId="3" priority="6">
      <formula>MOD(ROW(),2)=0</formula>
    </cfRule>
  </conditionalFormatting>
  <conditionalFormatting sqref="C6:V112">
    <cfRule type="expression" dxfId="2" priority="4">
      <formula>MOD(ROW(),2)=0</formula>
    </cfRule>
  </conditionalFormatting>
  <pageMargins left="0.7" right="0.7" top="0.75" bottom="0.75" header="0.3" footer="0.3"/>
  <pageSetup paperSize="9" scale="34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D4DA-C3A8-4AA3-930C-5B43B74856E3}">
  <sheetPr filterMode="1"/>
  <dimension ref="B1:I1247"/>
  <sheetViews>
    <sheetView showGridLines="0" zoomScale="90" zoomScaleNormal="90" workbookViewId="0">
      <pane ySplit="2" topLeftCell="A74" activePane="bottomLeft" state="frozen"/>
      <selection pane="bottomLeft" activeCell="C1251" sqref="C1251"/>
    </sheetView>
  </sheetViews>
  <sheetFormatPr defaultRowHeight="14.5" x14ac:dyDescent="0.35"/>
  <cols>
    <col min="1" max="1" width="3.6328125" customWidth="1"/>
    <col min="2" max="2" width="22" customWidth="1"/>
    <col min="3" max="3" width="36.90625" customWidth="1"/>
    <col min="4" max="4" width="36.90625" style="85" hidden="1" customWidth="1"/>
    <col min="5" max="5" width="59" customWidth="1"/>
    <col min="6" max="6" width="63.08984375" customWidth="1"/>
    <col min="7" max="7" width="48.54296875" customWidth="1"/>
    <col min="8" max="8" width="23.36328125" customWidth="1"/>
  </cols>
  <sheetData>
    <row r="1" spans="2:9" ht="15" thickBot="1" x14ac:dyDescent="0.4"/>
    <row r="2" spans="2:9" ht="20" customHeight="1" x14ac:dyDescent="0.35">
      <c r="B2" s="81" t="s">
        <v>1758</v>
      </c>
      <c r="C2" s="81" t="s">
        <v>178</v>
      </c>
      <c r="D2" s="81"/>
      <c r="E2" s="81" t="s">
        <v>3</v>
      </c>
      <c r="F2" s="81" t="s">
        <v>14</v>
      </c>
      <c r="G2" s="82" t="s">
        <v>179</v>
      </c>
      <c r="H2" s="83" t="s">
        <v>256</v>
      </c>
    </row>
    <row r="3" spans="2:9" ht="15" hidden="1" customHeight="1" x14ac:dyDescent="0.35">
      <c r="B3" s="96" t="s">
        <v>162</v>
      </c>
      <c r="C3" s="91" t="s">
        <v>192</v>
      </c>
      <c r="D3" s="91"/>
      <c r="E3" s="91" t="s">
        <v>180</v>
      </c>
      <c r="F3" s="91" t="s">
        <v>180</v>
      </c>
      <c r="G3" s="91" t="s">
        <v>181</v>
      </c>
      <c r="H3" s="92" t="s">
        <v>227</v>
      </c>
      <c r="I3" s="86"/>
    </row>
    <row r="4" spans="2:9" ht="15" hidden="1" customHeight="1" x14ac:dyDescent="0.35">
      <c r="B4" s="96" t="s">
        <v>162</v>
      </c>
      <c r="C4" s="91" t="s">
        <v>193</v>
      </c>
      <c r="D4" s="91"/>
      <c r="E4" s="91" t="s">
        <v>180</v>
      </c>
      <c r="F4" s="91" t="s">
        <v>180</v>
      </c>
      <c r="G4" s="91" t="s">
        <v>182</v>
      </c>
      <c r="H4" s="92" t="s">
        <v>227</v>
      </c>
      <c r="I4" s="86"/>
    </row>
    <row r="5" spans="2:9" ht="15" hidden="1" customHeight="1" x14ac:dyDescent="0.35">
      <c r="B5" s="96" t="s">
        <v>162</v>
      </c>
      <c r="C5" s="91" t="s">
        <v>194</v>
      </c>
      <c r="D5" s="91"/>
      <c r="E5" s="91" t="s">
        <v>180</v>
      </c>
      <c r="F5" s="91" t="s">
        <v>180</v>
      </c>
      <c r="G5" s="91" t="s">
        <v>183</v>
      </c>
      <c r="H5" s="92" t="s">
        <v>227</v>
      </c>
      <c r="I5" s="86"/>
    </row>
    <row r="6" spans="2:9" ht="15" hidden="1" customHeight="1" x14ac:dyDescent="0.35">
      <c r="B6" s="96" t="s">
        <v>162</v>
      </c>
      <c r="C6" s="91" t="s">
        <v>195</v>
      </c>
      <c r="D6" s="91"/>
      <c r="E6" s="91" t="s">
        <v>180</v>
      </c>
      <c r="F6" s="91" t="s">
        <v>180</v>
      </c>
      <c r="G6" s="91" t="s">
        <v>183</v>
      </c>
      <c r="H6" s="92" t="s">
        <v>227</v>
      </c>
      <c r="I6" s="86"/>
    </row>
    <row r="7" spans="2:9" ht="15" hidden="1" customHeight="1" x14ac:dyDescent="0.35">
      <c r="B7" s="96" t="s">
        <v>162</v>
      </c>
      <c r="C7" s="91" t="s">
        <v>196</v>
      </c>
      <c r="D7" s="91"/>
      <c r="E7" s="91" t="s">
        <v>180</v>
      </c>
      <c r="F7" s="91" t="s">
        <v>180</v>
      </c>
      <c r="G7" s="91" t="s">
        <v>184</v>
      </c>
      <c r="H7" s="92" t="s">
        <v>227</v>
      </c>
      <c r="I7" s="86"/>
    </row>
    <row r="8" spans="2:9" ht="15" hidden="1" customHeight="1" x14ac:dyDescent="0.35">
      <c r="B8" s="96" t="s">
        <v>162</v>
      </c>
      <c r="C8" s="91" t="s">
        <v>197</v>
      </c>
      <c r="D8" s="91"/>
      <c r="E8" s="91" t="s">
        <v>180</v>
      </c>
      <c r="F8" s="91" t="s">
        <v>180</v>
      </c>
      <c r="G8" s="91" t="s">
        <v>184</v>
      </c>
      <c r="H8" s="92" t="s">
        <v>227</v>
      </c>
      <c r="I8" s="86"/>
    </row>
    <row r="9" spans="2:9" ht="15" hidden="1" customHeight="1" x14ac:dyDescent="0.35">
      <c r="B9" s="96" t="s">
        <v>162</v>
      </c>
      <c r="C9" s="91" t="s">
        <v>198</v>
      </c>
      <c r="D9" s="91"/>
      <c r="E9" s="91" t="s">
        <v>180</v>
      </c>
      <c r="F9" s="91" t="s">
        <v>180</v>
      </c>
      <c r="G9" s="91" t="s">
        <v>184</v>
      </c>
      <c r="H9" s="92" t="s">
        <v>227</v>
      </c>
      <c r="I9" s="86"/>
    </row>
    <row r="10" spans="2:9" ht="15" hidden="1" customHeight="1" x14ac:dyDescent="0.35">
      <c r="B10" s="96" t="s">
        <v>162</v>
      </c>
      <c r="C10" s="91" t="s">
        <v>199</v>
      </c>
      <c r="D10" s="91"/>
      <c r="E10" s="91" t="s">
        <v>180</v>
      </c>
      <c r="F10" s="91" t="s">
        <v>180</v>
      </c>
      <c r="G10" s="91" t="s">
        <v>184</v>
      </c>
      <c r="H10" s="92" t="s">
        <v>227</v>
      </c>
      <c r="I10" s="86"/>
    </row>
    <row r="11" spans="2:9" ht="15" hidden="1" customHeight="1" x14ac:dyDescent="0.35">
      <c r="B11" s="96" t="s">
        <v>162</v>
      </c>
      <c r="C11" s="91" t="s">
        <v>200</v>
      </c>
      <c r="D11" s="91"/>
      <c r="E11" s="91" t="s">
        <v>180</v>
      </c>
      <c r="F11" s="91" t="s">
        <v>180</v>
      </c>
      <c r="G11" s="91" t="s">
        <v>185</v>
      </c>
      <c r="H11" s="92" t="s">
        <v>227</v>
      </c>
      <c r="I11" s="86"/>
    </row>
    <row r="12" spans="2:9" ht="15" hidden="1" customHeight="1" x14ac:dyDescent="0.35">
      <c r="B12" s="96" t="s">
        <v>162</v>
      </c>
      <c r="C12" s="91" t="s">
        <v>201</v>
      </c>
      <c r="D12" s="91"/>
      <c r="E12" s="91" t="s">
        <v>180</v>
      </c>
      <c r="F12" s="91" t="s">
        <v>180</v>
      </c>
      <c r="G12" s="91" t="s">
        <v>185</v>
      </c>
      <c r="H12" s="92" t="s">
        <v>227</v>
      </c>
      <c r="I12" s="86"/>
    </row>
    <row r="13" spans="2:9" ht="15" hidden="1" customHeight="1" x14ac:dyDescent="0.35">
      <c r="B13" s="96" t="s">
        <v>162</v>
      </c>
      <c r="C13" s="91" t="s">
        <v>202</v>
      </c>
      <c r="D13" s="91"/>
      <c r="E13" s="91" t="s">
        <v>180</v>
      </c>
      <c r="F13" s="91" t="s">
        <v>180</v>
      </c>
      <c r="G13" s="91" t="s">
        <v>185</v>
      </c>
      <c r="H13" s="92" t="s">
        <v>227</v>
      </c>
      <c r="I13" s="86"/>
    </row>
    <row r="14" spans="2:9" ht="15" hidden="1" customHeight="1" x14ac:dyDescent="0.35">
      <c r="B14" s="96" t="s">
        <v>162</v>
      </c>
      <c r="C14" s="91" t="s">
        <v>203</v>
      </c>
      <c r="D14" s="91"/>
      <c r="E14" s="91" t="s">
        <v>180</v>
      </c>
      <c r="F14" s="91" t="s">
        <v>180</v>
      </c>
      <c r="G14" s="91" t="s">
        <v>185</v>
      </c>
      <c r="H14" s="92" t="s">
        <v>227</v>
      </c>
      <c r="I14" s="86"/>
    </row>
    <row r="15" spans="2:9" ht="15" hidden="1" customHeight="1" x14ac:dyDescent="0.35">
      <c r="B15" s="96" t="s">
        <v>162</v>
      </c>
      <c r="C15" s="91" t="s">
        <v>204</v>
      </c>
      <c r="D15" s="91"/>
      <c r="E15" s="91" t="s">
        <v>180</v>
      </c>
      <c r="F15" s="91" t="s">
        <v>180</v>
      </c>
      <c r="G15" s="91" t="s">
        <v>185</v>
      </c>
      <c r="H15" s="92" t="s">
        <v>227</v>
      </c>
      <c r="I15" s="86"/>
    </row>
    <row r="16" spans="2:9" ht="15" hidden="1" customHeight="1" x14ac:dyDescent="0.35">
      <c r="B16" s="96" t="s">
        <v>162</v>
      </c>
      <c r="C16" s="91" t="s">
        <v>205</v>
      </c>
      <c r="D16" s="91"/>
      <c r="E16" s="91" t="s">
        <v>180</v>
      </c>
      <c r="F16" s="91" t="s">
        <v>180</v>
      </c>
      <c r="G16" s="91" t="s">
        <v>185</v>
      </c>
      <c r="H16" s="92" t="s">
        <v>227</v>
      </c>
      <c r="I16" s="86"/>
    </row>
    <row r="17" spans="2:9" ht="15" hidden="1" customHeight="1" x14ac:dyDescent="0.35">
      <c r="B17" s="96" t="s">
        <v>162</v>
      </c>
      <c r="C17" s="91" t="s">
        <v>206</v>
      </c>
      <c r="D17" s="91"/>
      <c r="E17" s="91" t="s">
        <v>180</v>
      </c>
      <c r="F17" s="91" t="s">
        <v>180</v>
      </c>
      <c r="G17" s="91" t="s">
        <v>185</v>
      </c>
      <c r="H17" s="92" t="s">
        <v>227</v>
      </c>
      <c r="I17" s="86"/>
    </row>
    <row r="18" spans="2:9" ht="15" hidden="1" customHeight="1" x14ac:dyDescent="0.35">
      <c r="B18" s="96" t="s">
        <v>162</v>
      </c>
      <c r="C18" s="91" t="s">
        <v>207</v>
      </c>
      <c r="D18" s="91"/>
      <c r="E18" s="91" t="s">
        <v>180</v>
      </c>
      <c r="F18" s="91" t="s">
        <v>180</v>
      </c>
      <c r="G18" s="91" t="s">
        <v>185</v>
      </c>
      <c r="H18" s="92" t="s">
        <v>227</v>
      </c>
      <c r="I18" s="86"/>
    </row>
    <row r="19" spans="2:9" ht="15" hidden="1" customHeight="1" x14ac:dyDescent="0.35">
      <c r="B19" s="96" t="s">
        <v>1848</v>
      </c>
      <c r="C19" s="91" t="s">
        <v>208</v>
      </c>
      <c r="D19" s="91" t="str">
        <f>VLOOKUP(C19,'[1]Birbank İşçi Siyahı'!$B:$I,8,)</f>
        <v>Future lab</v>
      </c>
      <c r="E19" s="91" t="s">
        <v>180</v>
      </c>
      <c r="F19" s="91" t="s">
        <v>180</v>
      </c>
      <c r="G19" s="91" t="s">
        <v>185</v>
      </c>
      <c r="H19" s="92" t="s">
        <v>227</v>
      </c>
      <c r="I19" s="86"/>
    </row>
    <row r="20" spans="2:9" ht="15" hidden="1" customHeight="1" x14ac:dyDescent="0.35">
      <c r="B20" s="96" t="s">
        <v>162</v>
      </c>
      <c r="C20" s="91" t="s">
        <v>209</v>
      </c>
      <c r="D20" s="91"/>
      <c r="E20" s="91" t="s">
        <v>180</v>
      </c>
      <c r="F20" s="91" t="s">
        <v>180</v>
      </c>
      <c r="G20" s="91" t="s">
        <v>185</v>
      </c>
      <c r="H20" s="92" t="s">
        <v>227</v>
      </c>
      <c r="I20" s="86"/>
    </row>
    <row r="21" spans="2:9" ht="15" hidden="1" customHeight="1" x14ac:dyDescent="0.35">
      <c r="B21" s="96" t="s">
        <v>162</v>
      </c>
      <c r="C21" s="91" t="s">
        <v>210</v>
      </c>
      <c r="D21" s="91"/>
      <c r="E21" s="91" t="s">
        <v>180</v>
      </c>
      <c r="F21" s="91" t="s">
        <v>180</v>
      </c>
      <c r="G21" s="91" t="s">
        <v>185</v>
      </c>
      <c r="H21" s="92" t="s">
        <v>227</v>
      </c>
      <c r="I21" s="86"/>
    </row>
    <row r="22" spans="2:9" ht="15" hidden="1" customHeight="1" x14ac:dyDescent="0.35">
      <c r="B22" s="96" t="s">
        <v>162</v>
      </c>
      <c r="C22" s="91" t="s">
        <v>211</v>
      </c>
      <c r="D22" s="91"/>
      <c r="E22" s="91" t="s">
        <v>180</v>
      </c>
      <c r="F22" s="91" t="s">
        <v>180</v>
      </c>
      <c r="G22" s="91" t="s">
        <v>185</v>
      </c>
      <c r="H22" s="92" t="s">
        <v>227</v>
      </c>
      <c r="I22" s="86"/>
    </row>
    <row r="23" spans="2:9" ht="15" hidden="1" customHeight="1" x14ac:dyDescent="0.35">
      <c r="B23" s="96" t="s">
        <v>162</v>
      </c>
      <c r="C23" s="91" t="s">
        <v>212</v>
      </c>
      <c r="D23" s="91"/>
      <c r="E23" s="91" t="s">
        <v>180</v>
      </c>
      <c r="F23" s="91" t="s">
        <v>180</v>
      </c>
      <c r="G23" s="91" t="s">
        <v>186</v>
      </c>
      <c r="H23" s="92" t="s">
        <v>227</v>
      </c>
      <c r="I23" s="86"/>
    </row>
    <row r="24" spans="2:9" ht="15" hidden="1" customHeight="1" x14ac:dyDescent="0.35">
      <c r="B24" s="96" t="s">
        <v>162</v>
      </c>
      <c r="C24" s="91" t="s">
        <v>213</v>
      </c>
      <c r="D24" s="91"/>
      <c r="E24" s="91" t="s">
        <v>180</v>
      </c>
      <c r="F24" s="91" t="s">
        <v>180</v>
      </c>
      <c r="G24" s="91" t="s">
        <v>187</v>
      </c>
      <c r="H24" s="92" t="s">
        <v>227</v>
      </c>
      <c r="I24" s="86"/>
    </row>
    <row r="25" spans="2:9" ht="15" hidden="1" customHeight="1" x14ac:dyDescent="0.35">
      <c r="B25" s="96" t="s">
        <v>162</v>
      </c>
      <c r="C25" s="91" t="s">
        <v>214</v>
      </c>
      <c r="D25" s="91"/>
      <c r="E25" s="91" t="s">
        <v>180</v>
      </c>
      <c r="F25" s="91" t="s">
        <v>180</v>
      </c>
      <c r="G25" s="91" t="s">
        <v>183</v>
      </c>
      <c r="H25" s="92" t="s">
        <v>227</v>
      </c>
      <c r="I25" s="86"/>
    </row>
    <row r="26" spans="2:9" ht="15" hidden="1" customHeight="1" x14ac:dyDescent="0.35">
      <c r="B26" s="96" t="s">
        <v>162</v>
      </c>
      <c r="C26" s="91" t="s">
        <v>215</v>
      </c>
      <c r="D26" s="91"/>
      <c r="E26" s="91" t="s">
        <v>180</v>
      </c>
      <c r="F26" s="91" t="s">
        <v>180</v>
      </c>
      <c r="G26" s="91" t="s">
        <v>183</v>
      </c>
      <c r="H26" s="92" t="s">
        <v>227</v>
      </c>
      <c r="I26" s="86"/>
    </row>
    <row r="27" spans="2:9" ht="15" hidden="1" customHeight="1" x14ac:dyDescent="0.35">
      <c r="B27" s="96" t="s">
        <v>162</v>
      </c>
      <c r="C27" s="91" t="s">
        <v>216</v>
      </c>
      <c r="D27" s="91"/>
      <c r="E27" s="91" t="s">
        <v>180</v>
      </c>
      <c r="F27" s="91" t="s">
        <v>180</v>
      </c>
      <c r="G27" s="91" t="s">
        <v>183</v>
      </c>
      <c r="H27" s="92" t="s">
        <v>227</v>
      </c>
      <c r="I27" s="86"/>
    </row>
    <row r="28" spans="2:9" ht="15" hidden="1" customHeight="1" x14ac:dyDescent="0.35">
      <c r="B28" s="96" t="s">
        <v>162</v>
      </c>
      <c r="C28" s="91" t="s">
        <v>217</v>
      </c>
      <c r="D28" s="91"/>
      <c r="E28" s="91" t="s">
        <v>180</v>
      </c>
      <c r="F28" s="91" t="s">
        <v>180</v>
      </c>
      <c r="G28" s="91" t="s">
        <v>184</v>
      </c>
      <c r="H28" s="92" t="s">
        <v>227</v>
      </c>
      <c r="I28" s="86"/>
    </row>
    <row r="29" spans="2:9" ht="15" hidden="1" customHeight="1" x14ac:dyDescent="0.35">
      <c r="B29" s="96" t="s">
        <v>162</v>
      </c>
      <c r="C29" s="91" t="s">
        <v>218</v>
      </c>
      <c r="D29" s="91"/>
      <c r="E29" s="91" t="s">
        <v>180</v>
      </c>
      <c r="F29" s="91" t="s">
        <v>180</v>
      </c>
      <c r="G29" s="91" t="s">
        <v>184</v>
      </c>
      <c r="H29" s="92" t="s">
        <v>227</v>
      </c>
      <c r="I29" s="86"/>
    </row>
    <row r="30" spans="2:9" ht="15" hidden="1" customHeight="1" x14ac:dyDescent="0.35">
      <c r="B30" s="96" t="s">
        <v>162</v>
      </c>
      <c r="C30" s="91" t="s">
        <v>219</v>
      </c>
      <c r="D30" s="91"/>
      <c r="E30" s="91" t="s">
        <v>180</v>
      </c>
      <c r="F30" s="91" t="s">
        <v>180</v>
      </c>
      <c r="G30" s="91" t="s">
        <v>184</v>
      </c>
      <c r="H30" s="92" t="s">
        <v>227</v>
      </c>
      <c r="I30" s="86"/>
    </row>
    <row r="31" spans="2:9" ht="15" hidden="1" customHeight="1" x14ac:dyDescent="0.35">
      <c r="B31" s="96" t="s">
        <v>162</v>
      </c>
      <c r="C31" s="91" t="s">
        <v>220</v>
      </c>
      <c r="D31" s="91"/>
      <c r="E31" s="91" t="s">
        <v>180</v>
      </c>
      <c r="F31" s="91" t="s">
        <v>180</v>
      </c>
      <c r="G31" s="91" t="s">
        <v>184</v>
      </c>
      <c r="H31" s="92" t="s">
        <v>227</v>
      </c>
      <c r="I31" s="86"/>
    </row>
    <row r="32" spans="2:9" ht="15" hidden="1" customHeight="1" x14ac:dyDescent="0.35">
      <c r="B32" s="96" t="s">
        <v>162</v>
      </c>
      <c r="C32" s="91" t="s">
        <v>221</v>
      </c>
      <c r="D32" s="91"/>
      <c r="E32" s="91" t="s">
        <v>180</v>
      </c>
      <c r="F32" s="91" t="s">
        <v>180</v>
      </c>
      <c r="G32" s="91" t="s">
        <v>188</v>
      </c>
      <c r="H32" s="92" t="s">
        <v>227</v>
      </c>
      <c r="I32" s="86"/>
    </row>
    <row r="33" spans="2:9" ht="15" hidden="1" customHeight="1" x14ac:dyDescent="0.35">
      <c r="B33" s="96" t="s">
        <v>171</v>
      </c>
      <c r="C33" s="91" t="s">
        <v>222</v>
      </c>
      <c r="D33" s="91"/>
      <c r="E33" s="91" t="s">
        <v>180</v>
      </c>
      <c r="F33" s="91" t="s">
        <v>180</v>
      </c>
      <c r="G33" s="91" t="s">
        <v>189</v>
      </c>
      <c r="H33" s="92" t="s">
        <v>226</v>
      </c>
      <c r="I33" s="86"/>
    </row>
    <row r="34" spans="2:9" ht="15" hidden="1" customHeight="1" x14ac:dyDescent="0.35">
      <c r="B34" s="96" t="s">
        <v>171</v>
      </c>
      <c r="C34" s="91" t="s">
        <v>223</v>
      </c>
      <c r="D34" s="91"/>
      <c r="E34" s="91" t="s">
        <v>180</v>
      </c>
      <c r="F34" s="91" t="s">
        <v>180</v>
      </c>
      <c r="G34" s="91" t="s">
        <v>189</v>
      </c>
      <c r="H34" s="92" t="s">
        <v>226</v>
      </c>
      <c r="I34" s="86"/>
    </row>
    <row r="35" spans="2:9" ht="15" hidden="1" customHeight="1" x14ac:dyDescent="0.35">
      <c r="B35" s="96" t="s">
        <v>164</v>
      </c>
      <c r="C35" s="91" t="s">
        <v>224</v>
      </c>
      <c r="D35" s="91"/>
      <c r="E35" s="91" t="s">
        <v>180</v>
      </c>
      <c r="F35" s="91" t="s">
        <v>180</v>
      </c>
      <c r="G35" s="91" t="s">
        <v>190</v>
      </c>
      <c r="H35" s="92" t="s">
        <v>226</v>
      </c>
      <c r="I35" s="86"/>
    </row>
    <row r="36" spans="2:9" ht="15" hidden="1" customHeight="1" x14ac:dyDescent="0.35">
      <c r="B36" s="96" t="s">
        <v>164</v>
      </c>
      <c r="C36" s="91" t="s">
        <v>225</v>
      </c>
      <c r="D36" s="91"/>
      <c r="E36" s="91" t="s">
        <v>180</v>
      </c>
      <c r="F36" s="91" t="s">
        <v>180</v>
      </c>
      <c r="G36" s="91" t="s">
        <v>191</v>
      </c>
      <c r="H36" s="92" t="s">
        <v>226</v>
      </c>
      <c r="I36" s="86"/>
    </row>
    <row r="37" spans="2:9" ht="15" hidden="1" customHeight="1" x14ac:dyDescent="0.35">
      <c r="B37" s="96" t="s">
        <v>162</v>
      </c>
      <c r="C37" s="91" t="s">
        <v>253</v>
      </c>
      <c r="D37" s="91" t="e">
        <f>VLOOKUP(C37,'[1]Birbank İşçi Siyahı'!$B:$I,8,)</f>
        <v>#N/A</v>
      </c>
      <c r="E37" s="91" t="s">
        <v>180</v>
      </c>
      <c r="F37" s="91" t="s">
        <v>180</v>
      </c>
      <c r="G37" s="91" t="s">
        <v>185</v>
      </c>
      <c r="H37" s="92" t="s">
        <v>226</v>
      </c>
      <c r="I37" s="86"/>
    </row>
    <row r="38" spans="2:9" ht="15" hidden="1" customHeight="1" x14ac:dyDescent="0.35">
      <c r="B38" s="96" t="s">
        <v>162</v>
      </c>
      <c r="C38" s="91" t="s">
        <v>254</v>
      </c>
      <c r="D38" s="91" t="e">
        <f>VLOOKUP(C38,'[1]Birbank İşçi Siyahı'!$B:$I,8,)</f>
        <v>#N/A</v>
      </c>
      <c r="E38" s="91" t="s">
        <v>180</v>
      </c>
      <c r="F38" s="91" t="s">
        <v>180</v>
      </c>
      <c r="G38" s="91" t="s">
        <v>185</v>
      </c>
      <c r="H38" s="92" t="s">
        <v>322</v>
      </c>
      <c r="I38" s="86"/>
    </row>
    <row r="39" spans="2:9" ht="15" hidden="1" customHeight="1" x14ac:dyDescent="0.35">
      <c r="B39" s="96" t="s">
        <v>162</v>
      </c>
      <c r="C39" s="92" t="s">
        <v>228</v>
      </c>
      <c r="D39" s="91"/>
      <c r="E39" s="92" t="s">
        <v>246</v>
      </c>
      <c r="F39" s="92" t="s">
        <v>246</v>
      </c>
      <c r="G39" s="92" t="s">
        <v>247</v>
      </c>
      <c r="H39" s="92" t="s">
        <v>227</v>
      </c>
      <c r="I39" s="86"/>
    </row>
    <row r="40" spans="2:9" ht="15" hidden="1" customHeight="1" x14ac:dyDescent="0.35">
      <c r="B40" s="96" t="s">
        <v>162</v>
      </c>
      <c r="C40" s="92" t="s">
        <v>229</v>
      </c>
      <c r="D40" s="91"/>
      <c r="E40" s="92" t="s">
        <v>246</v>
      </c>
      <c r="F40" s="92" t="s">
        <v>246</v>
      </c>
      <c r="G40" s="92" t="s">
        <v>248</v>
      </c>
      <c r="H40" s="92" t="s">
        <v>227</v>
      </c>
      <c r="I40" s="86"/>
    </row>
    <row r="41" spans="2:9" ht="15" hidden="1" customHeight="1" x14ac:dyDescent="0.35">
      <c r="B41" s="96" t="s">
        <v>162</v>
      </c>
      <c r="C41" s="92" t="s">
        <v>230</v>
      </c>
      <c r="D41" s="91"/>
      <c r="E41" s="92" t="s">
        <v>246</v>
      </c>
      <c r="F41" s="92" t="s">
        <v>246</v>
      </c>
      <c r="G41" s="92" t="s">
        <v>249</v>
      </c>
      <c r="H41" s="92" t="s">
        <v>227</v>
      </c>
      <c r="I41" s="86"/>
    </row>
    <row r="42" spans="2:9" ht="15" hidden="1" customHeight="1" x14ac:dyDescent="0.35">
      <c r="B42" s="96" t="s">
        <v>171</v>
      </c>
      <c r="C42" s="92" t="s">
        <v>231</v>
      </c>
      <c r="D42" s="91" t="str">
        <f>VLOOKUP(C42,'[1]Birbank İşçi Siyahı'!$B:$I,8,)</f>
        <v>Bir Payment</v>
      </c>
      <c r="E42" s="92" t="s">
        <v>246</v>
      </c>
      <c r="F42" s="92" t="s">
        <v>246</v>
      </c>
      <c r="G42" s="92" t="s">
        <v>250</v>
      </c>
      <c r="H42" s="92" t="s">
        <v>227</v>
      </c>
      <c r="I42" s="86"/>
    </row>
    <row r="43" spans="2:9" ht="15" hidden="1" customHeight="1" x14ac:dyDescent="0.35">
      <c r="B43" s="96" t="s">
        <v>162</v>
      </c>
      <c r="C43" s="92" t="s">
        <v>232</v>
      </c>
      <c r="D43" s="91"/>
      <c r="E43" s="92" t="s">
        <v>246</v>
      </c>
      <c r="F43" s="92" t="s">
        <v>246</v>
      </c>
      <c r="G43" s="92" t="s">
        <v>251</v>
      </c>
      <c r="H43" s="92" t="s">
        <v>227</v>
      </c>
      <c r="I43" s="86"/>
    </row>
    <row r="44" spans="2:9" ht="15" hidden="1" customHeight="1" x14ac:dyDescent="0.35">
      <c r="B44" s="96" t="s">
        <v>171</v>
      </c>
      <c r="C44" s="92" t="s">
        <v>233</v>
      </c>
      <c r="D44" s="91" t="str">
        <f>VLOOKUP(C44,'[1]Birbank İşçi Siyahı'!$B:$I,8,)</f>
        <v>Bir Payment</v>
      </c>
      <c r="E44" s="92" t="s">
        <v>246</v>
      </c>
      <c r="F44" s="92" t="s">
        <v>246</v>
      </c>
      <c r="G44" s="92" t="s">
        <v>251</v>
      </c>
      <c r="H44" s="92" t="s">
        <v>227</v>
      </c>
      <c r="I44" s="86"/>
    </row>
    <row r="45" spans="2:9" ht="15" hidden="1" customHeight="1" x14ac:dyDescent="0.35">
      <c r="B45" s="96" t="s">
        <v>162</v>
      </c>
      <c r="C45" s="92" t="s">
        <v>255</v>
      </c>
      <c r="D45" s="91" t="e">
        <f>VLOOKUP(C45,'[1]Birbank İşçi Siyahı'!$B:$I,8,)</f>
        <v>#N/A</v>
      </c>
      <c r="E45" s="92" t="s">
        <v>246</v>
      </c>
      <c r="F45" s="92" t="s">
        <v>246</v>
      </c>
      <c r="G45" s="92" t="s">
        <v>250</v>
      </c>
      <c r="H45" s="92" t="s">
        <v>227</v>
      </c>
      <c r="I45" s="86"/>
    </row>
    <row r="46" spans="2:9" ht="15" hidden="1" customHeight="1" x14ac:dyDescent="0.35">
      <c r="B46" s="96" t="s">
        <v>162</v>
      </c>
      <c r="C46" s="92" t="s">
        <v>234</v>
      </c>
      <c r="D46" s="91"/>
      <c r="E46" s="92" t="s">
        <v>246</v>
      </c>
      <c r="F46" s="92" t="s">
        <v>246</v>
      </c>
      <c r="G46" s="92" t="s">
        <v>251</v>
      </c>
      <c r="H46" s="92" t="s">
        <v>227</v>
      </c>
      <c r="I46" s="86"/>
    </row>
    <row r="47" spans="2:9" ht="15" hidden="1" customHeight="1" x14ac:dyDescent="0.35">
      <c r="B47" s="96" t="s">
        <v>162</v>
      </c>
      <c r="C47" s="92" t="s">
        <v>235</v>
      </c>
      <c r="D47" s="91"/>
      <c r="E47" s="92" t="s">
        <v>246</v>
      </c>
      <c r="F47" s="92" t="s">
        <v>246</v>
      </c>
      <c r="G47" s="92" t="s">
        <v>249</v>
      </c>
      <c r="H47" s="92" t="s">
        <v>227</v>
      </c>
      <c r="I47" s="86"/>
    </row>
    <row r="48" spans="2:9" ht="15" hidden="1" customHeight="1" x14ac:dyDescent="0.35">
      <c r="B48" s="96" t="s">
        <v>162</v>
      </c>
      <c r="C48" s="92" t="s">
        <v>236</v>
      </c>
      <c r="D48" s="91"/>
      <c r="E48" s="92" t="s">
        <v>246</v>
      </c>
      <c r="F48" s="92" t="s">
        <v>246</v>
      </c>
      <c r="G48" s="92" t="s">
        <v>252</v>
      </c>
      <c r="H48" s="92" t="s">
        <v>227</v>
      </c>
      <c r="I48" s="86"/>
    </row>
    <row r="49" spans="2:9" ht="15" hidden="1" customHeight="1" x14ac:dyDescent="0.35">
      <c r="B49" s="96" t="s">
        <v>162</v>
      </c>
      <c r="C49" s="92" t="s">
        <v>237</v>
      </c>
      <c r="D49" s="91"/>
      <c r="E49" s="92" t="s">
        <v>246</v>
      </c>
      <c r="F49" s="92" t="s">
        <v>246</v>
      </c>
      <c r="G49" s="92" t="s">
        <v>250</v>
      </c>
      <c r="H49" s="92" t="s">
        <v>227</v>
      </c>
      <c r="I49" s="86"/>
    </row>
    <row r="50" spans="2:9" ht="15" hidden="1" customHeight="1" x14ac:dyDescent="0.35">
      <c r="B50" s="96" t="s">
        <v>162</v>
      </c>
      <c r="C50" s="92" t="s">
        <v>238</v>
      </c>
      <c r="D50" s="91"/>
      <c r="E50" s="92" t="s">
        <v>246</v>
      </c>
      <c r="F50" s="92" t="s">
        <v>246</v>
      </c>
      <c r="G50" s="92" t="s">
        <v>250</v>
      </c>
      <c r="H50" s="92" t="s">
        <v>227</v>
      </c>
      <c r="I50" s="86"/>
    </row>
    <row r="51" spans="2:9" ht="15" hidden="1" customHeight="1" x14ac:dyDescent="0.35">
      <c r="B51" s="96" t="s">
        <v>162</v>
      </c>
      <c r="C51" s="92" t="s">
        <v>239</v>
      </c>
      <c r="D51" s="91"/>
      <c r="E51" s="92" t="s">
        <v>246</v>
      </c>
      <c r="F51" s="92" t="s">
        <v>246</v>
      </c>
      <c r="G51" s="92" t="s">
        <v>250</v>
      </c>
      <c r="H51" s="92" t="s">
        <v>227</v>
      </c>
      <c r="I51" s="86"/>
    </row>
    <row r="52" spans="2:9" ht="15" hidden="1" customHeight="1" x14ac:dyDescent="0.35">
      <c r="B52" s="96" t="s">
        <v>162</v>
      </c>
      <c r="C52" s="92" t="s">
        <v>240</v>
      </c>
      <c r="D52" s="91"/>
      <c r="E52" s="92" t="s">
        <v>246</v>
      </c>
      <c r="F52" s="92" t="s">
        <v>246</v>
      </c>
      <c r="G52" s="92" t="s">
        <v>250</v>
      </c>
      <c r="H52" s="92" t="s">
        <v>227</v>
      </c>
      <c r="I52" s="86"/>
    </row>
    <row r="53" spans="2:9" ht="15" hidden="1" customHeight="1" x14ac:dyDescent="0.35">
      <c r="B53" s="96" t="s">
        <v>162</v>
      </c>
      <c r="C53" s="92" t="s">
        <v>241</v>
      </c>
      <c r="D53" s="91"/>
      <c r="E53" s="92" t="s">
        <v>246</v>
      </c>
      <c r="F53" s="92" t="s">
        <v>246</v>
      </c>
      <c r="G53" s="92" t="s">
        <v>251</v>
      </c>
      <c r="H53" s="92" t="s">
        <v>227</v>
      </c>
      <c r="I53" s="86"/>
    </row>
    <row r="54" spans="2:9" ht="15" hidden="1" customHeight="1" x14ac:dyDescent="0.35">
      <c r="B54" s="96" t="s">
        <v>162</v>
      </c>
      <c r="C54" s="92" t="s">
        <v>242</v>
      </c>
      <c r="D54" s="91"/>
      <c r="E54" s="92" t="s">
        <v>246</v>
      </c>
      <c r="F54" s="92" t="s">
        <v>246</v>
      </c>
      <c r="G54" s="92" t="s">
        <v>251</v>
      </c>
      <c r="H54" s="92" t="s">
        <v>227</v>
      </c>
      <c r="I54" s="86"/>
    </row>
    <row r="55" spans="2:9" ht="15" hidden="1" customHeight="1" x14ac:dyDescent="0.35">
      <c r="B55" s="96" t="s">
        <v>162</v>
      </c>
      <c r="C55" s="92" t="s">
        <v>243</v>
      </c>
      <c r="D55" s="91"/>
      <c r="E55" s="92" t="s">
        <v>246</v>
      </c>
      <c r="F55" s="92" t="s">
        <v>246</v>
      </c>
      <c r="G55" s="92" t="s">
        <v>251</v>
      </c>
      <c r="H55" s="92" t="s">
        <v>227</v>
      </c>
      <c r="I55" s="86"/>
    </row>
    <row r="56" spans="2:9" ht="15" hidden="1" customHeight="1" x14ac:dyDescent="0.35">
      <c r="B56" s="96" t="s">
        <v>162</v>
      </c>
      <c r="C56" s="92" t="s">
        <v>244</v>
      </c>
      <c r="D56" s="91"/>
      <c r="E56" s="92" t="s">
        <v>246</v>
      </c>
      <c r="F56" s="92" t="s">
        <v>246</v>
      </c>
      <c r="G56" s="92" t="s">
        <v>251</v>
      </c>
      <c r="H56" s="92" t="s">
        <v>227</v>
      </c>
      <c r="I56" s="86"/>
    </row>
    <row r="57" spans="2:9" ht="15" hidden="1" customHeight="1" x14ac:dyDescent="0.35">
      <c r="B57" s="96" t="s">
        <v>162</v>
      </c>
      <c r="C57" s="92" t="s">
        <v>245</v>
      </c>
      <c r="D57" s="91"/>
      <c r="E57" s="92" t="s">
        <v>246</v>
      </c>
      <c r="F57" s="92" t="s">
        <v>246</v>
      </c>
      <c r="G57" s="92" t="s">
        <v>250</v>
      </c>
      <c r="H57" s="92" t="s">
        <v>227</v>
      </c>
      <c r="I57" s="86"/>
    </row>
    <row r="58" spans="2:9" ht="15" hidden="1" customHeight="1" x14ac:dyDescent="0.35">
      <c r="B58" s="96" t="s">
        <v>162</v>
      </c>
      <c r="C58" s="92" t="s">
        <v>257</v>
      </c>
      <c r="D58" s="91"/>
      <c r="E58" s="92" t="s">
        <v>273</v>
      </c>
      <c r="F58" s="92" t="s">
        <v>273</v>
      </c>
      <c r="G58" s="92" t="s">
        <v>274</v>
      </c>
      <c r="H58" s="92" t="s">
        <v>227</v>
      </c>
      <c r="I58" s="86"/>
    </row>
    <row r="59" spans="2:9" ht="15" hidden="1" customHeight="1" x14ac:dyDescent="0.35">
      <c r="B59" s="96" t="s">
        <v>162</v>
      </c>
      <c r="C59" s="92" t="s">
        <v>258</v>
      </c>
      <c r="D59" s="91"/>
      <c r="E59" s="92" t="s">
        <v>273</v>
      </c>
      <c r="F59" s="92" t="s">
        <v>273</v>
      </c>
      <c r="G59" s="92" t="s">
        <v>274</v>
      </c>
      <c r="H59" s="92" t="s">
        <v>227</v>
      </c>
      <c r="I59" s="86"/>
    </row>
    <row r="60" spans="2:9" ht="15" hidden="1" customHeight="1" x14ac:dyDescent="0.35">
      <c r="B60" s="96" t="s">
        <v>162</v>
      </c>
      <c r="C60" s="92" t="s">
        <v>259</v>
      </c>
      <c r="D60" s="91"/>
      <c r="E60" s="92" t="s">
        <v>273</v>
      </c>
      <c r="F60" s="92" t="s">
        <v>273</v>
      </c>
      <c r="G60" s="92" t="s">
        <v>275</v>
      </c>
      <c r="H60" s="92" t="s">
        <v>227</v>
      </c>
      <c r="I60" s="86"/>
    </row>
    <row r="61" spans="2:9" ht="15" hidden="1" customHeight="1" x14ac:dyDescent="0.35">
      <c r="B61" s="96" t="s">
        <v>162</v>
      </c>
      <c r="C61" s="92" t="s">
        <v>260</v>
      </c>
      <c r="D61" s="91"/>
      <c r="E61" s="92" t="s">
        <v>273</v>
      </c>
      <c r="F61" s="92" t="s">
        <v>273</v>
      </c>
      <c r="G61" s="92" t="s">
        <v>274</v>
      </c>
      <c r="H61" s="92" t="s">
        <v>227</v>
      </c>
      <c r="I61" s="86"/>
    </row>
    <row r="62" spans="2:9" ht="15" hidden="1" customHeight="1" x14ac:dyDescent="0.35">
      <c r="B62" s="96" t="s">
        <v>162</v>
      </c>
      <c r="C62" s="92" t="s">
        <v>261</v>
      </c>
      <c r="D62" s="91"/>
      <c r="E62" s="92" t="s">
        <v>273</v>
      </c>
      <c r="F62" s="92" t="s">
        <v>273</v>
      </c>
      <c r="G62" s="92" t="s">
        <v>276</v>
      </c>
      <c r="H62" s="92" t="s">
        <v>227</v>
      </c>
      <c r="I62" s="86"/>
    </row>
    <row r="63" spans="2:9" ht="15" hidden="1" customHeight="1" x14ac:dyDescent="0.35">
      <c r="B63" s="96" t="s">
        <v>162</v>
      </c>
      <c r="C63" s="92" t="s">
        <v>262</v>
      </c>
      <c r="D63" s="91"/>
      <c r="E63" s="92" t="s">
        <v>273</v>
      </c>
      <c r="F63" s="92" t="s">
        <v>273</v>
      </c>
      <c r="G63" s="92" t="s">
        <v>274</v>
      </c>
      <c r="H63" s="92" t="s">
        <v>227</v>
      </c>
      <c r="I63" s="86"/>
    </row>
    <row r="64" spans="2:9" ht="15" hidden="1" customHeight="1" x14ac:dyDescent="0.35">
      <c r="B64" s="96" t="s">
        <v>162</v>
      </c>
      <c r="C64" s="92" t="s">
        <v>263</v>
      </c>
      <c r="D64" s="91"/>
      <c r="E64" s="92" t="s">
        <v>273</v>
      </c>
      <c r="F64" s="92" t="s">
        <v>273</v>
      </c>
      <c r="G64" s="92" t="s">
        <v>275</v>
      </c>
      <c r="H64" s="92" t="s">
        <v>227</v>
      </c>
      <c r="I64" s="86"/>
    </row>
    <row r="65" spans="2:9" ht="15" hidden="1" customHeight="1" x14ac:dyDescent="0.35">
      <c r="B65" s="96" t="s">
        <v>162</v>
      </c>
      <c r="C65" s="92" t="s">
        <v>264</v>
      </c>
      <c r="D65" s="91"/>
      <c r="E65" s="92" t="s">
        <v>273</v>
      </c>
      <c r="F65" s="92" t="s">
        <v>273</v>
      </c>
      <c r="G65" s="92" t="s">
        <v>248</v>
      </c>
      <c r="H65" s="92" t="s">
        <v>227</v>
      </c>
      <c r="I65" s="86"/>
    </row>
    <row r="66" spans="2:9" ht="15" hidden="1" customHeight="1" x14ac:dyDescent="0.35">
      <c r="B66" s="96" t="s">
        <v>162</v>
      </c>
      <c r="C66" s="92" t="s">
        <v>265</v>
      </c>
      <c r="D66" s="91"/>
      <c r="E66" s="92" t="s">
        <v>273</v>
      </c>
      <c r="F66" s="92" t="s">
        <v>273</v>
      </c>
      <c r="G66" s="92" t="s">
        <v>274</v>
      </c>
      <c r="H66" s="92" t="s">
        <v>227</v>
      </c>
      <c r="I66" s="86"/>
    </row>
    <row r="67" spans="2:9" ht="15" hidden="1" customHeight="1" x14ac:dyDescent="0.35">
      <c r="B67" s="96" t="s">
        <v>1848</v>
      </c>
      <c r="C67" s="92" t="s">
        <v>266</v>
      </c>
      <c r="D67" s="91" t="str">
        <f>VLOOKUP(C67,'[1]Birbank İşçi Siyahı'!$B:$I,8,)</f>
        <v>Future lab</v>
      </c>
      <c r="E67" s="92" t="s">
        <v>273</v>
      </c>
      <c r="F67" s="92" t="s">
        <v>273</v>
      </c>
      <c r="G67" s="92" t="s">
        <v>277</v>
      </c>
      <c r="H67" s="92" t="s">
        <v>227</v>
      </c>
      <c r="I67" s="86"/>
    </row>
    <row r="68" spans="2:9" ht="15" hidden="1" customHeight="1" x14ac:dyDescent="0.35">
      <c r="B68" s="96" t="s">
        <v>162</v>
      </c>
      <c r="C68" s="92" t="s">
        <v>267</v>
      </c>
      <c r="D68" s="91"/>
      <c r="E68" s="92" t="s">
        <v>273</v>
      </c>
      <c r="F68" s="92" t="s">
        <v>273</v>
      </c>
      <c r="G68" s="92" t="s">
        <v>274</v>
      </c>
      <c r="H68" s="92" t="s">
        <v>227</v>
      </c>
      <c r="I68" s="86"/>
    </row>
    <row r="69" spans="2:9" ht="15" hidden="1" customHeight="1" x14ac:dyDescent="0.35">
      <c r="B69" s="96" t="s">
        <v>162</v>
      </c>
      <c r="C69" s="92" t="s">
        <v>268</v>
      </c>
      <c r="D69" s="91"/>
      <c r="E69" s="92" t="s">
        <v>273</v>
      </c>
      <c r="F69" s="92" t="s">
        <v>273</v>
      </c>
      <c r="G69" s="92" t="s">
        <v>275</v>
      </c>
      <c r="H69" s="92" t="s">
        <v>227</v>
      </c>
      <c r="I69" s="86"/>
    </row>
    <row r="70" spans="2:9" ht="15" hidden="1" customHeight="1" x14ac:dyDescent="0.35">
      <c r="B70" s="96" t="s">
        <v>162</v>
      </c>
      <c r="C70" s="92" t="s">
        <v>269</v>
      </c>
      <c r="D70" s="91"/>
      <c r="E70" s="92" t="s">
        <v>273</v>
      </c>
      <c r="F70" s="92" t="s">
        <v>273</v>
      </c>
      <c r="G70" s="92" t="s">
        <v>274</v>
      </c>
      <c r="H70" s="92" t="s">
        <v>227</v>
      </c>
      <c r="I70" s="86"/>
    </row>
    <row r="71" spans="2:9" ht="15" hidden="1" customHeight="1" x14ac:dyDescent="0.35">
      <c r="B71" s="96" t="s">
        <v>162</v>
      </c>
      <c r="C71" s="92" t="s">
        <v>270</v>
      </c>
      <c r="D71" s="91"/>
      <c r="E71" s="92" t="s">
        <v>273</v>
      </c>
      <c r="F71" s="92" t="s">
        <v>273</v>
      </c>
      <c r="G71" s="92" t="s">
        <v>274</v>
      </c>
      <c r="H71" s="92" t="s">
        <v>227</v>
      </c>
      <c r="I71" s="86"/>
    </row>
    <row r="72" spans="2:9" ht="15" hidden="1" customHeight="1" x14ac:dyDescent="0.35">
      <c r="B72" s="96" t="s">
        <v>162</v>
      </c>
      <c r="C72" s="92" t="s">
        <v>271</v>
      </c>
      <c r="D72" s="91"/>
      <c r="E72" s="92" t="s">
        <v>273</v>
      </c>
      <c r="F72" s="92" t="s">
        <v>273</v>
      </c>
      <c r="G72" s="92" t="s">
        <v>274</v>
      </c>
      <c r="H72" s="92" t="s">
        <v>227</v>
      </c>
      <c r="I72" s="86"/>
    </row>
    <row r="73" spans="2:9" ht="15" hidden="1" customHeight="1" x14ac:dyDescent="0.35">
      <c r="B73" s="96" t="s">
        <v>162</v>
      </c>
      <c r="C73" s="92" t="s">
        <v>272</v>
      </c>
      <c r="D73" s="91"/>
      <c r="E73" s="92" t="s">
        <v>273</v>
      </c>
      <c r="F73" s="92" t="s">
        <v>273</v>
      </c>
      <c r="G73" s="92" t="s">
        <v>274</v>
      </c>
      <c r="H73" s="92" t="s">
        <v>227</v>
      </c>
      <c r="I73" s="86"/>
    </row>
    <row r="74" spans="2:9" ht="15" customHeight="1" x14ac:dyDescent="0.35">
      <c r="B74" s="96" t="s">
        <v>162</v>
      </c>
      <c r="C74" s="92" t="s">
        <v>278</v>
      </c>
      <c r="D74" s="91" t="e">
        <f>VLOOKUP(C74,'[1]Birbank İşçi Siyahı'!$B:$I,8,)</f>
        <v>#N/A</v>
      </c>
      <c r="E74" s="92" t="s">
        <v>39</v>
      </c>
      <c r="F74" s="92" t="s">
        <v>39</v>
      </c>
      <c r="G74" s="92" t="s">
        <v>285</v>
      </c>
      <c r="H74" s="92" t="s">
        <v>227</v>
      </c>
      <c r="I74" s="86"/>
    </row>
    <row r="75" spans="2:9" ht="15" customHeight="1" x14ac:dyDescent="0.35">
      <c r="B75" s="96" t="s">
        <v>162</v>
      </c>
      <c r="C75" s="92" t="s">
        <v>279</v>
      </c>
      <c r="D75" s="91" t="e">
        <f>VLOOKUP(C75,'[1]Birbank İşçi Siyahı'!$B:$I,8,)</f>
        <v>#N/A</v>
      </c>
      <c r="E75" s="92" t="s">
        <v>39</v>
      </c>
      <c r="F75" s="92" t="s">
        <v>39</v>
      </c>
      <c r="G75" s="92" t="s">
        <v>286</v>
      </c>
      <c r="H75" s="92" t="s">
        <v>227</v>
      </c>
      <c r="I75" s="86"/>
    </row>
    <row r="76" spans="2:9" ht="15" customHeight="1" x14ac:dyDescent="0.35">
      <c r="B76" s="96" t="s">
        <v>162</v>
      </c>
      <c r="C76" s="92" t="s">
        <v>280</v>
      </c>
      <c r="D76" s="91" t="e">
        <f>VLOOKUP(C76,'[1]Birbank İşçi Siyahı'!$B:$I,8,)</f>
        <v>#N/A</v>
      </c>
      <c r="E76" s="92" t="s">
        <v>39</v>
      </c>
      <c r="F76" s="92" t="s">
        <v>39</v>
      </c>
      <c r="G76" s="92" t="s">
        <v>286</v>
      </c>
      <c r="H76" s="92" t="s">
        <v>227</v>
      </c>
      <c r="I76" s="86"/>
    </row>
    <row r="77" spans="2:9" ht="15" customHeight="1" x14ac:dyDescent="0.35">
      <c r="B77" s="96" t="s">
        <v>162</v>
      </c>
      <c r="C77" s="92" t="s">
        <v>281</v>
      </c>
      <c r="D77" s="91" t="e">
        <f>VLOOKUP(C77,'[1]Birbank İşçi Siyahı'!$B:$I,8,)</f>
        <v>#N/A</v>
      </c>
      <c r="E77" s="92" t="s">
        <v>39</v>
      </c>
      <c r="F77" s="92" t="s">
        <v>39</v>
      </c>
      <c r="G77" s="92" t="s">
        <v>286</v>
      </c>
      <c r="H77" s="92" t="s">
        <v>227</v>
      </c>
      <c r="I77" s="86"/>
    </row>
    <row r="78" spans="2:9" ht="15" customHeight="1" x14ac:dyDescent="0.35">
      <c r="B78" s="96" t="s">
        <v>162</v>
      </c>
      <c r="C78" s="92" t="s">
        <v>282</v>
      </c>
      <c r="D78" s="91" t="e">
        <f>VLOOKUP(C78,'[1]Birbank İşçi Siyahı'!$B:$I,8,)</f>
        <v>#N/A</v>
      </c>
      <c r="E78" s="92" t="s">
        <v>39</v>
      </c>
      <c r="F78" s="92" t="s">
        <v>39</v>
      </c>
      <c r="G78" s="92" t="s">
        <v>286</v>
      </c>
      <c r="H78" s="92" t="s">
        <v>227</v>
      </c>
      <c r="I78" s="86"/>
    </row>
    <row r="79" spans="2:9" ht="15" customHeight="1" x14ac:dyDescent="0.35">
      <c r="B79" s="96" t="s">
        <v>162</v>
      </c>
      <c r="C79" s="92" t="s">
        <v>283</v>
      </c>
      <c r="D79" s="91" t="e">
        <f>VLOOKUP(C79,'[1]Birbank İşçi Siyahı'!$B:$I,8,)</f>
        <v>#N/A</v>
      </c>
      <c r="E79" s="92" t="s">
        <v>39</v>
      </c>
      <c r="F79" s="92" t="s">
        <v>39</v>
      </c>
      <c r="G79" s="92" t="s">
        <v>286</v>
      </c>
      <c r="H79" s="92" t="s">
        <v>227</v>
      </c>
      <c r="I79" s="86"/>
    </row>
    <row r="80" spans="2:9" ht="15" customHeight="1" x14ac:dyDescent="0.35">
      <c r="B80" s="96" t="s">
        <v>162</v>
      </c>
      <c r="C80" s="92" t="s">
        <v>284</v>
      </c>
      <c r="D80" s="91" t="e">
        <f>VLOOKUP(C80,'[1]Birbank İşçi Siyahı'!$B:$I,8,)</f>
        <v>#N/A</v>
      </c>
      <c r="E80" s="92" t="s">
        <v>39</v>
      </c>
      <c r="F80" s="92" t="s">
        <v>39</v>
      </c>
      <c r="G80" s="92" t="s">
        <v>286</v>
      </c>
      <c r="H80" s="92" t="s">
        <v>227</v>
      </c>
      <c r="I80" s="86"/>
    </row>
    <row r="81" spans="2:9" ht="15" hidden="1" customHeight="1" x14ac:dyDescent="0.35">
      <c r="B81" s="96" t="s">
        <v>162</v>
      </c>
      <c r="C81" s="92" t="s">
        <v>287</v>
      </c>
      <c r="D81" s="92"/>
      <c r="E81" s="92" t="s">
        <v>288</v>
      </c>
      <c r="F81" s="92" t="s">
        <v>33</v>
      </c>
      <c r="G81" s="92" t="s">
        <v>289</v>
      </c>
      <c r="H81" s="92" t="s">
        <v>227</v>
      </c>
      <c r="I81" s="86"/>
    </row>
    <row r="82" spans="2:9" ht="15" hidden="1" customHeight="1" x14ac:dyDescent="0.35">
      <c r="B82" s="96" t="s">
        <v>162</v>
      </c>
      <c r="C82" s="92" t="s">
        <v>290</v>
      </c>
      <c r="D82" s="92"/>
      <c r="E82" s="92" t="s">
        <v>288</v>
      </c>
      <c r="F82" s="92" t="s">
        <v>302</v>
      </c>
      <c r="G82" s="92" t="s">
        <v>181</v>
      </c>
      <c r="H82" s="92" t="s">
        <v>227</v>
      </c>
      <c r="I82" s="86"/>
    </row>
    <row r="83" spans="2:9" ht="15" hidden="1" customHeight="1" x14ac:dyDescent="0.35">
      <c r="B83" s="96" t="s">
        <v>162</v>
      </c>
      <c r="C83" s="92" t="s">
        <v>292</v>
      </c>
      <c r="D83" s="92"/>
      <c r="E83" s="92" t="s">
        <v>288</v>
      </c>
      <c r="F83" s="92" t="s">
        <v>291</v>
      </c>
      <c r="G83" s="92" t="s">
        <v>187</v>
      </c>
      <c r="H83" s="92" t="s">
        <v>227</v>
      </c>
      <c r="I83" s="86"/>
    </row>
    <row r="84" spans="2:9" ht="15" hidden="1" customHeight="1" x14ac:dyDescent="0.35">
      <c r="B84" s="96" t="s">
        <v>162</v>
      </c>
      <c r="C84" s="92" t="s">
        <v>293</v>
      </c>
      <c r="D84" s="92"/>
      <c r="E84" s="92" t="s">
        <v>288</v>
      </c>
      <c r="F84" s="92" t="s">
        <v>291</v>
      </c>
      <c r="G84" s="92" t="s">
        <v>183</v>
      </c>
      <c r="H84" s="92" t="s">
        <v>227</v>
      </c>
      <c r="I84" s="86"/>
    </row>
    <row r="85" spans="2:9" ht="15" hidden="1" customHeight="1" x14ac:dyDescent="0.35">
      <c r="B85" s="96" t="s">
        <v>162</v>
      </c>
      <c r="C85" s="92" t="s">
        <v>294</v>
      </c>
      <c r="D85" s="92"/>
      <c r="E85" s="92" t="s">
        <v>288</v>
      </c>
      <c r="F85" s="92" t="s">
        <v>291</v>
      </c>
      <c r="G85" s="92" t="s">
        <v>183</v>
      </c>
      <c r="H85" s="92" t="s">
        <v>227</v>
      </c>
      <c r="I85" s="86"/>
    </row>
    <row r="86" spans="2:9" ht="15" hidden="1" customHeight="1" x14ac:dyDescent="0.35">
      <c r="B86" s="96" t="s">
        <v>162</v>
      </c>
      <c r="C86" s="92" t="s">
        <v>295</v>
      </c>
      <c r="D86" s="92"/>
      <c r="E86" s="92" t="s">
        <v>288</v>
      </c>
      <c r="F86" s="92" t="s">
        <v>291</v>
      </c>
      <c r="G86" s="92" t="s">
        <v>183</v>
      </c>
      <c r="H86" s="92" t="s">
        <v>227</v>
      </c>
      <c r="I86" s="86"/>
    </row>
    <row r="87" spans="2:9" ht="15" hidden="1" customHeight="1" x14ac:dyDescent="0.35">
      <c r="B87" s="96" t="s">
        <v>162</v>
      </c>
      <c r="C87" s="92" t="s">
        <v>296</v>
      </c>
      <c r="D87" s="92"/>
      <c r="E87" s="92" t="s">
        <v>288</v>
      </c>
      <c r="F87" s="92" t="s">
        <v>297</v>
      </c>
      <c r="G87" s="92" t="s">
        <v>187</v>
      </c>
      <c r="H87" s="92" t="s">
        <v>227</v>
      </c>
      <c r="I87" s="86"/>
    </row>
    <row r="88" spans="2:9" ht="15" hidden="1" customHeight="1" x14ac:dyDescent="0.35">
      <c r="B88" s="96" t="s">
        <v>162</v>
      </c>
      <c r="C88" s="92" t="s">
        <v>298</v>
      </c>
      <c r="D88" s="92"/>
      <c r="E88" s="92" t="s">
        <v>288</v>
      </c>
      <c r="F88" s="92" t="s">
        <v>297</v>
      </c>
      <c r="G88" s="92" t="s">
        <v>187</v>
      </c>
      <c r="H88" s="92" t="s">
        <v>227</v>
      </c>
      <c r="I88" s="86"/>
    </row>
    <row r="89" spans="2:9" ht="15" hidden="1" customHeight="1" x14ac:dyDescent="0.35">
      <c r="B89" s="96" t="s">
        <v>162</v>
      </c>
      <c r="C89" s="92" t="s">
        <v>299</v>
      </c>
      <c r="D89" s="92"/>
      <c r="E89" s="92" t="s">
        <v>288</v>
      </c>
      <c r="F89" s="92" t="s">
        <v>297</v>
      </c>
      <c r="G89" s="92" t="s">
        <v>300</v>
      </c>
      <c r="H89" s="92" t="s">
        <v>227</v>
      </c>
      <c r="I89" s="86"/>
    </row>
    <row r="90" spans="2:9" ht="15" hidden="1" customHeight="1" x14ac:dyDescent="0.35">
      <c r="B90" s="96" t="s">
        <v>162</v>
      </c>
      <c r="C90" s="92" t="s">
        <v>301</v>
      </c>
      <c r="D90" s="92"/>
      <c r="E90" s="92" t="s">
        <v>288</v>
      </c>
      <c r="F90" s="92" t="s">
        <v>302</v>
      </c>
      <c r="G90" s="92" t="s">
        <v>187</v>
      </c>
      <c r="H90" s="92" t="s">
        <v>227</v>
      </c>
      <c r="I90" s="86"/>
    </row>
    <row r="91" spans="2:9" ht="15" hidden="1" customHeight="1" x14ac:dyDescent="0.35">
      <c r="B91" s="96" t="s">
        <v>162</v>
      </c>
      <c r="C91" s="92" t="s">
        <v>303</v>
      </c>
      <c r="D91" s="92"/>
      <c r="E91" s="92" t="s">
        <v>288</v>
      </c>
      <c r="F91" s="92" t="s">
        <v>302</v>
      </c>
      <c r="G91" s="92" t="s">
        <v>300</v>
      </c>
      <c r="H91" s="92" t="s">
        <v>227</v>
      </c>
      <c r="I91" s="86"/>
    </row>
    <row r="92" spans="2:9" ht="15" hidden="1" customHeight="1" x14ac:dyDescent="0.35">
      <c r="B92" s="96" t="s">
        <v>162</v>
      </c>
      <c r="C92" s="92" t="s">
        <v>304</v>
      </c>
      <c r="D92" s="92"/>
      <c r="E92" s="92" t="s">
        <v>288</v>
      </c>
      <c r="F92" s="92" t="s">
        <v>297</v>
      </c>
      <c r="G92" s="92" t="s">
        <v>300</v>
      </c>
      <c r="H92" s="92" t="s">
        <v>227</v>
      </c>
      <c r="I92" s="86"/>
    </row>
    <row r="93" spans="2:9" ht="15" hidden="1" customHeight="1" x14ac:dyDescent="0.35">
      <c r="B93" s="96" t="s">
        <v>162</v>
      </c>
      <c r="C93" s="92" t="s">
        <v>305</v>
      </c>
      <c r="D93" s="92"/>
      <c r="E93" s="92" t="s">
        <v>288</v>
      </c>
      <c r="F93" s="92" t="s">
        <v>302</v>
      </c>
      <c r="G93" s="92" t="s">
        <v>300</v>
      </c>
      <c r="H93" s="92" t="s">
        <v>227</v>
      </c>
      <c r="I93" s="86"/>
    </row>
    <row r="94" spans="2:9" ht="15" hidden="1" customHeight="1" x14ac:dyDescent="0.35">
      <c r="B94" s="96" t="s">
        <v>162</v>
      </c>
      <c r="C94" s="92" t="s">
        <v>306</v>
      </c>
      <c r="D94" s="92"/>
      <c r="E94" s="92" t="s">
        <v>288</v>
      </c>
      <c r="F94" s="92" t="s">
        <v>291</v>
      </c>
      <c r="G94" s="92" t="s">
        <v>183</v>
      </c>
      <c r="H94" s="92" t="s">
        <v>227</v>
      </c>
      <c r="I94" s="86"/>
    </row>
    <row r="95" spans="2:9" ht="15" hidden="1" customHeight="1" x14ac:dyDescent="0.35">
      <c r="B95" s="96" t="s">
        <v>162</v>
      </c>
      <c r="C95" s="92" t="s">
        <v>307</v>
      </c>
      <c r="D95" s="92"/>
      <c r="E95" s="92" t="s">
        <v>288</v>
      </c>
      <c r="F95" s="92" t="s">
        <v>302</v>
      </c>
      <c r="G95" s="92" t="s">
        <v>187</v>
      </c>
      <c r="H95" s="92" t="s">
        <v>226</v>
      </c>
      <c r="I95" s="86"/>
    </row>
    <row r="96" spans="2:9" ht="15" hidden="1" customHeight="1" x14ac:dyDescent="0.35">
      <c r="B96" s="96" t="s">
        <v>171</v>
      </c>
      <c r="C96" s="92" t="s">
        <v>308</v>
      </c>
      <c r="D96" s="92"/>
      <c r="E96" s="92" t="s">
        <v>288</v>
      </c>
      <c r="F96" s="92" t="s">
        <v>302</v>
      </c>
      <c r="G96" s="92" t="s">
        <v>300</v>
      </c>
      <c r="H96" s="92" t="s">
        <v>226</v>
      </c>
      <c r="I96" s="86"/>
    </row>
    <row r="97" spans="2:9" s="85" customFormat="1" ht="15" hidden="1" customHeight="1" x14ac:dyDescent="0.35">
      <c r="B97" s="96" t="s">
        <v>171</v>
      </c>
      <c r="C97" s="92" t="s">
        <v>309</v>
      </c>
      <c r="D97" s="92"/>
      <c r="E97" s="92" t="s">
        <v>288</v>
      </c>
      <c r="F97" s="92" t="s">
        <v>297</v>
      </c>
      <c r="G97" s="92" t="s">
        <v>183</v>
      </c>
      <c r="H97" s="92" t="s">
        <v>226</v>
      </c>
      <c r="I97" s="86"/>
    </row>
    <row r="98" spans="2:9" s="85" customFormat="1" ht="15" hidden="1" customHeight="1" x14ac:dyDescent="0.35">
      <c r="B98" s="96" t="s">
        <v>164</v>
      </c>
      <c r="C98" s="92" t="s">
        <v>1819</v>
      </c>
      <c r="D98" s="92"/>
      <c r="E98" s="92" t="s">
        <v>288</v>
      </c>
      <c r="F98" s="92" t="s">
        <v>297</v>
      </c>
      <c r="G98" s="92" t="s">
        <v>181</v>
      </c>
      <c r="H98" s="92" t="s">
        <v>226</v>
      </c>
      <c r="I98" s="86"/>
    </row>
    <row r="99" spans="2:9" s="85" customFormat="1" ht="15" hidden="1" customHeight="1" x14ac:dyDescent="0.35">
      <c r="B99" s="96" t="s">
        <v>164</v>
      </c>
      <c r="C99" s="92" t="s">
        <v>1820</v>
      </c>
      <c r="D99" s="92"/>
      <c r="E99" s="92" t="s">
        <v>288</v>
      </c>
      <c r="F99" s="92" t="s">
        <v>297</v>
      </c>
      <c r="G99" s="92" t="s">
        <v>183</v>
      </c>
      <c r="H99" s="92" t="s">
        <v>226</v>
      </c>
      <c r="I99" s="86"/>
    </row>
    <row r="100" spans="2:9" s="85" customFormat="1" ht="15" hidden="1" customHeight="1" x14ac:dyDescent="0.35">
      <c r="B100" s="96" t="s">
        <v>164</v>
      </c>
      <c r="C100" s="92" t="s">
        <v>1821</v>
      </c>
      <c r="D100" s="92"/>
      <c r="E100" s="92" t="s">
        <v>288</v>
      </c>
      <c r="F100" s="92" t="s">
        <v>297</v>
      </c>
      <c r="G100" s="92" t="s">
        <v>300</v>
      </c>
      <c r="H100" s="92" t="s">
        <v>226</v>
      </c>
      <c r="I100" s="86"/>
    </row>
    <row r="101" spans="2:9" s="85" customFormat="1" ht="15" hidden="1" customHeight="1" x14ac:dyDescent="0.35">
      <c r="B101" s="96" t="s">
        <v>162</v>
      </c>
      <c r="C101" s="92" t="s">
        <v>307</v>
      </c>
      <c r="D101" s="92"/>
      <c r="E101" s="92" t="s">
        <v>288</v>
      </c>
      <c r="F101" s="92" t="s">
        <v>297</v>
      </c>
      <c r="G101" s="92" t="s">
        <v>1822</v>
      </c>
      <c r="H101" s="92" t="s">
        <v>226</v>
      </c>
      <c r="I101" s="86"/>
    </row>
    <row r="102" spans="2:9" ht="15" hidden="1" customHeight="1" x14ac:dyDescent="0.35">
      <c r="B102" s="96" t="s">
        <v>162</v>
      </c>
      <c r="C102" s="92" t="s">
        <v>307</v>
      </c>
      <c r="D102" s="92"/>
      <c r="E102" s="92" t="s">
        <v>288</v>
      </c>
      <c r="F102" s="92" t="s">
        <v>297</v>
      </c>
      <c r="G102" s="92" t="s">
        <v>1823</v>
      </c>
      <c r="H102" s="92" t="s">
        <v>226</v>
      </c>
      <c r="I102" s="86"/>
    </row>
    <row r="103" spans="2:9" ht="15" hidden="1" customHeight="1" x14ac:dyDescent="0.35">
      <c r="B103" s="96" t="s">
        <v>162</v>
      </c>
      <c r="C103" s="92" t="s">
        <v>310</v>
      </c>
      <c r="D103" s="91" t="e">
        <f>VLOOKUP(C103,'[1]Birbank İşçi Siyahı'!$B:$I,8,)</f>
        <v>#N/A</v>
      </c>
      <c r="E103" s="92" t="s">
        <v>311</v>
      </c>
      <c r="F103" s="92" t="s">
        <v>33</v>
      </c>
      <c r="G103" s="92" t="s">
        <v>312</v>
      </c>
      <c r="H103" s="92" t="s">
        <v>227</v>
      </c>
      <c r="I103" s="86"/>
    </row>
    <row r="104" spans="2:9" ht="15" hidden="1" customHeight="1" x14ac:dyDescent="0.35">
      <c r="B104" s="96" t="s">
        <v>162</v>
      </c>
      <c r="C104" s="92" t="s">
        <v>313</v>
      </c>
      <c r="D104" s="91" t="e">
        <f>VLOOKUP(C104,'[1]Birbank İşçi Siyahı'!$B:$I,8,)</f>
        <v>#N/A</v>
      </c>
      <c r="E104" s="92" t="s">
        <v>311</v>
      </c>
      <c r="F104" s="92" t="s">
        <v>46</v>
      </c>
      <c r="G104" s="92" t="s">
        <v>314</v>
      </c>
      <c r="H104" s="92" t="s">
        <v>227</v>
      </c>
      <c r="I104" s="86"/>
    </row>
    <row r="105" spans="2:9" ht="15" hidden="1" customHeight="1" x14ac:dyDescent="0.35">
      <c r="B105" s="96" t="s">
        <v>162</v>
      </c>
      <c r="C105" s="92" t="s">
        <v>315</v>
      </c>
      <c r="D105" s="91" t="e">
        <f>VLOOKUP(C105,'[1]Birbank İşçi Siyahı'!$B:$I,8,)</f>
        <v>#N/A</v>
      </c>
      <c r="E105" s="92" t="s">
        <v>311</v>
      </c>
      <c r="F105" s="92" t="s">
        <v>316</v>
      </c>
      <c r="G105" s="92" t="s">
        <v>314</v>
      </c>
      <c r="H105" s="92" t="s">
        <v>227</v>
      </c>
      <c r="I105" s="86"/>
    </row>
    <row r="106" spans="2:9" ht="15" hidden="1" customHeight="1" x14ac:dyDescent="0.35">
      <c r="B106" s="96" t="s">
        <v>162</v>
      </c>
      <c r="C106" s="92" t="s">
        <v>317</v>
      </c>
      <c r="D106" s="91" t="e">
        <f>VLOOKUP(C106,'[1]Birbank İşçi Siyahı'!$B:$I,8,)</f>
        <v>#N/A</v>
      </c>
      <c r="E106" s="92" t="s">
        <v>311</v>
      </c>
      <c r="F106" s="92" t="s">
        <v>152</v>
      </c>
      <c r="G106" s="92" t="s">
        <v>314</v>
      </c>
      <c r="H106" s="92" t="s">
        <v>227</v>
      </c>
      <c r="I106" s="86"/>
    </row>
    <row r="107" spans="2:9" ht="15" hidden="1" customHeight="1" x14ac:dyDescent="0.35">
      <c r="B107" s="96" t="s">
        <v>162</v>
      </c>
      <c r="C107" s="92" t="s">
        <v>318</v>
      </c>
      <c r="D107" s="91" t="e">
        <f>VLOOKUP(C107,'[1]Birbank İşçi Siyahı'!$B:$I,8,)</f>
        <v>#N/A</v>
      </c>
      <c r="E107" s="92" t="s">
        <v>311</v>
      </c>
      <c r="F107" s="92" t="s">
        <v>319</v>
      </c>
      <c r="G107" s="92" t="s">
        <v>314</v>
      </c>
      <c r="H107" s="92" t="s">
        <v>227</v>
      </c>
      <c r="I107" s="86"/>
    </row>
    <row r="108" spans="2:9" ht="15" hidden="1" customHeight="1" x14ac:dyDescent="0.35">
      <c r="B108" s="96" t="s">
        <v>162</v>
      </c>
      <c r="C108" s="92" t="s">
        <v>320</v>
      </c>
      <c r="D108" s="91"/>
      <c r="E108" s="92" t="s">
        <v>311</v>
      </c>
      <c r="F108" s="92" t="s">
        <v>33</v>
      </c>
      <c r="G108" s="92" t="s">
        <v>321</v>
      </c>
      <c r="H108" s="92" t="s">
        <v>322</v>
      </c>
      <c r="I108" s="86"/>
    </row>
    <row r="109" spans="2:9" ht="15" hidden="1" customHeight="1" x14ac:dyDescent="0.35">
      <c r="B109" s="96" t="s">
        <v>162</v>
      </c>
      <c r="C109" s="91" t="s">
        <v>323</v>
      </c>
      <c r="D109" s="91"/>
      <c r="E109" s="91" t="s">
        <v>324</v>
      </c>
      <c r="F109" s="91" t="s">
        <v>48</v>
      </c>
      <c r="G109" s="91" t="s">
        <v>312</v>
      </c>
      <c r="H109" s="92" t="s">
        <v>227</v>
      </c>
      <c r="I109" s="86"/>
    </row>
    <row r="110" spans="2:9" ht="15" hidden="1" customHeight="1" x14ac:dyDescent="0.35">
      <c r="B110" s="96" t="s">
        <v>162</v>
      </c>
      <c r="C110" s="91" t="s">
        <v>479</v>
      </c>
      <c r="D110" s="91"/>
      <c r="E110" s="91" t="s">
        <v>324</v>
      </c>
      <c r="F110" s="91" t="s">
        <v>48</v>
      </c>
      <c r="G110" s="91" t="s">
        <v>325</v>
      </c>
      <c r="H110" s="92" t="s">
        <v>227</v>
      </c>
      <c r="I110" s="86"/>
    </row>
    <row r="111" spans="2:9" ht="15" hidden="1" customHeight="1" x14ac:dyDescent="0.35">
      <c r="B111" s="96" t="s">
        <v>162</v>
      </c>
      <c r="C111" s="92" t="s">
        <v>326</v>
      </c>
      <c r="D111" s="91"/>
      <c r="E111" s="92" t="s">
        <v>49</v>
      </c>
      <c r="F111" s="92" t="s">
        <v>33</v>
      </c>
      <c r="G111" s="92" t="s">
        <v>327</v>
      </c>
      <c r="H111" s="92" t="s">
        <v>227</v>
      </c>
      <c r="I111" s="86"/>
    </row>
    <row r="112" spans="2:9" ht="15" hidden="1" customHeight="1" x14ac:dyDescent="0.35">
      <c r="B112" s="96" t="s">
        <v>162</v>
      </c>
      <c r="C112" s="92" t="s">
        <v>328</v>
      </c>
      <c r="D112" s="91"/>
      <c r="E112" s="92" t="s">
        <v>49</v>
      </c>
      <c r="F112" s="92" t="s">
        <v>50</v>
      </c>
      <c r="G112" s="92" t="s">
        <v>329</v>
      </c>
      <c r="H112" s="92" t="s">
        <v>227</v>
      </c>
      <c r="I112" s="86"/>
    </row>
    <row r="113" spans="2:9" ht="15" hidden="1" customHeight="1" x14ac:dyDescent="0.35">
      <c r="B113" s="96" t="s">
        <v>162</v>
      </c>
      <c r="C113" s="92" t="s">
        <v>330</v>
      </c>
      <c r="D113" s="91"/>
      <c r="E113" s="92" t="s">
        <v>49</v>
      </c>
      <c r="F113" s="92" t="s">
        <v>50</v>
      </c>
      <c r="G113" s="92" t="s">
        <v>329</v>
      </c>
      <c r="H113" s="92" t="s">
        <v>227</v>
      </c>
      <c r="I113" s="86"/>
    </row>
    <row r="114" spans="2:9" ht="15" hidden="1" customHeight="1" x14ac:dyDescent="0.35">
      <c r="B114" s="96" t="s">
        <v>164</v>
      </c>
      <c r="C114" s="92" t="s">
        <v>331</v>
      </c>
      <c r="D114" s="91" t="str">
        <f>VLOOKUP(C114,'[1]Birbank İşçi Siyahı'!$B:$I,8,)</f>
        <v>BirMarket</v>
      </c>
      <c r="E114" s="92" t="s">
        <v>49</v>
      </c>
      <c r="F114" s="92" t="s">
        <v>50</v>
      </c>
      <c r="G114" s="92" t="s">
        <v>332</v>
      </c>
      <c r="H114" s="92" t="s">
        <v>227</v>
      </c>
      <c r="I114" s="86"/>
    </row>
    <row r="115" spans="2:9" ht="15" hidden="1" customHeight="1" x14ac:dyDescent="0.35">
      <c r="B115" s="96" t="s">
        <v>162</v>
      </c>
      <c r="C115" s="92" t="s">
        <v>333</v>
      </c>
      <c r="D115" s="91" t="e">
        <f>VLOOKUP(C115,'[1]Birbank İşçi Siyahı'!$B:$I,8,)</f>
        <v>#N/A</v>
      </c>
      <c r="E115" s="92" t="s">
        <v>49</v>
      </c>
      <c r="F115" s="92" t="s">
        <v>51</v>
      </c>
      <c r="G115" s="92" t="s">
        <v>334</v>
      </c>
      <c r="H115" s="92" t="s">
        <v>226</v>
      </c>
      <c r="I115" s="86"/>
    </row>
    <row r="116" spans="2:9" ht="15" hidden="1" customHeight="1" x14ac:dyDescent="0.35">
      <c r="B116" s="96" t="s">
        <v>162</v>
      </c>
      <c r="C116" s="92" t="s">
        <v>335</v>
      </c>
      <c r="D116" s="91"/>
      <c r="E116" s="92" t="s">
        <v>49</v>
      </c>
      <c r="F116" s="92" t="s">
        <v>51</v>
      </c>
      <c r="G116" s="92" t="s">
        <v>336</v>
      </c>
      <c r="H116" s="92" t="s">
        <v>227</v>
      </c>
      <c r="I116" s="86"/>
    </row>
    <row r="117" spans="2:9" ht="15" hidden="1" customHeight="1" x14ac:dyDescent="0.35">
      <c r="B117" s="96" t="s">
        <v>162</v>
      </c>
      <c r="C117" s="92" t="s">
        <v>337</v>
      </c>
      <c r="D117" s="91"/>
      <c r="E117" s="92" t="s">
        <v>49</v>
      </c>
      <c r="F117" s="92" t="s">
        <v>51</v>
      </c>
      <c r="G117" s="92" t="s">
        <v>336</v>
      </c>
      <c r="H117" s="92" t="s">
        <v>227</v>
      </c>
      <c r="I117" s="86"/>
    </row>
    <row r="118" spans="2:9" ht="15" hidden="1" customHeight="1" x14ac:dyDescent="0.35">
      <c r="B118" s="96" t="s">
        <v>162</v>
      </c>
      <c r="C118" s="92" t="s">
        <v>338</v>
      </c>
      <c r="D118" s="91"/>
      <c r="E118" s="92" t="s">
        <v>49</v>
      </c>
      <c r="F118" s="92" t="s">
        <v>51</v>
      </c>
      <c r="G118" s="92" t="s">
        <v>336</v>
      </c>
      <c r="H118" s="92" t="s">
        <v>227</v>
      </c>
      <c r="I118" s="86"/>
    </row>
    <row r="119" spans="2:9" ht="15" hidden="1" customHeight="1" x14ac:dyDescent="0.35">
      <c r="B119" s="96" t="s">
        <v>164</v>
      </c>
      <c r="C119" s="92" t="s">
        <v>339</v>
      </c>
      <c r="D119" s="91" t="str">
        <f>VLOOKUP(C119,'[1]Birbank İşçi Siyahı'!$B:$I,8,)</f>
        <v>BirMarket</v>
      </c>
      <c r="E119" s="92" t="s">
        <v>49</v>
      </c>
      <c r="F119" s="92" t="s">
        <v>51</v>
      </c>
      <c r="G119" s="92" t="s">
        <v>336</v>
      </c>
      <c r="H119" s="92" t="s">
        <v>227</v>
      </c>
      <c r="I119" s="86"/>
    </row>
    <row r="120" spans="2:9" ht="15" hidden="1" customHeight="1" x14ac:dyDescent="0.35">
      <c r="B120" s="96" t="s">
        <v>164</v>
      </c>
      <c r="C120" s="92" t="s">
        <v>340</v>
      </c>
      <c r="D120" s="91" t="str">
        <f>VLOOKUP(C120,'[1]Birbank İşçi Siyahı'!$B:$I,8,)</f>
        <v>BirMarket</v>
      </c>
      <c r="E120" s="92" t="s">
        <v>49</v>
      </c>
      <c r="F120" s="92" t="s">
        <v>51</v>
      </c>
      <c r="G120" s="92" t="s">
        <v>336</v>
      </c>
      <c r="H120" s="92" t="s">
        <v>227</v>
      </c>
      <c r="I120" s="86"/>
    </row>
    <row r="121" spans="2:9" ht="15" hidden="1" customHeight="1" x14ac:dyDescent="0.35">
      <c r="B121" s="96" t="s">
        <v>162</v>
      </c>
      <c r="C121" s="92" t="s">
        <v>341</v>
      </c>
      <c r="D121" s="91"/>
      <c r="E121" s="92" t="s">
        <v>49</v>
      </c>
      <c r="F121" s="92" t="s">
        <v>52</v>
      </c>
      <c r="G121" s="92" t="s">
        <v>334</v>
      </c>
      <c r="H121" s="92" t="s">
        <v>227</v>
      </c>
      <c r="I121" s="86"/>
    </row>
    <row r="122" spans="2:9" ht="15" hidden="1" customHeight="1" x14ac:dyDescent="0.35">
      <c r="B122" s="96" t="s">
        <v>162</v>
      </c>
      <c r="C122" s="92" t="s">
        <v>342</v>
      </c>
      <c r="D122" s="91" t="e">
        <f>VLOOKUP(C122,'[1]Birbank İşçi Siyahı'!$B:$I,8,)</f>
        <v>#N/A</v>
      </c>
      <c r="E122" s="92" t="s">
        <v>49</v>
      </c>
      <c r="F122" s="92" t="s">
        <v>52</v>
      </c>
      <c r="G122" s="92" t="s">
        <v>334</v>
      </c>
      <c r="H122" s="92" t="s">
        <v>226</v>
      </c>
      <c r="I122" s="86"/>
    </row>
    <row r="123" spans="2:9" ht="15" hidden="1" customHeight="1" x14ac:dyDescent="0.35">
      <c r="B123" s="96" t="s">
        <v>162</v>
      </c>
      <c r="C123" s="92" t="s">
        <v>343</v>
      </c>
      <c r="D123" s="91"/>
      <c r="E123" s="92" t="s">
        <v>49</v>
      </c>
      <c r="F123" s="92" t="s">
        <v>52</v>
      </c>
      <c r="G123" s="92" t="s">
        <v>332</v>
      </c>
      <c r="H123" s="92" t="s">
        <v>227</v>
      </c>
      <c r="I123" s="86"/>
    </row>
    <row r="124" spans="2:9" ht="15" hidden="1" customHeight="1" x14ac:dyDescent="0.35">
      <c r="B124" s="96" t="s">
        <v>162</v>
      </c>
      <c r="C124" s="92" t="s">
        <v>344</v>
      </c>
      <c r="D124" s="91"/>
      <c r="E124" s="92" t="s">
        <v>49</v>
      </c>
      <c r="F124" s="92" t="s">
        <v>52</v>
      </c>
      <c r="G124" s="92" t="s">
        <v>332</v>
      </c>
      <c r="H124" s="92" t="s">
        <v>227</v>
      </c>
      <c r="I124" s="86"/>
    </row>
    <row r="125" spans="2:9" ht="15" hidden="1" customHeight="1" x14ac:dyDescent="0.35">
      <c r="B125" s="96" t="s">
        <v>162</v>
      </c>
      <c r="C125" s="92" t="s">
        <v>345</v>
      </c>
      <c r="D125" s="91"/>
      <c r="E125" s="92" t="s">
        <v>49</v>
      </c>
      <c r="F125" s="92" t="s">
        <v>52</v>
      </c>
      <c r="G125" s="92" t="s">
        <v>332</v>
      </c>
      <c r="H125" s="92" t="s">
        <v>227</v>
      </c>
      <c r="I125" s="86"/>
    </row>
    <row r="126" spans="2:9" ht="15" hidden="1" customHeight="1" x14ac:dyDescent="0.35">
      <c r="B126" s="96" t="s">
        <v>162</v>
      </c>
      <c r="C126" s="92" t="s">
        <v>346</v>
      </c>
      <c r="D126" s="91"/>
      <c r="E126" s="92" t="s">
        <v>49</v>
      </c>
      <c r="F126" s="92" t="s">
        <v>52</v>
      </c>
      <c r="G126" s="92" t="s">
        <v>332</v>
      </c>
      <c r="H126" s="92" t="s">
        <v>227</v>
      </c>
      <c r="I126" s="86"/>
    </row>
    <row r="127" spans="2:9" ht="15" hidden="1" customHeight="1" x14ac:dyDescent="0.35">
      <c r="B127" s="96" t="s">
        <v>162</v>
      </c>
      <c r="C127" s="92" t="s">
        <v>347</v>
      </c>
      <c r="D127" s="91"/>
      <c r="E127" s="92" t="s">
        <v>49</v>
      </c>
      <c r="F127" s="92" t="s">
        <v>52</v>
      </c>
      <c r="G127" s="92" t="s">
        <v>332</v>
      </c>
      <c r="H127" s="92" t="s">
        <v>227</v>
      </c>
      <c r="I127" s="86"/>
    </row>
    <row r="128" spans="2:9" ht="15" hidden="1" customHeight="1" x14ac:dyDescent="0.35">
      <c r="B128" s="96" t="s">
        <v>162</v>
      </c>
      <c r="C128" s="92" t="s">
        <v>348</v>
      </c>
      <c r="D128" s="91"/>
      <c r="E128" s="92" t="s">
        <v>49</v>
      </c>
      <c r="F128" s="92" t="s">
        <v>52</v>
      </c>
      <c r="G128" s="92" t="s">
        <v>332</v>
      </c>
      <c r="H128" s="92" t="s">
        <v>227</v>
      </c>
      <c r="I128" s="86"/>
    </row>
    <row r="129" spans="2:9" ht="15" hidden="1" customHeight="1" x14ac:dyDescent="0.35">
      <c r="B129" s="96" t="s">
        <v>162</v>
      </c>
      <c r="C129" s="92" t="s">
        <v>349</v>
      </c>
      <c r="D129" s="91"/>
      <c r="E129" s="92" t="s">
        <v>49</v>
      </c>
      <c r="F129" s="92" t="s">
        <v>52</v>
      </c>
      <c r="G129" s="92" t="s">
        <v>332</v>
      </c>
      <c r="H129" s="92" t="s">
        <v>227</v>
      </c>
      <c r="I129" s="86"/>
    </row>
    <row r="130" spans="2:9" ht="15" hidden="1" customHeight="1" x14ac:dyDescent="0.35">
      <c r="B130" s="96" t="s">
        <v>162</v>
      </c>
      <c r="C130" s="92" t="s">
        <v>350</v>
      </c>
      <c r="D130" s="91" t="e">
        <f>VLOOKUP(C130,'[1]Birbank İşçi Siyahı'!$B:$I,8,)</f>
        <v>#N/A</v>
      </c>
      <c r="E130" s="92" t="s">
        <v>49</v>
      </c>
      <c r="F130" s="92" t="s">
        <v>52</v>
      </c>
      <c r="G130" s="92" t="s">
        <v>332</v>
      </c>
      <c r="H130" s="92" t="s">
        <v>226</v>
      </c>
      <c r="I130" s="86"/>
    </row>
    <row r="131" spans="2:9" ht="15" hidden="1" customHeight="1" x14ac:dyDescent="0.35">
      <c r="B131" s="96" t="s">
        <v>162</v>
      </c>
      <c r="C131" s="91" t="s">
        <v>351</v>
      </c>
      <c r="D131" s="91"/>
      <c r="E131" s="91" t="s">
        <v>155</v>
      </c>
      <c r="F131" s="91" t="s">
        <v>156</v>
      </c>
      <c r="G131" s="91" t="s">
        <v>352</v>
      </c>
      <c r="H131" s="92" t="s">
        <v>227</v>
      </c>
      <c r="I131" s="86"/>
    </row>
    <row r="132" spans="2:9" ht="15" hidden="1" customHeight="1" x14ac:dyDescent="0.35">
      <c r="B132" s="96" t="s">
        <v>162</v>
      </c>
      <c r="C132" s="91" t="s">
        <v>353</v>
      </c>
      <c r="D132" s="91"/>
      <c r="E132" s="91" t="s">
        <v>155</v>
      </c>
      <c r="F132" s="91" t="s">
        <v>157</v>
      </c>
      <c r="G132" s="91" t="s">
        <v>248</v>
      </c>
      <c r="H132" s="92" t="s">
        <v>227</v>
      </c>
      <c r="I132" s="86"/>
    </row>
    <row r="133" spans="2:9" ht="15" hidden="1" customHeight="1" x14ac:dyDescent="0.35">
      <c r="B133" s="96" t="s">
        <v>162</v>
      </c>
      <c r="C133" s="91" t="s">
        <v>354</v>
      </c>
      <c r="D133" s="91" t="e">
        <f>VLOOKUP(C133,'[1]Birbank İşçi Siyahı'!$B:$I,8,)</f>
        <v>#N/A</v>
      </c>
      <c r="E133" s="91" t="s">
        <v>155</v>
      </c>
      <c r="F133" s="91" t="s">
        <v>158</v>
      </c>
      <c r="G133" s="91" t="s">
        <v>352</v>
      </c>
      <c r="H133" s="92" t="s">
        <v>226</v>
      </c>
      <c r="I133" s="86"/>
    </row>
    <row r="134" spans="2:9" ht="15" hidden="1" customHeight="1" x14ac:dyDescent="0.35">
      <c r="B134" s="96" t="s">
        <v>162</v>
      </c>
      <c r="C134" s="91" t="s">
        <v>355</v>
      </c>
      <c r="D134" s="91"/>
      <c r="E134" s="91" t="s">
        <v>155</v>
      </c>
      <c r="F134" s="91" t="s">
        <v>156</v>
      </c>
      <c r="G134" s="91" t="s">
        <v>248</v>
      </c>
      <c r="H134" s="92" t="s">
        <v>227</v>
      </c>
      <c r="I134" s="86"/>
    </row>
    <row r="135" spans="2:9" ht="15" hidden="1" customHeight="1" x14ac:dyDescent="0.35">
      <c r="B135" s="96" t="s">
        <v>162</v>
      </c>
      <c r="C135" s="91" t="s">
        <v>356</v>
      </c>
      <c r="D135" s="91"/>
      <c r="E135" s="91" t="s">
        <v>155</v>
      </c>
      <c r="F135" s="91" t="s">
        <v>159</v>
      </c>
      <c r="G135" s="91" t="s">
        <v>357</v>
      </c>
      <c r="H135" s="92" t="s">
        <v>227</v>
      </c>
      <c r="I135" s="86"/>
    </row>
    <row r="136" spans="2:9" ht="15" hidden="1" customHeight="1" x14ac:dyDescent="0.35">
      <c r="B136" s="96" t="s">
        <v>162</v>
      </c>
      <c r="C136" s="91" t="s">
        <v>358</v>
      </c>
      <c r="D136" s="91"/>
      <c r="E136" s="91" t="s">
        <v>155</v>
      </c>
      <c r="F136" s="91" t="s">
        <v>156</v>
      </c>
      <c r="G136" s="91" t="s">
        <v>359</v>
      </c>
      <c r="H136" s="92" t="s">
        <v>227</v>
      </c>
      <c r="I136" s="86"/>
    </row>
    <row r="137" spans="2:9" ht="15" hidden="1" customHeight="1" x14ac:dyDescent="0.35">
      <c r="B137" s="96" t="s">
        <v>162</v>
      </c>
      <c r="C137" s="91" t="s">
        <v>360</v>
      </c>
      <c r="D137" s="91"/>
      <c r="E137" s="91" t="s">
        <v>155</v>
      </c>
      <c r="F137" s="91" t="s">
        <v>156</v>
      </c>
      <c r="G137" s="91" t="s">
        <v>359</v>
      </c>
      <c r="H137" s="92" t="s">
        <v>227</v>
      </c>
      <c r="I137" s="86"/>
    </row>
    <row r="138" spans="2:9" ht="15" hidden="1" customHeight="1" x14ac:dyDescent="0.35">
      <c r="B138" s="96" t="s">
        <v>162</v>
      </c>
      <c r="C138" s="91" t="s">
        <v>361</v>
      </c>
      <c r="D138" s="91"/>
      <c r="E138" s="91" t="s">
        <v>155</v>
      </c>
      <c r="F138" s="91" t="s">
        <v>156</v>
      </c>
      <c r="G138" s="91" t="s">
        <v>359</v>
      </c>
      <c r="H138" s="92" t="s">
        <v>227</v>
      </c>
      <c r="I138" s="86"/>
    </row>
    <row r="139" spans="2:9" ht="15" hidden="1" customHeight="1" x14ac:dyDescent="0.35">
      <c r="B139" s="96" t="s">
        <v>162</v>
      </c>
      <c r="C139" s="91" t="s">
        <v>362</v>
      </c>
      <c r="D139" s="91"/>
      <c r="E139" s="91" t="s">
        <v>155</v>
      </c>
      <c r="F139" s="91" t="s">
        <v>156</v>
      </c>
      <c r="G139" s="91" t="s">
        <v>359</v>
      </c>
      <c r="H139" s="92" t="s">
        <v>227</v>
      </c>
      <c r="I139" s="86"/>
    </row>
    <row r="140" spans="2:9" ht="15" hidden="1" customHeight="1" x14ac:dyDescent="0.35">
      <c r="B140" s="96" t="s">
        <v>162</v>
      </c>
      <c r="C140" s="91" t="s">
        <v>363</v>
      </c>
      <c r="D140" s="91"/>
      <c r="E140" s="91" t="s">
        <v>155</v>
      </c>
      <c r="F140" s="91" t="s">
        <v>156</v>
      </c>
      <c r="G140" s="91" t="s">
        <v>359</v>
      </c>
      <c r="H140" s="92" t="s">
        <v>227</v>
      </c>
      <c r="I140" s="86"/>
    </row>
    <row r="141" spans="2:9" ht="15" hidden="1" customHeight="1" x14ac:dyDescent="0.35">
      <c r="B141" s="96" t="s">
        <v>162</v>
      </c>
      <c r="C141" s="91" t="s">
        <v>364</v>
      </c>
      <c r="D141" s="91"/>
      <c r="E141" s="91" t="s">
        <v>155</v>
      </c>
      <c r="F141" s="91" t="s">
        <v>157</v>
      </c>
      <c r="G141" s="91" t="s">
        <v>359</v>
      </c>
      <c r="H141" s="92" t="s">
        <v>227</v>
      </c>
      <c r="I141" s="86"/>
    </row>
    <row r="142" spans="2:9" ht="15" hidden="1" customHeight="1" x14ac:dyDescent="0.35">
      <c r="B142" s="96" t="s">
        <v>162</v>
      </c>
      <c r="C142" s="91" t="s">
        <v>365</v>
      </c>
      <c r="D142" s="91"/>
      <c r="E142" s="91" t="s">
        <v>155</v>
      </c>
      <c r="F142" s="91" t="s">
        <v>157</v>
      </c>
      <c r="G142" s="91" t="s">
        <v>359</v>
      </c>
      <c r="H142" s="92" t="s">
        <v>227</v>
      </c>
      <c r="I142" s="86"/>
    </row>
    <row r="143" spans="2:9" ht="15" hidden="1" customHeight="1" x14ac:dyDescent="0.35">
      <c r="B143" s="96" t="s">
        <v>162</v>
      </c>
      <c r="C143" s="91" t="s">
        <v>366</v>
      </c>
      <c r="D143" s="91"/>
      <c r="E143" s="91" t="s">
        <v>155</v>
      </c>
      <c r="F143" s="91" t="s">
        <v>157</v>
      </c>
      <c r="G143" s="91" t="s">
        <v>359</v>
      </c>
      <c r="H143" s="92" t="s">
        <v>227</v>
      </c>
      <c r="I143" s="86"/>
    </row>
    <row r="144" spans="2:9" ht="15" hidden="1" customHeight="1" x14ac:dyDescent="0.35">
      <c r="B144" s="96" t="s">
        <v>162</v>
      </c>
      <c r="C144" s="91" t="s">
        <v>367</v>
      </c>
      <c r="D144" s="91"/>
      <c r="E144" s="91" t="s">
        <v>155</v>
      </c>
      <c r="F144" s="91" t="s">
        <v>157</v>
      </c>
      <c r="G144" s="91" t="s">
        <v>359</v>
      </c>
      <c r="H144" s="92" t="s">
        <v>227</v>
      </c>
      <c r="I144" s="86"/>
    </row>
    <row r="145" spans="2:9" ht="15" hidden="1" customHeight="1" x14ac:dyDescent="0.35">
      <c r="B145" s="96" t="s">
        <v>162</v>
      </c>
      <c r="C145" s="91" t="s">
        <v>368</v>
      </c>
      <c r="D145" s="91"/>
      <c r="E145" s="91" t="s">
        <v>155</v>
      </c>
      <c r="F145" s="91" t="s">
        <v>157</v>
      </c>
      <c r="G145" s="91" t="s">
        <v>359</v>
      </c>
      <c r="H145" s="92" t="s">
        <v>227</v>
      </c>
      <c r="I145" s="86"/>
    </row>
    <row r="146" spans="2:9" ht="15" hidden="1" customHeight="1" x14ac:dyDescent="0.35">
      <c r="B146" s="96" t="s">
        <v>162</v>
      </c>
      <c r="C146" s="91" t="s">
        <v>369</v>
      </c>
      <c r="D146" s="91"/>
      <c r="E146" s="91" t="s">
        <v>155</v>
      </c>
      <c r="F146" s="91" t="s">
        <v>158</v>
      </c>
      <c r="G146" s="91" t="s">
        <v>359</v>
      </c>
      <c r="H146" s="92" t="s">
        <v>227</v>
      </c>
      <c r="I146" s="86"/>
    </row>
    <row r="147" spans="2:9" ht="15" hidden="1" customHeight="1" x14ac:dyDescent="0.35">
      <c r="B147" s="96" t="s">
        <v>162</v>
      </c>
      <c r="C147" s="91" t="s">
        <v>370</v>
      </c>
      <c r="D147" s="91"/>
      <c r="E147" s="91" t="s">
        <v>155</v>
      </c>
      <c r="F147" s="91" t="s">
        <v>158</v>
      </c>
      <c r="G147" s="91" t="s">
        <v>359</v>
      </c>
      <c r="H147" s="92" t="s">
        <v>227</v>
      </c>
      <c r="I147" s="86"/>
    </row>
    <row r="148" spans="2:9" ht="15" hidden="1" customHeight="1" x14ac:dyDescent="0.35">
      <c r="B148" s="96" t="s">
        <v>162</v>
      </c>
      <c r="C148" s="91" t="s">
        <v>371</v>
      </c>
      <c r="D148" s="91"/>
      <c r="E148" s="91" t="s">
        <v>155</v>
      </c>
      <c r="F148" s="91" t="s">
        <v>158</v>
      </c>
      <c r="G148" s="91" t="s">
        <v>359</v>
      </c>
      <c r="H148" s="92" t="s">
        <v>227</v>
      </c>
      <c r="I148" s="86"/>
    </row>
    <row r="149" spans="2:9" ht="15" hidden="1" customHeight="1" x14ac:dyDescent="0.35">
      <c r="B149" s="96" t="s">
        <v>162</v>
      </c>
      <c r="C149" s="91" t="s">
        <v>372</v>
      </c>
      <c r="D149" s="91"/>
      <c r="E149" s="91" t="s">
        <v>155</v>
      </c>
      <c r="F149" s="91" t="s">
        <v>158</v>
      </c>
      <c r="G149" s="91" t="s">
        <v>359</v>
      </c>
      <c r="H149" s="92" t="s">
        <v>227</v>
      </c>
      <c r="I149" s="86"/>
    </row>
    <row r="150" spans="2:9" ht="15" hidden="1" customHeight="1" x14ac:dyDescent="0.35">
      <c r="B150" s="96" t="s">
        <v>171</v>
      </c>
      <c r="C150" s="91" t="s">
        <v>373</v>
      </c>
      <c r="D150" s="91" t="str">
        <f>VLOOKUP(C150,'[1]Birbank İşçi Siyahı'!$B:$I,8,)</f>
        <v>Bir Payment</v>
      </c>
      <c r="E150" s="91" t="s">
        <v>155</v>
      </c>
      <c r="F150" s="91" t="s">
        <v>159</v>
      </c>
      <c r="G150" s="91" t="s">
        <v>359</v>
      </c>
      <c r="H150" s="92" t="s">
        <v>227</v>
      </c>
      <c r="I150" s="86"/>
    </row>
    <row r="151" spans="2:9" ht="15" hidden="1" customHeight="1" x14ac:dyDescent="0.35">
      <c r="B151" s="96" t="s">
        <v>171</v>
      </c>
      <c r="C151" s="91" t="s">
        <v>374</v>
      </c>
      <c r="D151" s="91" t="str">
        <f>VLOOKUP(C151,'[1]Birbank İşçi Siyahı'!$B:$I,8,)</f>
        <v>Bir Payment</v>
      </c>
      <c r="E151" s="91" t="s">
        <v>155</v>
      </c>
      <c r="F151" s="91" t="s">
        <v>159</v>
      </c>
      <c r="G151" s="91" t="s">
        <v>359</v>
      </c>
      <c r="H151" s="92" t="s">
        <v>227</v>
      </c>
      <c r="I151" s="86"/>
    </row>
    <row r="152" spans="2:9" ht="15" hidden="1" customHeight="1" x14ac:dyDescent="0.35">
      <c r="B152" s="96" t="s">
        <v>171</v>
      </c>
      <c r="C152" s="91" t="s">
        <v>375</v>
      </c>
      <c r="D152" s="91" t="str">
        <f>VLOOKUP(C152,'[1]Birbank İşçi Siyahı'!$B:$I,8,)</f>
        <v>Bir Payment</v>
      </c>
      <c r="E152" s="91" t="s">
        <v>155</v>
      </c>
      <c r="F152" s="91" t="s">
        <v>159</v>
      </c>
      <c r="G152" s="91" t="s">
        <v>359</v>
      </c>
      <c r="H152" s="92" t="s">
        <v>227</v>
      </c>
      <c r="I152" s="86"/>
    </row>
    <row r="153" spans="2:9" ht="15" hidden="1" customHeight="1" x14ac:dyDescent="0.35">
      <c r="B153" s="96" t="s">
        <v>162</v>
      </c>
      <c r="C153" s="91" t="s">
        <v>376</v>
      </c>
      <c r="D153" s="91" t="e">
        <f>VLOOKUP(C153,'[1]Birbank İşçi Siyahı'!$B:$I,8,)</f>
        <v>#N/A</v>
      </c>
      <c r="E153" s="91" t="s">
        <v>155</v>
      </c>
      <c r="F153" s="91" t="s">
        <v>159</v>
      </c>
      <c r="G153" s="91" t="s">
        <v>359</v>
      </c>
      <c r="H153" s="92" t="s">
        <v>226</v>
      </c>
      <c r="I153" s="86"/>
    </row>
    <row r="154" spans="2:9" ht="15" hidden="1" customHeight="1" x14ac:dyDescent="0.35">
      <c r="B154" s="96" t="s">
        <v>162</v>
      </c>
      <c r="C154" s="91" t="s">
        <v>377</v>
      </c>
      <c r="D154" s="91" t="e">
        <f>VLOOKUP(C154,'[1]Birbank İşçi Siyahı'!$B:$I,8,)</f>
        <v>#N/A</v>
      </c>
      <c r="E154" s="91" t="s">
        <v>378</v>
      </c>
      <c r="F154" s="91" t="s">
        <v>161</v>
      </c>
      <c r="G154" s="91" t="s">
        <v>379</v>
      </c>
      <c r="H154" s="92" t="s">
        <v>226</v>
      </c>
      <c r="I154" s="90" t="s">
        <v>164</v>
      </c>
    </row>
    <row r="155" spans="2:9" ht="15" hidden="1" customHeight="1" x14ac:dyDescent="0.35">
      <c r="B155" s="96" t="s">
        <v>162</v>
      </c>
      <c r="C155" s="91" t="s">
        <v>380</v>
      </c>
      <c r="D155" s="91" t="e">
        <f>VLOOKUP(C155,'[1]Birbank İşçi Siyahı'!$B:$I,8,)</f>
        <v>#N/A</v>
      </c>
      <c r="E155" s="91" t="s">
        <v>378</v>
      </c>
      <c r="F155" s="91" t="s">
        <v>161</v>
      </c>
      <c r="G155" s="91" t="s">
        <v>381</v>
      </c>
      <c r="H155" s="92" t="s">
        <v>226</v>
      </c>
      <c r="I155" s="90" t="s">
        <v>164</v>
      </c>
    </row>
    <row r="156" spans="2:9" ht="15" hidden="1" customHeight="1" x14ac:dyDescent="0.35">
      <c r="B156" s="96" t="s">
        <v>162</v>
      </c>
      <c r="C156" s="91" t="s">
        <v>382</v>
      </c>
      <c r="D156" s="91" t="e">
        <f>VLOOKUP(C156,'[1]Birbank İşçi Siyahı'!$B:$I,8,)</f>
        <v>#N/A</v>
      </c>
      <c r="E156" s="91" t="s">
        <v>378</v>
      </c>
      <c r="F156" s="91" t="s">
        <v>161</v>
      </c>
      <c r="G156" s="91" t="s">
        <v>381</v>
      </c>
      <c r="H156" s="92" t="s">
        <v>226</v>
      </c>
      <c r="I156" s="90" t="s">
        <v>164</v>
      </c>
    </row>
    <row r="157" spans="2:9" ht="15" hidden="1" customHeight="1" x14ac:dyDescent="0.35">
      <c r="B157" s="96" t="s">
        <v>162</v>
      </c>
      <c r="C157" s="91" t="s">
        <v>383</v>
      </c>
      <c r="D157" s="91" t="e">
        <f>VLOOKUP(C157,'[1]Birbank İşçi Siyahı'!$B:$I,8,)</f>
        <v>#N/A</v>
      </c>
      <c r="E157" s="91" t="s">
        <v>378</v>
      </c>
      <c r="F157" s="91" t="s">
        <v>161</v>
      </c>
      <c r="G157" s="91" t="s">
        <v>381</v>
      </c>
      <c r="H157" s="92" t="s">
        <v>226</v>
      </c>
      <c r="I157" s="90" t="s">
        <v>164</v>
      </c>
    </row>
    <row r="158" spans="2:9" ht="15" hidden="1" customHeight="1" x14ac:dyDescent="0.35">
      <c r="B158" s="96" t="s">
        <v>162</v>
      </c>
      <c r="C158" s="92" t="s">
        <v>384</v>
      </c>
      <c r="D158" s="91"/>
      <c r="E158" s="92" t="s">
        <v>385</v>
      </c>
      <c r="F158" s="92" t="s">
        <v>33</v>
      </c>
      <c r="G158" s="92" t="s">
        <v>386</v>
      </c>
      <c r="H158" s="92" t="s">
        <v>227</v>
      </c>
      <c r="I158" s="86"/>
    </row>
    <row r="159" spans="2:9" ht="15" hidden="1" customHeight="1" x14ac:dyDescent="0.35">
      <c r="B159" s="96" t="s">
        <v>171</v>
      </c>
      <c r="C159" s="92" t="s">
        <v>387</v>
      </c>
      <c r="D159" s="91" t="str">
        <f>VLOOKUP(C159,'[1]Birbank İşçi Siyahı'!$B:$I,8,)</f>
        <v>Bir Payment</v>
      </c>
      <c r="E159" s="92" t="s">
        <v>385</v>
      </c>
      <c r="F159" s="92" t="s">
        <v>33</v>
      </c>
      <c r="G159" s="92" t="s">
        <v>352</v>
      </c>
      <c r="H159" s="92" t="s">
        <v>227</v>
      </c>
      <c r="I159" s="86"/>
    </row>
    <row r="160" spans="2:9" ht="15" hidden="1" customHeight="1" x14ac:dyDescent="0.35">
      <c r="B160" s="96" t="s">
        <v>162</v>
      </c>
      <c r="C160" s="92" t="s">
        <v>388</v>
      </c>
      <c r="D160" s="91"/>
      <c r="E160" s="92" t="s">
        <v>385</v>
      </c>
      <c r="F160" s="92" t="s">
        <v>54</v>
      </c>
      <c r="G160" s="92" t="s">
        <v>248</v>
      </c>
      <c r="H160" s="92" t="s">
        <v>227</v>
      </c>
      <c r="I160" s="86"/>
    </row>
    <row r="161" spans="2:9" ht="15" hidden="1" customHeight="1" x14ac:dyDescent="0.35">
      <c r="B161" s="96" t="s">
        <v>162</v>
      </c>
      <c r="C161" s="92" t="s">
        <v>389</v>
      </c>
      <c r="D161" s="91"/>
      <c r="E161" s="92" t="s">
        <v>385</v>
      </c>
      <c r="F161" s="92" t="s">
        <v>33</v>
      </c>
      <c r="G161" s="92" t="s">
        <v>352</v>
      </c>
      <c r="H161" s="92" t="s">
        <v>227</v>
      </c>
      <c r="I161" s="86"/>
    </row>
    <row r="162" spans="2:9" ht="15" hidden="1" customHeight="1" x14ac:dyDescent="0.35">
      <c r="B162" s="96" t="s">
        <v>162</v>
      </c>
      <c r="C162" s="92" t="s">
        <v>390</v>
      </c>
      <c r="D162" s="91"/>
      <c r="E162" s="92" t="s">
        <v>385</v>
      </c>
      <c r="F162" s="92" t="s">
        <v>54</v>
      </c>
      <c r="G162" s="92" t="s">
        <v>391</v>
      </c>
      <c r="H162" s="92" t="s">
        <v>227</v>
      </c>
      <c r="I162" s="86"/>
    </row>
    <row r="163" spans="2:9" ht="15" hidden="1" customHeight="1" x14ac:dyDescent="0.35">
      <c r="B163" s="96" t="s">
        <v>162</v>
      </c>
      <c r="C163" s="92" t="s">
        <v>392</v>
      </c>
      <c r="D163" s="91"/>
      <c r="E163" s="92" t="s">
        <v>385</v>
      </c>
      <c r="F163" s="92" t="s">
        <v>54</v>
      </c>
      <c r="G163" s="92" t="s">
        <v>391</v>
      </c>
      <c r="H163" s="92" t="s">
        <v>227</v>
      </c>
      <c r="I163" s="86"/>
    </row>
    <row r="164" spans="2:9" ht="15" hidden="1" customHeight="1" x14ac:dyDescent="0.35">
      <c r="B164" s="96" t="s">
        <v>171</v>
      </c>
      <c r="C164" s="92" t="s">
        <v>393</v>
      </c>
      <c r="D164" s="91" t="str">
        <f>VLOOKUP(C164,'[1]Birbank İşçi Siyahı'!$B:$I,8,)</f>
        <v>Bir Payment</v>
      </c>
      <c r="E164" s="92" t="s">
        <v>385</v>
      </c>
      <c r="F164" s="92" t="s">
        <v>394</v>
      </c>
      <c r="G164" s="92" t="s">
        <v>391</v>
      </c>
      <c r="H164" s="92" t="s">
        <v>227</v>
      </c>
      <c r="I164" s="86"/>
    </row>
    <row r="165" spans="2:9" ht="15" hidden="1" customHeight="1" x14ac:dyDescent="0.35">
      <c r="B165" s="96" t="s">
        <v>171</v>
      </c>
      <c r="C165" s="92" t="s">
        <v>395</v>
      </c>
      <c r="D165" s="91" t="str">
        <f>VLOOKUP(C165,'[1]Birbank İşçi Siyahı'!$B:$I,8,)</f>
        <v>Bir Payment</v>
      </c>
      <c r="E165" s="92" t="s">
        <v>385</v>
      </c>
      <c r="F165" s="92" t="s">
        <v>396</v>
      </c>
      <c r="G165" s="92" t="s">
        <v>391</v>
      </c>
      <c r="H165" s="92" t="s">
        <v>227</v>
      </c>
      <c r="I165" s="86"/>
    </row>
    <row r="166" spans="2:9" ht="15" hidden="1" customHeight="1" x14ac:dyDescent="0.35">
      <c r="B166" s="96" t="s">
        <v>171</v>
      </c>
      <c r="C166" s="92" t="s">
        <v>397</v>
      </c>
      <c r="D166" s="91" t="str">
        <f>VLOOKUP(C166,'[1]Birbank İşçi Siyahı'!$B:$I,8,)</f>
        <v>Bir Payment</v>
      </c>
      <c r="E166" s="92" t="s">
        <v>385</v>
      </c>
      <c r="F166" s="92" t="s">
        <v>396</v>
      </c>
      <c r="G166" s="92" t="s">
        <v>391</v>
      </c>
      <c r="H166" s="92" t="s">
        <v>227</v>
      </c>
      <c r="I166" s="86"/>
    </row>
    <row r="167" spans="2:9" ht="15" hidden="1" customHeight="1" x14ac:dyDescent="0.35">
      <c r="B167" s="96" t="s">
        <v>164</v>
      </c>
      <c r="C167" s="92" t="s">
        <v>398</v>
      </c>
      <c r="D167" s="91" t="str">
        <f>VLOOKUP(C167,'[1]Birbank İşçi Siyahı'!$B:$I,8,)</f>
        <v>BirMarket</v>
      </c>
      <c r="E167" s="92" t="s">
        <v>385</v>
      </c>
      <c r="F167" s="92" t="s">
        <v>396</v>
      </c>
      <c r="G167" s="92" t="s">
        <v>391</v>
      </c>
      <c r="H167" s="92" t="s">
        <v>227</v>
      </c>
      <c r="I167" s="86"/>
    </row>
    <row r="168" spans="2:9" ht="15" hidden="1" customHeight="1" x14ac:dyDescent="0.35">
      <c r="B168" s="96" t="s">
        <v>162</v>
      </c>
      <c r="C168" s="92" t="s">
        <v>399</v>
      </c>
      <c r="D168" s="91"/>
      <c r="E168" s="92" t="s">
        <v>385</v>
      </c>
      <c r="F168" s="92" t="s">
        <v>54</v>
      </c>
      <c r="G168" s="92" t="s">
        <v>391</v>
      </c>
      <c r="H168" s="92" t="s">
        <v>227</v>
      </c>
      <c r="I168" s="86"/>
    </row>
    <row r="169" spans="2:9" ht="15" hidden="1" customHeight="1" x14ac:dyDescent="0.35">
      <c r="B169" s="96" t="s">
        <v>162</v>
      </c>
      <c r="C169" s="92" t="s">
        <v>1759</v>
      </c>
      <c r="D169" s="91" t="e">
        <f>VLOOKUP(C169,'[1]Birbank İşçi Siyahı'!$B:$I,8,)</f>
        <v>#N/A</v>
      </c>
      <c r="E169" s="92" t="s">
        <v>385</v>
      </c>
      <c r="F169" s="92" t="s">
        <v>54</v>
      </c>
      <c r="G169" s="92" t="s">
        <v>391</v>
      </c>
      <c r="H169" s="92" t="s">
        <v>227</v>
      </c>
      <c r="I169" s="86"/>
    </row>
    <row r="170" spans="2:9" ht="15" hidden="1" customHeight="1" x14ac:dyDescent="0.35">
      <c r="B170" s="96" t="s">
        <v>162</v>
      </c>
      <c r="C170" s="92" t="s">
        <v>400</v>
      </c>
      <c r="D170" s="91"/>
      <c r="E170" s="92" t="s">
        <v>385</v>
      </c>
      <c r="F170" s="92" t="s">
        <v>54</v>
      </c>
      <c r="G170" s="92" t="s">
        <v>391</v>
      </c>
      <c r="H170" s="92" t="s">
        <v>227</v>
      </c>
      <c r="I170" s="86"/>
    </row>
    <row r="171" spans="2:9" ht="15" hidden="1" customHeight="1" x14ac:dyDescent="0.35">
      <c r="B171" s="96" t="s">
        <v>162</v>
      </c>
      <c r="C171" s="92" t="s">
        <v>401</v>
      </c>
      <c r="D171" s="91"/>
      <c r="E171" s="92" t="s">
        <v>385</v>
      </c>
      <c r="F171" s="92" t="s">
        <v>56</v>
      </c>
      <c r="G171" s="92" t="s">
        <v>248</v>
      </c>
      <c r="H171" s="92" t="s">
        <v>227</v>
      </c>
      <c r="I171" s="86"/>
    </row>
    <row r="172" spans="2:9" ht="15" hidden="1" customHeight="1" x14ac:dyDescent="0.35">
      <c r="B172" s="96" t="s">
        <v>162</v>
      </c>
      <c r="C172" s="92" t="s">
        <v>402</v>
      </c>
      <c r="D172" s="91"/>
      <c r="E172" s="92" t="s">
        <v>385</v>
      </c>
      <c r="F172" s="92" t="s">
        <v>56</v>
      </c>
      <c r="G172" s="92" t="s">
        <v>391</v>
      </c>
      <c r="H172" s="92" t="s">
        <v>227</v>
      </c>
      <c r="I172" s="86"/>
    </row>
    <row r="173" spans="2:9" ht="15" hidden="1" customHeight="1" x14ac:dyDescent="0.35">
      <c r="B173" s="96" t="s">
        <v>171</v>
      </c>
      <c r="C173" s="92" t="s">
        <v>403</v>
      </c>
      <c r="D173" s="91" t="str">
        <f>VLOOKUP(C173,'[1]Birbank İşçi Siyahı'!$B:$I,8,)</f>
        <v>Bir Payment</v>
      </c>
      <c r="E173" s="92" t="s">
        <v>385</v>
      </c>
      <c r="F173" s="92" t="s">
        <v>33</v>
      </c>
      <c r="G173" s="92" t="s">
        <v>391</v>
      </c>
      <c r="H173" s="92" t="s">
        <v>227</v>
      </c>
      <c r="I173" s="86"/>
    </row>
    <row r="174" spans="2:9" ht="15" hidden="1" customHeight="1" x14ac:dyDescent="0.35">
      <c r="B174" s="96" t="s">
        <v>1848</v>
      </c>
      <c r="C174" s="92" t="s">
        <v>404</v>
      </c>
      <c r="D174" s="91" t="str">
        <f>VLOOKUP(C174,'[1]Birbank İşçi Siyahı'!$B:$I,8,)</f>
        <v>Future lab</v>
      </c>
      <c r="E174" s="92" t="s">
        <v>385</v>
      </c>
      <c r="F174" s="92" t="s">
        <v>33</v>
      </c>
      <c r="G174" s="92" t="s">
        <v>391</v>
      </c>
      <c r="H174" s="92" t="s">
        <v>449</v>
      </c>
      <c r="I174" s="86"/>
    </row>
    <row r="175" spans="2:9" ht="15" hidden="1" customHeight="1" x14ac:dyDescent="0.35">
      <c r="B175" s="96" t="s">
        <v>1848</v>
      </c>
      <c r="C175" s="92" t="s">
        <v>405</v>
      </c>
      <c r="D175" s="91" t="str">
        <f>VLOOKUP(C175,'[1]Birbank İşçi Siyahı'!$B:$I,8,)</f>
        <v>Future lab</v>
      </c>
      <c r="E175" s="92" t="s">
        <v>385</v>
      </c>
      <c r="F175" s="92" t="s">
        <v>33</v>
      </c>
      <c r="G175" s="92" t="s">
        <v>391</v>
      </c>
      <c r="H175" s="92" t="s">
        <v>449</v>
      </c>
      <c r="I175" s="86"/>
    </row>
    <row r="176" spans="2:9" ht="15" hidden="1" customHeight="1" x14ac:dyDescent="0.35">
      <c r="B176" s="96" t="s">
        <v>1848</v>
      </c>
      <c r="C176" s="92" t="s">
        <v>406</v>
      </c>
      <c r="D176" s="91" t="str">
        <f>VLOOKUP(C176,'[1]Birbank İşçi Siyahı'!$B:$I,8,)</f>
        <v>Future lab</v>
      </c>
      <c r="E176" s="92" t="s">
        <v>385</v>
      </c>
      <c r="F176" s="92" t="s">
        <v>33</v>
      </c>
      <c r="G176" s="92" t="s">
        <v>391</v>
      </c>
      <c r="H176" s="92" t="s">
        <v>449</v>
      </c>
      <c r="I176" s="86"/>
    </row>
    <row r="177" spans="2:9" ht="15" hidden="1" customHeight="1" x14ac:dyDescent="0.35">
      <c r="B177" s="96" t="s">
        <v>162</v>
      </c>
      <c r="C177" s="92" t="s">
        <v>407</v>
      </c>
      <c r="D177" s="91"/>
      <c r="E177" s="92" t="s">
        <v>385</v>
      </c>
      <c r="F177" s="92" t="s">
        <v>56</v>
      </c>
      <c r="G177" s="92" t="s">
        <v>391</v>
      </c>
      <c r="H177" s="92" t="s">
        <v>227</v>
      </c>
      <c r="I177" s="86"/>
    </row>
    <row r="178" spans="2:9" ht="15" hidden="1" customHeight="1" x14ac:dyDescent="0.35">
      <c r="B178" s="96" t="s">
        <v>162</v>
      </c>
      <c r="C178" s="92" t="s">
        <v>408</v>
      </c>
      <c r="D178" s="91"/>
      <c r="E178" s="92" t="s">
        <v>385</v>
      </c>
      <c r="F178" s="92" t="s">
        <v>56</v>
      </c>
      <c r="G178" s="92" t="s">
        <v>391</v>
      </c>
      <c r="H178" s="92" t="s">
        <v>227</v>
      </c>
      <c r="I178" s="86"/>
    </row>
    <row r="179" spans="2:9" ht="15" hidden="1" customHeight="1" x14ac:dyDescent="0.35">
      <c r="B179" s="96" t="s">
        <v>162</v>
      </c>
      <c r="C179" s="92" t="s">
        <v>409</v>
      </c>
      <c r="D179" s="91"/>
      <c r="E179" s="92" t="s">
        <v>385</v>
      </c>
      <c r="F179" s="92" t="s">
        <v>56</v>
      </c>
      <c r="G179" s="92" t="s">
        <v>391</v>
      </c>
      <c r="H179" s="92" t="s">
        <v>227</v>
      </c>
      <c r="I179" s="86"/>
    </row>
    <row r="180" spans="2:9" ht="15" hidden="1" customHeight="1" x14ac:dyDescent="0.35">
      <c r="B180" s="96" t="s">
        <v>162</v>
      </c>
      <c r="C180" s="92" t="s">
        <v>410</v>
      </c>
      <c r="D180" s="91"/>
      <c r="E180" s="92" t="s">
        <v>385</v>
      </c>
      <c r="F180" s="92" t="s">
        <v>57</v>
      </c>
      <c r="G180" s="92" t="s">
        <v>248</v>
      </c>
      <c r="H180" s="92" t="s">
        <v>227</v>
      </c>
      <c r="I180" s="86"/>
    </row>
    <row r="181" spans="2:9" ht="15" hidden="1" customHeight="1" x14ac:dyDescent="0.35">
      <c r="B181" s="96" t="s">
        <v>162</v>
      </c>
      <c r="C181" s="92" t="s">
        <v>411</v>
      </c>
      <c r="D181" s="91"/>
      <c r="E181" s="92" t="s">
        <v>385</v>
      </c>
      <c r="F181" s="92" t="s">
        <v>57</v>
      </c>
      <c r="G181" s="92" t="s">
        <v>391</v>
      </c>
      <c r="H181" s="92" t="s">
        <v>227</v>
      </c>
      <c r="I181" s="86"/>
    </row>
    <row r="182" spans="2:9" ht="15" hidden="1" customHeight="1" x14ac:dyDescent="0.35">
      <c r="B182" s="96" t="s">
        <v>162</v>
      </c>
      <c r="C182" s="92" t="s">
        <v>412</v>
      </c>
      <c r="D182" s="91"/>
      <c r="E182" s="92" t="s">
        <v>385</v>
      </c>
      <c r="F182" s="92" t="s">
        <v>57</v>
      </c>
      <c r="G182" s="92" t="s">
        <v>391</v>
      </c>
      <c r="H182" s="92" t="s">
        <v>227</v>
      </c>
      <c r="I182" s="86"/>
    </row>
    <row r="183" spans="2:9" ht="15" hidden="1" customHeight="1" x14ac:dyDescent="0.35">
      <c r="B183" s="96" t="s">
        <v>162</v>
      </c>
      <c r="C183" s="92" t="s">
        <v>413</v>
      </c>
      <c r="D183" s="91"/>
      <c r="E183" s="92" t="s">
        <v>385</v>
      </c>
      <c r="F183" s="92" t="s">
        <v>57</v>
      </c>
      <c r="G183" s="92" t="s">
        <v>391</v>
      </c>
      <c r="H183" s="92" t="s">
        <v>227</v>
      </c>
      <c r="I183" s="86"/>
    </row>
    <row r="184" spans="2:9" ht="15" hidden="1" customHeight="1" x14ac:dyDescent="0.35">
      <c r="B184" s="96" t="s">
        <v>162</v>
      </c>
      <c r="C184" s="92" t="s">
        <v>414</v>
      </c>
      <c r="D184" s="91"/>
      <c r="E184" s="92" t="s">
        <v>385</v>
      </c>
      <c r="F184" s="92" t="s">
        <v>57</v>
      </c>
      <c r="G184" s="92" t="s">
        <v>391</v>
      </c>
      <c r="H184" s="92" t="s">
        <v>227</v>
      </c>
      <c r="I184" s="86"/>
    </row>
    <row r="185" spans="2:9" ht="15" hidden="1" customHeight="1" x14ac:dyDescent="0.35">
      <c r="B185" s="96" t="s">
        <v>162</v>
      </c>
      <c r="C185" s="92" t="s">
        <v>415</v>
      </c>
      <c r="D185" s="91"/>
      <c r="E185" s="92" t="s">
        <v>385</v>
      </c>
      <c r="F185" s="92" t="s">
        <v>57</v>
      </c>
      <c r="G185" s="92" t="s">
        <v>391</v>
      </c>
      <c r="H185" s="92" t="s">
        <v>227</v>
      </c>
      <c r="I185" s="86"/>
    </row>
    <row r="186" spans="2:9" ht="15" hidden="1" customHeight="1" x14ac:dyDescent="0.35">
      <c r="B186" s="96" t="s">
        <v>162</v>
      </c>
      <c r="C186" s="92" t="s">
        <v>416</v>
      </c>
      <c r="D186" s="91"/>
      <c r="E186" s="92" t="s">
        <v>385</v>
      </c>
      <c r="F186" s="92" t="s">
        <v>417</v>
      </c>
      <c r="G186" s="92" t="s">
        <v>248</v>
      </c>
      <c r="H186" s="92" t="s">
        <v>227</v>
      </c>
      <c r="I186" s="86"/>
    </row>
    <row r="187" spans="2:9" ht="15" hidden="1" customHeight="1" x14ac:dyDescent="0.35">
      <c r="B187" s="96" t="s">
        <v>162</v>
      </c>
      <c r="C187" s="92" t="s">
        <v>418</v>
      </c>
      <c r="D187" s="91"/>
      <c r="E187" s="92" t="s">
        <v>385</v>
      </c>
      <c r="F187" s="92" t="s">
        <v>58</v>
      </c>
      <c r="G187" s="92" t="s">
        <v>248</v>
      </c>
      <c r="H187" s="92" t="s">
        <v>227</v>
      </c>
      <c r="I187" s="86"/>
    </row>
    <row r="188" spans="2:9" ht="15" hidden="1" customHeight="1" x14ac:dyDescent="0.35">
      <c r="B188" s="96" t="s">
        <v>162</v>
      </c>
      <c r="C188" s="92" t="s">
        <v>419</v>
      </c>
      <c r="D188" s="91"/>
      <c r="E188" s="92" t="s">
        <v>385</v>
      </c>
      <c r="F188" s="92" t="s">
        <v>417</v>
      </c>
      <c r="G188" s="92" t="s">
        <v>391</v>
      </c>
      <c r="H188" s="92" t="s">
        <v>227</v>
      </c>
      <c r="I188" s="86"/>
    </row>
    <row r="189" spans="2:9" ht="15" hidden="1" customHeight="1" x14ac:dyDescent="0.35">
      <c r="B189" s="96" t="s">
        <v>162</v>
      </c>
      <c r="C189" s="92" t="s">
        <v>420</v>
      </c>
      <c r="D189" s="91"/>
      <c r="E189" s="92" t="s">
        <v>385</v>
      </c>
      <c r="F189" s="92" t="s">
        <v>417</v>
      </c>
      <c r="G189" s="92" t="s">
        <v>391</v>
      </c>
      <c r="H189" s="92" t="s">
        <v>227</v>
      </c>
      <c r="I189" s="86"/>
    </row>
    <row r="190" spans="2:9" ht="15" hidden="1" customHeight="1" x14ac:dyDescent="0.35">
      <c r="B190" s="96" t="s">
        <v>162</v>
      </c>
      <c r="C190" s="92" t="s">
        <v>421</v>
      </c>
      <c r="D190" s="91"/>
      <c r="E190" s="92" t="s">
        <v>385</v>
      </c>
      <c r="F190" s="92" t="s">
        <v>417</v>
      </c>
      <c r="G190" s="92" t="s">
        <v>391</v>
      </c>
      <c r="H190" s="92" t="s">
        <v>227</v>
      </c>
      <c r="I190" s="86"/>
    </row>
    <row r="191" spans="2:9" ht="15" hidden="1" customHeight="1" x14ac:dyDescent="0.35">
      <c r="B191" s="96" t="s">
        <v>162</v>
      </c>
      <c r="C191" s="92" t="s">
        <v>422</v>
      </c>
      <c r="D191" s="91"/>
      <c r="E191" s="92" t="s">
        <v>385</v>
      </c>
      <c r="F191" s="92" t="s">
        <v>58</v>
      </c>
      <c r="G191" s="92" t="s">
        <v>391</v>
      </c>
      <c r="H191" s="92" t="s">
        <v>227</v>
      </c>
      <c r="I191" s="86"/>
    </row>
    <row r="192" spans="2:9" ht="15" hidden="1" customHeight="1" x14ac:dyDescent="0.35">
      <c r="B192" s="96" t="s">
        <v>162</v>
      </c>
      <c r="C192" s="92" t="s">
        <v>423</v>
      </c>
      <c r="D192" s="91"/>
      <c r="E192" s="92" t="s">
        <v>385</v>
      </c>
      <c r="F192" s="92" t="s">
        <v>58</v>
      </c>
      <c r="G192" s="92" t="s">
        <v>391</v>
      </c>
      <c r="H192" s="92" t="s">
        <v>449</v>
      </c>
      <c r="I192" s="86"/>
    </row>
    <row r="193" spans="2:9" ht="15" hidden="1" customHeight="1" x14ac:dyDescent="0.35">
      <c r="B193" s="96" t="s">
        <v>162</v>
      </c>
      <c r="C193" s="92" t="s">
        <v>424</v>
      </c>
      <c r="D193" s="91"/>
      <c r="E193" s="92" t="s">
        <v>385</v>
      </c>
      <c r="F193" s="92" t="s">
        <v>394</v>
      </c>
      <c r="G193" s="92" t="s">
        <v>425</v>
      </c>
      <c r="H193" s="92" t="s">
        <v>227</v>
      </c>
      <c r="I193" s="86"/>
    </row>
    <row r="194" spans="2:9" ht="15" hidden="1" customHeight="1" x14ac:dyDescent="0.35">
      <c r="B194" s="96" t="s">
        <v>162</v>
      </c>
      <c r="C194" s="92" t="s">
        <v>426</v>
      </c>
      <c r="D194" s="91"/>
      <c r="E194" s="92" t="s">
        <v>385</v>
      </c>
      <c r="F194" s="92" t="s">
        <v>394</v>
      </c>
      <c r="G194" s="92" t="s">
        <v>248</v>
      </c>
      <c r="H194" s="92" t="s">
        <v>227</v>
      </c>
      <c r="I194" s="86"/>
    </row>
    <row r="195" spans="2:9" ht="15" hidden="1" customHeight="1" x14ac:dyDescent="0.35">
      <c r="B195" s="96" t="s">
        <v>162</v>
      </c>
      <c r="C195" s="92" t="s">
        <v>427</v>
      </c>
      <c r="D195" s="91"/>
      <c r="E195" s="92" t="s">
        <v>385</v>
      </c>
      <c r="F195" s="92" t="s">
        <v>394</v>
      </c>
      <c r="G195" s="92" t="s">
        <v>425</v>
      </c>
      <c r="H195" s="92" t="s">
        <v>227</v>
      </c>
      <c r="I195" s="86"/>
    </row>
    <row r="196" spans="2:9" ht="15" hidden="1" customHeight="1" x14ac:dyDescent="0.35">
      <c r="B196" s="96" t="s">
        <v>162</v>
      </c>
      <c r="C196" s="92" t="s">
        <v>428</v>
      </c>
      <c r="D196" s="91"/>
      <c r="E196" s="92" t="s">
        <v>385</v>
      </c>
      <c r="F196" s="92" t="s">
        <v>394</v>
      </c>
      <c r="G196" s="92" t="s">
        <v>425</v>
      </c>
      <c r="H196" s="92" t="s">
        <v>227</v>
      </c>
      <c r="I196" s="86"/>
    </row>
    <row r="197" spans="2:9" ht="15" hidden="1" customHeight="1" x14ac:dyDescent="0.35">
      <c r="B197" s="96" t="s">
        <v>162</v>
      </c>
      <c r="C197" s="92" t="s">
        <v>429</v>
      </c>
      <c r="D197" s="91"/>
      <c r="E197" s="92" t="s">
        <v>385</v>
      </c>
      <c r="F197" s="92" t="s">
        <v>394</v>
      </c>
      <c r="G197" s="92" t="s">
        <v>425</v>
      </c>
      <c r="H197" s="92" t="s">
        <v>227</v>
      </c>
      <c r="I197" s="86"/>
    </row>
    <row r="198" spans="2:9" ht="15" hidden="1" customHeight="1" x14ac:dyDescent="0.35">
      <c r="B198" s="96" t="s">
        <v>162</v>
      </c>
      <c r="C198" s="92" t="s">
        <v>430</v>
      </c>
      <c r="D198" s="91"/>
      <c r="E198" s="92" t="s">
        <v>385</v>
      </c>
      <c r="F198" s="92" t="s">
        <v>394</v>
      </c>
      <c r="G198" s="92" t="s">
        <v>425</v>
      </c>
      <c r="H198" s="92" t="s">
        <v>227</v>
      </c>
      <c r="I198" s="86"/>
    </row>
    <row r="199" spans="2:9" ht="15" hidden="1" customHeight="1" x14ac:dyDescent="0.35">
      <c r="B199" s="96" t="s">
        <v>162</v>
      </c>
      <c r="C199" s="92" t="s">
        <v>431</v>
      </c>
      <c r="D199" s="91"/>
      <c r="E199" s="92" t="s">
        <v>385</v>
      </c>
      <c r="F199" s="92" t="s">
        <v>394</v>
      </c>
      <c r="G199" s="92" t="s">
        <v>425</v>
      </c>
      <c r="H199" s="92" t="s">
        <v>227</v>
      </c>
      <c r="I199" s="86"/>
    </row>
    <row r="200" spans="2:9" ht="15" hidden="1" customHeight="1" x14ac:dyDescent="0.35">
      <c r="B200" s="96" t="s">
        <v>162</v>
      </c>
      <c r="C200" s="92" t="s">
        <v>432</v>
      </c>
      <c r="D200" s="91"/>
      <c r="E200" s="92" t="s">
        <v>385</v>
      </c>
      <c r="F200" s="92" t="s">
        <v>394</v>
      </c>
      <c r="G200" s="92" t="s">
        <v>425</v>
      </c>
      <c r="H200" s="92" t="s">
        <v>227</v>
      </c>
      <c r="I200" s="86"/>
    </row>
    <row r="201" spans="2:9" ht="15" hidden="1" customHeight="1" x14ac:dyDescent="0.35">
      <c r="B201" s="96" t="s">
        <v>162</v>
      </c>
      <c r="C201" s="92" t="s">
        <v>433</v>
      </c>
      <c r="D201" s="91"/>
      <c r="E201" s="92" t="s">
        <v>385</v>
      </c>
      <c r="F201" s="92" t="s">
        <v>394</v>
      </c>
      <c r="G201" s="92" t="s">
        <v>425</v>
      </c>
      <c r="H201" s="92" t="s">
        <v>227</v>
      </c>
      <c r="I201" s="86"/>
    </row>
    <row r="202" spans="2:9" ht="15" hidden="1" customHeight="1" x14ac:dyDescent="0.35">
      <c r="B202" s="96" t="s">
        <v>171</v>
      </c>
      <c r="C202" s="92" t="s">
        <v>434</v>
      </c>
      <c r="D202" s="91" t="str">
        <f>VLOOKUP(C202,'[1]Birbank İşçi Siyahı'!$B:$I,8,)</f>
        <v>Bir Payment</v>
      </c>
      <c r="E202" s="92" t="s">
        <v>385</v>
      </c>
      <c r="F202" s="92" t="s">
        <v>394</v>
      </c>
      <c r="G202" s="92" t="s">
        <v>425</v>
      </c>
      <c r="H202" s="92" t="s">
        <v>227</v>
      </c>
      <c r="I202" s="86"/>
    </row>
    <row r="203" spans="2:9" ht="15" hidden="1" customHeight="1" x14ac:dyDescent="0.35">
      <c r="B203" s="96" t="s">
        <v>171</v>
      </c>
      <c r="C203" s="92" t="s">
        <v>435</v>
      </c>
      <c r="D203" s="91" t="str">
        <f>VLOOKUP(C203,'[1]Birbank İşçi Siyahı'!$B:$I,8,)</f>
        <v>Bir Payment</v>
      </c>
      <c r="E203" s="92" t="s">
        <v>385</v>
      </c>
      <c r="F203" s="92" t="s">
        <v>394</v>
      </c>
      <c r="G203" s="92" t="s">
        <v>425</v>
      </c>
      <c r="H203" s="92" t="s">
        <v>227</v>
      </c>
      <c r="I203" s="86"/>
    </row>
    <row r="204" spans="2:9" ht="15" hidden="1" customHeight="1" x14ac:dyDescent="0.35">
      <c r="B204" s="96" t="s">
        <v>171</v>
      </c>
      <c r="C204" s="92" t="s">
        <v>436</v>
      </c>
      <c r="D204" s="91" t="str">
        <f>VLOOKUP(C204,'[1]Birbank İşçi Siyahı'!$B:$I,8,)</f>
        <v>Bir Payment</v>
      </c>
      <c r="E204" s="92" t="s">
        <v>385</v>
      </c>
      <c r="F204" s="92" t="s">
        <v>394</v>
      </c>
      <c r="G204" s="92" t="s">
        <v>425</v>
      </c>
      <c r="H204" s="92" t="s">
        <v>227</v>
      </c>
      <c r="I204" s="86"/>
    </row>
    <row r="205" spans="2:9" ht="15" hidden="1" customHeight="1" x14ac:dyDescent="0.35">
      <c r="B205" s="96" t="s">
        <v>171</v>
      </c>
      <c r="C205" s="92" t="s">
        <v>437</v>
      </c>
      <c r="D205" s="91" t="str">
        <f>VLOOKUP(C205,'[1]Birbank İşçi Siyahı'!$B:$I,8,)</f>
        <v>Bir Payment</v>
      </c>
      <c r="E205" s="92" t="s">
        <v>385</v>
      </c>
      <c r="F205" s="92" t="s">
        <v>394</v>
      </c>
      <c r="G205" s="92" t="s">
        <v>425</v>
      </c>
      <c r="H205" s="92" t="s">
        <v>227</v>
      </c>
      <c r="I205" s="86"/>
    </row>
    <row r="206" spans="2:9" ht="15" hidden="1" customHeight="1" x14ac:dyDescent="0.35">
      <c r="B206" s="96" t="s">
        <v>164</v>
      </c>
      <c r="C206" s="92" t="s">
        <v>438</v>
      </c>
      <c r="D206" s="91" t="str">
        <f>VLOOKUP(C206,'[1]Birbank İşçi Siyahı'!$B:$I,8,)</f>
        <v>BirMarket</v>
      </c>
      <c r="E206" s="92" t="s">
        <v>385</v>
      </c>
      <c r="F206" s="92" t="s">
        <v>394</v>
      </c>
      <c r="G206" s="92" t="s">
        <v>425</v>
      </c>
      <c r="H206" s="92" t="s">
        <v>227</v>
      </c>
      <c r="I206" s="86"/>
    </row>
    <row r="207" spans="2:9" ht="15" hidden="1" customHeight="1" x14ac:dyDescent="0.35">
      <c r="B207" s="96" t="s">
        <v>164</v>
      </c>
      <c r="C207" s="92" t="s">
        <v>439</v>
      </c>
      <c r="D207" s="91" t="str">
        <f>VLOOKUP(C207,'[1]Birbank İşçi Siyahı'!$B:$I,8,)</f>
        <v>BirMarket</v>
      </c>
      <c r="E207" s="92" t="s">
        <v>385</v>
      </c>
      <c r="F207" s="92" t="s">
        <v>394</v>
      </c>
      <c r="G207" s="92" t="s">
        <v>425</v>
      </c>
      <c r="H207" s="92" t="s">
        <v>227</v>
      </c>
      <c r="I207" s="86"/>
    </row>
    <row r="208" spans="2:9" ht="15" hidden="1" customHeight="1" x14ac:dyDescent="0.35">
      <c r="B208" s="96" t="s">
        <v>164</v>
      </c>
      <c r="C208" s="92" t="s">
        <v>440</v>
      </c>
      <c r="D208" s="91" t="str">
        <f>VLOOKUP(C208,'[1]Birbank İşçi Siyahı'!$B:$I,8,)</f>
        <v>BirMarket</v>
      </c>
      <c r="E208" s="92" t="s">
        <v>385</v>
      </c>
      <c r="F208" s="92" t="s">
        <v>394</v>
      </c>
      <c r="G208" s="92" t="s">
        <v>425</v>
      </c>
      <c r="H208" s="92" t="s">
        <v>227</v>
      </c>
      <c r="I208" s="86"/>
    </row>
    <row r="209" spans="2:9" ht="15" hidden="1" customHeight="1" x14ac:dyDescent="0.35">
      <c r="B209" s="96" t="s">
        <v>164</v>
      </c>
      <c r="C209" s="92" t="s">
        <v>441</v>
      </c>
      <c r="D209" s="91" t="str">
        <f>VLOOKUP(C209,'[1]Birbank İşçi Siyahı'!$B:$I,8,)</f>
        <v>BirMarket</v>
      </c>
      <c r="E209" s="92" t="s">
        <v>385</v>
      </c>
      <c r="F209" s="92" t="s">
        <v>394</v>
      </c>
      <c r="G209" s="92" t="s">
        <v>425</v>
      </c>
      <c r="H209" s="92" t="s">
        <v>227</v>
      </c>
      <c r="I209" s="86"/>
    </row>
    <row r="210" spans="2:9" ht="15" hidden="1" customHeight="1" x14ac:dyDescent="0.35">
      <c r="B210" s="96" t="s">
        <v>164</v>
      </c>
      <c r="C210" s="92" t="s">
        <v>442</v>
      </c>
      <c r="D210" s="91" t="str">
        <f>VLOOKUP(C210,'[1]Birbank İşçi Siyahı'!$B:$I,8,)</f>
        <v>BirMarket</v>
      </c>
      <c r="E210" s="92" t="s">
        <v>385</v>
      </c>
      <c r="F210" s="92" t="s">
        <v>394</v>
      </c>
      <c r="G210" s="92" t="s">
        <v>425</v>
      </c>
      <c r="H210" s="92" t="s">
        <v>227</v>
      </c>
      <c r="I210" s="86"/>
    </row>
    <row r="211" spans="2:9" ht="15" hidden="1" customHeight="1" x14ac:dyDescent="0.35">
      <c r="B211" s="96" t="s">
        <v>162</v>
      </c>
      <c r="C211" s="92" t="s">
        <v>443</v>
      </c>
      <c r="D211" s="91"/>
      <c r="E211" s="92" t="s">
        <v>385</v>
      </c>
      <c r="F211" s="92" t="s">
        <v>394</v>
      </c>
      <c r="G211" s="92" t="s">
        <v>425</v>
      </c>
      <c r="H211" s="92" t="s">
        <v>227</v>
      </c>
      <c r="I211" s="86"/>
    </row>
    <row r="212" spans="2:9" ht="15" hidden="1" customHeight="1" x14ac:dyDescent="0.35">
      <c r="B212" s="96" t="s">
        <v>162</v>
      </c>
      <c r="C212" s="92" t="s">
        <v>444</v>
      </c>
      <c r="D212" s="91"/>
      <c r="E212" s="92" t="s">
        <v>385</v>
      </c>
      <c r="F212" s="92" t="s">
        <v>59</v>
      </c>
      <c r="G212" s="92" t="s">
        <v>248</v>
      </c>
      <c r="H212" s="92" t="s">
        <v>227</v>
      </c>
      <c r="I212" s="86"/>
    </row>
    <row r="213" spans="2:9" ht="15" hidden="1" customHeight="1" x14ac:dyDescent="0.35">
      <c r="B213" s="96" t="s">
        <v>162</v>
      </c>
      <c r="C213" s="92" t="s">
        <v>445</v>
      </c>
      <c r="D213" s="91"/>
      <c r="E213" s="92" t="s">
        <v>385</v>
      </c>
      <c r="F213" s="92" t="s">
        <v>59</v>
      </c>
      <c r="G213" s="92" t="s">
        <v>446</v>
      </c>
      <c r="H213" s="92" t="s">
        <v>227</v>
      </c>
      <c r="I213" s="86"/>
    </row>
    <row r="214" spans="2:9" ht="15" hidden="1" customHeight="1" x14ac:dyDescent="0.35">
      <c r="B214" s="96" t="s">
        <v>162</v>
      </c>
      <c r="C214" s="92" t="s">
        <v>447</v>
      </c>
      <c r="D214" s="91"/>
      <c r="E214" s="92" t="s">
        <v>385</v>
      </c>
      <c r="F214" s="92" t="s">
        <v>59</v>
      </c>
      <c r="G214" s="92" t="s">
        <v>446</v>
      </c>
      <c r="H214" s="92" t="s">
        <v>227</v>
      </c>
      <c r="I214" s="86"/>
    </row>
    <row r="215" spans="2:9" ht="15" hidden="1" customHeight="1" x14ac:dyDescent="0.35">
      <c r="B215" s="96" t="s">
        <v>171</v>
      </c>
      <c r="C215" s="92" t="s">
        <v>448</v>
      </c>
      <c r="D215" s="91" t="str">
        <f>VLOOKUP(C215,'[1]Birbank İşçi Siyahı'!$B:$I,8,)</f>
        <v>Bir Payment</v>
      </c>
      <c r="E215" s="92" t="s">
        <v>385</v>
      </c>
      <c r="F215" s="92" t="s">
        <v>396</v>
      </c>
      <c r="G215" s="92" t="s">
        <v>391</v>
      </c>
      <c r="H215" s="92" t="s">
        <v>227</v>
      </c>
      <c r="I215" s="86"/>
    </row>
    <row r="216" spans="2:9" ht="15" hidden="1" customHeight="1" x14ac:dyDescent="0.35">
      <c r="B216" s="96" t="s">
        <v>162</v>
      </c>
      <c r="C216" s="92" t="s">
        <v>450</v>
      </c>
      <c r="D216" s="91"/>
      <c r="E216" s="92" t="s">
        <v>451</v>
      </c>
      <c r="F216" s="92" t="s">
        <v>61</v>
      </c>
      <c r="G216" s="92" t="s">
        <v>452</v>
      </c>
      <c r="H216" s="92" t="s">
        <v>227</v>
      </c>
      <c r="I216" s="86"/>
    </row>
    <row r="217" spans="2:9" ht="15" hidden="1" customHeight="1" x14ac:dyDescent="0.35">
      <c r="B217" s="96" t="s">
        <v>162</v>
      </c>
      <c r="C217" s="92" t="s">
        <v>453</v>
      </c>
      <c r="D217" s="91" t="e">
        <f>VLOOKUP(C217,'[1]Birbank İşçi Siyahı'!$B:$I,8,)</f>
        <v>#N/A</v>
      </c>
      <c r="E217" s="92" t="s">
        <v>451</v>
      </c>
      <c r="F217" s="92" t="s">
        <v>63</v>
      </c>
      <c r="G217" s="92" t="s">
        <v>452</v>
      </c>
      <c r="H217" s="92" t="s">
        <v>227</v>
      </c>
      <c r="I217" s="86"/>
    </row>
    <row r="218" spans="2:9" ht="15" hidden="1" customHeight="1" x14ac:dyDescent="0.35">
      <c r="B218" s="96" t="s">
        <v>162</v>
      </c>
      <c r="C218" s="92" t="s">
        <v>454</v>
      </c>
      <c r="D218" s="91" t="e">
        <f>VLOOKUP(C218,'[1]Birbank İşçi Siyahı'!$B:$I,8,)</f>
        <v>#N/A</v>
      </c>
      <c r="E218" s="92" t="s">
        <v>451</v>
      </c>
      <c r="F218" s="92" t="s">
        <v>455</v>
      </c>
      <c r="G218" s="92" t="s">
        <v>452</v>
      </c>
      <c r="H218" s="92" t="s">
        <v>227</v>
      </c>
      <c r="I218" s="86"/>
    </row>
    <row r="219" spans="2:9" ht="15" hidden="1" customHeight="1" x14ac:dyDescent="0.35">
      <c r="B219" s="96" t="s">
        <v>162</v>
      </c>
      <c r="C219" s="92" t="s">
        <v>456</v>
      </c>
      <c r="D219" s="91" t="e">
        <f>VLOOKUP(C219,'[1]Birbank İşçi Siyahı'!$B:$I,8,)</f>
        <v>#N/A</v>
      </c>
      <c r="E219" s="92" t="s">
        <v>451</v>
      </c>
      <c r="F219" s="92"/>
      <c r="G219" s="92" t="s">
        <v>457</v>
      </c>
      <c r="H219" s="92" t="s">
        <v>227</v>
      </c>
      <c r="I219" s="86"/>
    </row>
    <row r="220" spans="2:9" ht="15" hidden="1" customHeight="1" x14ac:dyDescent="0.35">
      <c r="B220" s="96" t="s">
        <v>162</v>
      </c>
      <c r="C220" s="92" t="s">
        <v>480</v>
      </c>
      <c r="D220" s="91"/>
      <c r="E220" s="92" t="s">
        <v>458</v>
      </c>
      <c r="F220" s="92" t="s">
        <v>33</v>
      </c>
      <c r="G220" s="92" t="s">
        <v>459</v>
      </c>
      <c r="H220" s="92" t="s">
        <v>227</v>
      </c>
      <c r="I220" s="86"/>
    </row>
    <row r="221" spans="2:9" ht="15" hidden="1" customHeight="1" x14ac:dyDescent="0.35">
      <c r="B221" s="96" t="s">
        <v>162</v>
      </c>
      <c r="C221" s="92" t="s">
        <v>481</v>
      </c>
      <c r="D221" s="91"/>
      <c r="E221" s="92" t="s">
        <v>458</v>
      </c>
      <c r="F221" s="92" t="s">
        <v>33</v>
      </c>
      <c r="G221" s="92" t="s">
        <v>460</v>
      </c>
      <c r="H221" s="92" t="s">
        <v>227</v>
      </c>
      <c r="I221" s="86"/>
    </row>
    <row r="222" spans="2:9" ht="15" hidden="1" customHeight="1" x14ac:dyDescent="0.35">
      <c r="B222" s="96" t="s">
        <v>162</v>
      </c>
      <c r="C222" s="92" t="s">
        <v>482</v>
      </c>
      <c r="D222" s="91"/>
      <c r="E222" s="92" t="s">
        <v>458</v>
      </c>
      <c r="F222" s="92" t="s">
        <v>461</v>
      </c>
      <c r="G222" s="92" t="s">
        <v>181</v>
      </c>
      <c r="H222" s="92" t="s">
        <v>227</v>
      </c>
      <c r="I222" s="86"/>
    </row>
    <row r="223" spans="2:9" ht="15" hidden="1" customHeight="1" x14ac:dyDescent="0.35">
      <c r="B223" s="96" t="s">
        <v>162</v>
      </c>
      <c r="C223" s="92" t="s">
        <v>483</v>
      </c>
      <c r="D223" s="91"/>
      <c r="E223" s="92" t="s">
        <v>458</v>
      </c>
      <c r="F223" s="92" t="s">
        <v>461</v>
      </c>
      <c r="G223" s="92" t="s">
        <v>187</v>
      </c>
      <c r="H223" s="92" t="s">
        <v>227</v>
      </c>
      <c r="I223" s="86"/>
    </row>
    <row r="224" spans="2:9" ht="15" hidden="1" customHeight="1" x14ac:dyDescent="0.35">
      <c r="B224" s="96" t="s">
        <v>162</v>
      </c>
      <c r="C224" s="92" t="s">
        <v>484</v>
      </c>
      <c r="D224" s="91"/>
      <c r="E224" s="92" t="s">
        <v>458</v>
      </c>
      <c r="F224" s="92" t="s">
        <v>461</v>
      </c>
      <c r="G224" s="92" t="s">
        <v>300</v>
      </c>
      <c r="H224" s="92" t="s">
        <v>227</v>
      </c>
      <c r="I224" s="86"/>
    </row>
    <row r="225" spans="2:9" ht="15" hidden="1" customHeight="1" x14ac:dyDescent="0.35">
      <c r="B225" s="96" t="s">
        <v>162</v>
      </c>
      <c r="C225" s="92" t="s">
        <v>485</v>
      </c>
      <c r="D225" s="91"/>
      <c r="E225" s="92" t="s">
        <v>458</v>
      </c>
      <c r="F225" s="92" t="s">
        <v>461</v>
      </c>
      <c r="G225" s="92" t="s">
        <v>300</v>
      </c>
      <c r="H225" s="92" t="s">
        <v>227</v>
      </c>
      <c r="I225" s="86"/>
    </row>
    <row r="226" spans="2:9" ht="15" hidden="1" customHeight="1" x14ac:dyDescent="0.35">
      <c r="B226" s="96" t="s">
        <v>162</v>
      </c>
      <c r="C226" s="92" t="s">
        <v>486</v>
      </c>
      <c r="D226" s="91"/>
      <c r="E226" s="92" t="s">
        <v>458</v>
      </c>
      <c r="F226" s="92" t="s">
        <v>461</v>
      </c>
      <c r="G226" s="92" t="s">
        <v>300</v>
      </c>
      <c r="H226" s="92" t="s">
        <v>227</v>
      </c>
      <c r="I226" s="86"/>
    </row>
    <row r="227" spans="2:9" ht="15" hidden="1" customHeight="1" x14ac:dyDescent="0.35">
      <c r="B227" s="96" t="s">
        <v>162</v>
      </c>
      <c r="C227" s="92" t="s">
        <v>487</v>
      </c>
      <c r="D227" s="91"/>
      <c r="E227" s="92" t="s">
        <v>458</v>
      </c>
      <c r="F227" s="92" t="s">
        <v>461</v>
      </c>
      <c r="G227" s="92" t="s">
        <v>300</v>
      </c>
      <c r="H227" s="92" t="s">
        <v>227</v>
      </c>
      <c r="I227" s="86"/>
    </row>
    <row r="228" spans="2:9" ht="15" hidden="1" customHeight="1" x14ac:dyDescent="0.35">
      <c r="B228" s="96" t="s">
        <v>162</v>
      </c>
      <c r="C228" s="92" t="s">
        <v>488</v>
      </c>
      <c r="D228" s="91"/>
      <c r="E228" s="92" t="s">
        <v>458</v>
      </c>
      <c r="F228" s="92" t="s">
        <v>461</v>
      </c>
      <c r="G228" s="92" t="s">
        <v>300</v>
      </c>
      <c r="H228" s="92" t="s">
        <v>227</v>
      </c>
      <c r="I228" s="86"/>
    </row>
    <row r="229" spans="2:9" ht="15" hidden="1" customHeight="1" x14ac:dyDescent="0.35">
      <c r="B229" s="96" t="s">
        <v>162</v>
      </c>
      <c r="C229" s="92" t="s">
        <v>489</v>
      </c>
      <c r="D229" s="91"/>
      <c r="E229" s="92" t="s">
        <v>458</v>
      </c>
      <c r="F229" s="92" t="s">
        <v>461</v>
      </c>
      <c r="G229" s="92" t="s">
        <v>183</v>
      </c>
      <c r="H229" s="92" t="s">
        <v>227</v>
      </c>
      <c r="I229" s="86"/>
    </row>
    <row r="230" spans="2:9" ht="15" hidden="1" customHeight="1" x14ac:dyDescent="0.35">
      <c r="B230" s="96" t="s">
        <v>162</v>
      </c>
      <c r="C230" s="92" t="s">
        <v>490</v>
      </c>
      <c r="D230" s="91"/>
      <c r="E230" s="92" t="s">
        <v>458</v>
      </c>
      <c r="F230" s="92" t="s">
        <v>461</v>
      </c>
      <c r="G230" s="92" t="s">
        <v>462</v>
      </c>
      <c r="H230" s="92" t="s">
        <v>227</v>
      </c>
      <c r="I230" s="86"/>
    </row>
    <row r="231" spans="2:9" ht="15" hidden="1" customHeight="1" x14ac:dyDescent="0.35">
      <c r="B231" s="96" t="s">
        <v>162</v>
      </c>
      <c r="C231" s="92" t="s">
        <v>491</v>
      </c>
      <c r="D231" s="91"/>
      <c r="E231" s="92" t="s">
        <v>458</v>
      </c>
      <c r="F231" s="92" t="s">
        <v>461</v>
      </c>
      <c r="G231" s="92" t="s">
        <v>462</v>
      </c>
      <c r="H231" s="92" t="s">
        <v>227</v>
      </c>
      <c r="I231" s="86"/>
    </row>
    <row r="232" spans="2:9" ht="15" hidden="1" customHeight="1" x14ac:dyDescent="0.35">
      <c r="B232" s="96" t="s">
        <v>164</v>
      </c>
      <c r="C232" s="92" t="s">
        <v>492</v>
      </c>
      <c r="D232" s="91" t="str">
        <f>VLOOKUP(C232,'[1]Birbank İşçi Siyahı'!$B:$I,8,)</f>
        <v>BirMarket</v>
      </c>
      <c r="E232" s="92" t="s">
        <v>458</v>
      </c>
      <c r="F232" s="92" t="s">
        <v>461</v>
      </c>
      <c r="G232" s="92" t="s">
        <v>463</v>
      </c>
      <c r="H232" s="92" t="s">
        <v>227</v>
      </c>
      <c r="I232" s="86"/>
    </row>
    <row r="233" spans="2:9" ht="15" hidden="1" customHeight="1" x14ac:dyDescent="0.35">
      <c r="B233" s="96" t="s">
        <v>171</v>
      </c>
      <c r="C233" s="92" t="s">
        <v>493</v>
      </c>
      <c r="D233" s="91" t="str">
        <f>VLOOKUP(C233,'[1]Birbank İşçi Siyahı'!$B:$I,8,)</f>
        <v>Bir Payment</v>
      </c>
      <c r="E233" s="92" t="s">
        <v>458</v>
      </c>
      <c r="F233" s="92" t="s">
        <v>461</v>
      </c>
      <c r="G233" s="92" t="s">
        <v>464</v>
      </c>
      <c r="H233" s="92" t="s">
        <v>227</v>
      </c>
      <c r="I233" s="86"/>
    </row>
    <row r="234" spans="2:9" ht="15" hidden="1" customHeight="1" x14ac:dyDescent="0.35">
      <c r="B234" s="96" t="s">
        <v>171</v>
      </c>
      <c r="C234" s="92" t="s">
        <v>494</v>
      </c>
      <c r="D234" s="91" t="str">
        <f>VLOOKUP(C234,'[1]Birbank İşçi Siyahı'!$B:$I,8,)</f>
        <v>Bir Payment</v>
      </c>
      <c r="E234" s="92" t="s">
        <v>458</v>
      </c>
      <c r="F234" s="92" t="s">
        <v>461</v>
      </c>
      <c r="G234" s="92" t="s">
        <v>184</v>
      </c>
      <c r="H234" s="92" t="s">
        <v>227</v>
      </c>
      <c r="I234" s="86"/>
    </row>
    <row r="235" spans="2:9" ht="15" hidden="1" customHeight="1" x14ac:dyDescent="0.35">
      <c r="B235" s="96" t="s">
        <v>162</v>
      </c>
      <c r="C235" s="92" t="s">
        <v>495</v>
      </c>
      <c r="D235" s="91"/>
      <c r="E235" s="92" t="s">
        <v>458</v>
      </c>
      <c r="F235" s="92" t="s">
        <v>461</v>
      </c>
      <c r="G235" s="92" t="s">
        <v>184</v>
      </c>
      <c r="H235" s="92" t="s">
        <v>227</v>
      </c>
      <c r="I235" s="86"/>
    </row>
    <row r="236" spans="2:9" ht="15" hidden="1" customHeight="1" x14ac:dyDescent="0.35">
      <c r="B236" s="96" t="s">
        <v>162</v>
      </c>
      <c r="C236" s="92" t="s">
        <v>496</v>
      </c>
      <c r="D236" s="91"/>
      <c r="E236" s="92" t="s">
        <v>458</v>
      </c>
      <c r="F236" s="92" t="s">
        <v>461</v>
      </c>
      <c r="G236" s="92" t="s">
        <v>462</v>
      </c>
      <c r="H236" s="92" t="s">
        <v>227</v>
      </c>
      <c r="I236" s="86"/>
    </row>
    <row r="237" spans="2:9" ht="15" hidden="1" customHeight="1" x14ac:dyDescent="0.35">
      <c r="B237" s="96" t="s">
        <v>171</v>
      </c>
      <c r="C237" s="92" t="s">
        <v>497</v>
      </c>
      <c r="D237" s="91" t="str">
        <f>VLOOKUP(C237,'[1]Birbank İşçi Siyahı'!$B:$I,8,)</f>
        <v>Bir Payment</v>
      </c>
      <c r="E237" s="92" t="s">
        <v>458</v>
      </c>
      <c r="F237" s="92" t="s">
        <v>465</v>
      </c>
      <c r="G237" s="92" t="s">
        <v>181</v>
      </c>
      <c r="H237" s="92" t="s">
        <v>227</v>
      </c>
      <c r="I237" s="86"/>
    </row>
    <row r="238" spans="2:9" ht="15" hidden="1" customHeight="1" x14ac:dyDescent="0.35">
      <c r="B238" s="96" t="s">
        <v>171</v>
      </c>
      <c r="C238" s="92" t="s">
        <v>498</v>
      </c>
      <c r="D238" s="91" t="str">
        <f>VLOOKUP(C238,'[1]Birbank İşçi Siyahı'!$B:$I,8,)</f>
        <v>Bir Payment</v>
      </c>
      <c r="E238" s="92" t="s">
        <v>458</v>
      </c>
      <c r="F238" s="92" t="s">
        <v>465</v>
      </c>
      <c r="G238" s="92" t="s">
        <v>466</v>
      </c>
      <c r="H238" s="92" t="s">
        <v>227</v>
      </c>
      <c r="I238" s="86"/>
    </row>
    <row r="239" spans="2:9" ht="15" hidden="1" customHeight="1" x14ac:dyDescent="0.35">
      <c r="B239" s="96" t="s">
        <v>162</v>
      </c>
      <c r="C239" s="92" t="s">
        <v>1760</v>
      </c>
      <c r="D239" s="91" t="e">
        <f>VLOOKUP(C239,'[1]Birbank İşçi Siyahı'!$B:$I,8,)</f>
        <v>#N/A</v>
      </c>
      <c r="E239" s="92" t="s">
        <v>458</v>
      </c>
      <c r="F239" s="92" t="s">
        <v>465</v>
      </c>
      <c r="G239" s="92" t="s">
        <v>466</v>
      </c>
      <c r="H239" s="92" t="s">
        <v>227</v>
      </c>
      <c r="I239" s="86"/>
    </row>
    <row r="240" spans="2:9" ht="15" hidden="1" customHeight="1" x14ac:dyDescent="0.35">
      <c r="B240" s="96" t="s">
        <v>171</v>
      </c>
      <c r="C240" s="92" t="s">
        <v>499</v>
      </c>
      <c r="D240" s="91" t="str">
        <f>VLOOKUP(C240,'[1]Birbank İşçi Siyahı'!$B:$I,8,)</f>
        <v>Bir Payment</v>
      </c>
      <c r="E240" s="92" t="s">
        <v>458</v>
      </c>
      <c r="F240" s="92" t="s">
        <v>465</v>
      </c>
      <c r="G240" s="92" t="s">
        <v>462</v>
      </c>
      <c r="H240" s="92" t="s">
        <v>227</v>
      </c>
      <c r="I240" s="86"/>
    </row>
    <row r="241" spans="2:9" ht="15" hidden="1" customHeight="1" x14ac:dyDescent="0.35">
      <c r="B241" s="96" t="s">
        <v>164</v>
      </c>
      <c r="C241" s="92" t="s">
        <v>500</v>
      </c>
      <c r="D241" s="91" t="str">
        <f>VLOOKUP(C241,'[1]Birbank İşçi Siyahı'!$B:$I,8,)</f>
        <v>BirMarket</v>
      </c>
      <c r="E241" s="92" t="s">
        <v>458</v>
      </c>
      <c r="F241" s="92" t="s">
        <v>467</v>
      </c>
      <c r="G241" s="92" t="s">
        <v>466</v>
      </c>
      <c r="H241" s="92" t="s">
        <v>227</v>
      </c>
      <c r="I241" s="86"/>
    </row>
    <row r="242" spans="2:9" ht="15" hidden="1" customHeight="1" x14ac:dyDescent="0.35">
      <c r="B242" s="96" t="s">
        <v>164</v>
      </c>
      <c r="C242" s="92" t="s">
        <v>501</v>
      </c>
      <c r="D242" s="91" t="str">
        <f>VLOOKUP(C242,[2]Sheet1!$D:$E,2,)</f>
        <v>Competo</v>
      </c>
      <c r="E242" s="92" t="s">
        <v>458</v>
      </c>
      <c r="F242" s="92" t="s">
        <v>467</v>
      </c>
      <c r="G242" s="92" t="s">
        <v>466</v>
      </c>
      <c r="H242" s="92" t="s">
        <v>227</v>
      </c>
      <c r="I242" s="86"/>
    </row>
    <row r="243" spans="2:9" ht="15" hidden="1" customHeight="1" x14ac:dyDescent="0.35">
      <c r="B243" s="96" t="s">
        <v>164</v>
      </c>
      <c r="C243" s="92" t="s">
        <v>502</v>
      </c>
      <c r="D243" s="91" t="str">
        <f>VLOOKUP(C243,'[1]Birbank İşçi Siyahı'!$B:$I,8,)</f>
        <v>BirMarket</v>
      </c>
      <c r="E243" s="92" t="s">
        <v>458</v>
      </c>
      <c r="F243" s="92" t="s">
        <v>467</v>
      </c>
      <c r="G243" s="92" t="s">
        <v>462</v>
      </c>
      <c r="H243" s="92" t="s">
        <v>227</v>
      </c>
      <c r="I243" s="86"/>
    </row>
    <row r="244" spans="2:9" ht="15" hidden="1" customHeight="1" x14ac:dyDescent="0.35">
      <c r="B244" s="96" t="s">
        <v>164</v>
      </c>
      <c r="C244" s="92" t="s">
        <v>503</v>
      </c>
      <c r="D244" s="91" t="str">
        <f>VLOOKUP(C244,'[1]Birbank İşçi Siyahı'!$B:$I,8,)</f>
        <v>BirMarket</v>
      </c>
      <c r="E244" s="92" t="s">
        <v>458</v>
      </c>
      <c r="F244" s="92" t="s">
        <v>467</v>
      </c>
      <c r="G244" s="92" t="s">
        <v>300</v>
      </c>
      <c r="H244" s="92" t="s">
        <v>227</v>
      </c>
      <c r="I244" s="86"/>
    </row>
    <row r="245" spans="2:9" ht="15" hidden="1" customHeight="1" x14ac:dyDescent="0.35">
      <c r="B245" s="96" t="s">
        <v>164</v>
      </c>
      <c r="C245" s="92" t="s">
        <v>504</v>
      </c>
      <c r="D245" s="91" t="str">
        <f>VLOOKUP(C245,'[1]Birbank İşçi Siyahı'!$B:$I,8,)</f>
        <v>BirMarket</v>
      </c>
      <c r="E245" s="92" t="s">
        <v>458</v>
      </c>
      <c r="F245" s="92" t="s">
        <v>467</v>
      </c>
      <c r="G245" s="92" t="s">
        <v>184</v>
      </c>
      <c r="H245" s="92" t="s">
        <v>227</v>
      </c>
      <c r="I245" s="86"/>
    </row>
    <row r="246" spans="2:9" ht="15" hidden="1" customHeight="1" x14ac:dyDescent="0.35">
      <c r="B246" s="96" t="s">
        <v>164</v>
      </c>
      <c r="C246" s="92" t="s">
        <v>505</v>
      </c>
      <c r="D246" s="91" t="str">
        <f>VLOOKUP(C246,'[1]Birbank İşçi Siyahı'!$B:$I,8,)</f>
        <v>BirMarket</v>
      </c>
      <c r="E246" s="92" t="s">
        <v>458</v>
      </c>
      <c r="F246" s="92" t="s">
        <v>467</v>
      </c>
      <c r="G246" s="92" t="s">
        <v>468</v>
      </c>
      <c r="H246" s="92" t="s">
        <v>227</v>
      </c>
      <c r="I246" s="86"/>
    </row>
    <row r="247" spans="2:9" ht="15" hidden="1" customHeight="1" x14ac:dyDescent="0.35">
      <c r="B247" s="96" t="s">
        <v>162</v>
      </c>
      <c r="C247" s="92" t="s">
        <v>506</v>
      </c>
      <c r="D247" s="91"/>
      <c r="E247" s="92" t="s">
        <v>458</v>
      </c>
      <c r="F247" s="92" t="s">
        <v>469</v>
      </c>
      <c r="G247" s="92" t="s">
        <v>181</v>
      </c>
      <c r="H247" s="92" t="s">
        <v>227</v>
      </c>
      <c r="I247" s="86"/>
    </row>
    <row r="248" spans="2:9" ht="15" hidden="1" customHeight="1" x14ac:dyDescent="0.35">
      <c r="B248" s="96" t="s">
        <v>162</v>
      </c>
      <c r="C248" s="92" t="s">
        <v>507</v>
      </c>
      <c r="D248" s="91"/>
      <c r="E248" s="92" t="s">
        <v>458</v>
      </c>
      <c r="F248" s="92" t="s">
        <v>469</v>
      </c>
      <c r="G248" s="92" t="s">
        <v>187</v>
      </c>
      <c r="H248" s="92" t="s">
        <v>227</v>
      </c>
      <c r="I248" s="86"/>
    </row>
    <row r="249" spans="2:9" ht="15" hidden="1" customHeight="1" x14ac:dyDescent="0.35">
      <c r="B249" s="96" t="s">
        <v>162</v>
      </c>
      <c r="C249" s="92" t="s">
        <v>508</v>
      </c>
      <c r="D249" s="91"/>
      <c r="E249" s="92" t="s">
        <v>458</v>
      </c>
      <c r="F249" s="92" t="s">
        <v>469</v>
      </c>
      <c r="G249" s="92" t="s">
        <v>300</v>
      </c>
      <c r="H249" s="92" t="s">
        <v>227</v>
      </c>
      <c r="I249" s="86"/>
    </row>
    <row r="250" spans="2:9" ht="15" hidden="1" customHeight="1" x14ac:dyDescent="0.35">
      <c r="B250" s="96" t="s">
        <v>162</v>
      </c>
      <c r="C250" s="92" t="s">
        <v>509</v>
      </c>
      <c r="D250" s="91"/>
      <c r="E250" s="92" t="s">
        <v>458</v>
      </c>
      <c r="F250" s="92" t="s">
        <v>469</v>
      </c>
      <c r="G250" s="92" t="s">
        <v>183</v>
      </c>
      <c r="H250" s="92" t="s">
        <v>227</v>
      </c>
      <c r="I250" s="86"/>
    </row>
    <row r="251" spans="2:9" ht="15" hidden="1" customHeight="1" x14ac:dyDescent="0.35">
      <c r="B251" s="96" t="s">
        <v>162</v>
      </c>
      <c r="C251" s="92" t="s">
        <v>510</v>
      </c>
      <c r="D251" s="91"/>
      <c r="E251" s="92" t="s">
        <v>458</v>
      </c>
      <c r="F251" s="92" t="s">
        <v>469</v>
      </c>
      <c r="G251" s="92" t="s">
        <v>470</v>
      </c>
      <c r="H251" s="92" t="s">
        <v>227</v>
      </c>
      <c r="I251" s="86"/>
    </row>
    <row r="252" spans="2:9" ht="15" hidden="1" customHeight="1" x14ac:dyDescent="0.35">
      <c r="B252" s="96" t="s">
        <v>162</v>
      </c>
      <c r="C252" s="92" t="s">
        <v>511</v>
      </c>
      <c r="D252" s="91"/>
      <c r="E252" s="92" t="s">
        <v>458</v>
      </c>
      <c r="F252" s="92" t="s">
        <v>469</v>
      </c>
      <c r="G252" s="92" t="s">
        <v>183</v>
      </c>
      <c r="H252" s="92" t="s">
        <v>227</v>
      </c>
      <c r="I252" s="86"/>
    </row>
    <row r="253" spans="2:9" ht="15" hidden="1" customHeight="1" x14ac:dyDescent="0.35">
      <c r="B253" s="96" t="s">
        <v>162</v>
      </c>
      <c r="C253" s="92" t="s">
        <v>512</v>
      </c>
      <c r="D253" s="91"/>
      <c r="E253" s="92" t="s">
        <v>458</v>
      </c>
      <c r="F253" s="92" t="s">
        <v>469</v>
      </c>
      <c r="G253" s="92" t="s">
        <v>183</v>
      </c>
      <c r="H253" s="92" t="s">
        <v>227</v>
      </c>
      <c r="I253" s="86"/>
    </row>
    <row r="254" spans="2:9" ht="15" hidden="1" customHeight="1" x14ac:dyDescent="0.35">
      <c r="B254" s="96" t="s">
        <v>162</v>
      </c>
      <c r="C254" s="92" t="s">
        <v>513</v>
      </c>
      <c r="D254" s="91"/>
      <c r="E254" s="92" t="s">
        <v>458</v>
      </c>
      <c r="F254" s="92" t="s">
        <v>469</v>
      </c>
      <c r="G254" s="92" t="s">
        <v>183</v>
      </c>
      <c r="H254" s="92" t="s">
        <v>227</v>
      </c>
      <c r="I254" s="86"/>
    </row>
    <row r="255" spans="2:9" ht="15" hidden="1" customHeight="1" x14ac:dyDescent="0.35">
      <c r="B255" s="96" t="s">
        <v>162</v>
      </c>
      <c r="C255" s="92" t="s">
        <v>514</v>
      </c>
      <c r="D255" s="91"/>
      <c r="E255" s="92" t="s">
        <v>458</v>
      </c>
      <c r="F255" s="92" t="s">
        <v>469</v>
      </c>
      <c r="G255" s="92" t="s">
        <v>184</v>
      </c>
      <c r="H255" s="92" t="s">
        <v>227</v>
      </c>
      <c r="I255" s="86"/>
    </row>
    <row r="256" spans="2:9" ht="15" hidden="1" customHeight="1" x14ac:dyDescent="0.35">
      <c r="B256" s="96" t="s">
        <v>162</v>
      </c>
      <c r="C256" s="92" t="s">
        <v>515</v>
      </c>
      <c r="D256" s="91"/>
      <c r="E256" s="92" t="s">
        <v>458</v>
      </c>
      <c r="F256" s="92" t="s">
        <v>469</v>
      </c>
      <c r="G256" s="92" t="s">
        <v>184</v>
      </c>
      <c r="H256" s="92" t="s">
        <v>227</v>
      </c>
      <c r="I256" s="86"/>
    </row>
    <row r="257" spans="2:9" ht="15" hidden="1" customHeight="1" x14ac:dyDescent="0.35">
      <c r="B257" s="96" t="s">
        <v>162</v>
      </c>
      <c r="C257" s="92" t="s">
        <v>516</v>
      </c>
      <c r="D257" s="91"/>
      <c r="E257" s="92" t="s">
        <v>458</v>
      </c>
      <c r="F257" s="92" t="s">
        <v>469</v>
      </c>
      <c r="G257" s="92" t="s">
        <v>188</v>
      </c>
      <c r="H257" s="92" t="s">
        <v>227</v>
      </c>
      <c r="I257" s="86"/>
    </row>
    <row r="258" spans="2:9" ht="15" hidden="1" customHeight="1" x14ac:dyDescent="0.35">
      <c r="B258" s="96" t="s">
        <v>162</v>
      </c>
      <c r="C258" s="92" t="s">
        <v>517</v>
      </c>
      <c r="D258" s="91"/>
      <c r="E258" s="92" t="s">
        <v>458</v>
      </c>
      <c r="F258" s="92" t="s">
        <v>469</v>
      </c>
      <c r="G258" s="92" t="s">
        <v>471</v>
      </c>
      <c r="H258" s="92" t="s">
        <v>227</v>
      </c>
      <c r="I258" s="86"/>
    </row>
    <row r="259" spans="2:9" ht="15" hidden="1" customHeight="1" x14ac:dyDescent="0.35">
      <c r="B259" s="96" t="s">
        <v>162</v>
      </c>
      <c r="C259" s="92" t="s">
        <v>518</v>
      </c>
      <c r="D259" s="91"/>
      <c r="E259" s="92" t="s">
        <v>458</v>
      </c>
      <c r="F259" s="92" t="s">
        <v>472</v>
      </c>
      <c r="G259" s="92" t="s">
        <v>181</v>
      </c>
      <c r="H259" s="92" t="s">
        <v>227</v>
      </c>
      <c r="I259" s="86"/>
    </row>
    <row r="260" spans="2:9" ht="15" hidden="1" customHeight="1" x14ac:dyDescent="0.35">
      <c r="B260" s="96" t="s">
        <v>162</v>
      </c>
      <c r="C260" s="92" t="s">
        <v>519</v>
      </c>
      <c r="D260" s="91"/>
      <c r="E260" s="92" t="s">
        <v>458</v>
      </c>
      <c r="F260" s="92" t="s">
        <v>472</v>
      </c>
      <c r="G260" s="92" t="s">
        <v>187</v>
      </c>
      <c r="H260" s="92" t="s">
        <v>227</v>
      </c>
      <c r="I260" s="86"/>
    </row>
    <row r="261" spans="2:9" ht="15" hidden="1" customHeight="1" x14ac:dyDescent="0.35">
      <c r="B261" s="96" t="s">
        <v>162</v>
      </c>
      <c r="C261" s="92" t="s">
        <v>520</v>
      </c>
      <c r="D261" s="91"/>
      <c r="E261" s="92" t="s">
        <v>458</v>
      </c>
      <c r="F261" s="92" t="s">
        <v>472</v>
      </c>
      <c r="G261" s="92" t="s">
        <v>466</v>
      </c>
      <c r="H261" s="92" t="s">
        <v>227</v>
      </c>
      <c r="I261" s="86"/>
    </row>
    <row r="262" spans="2:9" ht="15" hidden="1" customHeight="1" x14ac:dyDescent="0.35">
      <c r="B262" s="96" t="s">
        <v>162</v>
      </c>
      <c r="C262" s="92" t="s">
        <v>521</v>
      </c>
      <c r="D262" s="91"/>
      <c r="E262" s="92" t="s">
        <v>458</v>
      </c>
      <c r="F262" s="92" t="s">
        <v>472</v>
      </c>
      <c r="G262" s="92" t="s">
        <v>466</v>
      </c>
      <c r="H262" s="92" t="s">
        <v>227</v>
      </c>
      <c r="I262" s="86"/>
    </row>
    <row r="263" spans="2:9" ht="15" hidden="1" customHeight="1" x14ac:dyDescent="0.35">
      <c r="B263" s="96" t="s">
        <v>162</v>
      </c>
      <c r="C263" s="92" t="s">
        <v>522</v>
      </c>
      <c r="D263" s="91"/>
      <c r="E263" s="92" t="s">
        <v>458</v>
      </c>
      <c r="F263" s="92" t="s">
        <v>472</v>
      </c>
      <c r="G263" s="92" t="s">
        <v>462</v>
      </c>
      <c r="H263" s="92" t="s">
        <v>227</v>
      </c>
      <c r="I263" s="86"/>
    </row>
    <row r="264" spans="2:9" ht="15" hidden="1" customHeight="1" x14ac:dyDescent="0.35">
      <c r="B264" s="96" t="s">
        <v>162</v>
      </c>
      <c r="C264" s="92" t="s">
        <v>523</v>
      </c>
      <c r="D264" s="91"/>
      <c r="E264" s="92" t="s">
        <v>458</v>
      </c>
      <c r="F264" s="92" t="s">
        <v>472</v>
      </c>
      <c r="G264" s="92" t="s">
        <v>462</v>
      </c>
      <c r="H264" s="92" t="s">
        <v>227</v>
      </c>
      <c r="I264" s="86"/>
    </row>
    <row r="265" spans="2:9" ht="15" hidden="1" customHeight="1" x14ac:dyDescent="0.35">
      <c r="B265" s="96" t="s">
        <v>162</v>
      </c>
      <c r="C265" s="92" t="s">
        <v>524</v>
      </c>
      <c r="D265" s="91"/>
      <c r="E265" s="92" t="s">
        <v>458</v>
      </c>
      <c r="F265" s="92" t="s">
        <v>472</v>
      </c>
      <c r="G265" s="92" t="s">
        <v>462</v>
      </c>
      <c r="H265" s="92" t="s">
        <v>227</v>
      </c>
      <c r="I265" s="86"/>
    </row>
    <row r="266" spans="2:9" ht="15" hidden="1" customHeight="1" x14ac:dyDescent="0.35">
      <c r="B266" s="96" t="s">
        <v>162</v>
      </c>
      <c r="C266" s="92" t="s">
        <v>525</v>
      </c>
      <c r="D266" s="91"/>
      <c r="E266" s="92" t="s">
        <v>458</v>
      </c>
      <c r="F266" s="92" t="s">
        <v>472</v>
      </c>
      <c r="G266" s="92" t="s">
        <v>462</v>
      </c>
      <c r="H266" s="92" t="s">
        <v>227</v>
      </c>
      <c r="I266" s="86"/>
    </row>
    <row r="267" spans="2:9" ht="15" hidden="1" customHeight="1" x14ac:dyDescent="0.35">
      <c r="B267" s="96" t="s">
        <v>162</v>
      </c>
      <c r="C267" s="92" t="s">
        <v>526</v>
      </c>
      <c r="D267" s="91"/>
      <c r="E267" s="92" t="s">
        <v>458</v>
      </c>
      <c r="F267" s="92" t="s">
        <v>472</v>
      </c>
      <c r="G267" s="92" t="s">
        <v>462</v>
      </c>
      <c r="H267" s="92" t="s">
        <v>227</v>
      </c>
      <c r="I267" s="86"/>
    </row>
    <row r="268" spans="2:9" ht="15" hidden="1" customHeight="1" x14ac:dyDescent="0.35">
      <c r="B268" s="96" t="s">
        <v>162</v>
      </c>
      <c r="C268" s="92" t="s">
        <v>527</v>
      </c>
      <c r="D268" s="91"/>
      <c r="E268" s="92" t="s">
        <v>458</v>
      </c>
      <c r="F268" s="92" t="s">
        <v>472</v>
      </c>
      <c r="G268" s="92" t="s">
        <v>473</v>
      </c>
      <c r="H268" s="92" t="s">
        <v>227</v>
      </c>
      <c r="I268" s="86"/>
    </row>
    <row r="269" spans="2:9" ht="15" hidden="1" customHeight="1" x14ac:dyDescent="0.35">
      <c r="B269" s="96" t="s">
        <v>162</v>
      </c>
      <c r="C269" s="92" t="s">
        <v>528</v>
      </c>
      <c r="D269" s="91"/>
      <c r="E269" s="92" t="s">
        <v>458</v>
      </c>
      <c r="F269" s="92" t="s">
        <v>474</v>
      </c>
      <c r="G269" s="92" t="s">
        <v>181</v>
      </c>
      <c r="H269" s="92" t="s">
        <v>227</v>
      </c>
      <c r="I269" s="86"/>
    </row>
    <row r="270" spans="2:9" ht="15" hidden="1" customHeight="1" x14ac:dyDescent="0.35">
      <c r="B270" s="96" t="s">
        <v>171</v>
      </c>
      <c r="C270" s="92" t="s">
        <v>529</v>
      </c>
      <c r="D270" s="91" t="str">
        <f>VLOOKUP(C270,'[1]Birbank İşçi Siyahı'!$B:$I,8,)</f>
        <v>Bir Payment</v>
      </c>
      <c r="E270" s="92" t="s">
        <v>458</v>
      </c>
      <c r="F270" s="92" t="s">
        <v>474</v>
      </c>
      <c r="G270" s="92" t="s">
        <v>475</v>
      </c>
      <c r="H270" s="92" t="s">
        <v>227</v>
      </c>
      <c r="I270" s="86"/>
    </row>
    <row r="271" spans="2:9" ht="15" hidden="1" customHeight="1" x14ac:dyDescent="0.35">
      <c r="B271" s="96" t="s">
        <v>162</v>
      </c>
      <c r="C271" s="92" t="s">
        <v>530</v>
      </c>
      <c r="D271" s="91"/>
      <c r="E271" s="92" t="s">
        <v>458</v>
      </c>
      <c r="F271" s="92" t="s">
        <v>474</v>
      </c>
      <c r="G271" s="92" t="s">
        <v>187</v>
      </c>
      <c r="H271" s="92" t="s">
        <v>227</v>
      </c>
      <c r="I271" s="86"/>
    </row>
    <row r="272" spans="2:9" ht="15" hidden="1" customHeight="1" x14ac:dyDescent="0.35">
      <c r="B272" s="96" t="s">
        <v>162</v>
      </c>
      <c r="C272" s="92" t="s">
        <v>531</v>
      </c>
      <c r="D272" s="91"/>
      <c r="E272" s="92" t="s">
        <v>458</v>
      </c>
      <c r="F272" s="92" t="s">
        <v>474</v>
      </c>
      <c r="G272" s="92" t="s">
        <v>462</v>
      </c>
      <c r="H272" s="92" t="s">
        <v>227</v>
      </c>
      <c r="I272" s="86"/>
    </row>
    <row r="273" spans="2:9" ht="15" hidden="1" customHeight="1" x14ac:dyDescent="0.35">
      <c r="B273" s="96" t="s">
        <v>162</v>
      </c>
      <c r="C273" s="92" t="s">
        <v>532</v>
      </c>
      <c r="D273" s="91"/>
      <c r="E273" s="92" t="s">
        <v>458</v>
      </c>
      <c r="F273" s="92" t="s">
        <v>474</v>
      </c>
      <c r="G273" s="92" t="s">
        <v>466</v>
      </c>
      <c r="H273" s="92" t="s">
        <v>227</v>
      </c>
      <c r="I273" s="86"/>
    </row>
    <row r="274" spans="2:9" ht="15" hidden="1" customHeight="1" x14ac:dyDescent="0.35">
      <c r="B274" s="96" t="s">
        <v>162</v>
      </c>
      <c r="C274" s="92" t="s">
        <v>533</v>
      </c>
      <c r="D274" s="91"/>
      <c r="E274" s="92" t="s">
        <v>458</v>
      </c>
      <c r="F274" s="92" t="s">
        <v>474</v>
      </c>
      <c r="G274" s="92" t="s">
        <v>462</v>
      </c>
      <c r="H274" s="92" t="s">
        <v>227</v>
      </c>
      <c r="I274" s="86"/>
    </row>
    <row r="275" spans="2:9" ht="15" hidden="1" customHeight="1" x14ac:dyDescent="0.35">
      <c r="B275" s="96" t="s">
        <v>162</v>
      </c>
      <c r="C275" s="92" t="s">
        <v>534</v>
      </c>
      <c r="D275" s="91"/>
      <c r="E275" s="92" t="s">
        <v>458</v>
      </c>
      <c r="F275" s="92" t="s">
        <v>474</v>
      </c>
      <c r="G275" s="92" t="s">
        <v>462</v>
      </c>
      <c r="H275" s="92" t="s">
        <v>227</v>
      </c>
      <c r="I275" s="86"/>
    </row>
    <row r="276" spans="2:9" ht="15" hidden="1" customHeight="1" x14ac:dyDescent="0.35">
      <c r="B276" s="96" t="s">
        <v>162</v>
      </c>
      <c r="C276" s="92" t="s">
        <v>535</v>
      </c>
      <c r="D276" s="91"/>
      <c r="E276" s="92" t="s">
        <v>458</v>
      </c>
      <c r="F276" s="92" t="s">
        <v>474</v>
      </c>
      <c r="G276" s="92" t="s">
        <v>473</v>
      </c>
      <c r="H276" s="92" t="s">
        <v>227</v>
      </c>
      <c r="I276" s="86"/>
    </row>
    <row r="277" spans="2:9" ht="15" hidden="1" customHeight="1" x14ac:dyDescent="0.35">
      <c r="B277" s="96" t="s">
        <v>162</v>
      </c>
      <c r="C277" s="92" t="s">
        <v>536</v>
      </c>
      <c r="D277" s="91"/>
      <c r="E277" s="92" t="s">
        <v>458</v>
      </c>
      <c r="F277" s="92" t="s">
        <v>474</v>
      </c>
      <c r="G277" s="92" t="s">
        <v>473</v>
      </c>
      <c r="H277" s="92" t="s">
        <v>227</v>
      </c>
      <c r="I277" s="86"/>
    </row>
    <row r="278" spans="2:9" ht="15" hidden="1" customHeight="1" x14ac:dyDescent="0.35">
      <c r="B278" s="96" t="s">
        <v>162</v>
      </c>
      <c r="C278" s="92" t="s">
        <v>537</v>
      </c>
      <c r="D278" s="91"/>
      <c r="E278" s="92" t="s">
        <v>458</v>
      </c>
      <c r="F278" s="92" t="s">
        <v>474</v>
      </c>
      <c r="G278" s="92" t="s">
        <v>476</v>
      </c>
      <c r="H278" s="92" t="s">
        <v>227</v>
      </c>
      <c r="I278" s="86"/>
    </row>
    <row r="279" spans="2:9" ht="15" hidden="1" customHeight="1" x14ac:dyDescent="0.35">
      <c r="B279" s="96" t="s">
        <v>162</v>
      </c>
      <c r="C279" s="92" t="s">
        <v>538</v>
      </c>
      <c r="D279" s="91"/>
      <c r="E279" s="92" t="s">
        <v>458</v>
      </c>
      <c r="F279" s="92" t="s">
        <v>477</v>
      </c>
      <c r="G279" s="92" t="s">
        <v>181</v>
      </c>
      <c r="H279" s="92" t="s">
        <v>227</v>
      </c>
      <c r="I279" s="86"/>
    </row>
    <row r="280" spans="2:9" ht="15" hidden="1" customHeight="1" x14ac:dyDescent="0.35">
      <c r="B280" s="96" t="s">
        <v>162</v>
      </c>
      <c r="C280" s="92" t="s">
        <v>539</v>
      </c>
      <c r="D280" s="91"/>
      <c r="E280" s="92" t="s">
        <v>458</v>
      </c>
      <c r="F280" s="92" t="s">
        <v>477</v>
      </c>
      <c r="G280" s="92" t="s">
        <v>187</v>
      </c>
      <c r="H280" s="92" t="s">
        <v>227</v>
      </c>
      <c r="I280" s="86"/>
    </row>
    <row r="281" spans="2:9" ht="15" hidden="1" customHeight="1" x14ac:dyDescent="0.35">
      <c r="B281" s="96" t="s">
        <v>162</v>
      </c>
      <c r="C281" s="92" t="s">
        <v>540</v>
      </c>
      <c r="D281" s="91"/>
      <c r="E281" s="92" t="s">
        <v>458</v>
      </c>
      <c r="F281" s="92" t="s">
        <v>477</v>
      </c>
      <c r="G281" s="92" t="s">
        <v>183</v>
      </c>
      <c r="H281" s="92" t="s">
        <v>227</v>
      </c>
      <c r="I281" s="86"/>
    </row>
    <row r="282" spans="2:9" ht="15" hidden="1" customHeight="1" x14ac:dyDescent="0.35">
      <c r="B282" s="96" t="s">
        <v>162</v>
      </c>
      <c r="C282" s="92" t="s">
        <v>541</v>
      </c>
      <c r="D282" s="91"/>
      <c r="E282" s="92" t="s">
        <v>458</v>
      </c>
      <c r="F282" s="92" t="s">
        <v>477</v>
      </c>
      <c r="G282" s="92" t="s">
        <v>478</v>
      </c>
      <c r="H282" s="92" t="s">
        <v>227</v>
      </c>
      <c r="I282" s="86"/>
    </row>
    <row r="283" spans="2:9" ht="15" hidden="1" customHeight="1" x14ac:dyDescent="0.35">
      <c r="B283" s="96" t="s">
        <v>162</v>
      </c>
      <c r="C283" s="92" t="s">
        <v>542</v>
      </c>
      <c r="D283" s="91"/>
      <c r="E283" s="92" t="s">
        <v>458</v>
      </c>
      <c r="F283" s="92" t="s">
        <v>477</v>
      </c>
      <c r="G283" s="92" t="s">
        <v>183</v>
      </c>
      <c r="H283" s="92" t="s">
        <v>227</v>
      </c>
      <c r="I283" s="86"/>
    </row>
    <row r="284" spans="2:9" ht="15" hidden="1" customHeight="1" x14ac:dyDescent="0.35">
      <c r="B284" s="96" t="s">
        <v>162</v>
      </c>
      <c r="C284" s="92" t="s">
        <v>543</v>
      </c>
      <c r="D284" s="91"/>
      <c r="E284" s="92" t="s">
        <v>458</v>
      </c>
      <c r="F284" s="92" t="s">
        <v>477</v>
      </c>
      <c r="G284" s="92" t="s">
        <v>478</v>
      </c>
      <c r="H284" s="92" t="s">
        <v>227</v>
      </c>
      <c r="I284" s="86"/>
    </row>
    <row r="285" spans="2:9" ht="15" hidden="1" customHeight="1" x14ac:dyDescent="0.35">
      <c r="B285" s="96" t="s">
        <v>162</v>
      </c>
      <c r="C285" s="92" t="s">
        <v>544</v>
      </c>
      <c r="D285" s="91"/>
      <c r="E285" s="92" t="s">
        <v>458</v>
      </c>
      <c r="F285" s="92" t="s">
        <v>477</v>
      </c>
      <c r="G285" s="92" t="s">
        <v>183</v>
      </c>
      <c r="H285" s="92" t="s">
        <v>227</v>
      </c>
      <c r="I285" s="86"/>
    </row>
    <row r="286" spans="2:9" ht="15" hidden="1" customHeight="1" x14ac:dyDescent="0.35">
      <c r="B286" s="96" t="s">
        <v>162</v>
      </c>
      <c r="C286" s="92" t="s">
        <v>545</v>
      </c>
      <c r="D286" s="91"/>
      <c r="E286" s="92" t="s">
        <v>458</v>
      </c>
      <c r="F286" s="92" t="s">
        <v>477</v>
      </c>
      <c r="G286" s="92" t="s">
        <v>183</v>
      </c>
      <c r="H286" s="92" t="s">
        <v>227</v>
      </c>
      <c r="I286" s="86"/>
    </row>
    <row r="287" spans="2:9" ht="15" hidden="1" customHeight="1" x14ac:dyDescent="0.35">
      <c r="B287" s="96" t="s">
        <v>162</v>
      </c>
      <c r="C287" s="92" t="s">
        <v>546</v>
      </c>
      <c r="D287" s="91"/>
      <c r="E287" s="92" t="s">
        <v>458</v>
      </c>
      <c r="F287" s="92" t="s">
        <v>477</v>
      </c>
      <c r="G287" s="92" t="s">
        <v>184</v>
      </c>
      <c r="H287" s="92" t="s">
        <v>227</v>
      </c>
      <c r="I287" s="86"/>
    </row>
    <row r="288" spans="2:9" ht="15" hidden="1" customHeight="1" x14ac:dyDescent="0.35">
      <c r="B288" s="96" t="s">
        <v>162</v>
      </c>
      <c r="C288" s="92" t="s">
        <v>547</v>
      </c>
      <c r="D288" s="91"/>
      <c r="E288" s="92" t="s">
        <v>548</v>
      </c>
      <c r="F288" s="92" t="s">
        <v>33</v>
      </c>
      <c r="G288" s="92" t="s">
        <v>460</v>
      </c>
      <c r="H288" s="92" t="s">
        <v>227</v>
      </c>
      <c r="I288" s="86"/>
    </row>
    <row r="289" spans="2:9" ht="15" hidden="1" customHeight="1" x14ac:dyDescent="0.35">
      <c r="B289" s="96" t="s">
        <v>162</v>
      </c>
      <c r="C289" s="92" t="s">
        <v>549</v>
      </c>
      <c r="D289" s="91"/>
      <c r="E289" s="92" t="s">
        <v>548</v>
      </c>
      <c r="F289" s="92" t="s">
        <v>609</v>
      </c>
      <c r="G289" s="92" t="s">
        <v>187</v>
      </c>
      <c r="H289" s="92" t="s">
        <v>227</v>
      </c>
      <c r="I289" s="86"/>
    </row>
    <row r="290" spans="2:9" ht="15" hidden="1" customHeight="1" x14ac:dyDescent="0.35">
      <c r="B290" s="96" t="s">
        <v>162</v>
      </c>
      <c r="C290" s="92" t="s">
        <v>550</v>
      </c>
      <c r="D290" s="91"/>
      <c r="E290" s="92" t="s">
        <v>548</v>
      </c>
      <c r="F290" s="92" t="s">
        <v>609</v>
      </c>
      <c r="G290" s="92" t="s">
        <v>615</v>
      </c>
      <c r="H290" s="92" t="s">
        <v>227</v>
      </c>
      <c r="I290" s="86"/>
    </row>
    <row r="291" spans="2:9" ht="15" hidden="1" customHeight="1" x14ac:dyDescent="0.35">
      <c r="B291" s="96" t="s">
        <v>162</v>
      </c>
      <c r="C291" s="92" t="s">
        <v>551</v>
      </c>
      <c r="D291" s="91"/>
      <c r="E291" s="92" t="s">
        <v>548</v>
      </c>
      <c r="F291" s="92" t="s">
        <v>609</v>
      </c>
      <c r="G291" s="92" t="s">
        <v>300</v>
      </c>
      <c r="H291" s="92" t="s">
        <v>227</v>
      </c>
      <c r="I291" s="86"/>
    </row>
    <row r="292" spans="2:9" ht="15" hidden="1" customHeight="1" x14ac:dyDescent="0.35">
      <c r="B292" s="96" t="s">
        <v>171</v>
      </c>
      <c r="C292" s="92" t="s">
        <v>552</v>
      </c>
      <c r="D292" s="91" t="str">
        <f>VLOOKUP(C292,'[1]Birbank İşçi Siyahı'!$B:$I,8,)</f>
        <v>Bir Payment</v>
      </c>
      <c r="E292" s="92" t="s">
        <v>548</v>
      </c>
      <c r="F292" s="92" t="s">
        <v>609</v>
      </c>
      <c r="G292" s="92" t="s">
        <v>300</v>
      </c>
      <c r="H292" s="92" t="s">
        <v>227</v>
      </c>
      <c r="I292" s="86"/>
    </row>
    <row r="293" spans="2:9" ht="15" hidden="1" customHeight="1" x14ac:dyDescent="0.35">
      <c r="B293" s="96" t="s">
        <v>171</v>
      </c>
      <c r="C293" s="92" t="s">
        <v>553</v>
      </c>
      <c r="D293" s="91" t="str">
        <f>VLOOKUP(C293,'[1]Birbank İşçi Siyahı'!$B:$I,8,)</f>
        <v>Bir Payment</v>
      </c>
      <c r="E293" s="92" t="s">
        <v>548</v>
      </c>
      <c r="F293" s="92" t="s">
        <v>609</v>
      </c>
      <c r="G293" s="92" t="s">
        <v>183</v>
      </c>
      <c r="H293" s="92" t="s">
        <v>227</v>
      </c>
      <c r="I293" s="86"/>
    </row>
    <row r="294" spans="2:9" ht="15" hidden="1" customHeight="1" x14ac:dyDescent="0.35">
      <c r="B294" s="96" t="s">
        <v>171</v>
      </c>
      <c r="C294" s="92" t="s">
        <v>554</v>
      </c>
      <c r="D294" s="91" t="str">
        <f>VLOOKUP(C294,'[1]Birbank İşçi Siyahı'!$B:$I,8,)</f>
        <v>Bir Payment</v>
      </c>
      <c r="E294" s="92" t="s">
        <v>548</v>
      </c>
      <c r="F294" s="92" t="s">
        <v>609</v>
      </c>
      <c r="G294" s="92" t="s">
        <v>183</v>
      </c>
      <c r="H294" s="92" t="s">
        <v>227</v>
      </c>
      <c r="I294" s="86"/>
    </row>
    <row r="295" spans="2:9" ht="15" hidden="1" customHeight="1" x14ac:dyDescent="0.35">
      <c r="B295" s="96" t="s">
        <v>164</v>
      </c>
      <c r="C295" s="92" t="s">
        <v>555</v>
      </c>
      <c r="D295" s="91" t="str">
        <f>VLOOKUP(C295,'[1]Birbank İşçi Siyahı'!$B:$I,8,)</f>
        <v>BirMarket</v>
      </c>
      <c r="E295" s="92" t="s">
        <v>548</v>
      </c>
      <c r="F295" s="92" t="s">
        <v>609</v>
      </c>
      <c r="G295" s="92" t="s">
        <v>183</v>
      </c>
      <c r="H295" s="92" t="s">
        <v>227</v>
      </c>
      <c r="I295" s="86"/>
    </row>
    <row r="296" spans="2:9" ht="15" hidden="1" customHeight="1" x14ac:dyDescent="0.35">
      <c r="B296" s="96" t="s">
        <v>162</v>
      </c>
      <c r="C296" s="92" t="s">
        <v>556</v>
      </c>
      <c r="D296" s="91"/>
      <c r="E296" s="92" t="s">
        <v>548</v>
      </c>
      <c r="F296" s="92" t="s">
        <v>609</v>
      </c>
      <c r="G296" s="92" t="s">
        <v>300</v>
      </c>
      <c r="H296" s="92" t="s">
        <v>227</v>
      </c>
      <c r="I296" s="86"/>
    </row>
    <row r="297" spans="2:9" ht="15" hidden="1" customHeight="1" x14ac:dyDescent="0.35">
      <c r="B297" s="96" t="s">
        <v>162</v>
      </c>
      <c r="C297" s="92" t="s">
        <v>557</v>
      </c>
      <c r="D297" s="91"/>
      <c r="E297" s="92" t="s">
        <v>548</v>
      </c>
      <c r="F297" s="92" t="s">
        <v>609</v>
      </c>
      <c r="G297" s="92" t="s">
        <v>183</v>
      </c>
      <c r="H297" s="92" t="s">
        <v>227</v>
      </c>
      <c r="I297" s="86"/>
    </row>
    <row r="298" spans="2:9" ht="15" hidden="1" customHeight="1" x14ac:dyDescent="0.35">
      <c r="B298" s="96" t="s">
        <v>162</v>
      </c>
      <c r="C298" s="92" t="s">
        <v>558</v>
      </c>
      <c r="D298" s="91"/>
      <c r="E298" s="92" t="s">
        <v>548</v>
      </c>
      <c r="F298" s="92" t="s">
        <v>609</v>
      </c>
      <c r="G298" s="92" t="s">
        <v>184</v>
      </c>
      <c r="H298" s="92" t="s">
        <v>227</v>
      </c>
      <c r="I298" s="86"/>
    </row>
    <row r="299" spans="2:9" ht="15" hidden="1" customHeight="1" x14ac:dyDescent="0.35">
      <c r="B299" s="96" t="s">
        <v>162</v>
      </c>
      <c r="C299" s="92" t="s">
        <v>559</v>
      </c>
      <c r="D299" s="91"/>
      <c r="E299" s="92" t="s">
        <v>548</v>
      </c>
      <c r="F299" s="92" t="s">
        <v>610</v>
      </c>
      <c r="G299" s="92" t="s">
        <v>187</v>
      </c>
      <c r="H299" s="92" t="s">
        <v>227</v>
      </c>
      <c r="I299" s="86"/>
    </row>
    <row r="300" spans="2:9" ht="15" hidden="1" customHeight="1" x14ac:dyDescent="0.35">
      <c r="B300" s="96" t="s">
        <v>162</v>
      </c>
      <c r="C300" s="92" t="s">
        <v>560</v>
      </c>
      <c r="D300" s="91"/>
      <c r="E300" s="92" t="s">
        <v>548</v>
      </c>
      <c r="F300" s="92" t="s">
        <v>610</v>
      </c>
      <c r="G300" s="92" t="s">
        <v>616</v>
      </c>
      <c r="H300" s="92" t="s">
        <v>227</v>
      </c>
      <c r="I300" s="86"/>
    </row>
    <row r="301" spans="2:9" ht="15" hidden="1" customHeight="1" x14ac:dyDescent="0.35">
      <c r="B301" s="96" t="s">
        <v>162</v>
      </c>
      <c r="C301" s="92" t="s">
        <v>561</v>
      </c>
      <c r="D301" s="91"/>
      <c r="E301" s="92" t="s">
        <v>548</v>
      </c>
      <c r="F301" s="92" t="s">
        <v>610</v>
      </c>
      <c r="G301" s="92" t="s">
        <v>183</v>
      </c>
      <c r="H301" s="92" t="s">
        <v>227</v>
      </c>
      <c r="I301" s="86"/>
    </row>
    <row r="302" spans="2:9" ht="15" hidden="1" customHeight="1" x14ac:dyDescent="0.35">
      <c r="B302" s="96" t="s">
        <v>162</v>
      </c>
      <c r="C302" s="92" t="s">
        <v>562</v>
      </c>
      <c r="D302" s="91"/>
      <c r="E302" s="92" t="s">
        <v>548</v>
      </c>
      <c r="F302" s="92" t="s">
        <v>610</v>
      </c>
      <c r="G302" s="92" t="s">
        <v>183</v>
      </c>
      <c r="H302" s="92" t="s">
        <v>227</v>
      </c>
      <c r="I302" s="86"/>
    </row>
    <row r="303" spans="2:9" ht="15" hidden="1" customHeight="1" x14ac:dyDescent="0.35">
      <c r="B303" s="96" t="s">
        <v>162</v>
      </c>
      <c r="C303" s="92" t="s">
        <v>563</v>
      </c>
      <c r="D303" s="91"/>
      <c r="E303" s="92" t="s">
        <v>548</v>
      </c>
      <c r="F303" s="92" t="s">
        <v>610</v>
      </c>
      <c r="G303" s="92" t="s">
        <v>184</v>
      </c>
      <c r="H303" s="92" t="s">
        <v>227</v>
      </c>
      <c r="I303" s="86"/>
    </row>
    <row r="304" spans="2:9" ht="15" hidden="1" customHeight="1" x14ac:dyDescent="0.35">
      <c r="B304" s="96" t="s">
        <v>162</v>
      </c>
      <c r="C304" s="92" t="s">
        <v>564</v>
      </c>
      <c r="D304" s="91"/>
      <c r="E304" s="92" t="s">
        <v>548</v>
      </c>
      <c r="F304" s="92" t="s">
        <v>609</v>
      </c>
      <c r="G304" s="92" t="s">
        <v>184</v>
      </c>
      <c r="H304" s="92" t="s">
        <v>227</v>
      </c>
      <c r="I304" s="86"/>
    </row>
    <row r="305" spans="2:9" ht="15" hidden="1" customHeight="1" x14ac:dyDescent="0.35">
      <c r="B305" s="96" t="s">
        <v>162</v>
      </c>
      <c r="C305" s="92" t="s">
        <v>565</v>
      </c>
      <c r="D305" s="91"/>
      <c r="E305" s="92" t="s">
        <v>548</v>
      </c>
      <c r="F305" s="92" t="s">
        <v>33</v>
      </c>
      <c r="G305" s="92" t="s">
        <v>459</v>
      </c>
      <c r="H305" s="92" t="s">
        <v>227</v>
      </c>
      <c r="I305" s="86"/>
    </row>
    <row r="306" spans="2:9" ht="15" hidden="1" customHeight="1" x14ac:dyDescent="0.35">
      <c r="B306" s="96" t="s">
        <v>162</v>
      </c>
      <c r="C306" s="92" t="s">
        <v>566</v>
      </c>
      <c r="D306" s="91"/>
      <c r="E306" s="92" t="s">
        <v>548</v>
      </c>
      <c r="F306" s="92" t="s">
        <v>33</v>
      </c>
      <c r="G306" s="92" t="s">
        <v>460</v>
      </c>
      <c r="H306" s="92" t="s">
        <v>227</v>
      </c>
      <c r="I306" s="86"/>
    </row>
    <row r="307" spans="2:9" ht="15" hidden="1" customHeight="1" x14ac:dyDescent="0.35">
      <c r="B307" s="96" t="s">
        <v>171</v>
      </c>
      <c r="C307" s="92" t="s">
        <v>567</v>
      </c>
      <c r="D307" s="91" t="str">
        <f>VLOOKUP(C307,'[1]Birbank İşçi Siyahı'!$B:$I,8,)</f>
        <v>Bir Payment</v>
      </c>
      <c r="E307" s="92" t="s">
        <v>548</v>
      </c>
      <c r="F307" s="92" t="s">
        <v>33</v>
      </c>
      <c r="G307" s="92" t="s">
        <v>617</v>
      </c>
      <c r="H307" s="92" t="s">
        <v>227</v>
      </c>
      <c r="I307" s="86"/>
    </row>
    <row r="308" spans="2:9" ht="15" hidden="1" customHeight="1" x14ac:dyDescent="0.35">
      <c r="B308" s="96" t="s">
        <v>162</v>
      </c>
      <c r="C308" s="92" t="s">
        <v>568</v>
      </c>
      <c r="D308" s="91"/>
      <c r="E308" s="92" t="s">
        <v>548</v>
      </c>
      <c r="F308" s="92" t="s">
        <v>611</v>
      </c>
      <c r="G308" s="92" t="s">
        <v>618</v>
      </c>
      <c r="H308" s="92" t="s">
        <v>227</v>
      </c>
      <c r="I308" s="86"/>
    </row>
    <row r="309" spans="2:9" ht="15" hidden="1" customHeight="1" x14ac:dyDescent="0.35">
      <c r="B309" s="96" t="s">
        <v>162</v>
      </c>
      <c r="C309" s="92" t="s">
        <v>569</v>
      </c>
      <c r="D309" s="91"/>
      <c r="E309" s="92" t="s">
        <v>548</v>
      </c>
      <c r="F309" s="92" t="s">
        <v>611</v>
      </c>
      <c r="G309" s="92" t="s">
        <v>616</v>
      </c>
      <c r="H309" s="92" t="s">
        <v>227</v>
      </c>
      <c r="I309" s="86"/>
    </row>
    <row r="310" spans="2:9" ht="15" hidden="1" customHeight="1" x14ac:dyDescent="0.35">
      <c r="B310" s="96" t="s">
        <v>162</v>
      </c>
      <c r="C310" s="92" t="s">
        <v>570</v>
      </c>
      <c r="D310" s="91"/>
      <c r="E310" s="92" t="s">
        <v>548</v>
      </c>
      <c r="F310" s="92" t="s">
        <v>611</v>
      </c>
      <c r="G310" s="92" t="s">
        <v>184</v>
      </c>
      <c r="H310" s="92" t="s">
        <v>227</v>
      </c>
      <c r="I310" s="86"/>
    </row>
    <row r="311" spans="2:9" ht="15" hidden="1" customHeight="1" x14ac:dyDescent="0.35">
      <c r="B311" s="96" t="s">
        <v>162</v>
      </c>
      <c r="C311" s="92" t="s">
        <v>571</v>
      </c>
      <c r="D311" s="91"/>
      <c r="E311" s="92" t="s">
        <v>548</v>
      </c>
      <c r="F311" s="92" t="s">
        <v>611</v>
      </c>
      <c r="G311" s="92" t="s">
        <v>184</v>
      </c>
      <c r="H311" s="92" t="s">
        <v>227</v>
      </c>
      <c r="I311" s="86"/>
    </row>
    <row r="312" spans="2:9" ht="15" hidden="1" customHeight="1" x14ac:dyDescent="0.35">
      <c r="B312" s="96" t="s">
        <v>162</v>
      </c>
      <c r="C312" s="92" t="s">
        <v>572</v>
      </c>
      <c r="D312" s="91"/>
      <c r="E312" s="92" t="s">
        <v>548</v>
      </c>
      <c r="F312" s="92" t="s">
        <v>611</v>
      </c>
      <c r="G312" s="92" t="s">
        <v>619</v>
      </c>
      <c r="H312" s="92" t="s">
        <v>227</v>
      </c>
      <c r="I312" s="86"/>
    </row>
    <row r="313" spans="2:9" ht="15" hidden="1" customHeight="1" x14ac:dyDescent="0.35">
      <c r="B313" s="96" t="s">
        <v>162</v>
      </c>
      <c r="C313" s="92" t="s">
        <v>573</v>
      </c>
      <c r="D313" s="91"/>
      <c r="E313" s="92" t="s">
        <v>548</v>
      </c>
      <c r="F313" s="92" t="s">
        <v>611</v>
      </c>
      <c r="G313" s="92" t="s">
        <v>619</v>
      </c>
      <c r="H313" s="92" t="s">
        <v>227</v>
      </c>
      <c r="I313" s="86"/>
    </row>
    <row r="314" spans="2:9" ht="15" hidden="1" customHeight="1" x14ac:dyDescent="0.35">
      <c r="B314" s="96" t="s">
        <v>162</v>
      </c>
      <c r="C314" s="92" t="s">
        <v>574</v>
      </c>
      <c r="D314" s="91"/>
      <c r="E314" s="92" t="s">
        <v>548</v>
      </c>
      <c r="F314" s="92" t="s">
        <v>611</v>
      </c>
      <c r="G314" s="92" t="s">
        <v>188</v>
      </c>
      <c r="H314" s="92" t="s">
        <v>227</v>
      </c>
      <c r="I314" s="86"/>
    </row>
    <row r="315" spans="2:9" ht="15" hidden="1" customHeight="1" x14ac:dyDescent="0.35">
      <c r="B315" s="96" t="s">
        <v>162</v>
      </c>
      <c r="C315" s="92" t="s">
        <v>575</v>
      </c>
      <c r="D315" s="91"/>
      <c r="E315" s="92" t="s">
        <v>548</v>
      </c>
      <c r="F315" s="92" t="s">
        <v>612</v>
      </c>
      <c r="G315" s="92" t="s">
        <v>620</v>
      </c>
      <c r="H315" s="92" t="s">
        <v>227</v>
      </c>
      <c r="I315" s="86"/>
    </row>
    <row r="316" spans="2:9" ht="15" hidden="1" customHeight="1" x14ac:dyDescent="0.35">
      <c r="B316" s="96" t="s">
        <v>162</v>
      </c>
      <c r="C316" s="92" t="s">
        <v>576</v>
      </c>
      <c r="D316" s="91"/>
      <c r="E316" s="92" t="s">
        <v>548</v>
      </c>
      <c r="F316" s="92" t="s">
        <v>612</v>
      </c>
      <c r="G316" s="92" t="s">
        <v>183</v>
      </c>
      <c r="H316" s="92" t="s">
        <v>227</v>
      </c>
      <c r="I316" s="86"/>
    </row>
    <row r="317" spans="2:9" ht="15" hidden="1" customHeight="1" x14ac:dyDescent="0.35">
      <c r="B317" s="96" t="s">
        <v>162</v>
      </c>
      <c r="C317" s="92" t="s">
        <v>577</v>
      </c>
      <c r="D317" s="91"/>
      <c r="E317" s="92" t="s">
        <v>548</v>
      </c>
      <c r="F317" s="92" t="s">
        <v>612</v>
      </c>
      <c r="G317" s="92" t="s">
        <v>618</v>
      </c>
      <c r="H317" s="92" t="s">
        <v>227</v>
      </c>
      <c r="I317" s="86"/>
    </row>
    <row r="318" spans="2:9" ht="15" hidden="1" customHeight="1" x14ac:dyDescent="0.35">
      <c r="B318" s="96" t="s">
        <v>162</v>
      </c>
      <c r="C318" s="92" t="s">
        <v>578</v>
      </c>
      <c r="D318" s="91"/>
      <c r="E318" s="92" t="s">
        <v>548</v>
      </c>
      <c r="F318" s="92" t="s">
        <v>612</v>
      </c>
      <c r="G318" s="92" t="s">
        <v>183</v>
      </c>
      <c r="H318" s="92" t="s">
        <v>227</v>
      </c>
      <c r="I318" s="86"/>
    </row>
    <row r="319" spans="2:9" ht="15" hidden="1" customHeight="1" x14ac:dyDescent="0.35">
      <c r="B319" s="96" t="s">
        <v>162</v>
      </c>
      <c r="C319" s="92" t="s">
        <v>579</v>
      </c>
      <c r="D319" s="91"/>
      <c r="E319" s="92" t="s">
        <v>548</v>
      </c>
      <c r="F319" s="92" t="s">
        <v>612</v>
      </c>
      <c r="G319" s="92" t="s">
        <v>616</v>
      </c>
      <c r="H319" s="92" t="s">
        <v>227</v>
      </c>
      <c r="I319" s="86"/>
    </row>
    <row r="320" spans="2:9" ht="15" hidden="1" customHeight="1" x14ac:dyDescent="0.35">
      <c r="B320" s="96" t="s">
        <v>162</v>
      </c>
      <c r="C320" s="92" t="s">
        <v>580</v>
      </c>
      <c r="D320" s="91"/>
      <c r="E320" s="92" t="s">
        <v>548</v>
      </c>
      <c r="F320" s="92" t="s">
        <v>612</v>
      </c>
      <c r="G320" s="92" t="s">
        <v>184</v>
      </c>
      <c r="H320" s="92" t="s">
        <v>227</v>
      </c>
      <c r="I320" s="86"/>
    </row>
    <row r="321" spans="2:9" ht="15" hidden="1" customHeight="1" x14ac:dyDescent="0.35">
      <c r="B321" s="96" t="s">
        <v>162</v>
      </c>
      <c r="C321" s="92" t="s">
        <v>581</v>
      </c>
      <c r="D321" s="91"/>
      <c r="E321" s="92" t="s">
        <v>548</v>
      </c>
      <c r="F321" s="92" t="s">
        <v>612</v>
      </c>
      <c r="G321" s="92" t="s">
        <v>184</v>
      </c>
      <c r="H321" s="92" t="s">
        <v>227</v>
      </c>
      <c r="I321" s="86"/>
    </row>
    <row r="322" spans="2:9" ht="15" hidden="1" customHeight="1" x14ac:dyDescent="0.35">
      <c r="B322" s="96" t="s">
        <v>162</v>
      </c>
      <c r="C322" s="92" t="s">
        <v>582</v>
      </c>
      <c r="D322" s="91"/>
      <c r="E322" s="92" t="s">
        <v>548</v>
      </c>
      <c r="F322" s="92" t="s">
        <v>612</v>
      </c>
      <c r="G322" s="92" t="s">
        <v>184</v>
      </c>
      <c r="H322" s="92" t="s">
        <v>227</v>
      </c>
      <c r="I322" s="86"/>
    </row>
    <row r="323" spans="2:9" ht="15" hidden="1" customHeight="1" x14ac:dyDescent="0.35">
      <c r="B323" s="96" t="s">
        <v>162</v>
      </c>
      <c r="C323" s="92" t="s">
        <v>583</v>
      </c>
      <c r="D323" s="91"/>
      <c r="E323" s="92" t="s">
        <v>548</v>
      </c>
      <c r="F323" s="92" t="s">
        <v>612</v>
      </c>
      <c r="G323" s="92" t="s">
        <v>188</v>
      </c>
      <c r="H323" s="92" t="s">
        <v>227</v>
      </c>
      <c r="I323" s="86"/>
    </row>
    <row r="324" spans="2:9" ht="15" hidden="1" customHeight="1" x14ac:dyDescent="0.35">
      <c r="B324" s="96" t="s">
        <v>162</v>
      </c>
      <c r="C324" s="92" t="s">
        <v>584</v>
      </c>
      <c r="D324" s="91"/>
      <c r="E324" s="92" t="s">
        <v>548</v>
      </c>
      <c r="F324" s="92" t="s">
        <v>612</v>
      </c>
      <c r="G324" s="92" t="s">
        <v>188</v>
      </c>
      <c r="H324" s="92" t="s">
        <v>227</v>
      </c>
      <c r="I324" s="86"/>
    </row>
    <row r="325" spans="2:9" ht="15" hidden="1" customHeight="1" x14ac:dyDescent="0.35">
      <c r="B325" s="96" t="s">
        <v>162</v>
      </c>
      <c r="C325" s="92" t="s">
        <v>585</v>
      </c>
      <c r="D325" s="91"/>
      <c r="E325" s="92" t="s">
        <v>548</v>
      </c>
      <c r="F325" s="92" t="s">
        <v>612</v>
      </c>
      <c r="G325" s="92" t="s">
        <v>184</v>
      </c>
      <c r="H325" s="92" t="s">
        <v>227</v>
      </c>
      <c r="I325" s="86"/>
    </row>
    <row r="326" spans="2:9" ht="15" hidden="1" customHeight="1" x14ac:dyDescent="0.35">
      <c r="B326" s="96" t="s">
        <v>162</v>
      </c>
      <c r="C326" s="92" t="s">
        <v>586</v>
      </c>
      <c r="D326" s="91"/>
      <c r="E326" s="92" t="s">
        <v>548</v>
      </c>
      <c r="F326" s="92" t="s">
        <v>612</v>
      </c>
      <c r="G326" s="92" t="s">
        <v>188</v>
      </c>
      <c r="H326" s="92" t="s">
        <v>227</v>
      </c>
      <c r="I326" s="86"/>
    </row>
    <row r="327" spans="2:9" ht="15" hidden="1" customHeight="1" x14ac:dyDescent="0.35">
      <c r="B327" s="96" t="s">
        <v>162</v>
      </c>
      <c r="C327" s="92" t="s">
        <v>587</v>
      </c>
      <c r="D327" s="91"/>
      <c r="E327" s="92" t="s">
        <v>548</v>
      </c>
      <c r="F327" s="92" t="s">
        <v>612</v>
      </c>
      <c r="G327" s="92" t="s">
        <v>188</v>
      </c>
      <c r="H327" s="92" t="s">
        <v>227</v>
      </c>
      <c r="I327" s="86"/>
    </row>
    <row r="328" spans="2:9" ht="15" hidden="1" customHeight="1" x14ac:dyDescent="0.35">
      <c r="B328" s="96" t="s">
        <v>162</v>
      </c>
      <c r="C328" s="92" t="s">
        <v>588</v>
      </c>
      <c r="D328" s="91"/>
      <c r="E328" s="92" t="s">
        <v>548</v>
      </c>
      <c r="F328" s="92" t="s">
        <v>613</v>
      </c>
      <c r="G328" s="92" t="s">
        <v>181</v>
      </c>
      <c r="H328" s="92" t="s">
        <v>227</v>
      </c>
      <c r="I328" s="86"/>
    </row>
    <row r="329" spans="2:9" ht="15" hidden="1" customHeight="1" x14ac:dyDescent="0.35">
      <c r="B329" s="96" t="s">
        <v>162</v>
      </c>
      <c r="C329" s="92" t="s">
        <v>589</v>
      </c>
      <c r="D329" s="91"/>
      <c r="E329" s="92" t="s">
        <v>548</v>
      </c>
      <c r="F329" s="92" t="s">
        <v>613</v>
      </c>
      <c r="G329" s="92" t="s">
        <v>618</v>
      </c>
      <c r="H329" s="92" t="s">
        <v>227</v>
      </c>
      <c r="I329" s="86"/>
    </row>
    <row r="330" spans="2:9" ht="15" hidden="1" customHeight="1" x14ac:dyDescent="0.35">
      <c r="B330" s="96" t="s">
        <v>162</v>
      </c>
      <c r="C330" s="92" t="s">
        <v>590</v>
      </c>
      <c r="D330" s="91"/>
      <c r="E330" s="92" t="s">
        <v>548</v>
      </c>
      <c r="F330" s="92" t="s">
        <v>612</v>
      </c>
      <c r="G330" s="92" t="s">
        <v>618</v>
      </c>
      <c r="H330" s="92" t="s">
        <v>227</v>
      </c>
      <c r="I330" s="86"/>
    </row>
    <row r="331" spans="2:9" ht="15" hidden="1" customHeight="1" x14ac:dyDescent="0.35">
      <c r="B331" s="96" t="s">
        <v>162</v>
      </c>
      <c r="C331" s="92" t="s">
        <v>591</v>
      </c>
      <c r="D331" s="91"/>
      <c r="E331" s="92" t="s">
        <v>548</v>
      </c>
      <c r="F331" s="92" t="s">
        <v>612</v>
      </c>
      <c r="G331" s="92" t="s">
        <v>618</v>
      </c>
      <c r="H331" s="92" t="s">
        <v>227</v>
      </c>
      <c r="I331" s="86"/>
    </row>
    <row r="332" spans="2:9" ht="15" hidden="1" customHeight="1" x14ac:dyDescent="0.35">
      <c r="B332" s="96" t="s">
        <v>162</v>
      </c>
      <c r="C332" s="92" t="s">
        <v>592</v>
      </c>
      <c r="D332" s="91"/>
      <c r="E332" s="92" t="s">
        <v>548</v>
      </c>
      <c r="F332" s="92" t="s">
        <v>612</v>
      </c>
      <c r="G332" s="92" t="s">
        <v>184</v>
      </c>
      <c r="H332" s="92" t="s">
        <v>227</v>
      </c>
      <c r="I332" s="86"/>
    </row>
    <row r="333" spans="2:9" ht="15" hidden="1" customHeight="1" x14ac:dyDescent="0.35">
      <c r="B333" s="96" t="s">
        <v>162</v>
      </c>
      <c r="C333" s="92" t="s">
        <v>593</v>
      </c>
      <c r="D333" s="91"/>
      <c r="E333" s="92" t="s">
        <v>548</v>
      </c>
      <c r="F333" s="92" t="s">
        <v>612</v>
      </c>
      <c r="G333" s="92" t="s">
        <v>188</v>
      </c>
      <c r="H333" s="92" t="s">
        <v>227</v>
      </c>
      <c r="I333" s="86"/>
    </row>
    <row r="334" spans="2:9" ht="15" hidden="1" customHeight="1" x14ac:dyDescent="0.35">
      <c r="B334" s="96" t="s">
        <v>162</v>
      </c>
      <c r="C334" s="92" t="s">
        <v>594</v>
      </c>
      <c r="D334" s="91"/>
      <c r="E334" s="92" t="s">
        <v>548</v>
      </c>
      <c r="F334" s="92" t="s">
        <v>612</v>
      </c>
      <c r="G334" s="92" t="s">
        <v>188</v>
      </c>
      <c r="H334" s="92" t="s">
        <v>449</v>
      </c>
      <c r="I334" s="86"/>
    </row>
    <row r="335" spans="2:9" ht="15" hidden="1" customHeight="1" x14ac:dyDescent="0.35">
      <c r="B335" s="96" t="s">
        <v>162</v>
      </c>
      <c r="C335" s="92" t="s">
        <v>595</v>
      </c>
      <c r="D335" s="91"/>
      <c r="E335" s="92" t="s">
        <v>548</v>
      </c>
      <c r="F335" s="92" t="s">
        <v>613</v>
      </c>
      <c r="G335" s="92" t="s">
        <v>183</v>
      </c>
      <c r="H335" s="92" t="s">
        <v>227</v>
      </c>
      <c r="I335" s="86"/>
    </row>
    <row r="336" spans="2:9" ht="15" hidden="1" customHeight="1" x14ac:dyDescent="0.35">
      <c r="B336" s="96" t="s">
        <v>162</v>
      </c>
      <c r="C336" s="92" t="s">
        <v>596</v>
      </c>
      <c r="D336" s="91"/>
      <c r="E336" s="92" t="s">
        <v>548</v>
      </c>
      <c r="F336" s="92" t="s">
        <v>613</v>
      </c>
      <c r="G336" s="92" t="s">
        <v>183</v>
      </c>
      <c r="H336" s="92" t="s">
        <v>227</v>
      </c>
      <c r="I336" s="86"/>
    </row>
    <row r="337" spans="2:9" ht="15" hidden="1" customHeight="1" x14ac:dyDescent="0.35">
      <c r="B337" s="96" t="s">
        <v>162</v>
      </c>
      <c r="C337" s="92" t="s">
        <v>597</v>
      </c>
      <c r="D337" s="91"/>
      <c r="E337" s="92" t="s">
        <v>548</v>
      </c>
      <c r="F337" s="92" t="s">
        <v>613</v>
      </c>
      <c r="G337" s="92" t="s">
        <v>621</v>
      </c>
      <c r="H337" s="92" t="s">
        <v>227</v>
      </c>
      <c r="I337" s="86"/>
    </row>
    <row r="338" spans="2:9" ht="15" hidden="1" customHeight="1" x14ac:dyDescent="0.35">
      <c r="B338" s="96" t="s">
        <v>162</v>
      </c>
      <c r="C338" s="92" t="s">
        <v>598</v>
      </c>
      <c r="D338" s="91"/>
      <c r="E338" s="92" t="s">
        <v>548</v>
      </c>
      <c r="F338" s="92" t="s">
        <v>613</v>
      </c>
      <c r="G338" s="92" t="s">
        <v>184</v>
      </c>
      <c r="H338" s="92" t="s">
        <v>227</v>
      </c>
      <c r="I338" s="86"/>
    </row>
    <row r="339" spans="2:9" ht="15" hidden="1" customHeight="1" x14ac:dyDescent="0.35">
      <c r="B339" s="96" t="s">
        <v>162</v>
      </c>
      <c r="C339" s="92" t="s">
        <v>599</v>
      </c>
      <c r="D339" s="91"/>
      <c r="E339" s="92" t="s">
        <v>548</v>
      </c>
      <c r="F339" s="92" t="s">
        <v>613</v>
      </c>
      <c r="G339" s="92" t="s">
        <v>184</v>
      </c>
      <c r="H339" s="92" t="s">
        <v>227</v>
      </c>
      <c r="I339" s="86"/>
    </row>
    <row r="340" spans="2:9" ht="15" hidden="1" customHeight="1" x14ac:dyDescent="0.35">
      <c r="B340" s="96" t="s">
        <v>162</v>
      </c>
      <c r="C340" s="92" t="s">
        <v>600</v>
      </c>
      <c r="D340" s="91"/>
      <c r="E340" s="92" t="s">
        <v>548</v>
      </c>
      <c r="F340" s="92" t="s">
        <v>613</v>
      </c>
      <c r="G340" s="92" t="s">
        <v>184</v>
      </c>
      <c r="H340" s="92" t="s">
        <v>227</v>
      </c>
      <c r="I340" s="86"/>
    </row>
    <row r="341" spans="2:9" ht="15" hidden="1" customHeight="1" x14ac:dyDescent="0.35">
      <c r="B341" s="96" t="s">
        <v>162</v>
      </c>
      <c r="C341" s="92" t="s">
        <v>601</v>
      </c>
      <c r="D341" s="91"/>
      <c r="E341" s="92" t="s">
        <v>548</v>
      </c>
      <c r="F341" s="92" t="s">
        <v>613</v>
      </c>
      <c r="G341" s="92" t="s">
        <v>184</v>
      </c>
      <c r="H341" s="92" t="s">
        <v>227</v>
      </c>
      <c r="I341" s="86"/>
    </row>
    <row r="342" spans="2:9" ht="15" hidden="1" customHeight="1" x14ac:dyDescent="0.35">
      <c r="B342" s="96" t="s">
        <v>162</v>
      </c>
      <c r="C342" s="92" t="s">
        <v>602</v>
      </c>
      <c r="D342" s="91"/>
      <c r="E342" s="92" t="s">
        <v>548</v>
      </c>
      <c r="F342" s="92" t="s">
        <v>613</v>
      </c>
      <c r="G342" s="92" t="s">
        <v>622</v>
      </c>
      <c r="H342" s="92" t="s">
        <v>227</v>
      </c>
      <c r="I342" s="86"/>
    </row>
    <row r="343" spans="2:9" ht="15" hidden="1" customHeight="1" x14ac:dyDescent="0.35">
      <c r="B343" s="96" t="s">
        <v>162</v>
      </c>
      <c r="C343" s="92" t="s">
        <v>603</v>
      </c>
      <c r="D343" s="91"/>
      <c r="E343" s="92" t="s">
        <v>548</v>
      </c>
      <c r="F343" s="92" t="s">
        <v>613</v>
      </c>
      <c r="G343" s="92" t="s">
        <v>184</v>
      </c>
      <c r="H343" s="92" t="s">
        <v>227</v>
      </c>
      <c r="I343" s="86"/>
    </row>
    <row r="344" spans="2:9" ht="15" hidden="1" customHeight="1" x14ac:dyDescent="0.35">
      <c r="B344" s="96" t="s">
        <v>162</v>
      </c>
      <c r="C344" s="92" t="s">
        <v>604</v>
      </c>
      <c r="D344" s="91"/>
      <c r="E344" s="92" t="s">
        <v>548</v>
      </c>
      <c r="F344" s="92" t="s">
        <v>613</v>
      </c>
      <c r="G344" s="92" t="s">
        <v>622</v>
      </c>
      <c r="H344" s="92" t="s">
        <v>227</v>
      </c>
      <c r="I344" s="86"/>
    </row>
    <row r="345" spans="2:9" ht="15" hidden="1" customHeight="1" x14ac:dyDescent="0.35">
      <c r="B345" s="96" t="s">
        <v>162</v>
      </c>
      <c r="C345" s="92" t="s">
        <v>605</v>
      </c>
      <c r="D345" s="91"/>
      <c r="E345" s="92" t="s">
        <v>548</v>
      </c>
      <c r="F345" s="92" t="s">
        <v>614</v>
      </c>
      <c r="G345" s="92" t="s">
        <v>187</v>
      </c>
      <c r="H345" s="92" t="s">
        <v>227</v>
      </c>
      <c r="I345" s="86"/>
    </row>
    <row r="346" spans="2:9" ht="15" hidden="1" customHeight="1" x14ac:dyDescent="0.35">
      <c r="B346" s="96" t="s">
        <v>171</v>
      </c>
      <c r="C346" s="92" t="s">
        <v>606</v>
      </c>
      <c r="D346" s="91" t="str">
        <f>VLOOKUP(C346,'[1]Birbank İşçi Siyahı'!$B:$I,8,)</f>
        <v>Bir Payment</v>
      </c>
      <c r="E346" s="92" t="s">
        <v>548</v>
      </c>
      <c r="F346" s="92" t="s">
        <v>614</v>
      </c>
      <c r="G346" s="92" t="s">
        <v>187</v>
      </c>
      <c r="H346" s="92" t="s">
        <v>227</v>
      </c>
      <c r="I346" s="86"/>
    </row>
    <row r="347" spans="2:9" ht="15" hidden="1" customHeight="1" x14ac:dyDescent="0.35">
      <c r="B347" s="96" t="s">
        <v>162</v>
      </c>
      <c r="C347" s="92" t="s">
        <v>607</v>
      </c>
      <c r="D347" s="91"/>
      <c r="E347" s="92" t="s">
        <v>548</v>
      </c>
      <c r="F347" s="92" t="s">
        <v>614</v>
      </c>
      <c r="G347" s="92" t="s">
        <v>183</v>
      </c>
      <c r="H347" s="92" t="s">
        <v>227</v>
      </c>
      <c r="I347" s="86"/>
    </row>
    <row r="348" spans="2:9" ht="15" hidden="1" customHeight="1" x14ac:dyDescent="0.35">
      <c r="B348" s="96" t="s">
        <v>162</v>
      </c>
      <c r="C348" s="92" t="s">
        <v>608</v>
      </c>
      <c r="D348" s="91"/>
      <c r="E348" s="92" t="s">
        <v>548</v>
      </c>
      <c r="F348" s="92" t="s">
        <v>614</v>
      </c>
      <c r="G348" s="92" t="s">
        <v>300</v>
      </c>
      <c r="H348" s="92" t="s">
        <v>227</v>
      </c>
      <c r="I348" s="86"/>
    </row>
    <row r="349" spans="2:9" ht="15" hidden="1" customHeight="1" x14ac:dyDescent="0.35">
      <c r="B349" s="96" t="s">
        <v>162</v>
      </c>
      <c r="C349" s="91" t="s">
        <v>643</v>
      </c>
      <c r="D349" s="91"/>
      <c r="E349" s="91" t="s">
        <v>623</v>
      </c>
      <c r="F349" s="91" t="s">
        <v>33</v>
      </c>
      <c r="G349" s="91" t="s">
        <v>459</v>
      </c>
      <c r="H349" s="92" t="s">
        <v>227</v>
      </c>
      <c r="I349" s="86"/>
    </row>
    <row r="350" spans="2:9" ht="15" hidden="1" customHeight="1" x14ac:dyDescent="0.35">
      <c r="B350" s="96" t="s">
        <v>162</v>
      </c>
      <c r="C350" s="91" t="s">
        <v>644</v>
      </c>
      <c r="D350" s="91"/>
      <c r="E350" s="91" t="s">
        <v>623</v>
      </c>
      <c r="F350" s="91" t="s">
        <v>33</v>
      </c>
      <c r="G350" s="91" t="s">
        <v>460</v>
      </c>
      <c r="H350" s="92" t="s">
        <v>227</v>
      </c>
      <c r="I350" s="86"/>
    </row>
    <row r="351" spans="2:9" ht="15" hidden="1" customHeight="1" x14ac:dyDescent="0.35">
      <c r="B351" s="96" t="s">
        <v>162</v>
      </c>
      <c r="C351" s="91" t="s">
        <v>645</v>
      </c>
      <c r="D351" s="91"/>
      <c r="E351" s="91" t="s">
        <v>623</v>
      </c>
      <c r="F351" s="91" t="s">
        <v>33</v>
      </c>
      <c r="G351" s="91" t="s">
        <v>460</v>
      </c>
      <c r="H351" s="92" t="s">
        <v>227</v>
      </c>
      <c r="I351" s="86"/>
    </row>
    <row r="352" spans="2:9" ht="15" hidden="1" customHeight="1" x14ac:dyDescent="0.35">
      <c r="B352" s="96" t="s">
        <v>162</v>
      </c>
      <c r="C352" s="91" t="s">
        <v>646</v>
      </c>
      <c r="D352" s="91"/>
      <c r="E352" s="91" t="s">
        <v>623</v>
      </c>
      <c r="F352" s="91" t="s">
        <v>624</v>
      </c>
      <c r="G352" s="91" t="s">
        <v>300</v>
      </c>
      <c r="H352" s="92" t="s">
        <v>227</v>
      </c>
      <c r="I352" s="86"/>
    </row>
    <row r="353" spans="2:9" ht="15" hidden="1" customHeight="1" x14ac:dyDescent="0.35">
      <c r="B353" s="96" t="s">
        <v>162</v>
      </c>
      <c r="C353" s="91" t="s">
        <v>625</v>
      </c>
      <c r="D353" s="91"/>
      <c r="E353" s="91" t="s">
        <v>623</v>
      </c>
      <c r="F353" s="91" t="s">
        <v>624</v>
      </c>
      <c r="G353" s="91" t="s">
        <v>183</v>
      </c>
      <c r="H353" s="92" t="s">
        <v>227</v>
      </c>
      <c r="I353" s="86"/>
    </row>
    <row r="354" spans="2:9" ht="15" hidden="1" customHeight="1" x14ac:dyDescent="0.35">
      <c r="B354" s="96" t="s">
        <v>162</v>
      </c>
      <c r="C354" s="91" t="s">
        <v>647</v>
      </c>
      <c r="D354" s="91"/>
      <c r="E354" s="91" t="s">
        <v>623</v>
      </c>
      <c r="F354" s="91" t="s">
        <v>624</v>
      </c>
      <c r="G354" s="91" t="s">
        <v>626</v>
      </c>
      <c r="H354" s="92" t="s">
        <v>227</v>
      </c>
      <c r="I354" s="86"/>
    </row>
    <row r="355" spans="2:9" ht="15" hidden="1" customHeight="1" x14ac:dyDescent="0.35">
      <c r="B355" s="96" t="s">
        <v>162</v>
      </c>
      <c r="C355" s="91" t="s">
        <v>648</v>
      </c>
      <c r="D355" s="91"/>
      <c r="E355" s="91" t="s">
        <v>623</v>
      </c>
      <c r="F355" s="91" t="s">
        <v>624</v>
      </c>
      <c r="G355" s="91" t="s">
        <v>626</v>
      </c>
      <c r="H355" s="92" t="s">
        <v>227</v>
      </c>
      <c r="I355" s="86"/>
    </row>
    <row r="356" spans="2:9" ht="15" hidden="1" customHeight="1" x14ac:dyDescent="0.35">
      <c r="B356" s="96" t="s">
        <v>162</v>
      </c>
      <c r="C356" s="91" t="s">
        <v>649</v>
      </c>
      <c r="D356" s="91"/>
      <c r="E356" s="91" t="s">
        <v>623</v>
      </c>
      <c r="F356" s="91" t="s">
        <v>624</v>
      </c>
      <c r="G356" s="91" t="s">
        <v>626</v>
      </c>
      <c r="H356" s="92" t="s">
        <v>227</v>
      </c>
      <c r="I356" s="86"/>
    </row>
    <row r="357" spans="2:9" ht="15" hidden="1" customHeight="1" x14ac:dyDescent="0.35">
      <c r="B357" s="96" t="s">
        <v>162</v>
      </c>
      <c r="C357" s="91" t="s">
        <v>650</v>
      </c>
      <c r="D357" s="91"/>
      <c r="E357" s="91" t="s">
        <v>623</v>
      </c>
      <c r="F357" s="91" t="s">
        <v>624</v>
      </c>
      <c r="G357" s="91" t="s">
        <v>626</v>
      </c>
      <c r="H357" s="92" t="s">
        <v>227</v>
      </c>
      <c r="I357" s="86"/>
    </row>
    <row r="358" spans="2:9" ht="15" hidden="1" customHeight="1" x14ac:dyDescent="0.35">
      <c r="B358" s="96" t="s">
        <v>162</v>
      </c>
      <c r="C358" s="91" t="s">
        <v>651</v>
      </c>
      <c r="D358" s="91"/>
      <c r="E358" s="91" t="s">
        <v>623</v>
      </c>
      <c r="F358" s="91" t="s">
        <v>624</v>
      </c>
      <c r="G358" s="91" t="s">
        <v>626</v>
      </c>
      <c r="H358" s="92" t="s">
        <v>227</v>
      </c>
      <c r="I358" s="86"/>
    </row>
    <row r="359" spans="2:9" ht="15" hidden="1" customHeight="1" x14ac:dyDescent="0.35">
      <c r="B359" s="96" t="s">
        <v>162</v>
      </c>
      <c r="C359" s="91" t="s">
        <v>652</v>
      </c>
      <c r="D359" s="91"/>
      <c r="E359" s="91" t="s">
        <v>623</v>
      </c>
      <c r="F359" s="91" t="s">
        <v>624</v>
      </c>
      <c r="G359" s="91" t="s">
        <v>626</v>
      </c>
      <c r="H359" s="92" t="s">
        <v>227</v>
      </c>
      <c r="I359" s="86"/>
    </row>
    <row r="360" spans="2:9" ht="15" hidden="1" customHeight="1" x14ac:dyDescent="0.35">
      <c r="B360" s="96" t="s">
        <v>162</v>
      </c>
      <c r="C360" s="91" t="s">
        <v>653</v>
      </c>
      <c r="D360" s="91"/>
      <c r="E360" s="91" t="s">
        <v>623</v>
      </c>
      <c r="F360" s="91" t="s">
        <v>624</v>
      </c>
      <c r="G360" s="91" t="s">
        <v>626</v>
      </c>
      <c r="H360" s="92" t="s">
        <v>227</v>
      </c>
      <c r="I360" s="86"/>
    </row>
    <row r="361" spans="2:9" ht="15" hidden="1" customHeight="1" x14ac:dyDescent="0.35">
      <c r="B361" s="96" t="s">
        <v>162</v>
      </c>
      <c r="C361" s="91" t="s">
        <v>654</v>
      </c>
      <c r="D361" s="91"/>
      <c r="E361" s="91" t="s">
        <v>623</v>
      </c>
      <c r="F361" s="91" t="s">
        <v>624</v>
      </c>
      <c r="G361" s="91" t="s">
        <v>626</v>
      </c>
      <c r="H361" s="92" t="s">
        <v>227</v>
      </c>
      <c r="I361" s="86"/>
    </row>
    <row r="362" spans="2:9" ht="15" hidden="1" customHeight="1" x14ac:dyDescent="0.35">
      <c r="B362" s="96" t="s">
        <v>162</v>
      </c>
      <c r="C362" s="91" t="s">
        <v>655</v>
      </c>
      <c r="D362" s="91"/>
      <c r="E362" s="91" t="s">
        <v>623</v>
      </c>
      <c r="F362" s="91" t="s">
        <v>624</v>
      </c>
      <c r="G362" s="91" t="s">
        <v>626</v>
      </c>
      <c r="H362" s="92" t="s">
        <v>227</v>
      </c>
      <c r="I362" s="86"/>
    </row>
    <row r="363" spans="2:9" ht="15" hidden="1" customHeight="1" x14ac:dyDescent="0.35">
      <c r="B363" s="96" t="s">
        <v>162</v>
      </c>
      <c r="C363" s="91" t="s">
        <v>656</v>
      </c>
      <c r="D363" s="91"/>
      <c r="E363" s="91" t="s">
        <v>623</v>
      </c>
      <c r="F363" s="91" t="s">
        <v>624</v>
      </c>
      <c r="G363" s="91" t="s">
        <v>626</v>
      </c>
      <c r="H363" s="92" t="s">
        <v>227</v>
      </c>
      <c r="I363" s="86"/>
    </row>
    <row r="364" spans="2:9" ht="15" hidden="1" customHeight="1" x14ac:dyDescent="0.35">
      <c r="B364" s="96" t="s">
        <v>162</v>
      </c>
      <c r="C364" s="91" t="s">
        <v>657</v>
      </c>
      <c r="D364" s="91"/>
      <c r="E364" s="91" t="s">
        <v>623</v>
      </c>
      <c r="F364" s="91" t="s">
        <v>624</v>
      </c>
      <c r="G364" s="91" t="s">
        <v>626</v>
      </c>
      <c r="H364" s="92" t="s">
        <v>227</v>
      </c>
      <c r="I364" s="86"/>
    </row>
    <row r="365" spans="2:9" ht="15" hidden="1" customHeight="1" x14ac:dyDescent="0.35">
      <c r="B365" s="96" t="s">
        <v>162</v>
      </c>
      <c r="C365" s="91" t="s">
        <v>658</v>
      </c>
      <c r="D365" s="91"/>
      <c r="E365" s="91" t="s">
        <v>623</v>
      </c>
      <c r="F365" s="91" t="s">
        <v>624</v>
      </c>
      <c r="G365" s="91" t="s">
        <v>626</v>
      </c>
      <c r="H365" s="92" t="s">
        <v>227</v>
      </c>
      <c r="I365" s="86"/>
    </row>
    <row r="366" spans="2:9" ht="15" hidden="1" customHeight="1" x14ac:dyDescent="0.35">
      <c r="B366" s="96" t="s">
        <v>162</v>
      </c>
      <c r="C366" s="91" t="s">
        <v>659</v>
      </c>
      <c r="D366" s="91"/>
      <c r="E366" s="91" t="s">
        <v>623</v>
      </c>
      <c r="F366" s="91" t="s">
        <v>624</v>
      </c>
      <c r="G366" s="91" t="s">
        <v>626</v>
      </c>
      <c r="H366" s="92" t="s">
        <v>227</v>
      </c>
      <c r="I366" s="86"/>
    </row>
    <row r="367" spans="2:9" ht="15" hidden="1" customHeight="1" x14ac:dyDescent="0.35">
      <c r="B367" s="96" t="s">
        <v>162</v>
      </c>
      <c r="C367" s="91" t="s">
        <v>660</v>
      </c>
      <c r="D367" s="91"/>
      <c r="E367" s="91" t="s">
        <v>623</v>
      </c>
      <c r="F367" s="91" t="s">
        <v>624</v>
      </c>
      <c r="G367" s="91" t="s">
        <v>626</v>
      </c>
      <c r="H367" s="92" t="s">
        <v>227</v>
      </c>
      <c r="I367" s="86"/>
    </row>
    <row r="368" spans="2:9" ht="15" hidden="1" customHeight="1" x14ac:dyDescent="0.35">
      <c r="B368" s="96" t="s">
        <v>162</v>
      </c>
      <c r="C368" s="91" t="s">
        <v>661</v>
      </c>
      <c r="D368" s="91"/>
      <c r="E368" s="91" t="s">
        <v>623</v>
      </c>
      <c r="F368" s="91" t="s">
        <v>624</v>
      </c>
      <c r="G368" s="91" t="s">
        <v>626</v>
      </c>
      <c r="H368" s="92" t="s">
        <v>227</v>
      </c>
      <c r="I368" s="86"/>
    </row>
    <row r="369" spans="2:9" ht="15" hidden="1" customHeight="1" x14ac:dyDescent="0.35">
      <c r="B369" s="96" t="s">
        <v>162</v>
      </c>
      <c r="C369" s="91" t="s">
        <v>662</v>
      </c>
      <c r="D369" s="91"/>
      <c r="E369" s="91" t="s">
        <v>623</v>
      </c>
      <c r="F369" s="91" t="s">
        <v>624</v>
      </c>
      <c r="G369" s="91" t="s">
        <v>626</v>
      </c>
      <c r="H369" s="92" t="s">
        <v>227</v>
      </c>
      <c r="I369" s="86"/>
    </row>
    <row r="370" spans="2:9" ht="15" hidden="1" customHeight="1" x14ac:dyDescent="0.35">
      <c r="B370" s="96" t="s">
        <v>162</v>
      </c>
      <c r="C370" s="91" t="s">
        <v>663</v>
      </c>
      <c r="D370" s="91"/>
      <c r="E370" s="91" t="s">
        <v>623</v>
      </c>
      <c r="F370" s="91" t="s">
        <v>624</v>
      </c>
      <c r="G370" s="91" t="s">
        <v>626</v>
      </c>
      <c r="H370" s="92" t="s">
        <v>227</v>
      </c>
      <c r="I370" s="86"/>
    </row>
    <row r="371" spans="2:9" ht="15" hidden="1" customHeight="1" x14ac:dyDescent="0.35">
      <c r="B371" s="96" t="s">
        <v>162</v>
      </c>
      <c r="C371" s="91" t="s">
        <v>664</v>
      </c>
      <c r="D371" s="91"/>
      <c r="E371" s="91" t="s">
        <v>623</v>
      </c>
      <c r="F371" s="91" t="s">
        <v>624</v>
      </c>
      <c r="G371" s="91" t="s">
        <v>626</v>
      </c>
      <c r="H371" s="92" t="s">
        <v>227</v>
      </c>
      <c r="I371" s="86"/>
    </row>
    <row r="372" spans="2:9" ht="15" hidden="1" customHeight="1" x14ac:dyDescent="0.35">
      <c r="B372" s="96" t="s">
        <v>162</v>
      </c>
      <c r="C372" s="91" t="s">
        <v>665</v>
      </c>
      <c r="D372" s="91"/>
      <c r="E372" s="91" t="s">
        <v>623</v>
      </c>
      <c r="F372" s="91" t="s">
        <v>624</v>
      </c>
      <c r="G372" s="91" t="s">
        <v>626</v>
      </c>
      <c r="H372" s="92" t="s">
        <v>227</v>
      </c>
      <c r="I372" s="86"/>
    </row>
    <row r="373" spans="2:9" ht="15" hidden="1" customHeight="1" x14ac:dyDescent="0.35">
      <c r="B373" s="96" t="s">
        <v>162</v>
      </c>
      <c r="C373" s="91" t="s">
        <v>666</v>
      </c>
      <c r="D373" s="91"/>
      <c r="E373" s="91" t="s">
        <v>623</v>
      </c>
      <c r="F373" s="91" t="s">
        <v>624</v>
      </c>
      <c r="G373" s="91" t="s">
        <v>626</v>
      </c>
      <c r="H373" s="92" t="s">
        <v>227</v>
      </c>
      <c r="I373" s="86"/>
    </row>
    <row r="374" spans="2:9" ht="15" hidden="1" customHeight="1" x14ac:dyDescent="0.35">
      <c r="B374" s="96" t="s">
        <v>162</v>
      </c>
      <c r="C374" s="91" t="s">
        <v>667</v>
      </c>
      <c r="D374" s="91"/>
      <c r="E374" s="91" t="s">
        <v>623</v>
      </c>
      <c r="F374" s="91" t="s">
        <v>624</v>
      </c>
      <c r="G374" s="91" t="s">
        <v>626</v>
      </c>
      <c r="H374" s="92" t="s">
        <v>227</v>
      </c>
      <c r="I374" s="86"/>
    </row>
    <row r="375" spans="2:9" ht="15" hidden="1" customHeight="1" x14ac:dyDescent="0.35">
      <c r="B375" s="96" t="s">
        <v>162</v>
      </c>
      <c r="C375" s="91" t="s">
        <v>668</v>
      </c>
      <c r="D375" s="91"/>
      <c r="E375" s="91" t="s">
        <v>623</v>
      </c>
      <c r="F375" s="91" t="s">
        <v>624</v>
      </c>
      <c r="G375" s="91" t="s">
        <v>626</v>
      </c>
      <c r="H375" s="92" t="s">
        <v>227</v>
      </c>
      <c r="I375" s="86"/>
    </row>
    <row r="376" spans="2:9" ht="15" hidden="1" customHeight="1" x14ac:dyDescent="0.35">
      <c r="B376" s="96" t="s">
        <v>162</v>
      </c>
      <c r="C376" s="91" t="s">
        <v>669</v>
      </c>
      <c r="D376" s="91"/>
      <c r="E376" s="91" t="s">
        <v>623</v>
      </c>
      <c r="F376" s="91" t="s">
        <v>624</v>
      </c>
      <c r="G376" s="91" t="s">
        <v>626</v>
      </c>
      <c r="H376" s="92" t="s">
        <v>227</v>
      </c>
      <c r="I376" s="86"/>
    </row>
    <row r="377" spans="2:9" ht="15" hidden="1" customHeight="1" x14ac:dyDescent="0.35">
      <c r="B377" s="96" t="s">
        <v>162</v>
      </c>
      <c r="C377" s="91" t="s">
        <v>670</v>
      </c>
      <c r="D377" s="91"/>
      <c r="E377" s="91" t="s">
        <v>623</v>
      </c>
      <c r="F377" s="91" t="s">
        <v>624</v>
      </c>
      <c r="G377" s="91" t="s">
        <v>626</v>
      </c>
      <c r="H377" s="92" t="s">
        <v>227</v>
      </c>
      <c r="I377" s="86"/>
    </row>
    <row r="378" spans="2:9" ht="15" hidden="1" customHeight="1" x14ac:dyDescent="0.35">
      <c r="B378" s="96" t="s">
        <v>162</v>
      </c>
      <c r="C378" s="91" t="s">
        <v>671</v>
      </c>
      <c r="D378" s="91"/>
      <c r="E378" s="91" t="s">
        <v>623</v>
      </c>
      <c r="F378" s="91" t="s">
        <v>624</v>
      </c>
      <c r="G378" s="91" t="s">
        <v>626</v>
      </c>
      <c r="H378" s="92" t="s">
        <v>227</v>
      </c>
      <c r="I378" s="86"/>
    </row>
    <row r="379" spans="2:9" ht="15" hidden="1" customHeight="1" x14ac:dyDescent="0.35">
      <c r="B379" s="96" t="s">
        <v>162</v>
      </c>
      <c r="C379" s="91" t="s">
        <v>672</v>
      </c>
      <c r="D379" s="91"/>
      <c r="E379" s="91" t="s">
        <v>623</v>
      </c>
      <c r="F379" s="91" t="s">
        <v>624</v>
      </c>
      <c r="G379" s="91" t="s">
        <v>626</v>
      </c>
      <c r="H379" s="92" t="s">
        <v>227</v>
      </c>
      <c r="I379" s="86"/>
    </row>
    <row r="380" spans="2:9" ht="15" hidden="1" customHeight="1" x14ac:dyDescent="0.35">
      <c r="B380" s="96" t="s">
        <v>162</v>
      </c>
      <c r="C380" s="91" t="s">
        <v>673</v>
      </c>
      <c r="D380" s="91"/>
      <c r="E380" s="91" t="s">
        <v>623</v>
      </c>
      <c r="F380" s="91" t="s">
        <v>624</v>
      </c>
      <c r="G380" s="91" t="s">
        <v>626</v>
      </c>
      <c r="H380" s="92" t="s">
        <v>227</v>
      </c>
      <c r="I380" s="86"/>
    </row>
    <row r="381" spans="2:9" ht="15" hidden="1" customHeight="1" x14ac:dyDescent="0.35">
      <c r="B381" s="96" t="s">
        <v>162</v>
      </c>
      <c r="C381" s="91" t="s">
        <v>674</v>
      </c>
      <c r="D381" s="91"/>
      <c r="E381" s="91" t="s">
        <v>623</v>
      </c>
      <c r="F381" s="91" t="s">
        <v>624</v>
      </c>
      <c r="G381" s="91" t="s">
        <v>626</v>
      </c>
      <c r="H381" s="92" t="s">
        <v>227</v>
      </c>
      <c r="I381" s="86"/>
    </row>
    <row r="382" spans="2:9" ht="15" hidden="1" customHeight="1" x14ac:dyDescent="0.35">
      <c r="B382" s="96" t="s">
        <v>162</v>
      </c>
      <c r="C382" s="91" t="s">
        <v>675</v>
      </c>
      <c r="D382" s="91"/>
      <c r="E382" s="91" t="s">
        <v>623</v>
      </c>
      <c r="F382" s="91" t="s">
        <v>624</v>
      </c>
      <c r="G382" s="91" t="s">
        <v>626</v>
      </c>
      <c r="H382" s="92" t="s">
        <v>227</v>
      </c>
      <c r="I382" s="86"/>
    </row>
    <row r="383" spans="2:9" ht="15" hidden="1" customHeight="1" x14ac:dyDescent="0.35">
      <c r="B383" s="96" t="s">
        <v>162</v>
      </c>
      <c r="C383" s="91" t="s">
        <v>676</v>
      </c>
      <c r="D383" s="91"/>
      <c r="E383" s="91" t="s">
        <v>623</v>
      </c>
      <c r="F383" s="91" t="s">
        <v>624</v>
      </c>
      <c r="G383" s="91" t="s">
        <v>626</v>
      </c>
      <c r="H383" s="92" t="s">
        <v>227</v>
      </c>
      <c r="I383" s="86"/>
    </row>
    <row r="384" spans="2:9" ht="15" hidden="1" customHeight="1" x14ac:dyDescent="0.35">
      <c r="B384" s="96" t="s">
        <v>162</v>
      </c>
      <c r="C384" s="91" t="s">
        <v>677</v>
      </c>
      <c r="D384" s="91"/>
      <c r="E384" s="91" t="s">
        <v>623</v>
      </c>
      <c r="F384" s="91" t="s">
        <v>624</v>
      </c>
      <c r="G384" s="91" t="s">
        <v>626</v>
      </c>
      <c r="H384" s="92" t="s">
        <v>227</v>
      </c>
      <c r="I384" s="86"/>
    </row>
    <row r="385" spans="2:9" ht="15" hidden="1" customHeight="1" x14ac:dyDescent="0.35">
      <c r="B385" s="96" t="s">
        <v>162</v>
      </c>
      <c r="C385" s="91" t="s">
        <v>678</v>
      </c>
      <c r="D385" s="91"/>
      <c r="E385" s="91" t="s">
        <v>623</v>
      </c>
      <c r="F385" s="91" t="s">
        <v>624</v>
      </c>
      <c r="G385" s="91" t="s">
        <v>626</v>
      </c>
      <c r="H385" s="92" t="s">
        <v>227</v>
      </c>
      <c r="I385" s="86"/>
    </row>
    <row r="386" spans="2:9" ht="15" hidden="1" customHeight="1" x14ac:dyDescent="0.35">
      <c r="B386" s="96" t="s">
        <v>162</v>
      </c>
      <c r="C386" s="91" t="s">
        <v>679</v>
      </c>
      <c r="D386" s="91"/>
      <c r="E386" s="91" t="s">
        <v>623</v>
      </c>
      <c r="F386" s="91" t="s">
        <v>627</v>
      </c>
      <c r="G386" s="91" t="s">
        <v>626</v>
      </c>
      <c r="H386" s="92" t="s">
        <v>227</v>
      </c>
      <c r="I386" s="86"/>
    </row>
    <row r="387" spans="2:9" ht="15" hidden="1" customHeight="1" x14ac:dyDescent="0.35">
      <c r="B387" s="96" t="s">
        <v>162</v>
      </c>
      <c r="C387" s="91" t="s">
        <v>680</v>
      </c>
      <c r="D387" s="91"/>
      <c r="E387" s="91" t="s">
        <v>623</v>
      </c>
      <c r="F387" s="91" t="s">
        <v>624</v>
      </c>
      <c r="G387" s="91" t="s">
        <v>626</v>
      </c>
      <c r="H387" s="92" t="s">
        <v>227</v>
      </c>
      <c r="I387" s="86"/>
    </row>
    <row r="388" spans="2:9" ht="15" hidden="1" customHeight="1" x14ac:dyDescent="0.35">
      <c r="B388" s="96" t="s">
        <v>162</v>
      </c>
      <c r="C388" s="91" t="s">
        <v>681</v>
      </c>
      <c r="D388" s="91"/>
      <c r="E388" s="91" t="s">
        <v>623</v>
      </c>
      <c r="F388" s="91" t="s">
        <v>624</v>
      </c>
      <c r="G388" s="91" t="s">
        <v>626</v>
      </c>
      <c r="H388" s="92" t="s">
        <v>227</v>
      </c>
      <c r="I388" s="86"/>
    </row>
    <row r="389" spans="2:9" ht="15" hidden="1" customHeight="1" x14ac:dyDescent="0.35">
      <c r="B389" s="96" t="s">
        <v>162</v>
      </c>
      <c r="C389" s="91" t="s">
        <v>682</v>
      </c>
      <c r="D389" s="91"/>
      <c r="E389" s="91" t="s">
        <v>623</v>
      </c>
      <c r="F389" s="91" t="s">
        <v>624</v>
      </c>
      <c r="G389" s="91" t="s">
        <v>626</v>
      </c>
      <c r="H389" s="92" t="s">
        <v>227</v>
      </c>
      <c r="I389" s="86"/>
    </row>
    <row r="390" spans="2:9" ht="15" hidden="1" customHeight="1" x14ac:dyDescent="0.35">
      <c r="B390" s="96" t="s">
        <v>162</v>
      </c>
      <c r="C390" s="91" t="s">
        <v>683</v>
      </c>
      <c r="D390" s="91"/>
      <c r="E390" s="91" t="s">
        <v>623</v>
      </c>
      <c r="F390" s="91" t="s">
        <v>624</v>
      </c>
      <c r="G390" s="91" t="s">
        <v>626</v>
      </c>
      <c r="H390" s="92" t="s">
        <v>227</v>
      </c>
      <c r="I390" s="86"/>
    </row>
    <row r="391" spans="2:9" ht="15" hidden="1" customHeight="1" x14ac:dyDescent="0.35">
      <c r="B391" s="96" t="s">
        <v>162</v>
      </c>
      <c r="C391" s="91" t="s">
        <v>628</v>
      </c>
      <c r="D391" s="91"/>
      <c r="E391" s="91" t="s">
        <v>623</v>
      </c>
      <c r="F391" s="91" t="s">
        <v>624</v>
      </c>
      <c r="G391" s="91" t="s">
        <v>626</v>
      </c>
      <c r="H391" s="92" t="s">
        <v>227</v>
      </c>
      <c r="I391" s="86"/>
    </row>
    <row r="392" spans="2:9" ht="15" hidden="1" customHeight="1" x14ac:dyDescent="0.35">
      <c r="B392" s="96" t="s">
        <v>171</v>
      </c>
      <c r="C392" s="91" t="s">
        <v>684</v>
      </c>
      <c r="D392" s="91" t="str">
        <f>VLOOKUP(C392,'[1]Birbank İşçi Siyahı'!$B:$I,8,)</f>
        <v>Bir Payment</v>
      </c>
      <c r="E392" s="91" t="s">
        <v>623</v>
      </c>
      <c r="F392" s="91" t="s">
        <v>624</v>
      </c>
      <c r="G392" s="91" t="s">
        <v>626</v>
      </c>
      <c r="H392" s="92" t="s">
        <v>227</v>
      </c>
      <c r="I392" s="86"/>
    </row>
    <row r="393" spans="2:9" ht="15" hidden="1" customHeight="1" x14ac:dyDescent="0.35">
      <c r="B393" s="96" t="s">
        <v>171</v>
      </c>
      <c r="C393" s="91" t="s">
        <v>685</v>
      </c>
      <c r="D393" s="91" t="str">
        <f>VLOOKUP(C393,'[1]Birbank İşçi Siyahı'!$B:$I,8,)</f>
        <v>Bir Payment</v>
      </c>
      <c r="E393" s="91" t="s">
        <v>623</v>
      </c>
      <c r="F393" s="91" t="s">
        <v>624</v>
      </c>
      <c r="G393" s="91" t="s">
        <v>626</v>
      </c>
      <c r="H393" s="92" t="s">
        <v>227</v>
      </c>
      <c r="I393" s="86"/>
    </row>
    <row r="394" spans="2:9" ht="15" hidden="1" customHeight="1" x14ac:dyDescent="0.35">
      <c r="B394" s="96" t="s">
        <v>171</v>
      </c>
      <c r="C394" s="91" t="s">
        <v>686</v>
      </c>
      <c r="D394" s="91" t="str">
        <f>VLOOKUP(C394,'[1]Birbank İşçi Siyahı'!$B:$I,8,)</f>
        <v>Bir Payment</v>
      </c>
      <c r="E394" s="91" t="s">
        <v>623</v>
      </c>
      <c r="F394" s="91" t="s">
        <v>624</v>
      </c>
      <c r="G394" s="91" t="s">
        <v>626</v>
      </c>
      <c r="H394" s="92" t="s">
        <v>227</v>
      </c>
      <c r="I394" s="86"/>
    </row>
    <row r="395" spans="2:9" ht="15" hidden="1" customHeight="1" x14ac:dyDescent="0.35">
      <c r="B395" s="96" t="s">
        <v>171</v>
      </c>
      <c r="C395" s="91" t="s">
        <v>687</v>
      </c>
      <c r="D395" s="91" t="str">
        <f>VLOOKUP(C395,'[1]Birbank İşçi Siyahı'!$B:$I,8,)</f>
        <v>Bir Payment</v>
      </c>
      <c r="E395" s="91" t="s">
        <v>623</v>
      </c>
      <c r="F395" s="91" t="s">
        <v>624</v>
      </c>
      <c r="G395" s="91" t="s">
        <v>626</v>
      </c>
      <c r="H395" s="92" t="s">
        <v>227</v>
      </c>
      <c r="I395" s="86"/>
    </row>
    <row r="396" spans="2:9" ht="15" hidden="1" customHeight="1" x14ac:dyDescent="0.35">
      <c r="B396" s="96" t="s">
        <v>171</v>
      </c>
      <c r="C396" s="91" t="s">
        <v>688</v>
      </c>
      <c r="D396" s="91" t="str">
        <f>VLOOKUP(C396,'[1]Birbank İşçi Siyahı'!$B:$I,8,)</f>
        <v>Bir Payment</v>
      </c>
      <c r="E396" s="91" t="s">
        <v>623</v>
      </c>
      <c r="F396" s="91" t="s">
        <v>624</v>
      </c>
      <c r="G396" s="91" t="s">
        <v>626</v>
      </c>
      <c r="H396" s="92" t="s">
        <v>227</v>
      </c>
      <c r="I396" s="86"/>
    </row>
    <row r="397" spans="2:9" ht="15" hidden="1" customHeight="1" x14ac:dyDescent="0.35">
      <c r="B397" s="96" t="s">
        <v>171</v>
      </c>
      <c r="C397" s="91" t="s">
        <v>689</v>
      </c>
      <c r="D397" s="91" t="str">
        <f>VLOOKUP(C397,'[1]Birbank İşçi Siyahı'!$B:$I,8,)</f>
        <v>Bir Payment</v>
      </c>
      <c r="E397" s="91" t="s">
        <v>623</v>
      </c>
      <c r="F397" s="91" t="s">
        <v>624</v>
      </c>
      <c r="G397" s="91" t="s">
        <v>626</v>
      </c>
      <c r="H397" s="92" t="s">
        <v>227</v>
      </c>
      <c r="I397" s="86"/>
    </row>
    <row r="398" spans="2:9" ht="15" hidden="1" customHeight="1" x14ac:dyDescent="0.35">
      <c r="B398" s="96" t="s">
        <v>171</v>
      </c>
      <c r="C398" s="91" t="s">
        <v>690</v>
      </c>
      <c r="D398" s="91" t="str">
        <f>VLOOKUP(C398,'[1]Birbank İşçi Siyahı'!$B:$I,8,)</f>
        <v>Bir Payment</v>
      </c>
      <c r="E398" s="91" t="s">
        <v>623</v>
      </c>
      <c r="F398" s="91" t="s">
        <v>624</v>
      </c>
      <c r="G398" s="91" t="s">
        <v>626</v>
      </c>
      <c r="H398" s="92" t="s">
        <v>227</v>
      </c>
      <c r="I398" s="86"/>
    </row>
    <row r="399" spans="2:9" ht="15" hidden="1" customHeight="1" x14ac:dyDescent="0.35">
      <c r="B399" s="96" t="s">
        <v>171</v>
      </c>
      <c r="C399" s="91" t="s">
        <v>691</v>
      </c>
      <c r="D399" s="91" t="str">
        <f>VLOOKUP(C399,'[1]Birbank İşçi Siyahı'!$B:$I,8,)</f>
        <v>Bir Payment</v>
      </c>
      <c r="E399" s="91" t="s">
        <v>623</v>
      </c>
      <c r="F399" s="91" t="s">
        <v>624</v>
      </c>
      <c r="G399" s="91" t="s">
        <v>626</v>
      </c>
      <c r="H399" s="92" t="s">
        <v>227</v>
      </c>
      <c r="I399" s="86"/>
    </row>
    <row r="400" spans="2:9" ht="15" hidden="1" customHeight="1" x14ac:dyDescent="0.35">
      <c r="B400" s="96" t="s">
        <v>162</v>
      </c>
      <c r="C400" s="91" t="s">
        <v>692</v>
      </c>
      <c r="D400" s="91"/>
      <c r="E400" s="91" t="s">
        <v>623</v>
      </c>
      <c r="F400" s="91" t="s">
        <v>624</v>
      </c>
      <c r="G400" s="91" t="s">
        <v>629</v>
      </c>
      <c r="H400" s="92" t="s">
        <v>227</v>
      </c>
      <c r="I400" s="86"/>
    </row>
    <row r="401" spans="2:9" ht="15" hidden="1" customHeight="1" x14ac:dyDescent="0.35">
      <c r="B401" s="96" t="s">
        <v>162</v>
      </c>
      <c r="C401" s="91" t="s">
        <v>693</v>
      </c>
      <c r="D401" s="91"/>
      <c r="E401" s="91" t="s">
        <v>623</v>
      </c>
      <c r="F401" s="91" t="s">
        <v>624</v>
      </c>
      <c r="G401" s="91" t="s">
        <v>630</v>
      </c>
      <c r="H401" s="92" t="s">
        <v>227</v>
      </c>
      <c r="I401" s="86"/>
    </row>
    <row r="402" spans="2:9" ht="15" hidden="1" customHeight="1" x14ac:dyDescent="0.35">
      <c r="B402" s="96" t="s">
        <v>162</v>
      </c>
      <c r="C402" s="91" t="s">
        <v>694</v>
      </c>
      <c r="D402" s="91"/>
      <c r="E402" s="91" t="s">
        <v>623</v>
      </c>
      <c r="F402" s="91" t="s">
        <v>624</v>
      </c>
      <c r="G402" s="91" t="s">
        <v>630</v>
      </c>
      <c r="H402" s="92" t="s">
        <v>227</v>
      </c>
      <c r="I402" s="86"/>
    </row>
    <row r="403" spans="2:9" ht="15" hidden="1" customHeight="1" x14ac:dyDescent="0.35">
      <c r="B403" s="96" t="s">
        <v>162</v>
      </c>
      <c r="C403" s="91" t="s">
        <v>695</v>
      </c>
      <c r="D403" s="91"/>
      <c r="E403" s="91" t="s">
        <v>623</v>
      </c>
      <c r="F403" s="91" t="s">
        <v>624</v>
      </c>
      <c r="G403" s="91" t="s">
        <v>630</v>
      </c>
      <c r="H403" s="92" t="s">
        <v>227</v>
      </c>
      <c r="I403" s="86"/>
    </row>
    <row r="404" spans="2:9" ht="15" hidden="1" customHeight="1" x14ac:dyDescent="0.35">
      <c r="B404" s="96" t="s">
        <v>162</v>
      </c>
      <c r="C404" s="91" t="s">
        <v>696</v>
      </c>
      <c r="D404" s="91"/>
      <c r="E404" s="91" t="s">
        <v>623</v>
      </c>
      <c r="F404" s="91" t="s">
        <v>624</v>
      </c>
      <c r="G404" s="91" t="s">
        <v>630</v>
      </c>
      <c r="H404" s="92" t="s">
        <v>227</v>
      </c>
      <c r="I404" s="86"/>
    </row>
    <row r="405" spans="2:9" ht="15" hidden="1" customHeight="1" x14ac:dyDescent="0.35">
      <c r="B405" s="96" t="s">
        <v>162</v>
      </c>
      <c r="C405" s="91" t="s">
        <v>697</v>
      </c>
      <c r="D405" s="91"/>
      <c r="E405" s="91" t="s">
        <v>623</v>
      </c>
      <c r="F405" s="91" t="s">
        <v>624</v>
      </c>
      <c r="G405" s="91" t="s">
        <v>630</v>
      </c>
      <c r="H405" s="92" t="s">
        <v>227</v>
      </c>
      <c r="I405" s="86"/>
    </row>
    <row r="406" spans="2:9" ht="15" hidden="1" customHeight="1" x14ac:dyDescent="0.35">
      <c r="B406" s="96" t="s">
        <v>171</v>
      </c>
      <c r="C406" s="91" t="s">
        <v>698</v>
      </c>
      <c r="D406" s="91" t="str">
        <f>VLOOKUP(C406,'[1]Birbank İşçi Siyahı'!$B:$I,8,)</f>
        <v>Bir Payment</v>
      </c>
      <c r="E406" s="91" t="s">
        <v>623</v>
      </c>
      <c r="F406" s="91" t="s">
        <v>624</v>
      </c>
      <c r="G406" s="91" t="s">
        <v>630</v>
      </c>
      <c r="H406" s="92" t="s">
        <v>227</v>
      </c>
      <c r="I406" s="86"/>
    </row>
    <row r="407" spans="2:9" ht="15" hidden="1" customHeight="1" x14ac:dyDescent="0.35">
      <c r="B407" s="96" t="s">
        <v>162</v>
      </c>
      <c r="C407" s="91" t="s">
        <v>699</v>
      </c>
      <c r="D407" s="91"/>
      <c r="E407" s="91" t="s">
        <v>623</v>
      </c>
      <c r="F407" s="91" t="s">
        <v>624</v>
      </c>
      <c r="G407" s="91" t="s">
        <v>630</v>
      </c>
      <c r="H407" s="92" t="s">
        <v>227</v>
      </c>
      <c r="I407" s="86"/>
    </row>
    <row r="408" spans="2:9" ht="15" hidden="1" customHeight="1" x14ac:dyDescent="0.35">
      <c r="B408" s="96" t="s">
        <v>162</v>
      </c>
      <c r="C408" s="91" t="s">
        <v>700</v>
      </c>
      <c r="D408" s="91"/>
      <c r="E408" s="91" t="s">
        <v>623</v>
      </c>
      <c r="F408" s="91" t="s">
        <v>624</v>
      </c>
      <c r="G408" s="91" t="s">
        <v>630</v>
      </c>
      <c r="H408" s="92" t="s">
        <v>227</v>
      </c>
      <c r="I408" s="86"/>
    </row>
    <row r="409" spans="2:9" ht="15" hidden="1" customHeight="1" x14ac:dyDescent="0.35">
      <c r="B409" s="96" t="s">
        <v>162</v>
      </c>
      <c r="C409" s="91" t="s">
        <v>701</v>
      </c>
      <c r="D409" s="91"/>
      <c r="E409" s="91" t="s">
        <v>623</v>
      </c>
      <c r="F409" s="91" t="s">
        <v>624</v>
      </c>
      <c r="G409" s="91" t="s">
        <v>630</v>
      </c>
      <c r="H409" s="92" t="s">
        <v>227</v>
      </c>
      <c r="I409" s="86"/>
    </row>
    <row r="410" spans="2:9" ht="15" hidden="1" customHeight="1" x14ac:dyDescent="0.35">
      <c r="B410" s="96" t="s">
        <v>162</v>
      </c>
      <c r="C410" s="91" t="s">
        <v>702</v>
      </c>
      <c r="D410" s="91"/>
      <c r="E410" s="91" t="s">
        <v>623</v>
      </c>
      <c r="F410" s="91" t="s">
        <v>624</v>
      </c>
      <c r="G410" s="91" t="s">
        <v>630</v>
      </c>
      <c r="H410" s="92" t="s">
        <v>227</v>
      </c>
      <c r="I410" s="86"/>
    </row>
    <row r="411" spans="2:9" ht="15" hidden="1" customHeight="1" x14ac:dyDescent="0.35">
      <c r="B411" s="96" t="s">
        <v>162</v>
      </c>
      <c r="C411" s="91" t="s">
        <v>703</v>
      </c>
      <c r="D411" s="91"/>
      <c r="E411" s="91" t="s">
        <v>623</v>
      </c>
      <c r="F411" s="91" t="s">
        <v>624</v>
      </c>
      <c r="G411" s="91" t="s">
        <v>630</v>
      </c>
      <c r="H411" s="92" t="s">
        <v>227</v>
      </c>
      <c r="I411" s="86"/>
    </row>
    <row r="412" spans="2:9" ht="15" hidden="1" customHeight="1" x14ac:dyDescent="0.35">
      <c r="B412" s="96" t="s">
        <v>162</v>
      </c>
      <c r="C412" s="91" t="s">
        <v>704</v>
      </c>
      <c r="D412" s="91"/>
      <c r="E412" s="91" t="s">
        <v>623</v>
      </c>
      <c r="F412" s="91" t="s">
        <v>624</v>
      </c>
      <c r="G412" s="91" t="s">
        <v>630</v>
      </c>
      <c r="H412" s="92" t="s">
        <v>227</v>
      </c>
      <c r="I412" s="86"/>
    </row>
    <row r="413" spans="2:9" ht="15" hidden="1" customHeight="1" x14ac:dyDescent="0.35">
      <c r="B413" s="96" t="s">
        <v>162</v>
      </c>
      <c r="C413" s="91" t="s">
        <v>705</v>
      </c>
      <c r="D413" s="91"/>
      <c r="E413" s="91" t="s">
        <v>623</v>
      </c>
      <c r="F413" s="91" t="s">
        <v>624</v>
      </c>
      <c r="G413" s="91" t="s">
        <v>630</v>
      </c>
      <c r="H413" s="92" t="s">
        <v>227</v>
      </c>
      <c r="I413" s="86"/>
    </row>
    <row r="414" spans="2:9" ht="15" hidden="1" customHeight="1" x14ac:dyDescent="0.35">
      <c r="B414" s="96" t="s">
        <v>162</v>
      </c>
      <c r="C414" s="91" t="s">
        <v>706</v>
      </c>
      <c r="D414" s="91"/>
      <c r="E414" s="91" t="s">
        <v>623</v>
      </c>
      <c r="F414" s="91" t="s">
        <v>624</v>
      </c>
      <c r="G414" s="91" t="s">
        <v>630</v>
      </c>
      <c r="H414" s="92" t="s">
        <v>227</v>
      </c>
      <c r="I414" s="86"/>
    </row>
    <row r="415" spans="2:9" ht="15" hidden="1" customHeight="1" x14ac:dyDescent="0.35">
      <c r="B415" s="96" t="s">
        <v>162</v>
      </c>
      <c r="C415" s="91" t="s">
        <v>707</v>
      </c>
      <c r="D415" s="91"/>
      <c r="E415" s="91" t="s">
        <v>623</v>
      </c>
      <c r="F415" s="91" t="s">
        <v>631</v>
      </c>
      <c r="G415" s="91" t="s">
        <v>181</v>
      </c>
      <c r="H415" s="92" t="s">
        <v>227</v>
      </c>
      <c r="I415" s="86"/>
    </row>
    <row r="416" spans="2:9" ht="15" hidden="1" customHeight="1" x14ac:dyDescent="0.35">
      <c r="B416" s="96" t="s">
        <v>162</v>
      </c>
      <c r="C416" s="91" t="s">
        <v>708</v>
      </c>
      <c r="D416" s="91"/>
      <c r="E416" s="91" t="s">
        <v>623</v>
      </c>
      <c r="F416" s="91" t="s">
        <v>631</v>
      </c>
      <c r="G416" s="91" t="s">
        <v>300</v>
      </c>
      <c r="H416" s="92" t="s">
        <v>227</v>
      </c>
      <c r="I416" s="86"/>
    </row>
    <row r="417" spans="2:9" ht="15" hidden="1" customHeight="1" x14ac:dyDescent="0.35">
      <c r="B417" s="96" t="s">
        <v>162</v>
      </c>
      <c r="C417" s="91" t="s">
        <v>709</v>
      </c>
      <c r="D417" s="91"/>
      <c r="E417" s="91" t="s">
        <v>623</v>
      </c>
      <c r="F417" s="91" t="s">
        <v>631</v>
      </c>
      <c r="G417" s="91" t="s">
        <v>632</v>
      </c>
      <c r="H417" s="92" t="s">
        <v>227</v>
      </c>
      <c r="I417" s="86"/>
    </row>
    <row r="418" spans="2:9" ht="15" hidden="1" customHeight="1" x14ac:dyDescent="0.35">
      <c r="B418" s="96" t="s">
        <v>162</v>
      </c>
      <c r="C418" s="91" t="s">
        <v>633</v>
      </c>
      <c r="D418" s="91"/>
      <c r="E418" s="91" t="s">
        <v>623</v>
      </c>
      <c r="F418" s="91" t="s">
        <v>631</v>
      </c>
      <c r="G418" s="91" t="s">
        <v>632</v>
      </c>
      <c r="H418" s="92" t="s">
        <v>227</v>
      </c>
      <c r="I418" s="86"/>
    </row>
    <row r="419" spans="2:9" ht="15" hidden="1" customHeight="1" x14ac:dyDescent="0.35">
      <c r="B419" s="96" t="s">
        <v>162</v>
      </c>
      <c r="C419" s="91" t="s">
        <v>710</v>
      </c>
      <c r="D419" s="91"/>
      <c r="E419" s="91" t="s">
        <v>623</v>
      </c>
      <c r="F419" s="91" t="s">
        <v>631</v>
      </c>
      <c r="G419" s="91" t="s">
        <v>632</v>
      </c>
      <c r="H419" s="92" t="s">
        <v>227</v>
      </c>
      <c r="I419" s="86"/>
    </row>
    <row r="420" spans="2:9" ht="15" hidden="1" customHeight="1" x14ac:dyDescent="0.35">
      <c r="B420" s="96" t="s">
        <v>162</v>
      </c>
      <c r="C420" s="91" t="s">
        <v>711</v>
      </c>
      <c r="D420" s="91"/>
      <c r="E420" s="91" t="s">
        <v>623</v>
      </c>
      <c r="F420" s="91" t="s">
        <v>631</v>
      </c>
      <c r="G420" s="91" t="s">
        <v>632</v>
      </c>
      <c r="H420" s="92" t="s">
        <v>227</v>
      </c>
      <c r="I420" s="86"/>
    </row>
    <row r="421" spans="2:9" ht="15" hidden="1" customHeight="1" x14ac:dyDescent="0.35">
      <c r="B421" s="96" t="s">
        <v>162</v>
      </c>
      <c r="C421" s="91" t="s">
        <v>712</v>
      </c>
      <c r="D421" s="91"/>
      <c r="E421" s="91" t="s">
        <v>623</v>
      </c>
      <c r="F421" s="91" t="s">
        <v>631</v>
      </c>
      <c r="G421" s="91" t="s">
        <v>632</v>
      </c>
      <c r="H421" s="92" t="s">
        <v>227</v>
      </c>
      <c r="I421" s="86"/>
    </row>
    <row r="422" spans="2:9" ht="15" hidden="1" customHeight="1" x14ac:dyDescent="0.35">
      <c r="B422" s="96" t="s">
        <v>162</v>
      </c>
      <c r="C422" s="91" t="s">
        <v>713</v>
      </c>
      <c r="D422" s="91"/>
      <c r="E422" s="91" t="s">
        <v>623</v>
      </c>
      <c r="F422" s="91" t="s">
        <v>631</v>
      </c>
      <c r="G422" s="91" t="s">
        <v>632</v>
      </c>
      <c r="H422" s="92" t="s">
        <v>227</v>
      </c>
      <c r="I422" s="86"/>
    </row>
    <row r="423" spans="2:9" ht="15" hidden="1" customHeight="1" x14ac:dyDescent="0.35">
      <c r="B423" s="96" t="s">
        <v>162</v>
      </c>
      <c r="C423" s="91" t="s">
        <v>714</v>
      </c>
      <c r="D423" s="91"/>
      <c r="E423" s="91" t="s">
        <v>623</v>
      </c>
      <c r="F423" s="91" t="s">
        <v>631</v>
      </c>
      <c r="G423" s="91" t="s">
        <v>632</v>
      </c>
      <c r="H423" s="92" t="s">
        <v>227</v>
      </c>
      <c r="I423" s="86"/>
    </row>
    <row r="424" spans="2:9" ht="15" hidden="1" customHeight="1" x14ac:dyDescent="0.35">
      <c r="B424" s="96" t="s">
        <v>162</v>
      </c>
      <c r="C424" s="91" t="s">
        <v>715</v>
      </c>
      <c r="D424" s="91"/>
      <c r="E424" s="91" t="s">
        <v>623</v>
      </c>
      <c r="F424" s="91" t="s">
        <v>631</v>
      </c>
      <c r="G424" s="91" t="s">
        <v>632</v>
      </c>
      <c r="H424" s="92" t="s">
        <v>227</v>
      </c>
      <c r="I424" s="86"/>
    </row>
    <row r="425" spans="2:9" ht="15" hidden="1" customHeight="1" x14ac:dyDescent="0.35">
      <c r="B425" s="96" t="s">
        <v>162</v>
      </c>
      <c r="C425" s="91" t="s">
        <v>716</v>
      </c>
      <c r="D425" s="91"/>
      <c r="E425" s="91" t="s">
        <v>623</v>
      </c>
      <c r="F425" s="91" t="s">
        <v>631</v>
      </c>
      <c r="G425" s="91" t="s">
        <v>632</v>
      </c>
      <c r="H425" s="92" t="s">
        <v>227</v>
      </c>
      <c r="I425" s="86"/>
    </row>
    <row r="426" spans="2:9" ht="15" hidden="1" customHeight="1" x14ac:dyDescent="0.35">
      <c r="B426" s="96" t="s">
        <v>162</v>
      </c>
      <c r="C426" s="91" t="s">
        <v>717</v>
      </c>
      <c r="D426" s="91"/>
      <c r="E426" s="91" t="s">
        <v>623</v>
      </c>
      <c r="F426" s="91" t="s">
        <v>631</v>
      </c>
      <c r="G426" s="91" t="s">
        <v>632</v>
      </c>
      <c r="H426" s="92" t="s">
        <v>227</v>
      </c>
      <c r="I426" s="86"/>
    </row>
    <row r="427" spans="2:9" ht="15" hidden="1" customHeight="1" x14ac:dyDescent="0.35">
      <c r="B427" s="96" t="s">
        <v>162</v>
      </c>
      <c r="C427" s="91" t="s">
        <v>718</v>
      </c>
      <c r="D427" s="91"/>
      <c r="E427" s="91" t="s">
        <v>623</v>
      </c>
      <c r="F427" s="91" t="s">
        <v>631</v>
      </c>
      <c r="G427" s="91" t="s">
        <v>632</v>
      </c>
      <c r="H427" s="92" t="s">
        <v>227</v>
      </c>
      <c r="I427" s="86"/>
    </row>
    <row r="428" spans="2:9" ht="15" hidden="1" customHeight="1" x14ac:dyDescent="0.35">
      <c r="B428" s="96" t="s">
        <v>162</v>
      </c>
      <c r="C428" s="91" t="s">
        <v>719</v>
      </c>
      <c r="D428" s="91"/>
      <c r="E428" s="91" t="s">
        <v>623</v>
      </c>
      <c r="F428" s="91" t="s">
        <v>631</v>
      </c>
      <c r="G428" s="91" t="s">
        <v>632</v>
      </c>
      <c r="H428" s="92" t="s">
        <v>227</v>
      </c>
      <c r="I428" s="86"/>
    </row>
    <row r="429" spans="2:9" ht="15" hidden="1" customHeight="1" x14ac:dyDescent="0.35">
      <c r="B429" s="96" t="s">
        <v>162</v>
      </c>
      <c r="C429" s="91" t="s">
        <v>720</v>
      </c>
      <c r="D429" s="91"/>
      <c r="E429" s="91" t="s">
        <v>623</v>
      </c>
      <c r="F429" s="91" t="s">
        <v>631</v>
      </c>
      <c r="G429" s="91" t="s">
        <v>632</v>
      </c>
      <c r="H429" s="92" t="s">
        <v>227</v>
      </c>
      <c r="I429" s="86"/>
    </row>
    <row r="430" spans="2:9" ht="15" hidden="1" customHeight="1" x14ac:dyDescent="0.35">
      <c r="B430" s="96" t="s">
        <v>162</v>
      </c>
      <c r="C430" s="91" t="s">
        <v>721</v>
      </c>
      <c r="D430" s="91"/>
      <c r="E430" s="91" t="s">
        <v>623</v>
      </c>
      <c r="F430" s="91" t="s">
        <v>631</v>
      </c>
      <c r="G430" s="91" t="s">
        <v>632</v>
      </c>
      <c r="H430" s="92" t="s">
        <v>227</v>
      </c>
      <c r="I430" s="86"/>
    </row>
    <row r="431" spans="2:9" ht="15" hidden="1" customHeight="1" x14ac:dyDescent="0.35">
      <c r="B431" s="96" t="s">
        <v>162</v>
      </c>
      <c r="C431" s="91" t="s">
        <v>722</v>
      </c>
      <c r="D431" s="91"/>
      <c r="E431" s="91" t="s">
        <v>623</v>
      </c>
      <c r="F431" s="91" t="s">
        <v>631</v>
      </c>
      <c r="G431" s="91" t="s">
        <v>632</v>
      </c>
      <c r="H431" s="92" t="s">
        <v>227</v>
      </c>
      <c r="I431" s="86"/>
    </row>
    <row r="432" spans="2:9" ht="15" hidden="1" customHeight="1" x14ac:dyDescent="0.35">
      <c r="B432" s="96" t="s">
        <v>162</v>
      </c>
      <c r="C432" s="91" t="s">
        <v>723</v>
      </c>
      <c r="D432" s="91"/>
      <c r="E432" s="91" t="s">
        <v>623</v>
      </c>
      <c r="F432" s="91" t="s">
        <v>631</v>
      </c>
      <c r="G432" s="91" t="s">
        <v>632</v>
      </c>
      <c r="H432" s="92" t="s">
        <v>227</v>
      </c>
      <c r="I432" s="86"/>
    </row>
    <row r="433" spans="2:9" ht="15" hidden="1" customHeight="1" x14ac:dyDescent="0.35">
      <c r="B433" s="96" t="s">
        <v>162</v>
      </c>
      <c r="C433" s="91" t="s">
        <v>724</v>
      </c>
      <c r="D433" s="91"/>
      <c r="E433" s="91" t="s">
        <v>623</v>
      </c>
      <c r="F433" s="91" t="s">
        <v>631</v>
      </c>
      <c r="G433" s="91" t="s">
        <v>632</v>
      </c>
      <c r="H433" s="92" t="s">
        <v>227</v>
      </c>
      <c r="I433" s="86"/>
    </row>
    <row r="434" spans="2:9" ht="15" hidden="1" customHeight="1" x14ac:dyDescent="0.35">
      <c r="B434" s="96" t="s">
        <v>162</v>
      </c>
      <c r="C434" s="91" t="s">
        <v>725</v>
      </c>
      <c r="D434" s="91"/>
      <c r="E434" s="91" t="s">
        <v>623</v>
      </c>
      <c r="F434" s="91" t="s">
        <v>631</v>
      </c>
      <c r="G434" s="91" t="s">
        <v>632</v>
      </c>
      <c r="H434" s="92" t="s">
        <v>227</v>
      </c>
      <c r="I434" s="86"/>
    </row>
    <row r="435" spans="2:9" ht="15" hidden="1" customHeight="1" x14ac:dyDescent="0.35">
      <c r="B435" s="96" t="s">
        <v>162</v>
      </c>
      <c r="C435" s="91" t="s">
        <v>726</v>
      </c>
      <c r="D435" s="91"/>
      <c r="E435" s="91" t="s">
        <v>623</v>
      </c>
      <c r="F435" s="91" t="s">
        <v>631</v>
      </c>
      <c r="G435" s="91" t="s">
        <v>632</v>
      </c>
      <c r="H435" s="92" t="s">
        <v>227</v>
      </c>
      <c r="I435" s="86"/>
    </row>
    <row r="436" spans="2:9" ht="15" hidden="1" customHeight="1" x14ac:dyDescent="0.35">
      <c r="B436" s="96" t="s">
        <v>162</v>
      </c>
      <c r="C436" s="91" t="s">
        <v>727</v>
      </c>
      <c r="D436" s="91"/>
      <c r="E436" s="91" t="s">
        <v>623</v>
      </c>
      <c r="F436" s="91" t="s">
        <v>631</v>
      </c>
      <c r="G436" s="91" t="s">
        <v>632</v>
      </c>
      <c r="H436" s="92" t="s">
        <v>227</v>
      </c>
      <c r="I436" s="86"/>
    </row>
    <row r="437" spans="2:9" ht="15" hidden="1" customHeight="1" x14ac:dyDescent="0.35">
      <c r="B437" s="96" t="s">
        <v>162</v>
      </c>
      <c r="C437" s="91" t="s">
        <v>728</v>
      </c>
      <c r="D437" s="91"/>
      <c r="E437" s="91" t="s">
        <v>623</v>
      </c>
      <c r="F437" s="91" t="s">
        <v>631</v>
      </c>
      <c r="G437" s="91" t="s">
        <v>632</v>
      </c>
      <c r="H437" s="92" t="s">
        <v>227</v>
      </c>
      <c r="I437" s="86"/>
    </row>
    <row r="438" spans="2:9" ht="15" hidden="1" customHeight="1" x14ac:dyDescent="0.35">
      <c r="B438" s="96" t="s">
        <v>162</v>
      </c>
      <c r="C438" s="91" t="s">
        <v>729</v>
      </c>
      <c r="D438" s="91"/>
      <c r="E438" s="91" t="s">
        <v>623</v>
      </c>
      <c r="F438" s="91" t="s">
        <v>631</v>
      </c>
      <c r="G438" s="91" t="s">
        <v>632</v>
      </c>
      <c r="H438" s="92" t="s">
        <v>227</v>
      </c>
      <c r="I438" s="86"/>
    </row>
    <row r="439" spans="2:9" ht="15" hidden="1" customHeight="1" x14ac:dyDescent="0.35">
      <c r="B439" s="96" t="s">
        <v>162</v>
      </c>
      <c r="C439" s="91" t="s">
        <v>730</v>
      </c>
      <c r="D439" s="91"/>
      <c r="E439" s="91" t="s">
        <v>623</v>
      </c>
      <c r="F439" s="91" t="s">
        <v>631</v>
      </c>
      <c r="G439" s="91" t="s">
        <v>632</v>
      </c>
      <c r="H439" s="92" t="s">
        <v>227</v>
      </c>
      <c r="I439" s="86"/>
    </row>
    <row r="440" spans="2:9" ht="15" hidden="1" customHeight="1" x14ac:dyDescent="0.35">
      <c r="B440" s="96" t="s">
        <v>162</v>
      </c>
      <c r="C440" s="91" t="s">
        <v>731</v>
      </c>
      <c r="D440" s="91"/>
      <c r="E440" s="91" t="s">
        <v>623</v>
      </c>
      <c r="F440" s="91" t="s">
        <v>631</v>
      </c>
      <c r="G440" s="91" t="s">
        <v>632</v>
      </c>
      <c r="H440" s="92" t="s">
        <v>227</v>
      </c>
      <c r="I440" s="86"/>
    </row>
    <row r="441" spans="2:9" ht="15" hidden="1" customHeight="1" x14ac:dyDescent="0.35">
      <c r="B441" s="96" t="s">
        <v>162</v>
      </c>
      <c r="C441" s="91" t="s">
        <v>732</v>
      </c>
      <c r="D441" s="91"/>
      <c r="E441" s="91" t="s">
        <v>623</v>
      </c>
      <c r="F441" s="91" t="s">
        <v>631</v>
      </c>
      <c r="G441" s="91" t="s">
        <v>632</v>
      </c>
      <c r="H441" s="92" t="s">
        <v>227</v>
      </c>
      <c r="I441" s="86"/>
    </row>
    <row r="442" spans="2:9" ht="15" hidden="1" customHeight="1" x14ac:dyDescent="0.35">
      <c r="B442" s="96" t="s">
        <v>162</v>
      </c>
      <c r="C442" s="91" t="s">
        <v>733</v>
      </c>
      <c r="D442" s="91"/>
      <c r="E442" s="91" t="s">
        <v>623</v>
      </c>
      <c r="F442" s="91" t="s">
        <v>631</v>
      </c>
      <c r="G442" s="91" t="s">
        <v>632</v>
      </c>
      <c r="H442" s="92" t="s">
        <v>227</v>
      </c>
      <c r="I442" s="86"/>
    </row>
    <row r="443" spans="2:9" ht="15" hidden="1" customHeight="1" x14ac:dyDescent="0.35">
      <c r="B443" s="96" t="s">
        <v>162</v>
      </c>
      <c r="C443" s="91" t="s">
        <v>734</v>
      </c>
      <c r="D443" s="91"/>
      <c r="E443" s="91" t="s">
        <v>623</v>
      </c>
      <c r="F443" s="91" t="s">
        <v>631</v>
      </c>
      <c r="G443" s="91" t="s">
        <v>632</v>
      </c>
      <c r="H443" s="92" t="s">
        <v>227</v>
      </c>
      <c r="I443" s="86"/>
    </row>
    <row r="444" spans="2:9" ht="15" hidden="1" customHeight="1" x14ac:dyDescent="0.35">
      <c r="B444" s="96" t="s">
        <v>162</v>
      </c>
      <c r="C444" s="91" t="s">
        <v>735</v>
      </c>
      <c r="D444" s="91"/>
      <c r="E444" s="91" t="s">
        <v>623</v>
      </c>
      <c r="F444" s="91" t="s">
        <v>631</v>
      </c>
      <c r="G444" s="91" t="s">
        <v>632</v>
      </c>
      <c r="H444" s="92" t="s">
        <v>227</v>
      </c>
      <c r="I444" s="86"/>
    </row>
    <row r="445" spans="2:9" ht="15" hidden="1" customHeight="1" x14ac:dyDescent="0.35">
      <c r="B445" s="96" t="s">
        <v>162</v>
      </c>
      <c r="C445" s="91" t="s">
        <v>736</v>
      </c>
      <c r="D445" s="91"/>
      <c r="E445" s="91" t="s">
        <v>623</v>
      </c>
      <c r="F445" s="91" t="s">
        <v>631</v>
      </c>
      <c r="G445" s="91" t="s">
        <v>632</v>
      </c>
      <c r="H445" s="92" t="s">
        <v>227</v>
      </c>
      <c r="I445" s="86"/>
    </row>
    <row r="446" spans="2:9" ht="15" hidden="1" customHeight="1" x14ac:dyDescent="0.35">
      <c r="B446" s="96" t="s">
        <v>162</v>
      </c>
      <c r="C446" s="91" t="s">
        <v>737</v>
      </c>
      <c r="D446" s="91"/>
      <c r="E446" s="91" t="s">
        <v>623</v>
      </c>
      <c r="F446" s="91" t="s">
        <v>631</v>
      </c>
      <c r="G446" s="91" t="s">
        <v>632</v>
      </c>
      <c r="H446" s="92" t="s">
        <v>227</v>
      </c>
      <c r="I446" s="86"/>
    </row>
    <row r="447" spans="2:9" ht="15" hidden="1" customHeight="1" x14ac:dyDescent="0.35">
      <c r="B447" s="96" t="s">
        <v>162</v>
      </c>
      <c r="C447" s="91" t="s">
        <v>738</v>
      </c>
      <c r="D447" s="91"/>
      <c r="E447" s="91" t="s">
        <v>623</v>
      </c>
      <c r="F447" s="91" t="s">
        <v>631</v>
      </c>
      <c r="G447" s="91" t="s">
        <v>632</v>
      </c>
      <c r="H447" s="92" t="s">
        <v>227</v>
      </c>
      <c r="I447" s="86"/>
    </row>
    <row r="448" spans="2:9" ht="15" hidden="1" customHeight="1" x14ac:dyDescent="0.35">
      <c r="B448" s="96" t="s">
        <v>162</v>
      </c>
      <c r="C448" s="91" t="s">
        <v>739</v>
      </c>
      <c r="D448" s="91"/>
      <c r="E448" s="91" t="s">
        <v>623</v>
      </c>
      <c r="F448" s="91" t="s">
        <v>631</v>
      </c>
      <c r="G448" s="91" t="s">
        <v>632</v>
      </c>
      <c r="H448" s="92" t="s">
        <v>227</v>
      </c>
      <c r="I448" s="86"/>
    </row>
    <row r="449" spans="2:9" ht="15" hidden="1" customHeight="1" x14ac:dyDescent="0.35">
      <c r="B449" s="96" t="s">
        <v>162</v>
      </c>
      <c r="C449" s="91" t="s">
        <v>740</v>
      </c>
      <c r="D449" s="91"/>
      <c r="E449" s="91" t="s">
        <v>623</v>
      </c>
      <c r="F449" s="91" t="s">
        <v>631</v>
      </c>
      <c r="G449" s="91" t="s">
        <v>632</v>
      </c>
      <c r="H449" s="92" t="s">
        <v>227</v>
      </c>
      <c r="I449" s="86"/>
    </row>
    <row r="450" spans="2:9" ht="15" hidden="1" customHeight="1" x14ac:dyDescent="0.35">
      <c r="B450" s="96" t="s">
        <v>162</v>
      </c>
      <c r="C450" s="91" t="s">
        <v>741</v>
      </c>
      <c r="D450" s="91"/>
      <c r="E450" s="91" t="s">
        <v>623</v>
      </c>
      <c r="F450" s="91" t="s">
        <v>631</v>
      </c>
      <c r="G450" s="91" t="s">
        <v>634</v>
      </c>
      <c r="H450" s="92" t="s">
        <v>227</v>
      </c>
      <c r="I450" s="86"/>
    </row>
    <row r="451" spans="2:9" ht="15" hidden="1" customHeight="1" x14ac:dyDescent="0.35">
      <c r="B451" s="96" t="s">
        <v>162</v>
      </c>
      <c r="C451" s="91" t="s">
        <v>742</v>
      </c>
      <c r="D451" s="91"/>
      <c r="E451" s="91" t="s">
        <v>623</v>
      </c>
      <c r="F451" s="91" t="s">
        <v>635</v>
      </c>
      <c r="G451" s="91" t="s">
        <v>181</v>
      </c>
      <c r="H451" s="92" t="s">
        <v>227</v>
      </c>
      <c r="I451" s="86"/>
    </row>
    <row r="452" spans="2:9" ht="15" hidden="1" customHeight="1" x14ac:dyDescent="0.35">
      <c r="B452" s="96" t="s">
        <v>162</v>
      </c>
      <c r="C452" s="91" t="s">
        <v>743</v>
      </c>
      <c r="D452" s="91"/>
      <c r="E452" s="91" t="s">
        <v>623</v>
      </c>
      <c r="F452" s="91" t="s">
        <v>635</v>
      </c>
      <c r="G452" s="91" t="s">
        <v>187</v>
      </c>
      <c r="H452" s="92" t="s">
        <v>227</v>
      </c>
      <c r="I452" s="86"/>
    </row>
    <row r="453" spans="2:9" ht="15" hidden="1" customHeight="1" x14ac:dyDescent="0.35">
      <c r="B453" s="96" t="s">
        <v>162</v>
      </c>
      <c r="C453" s="91" t="s">
        <v>744</v>
      </c>
      <c r="D453" s="91"/>
      <c r="E453" s="91" t="s">
        <v>623</v>
      </c>
      <c r="F453" s="91" t="s">
        <v>635</v>
      </c>
      <c r="G453" s="91" t="s">
        <v>300</v>
      </c>
      <c r="H453" s="92" t="s">
        <v>227</v>
      </c>
      <c r="I453" s="86"/>
    </row>
    <row r="454" spans="2:9" ht="15" hidden="1" customHeight="1" x14ac:dyDescent="0.35">
      <c r="B454" s="96" t="s">
        <v>171</v>
      </c>
      <c r="C454" s="91" t="s">
        <v>745</v>
      </c>
      <c r="D454" s="91" t="str">
        <f>VLOOKUP(C454,'[1]Birbank İşçi Siyahı'!$B:$I,8,)</f>
        <v>Bir Payment</v>
      </c>
      <c r="E454" s="91" t="s">
        <v>623</v>
      </c>
      <c r="F454" s="91" t="s">
        <v>635</v>
      </c>
      <c r="G454" s="91" t="s">
        <v>187</v>
      </c>
      <c r="H454" s="92" t="s">
        <v>227</v>
      </c>
      <c r="I454" s="86"/>
    </row>
    <row r="455" spans="2:9" ht="15" hidden="1" customHeight="1" x14ac:dyDescent="0.35">
      <c r="B455" s="96" t="s">
        <v>162</v>
      </c>
      <c r="C455" s="91" t="s">
        <v>746</v>
      </c>
      <c r="D455" s="91"/>
      <c r="E455" s="91" t="s">
        <v>623</v>
      </c>
      <c r="F455" s="91" t="s">
        <v>635</v>
      </c>
      <c r="G455" s="91" t="s">
        <v>300</v>
      </c>
      <c r="H455" s="92" t="s">
        <v>227</v>
      </c>
      <c r="I455" s="86"/>
    </row>
    <row r="456" spans="2:9" ht="15" hidden="1" customHeight="1" x14ac:dyDescent="0.35">
      <c r="B456" s="96" t="s">
        <v>162</v>
      </c>
      <c r="C456" s="91" t="s">
        <v>747</v>
      </c>
      <c r="D456" s="91"/>
      <c r="E456" s="91" t="s">
        <v>623</v>
      </c>
      <c r="F456" s="91" t="s">
        <v>635</v>
      </c>
      <c r="G456" s="91" t="s">
        <v>183</v>
      </c>
      <c r="H456" s="92" t="s">
        <v>227</v>
      </c>
      <c r="I456" s="86"/>
    </row>
    <row r="457" spans="2:9" ht="15" hidden="1" customHeight="1" x14ac:dyDescent="0.35">
      <c r="B457" s="96" t="s">
        <v>162</v>
      </c>
      <c r="C457" s="91" t="s">
        <v>748</v>
      </c>
      <c r="D457" s="91"/>
      <c r="E457" s="91" t="s">
        <v>623</v>
      </c>
      <c r="F457" s="91" t="s">
        <v>635</v>
      </c>
      <c r="G457" s="91" t="s">
        <v>636</v>
      </c>
      <c r="H457" s="92" t="s">
        <v>227</v>
      </c>
      <c r="I457" s="86"/>
    </row>
    <row r="458" spans="2:9" ht="15" hidden="1" customHeight="1" x14ac:dyDescent="0.35">
      <c r="B458" s="96" t="s">
        <v>162</v>
      </c>
      <c r="C458" s="91" t="s">
        <v>749</v>
      </c>
      <c r="D458" s="91"/>
      <c r="E458" s="91" t="s">
        <v>623</v>
      </c>
      <c r="F458" s="91" t="s">
        <v>637</v>
      </c>
      <c r="G458" s="91" t="s">
        <v>183</v>
      </c>
      <c r="H458" s="92" t="s">
        <v>227</v>
      </c>
      <c r="I458" s="86"/>
    </row>
    <row r="459" spans="2:9" ht="15" hidden="1" customHeight="1" x14ac:dyDescent="0.35">
      <c r="B459" s="96" t="s">
        <v>162</v>
      </c>
      <c r="C459" s="91" t="s">
        <v>750</v>
      </c>
      <c r="D459" s="91"/>
      <c r="E459" s="91" t="s">
        <v>623</v>
      </c>
      <c r="F459" s="91" t="s">
        <v>635</v>
      </c>
      <c r="G459" s="91" t="s">
        <v>183</v>
      </c>
      <c r="H459" s="92" t="s">
        <v>227</v>
      </c>
      <c r="I459" s="86"/>
    </row>
    <row r="460" spans="2:9" ht="15" hidden="1" customHeight="1" x14ac:dyDescent="0.35">
      <c r="B460" s="96" t="s">
        <v>162</v>
      </c>
      <c r="C460" s="91" t="s">
        <v>751</v>
      </c>
      <c r="D460" s="91"/>
      <c r="E460" s="91" t="s">
        <v>623</v>
      </c>
      <c r="F460" s="91" t="s">
        <v>635</v>
      </c>
      <c r="G460" s="91" t="s">
        <v>183</v>
      </c>
      <c r="H460" s="92" t="s">
        <v>227</v>
      </c>
      <c r="I460" s="86"/>
    </row>
    <row r="461" spans="2:9" ht="15" hidden="1" customHeight="1" x14ac:dyDescent="0.35">
      <c r="B461" s="96" t="s">
        <v>162</v>
      </c>
      <c r="C461" s="91" t="s">
        <v>752</v>
      </c>
      <c r="D461" s="91"/>
      <c r="E461" s="91" t="s">
        <v>623</v>
      </c>
      <c r="F461" s="91" t="s">
        <v>635</v>
      </c>
      <c r="G461" s="91" t="s">
        <v>183</v>
      </c>
      <c r="H461" s="92" t="s">
        <v>227</v>
      </c>
      <c r="I461" s="86"/>
    </row>
    <row r="462" spans="2:9" ht="15" hidden="1" customHeight="1" x14ac:dyDescent="0.35">
      <c r="B462" s="96" t="s">
        <v>162</v>
      </c>
      <c r="C462" s="91" t="s">
        <v>753</v>
      </c>
      <c r="D462" s="91"/>
      <c r="E462" s="91" t="s">
        <v>623</v>
      </c>
      <c r="F462" s="91" t="s">
        <v>635</v>
      </c>
      <c r="G462" s="91" t="s">
        <v>183</v>
      </c>
      <c r="H462" s="92" t="s">
        <v>227</v>
      </c>
      <c r="I462" s="86"/>
    </row>
    <row r="463" spans="2:9" ht="15" hidden="1" customHeight="1" x14ac:dyDescent="0.35">
      <c r="B463" s="96" t="s">
        <v>162</v>
      </c>
      <c r="C463" s="91" t="s">
        <v>754</v>
      </c>
      <c r="D463" s="91"/>
      <c r="E463" s="91" t="s">
        <v>623</v>
      </c>
      <c r="F463" s="91" t="s">
        <v>635</v>
      </c>
      <c r="G463" s="91" t="s">
        <v>183</v>
      </c>
      <c r="H463" s="92" t="s">
        <v>227</v>
      </c>
      <c r="I463" s="86"/>
    </row>
    <row r="464" spans="2:9" ht="15" hidden="1" customHeight="1" x14ac:dyDescent="0.35">
      <c r="B464" s="96" t="s">
        <v>171</v>
      </c>
      <c r="C464" s="91" t="s">
        <v>755</v>
      </c>
      <c r="D464" s="91" t="str">
        <f>VLOOKUP(C464,'[1]Birbank İşçi Siyahı'!$B:$I,8,)</f>
        <v>Bir Payment</v>
      </c>
      <c r="E464" s="91" t="s">
        <v>623</v>
      </c>
      <c r="F464" s="91" t="s">
        <v>635</v>
      </c>
      <c r="G464" s="91" t="s">
        <v>183</v>
      </c>
      <c r="H464" s="92" t="s">
        <v>227</v>
      </c>
      <c r="I464" s="86"/>
    </row>
    <row r="465" spans="2:9" ht="15" hidden="1" customHeight="1" x14ac:dyDescent="0.35">
      <c r="B465" s="96" t="s">
        <v>164</v>
      </c>
      <c r="C465" s="91" t="s">
        <v>756</v>
      </c>
      <c r="D465" s="91" t="str">
        <f>VLOOKUP(C465,'[1]Birbank İşçi Siyahı'!$B:$I,8,)</f>
        <v>BirMarket</v>
      </c>
      <c r="E465" s="91" t="s">
        <v>623</v>
      </c>
      <c r="F465" s="91" t="s">
        <v>635</v>
      </c>
      <c r="G465" s="91" t="s">
        <v>183</v>
      </c>
      <c r="H465" s="92" t="s">
        <v>227</v>
      </c>
      <c r="I465" s="86"/>
    </row>
    <row r="466" spans="2:9" ht="15" hidden="1" customHeight="1" x14ac:dyDescent="0.35">
      <c r="B466" s="96" t="s">
        <v>162</v>
      </c>
      <c r="C466" s="91" t="s">
        <v>757</v>
      </c>
      <c r="D466" s="91"/>
      <c r="E466" s="91" t="s">
        <v>623</v>
      </c>
      <c r="F466" s="91" t="s">
        <v>635</v>
      </c>
      <c r="G466" s="91" t="s">
        <v>638</v>
      </c>
      <c r="H466" s="92" t="s">
        <v>227</v>
      </c>
      <c r="I466" s="86"/>
    </row>
    <row r="467" spans="2:9" ht="15" hidden="1" customHeight="1" x14ac:dyDescent="0.35">
      <c r="B467" s="96" t="s">
        <v>162</v>
      </c>
      <c r="C467" s="91" t="s">
        <v>758</v>
      </c>
      <c r="D467" s="91"/>
      <c r="E467" s="91" t="s">
        <v>623</v>
      </c>
      <c r="F467" s="91" t="s">
        <v>635</v>
      </c>
      <c r="G467" s="91" t="s">
        <v>638</v>
      </c>
      <c r="H467" s="92" t="s">
        <v>227</v>
      </c>
      <c r="I467" s="86"/>
    </row>
    <row r="468" spans="2:9" ht="15" hidden="1" customHeight="1" x14ac:dyDescent="0.35">
      <c r="B468" s="96" t="s">
        <v>162</v>
      </c>
      <c r="C468" s="91" t="s">
        <v>759</v>
      </c>
      <c r="D468" s="91"/>
      <c r="E468" s="91" t="s">
        <v>623</v>
      </c>
      <c r="F468" s="91" t="s">
        <v>635</v>
      </c>
      <c r="G468" s="91" t="s">
        <v>638</v>
      </c>
      <c r="H468" s="92" t="s">
        <v>227</v>
      </c>
      <c r="I468" s="86"/>
    </row>
    <row r="469" spans="2:9" ht="15" hidden="1" customHeight="1" x14ac:dyDescent="0.35">
      <c r="B469" s="96" t="s">
        <v>162</v>
      </c>
      <c r="C469" s="91" t="s">
        <v>760</v>
      </c>
      <c r="D469" s="91"/>
      <c r="E469" s="91" t="s">
        <v>623</v>
      </c>
      <c r="F469" s="91" t="s">
        <v>635</v>
      </c>
      <c r="G469" s="91" t="s">
        <v>636</v>
      </c>
      <c r="H469" s="92" t="s">
        <v>227</v>
      </c>
      <c r="I469" s="86"/>
    </row>
    <row r="470" spans="2:9" ht="15" hidden="1" customHeight="1" x14ac:dyDescent="0.35">
      <c r="B470" s="96" t="s">
        <v>162</v>
      </c>
      <c r="C470" s="91" t="s">
        <v>761</v>
      </c>
      <c r="D470" s="91"/>
      <c r="E470" s="91" t="s">
        <v>623</v>
      </c>
      <c r="F470" s="91" t="s">
        <v>635</v>
      </c>
      <c r="G470" s="91" t="s">
        <v>184</v>
      </c>
      <c r="H470" s="92" t="s">
        <v>227</v>
      </c>
      <c r="I470" s="86"/>
    </row>
    <row r="471" spans="2:9" ht="15" hidden="1" customHeight="1" x14ac:dyDescent="0.35">
      <c r="B471" s="96" t="s">
        <v>162</v>
      </c>
      <c r="C471" s="91" t="s">
        <v>762</v>
      </c>
      <c r="D471" s="91"/>
      <c r="E471" s="91" t="s">
        <v>623</v>
      </c>
      <c r="F471" s="91" t="s">
        <v>635</v>
      </c>
      <c r="G471" s="91" t="s">
        <v>184</v>
      </c>
      <c r="H471" s="92" t="s">
        <v>227</v>
      </c>
      <c r="I471" s="86"/>
    </row>
    <row r="472" spans="2:9" ht="15" hidden="1" customHeight="1" x14ac:dyDescent="0.35">
      <c r="B472" s="96" t="s">
        <v>162</v>
      </c>
      <c r="C472" s="91" t="s">
        <v>763</v>
      </c>
      <c r="D472" s="91"/>
      <c r="E472" s="91" t="s">
        <v>623</v>
      </c>
      <c r="F472" s="91" t="s">
        <v>635</v>
      </c>
      <c r="G472" s="91" t="s">
        <v>184</v>
      </c>
      <c r="H472" s="92" t="s">
        <v>227</v>
      </c>
      <c r="I472" s="86"/>
    </row>
    <row r="473" spans="2:9" ht="15" hidden="1" customHeight="1" x14ac:dyDescent="0.35">
      <c r="B473" s="96" t="s">
        <v>162</v>
      </c>
      <c r="C473" s="91" t="s">
        <v>764</v>
      </c>
      <c r="D473" s="91"/>
      <c r="E473" s="91" t="s">
        <v>623</v>
      </c>
      <c r="F473" s="91" t="s">
        <v>635</v>
      </c>
      <c r="G473" s="91" t="s">
        <v>184</v>
      </c>
      <c r="H473" s="92" t="s">
        <v>227</v>
      </c>
      <c r="I473" s="86"/>
    </row>
    <row r="474" spans="2:9" ht="15" hidden="1" customHeight="1" x14ac:dyDescent="0.35">
      <c r="B474" s="96" t="s">
        <v>171</v>
      </c>
      <c r="C474" s="91" t="s">
        <v>765</v>
      </c>
      <c r="D474" s="91" t="str">
        <f>VLOOKUP(C474,'[1]Birbank İşçi Siyahı'!$B:$I,8,)</f>
        <v>Bir Payment</v>
      </c>
      <c r="E474" s="91" t="s">
        <v>623</v>
      </c>
      <c r="F474" s="91" t="s">
        <v>635</v>
      </c>
      <c r="G474" s="91" t="s">
        <v>188</v>
      </c>
      <c r="H474" s="92" t="s">
        <v>227</v>
      </c>
      <c r="I474" s="86"/>
    </row>
    <row r="475" spans="2:9" ht="15" hidden="1" customHeight="1" x14ac:dyDescent="0.35">
      <c r="B475" s="96" t="s">
        <v>162</v>
      </c>
      <c r="C475" s="91" t="s">
        <v>766</v>
      </c>
      <c r="D475" s="91"/>
      <c r="E475" s="91" t="s">
        <v>623</v>
      </c>
      <c r="F475" s="91" t="s">
        <v>637</v>
      </c>
      <c r="G475" s="91" t="s">
        <v>181</v>
      </c>
      <c r="H475" s="92" t="s">
        <v>227</v>
      </c>
      <c r="I475" s="86"/>
    </row>
    <row r="476" spans="2:9" ht="15" hidden="1" customHeight="1" x14ac:dyDescent="0.35">
      <c r="B476" s="96" t="s">
        <v>162</v>
      </c>
      <c r="C476" s="91" t="s">
        <v>767</v>
      </c>
      <c r="D476" s="91"/>
      <c r="E476" s="91" t="s">
        <v>623</v>
      </c>
      <c r="F476" s="91" t="s">
        <v>637</v>
      </c>
      <c r="G476" s="91" t="s">
        <v>187</v>
      </c>
      <c r="H476" s="92" t="s">
        <v>227</v>
      </c>
      <c r="I476" s="86"/>
    </row>
    <row r="477" spans="2:9" ht="15" hidden="1" customHeight="1" x14ac:dyDescent="0.35">
      <c r="B477" s="96" t="s">
        <v>162</v>
      </c>
      <c r="C477" s="91" t="s">
        <v>768</v>
      </c>
      <c r="D477" s="91"/>
      <c r="E477" s="91" t="s">
        <v>623</v>
      </c>
      <c r="F477" s="91" t="s">
        <v>635</v>
      </c>
      <c r="G477" s="91" t="s">
        <v>187</v>
      </c>
      <c r="H477" s="92" t="s">
        <v>227</v>
      </c>
      <c r="I477" s="86"/>
    </row>
    <row r="478" spans="2:9" ht="15" hidden="1" customHeight="1" x14ac:dyDescent="0.35">
      <c r="B478" s="96" t="s">
        <v>162</v>
      </c>
      <c r="C478" s="91" t="s">
        <v>769</v>
      </c>
      <c r="D478" s="91"/>
      <c r="E478" s="91" t="s">
        <v>623</v>
      </c>
      <c r="F478" s="91" t="s">
        <v>635</v>
      </c>
      <c r="G478" s="91" t="s">
        <v>300</v>
      </c>
      <c r="H478" s="92" t="s">
        <v>227</v>
      </c>
      <c r="I478" s="86"/>
    </row>
    <row r="479" spans="2:9" ht="15" hidden="1" customHeight="1" x14ac:dyDescent="0.35">
      <c r="B479" s="96" t="s">
        <v>162</v>
      </c>
      <c r="C479" s="91" t="s">
        <v>770</v>
      </c>
      <c r="D479" s="91"/>
      <c r="E479" s="91" t="s">
        <v>623</v>
      </c>
      <c r="F479" s="91" t="s">
        <v>635</v>
      </c>
      <c r="G479" s="91" t="s">
        <v>300</v>
      </c>
      <c r="H479" s="92" t="s">
        <v>227</v>
      </c>
      <c r="I479" s="86"/>
    </row>
    <row r="480" spans="2:9" ht="15" hidden="1" customHeight="1" x14ac:dyDescent="0.35">
      <c r="B480" s="96" t="s">
        <v>162</v>
      </c>
      <c r="C480" s="91" t="s">
        <v>771</v>
      </c>
      <c r="D480" s="91"/>
      <c r="E480" s="91" t="s">
        <v>623</v>
      </c>
      <c r="F480" s="91" t="s">
        <v>637</v>
      </c>
      <c r="G480" s="91" t="s">
        <v>300</v>
      </c>
      <c r="H480" s="92" t="s">
        <v>227</v>
      </c>
      <c r="I480" s="86"/>
    </row>
    <row r="481" spans="2:9" ht="15" hidden="1" customHeight="1" x14ac:dyDescent="0.35">
      <c r="B481" s="96" t="s">
        <v>162</v>
      </c>
      <c r="C481" s="91" t="s">
        <v>772</v>
      </c>
      <c r="D481" s="91"/>
      <c r="E481" s="91" t="s">
        <v>623</v>
      </c>
      <c r="F481" s="91" t="s">
        <v>637</v>
      </c>
      <c r="G481" s="91" t="s">
        <v>183</v>
      </c>
      <c r="H481" s="92" t="s">
        <v>227</v>
      </c>
      <c r="I481" s="86"/>
    </row>
    <row r="482" spans="2:9" ht="15" hidden="1" customHeight="1" x14ac:dyDescent="0.35">
      <c r="B482" s="96" t="s">
        <v>162</v>
      </c>
      <c r="C482" s="91" t="s">
        <v>773</v>
      </c>
      <c r="D482" s="91"/>
      <c r="E482" s="91" t="s">
        <v>623</v>
      </c>
      <c r="F482" s="91" t="s">
        <v>637</v>
      </c>
      <c r="G482" s="91" t="s">
        <v>183</v>
      </c>
      <c r="H482" s="92" t="s">
        <v>227</v>
      </c>
      <c r="I482" s="86"/>
    </row>
    <row r="483" spans="2:9" ht="15" hidden="1" customHeight="1" x14ac:dyDescent="0.35">
      <c r="B483" s="96" t="s">
        <v>162</v>
      </c>
      <c r="C483" s="91" t="s">
        <v>774</v>
      </c>
      <c r="D483" s="91"/>
      <c r="E483" s="91" t="s">
        <v>623</v>
      </c>
      <c r="F483" s="91" t="s">
        <v>637</v>
      </c>
      <c r="G483" s="91" t="s">
        <v>183</v>
      </c>
      <c r="H483" s="92" t="s">
        <v>227</v>
      </c>
      <c r="I483" s="86"/>
    </row>
    <row r="484" spans="2:9" ht="15" hidden="1" customHeight="1" x14ac:dyDescent="0.35">
      <c r="B484" s="96" t="s">
        <v>162</v>
      </c>
      <c r="C484" s="91" t="s">
        <v>775</v>
      </c>
      <c r="D484" s="91" t="e">
        <f>VLOOKUP(C484,'[1]Birbank İşçi Siyahı'!$B:$I,8,)</f>
        <v>#N/A</v>
      </c>
      <c r="E484" s="91" t="s">
        <v>623</v>
      </c>
      <c r="F484" s="91" t="s">
        <v>635</v>
      </c>
      <c r="G484" s="91" t="s">
        <v>183</v>
      </c>
      <c r="H484" s="92" t="s">
        <v>226</v>
      </c>
      <c r="I484" s="86"/>
    </row>
    <row r="485" spans="2:9" ht="15" hidden="1" customHeight="1" x14ac:dyDescent="0.35">
      <c r="B485" s="96" t="s">
        <v>162</v>
      </c>
      <c r="C485" s="91" t="s">
        <v>776</v>
      </c>
      <c r="D485" s="91"/>
      <c r="E485" s="91" t="s">
        <v>623</v>
      </c>
      <c r="F485" s="91" t="s">
        <v>635</v>
      </c>
      <c r="G485" s="91" t="s">
        <v>183</v>
      </c>
      <c r="H485" s="92" t="s">
        <v>227</v>
      </c>
      <c r="I485" s="86"/>
    </row>
    <row r="486" spans="2:9" ht="15" hidden="1" customHeight="1" x14ac:dyDescent="0.35">
      <c r="B486" s="96" t="s">
        <v>162</v>
      </c>
      <c r="C486" s="91" t="s">
        <v>777</v>
      </c>
      <c r="D486" s="91"/>
      <c r="E486" s="91" t="s">
        <v>623</v>
      </c>
      <c r="F486" s="91" t="s">
        <v>635</v>
      </c>
      <c r="G486" s="91" t="s">
        <v>183</v>
      </c>
      <c r="H486" s="92" t="s">
        <v>227</v>
      </c>
      <c r="I486" s="86"/>
    </row>
    <row r="487" spans="2:9" ht="15" hidden="1" customHeight="1" x14ac:dyDescent="0.35">
      <c r="B487" s="96" t="s">
        <v>162</v>
      </c>
      <c r="C487" s="91" t="s">
        <v>778</v>
      </c>
      <c r="D487" s="91"/>
      <c r="E487" s="91" t="s">
        <v>623</v>
      </c>
      <c r="F487" s="91" t="s">
        <v>637</v>
      </c>
      <c r="G487" s="91" t="s">
        <v>183</v>
      </c>
      <c r="H487" s="92" t="s">
        <v>227</v>
      </c>
      <c r="I487" s="86"/>
    </row>
    <row r="488" spans="2:9" ht="15" hidden="1" customHeight="1" x14ac:dyDescent="0.35">
      <c r="B488" s="96" t="s">
        <v>162</v>
      </c>
      <c r="C488" s="91" t="s">
        <v>779</v>
      </c>
      <c r="D488" s="91"/>
      <c r="E488" s="91" t="s">
        <v>623</v>
      </c>
      <c r="F488" s="91" t="s">
        <v>637</v>
      </c>
      <c r="G488" s="91" t="s">
        <v>639</v>
      </c>
      <c r="H488" s="92" t="s">
        <v>227</v>
      </c>
      <c r="I488" s="86"/>
    </row>
    <row r="489" spans="2:9" ht="15" hidden="1" customHeight="1" x14ac:dyDescent="0.35">
      <c r="B489" s="96" t="s">
        <v>162</v>
      </c>
      <c r="C489" s="91" t="s">
        <v>780</v>
      </c>
      <c r="D489" s="91"/>
      <c r="E489" s="91" t="s">
        <v>623</v>
      </c>
      <c r="F489" s="91" t="s">
        <v>637</v>
      </c>
      <c r="G489" s="91" t="s">
        <v>183</v>
      </c>
      <c r="H489" s="92" t="s">
        <v>227</v>
      </c>
      <c r="I489" s="86"/>
    </row>
    <row r="490" spans="2:9" ht="15" hidden="1" customHeight="1" x14ac:dyDescent="0.35">
      <c r="B490" s="96" t="s">
        <v>162</v>
      </c>
      <c r="C490" s="91" t="s">
        <v>781</v>
      </c>
      <c r="D490" s="91"/>
      <c r="E490" s="91" t="s">
        <v>623</v>
      </c>
      <c r="F490" s="91" t="s">
        <v>637</v>
      </c>
      <c r="G490" s="91" t="s">
        <v>184</v>
      </c>
      <c r="H490" s="92" t="s">
        <v>227</v>
      </c>
      <c r="I490" s="86"/>
    </row>
    <row r="491" spans="2:9" ht="15" hidden="1" customHeight="1" x14ac:dyDescent="0.35">
      <c r="B491" s="96" t="s">
        <v>162</v>
      </c>
      <c r="C491" s="91" t="s">
        <v>782</v>
      </c>
      <c r="D491" s="91"/>
      <c r="E491" s="91" t="s">
        <v>623</v>
      </c>
      <c r="F491" s="91" t="s">
        <v>637</v>
      </c>
      <c r="G491" s="91" t="s">
        <v>184</v>
      </c>
      <c r="H491" s="92" t="s">
        <v>227</v>
      </c>
      <c r="I491" s="86"/>
    </row>
    <row r="492" spans="2:9" ht="15" hidden="1" customHeight="1" x14ac:dyDescent="0.35">
      <c r="B492" s="96" t="s">
        <v>162</v>
      </c>
      <c r="C492" s="91" t="s">
        <v>783</v>
      </c>
      <c r="D492" s="91"/>
      <c r="E492" s="91" t="s">
        <v>623</v>
      </c>
      <c r="F492" s="91" t="s">
        <v>637</v>
      </c>
      <c r="G492" s="91" t="s">
        <v>638</v>
      </c>
      <c r="H492" s="92" t="s">
        <v>227</v>
      </c>
      <c r="I492" s="86"/>
    </row>
    <row r="493" spans="2:9" ht="15" hidden="1" customHeight="1" x14ac:dyDescent="0.35">
      <c r="B493" s="96" t="s">
        <v>162</v>
      </c>
      <c r="C493" s="91" t="s">
        <v>784</v>
      </c>
      <c r="D493" s="91"/>
      <c r="E493" s="91" t="s">
        <v>623</v>
      </c>
      <c r="F493" s="91" t="s">
        <v>637</v>
      </c>
      <c r="G493" s="91" t="s">
        <v>184</v>
      </c>
      <c r="H493" s="92" t="s">
        <v>227</v>
      </c>
      <c r="I493" s="86"/>
    </row>
    <row r="494" spans="2:9" ht="15" hidden="1" customHeight="1" x14ac:dyDescent="0.35">
      <c r="B494" s="96" t="s">
        <v>162</v>
      </c>
      <c r="C494" s="91" t="s">
        <v>785</v>
      </c>
      <c r="D494" s="91"/>
      <c r="E494" s="91" t="s">
        <v>623</v>
      </c>
      <c r="F494" s="91" t="s">
        <v>635</v>
      </c>
      <c r="G494" s="91" t="s">
        <v>184</v>
      </c>
      <c r="H494" s="92" t="s">
        <v>227</v>
      </c>
      <c r="I494" s="86"/>
    </row>
    <row r="495" spans="2:9" ht="15" hidden="1" customHeight="1" x14ac:dyDescent="0.35">
      <c r="B495" s="96" t="s">
        <v>162</v>
      </c>
      <c r="C495" s="91" t="s">
        <v>786</v>
      </c>
      <c r="D495" s="91"/>
      <c r="E495" s="91" t="s">
        <v>623</v>
      </c>
      <c r="F495" s="91" t="s">
        <v>637</v>
      </c>
      <c r="G495" s="91" t="s">
        <v>184</v>
      </c>
      <c r="H495" s="92" t="s">
        <v>227</v>
      </c>
      <c r="I495" s="86"/>
    </row>
    <row r="496" spans="2:9" ht="15" hidden="1" customHeight="1" x14ac:dyDescent="0.35">
      <c r="B496" s="96" t="s">
        <v>162</v>
      </c>
      <c r="C496" s="91" t="s">
        <v>787</v>
      </c>
      <c r="D496" s="91"/>
      <c r="E496" s="91" t="s">
        <v>623</v>
      </c>
      <c r="F496" s="91" t="s">
        <v>624</v>
      </c>
      <c r="G496" s="91" t="s">
        <v>181</v>
      </c>
      <c r="H496" s="92" t="s">
        <v>227</v>
      </c>
      <c r="I496" s="86"/>
    </row>
    <row r="497" spans="2:9" ht="15" hidden="1" customHeight="1" x14ac:dyDescent="0.35">
      <c r="B497" s="96" t="s">
        <v>162</v>
      </c>
      <c r="C497" s="91" t="s">
        <v>788</v>
      </c>
      <c r="D497" s="91"/>
      <c r="E497" s="91" t="s">
        <v>623</v>
      </c>
      <c r="F497" s="91" t="s">
        <v>624</v>
      </c>
      <c r="G497" s="91" t="s">
        <v>187</v>
      </c>
      <c r="H497" s="92" t="s">
        <v>227</v>
      </c>
      <c r="I497" s="86"/>
    </row>
    <row r="498" spans="2:9" ht="15" hidden="1" customHeight="1" x14ac:dyDescent="0.35">
      <c r="B498" s="96" t="s">
        <v>162</v>
      </c>
      <c r="C498" s="91" t="s">
        <v>789</v>
      </c>
      <c r="D498" s="91"/>
      <c r="E498" s="91" t="s">
        <v>623</v>
      </c>
      <c r="F498" s="91" t="s">
        <v>624</v>
      </c>
      <c r="G498" s="91" t="s">
        <v>300</v>
      </c>
      <c r="H498" s="92" t="s">
        <v>227</v>
      </c>
      <c r="I498" s="86"/>
    </row>
    <row r="499" spans="2:9" ht="15" hidden="1" customHeight="1" x14ac:dyDescent="0.35">
      <c r="B499" s="96" t="s">
        <v>162</v>
      </c>
      <c r="C499" s="91" t="s">
        <v>790</v>
      </c>
      <c r="D499" s="91"/>
      <c r="E499" s="91" t="s">
        <v>623</v>
      </c>
      <c r="F499" s="91" t="s">
        <v>624</v>
      </c>
      <c r="G499" s="91" t="s">
        <v>300</v>
      </c>
      <c r="H499" s="92" t="s">
        <v>227</v>
      </c>
      <c r="I499" s="86"/>
    </row>
    <row r="500" spans="2:9" ht="15" hidden="1" customHeight="1" x14ac:dyDescent="0.35">
      <c r="B500" s="96" t="s">
        <v>162</v>
      </c>
      <c r="C500" s="91" t="s">
        <v>791</v>
      </c>
      <c r="D500" s="91"/>
      <c r="E500" s="91" t="s">
        <v>623</v>
      </c>
      <c r="F500" s="91" t="s">
        <v>624</v>
      </c>
      <c r="G500" s="91" t="s">
        <v>300</v>
      </c>
      <c r="H500" s="92" t="s">
        <v>227</v>
      </c>
      <c r="I500" s="86"/>
    </row>
    <row r="501" spans="2:9" ht="15" hidden="1" customHeight="1" x14ac:dyDescent="0.35">
      <c r="B501" s="96" t="s">
        <v>162</v>
      </c>
      <c r="C501" s="91" t="s">
        <v>792</v>
      </c>
      <c r="D501" s="91"/>
      <c r="E501" s="91" t="s">
        <v>623</v>
      </c>
      <c r="F501" s="91" t="s">
        <v>624</v>
      </c>
      <c r="G501" s="91" t="s">
        <v>184</v>
      </c>
      <c r="H501" s="92" t="s">
        <v>227</v>
      </c>
      <c r="I501" s="86"/>
    </row>
    <row r="502" spans="2:9" ht="15" hidden="1" customHeight="1" x14ac:dyDescent="0.35">
      <c r="B502" s="96" t="s">
        <v>162</v>
      </c>
      <c r="C502" s="91" t="s">
        <v>793</v>
      </c>
      <c r="D502" s="91"/>
      <c r="E502" s="91" t="s">
        <v>623</v>
      </c>
      <c r="F502" s="91" t="s">
        <v>624</v>
      </c>
      <c r="G502" s="91" t="s">
        <v>640</v>
      </c>
      <c r="H502" s="92" t="s">
        <v>227</v>
      </c>
      <c r="I502" s="86"/>
    </row>
    <row r="503" spans="2:9" ht="15" hidden="1" customHeight="1" x14ac:dyDescent="0.35">
      <c r="B503" s="96" t="s">
        <v>162</v>
      </c>
      <c r="C503" s="91" t="s">
        <v>794</v>
      </c>
      <c r="D503" s="91"/>
      <c r="E503" s="91" t="s">
        <v>623</v>
      </c>
      <c r="F503" s="91" t="s">
        <v>637</v>
      </c>
      <c r="G503" s="91" t="s">
        <v>641</v>
      </c>
      <c r="H503" s="92" t="s">
        <v>227</v>
      </c>
      <c r="I503" s="86"/>
    </row>
    <row r="504" spans="2:9" ht="15" hidden="1" customHeight="1" x14ac:dyDescent="0.35">
      <c r="B504" s="96" t="s">
        <v>162</v>
      </c>
      <c r="C504" s="91" t="s">
        <v>795</v>
      </c>
      <c r="D504" s="91"/>
      <c r="E504" s="91" t="s">
        <v>623</v>
      </c>
      <c r="F504" s="91" t="s">
        <v>637</v>
      </c>
      <c r="G504" s="91" t="s">
        <v>641</v>
      </c>
      <c r="H504" s="92" t="s">
        <v>227</v>
      </c>
      <c r="I504" s="86"/>
    </row>
    <row r="505" spans="2:9" ht="15" hidden="1" customHeight="1" x14ac:dyDescent="0.35">
      <c r="B505" s="96" t="s">
        <v>162</v>
      </c>
      <c r="C505" s="91" t="s">
        <v>796</v>
      </c>
      <c r="D505" s="91" t="e">
        <f>VLOOKUP(C505,'[1]Birbank İşçi Siyahı'!$B:$I,8,)</f>
        <v>#N/A</v>
      </c>
      <c r="E505" s="91" t="s">
        <v>623</v>
      </c>
      <c r="F505" s="91" t="s">
        <v>637</v>
      </c>
      <c r="G505" s="91" t="s">
        <v>641</v>
      </c>
      <c r="H505" s="92" t="s">
        <v>226</v>
      </c>
      <c r="I505" s="86"/>
    </row>
    <row r="506" spans="2:9" ht="15" hidden="1" customHeight="1" x14ac:dyDescent="0.35">
      <c r="B506" s="96" t="s">
        <v>162</v>
      </c>
      <c r="C506" s="91" t="s">
        <v>797</v>
      </c>
      <c r="D506" s="91"/>
      <c r="E506" s="91" t="s">
        <v>623</v>
      </c>
      <c r="F506" s="91" t="s">
        <v>637</v>
      </c>
      <c r="G506" s="91" t="s">
        <v>641</v>
      </c>
      <c r="H506" s="92" t="s">
        <v>227</v>
      </c>
      <c r="I506" s="86"/>
    </row>
    <row r="507" spans="2:9" ht="15" hidden="1" customHeight="1" x14ac:dyDescent="0.35">
      <c r="B507" s="96" t="s">
        <v>171</v>
      </c>
      <c r="C507" s="91" t="s">
        <v>798</v>
      </c>
      <c r="D507" s="91" t="str">
        <f>VLOOKUP(C507,'[1]Birbank İşçi Siyahı'!$B:$I,8,)</f>
        <v>Bir Payment</v>
      </c>
      <c r="E507" s="91" t="s">
        <v>623</v>
      </c>
      <c r="F507" s="91" t="s">
        <v>637</v>
      </c>
      <c r="G507" s="91" t="s">
        <v>642</v>
      </c>
      <c r="H507" s="92" t="s">
        <v>227</v>
      </c>
      <c r="I507" s="86"/>
    </row>
    <row r="508" spans="2:9" ht="15" hidden="1" customHeight="1" x14ac:dyDescent="0.35">
      <c r="B508" s="96" t="s">
        <v>171</v>
      </c>
      <c r="C508" s="91" t="s">
        <v>799</v>
      </c>
      <c r="D508" s="91" t="str">
        <f>VLOOKUP(C508,'[1]Birbank İşçi Siyahı'!$B:$I,8,)</f>
        <v>Bir Payment</v>
      </c>
      <c r="E508" s="91" t="s">
        <v>623</v>
      </c>
      <c r="F508" s="91" t="s">
        <v>637</v>
      </c>
      <c r="G508" s="91" t="s">
        <v>642</v>
      </c>
      <c r="H508" s="92" t="s">
        <v>227</v>
      </c>
      <c r="I508" s="86"/>
    </row>
    <row r="509" spans="2:9" ht="15" hidden="1" customHeight="1" x14ac:dyDescent="0.35">
      <c r="B509" s="96" t="s">
        <v>171</v>
      </c>
      <c r="C509" s="91" t="s">
        <v>800</v>
      </c>
      <c r="D509" s="91" t="str">
        <f>VLOOKUP(C509,'[1]Birbank İşçi Siyahı'!$B:$I,8,)</f>
        <v>Bir Payment</v>
      </c>
      <c r="E509" s="91" t="s">
        <v>623</v>
      </c>
      <c r="F509" s="91" t="s">
        <v>637</v>
      </c>
      <c r="G509" s="91" t="s">
        <v>642</v>
      </c>
      <c r="H509" s="92" t="s">
        <v>227</v>
      </c>
      <c r="I509" s="86"/>
    </row>
    <row r="510" spans="2:9" ht="15" hidden="1" customHeight="1" x14ac:dyDescent="0.35">
      <c r="B510" s="96" t="s">
        <v>162</v>
      </c>
      <c r="C510" s="91" t="s">
        <v>801</v>
      </c>
      <c r="D510" s="91"/>
      <c r="E510" s="91" t="s">
        <v>623</v>
      </c>
      <c r="F510" s="91" t="s">
        <v>637</v>
      </c>
      <c r="G510" s="91" t="s">
        <v>641</v>
      </c>
      <c r="H510" s="92" t="s">
        <v>227</v>
      </c>
      <c r="I510" s="86"/>
    </row>
    <row r="511" spans="2:9" ht="15" hidden="1" customHeight="1" x14ac:dyDescent="0.35">
      <c r="B511" s="96" t="s">
        <v>162</v>
      </c>
      <c r="C511" s="92" t="s">
        <v>802</v>
      </c>
      <c r="D511" s="91"/>
      <c r="E511" s="92" t="s">
        <v>803</v>
      </c>
      <c r="F511" s="92" t="s">
        <v>33</v>
      </c>
      <c r="G511" s="92" t="s">
        <v>33</v>
      </c>
      <c r="H511" s="92" t="s">
        <v>227</v>
      </c>
      <c r="I511" s="86"/>
    </row>
    <row r="512" spans="2:9" ht="15" hidden="1" customHeight="1" x14ac:dyDescent="0.35">
      <c r="B512" s="96" t="s">
        <v>162</v>
      </c>
      <c r="C512" s="92" t="s">
        <v>832</v>
      </c>
      <c r="D512" s="91"/>
      <c r="E512" s="92" t="s">
        <v>803</v>
      </c>
      <c r="F512" s="92" t="s">
        <v>33</v>
      </c>
      <c r="G512" s="92" t="s">
        <v>33</v>
      </c>
      <c r="H512" s="92" t="s">
        <v>227</v>
      </c>
      <c r="I512" s="86"/>
    </row>
    <row r="513" spans="2:9" ht="15" hidden="1" customHeight="1" x14ac:dyDescent="0.35">
      <c r="B513" s="96" t="s">
        <v>162</v>
      </c>
      <c r="C513" s="92" t="s">
        <v>833</v>
      </c>
      <c r="D513" s="91"/>
      <c r="E513" s="92" t="s">
        <v>803</v>
      </c>
      <c r="F513" s="92" t="s">
        <v>804</v>
      </c>
      <c r="G513" s="92" t="s">
        <v>33</v>
      </c>
      <c r="H513" s="92" t="s">
        <v>227</v>
      </c>
      <c r="I513" s="86"/>
    </row>
    <row r="514" spans="2:9" ht="15" hidden="1" customHeight="1" x14ac:dyDescent="0.35">
      <c r="B514" s="96" t="s">
        <v>162</v>
      </c>
      <c r="C514" s="92" t="s">
        <v>805</v>
      </c>
      <c r="D514" s="91"/>
      <c r="E514" s="92" t="s">
        <v>803</v>
      </c>
      <c r="F514" s="92" t="s">
        <v>806</v>
      </c>
      <c r="G514" s="92" t="s">
        <v>33</v>
      </c>
      <c r="H514" s="92" t="s">
        <v>227</v>
      </c>
      <c r="I514" s="86"/>
    </row>
    <row r="515" spans="2:9" ht="15" hidden="1" customHeight="1" x14ac:dyDescent="0.35">
      <c r="B515" s="96" t="s">
        <v>162</v>
      </c>
      <c r="C515" s="92" t="s">
        <v>807</v>
      </c>
      <c r="D515" s="91"/>
      <c r="E515" s="92" t="s">
        <v>803</v>
      </c>
      <c r="F515" s="92" t="s">
        <v>806</v>
      </c>
      <c r="G515" s="92" t="s">
        <v>33</v>
      </c>
      <c r="H515" s="92" t="s">
        <v>227</v>
      </c>
      <c r="I515" s="86"/>
    </row>
    <row r="516" spans="2:9" ht="15" hidden="1" customHeight="1" x14ac:dyDescent="0.35">
      <c r="B516" s="96" t="s">
        <v>162</v>
      </c>
      <c r="C516" s="92" t="s">
        <v>808</v>
      </c>
      <c r="D516" s="91"/>
      <c r="E516" s="92" t="s">
        <v>803</v>
      </c>
      <c r="F516" s="92" t="s">
        <v>806</v>
      </c>
      <c r="G516" s="92" t="s">
        <v>33</v>
      </c>
      <c r="H516" s="92" t="s">
        <v>227</v>
      </c>
      <c r="I516" s="86"/>
    </row>
    <row r="517" spans="2:9" ht="15" hidden="1" customHeight="1" x14ac:dyDescent="0.35">
      <c r="B517" s="96" t="s">
        <v>162</v>
      </c>
      <c r="C517" s="92" t="s">
        <v>809</v>
      </c>
      <c r="D517" s="91"/>
      <c r="E517" s="92" t="s">
        <v>803</v>
      </c>
      <c r="F517" s="92" t="s">
        <v>806</v>
      </c>
      <c r="G517" s="92" t="s">
        <v>33</v>
      </c>
      <c r="H517" s="92" t="s">
        <v>227</v>
      </c>
      <c r="I517" s="86"/>
    </row>
    <row r="518" spans="2:9" ht="15" hidden="1" customHeight="1" x14ac:dyDescent="0.35">
      <c r="B518" s="96" t="s">
        <v>162</v>
      </c>
      <c r="C518" s="92" t="s">
        <v>834</v>
      </c>
      <c r="D518" s="91"/>
      <c r="E518" s="92" t="s">
        <v>803</v>
      </c>
      <c r="F518" s="92" t="s">
        <v>806</v>
      </c>
      <c r="G518" s="92" t="s">
        <v>33</v>
      </c>
      <c r="H518" s="92" t="s">
        <v>227</v>
      </c>
      <c r="I518" s="86"/>
    </row>
    <row r="519" spans="2:9" ht="15" hidden="1" customHeight="1" x14ac:dyDescent="0.35">
      <c r="B519" s="96" t="s">
        <v>162</v>
      </c>
      <c r="C519" s="92" t="s">
        <v>835</v>
      </c>
      <c r="D519" s="91"/>
      <c r="E519" s="92" t="s">
        <v>803</v>
      </c>
      <c r="F519" s="92" t="s">
        <v>810</v>
      </c>
      <c r="G519" s="92" t="s">
        <v>33</v>
      </c>
      <c r="H519" s="92" t="s">
        <v>227</v>
      </c>
      <c r="I519" s="86"/>
    </row>
    <row r="520" spans="2:9" ht="15" hidden="1" customHeight="1" x14ac:dyDescent="0.35">
      <c r="B520" s="96" t="s">
        <v>162</v>
      </c>
      <c r="C520" s="92" t="s">
        <v>836</v>
      </c>
      <c r="D520" s="91"/>
      <c r="E520" s="92" t="s">
        <v>803</v>
      </c>
      <c r="F520" s="92" t="s">
        <v>810</v>
      </c>
      <c r="G520" s="92" t="s">
        <v>33</v>
      </c>
      <c r="H520" s="92" t="s">
        <v>227</v>
      </c>
      <c r="I520" s="86"/>
    </row>
    <row r="521" spans="2:9" ht="15" hidden="1" customHeight="1" x14ac:dyDescent="0.35">
      <c r="B521" s="96" t="s">
        <v>171</v>
      </c>
      <c r="C521" s="92" t="s">
        <v>837</v>
      </c>
      <c r="D521" s="91" t="str">
        <f>VLOOKUP(C521,'[1]Birbank İşçi Siyahı'!$B:$I,8,)</f>
        <v>Bir Payment</v>
      </c>
      <c r="E521" s="92" t="s">
        <v>803</v>
      </c>
      <c r="F521" s="92" t="s">
        <v>810</v>
      </c>
      <c r="G521" s="92" t="s">
        <v>33</v>
      </c>
      <c r="H521" s="92" t="s">
        <v>227</v>
      </c>
      <c r="I521" s="86"/>
    </row>
    <row r="522" spans="2:9" ht="15" hidden="1" customHeight="1" x14ac:dyDescent="0.35">
      <c r="B522" s="96" t="s">
        <v>162</v>
      </c>
      <c r="C522" s="92" t="s">
        <v>838</v>
      </c>
      <c r="D522" s="91"/>
      <c r="E522" s="92" t="s">
        <v>803</v>
      </c>
      <c r="F522" s="92" t="s">
        <v>810</v>
      </c>
      <c r="G522" s="92" t="s">
        <v>33</v>
      </c>
      <c r="H522" s="92" t="s">
        <v>227</v>
      </c>
      <c r="I522" s="86"/>
    </row>
    <row r="523" spans="2:9" ht="15" hidden="1" customHeight="1" x14ac:dyDescent="0.35">
      <c r="B523" s="96" t="s">
        <v>162</v>
      </c>
      <c r="C523" s="92" t="s">
        <v>839</v>
      </c>
      <c r="D523" s="91"/>
      <c r="E523" s="92" t="s">
        <v>803</v>
      </c>
      <c r="F523" s="92" t="s">
        <v>810</v>
      </c>
      <c r="G523" s="92" t="s">
        <v>33</v>
      </c>
      <c r="H523" s="92" t="s">
        <v>227</v>
      </c>
      <c r="I523" s="86"/>
    </row>
    <row r="524" spans="2:9" ht="15" hidden="1" customHeight="1" x14ac:dyDescent="0.35">
      <c r="B524" s="96" t="s">
        <v>162</v>
      </c>
      <c r="C524" s="92" t="s">
        <v>840</v>
      </c>
      <c r="D524" s="91"/>
      <c r="E524" s="92" t="s">
        <v>803</v>
      </c>
      <c r="F524" s="92" t="s">
        <v>810</v>
      </c>
      <c r="G524" s="92" t="s">
        <v>33</v>
      </c>
      <c r="H524" s="92" t="s">
        <v>227</v>
      </c>
      <c r="I524" s="86"/>
    </row>
    <row r="525" spans="2:9" ht="15" hidden="1" customHeight="1" x14ac:dyDescent="0.35">
      <c r="B525" s="96" t="s">
        <v>162</v>
      </c>
      <c r="C525" s="92" t="s">
        <v>841</v>
      </c>
      <c r="D525" s="91"/>
      <c r="E525" s="92" t="s">
        <v>803</v>
      </c>
      <c r="F525" s="92" t="s">
        <v>804</v>
      </c>
      <c r="G525" s="92" t="s">
        <v>811</v>
      </c>
      <c r="H525" s="92" t="s">
        <v>227</v>
      </c>
      <c r="I525" s="86"/>
    </row>
    <row r="526" spans="2:9" ht="15" hidden="1" customHeight="1" x14ac:dyDescent="0.35">
      <c r="B526" s="96" t="s">
        <v>162</v>
      </c>
      <c r="C526" s="92" t="s">
        <v>812</v>
      </c>
      <c r="D526" s="91"/>
      <c r="E526" s="92" t="s">
        <v>803</v>
      </c>
      <c r="F526" s="92" t="s">
        <v>804</v>
      </c>
      <c r="G526" s="92" t="s">
        <v>811</v>
      </c>
      <c r="H526" s="92" t="s">
        <v>227</v>
      </c>
      <c r="I526" s="86"/>
    </row>
    <row r="527" spans="2:9" ht="15" hidden="1" customHeight="1" x14ac:dyDescent="0.35">
      <c r="B527" s="96" t="s">
        <v>162</v>
      </c>
      <c r="C527" s="92" t="s">
        <v>842</v>
      </c>
      <c r="D527" s="91"/>
      <c r="E527" s="92" t="s">
        <v>803</v>
      </c>
      <c r="F527" s="92" t="s">
        <v>804</v>
      </c>
      <c r="G527" s="92" t="s">
        <v>811</v>
      </c>
      <c r="H527" s="92" t="s">
        <v>227</v>
      </c>
      <c r="I527" s="86"/>
    </row>
    <row r="528" spans="2:9" ht="15" hidden="1" customHeight="1" x14ac:dyDescent="0.35">
      <c r="B528" s="96" t="s">
        <v>162</v>
      </c>
      <c r="C528" s="92" t="s">
        <v>843</v>
      </c>
      <c r="D528" s="91"/>
      <c r="E528" s="92" t="s">
        <v>803</v>
      </c>
      <c r="F528" s="92" t="s">
        <v>804</v>
      </c>
      <c r="G528" s="92" t="s">
        <v>811</v>
      </c>
      <c r="H528" s="92" t="s">
        <v>227</v>
      </c>
      <c r="I528" s="86"/>
    </row>
    <row r="529" spans="2:9" ht="15" hidden="1" customHeight="1" x14ac:dyDescent="0.35">
      <c r="B529" s="96" t="s">
        <v>162</v>
      </c>
      <c r="C529" s="92" t="s">
        <v>844</v>
      </c>
      <c r="D529" s="91"/>
      <c r="E529" s="92" t="s">
        <v>803</v>
      </c>
      <c r="F529" s="92" t="s">
        <v>804</v>
      </c>
      <c r="G529" s="92" t="s">
        <v>811</v>
      </c>
      <c r="H529" s="92" t="s">
        <v>227</v>
      </c>
      <c r="I529" s="86"/>
    </row>
    <row r="530" spans="2:9" ht="15" hidden="1" customHeight="1" x14ac:dyDescent="0.35">
      <c r="B530" s="96" t="s">
        <v>162</v>
      </c>
      <c r="C530" s="92" t="s">
        <v>845</v>
      </c>
      <c r="D530" s="91"/>
      <c r="E530" s="92" t="s">
        <v>803</v>
      </c>
      <c r="F530" s="92" t="s">
        <v>804</v>
      </c>
      <c r="G530" s="92" t="s">
        <v>811</v>
      </c>
      <c r="H530" s="92" t="s">
        <v>227</v>
      </c>
      <c r="I530" s="86"/>
    </row>
    <row r="531" spans="2:9" ht="15" hidden="1" customHeight="1" x14ac:dyDescent="0.35">
      <c r="B531" s="96" t="s">
        <v>162</v>
      </c>
      <c r="C531" s="92" t="s">
        <v>846</v>
      </c>
      <c r="D531" s="91"/>
      <c r="E531" s="92" t="s">
        <v>803</v>
      </c>
      <c r="F531" s="92" t="s">
        <v>804</v>
      </c>
      <c r="G531" s="92" t="s">
        <v>811</v>
      </c>
      <c r="H531" s="92" t="s">
        <v>227</v>
      </c>
      <c r="I531" s="86"/>
    </row>
    <row r="532" spans="2:9" ht="15" hidden="1" customHeight="1" x14ac:dyDescent="0.35">
      <c r="B532" s="96" t="s">
        <v>162</v>
      </c>
      <c r="C532" s="92" t="s">
        <v>847</v>
      </c>
      <c r="D532" s="91"/>
      <c r="E532" s="92" t="s">
        <v>803</v>
      </c>
      <c r="F532" s="92" t="s">
        <v>804</v>
      </c>
      <c r="G532" s="92" t="s">
        <v>811</v>
      </c>
      <c r="H532" s="92" t="s">
        <v>227</v>
      </c>
      <c r="I532" s="86"/>
    </row>
    <row r="533" spans="2:9" ht="15" hidden="1" customHeight="1" x14ac:dyDescent="0.35">
      <c r="B533" s="96" t="s">
        <v>162</v>
      </c>
      <c r="C533" s="92" t="s">
        <v>848</v>
      </c>
      <c r="D533" s="91"/>
      <c r="E533" s="92" t="s">
        <v>803</v>
      </c>
      <c r="F533" s="92" t="s">
        <v>804</v>
      </c>
      <c r="G533" s="92" t="s">
        <v>811</v>
      </c>
      <c r="H533" s="92" t="s">
        <v>227</v>
      </c>
      <c r="I533" s="86"/>
    </row>
    <row r="534" spans="2:9" ht="15" hidden="1" customHeight="1" x14ac:dyDescent="0.35">
      <c r="B534" s="96" t="s">
        <v>162</v>
      </c>
      <c r="C534" s="92" t="s">
        <v>849</v>
      </c>
      <c r="D534" s="91"/>
      <c r="E534" s="92" t="s">
        <v>803</v>
      </c>
      <c r="F534" s="92" t="s">
        <v>804</v>
      </c>
      <c r="G534" s="92" t="s">
        <v>811</v>
      </c>
      <c r="H534" s="92" t="s">
        <v>227</v>
      </c>
      <c r="I534" s="86"/>
    </row>
    <row r="535" spans="2:9" ht="15" hidden="1" customHeight="1" x14ac:dyDescent="0.35">
      <c r="B535" s="96" t="s">
        <v>162</v>
      </c>
      <c r="C535" s="92" t="s">
        <v>850</v>
      </c>
      <c r="D535" s="91"/>
      <c r="E535" s="92" t="s">
        <v>803</v>
      </c>
      <c r="F535" s="92" t="s">
        <v>804</v>
      </c>
      <c r="G535" s="92" t="s">
        <v>811</v>
      </c>
      <c r="H535" s="92" t="s">
        <v>227</v>
      </c>
      <c r="I535" s="86"/>
    </row>
    <row r="536" spans="2:9" ht="15" hidden="1" customHeight="1" x14ac:dyDescent="0.35">
      <c r="B536" s="96" t="s">
        <v>162</v>
      </c>
      <c r="C536" s="92" t="s">
        <v>851</v>
      </c>
      <c r="D536" s="91"/>
      <c r="E536" s="92" t="s">
        <v>803</v>
      </c>
      <c r="F536" s="92" t="s">
        <v>804</v>
      </c>
      <c r="G536" s="92" t="s">
        <v>811</v>
      </c>
      <c r="H536" s="92" t="s">
        <v>227</v>
      </c>
      <c r="I536" s="86"/>
    </row>
    <row r="537" spans="2:9" ht="15" hidden="1" customHeight="1" x14ac:dyDescent="0.35">
      <c r="B537" s="96" t="s">
        <v>162</v>
      </c>
      <c r="C537" s="92" t="s">
        <v>852</v>
      </c>
      <c r="D537" s="91"/>
      <c r="E537" s="92" t="s">
        <v>803</v>
      </c>
      <c r="F537" s="92" t="s">
        <v>804</v>
      </c>
      <c r="G537" s="92" t="s">
        <v>813</v>
      </c>
      <c r="H537" s="92" t="s">
        <v>227</v>
      </c>
      <c r="I537" s="86"/>
    </row>
    <row r="538" spans="2:9" ht="15" hidden="1" customHeight="1" x14ac:dyDescent="0.35">
      <c r="B538" s="96" t="s">
        <v>162</v>
      </c>
      <c r="C538" s="92" t="s">
        <v>853</v>
      </c>
      <c r="D538" s="91"/>
      <c r="E538" s="92" t="s">
        <v>803</v>
      </c>
      <c r="F538" s="92" t="s">
        <v>804</v>
      </c>
      <c r="G538" s="92" t="s">
        <v>814</v>
      </c>
      <c r="H538" s="92" t="s">
        <v>227</v>
      </c>
      <c r="I538" s="86"/>
    </row>
    <row r="539" spans="2:9" ht="15" hidden="1" customHeight="1" x14ac:dyDescent="0.35">
      <c r="B539" s="96" t="s">
        <v>162</v>
      </c>
      <c r="C539" s="92" t="s">
        <v>854</v>
      </c>
      <c r="D539" s="91"/>
      <c r="E539" s="92" t="s">
        <v>803</v>
      </c>
      <c r="F539" s="92" t="s">
        <v>804</v>
      </c>
      <c r="G539" s="92" t="s">
        <v>813</v>
      </c>
      <c r="H539" s="92" t="s">
        <v>227</v>
      </c>
      <c r="I539" s="86"/>
    </row>
    <row r="540" spans="2:9" ht="15" hidden="1" customHeight="1" x14ac:dyDescent="0.35">
      <c r="B540" s="96" t="s">
        <v>162</v>
      </c>
      <c r="C540" s="92" t="s">
        <v>855</v>
      </c>
      <c r="D540" s="91"/>
      <c r="E540" s="92" t="s">
        <v>803</v>
      </c>
      <c r="F540" s="92" t="s">
        <v>804</v>
      </c>
      <c r="G540" s="92" t="s">
        <v>813</v>
      </c>
      <c r="H540" s="92" t="s">
        <v>227</v>
      </c>
      <c r="I540" s="86"/>
    </row>
    <row r="541" spans="2:9" ht="15" hidden="1" customHeight="1" x14ac:dyDescent="0.35">
      <c r="B541" s="96" t="s">
        <v>162</v>
      </c>
      <c r="C541" s="92" t="s">
        <v>856</v>
      </c>
      <c r="D541" s="91"/>
      <c r="E541" s="92" t="s">
        <v>803</v>
      </c>
      <c r="F541" s="92" t="s">
        <v>804</v>
      </c>
      <c r="G541" s="92" t="s">
        <v>814</v>
      </c>
      <c r="H541" s="92" t="s">
        <v>227</v>
      </c>
      <c r="I541" s="86"/>
    </row>
    <row r="542" spans="2:9" ht="15" hidden="1" customHeight="1" x14ac:dyDescent="0.35">
      <c r="B542" s="96" t="s">
        <v>162</v>
      </c>
      <c r="C542" s="92" t="s">
        <v>857</v>
      </c>
      <c r="D542" s="91"/>
      <c r="E542" s="92" t="s">
        <v>803</v>
      </c>
      <c r="F542" s="92" t="s">
        <v>804</v>
      </c>
      <c r="G542" s="92" t="s">
        <v>813</v>
      </c>
      <c r="H542" s="92" t="s">
        <v>227</v>
      </c>
      <c r="I542" s="86"/>
    </row>
    <row r="543" spans="2:9" ht="15" hidden="1" customHeight="1" x14ac:dyDescent="0.35">
      <c r="B543" s="96" t="s">
        <v>162</v>
      </c>
      <c r="C543" s="92" t="s">
        <v>815</v>
      </c>
      <c r="D543" s="91" t="e">
        <f>VLOOKUP(C543,'[1]Birbank İşçi Siyahı'!$B:$I,8,)</f>
        <v>#N/A</v>
      </c>
      <c r="E543" s="92" t="s">
        <v>803</v>
      </c>
      <c r="F543" s="92" t="s">
        <v>804</v>
      </c>
      <c r="G543" s="92" t="s">
        <v>813</v>
      </c>
      <c r="H543" s="92" t="s">
        <v>226</v>
      </c>
      <c r="I543" s="86"/>
    </row>
    <row r="544" spans="2:9" ht="15" hidden="1" customHeight="1" x14ac:dyDescent="0.35">
      <c r="B544" s="96" t="s">
        <v>162</v>
      </c>
      <c r="C544" s="92" t="s">
        <v>858</v>
      </c>
      <c r="D544" s="91"/>
      <c r="E544" s="92" t="s">
        <v>803</v>
      </c>
      <c r="F544" s="92" t="s">
        <v>804</v>
      </c>
      <c r="G544" s="92" t="s">
        <v>813</v>
      </c>
      <c r="H544" s="92" t="s">
        <v>227</v>
      </c>
      <c r="I544" s="86"/>
    </row>
    <row r="545" spans="2:9" ht="15" hidden="1" customHeight="1" x14ac:dyDescent="0.35">
      <c r="B545" s="96" t="s">
        <v>162</v>
      </c>
      <c r="C545" s="92" t="s">
        <v>859</v>
      </c>
      <c r="D545" s="91"/>
      <c r="E545" s="92" t="s">
        <v>803</v>
      </c>
      <c r="F545" s="92" t="s">
        <v>804</v>
      </c>
      <c r="G545" s="92" t="s">
        <v>814</v>
      </c>
      <c r="H545" s="92" t="s">
        <v>227</v>
      </c>
      <c r="I545" s="86"/>
    </row>
    <row r="546" spans="2:9" ht="15" hidden="1" customHeight="1" x14ac:dyDescent="0.35">
      <c r="B546" s="96" t="s">
        <v>162</v>
      </c>
      <c r="C546" s="92" t="s">
        <v>860</v>
      </c>
      <c r="D546" s="91"/>
      <c r="E546" s="92" t="s">
        <v>803</v>
      </c>
      <c r="F546" s="92" t="s">
        <v>804</v>
      </c>
      <c r="G546" s="92" t="s">
        <v>813</v>
      </c>
      <c r="H546" s="92" t="s">
        <v>227</v>
      </c>
      <c r="I546" s="86"/>
    </row>
    <row r="547" spans="2:9" ht="15" hidden="1" customHeight="1" x14ac:dyDescent="0.35">
      <c r="B547" s="96" t="s">
        <v>162</v>
      </c>
      <c r="C547" s="92" t="s">
        <v>861</v>
      </c>
      <c r="D547" s="91" t="e">
        <f>VLOOKUP(C547,'[1]Birbank İşçi Siyahı'!$B:$I,8,)</f>
        <v>#N/A</v>
      </c>
      <c r="E547" s="92" t="s">
        <v>803</v>
      </c>
      <c r="F547" s="92" t="s">
        <v>804</v>
      </c>
      <c r="G547" s="92" t="s">
        <v>813</v>
      </c>
      <c r="H547" s="92" t="s">
        <v>226</v>
      </c>
      <c r="I547" s="86"/>
    </row>
    <row r="548" spans="2:9" ht="15" hidden="1" customHeight="1" x14ac:dyDescent="0.35">
      <c r="B548" s="96" t="s">
        <v>162</v>
      </c>
      <c r="C548" s="92" t="s">
        <v>862</v>
      </c>
      <c r="D548" s="91"/>
      <c r="E548" s="92" t="s">
        <v>803</v>
      </c>
      <c r="F548" s="92" t="s">
        <v>804</v>
      </c>
      <c r="G548" s="92" t="s">
        <v>813</v>
      </c>
      <c r="H548" s="92" t="s">
        <v>227</v>
      </c>
      <c r="I548" s="86"/>
    </row>
    <row r="549" spans="2:9" ht="15" hidden="1" customHeight="1" x14ac:dyDescent="0.35">
      <c r="B549" s="96" t="s">
        <v>162</v>
      </c>
      <c r="C549" s="92" t="s">
        <v>863</v>
      </c>
      <c r="D549" s="91"/>
      <c r="E549" s="92" t="s">
        <v>803</v>
      </c>
      <c r="F549" s="92" t="s">
        <v>804</v>
      </c>
      <c r="G549" s="92" t="s">
        <v>813</v>
      </c>
      <c r="H549" s="92" t="s">
        <v>227</v>
      </c>
      <c r="I549" s="86"/>
    </row>
    <row r="550" spans="2:9" ht="15" hidden="1" customHeight="1" x14ac:dyDescent="0.35">
      <c r="B550" s="96" t="s">
        <v>162</v>
      </c>
      <c r="C550" s="92" t="s">
        <v>864</v>
      </c>
      <c r="D550" s="91"/>
      <c r="E550" s="92" t="s">
        <v>803</v>
      </c>
      <c r="F550" s="92" t="s">
        <v>804</v>
      </c>
      <c r="G550" s="92" t="s">
        <v>813</v>
      </c>
      <c r="H550" s="92" t="s">
        <v>227</v>
      </c>
      <c r="I550" s="86"/>
    </row>
    <row r="551" spans="2:9" ht="15" hidden="1" customHeight="1" x14ac:dyDescent="0.35">
      <c r="B551" s="96" t="s">
        <v>162</v>
      </c>
      <c r="C551" s="92" t="s">
        <v>865</v>
      </c>
      <c r="D551" s="91"/>
      <c r="E551" s="92" t="s">
        <v>803</v>
      </c>
      <c r="F551" s="92" t="s">
        <v>804</v>
      </c>
      <c r="G551" s="92" t="s">
        <v>813</v>
      </c>
      <c r="H551" s="92" t="s">
        <v>227</v>
      </c>
      <c r="I551" s="86"/>
    </row>
    <row r="552" spans="2:9" ht="15" hidden="1" customHeight="1" x14ac:dyDescent="0.35">
      <c r="B552" s="96" t="s">
        <v>162</v>
      </c>
      <c r="C552" s="92" t="s">
        <v>866</v>
      </c>
      <c r="D552" s="91"/>
      <c r="E552" s="92" t="s">
        <v>803</v>
      </c>
      <c r="F552" s="92" t="s">
        <v>804</v>
      </c>
      <c r="G552" s="92" t="s">
        <v>813</v>
      </c>
      <c r="H552" s="92" t="s">
        <v>227</v>
      </c>
      <c r="I552" s="86"/>
    </row>
    <row r="553" spans="2:9" ht="15" hidden="1" customHeight="1" x14ac:dyDescent="0.35">
      <c r="B553" s="96" t="s">
        <v>162</v>
      </c>
      <c r="C553" s="92" t="s">
        <v>867</v>
      </c>
      <c r="D553" s="91"/>
      <c r="E553" s="92" t="s">
        <v>803</v>
      </c>
      <c r="F553" s="92" t="s">
        <v>804</v>
      </c>
      <c r="G553" s="92" t="s">
        <v>813</v>
      </c>
      <c r="H553" s="92" t="s">
        <v>227</v>
      </c>
      <c r="I553" s="86"/>
    </row>
    <row r="554" spans="2:9" ht="15" hidden="1" customHeight="1" x14ac:dyDescent="0.35">
      <c r="B554" s="96" t="s">
        <v>162</v>
      </c>
      <c r="C554" s="92" t="s">
        <v>868</v>
      </c>
      <c r="D554" s="91"/>
      <c r="E554" s="92" t="s">
        <v>803</v>
      </c>
      <c r="F554" s="92" t="s">
        <v>804</v>
      </c>
      <c r="G554" s="92" t="s">
        <v>813</v>
      </c>
      <c r="H554" s="92" t="s">
        <v>227</v>
      </c>
      <c r="I554" s="86"/>
    </row>
    <row r="555" spans="2:9" ht="15" hidden="1" customHeight="1" x14ac:dyDescent="0.35">
      <c r="B555" s="96" t="s">
        <v>162</v>
      </c>
      <c r="C555" s="92" t="s">
        <v>869</v>
      </c>
      <c r="D555" s="91"/>
      <c r="E555" s="92" t="s">
        <v>803</v>
      </c>
      <c r="F555" s="92" t="s">
        <v>804</v>
      </c>
      <c r="G555" s="92" t="s">
        <v>813</v>
      </c>
      <c r="H555" s="92" t="s">
        <v>227</v>
      </c>
      <c r="I555" s="86"/>
    </row>
    <row r="556" spans="2:9" ht="15" hidden="1" customHeight="1" x14ac:dyDescent="0.35">
      <c r="B556" s="96" t="s">
        <v>162</v>
      </c>
      <c r="C556" s="92" t="s">
        <v>870</v>
      </c>
      <c r="D556" s="91"/>
      <c r="E556" s="92" t="s">
        <v>803</v>
      </c>
      <c r="F556" s="92" t="s">
        <v>804</v>
      </c>
      <c r="G556" s="92" t="s">
        <v>814</v>
      </c>
      <c r="H556" s="92" t="s">
        <v>227</v>
      </c>
      <c r="I556" s="86"/>
    </row>
    <row r="557" spans="2:9" ht="15" hidden="1" customHeight="1" x14ac:dyDescent="0.35">
      <c r="B557" s="96" t="s">
        <v>162</v>
      </c>
      <c r="C557" s="92" t="s">
        <v>871</v>
      </c>
      <c r="D557" s="91"/>
      <c r="E557" s="92" t="s">
        <v>803</v>
      </c>
      <c r="F557" s="92" t="s">
        <v>804</v>
      </c>
      <c r="G557" s="92" t="s">
        <v>813</v>
      </c>
      <c r="H557" s="92" t="s">
        <v>227</v>
      </c>
      <c r="I557" s="86"/>
    </row>
    <row r="558" spans="2:9" ht="15" hidden="1" customHeight="1" x14ac:dyDescent="0.35">
      <c r="B558" s="96" t="s">
        <v>162</v>
      </c>
      <c r="C558" s="92" t="s">
        <v>872</v>
      </c>
      <c r="D558" s="91"/>
      <c r="E558" s="92" t="s">
        <v>803</v>
      </c>
      <c r="F558" s="92" t="s">
        <v>804</v>
      </c>
      <c r="G558" s="92" t="s">
        <v>813</v>
      </c>
      <c r="H558" s="92" t="s">
        <v>227</v>
      </c>
      <c r="I558" s="86"/>
    </row>
    <row r="559" spans="2:9" ht="15" hidden="1" customHeight="1" x14ac:dyDescent="0.35">
      <c r="B559" s="96" t="s">
        <v>162</v>
      </c>
      <c r="C559" s="92" t="s">
        <v>873</v>
      </c>
      <c r="D559" s="91"/>
      <c r="E559" s="92" t="s">
        <v>803</v>
      </c>
      <c r="F559" s="92" t="s">
        <v>804</v>
      </c>
      <c r="G559" s="92" t="s">
        <v>813</v>
      </c>
      <c r="H559" s="92" t="s">
        <v>227</v>
      </c>
      <c r="I559" s="86"/>
    </row>
    <row r="560" spans="2:9" ht="15" hidden="1" customHeight="1" x14ac:dyDescent="0.35">
      <c r="B560" s="96" t="s">
        <v>162</v>
      </c>
      <c r="C560" s="92" t="s">
        <v>874</v>
      </c>
      <c r="D560" s="91"/>
      <c r="E560" s="92" t="s">
        <v>803</v>
      </c>
      <c r="F560" s="92" t="s">
        <v>804</v>
      </c>
      <c r="G560" s="92" t="s">
        <v>813</v>
      </c>
      <c r="H560" s="92" t="s">
        <v>227</v>
      </c>
      <c r="I560" s="86"/>
    </row>
    <row r="561" spans="2:9" ht="15" hidden="1" customHeight="1" x14ac:dyDescent="0.35">
      <c r="B561" s="96" t="s">
        <v>162</v>
      </c>
      <c r="C561" s="92" t="s">
        <v>875</v>
      </c>
      <c r="D561" s="91"/>
      <c r="E561" s="92" t="s">
        <v>803</v>
      </c>
      <c r="F561" s="92" t="s">
        <v>804</v>
      </c>
      <c r="G561" s="92" t="s">
        <v>813</v>
      </c>
      <c r="H561" s="92" t="s">
        <v>227</v>
      </c>
      <c r="I561" s="86"/>
    </row>
    <row r="562" spans="2:9" ht="15" hidden="1" customHeight="1" x14ac:dyDescent="0.35">
      <c r="B562" s="96" t="s">
        <v>162</v>
      </c>
      <c r="C562" s="92" t="s">
        <v>876</v>
      </c>
      <c r="D562" s="91"/>
      <c r="E562" s="92" t="s">
        <v>803</v>
      </c>
      <c r="F562" s="92" t="s">
        <v>804</v>
      </c>
      <c r="G562" s="92" t="s">
        <v>813</v>
      </c>
      <c r="H562" s="92" t="s">
        <v>227</v>
      </c>
      <c r="I562" s="86"/>
    </row>
    <row r="563" spans="2:9" ht="15" hidden="1" customHeight="1" x14ac:dyDescent="0.35">
      <c r="B563" s="96" t="s">
        <v>162</v>
      </c>
      <c r="C563" s="92" t="s">
        <v>877</v>
      </c>
      <c r="D563" s="91"/>
      <c r="E563" s="92" t="s">
        <v>803</v>
      </c>
      <c r="F563" s="92" t="s">
        <v>804</v>
      </c>
      <c r="G563" s="92" t="s">
        <v>814</v>
      </c>
      <c r="H563" s="92" t="s">
        <v>227</v>
      </c>
      <c r="I563" s="86"/>
    </row>
    <row r="564" spans="2:9" ht="15" hidden="1" customHeight="1" x14ac:dyDescent="0.35">
      <c r="B564" s="96" t="s">
        <v>162</v>
      </c>
      <c r="C564" s="92" t="s">
        <v>878</v>
      </c>
      <c r="D564" s="91"/>
      <c r="E564" s="92" t="s">
        <v>803</v>
      </c>
      <c r="F564" s="92" t="s">
        <v>804</v>
      </c>
      <c r="G564" s="92" t="s">
        <v>814</v>
      </c>
      <c r="H564" s="92" t="s">
        <v>227</v>
      </c>
      <c r="I564" s="86"/>
    </row>
    <row r="565" spans="2:9" ht="15" hidden="1" customHeight="1" x14ac:dyDescent="0.35">
      <c r="B565" s="96" t="s">
        <v>162</v>
      </c>
      <c r="C565" s="92" t="s">
        <v>879</v>
      </c>
      <c r="D565" s="91"/>
      <c r="E565" s="92" t="s">
        <v>803</v>
      </c>
      <c r="F565" s="92" t="s">
        <v>804</v>
      </c>
      <c r="G565" s="92" t="s">
        <v>814</v>
      </c>
      <c r="H565" s="92" t="s">
        <v>227</v>
      </c>
      <c r="I565" s="86"/>
    </row>
    <row r="566" spans="2:9" ht="15" hidden="1" customHeight="1" x14ac:dyDescent="0.35">
      <c r="B566" s="96" t="s">
        <v>162</v>
      </c>
      <c r="C566" s="92" t="s">
        <v>880</v>
      </c>
      <c r="D566" s="91"/>
      <c r="E566" s="92" t="s">
        <v>803</v>
      </c>
      <c r="F566" s="92" t="s">
        <v>804</v>
      </c>
      <c r="G566" s="92" t="s">
        <v>814</v>
      </c>
      <c r="H566" s="92" t="s">
        <v>227</v>
      </c>
      <c r="I566" s="86"/>
    </row>
    <row r="567" spans="2:9" ht="15" hidden="1" customHeight="1" x14ac:dyDescent="0.35">
      <c r="B567" s="96" t="s">
        <v>162</v>
      </c>
      <c r="C567" s="92" t="s">
        <v>881</v>
      </c>
      <c r="D567" s="91"/>
      <c r="E567" s="92" t="s">
        <v>803</v>
      </c>
      <c r="F567" s="92" t="s">
        <v>804</v>
      </c>
      <c r="G567" s="92" t="s">
        <v>814</v>
      </c>
      <c r="H567" s="92" t="s">
        <v>227</v>
      </c>
      <c r="I567" s="86"/>
    </row>
    <row r="568" spans="2:9" ht="15" hidden="1" customHeight="1" x14ac:dyDescent="0.35">
      <c r="B568" s="96" t="s">
        <v>162</v>
      </c>
      <c r="C568" s="92" t="s">
        <v>882</v>
      </c>
      <c r="D568" s="91"/>
      <c r="E568" s="92" t="s">
        <v>803</v>
      </c>
      <c r="F568" s="92" t="s">
        <v>816</v>
      </c>
      <c r="G568" s="92" t="s">
        <v>33</v>
      </c>
      <c r="H568" s="92" t="s">
        <v>227</v>
      </c>
      <c r="I568" s="86"/>
    </row>
    <row r="569" spans="2:9" ht="15" hidden="1" customHeight="1" x14ac:dyDescent="0.35">
      <c r="B569" s="96" t="s">
        <v>171</v>
      </c>
      <c r="C569" s="92" t="s">
        <v>883</v>
      </c>
      <c r="D569" s="91" t="str">
        <f>VLOOKUP(C569,'[1]Birbank İşçi Siyahı'!$B:$I,8,)</f>
        <v>Bir Payment</v>
      </c>
      <c r="E569" s="92" t="s">
        <v>803</v>
      </c>
      <c r="F569" s="92" t="s">
        <v>816</v>
      </c>
      <c r="G569" s="92" t="s">
        <v>33</v>
      </c>
      <c r="H569" s="92" t="s">
        <v>227</v>
      </c>
      <c r="I569" s="86"/>
    </row>
    <row r="570" spans="2:9" ht="15" hidden="1" customHeight="1" x14ac:dyDescent="0.35">
      <c r="B570" s="96" t="s">
        <v>164</v>
      </c>
      <c r="C570" s="92" t="s">
        <v>884</v>
      </c>
      <c r="D570" s="91" t="str">
        <f>VLOOKUP(C570,'[1]Birbank İşçi Siyahı'!$B:$I,8,)</f>
        <v>BirMarket</v>
      </c>
      <c r="E570" s="92" t="s">
        <v>803</v>
      </c>
      <c r="F570" s="92" t="s">
        <v>816</v>
      </c>
      <c r="G570" s="92" t="s">
        <v>33</v>
      </c>
      <c r="H570" s="92" t="s">
        <v>227</v>
      </c>
      <c r="I570" s="86"/>
    </row>
    <row r="571" spans="2:9" ht="15" hidden="1" customHeight="1" x14ac:dyDescent="0.35">
      <c r="B571" s="96" t="s">
        <v>162</v>
      </c>
      <c r="C571" s="92" t="s">
        <v>885</v>
      </c>
      <c r="D571" s="91"/>
      <c r="E571" s="92" t="s">
        <v>803</v>
      </c>
      <c r="F571" s="92" t="s">
        <v>816</v>
      </c>
      <c r="G571" s="92" t="s">
        <v>817</v>
      </c>
      <c r="H571" s="92" t="s">
        <v>227</v>
      </c>
      <c r="I571" s="86"/>
    </row>
    <row r="572" spans="2:9" ht="15" hidden="1" customHeight="1" x14ac:dyDescent="0.35">
      <c r="B572" s="96" t="s">
        <v>162</v>
      </c>
      <c r="C572" s="92" t="s">
        <v>886</v>
      </c>
      <c r="D572" s="91"/>
      <c r="E572" s="92" t="s">
        <v>803</v>
      </c>
      <c r="F572" s="92" t="s">
        <v>816</v>
      </c>
      <c r="G572" s="92" t="s">
        <v>818</v>
      </c>
      <c r="H572" s="92" t="s">
        <v>227</v>
      </c>
      <c r="I572" s="86"/>
    </row>
    <row r="573" spans="2:9" ht="15" hidden="1" customHeight="1" x14ac:dyDescent="0.35">
      <c r="B573" s="96" t="s">
        <v>162</v>
      </c>
      <c r="C573" s="92" t="s">
        <v>887</v>
      </c>
      <c r="D573" s="91"/>
      <c r="E573" s="92" t="s">
        <v>803</v>
      </c>
      <c r="F573" s="92" t="s">
        <v>816</v>
      </c>
      <c r="G573" s="92" t="s">
        <v>817</v>
      </c>
      <c r="H573" s="92" t="s">
        <v>227</v>
      </c>
      <c r="I573" s="86"/>
    </row>
    <row r="574" spans="2:9" ht="15" hidden="1" customHeight="1" x14ac:dyDescent="0.35">
      <c r="B574" s="96" t="s">
        <v>162</v>
      </c>
      <c r="C574" s="92" t="s">
        <v>819</v>
      </c>
      <c r="D574" s="91"/>
      <c r="E574" s="92" t="s">
        <v>803</v>
      </c>
      <c r="F574" s="92" t="s">
        <v>810</v>
      </c>
      <c r="G574" s="92" t="s">
        <v>820</v>
      </c>
      <c r="H574" s="92" t="s">
        <v>227</v>
      </c>
      <c r="I574" s="86"/>
    </row>
    <row r="575" spans="2:9" ht="15" hidden="1" customHeight="1" x14ac:dyDescent="0.35">
      <c r="B575" s="96" t="s">
        <v>162</v>
      </c>
      <c r="C575" s="92" t="s">
        <v>888</v>
      </c>
      <c r="D575" s="91"/>
      <c r="E575" s="92" t="s">
        <v>803</v>
      </c>
      <c r="F575" s="92" t="s">
        <v>810</v>
      </c>
      <c r="G575" s="92" t="s">
        <v>33</v>
      </c>
      <c r="H575" s="92" t="s">
        <v>227</v>
      </c>
      <c r="I575" s="86"/>
    </row>
    <row r="576" spans="2:9" ht="15" hidden="1" customHeight="1" x14ac:dyDescent="0.35">
      <c r="B576" s="96" t="s">
        <v>162</v>
      </c>
      <c r="C576" s="92" t="s">
        <v>889</v>
      </c>
      <c r="D576" s="91"/>
      <c r="E576" s="92" t="s">
        <v>803</v>
      </c>
      <c r="F576" s="92" t="s">
        <v>810</v>
      </c>
      <c r="G576" s="92" t="s">
        <v>33</v>
      </c>
      <c r="H576" s="92" t="s">
        <v>227</v>
      </c>
      <c r="I576" s="86"/>
    </row>
    <row r="577" spans="2:9" ht="15" hidden="1" customHeight="1" x14ac:dyDescent="0.35">
      <c r="B577" s="96" t="s">
        <v>171</v>
      </c>
      <c r="C577" s="92" t="s">
        <v>890</v>
      </c>
      <c r="D577" s="91" t="str">
        <f>VLOOKUP(C577,'[1]Birbank İşçi Siyahı'!$B:$I,8,)</f>
        <v>Bir Payment</v>
      </c>
      <c r="E577" s="92" t="s">
        <v>803</v>
      </c>
      <c r="F577" s="92" t="s">
        <v>810</v>
      </c>
      <c r="G577" s="92" t="s">
        <v>33</v>
      </c>
      <c r="H577" s="92" t="s">
        <v>227</v>
      </c>
      <c r="I577" s="86"/>
    </row>
    <row r="578" spans="2:9" ht="15" hidden="1" customHeight="1" x14ac:dyDescent="0.35">
      <c r="B578" s="96" t="s">
        <v>162</v>
      </c>
      <c r="C578" s="92" t="s">
        <v>891</v>
      </c>
      <c r="D578" s="91"/>
      <c r="E578" s="92" t="s">
        <v>803</v>
      </c>
      <c r="F578" s="92" t="s">
        <v>810</v>
      </c>
      <c r="G578" s="92" t="s">
        <v>33</v>
      </c>
      <c r="H578" s="92" t="s">
        <v>227</v>
      </c>
      <c r="I578" s="86"/>
    </row>
    <row r="579" spans="2:9" ht="15" hidden="1" customHeight="1" x14ac:dyDescent="0.35">
      <c r="B579" s="96" t="s">
        <v>162</v>
      </c>
      <c r="C579" s="92" t="s">
        <v>892</v>
      </c>
      <c r="D579" s="91"/>
      <c r="E579" s="92" t="s">
        <v>803</v>
      </c>
      <c r="F579" s="92" t="s">
        <v>810</v>
      </c>
      <c r="G579" s="92" t="s">
        <v>33</v>
      </c>
      <c r="H579" s="92" t="s">
        <v>227</v>
      </c>
      <c r="I579" s="86"/>
    </row>
    <row r="580" spans="2:9" ht="15" hidden="1" customHeight="1" x14ac:dyDescent="0.35">
      <c r="B580" s="96" t="s">
        <v>162</v>
      </c>
      <c r="C580" s="92" t="s">
        <v>893</v>
      </c>
      <c r="D580" s="91"/>
      <c r="E580" s="92" t="s">
        <v>803</v>
      </c>
      <c r="F580" s="92" t="s">
        <v>810</v>
      </c>
      <c r="G580" s="92" t="s">
        <v>33</v>
      </c>
      <c r="H580" s="92" t="s">
        <v>227</v>
      </c>
      <c r="I580" s="86"/>
    </row>
    <row r="581" spans="2:9" ht="15" hidden="1" customHeight="1" x14ac:dyDescent="0.35">
      <c r="B581" s="96" t="s">
        <v>162</v>
      </c>
      <c r="C581" s="92" t="s">
        <v>894</v>
      </c>
      <c r="D581" s="91"/>
      <c r="E581" s="92" t="s">
        <v>803</v>
      </c>
      <c r="F581" s="92" t="s">
        <v>816</v>
      </c>
      <c r="G581" s="92" t="s">
        <v>818</v>
      </c>
      <c r="H581" s="92" t="s">
        <v>227</v>
      </c>
      <c r="I581" s="86"/>
    </row>
    <row r="582" spans="2:9" ht="15" hidden="1" customHeight="1" x14ac:dyDescent="0.35">
      <c r="B582" s="96" t="s">
        <v>162</v>
      </c>
      <c r="C582" s="92" t="s">
        <v>895</v>
      </c>
      <c r="D582" s="91"/>
      <c r="E582" s="92" t="s">
        <v>803</v>
      </c>
      <c r="F582" s="92" t="s">
        <v>816</v>
      </c>
      <c r="G582" s="92" t="s">
        <v>817</v>
      </c>
      <c r="H582" s="92" t="s">
        <v>227</v>
      </c>
      <c r="I582" s="86"/>
    </row>
    <row r="583" spans="2:9" ht="15" hidden="1" customHeight="1" x14ac:dyDescent="0.35">
      <c r="B583" s="96" t="s">
        <v>162</v>
      </c>
      <c r="C583" s="92" t="s">
        <v>896</v>
      </c>
      <c r="D583" s="91"/>
      <c r="E583" s="92" t="s">
        <v>803</v>
      </c>
      <c r="F583" s="92" t="s">
        <v>816</v>
      </c>
      <c r="G583" s="92" t="s">
        <v>817</v>
      </c>
      <c r="H583" s="92" t="s">
        <v>227</v>
      </c>
      <c r="I583" s="86"/>
    </row>
    <row r="584" spans="2:9" ht="15" hidden="1" customHeight="1" x14ac:dyDescent="0.35">
      <c r="B584" s="96" t="s">
        <v>162</v>
      </c>
      <c r="C584" s="92" t="s">
        <v>897</v>
      </c>
      <c r="D584" s="91"/>
      <c r="E584" s="92" t="s">
        <v>803</v>
      </c>
      <c r="F584" s="92" t="s">
        <v>816</v>
      </c>
      <c r="G584" s="92" t="s">
        <v>817</v>
      </c>
      <c r="H584" s="92" t="s">
        <v>227</v>
      </c>
      <c r="I584" s="86"/>
    </row>
    <row r="585" spans="2:9" ht="15" hidden="1" customHeight="1" x14ac:dyDescent="0.35">
      <c r="B585" s="96" t="s">
        <v>162</v>
      </c>
      <c r="C585" s="92" t="s">
        <v>821</v>
      </c>
      <c r="D585" s="91" t="e">
        <f>VLOOKUP(C585,'[1]Birbank İşçi Siyahı'!$B:$I,8,)</f>
        <v>#N/A</v>
      </c>
      <c r="E585" s="92" t="s">
        <v>803</v>
      </c>
      <c r="F585" s="92" t="s">
        <v>816</v>
      </c>
      <c r="G585" s="92" t="s">
        <v>817</v>
      </c>
      <c r="H585" s="92" t="s">
        <v>226</v>
      </c>
      <c r="I585" s="86"/>
    </row>
    <row r="586" spans="2:9" ht="15" hidden="1" customHeight="1" x14ac:dyDescent="0.35">
      <c r="B586" s="96" t="s">
        <v>162</v>
      </c>
      <c r="C586" s="92" t="s">
        <v>822</v>
      </c>
      <c r="D586" s="91"/>
      <c r="E586" s="92" t="s">
        <v>803</v>
      </c>
      <c r="F586" s="92" t="s">
        <v>816</v>
      </c>
      <c r="G586" s="92" t="s">
        <v>817</v>
      </c>
      <c r="H586" s="92" t="s">
        <v>227</v>
      </c>
      <c r="I586" s="86"/>
    </row>
    <row r="587" spans="2:9" ht="15" hidden="1" customHeight="1" x14ac:dyDescent="0.35">
      <c r="B587" s="96" t="s">
        <v>162</v>
      </c>
      <c r="C587" s="92" t="s">
        <v>898</v>
      </c>
      <c r="D587" s="91"/>
      <c r="E587" s="92" t="s">
        <v>803</v>
      </c>
      <c r="F587" s="92" t="s">
        <v>816</v>
      </c>
      <c r="G587" s="92" t="s">
        <v>817</v>
      </c>
      <c r="H587" s="92" t="s">
        <v>227</v>
      </c>
      <c r="I587" s="86"/>
    </row>
    <row r="588" spans="2:9" ht="15" hidden="1" customHeight="1" x14ac:dyDescent="0.35">
      <c r="B588" s="96" t="s">
        <v>162</v>
      </c>
      <c r="C588" s="92" t="s">
        <v>823</v>
      </c>
      <c r="D588" s="91"/>
      <c r="E588" s="92" t="s">
        <v>803</v>
      </c>
      <c r="F588" s="92" t="s">
        <v>816</v>
      </c>
      <c r="G588" s="92" t="s">
        <v>818</v>
      </c>
      <c r="H588" s="92" t="s">
        <v>227</v>
      </c>
      <c r="I588" s="86"/>
    </row>
    <row r="589" spans="2:9" ht="15" hidden="1" customHeight="1" x14ac:dyDescent="0.35">
      <c r="B589" s="96" t="s">
        <v>171</v>
      </c>
      <c r="C589" s="92" t="s">
        <v>899</v>
      </c>
      <c r="D589" s="91" t="str">
        <f>VLOOKUP(C589,'[1]Birbank İşçi Siyahı'!$B:$I,8,)</f>
        <v>Bir Payment</v>
      </c>
      <c r="E589" s="92" t="s">
        <v>803</v>
      </c>
      <c r="F589" s="92" t="s">
        <v>816</v>
      </c>
      <c r="G589" s="92" t="s">
        <v>33</v>
      </c>
      <c r="H589" s="92" t="s">
        <v>227</v>
      </c>
      <c r="I589" s="86"/>
    </row>
    <row r="590" spans="2:9" ht="15" hidden="1" customHeight="1" x14ac:dyDescent="0.35">
      <c r="B590" s="96" t="s">
        <v>162</v>
      </c>
      <c r="C590" s="92" t="s">
        <v>824</v>
      </c>
      <c r="D590" s="91"/>
      <c r="E590" s="92" t="s">
        <v>803</v>
      </c>
      <c r="F590" s="92" t="s">
        <v>825</v>
      </c>
      <c r="G590" s="92" t="s">
        <v>33</v>
      </c>
      <c r="H590" s="92" t="s">
        <v>227</v>
      </c>
      <c r="I590" s="86"/>
    </row>
    <row r="591" spans="2:9" ht="15" hidden="1" customHeight="1" x14ac:dyDescent="0.35">
      <c r="B591" s="96" t="s">
        <v>162</v>
      </c>
      <c r="C591" s="92" t="s">
        <v>900</v>
      </c>
      <c r="D591" s="91"/>
      <c r="E591" s="92" t="s">
        <v>803</v>
      </c>
      <c r="F591" s="92" t="s">
        <v>825</v>
      </c>
      <c r="G591" s="92" t="s">
        <v>33</v>
      </c>
      <c r="H591" s="92" t="s">
        <v>227</v>
      </c>
      <c r="I591" s="86"/>
    </row>
    <row r="592" spans="2:9" ht="15" hidden="1" customHeight="1" x14ac:dyDescent="0.35">
      <c r="B592" s="96" t="s">
        <v>162</v>
      </c>
      <c r="C592" s="92" t="s">
        <v>901</v>
      </c>
      <c r="D592" s="91"/>
      <c r="E592" s="92" t="s">
        <v>803</v>
      </c>
      <c r="F592" s="92" t="s">
        <v>825</v>
      </c>
      <c r="G592" s="92" t="s">
        <v>33</v>
      </c>
      <c r="H592" s="92" t="s">
        <v>227</v>
      </c>
      <c r="I592" s="86"/>
    </row>
    <row r="593" spans="2:9" ht="15" hidden="1" customHeight="1" x14ac:dyDescent="0.35">
      <c r="B593" s="96" t="s">
        <v>162</v>
      </c>
      <c r="C593" s="92" t="s">
        <v>902</v>
      </c>
      <c r="D593" s="91"/>
      <c r="E593" s="92" t="s">
        <v>803</v>
      </c>
      <c r="F593" s="92" t="s">
        <v>825</v>
      </c>
      <c r="G593" s="92" t="s">
        <v>33</v>
      </c>
      <c r="H593" s="92" t="s">
        <v>227</v>
      </c>
      <c r="I593" s="86"/>
    </row>
    <row r="594" spans="2:9" ht="15" hidden="1" customHeight="1" x14ac:dyDescent="0.35">
      <c r="B594" s="96" t="s">
        <v>162</v>
      </c>
      <c r="C594" s="92" t="s">
        <v>903</v>
      </c>
      <c r="D594" s="91"/>
      <c r="E594" s="92" t="s">
        <v>803</v>
      </c>
      <c r="F594" s="92" t="s">
        <v>825</v>
      </c>
      <c r="G594" s="92" t="s">
        <v>33</v>
      </c>
      <c r="H594" s="92" t="s">
        <v>227</v>
      </c>
      <c r="I594" s="86"/>
    </row>
    <row r="595" spans="2:9" ht="15" hidden="1" customHeight="1" x14ac:dyDescent="0.35">
      <c r="B595" s="96" t="s">
        <v>162</v>
      </c>
      <c r="C595" s="92" t="s">
        <v>904</v>
      </c>
      <c r="D595" s="91"/>
      <c r="E595" s="92" t="s">
        <v>803</v>
      </c>
      <c r="F595" s="92" t="s">
        <v>825</v>
      </c>
      <c r="G595" s="92" t="s">
        <v>33</v>
      </c>
      <c r="H595" s="92" t="s">
        <v>227</v>
      </c>
      <c r="I595" s="86"/>
    </row>
    <row r="596" spans="2:9" ht="15" hidden="1" customHeight="1" x14ac:dyDescent="0.35">
      <c r="B596" s="96" t="s">
        <v>162</v>
      </c>
      <c r="C596" s="92" t="s">
        <v>905</v>
      </c>
      <c r="D596" s="91"/>
      <c r="E596" s="92" t="s">
        <v>803</v>
      </c>
      <c r="F596" s="92" t="s">
        <v>825</v>
      </c>
      <c r="G596" s="92" t="s">
        <v>33</v>
      </c>
      <c r="H596" s="92" t="s">
        <v>227</v>
      </c>
      <c r="I596" s="86"/>
    </row>
    <row r="597" spans="2:9" ht="15" hidden="1" customHeight="1" x14ac:dyDescent="0.35">
      <c r="B597" s="96" t="s">
        <v>162</v>
      </c>
      <c r="C597" s="92" t="s">
        <v>906</v>
      </c>
      <c r="D597" s="91"/>
      <c r="E597" s="92" t="s">
        <v>803</v>
      </c>
      <c r="F597" s="92" t="s">
        <v>816</v>
      </c>
      <c r="G597" s="92" t="s">
        <v>826</v>
      </c>
      <c r="H597" s="92" t="s">
        <v>227</v>
      </c>
      <c r="I597" s="86"/>
    </row>
    <row r="598" spans="2:9" ht="15" hidden="1" customHeight="1" x14ac:dyDescent="0.35">
      <c r="B598" s="96" t="s">
        <v>162</v>
      </c>
      <c r="C598" s="92" t="s">
        <v>907</v>
      </c>
      <c r="D598" s="91"/>
      <c r="E598" s="92" t="s">
        <v>803</v>
      </c>
      <c r="F598" s="92" t="s">
        <v>816</v>
      </c>
      <c r="G598" s="92" t="s">
        <v>826</v>
      </c>
      <c r="H598" s="92" t="s">
        <v>227</v>
      </c>
      <c r="I598" s="86"/>
    </row>
    <row r="599" spans="2:9" ht="15" hidden="1" customHeight="1" x14ac:dyDescent="0.35">
      <c r="B599" s="96" t="s">
        <v>162</v>
      </c>
      <c r="C599" s="92" t="s">
        <v>908</v>
      </c>
      <c r="D599" s="91"/>
      <c r="E599" s="92" t="s">
        <v>803</v>
      </c>
      <c r="F599" s="92" t="s">
        <v>816</v>
      </c>
      <c r="G599" s="92" t="s">
        <v>826</v>
      </c>
      <c r="H599" s="92" t="s">
        <v>227</v>
      </c>
      <c r="I599" s="86"/>
    </row>
    <row r="600" spans="2:9" ht="15" hidden="1" customHeight="1" x14ac:dyDescent="0.35">
      <c r="B600" s="96" t="s">
        <v>162</v>
      </c>
      <c r="C600" s="92" t="s">
        <v>827</v>
      </c>
      <c r="D600" s="91" t="e">
        <f>VLOOKUP(C600,'[1]Birbank İşçi Siyahı'!$B:$I,8,)</f>
        <v>#N/A</v>
      </c>
      <c r="E600" s="92" t="s">
        <v>803</v>
      </c>
      <c r="F600" s="92" t="s">
        <v>810</v>
      </c>
      <c r="G600" s="92" t="s">
        <v>33</v>
      </c>
      <c r="H600" s="92" t="s">
        <v>226</v>
      </c>
      <c r="I600" s="86"/>
    </row>
    <row r="601" spans="2:9" ht="15" hidden="1" customHeight="1" x14ac:dyDescent="0.35">
      <c r="B601" s="96" t="s">
        <v>162</v>
      </c>
      <c r="C601" s="92" t="s">
        <v>828</v>
      </c>
      <c r="D601" s="91" t="e">
        <f>VLOOKUP(C601,'[1]Birbank İşçi Siyahı'!$B:$I,8,)</f>
        <v>#N/A</v>
      </c>
      <c r="E601" s="92" t="s">
        <v>803</v>
      </c>
      <c r="F601" s="92" t="s">
        <v>804</v>
      </c>
      <c r="G601" s="92" t="s">
        <v>813</v>
      </c>
      <c r="H601" s="92" t="s">
        <v>226</v>
      </c>
      <c r="I601" s="86"/>
    </row>
    <row r="602" spans="2:9" ht="15" hidden="1" customHeight="1" x14ac:dyDescent="0.35">
      <c r="B602" s="96" t="s">
        <v>162</v>
      </c>
      <c r="C602" s="92" t="s">
        <v>829</v>
      </c>
      <c r="D602" s="91" t="e">
        <f>VLOOKUP(C602,'[1]Birbank İşçi Siyahı'!$B:$I,8,)</f>
        <v>#N/A</v>
      </c>
      <c r="E602" s="92" t="s">
        <v>803</v>
      </c>
      <c r="F602" s="92" t="s">
        <v>804</v>
      </c>
      <c r="G602" s="92" t="s">
        <v>813</v>
      </c>
      <c r="H602" s="92" t="s">
        <v>226</v>
      </c>
      <c r="I602" s="86"/>
    </row>
    <row r="603" spans="2:9" ht="15" hidden="1" customHeight="1" x14ac:dyDescent="0.35">
      <c r="B603" s="96" t="s">
        <v>162</v>
      </c>
      <c r="C603" s="92" t="s">
        <v>830</v>
      </c>
      <c r="D603" s="91" t="e">
        <f>VLOOKUP(C603,'[1]Birbank İşçi Siyahı'!$B:$I,8,)</f>
        <v>#N/A</v>
      </c>
      <c r="E603" s="92" t="s">
        <v>803</v>
      </c>
      <c r="F603" s="92" t="s">
        <v>804</v>
      </c>
      <c r="G603" s="92" t="s">
        <v>813</v>
      </c>
      <c r="H603" s="92" t="s">
        <v>226</v>
      </c>
      <c r="I603" s="86"/>
    </row>
    <row r="604" spans="2:9" ht="15" hidden="1" customHeight="1" x14ac:dyDescent="0.35">
      <c r="B604" s="96" t="s">
        <v>162</v>
      </c>
      <c r="C604" s="92" t="s">
        <v>831</v>
      </c>
      <c r="D604" s="91" t="e">
        <f>VLOOKUP(C604,'[1]Birbank İşçi Siyahı'!$B:$I,8,)</f>
        <v>#N/A</v>
      </c>
      <c r="E604" s="92" t="s">
        <v>803</v>
      </c>
      <c r="F604" s="92" t="s">
        <v>804</v>
      </c>
      <c r="G604" s="92" t="s">
        <v>813</v>
      </c>
      <c r="H604" s="92" t="s">
        <v>226</v>
      </c>
      <c r="I604" s="86"/>
    </row>
    <row r="605" spans="2:9" ht="15" hidden="1" customHeight="1" x14ac:dyDescent="0.35">
      <c r="B605" s="96" t="s">
        <v>162</v>
      </c>
      <c r="C605" s="91" t="s">
        <v>909</v>
      </c>
      <c r="D605" s="91"/>
      <c r="E605" s="91" t="s">
        <v>910</v>
      </c>
      <c r="F605" s="91"/>
      <c r="G605" s="91" t="s">
        <v>911</v>
      </c>
      <c r="H605" s="92" t="s">
        <v>227</v>
      </c>
      <c r="I605" s="86"/>
    </row>
    <row r="606" spans="2:9" ht="15" hidden="1" customHeight="1" x14ac:dyDescent="0.35">
      <c r="B606" s="96" t="s">
        <v>162</v>
      </c>
      <c r="C606" s="91" t="s">
        <v>912</v>
      </c>
      <c r="D606" s="91"/>
      <c r="E606" s="91" t="s">
        <v>910</v>
      </c>
      <c r="F606" s="91"/>
      <c r="G606" s="91" t="s">
        <v>911</v>
      </c>
      <c r="H606" s="92" t="s">
        <v>227</v>
      </c>
      <c r="I606" s="86"/>
    </row>
    <row r="607" spans="2:9" ht="15" hidden="1" customHeight="1" x14ac:dyDescent="0.35">
      <c r="B607" s="96" t="s">
        <v>162</v>
      </c>
      <c r="C607" s="91" t="s">
        <v>913</v>
      </c>
      <c r="D607" s="91"/>
      <c r="E607" s="91" t="s">
        <v>910</v>
      </c>
      <c r="F607" s="91"/>
      <c r="G607" s="91" t="s">
        <v>911</v>
      </c>
      <c r="H607" s="92" t="s">
        <v>227</v>
      </c>
      <c r="I607" s="86"/>
    </row>
    <row r="608" spans="2:9" ht="15" hidden="1" customHeight="1" x14ac:dyDescent="0.35">
      <c r="B608" s="96" t="s">
        <v>162</v>
      </c>
      <c r="C608" s="91" t="s">
        <v>914</v>
      </c>
      <c r="D608" s="91"/>
      <c r="E608" s="91" t="s">
        <v>910</v>
      </c>
      <c r="F608" s="91"/>
      <c r="G608" s="91" t="s">
        <v>911</v>
      </c>
      <c r="H608" s="92" t="s">
        <v>227</v>
      </c>
      <c r="I608" s="86"/>
    </row>
    <row r="609" spans="2:9" ht="15" hidden="1" customHeight="1" x14ac:dyDescent="0.35">
      <c r="B609" s="96" t="s">
        <v>162</v>
      </c>
      <c r="C609" s="92" t="s">
        <v>927</v>
      </c>
      <c r="D609" s="91"/>
      <c r="E609" s="92" t="s">
        <v>915</v>
      </c>
      <c r="F609" s="92" t="s">
        <v>33</v>
      </c>
      <c r="G609" s="92" t="s">
        <v>459</v>
      </c>
      <c r="H609" s="92" t="s">
        <v>227</v>
      </c>
      <c r="I609" s="86"/>
    </row>
    <row r="610" spans="2:9" ht="15" hidden="1" customHeight="1" x14ac:dyDescent="0.35">
      <c r="B610" s="96" t="s">
        <v>162</v>
      </c>
      <c r="C610" s="92" t="s">
        <v>928</v>
      </c>
      <c r="D610" s="91"/>
      <c r="E610" s="92" t="s">
        <v>915</v>
      </c>
      <c r="F610" s="92" t="s">
        <v>33</v>
      </c>
      <c r="G610" s="92" t="s">
        <v>460</v>
      </c>
      <c r="H610" s="92" t="s">
        <v>227</v>
      </c>
      <c r="I610" s="86"/>
    </row>
    <row r="611" spans="2:9" ht="15" hidden="1" customHeight="1" x14ac:dyDescent="0.35">
      <c r="B611" s="96" t="s">
        <v>162</v>
      </c>
      <c r="C611" s="92" t="s">
        <v>929</v>
      </c>
      <c r="D611" s="91"/>
      <c r="E611" s="92" t="s">
        <v>915</v>
      </c>
      <c r="F611" s="92" t="s">
        <v>33</v>
      </c>
      <c r="G611" s="92" t="s">
        <v>187</v>
      </c>
      <c r="H611" s="92" t="s">
        <v>227</v>
      </c>
      <c r="I611" s="86"/>
    </row>
    <row r="612" spans="2:9" ht="15" hidden="1" customHeight="1" x14ac:dyDescent="0.35">
      <c r="B612" s="96" t="s">
        <v>162</v>
      </c>
      <c r="C612" s="92" t="s">
        <v>930</v>
      </c>
      <c r="D612" s="91"/>
      <c r="E612" s="92" t="s">
        <v>915</v>
      </c>
      <c r="F612" s="92" t="s">
        <v>916</v>
      </c>
      <c r="G612" s="92" t="s">
        <v>181</v>
      </c>
      <c r="H612" s="92" t="s">
        <v>227</v>
      </c>
      <c r="I612" s="86"/>
    </row>
    <row r="613" spans="2:9" ht="15" hidden="1" customHeight="1" x14ac:dyDescent="0.35">
      <c r="B613" s="96" t="s">
        <v>162</v>
      </c>
      <c r="C613" s="92" t="s">
        <v>931</v>
      </c>
      <c r="D613" s="91"/>
      <c r="E613" s="92" t="s">
        <v>915</v>
      </c>
      <c r="F613" s="92" t="s">
        <v>916</v>
      </c>
      <c r="G613" s="92" t="s">
        <v>187</v>
      </c>
      <c r="H613" s="92" t="s">
        <v>227</v>
      </c>
      <c r="I613" s="86"/>
    </row>
    <row r="614" spans="2:9" ht="15" hidden="1" customHeight="1" x14ac:dyDescent="0.35">
      <c r="B614" s="96" t="s">
        <v>162</v>
      </c>
      <c r="C614" s="92" t="s">
        <v>932</v>
      </c>
      <c r="D614" s="91"/>
      <c r="E614" s="92" t="s">
        <v>915</v>
      </c>
      <c r="F614" s="92" t="s">
        <v>916</v>
      </c>
      <c r="G614" s="92" t="s">
        <v>181</v>
      </c>
      <c r="H614" s="92" t="s">
        <v>227</v>
      </c>
      <c r="I614" s="86"/>
    </row>
    <row r="615" spans="2:9" ht="15" hidden="1" customHeight="1" x14ac:dyDescent="0.35">
      <c r="B615" s="96" t="s">
        <v>162</v>
      </c>
      <c r="C615" s="92" t="s">
        <v>933</v>
      </c>
      <c r="D615" s="91"/>
      <c r="E615" s="92" t="s">
        <v>915</v>
      </c>
      <c r="F615" s="92" t="s">
        <v>916</v>
      </c>
      <c r="G615" s="92" t="s">
        <v>187</v>
      </c>
      <c r="H615" s="92" t="s">
        <v>227</v>
      </c>
      <c r="I615" s="86"/>
    </row>
    <row r="616" spans="2:9" ht="15" hidden="1" customHeight="1" x14ac:dyDescent="0.35">
      <c r="B616" s="96" t="s">
        <v>162</v>
      </c>
      <c r="C616" s="92" t="s">
        <v>934</v>
      </c>
      <c r="D616" s="91"/>
      <c r="E616" s="92" t="s">
        <v>915</v>
      </c>
      <c r="F616" s="92" t="s">
        <v>916</v>
      </c>
      <c r="G616" s="92" t="s">
        <v>300</v>
      </c>
      <c r="H616" s="92" t="s">
        <v>227</v>
      </c>
      <c r="I616" s="86"/>
    </row>
    <row r="617" spans="2:9" ht="15" hidden="1" customHeight="1" x14ac:dyDescent="0.35">
      <c r="B617" s="96" t="s">
        <v>162</v>
      </c>
      <c r="C617" s="92" t="s">
        <v>935</v>
      </c>
      <c r="D617" s="91"/>
      <c r="E617" s="92" t="s">
        <v>915</v>
      </c>
      <c r="F617" s="92" t="s">
        <v>916</v>
      </c>
      <c r="G617" s="92" t="s">
        <v>300</v>
      </c>
      <c r="H617" s="92" t="s">
        <v>227</v>
      </c>
      <c r="I617" s="86"/>
    </row>
    <row r="618" spans="2:9" ht="15" hidden="1" customHeight="1" x14ac:dyDescent="0.35">
      <c r="B618" s="96" t="s">
        <v>162</v>
      </c>
      <c r="C618" s="92" t="s">
        <v>936</v>
      </c>
      <c r="D618" s="91"/>
      <c r="E618" s="92" t="s">
        <v>915</v>
      </c>
      <c r="F618" s="92" t="s">
        <v>916</v>
      </c>
      <c r="G618" s="92" t="s">
        <v>300</v>
      </c>
      <c r="H618" s="92" t="s">
        <v>227</v>
      </c>
      <c r="I618" s="86"/>
    </row>
    <row r="619" spans="2:9" ht="15" hidden="1" customHeight="1" x14ac:dyDescent="0.35">
      <c r="B619" s="96" t="s">
        <v>162</v>
      </c>
      <c r="C619" s="92" t="s">
        <v>937</v>
      </c>
      <c r="D619" s="91"/>
      <c r="E619" s="92" t="s">
        <v>915</v>
      </c>
      <c r="F619" s="92" t="s">
        <v>916</v>
      </c>
      <c r="G619" s="92" t="s">
        <v>183</v>
      </c>
      <c r="H619" s="92" t="s">
        <v>227</v>
      </c>
      <c r="I619" s="86"/>
    </row>
    <row r="620" spans="2:9" ht="15" hidden="1" customHeight="1" x14ac:dyDescent="0.35">
      <c r="B620" s="96" t="s">
        <v>162</v>
      </c>
      <c r="C620" s="92" t="s">
        <v>938</v>
      </c>
      <c r="D620" s="91"/>
      <c r="E620" s="92" t="s">
        <v>915</v>
      </c>
      <c r="F620" s="92" t="s">
        <v>916</v>
      </c>
      <c r="G620" s="92" t="s">
        <v>917</v>
      </c>
      <c r="H620" s="92" t="s">
        <v>227</v>
      </c>
      <c r="I620" s="86"/>
    </row>
    <row r="621" spans="2:9" ht="15" hidden="1" customHeight="1" x14ac:dyDescent="0.35">
      <c r="B621" s="96" t="s">
        <v>162</v>
      </c>
      <c r="C621" s="92" t="s">
        <v>939</v>
      </c>
      <c r="D621" s="91"/>
      <c r="E621" s="92" t="s">
        <v>915</v>
      </c>
      <c r="F621" s="92" t="s">
        <v>916</v>
      </c>
      <c r="G621" s="92" t="s">
        <v>183</v>
      </c>
      <c r="H621" s="92" t="s">
        <v>227</v>
      </c>
      <c r="I621" s="86"/>
    </row>
    <row r="622" spans="2:9" ht="15" hidden="1" customHeight="1" x14ac:dyDescent="0.35">
      <c r="B622" s="96" t="s">
        <v>162</v>
      </c>
      <c r="C622" s="92" t="s">
        <v>940</v>
      </c>
      <c r="D622" s="91"/>
      <c r="E622" s="92" t="s">
        <v>915</v>
      </c>
      <c r="F622" s="92" t="s">
        <v>916</v>
      </c>
      <c r="G622" s="92" t="s">
        <v>183</v>
      </c>
      <c r="H622" s="92" t="s">
        <v>227</v>
      </c>
      <c r="I622" s="86"/>
    </row>
    <row r="623" spans="2:9" ht="15" hidden="1" customHeight="1" x14ac:dyDescent="0.35">
      <c r="B623" s="96" t="s">
        <v>162</v>
      </c>
      <c r="C623" s="92" t="s">
        <v>941</v>
      </c>
      <c r="D623" s="91"/>
      <c r="E623" s="92" t="s">
        <v>915</v>
      </c>
      <c r="F623" s="92" t="s">
        <v>916</v>
      </c>
      <c r="G623" s="92" t="s">
        <v>183</v>
      </c>
      <c r="H623" s="92" t="s">
        <v>227</v>
      </c>
      <c r="I623" s="86"/>
    </row>
    <row r="624" spans="2:9" ht="15" hidden="1" customHeight="1" x14ac:dyDescent="0.35">
      <c r="B624" s="96" t="s">
        <v>162</v>
      </c>
      <c r="C624" s="92" t="s">
        <v>942</v>
      </c>
      <c r="D624" s="91"/>
      <c r="E624" s="92" t="s">
        <v>915</v>
      </c>
      <c r="F624" s="92" t="s">
        <v>916</v>
      </c>
      <c r="G624" s="92" t="s">
        <v>183</v>
      </c>
      <c r="H624" s="92" t="s">
        <v>227</v>
      </c>
      <c r="I624" s="86"/>
    </row>
    <row r="625" spans="2:9" ht="15" hidden="1" customHeight="1" x14ac:dyDescent="0.35">
      <c r="B625" s="96" t="s">
        <v>162</v>
      </c>
      <c r="C625" s="92" t="s">
        <v>943</v>
      </c>
      <c r="D625" s="91"/>
      <c r="E625" s="92" t="s">
        <v>915</v>
      </c>
      <c r="F625" s="92" t="s">
        <v>916</v>
      </c>
      <c r="G625" s="92" t="s">
        <v>183</v>
      </c>
      <c r="H625" s="92" t="s">
        <v>227</v>
      </c>
      <c r="I625" s="86"/>
    </row>
    <row r="626" spans="2:9" ht="15" hidden="1" customHeight="1" x14ac:dyDescent="0.35">
      <c r="B626" s="96" t="s">
        <v>162</v>
      </c>
      <c r="C626" s="92" t="s">
        <v>944</v>
      </c>
      <c r="D626" s="91"/>
      <c r="E626" s="92" t="s">
        <v>915</v>
      </c>
      <c r="F626" s="92" t="s">
        <v>916</v>
      </c>
      <c r="G626" s="92" t="s">
        <v>184</v>
      </c>
      <c r="H626" s="92" t="s">
        <v>227</v>
      </c>
      <c r="I626" s="86"/>
    </row>
    <row r="627" spans="2:9" ht="15" hidden="1" customHeight="1" x14ac:dyDescent="0.35">
      <c r="B627" s="96" t="s">
        <v>162</v>
      </c>
      <c r="C627" s="92" t="s">
        <v>945</v>
      </c>
      <c r="D627" s="91"/>
      <c r="E627" s="92" t="s">
        <v>915</v>
      </c>
      <c r="F627" s="92" t="s">
        <v>916</v>
      </c>
      <c r="G627" s="92" t="s">
        <v>184</v>
      </c>
      <c r="H627" s="92" t="s">
        <v>227</v>
      </c>
      <c r="I627" s="86"/>
    </row>
    <row r="628" spans="2:9" ht="15" hidden="1" customHeight="1" x14ac:dyDescent="0.35">
      <c r="B628" s="96" t="s">
        <v>162</v>
      </c>
      <c r="C628" s="92" t="s">
        <v>946</v>
      </c>
      <c r="D628" s="91"/>
      <c r="E628" s="92" t="s">
        <v>915</v>
      </c>
      <c r="F628" s="92" t="s">
        <v>918</v>
      </c>
      <c r="G628" s="92" t="s">
        <v>181</v>
      </c>
      <c r="H628" s="92" t="s">
        <v>227</v>
      </c>
      <c r="I628" s="86"/>
    </row>
    <row r="629" spans="2:9" ht="15" hidden="1" customHeight="1" x14ac:dyDescent="0.35">
      <c r="B629" s="96" t="s">
        <v>162</v>
      </c>
      <c r="C629" s="92" t="s">
        <v>919</v>
      </c>
      <c r="D629" s="91"/>
      <c r="E629" s="92" t="s">
        <v>915</v>
      </c>
      <c r="F629" s="92" t="s">
        <v>918</v>
      </c>
      <c r="G629" s="92" t="s">
        <v>187</v>
      </c>
      <c r="H629" s="92" t="s">
        <v>227</v>
      </c>
      <c r="I629" s="86"/>
    </row>
    <row r="630" spans="2:9" ht="15" hidden="1" customHeight="1" x14ac:dyDescent="0.35">
      <c r="B630" s="96" t="s">
        <v>162</v>
      </c>
      <c r="C630" s="92" t="s">
        <v>947</v>
      </c>
      <c r="D630" s="91"/>
      <c r="E630" s="92" t="s">
        <v>915</v>
      </c>
      <c r="F630" s="92" t="s">
        <v>918</v>
      </c>
      <c r="G630" s="92" t="s">
        <v>187</v>
      </c>
      <c r="H630" s="92" t="s">
        <v>227</v>
      </c>
      <c r="I630" s="86"/>
    </row>
    <row r="631" spans="2:9" ht="15" hidden="1" customHeight="1" x14ac:dyDescent="0.35">
      <c r="B631" s="96" t="s">
        <v>162</v>
      </c>
      <c r="C631" s="92" t="s">
        <v>948</v>
      </c>
      <c r="D631" s="91"/>
      <c r="E631" s="92" t="s">
        <v>915</v>
      </c>
      <c r="F631" s="92" t="s">
        <v>918</v>
      </c>
      <c r="G631" s="92" t="s">
        <v>300</v>
      </c>
      <c r="H631" s="92" t="s">
        <v>227</v>
      </c>
      <c r="I631" s="86"/>
    </row>
    <row r="632" spans="2:9" ht="15" hidden="1" customHeight="1" x14ac:dyDescent="0.35">
      <c r="B632" s="96" t="s">
        <v>162</v>
      </c>
      <c r="C632" s="92" t="s">
        <v>949</v>
      </c>
      <c r="D632" s="91"/>
      <c r="E632" s="92" t="s">
        <v>915</v>
      </c>
      <c r="F632" s="92" t="s">
        <v>918</v>
      </c>
      <c r="G632" s="92" t="s">
        <v>300</v>
      </c>
      <c r="H632" s="92" t="s">
        <v>227</v>
      </c>
      <c r="I632" s="86"/>
    </row>
    <row r="633" spans="2:9" ht="15" hidden="1" customHeight="1" x14ac:dyDescent="0.35">
      <c r="B633" s="96" t="s">
        <v>162</v>
      </c>
      <c r="C633" s="92" t="s">
        <v>950</v>
      </c>
      <c r="D633" s="91"/>
      <c r="E633" s="92" t="s">
        <v>915</v>
      </c>
      <c r="F633" s="92" t="s">
        <v>918</v>
      </c>
      <c r="G633" s="92" t="s">
        <v>183</v>
      </c>
      <c r="H633" s="92" t="s">
        <v>227</v>
      </c>
      <c r="I633" s="86"/>
    </row>
    <row r="634" spans="2:9" ht="15" hidden="1" customHeight="1" x14ac:dyDescent="0.35">
      <c r="B634" s="96" t="s">
        <v>162</v>
      </c>
      <c r="C634" s="92" t="s">
        <v>951</v>
      </c>
      <c r="D634" s="91"/>
      <c r="E634" s="92" t="s">
        <v>915</v>
      </c>
      <c r="F634" s="92" t="s">
        <v>918</v>
      </c>
      <c r="G634" s="92" t="s">
        <v>300</v>
      </c>
      <c r="H634" s="92" t="s">
        <v>227</v>
      </c>
      <c r="I634" s="86"/>
    </row>
    <row r="635" spans="2:9" ht="15" hidden="1" customHeight="1" x14ac:dyDescent="0.35">
      <c r="B635" s="96" t="s">
        <v>162</v>
      </c>
      <c r="C635" s="92" t="s">
        <v>952</v>
      </c>
      <c r="D635" s="91"/>
      <c r="E635" s="92" t="s">
        <v>915</v>
      </c>
      <c r="F635" s="92" t="s">
        <v>918</v>
      </c>
      <c r="G635" s="92" t="s">
        <v>183</v>
      </c>
      <c r="H635" s="92" t="s">
        <v>227</v>
      </c>
      <c r="I635" s="86"/>
    </row>
    <row r="636" spans="2:9" ht="15" hidden="1" customHeight="1" x14ac:dyDescent="0.35">
      <c r="B636" s="96" t="s">
        <v>162</v>
      </c>
      <c r="C636" s="92" t="s">
        <v>953</v>
      </c>
      <c r="D636" s="91"/>
      <c r="E636" s="92" t="s">
        <v>915</v>
      </c>
      <c r="F636" s="92" t="s">
        <v>918</v>
      </c>
      <c r="G636" s="92" t="s">
        <v>184</v>
      </c>
      <c r="H636" s="92" t="s">
        <v>227</v>
      </c>
      <c r="I636" s="86"/>
    </row>
    <row r="637" spans="2:9" ht="15" hidden="1" customHeight="1" x14ac:dyDescent="0.35">
      <c r="B637" s="96" t="s">
        <v>162</v>
      </c>
      <c r="C637" s="92" t="s">
        <v>920</v>
      </c>
      <c r="D637" s="91"/>
      <c r="E637" s="92" t="s">
        <v>915</v>
      </c>
      <c r="F637" s="92" t="s">
        <v>918</v>
      </c>
      <c r="G637" s="92" t="s">
        <v>184</v>
      </c>
      <c r="H637" s="92" t="s">
        <v>227</v>
      </c>
      <c r="I637" s="86"/>
    </row>
    <row r="638" spans="2:9" ht="15" hidden="1" customHeight="1" x14ac:dyDescent="0.35">
      <c r="B638" s="96" t="s">
        <v>162</v>
      </c>
      <c r="C638" s="92" t="s">
        <v>954</v>
      </c>
      <c r="D638" s="91"/>
      <c r="E638" s="92" t="s">
        <v>915</v>
      </c>
      <c r="F638" s="92" t="s">
        <v>918</v>
      </c>
      <c r="G638" s="92" t="s">
        <v>921</v>
      </c>
      <c r="H638" s="92" t="s">
        <v>227</v>
      </c>
      <c r="I638" s="86"/>
    </row>
    <row r="639" spans="2:9" ht="15" hidden="1" customHeight="1" x14ac:dyDescent="0.35">
      <c r="B639" s="96" t="s">
        <v>162</v>
      </c>
      <c r="C639" s="92" t="s">
        <v>955</v>
      </c>
      <c r="D639" s="91"/>
      <c r="E639" s="92" t="s">
        <v>915</v>
      </c>
      <c r="F639" s="92" t="s">
        <v>918</v>
      </c>
      <c r="G639" s="92" t="s">
        <v>184</v>
      </c>
      <c r="H639" s="92" t="s">
        <v>227</v>
      </c>
      <c r="I639" s="86"/>
    </row>
    <row r="640" spans="2:9" ht="15" hidden="1" customHeight="1" x14ac:dyDescent="0.35">
      <c r="B640" s="96" t="s">
        <v>162</v>
      </c>
      <c r="C640" s="92" t="s">
        <v>956</v>
      </c>
      <c r="D640" s="91"/>
      <c r="E640" s="92" t="s">
        <v>915</v>
      </c>
      <c r="F640" s="92" t="s">
        <v>922</v>
      </c>
      <c r="G640" s="92" t="s">
        <v>181</v>
      </c>
      <c r="H640" s="92" t="s">
        <v>227</v>
      </c>
      <c r="I640" s="86"/>
    </row>
    <row r="641" spans="2:9" ht="15" hidden="1" customHeight="1" x14ac:dyDescent="0.35">
      <c r="B641" s="96" t="s">
        <v>162</v>
      </c>
      <c r="C641" s="92" t="s">
        <v>957</v>
      </c>
      <c r="D641" s="91"/>
      <c r="E641" s="92" t="s">
        <v>915</v>
      </c>
      <c r="F641" s="92" t="s">
        <v>922</v>
      </c>
      <c r="G641" s="92" t="s">
        <v>300</v>
      </c>
      <c r="H641" s="92" t="s">
        <v>227</v>
      </c>
      <c r="I641" s="86"/>
    </row>
    <row r="642" spans="2:9" ht="15" hidden="1" customHeight="1" x14ac:dyDescent="0.35">
      <c r="B642" s="96" t="s">
        <v>162</v>
      </c>
      <c r="C642" s="92" t="s">
        <v>958</v>
      </c>
      <c r="D642" s="91"/>
      <c r="E642" s="92" t="s">
        <v>915</v>
      </c>
      <c r="F642" s="92" t="s">
        <v>922</v>
      </c>
      <c r="G642" s="92" t="s">
        <v>183</v>
      </c>
      <c r="H642" s="92" t="s">
        <v>227</v>
      </c>
      <c r="I642" s="86"/>
    </row>
    <row r="643" spans="2:9" ht="15" hidden="1" customHeight="1" x14ac:dyDescent="0.35">
      <c r="B643" s="96" t="s">
        <v>162</v>
      </c>
      <c r="C643" s="92" t="s">
        <v>959</v>
      </c>
      <c r="D643" s="91"/>
      <c r="E643" s="92" t="s">
        <v>915</v>
      </c>
      <c r="F643" s="92" t="s">
        <v>922</v>
      </c>
      <c r="G643" s="92" t="s">
        <v>184</v>
      </c>
      <c r="H643" s="92" t="s">
        <v>227</v>
      </c>
      <c r="I643" s="86"/>
    </row>
    <row r="644" spans="2:9" ht="15" hidden="1" customHeight="1" x14ac:dyDescent="0.35">
      <c r="B644" s="96" t="s">
        <v>162</v>
      </c>
      <c r="C644" s="92" t="s">
        <v>960</v>
      </c>
      <c r="D644" s="91"/>
      <c r="E644" s="92" t="s">
        <v>915</v>
      </c>
      <c r="F644" s="92" t="s">
        <v>922</v>
      </c>
      <c r="G644" s="92" t="s">
        <v>184</v>
      </c>
      <c r="H644" s="92" t="s">
        <v>227</v>
      </c>
      <c r="I644" s="86"/>
    </row>
    <row r="645" spans="2:9" ht="15" hidden="1" customHeight="1" x14ac:dyDescent="0.35">
      <c r="B645" s="96" t="s">
        <v>162</v>
      </c>
      <c r="C645" s="92" t="s">
        <v>961</v>
      </c>
      <c r="D645" s="91"/>
      <c r="E645" s="92" t="s">
        <v>915</v>
      </c>
      <c r="F645" s="92" t="s">
        <v>922</v>
      </c>
      <c r="G645" s="92" t="s">
        <v>183</v>
      </c>
      <c r="H645" s="92" t="s">
        <v>227</v>
      </c>
      <c r="I645" s="86"/>
    </row>
    <row r="646" spans="2:9" ht="15" hidden="1" customHeight="1" x14ac:dyDescent="0.35">
      <c r="B646" s="96" t="s">
        <v>162</v>
      </c>
      <c r="C646" s="92" t="s">
        <v>962</v>
      </c>
      <c r="D646" s="91"/>
      <c r="E646" s="92" t="s">
        <v>915</v>
      </c>
      <c r="F646" s="92" t="s">
        <v>923</v>
      </c>
      <c r="G646" s="92" t="s">
        <v>181</v>
      </c>
      <c r="H646" s="92" t="s">
        <v>227</v>
      </c>
      <c r="I646" s="86"/>
    </row>
    <row r="647" spans="2:9" ht="15" hidden="1" customHeight="1" x14ac:dyDescent="0.35">
      <c r="B647" s="96" t="s">
        <v>162</v>
      </c>
      <c r="C647" s="92" t="s">
        <v>963</v>
      </c>
      <c r="D647" s="91"/>
      <c r="E647" s="92" t="s">
        <v>915</v>
      </c>
      <c r="F647" s="92" t="s">
        <v>924</v>
      </c>
      <c r="G647" s="92" t="s">
        <v>187</v>
      </c>
      <c r="H647" s="92" t="s">
        <v>227</v>
      </c>
      <c r="I647" s="86"/>
    </row>
    <row r="648" spans="2:9" ht="15" hidden="1" customHeight="1" x14ac:dyDescent="0.35">
      <c r="B648" s="96" t="s">
        <v>162</v>
      </c>
      <c r="C648" s="92" t="s">
        <v>964</v>
      </c>
      <c r="D648" s="91"/>
      <c r="E648" s="92" t="s">
        <v>915</v>
      </c>
      <c r="F648" s="92" t="s">
        <v>923</v>
      </c>
      <c r="G648" s="92" t="s">
        <v>187</v>
      </c>
      <c r="H648" s="92" t="s">
        <v>227</v>
      </c>
      <c r="I648" s="86"/>
    </row>
    <row r="649" spans="2:9" ht="15" hidden="1" customHeight="1" x14ac:dyDescent="0.35">
      <c r="B649" s="96" t="s">
        <v>162</v>
      </c>
      <c r="C649" s="92" t="s">
        <v>965</v>
      </c>
      <c r="D649" s="91"/>
      <c r="E649" s="92" t="s">
        <v>915</v>
      </c>
      <c r="F649" s="92" t="s">
        <v>923</v>
      </c>
      <c r="G649" s="92" t="s">
        <v>187</v>
      </c>
      <c r="H649" s="92" t="s">
        <v>227</v>
      </c>
      <c r="I649" s="86"/>
    </row>
    <row r="650" spans="2:9" ht="15" hidden="1" customHeight="1" x14ac:dyDescent="0.35">
      <c r="B650" s="96" t="s">
        <v>162</v>
      </c>
      <c r="C650" s="92" t="s">
        <v>966</v>
      </c>
      <c r="D650" s="91"/>
      <c r="E650" s="92" t="s">
        <v>915</v>
      </c>
      <c r="F650" s="92" t="s">
        <v>923</v>
      </c>
      <c r="G650" s="92" t="s">
        <v>300</v>
      </c>
      <c r="H650" s="92" t="s">
        <v>227</v>
      </c>
      <c r="I650" s="86"/>
    </row>
    <row r="651" spans="2:9" ht="15" hidden="1" customHeight="1" x14ac:dyDescent="0.35">
      <c r="B651" s="96" t="s">
        <v>164</v>
      </c>
      <c r="C651" s="92" t="s">
        <v>967</v>
      </c>
      <c r="D651" s="91" t="str">
        <f>VLOOKUP(C651,'[1]Birbank İşçi Siyahı'!$B:$I,8,)</f>
        <v>BirMarket</v>
      </c>
      <c r="E651" s="92" t="s">
        <v>915</v>
      </c>
      <c r="F651" s="92" t="s">
        <v>925</v>
      </c>
      <c r="G651" s="92" t="s">
        <v>183</v>
      </c>
      <c r="H651" s="92" t="s">
        <v>227</v>
      </c>
      <c r="I651" s="86"/>
    </row>
    <row r="652" spans="2:9" ht="15" hidden="1" customHeight="1" x14ac:dyDescent="0.35">
      <c r="B652" s="96" t="s">
        <v>171</v>
      </c>
      <c r="C652" s="92" t="s">
        <v>968</v>
      </c>
      <c r="D652" s="91" t="str">
        <f>VLOOKUP(C652,'[1]Birbank İşçi Siyahı'!$B:$I,8,)</f>
        <v>Bir Payment</v>
      </c>
      <c r="E652" s="92" t="s">
        <v>915</v>
      </c>
      <c r="F652" s="92" t="s">
        <v>925</v>
      </c>
      <c r="G652" s="92" t="s">
        <v>300</v>
      </c>
      <c r="H652" s="92" t="s">
        <v>227</v>
      </c>
      <c r="I652" s="86"/>
    </row>
    <row r="653" spans="2:9" ht="15" hidden="1" customHeight="1" x14ac:dyDescent="0.35">
      <c r="B653" s="96" t="s">
        <v>162</v>
      </c>
      <c r="C653" s="92" t="s">
        <v>1761</v>
      </c>
      <c r="D653" s="91" t="e">
        <f>VLOOKUP(C653,'[1]Birbank İşçi Siyahı'!$B:$I,8,)</f>
        <v>#N/A</v>
      </c>
      <c r="E653" s="92" t="s">
        <v>915</v>
      </c>
      <c r="F653" s="92" t="s">
        <v>925</v>
      </c>
      <c r="G653" s="92" t="s">
        <v>300</v>
      </c>
      <c r="H653" s="92" t="s">
        <v>227</v>
      </c>
      <c r="I653" s="86"/>
    </row>
    <row r="654" spans="2:9" ht="15" hidden="1" customHeight="1" x14ac:dyDescent="0.35">
      <c r="B654" s="96" t="s">
        <v>171</v>
      </c>
      <c r="C654" s="92" t="s">
        <v>969</v>
      </c>
      <c r="D654" s="91" t="str">
        <f>VLOOKUP(C654,'[1]Birbank İşçi Siyahı'!$B:$I,8,)</f>
        <v>Bir Payment</v>
      </c>
      <c r="E654" s="92" t="s">
        <v>915</v>
      </c>
      <c r="F654" s="92" t="s">
        <v>925</v>
      </c>
      <c r="G654" s="92" t="s">
        <v>300</v>
      </c>
      <c r="H654" s="92" t="s">
        <v>227</v>
      </c>
      <c r="I654" s="86"/>
    </row>
    <row r="655" spans="2:9" ht="15" hidden="1" customHeight="1" x14ac:dyDescent="0.35">
      <c r="B655" s="96" t="s">
        <v>162</v>
      </c>
      <c r="C655" s="92" t="s">
        <v>970</v>
      </c>
      <c r="D655" s="91"/>
      <c r="E655" s="92" t="s">
        <v>915</v>
      </c>
      <c r="F655" s="92" t="s">
        <v>923</v>
      </c>
      <c r="G655" s="92" t="s">
        <v>183</v>
      </c>
      <c r="H655" s="92" t="s">
        <v>227</v>
      </c>
      <c r="I655" s="86"/>
    </row>
    <row r="656" spans="2:9" ht="15" hidden="1" customHeight="1" x14ac:dyDescent="0.35">
      <c r="B656" s="96" t="s">
        <v>162</v>
      </c>
      <c r="C656" s="92" t="s">
        <v>1762</v>
      </c>
      <c r="D656" s="91" t="e">
        <f>VLOOKUP(C656,'[1]Birbank İşçi Siyahı'!$B:$I,8,)</f>
        <v>#N/A</v>
      </c>
      <c r="E656" s="92" t="s">
        <v>915</v>
      </c>
      <c r="F656" s="92" t="s">
        <v>924</v>
      </c>
      <c r="G656" s="92" t="s">
        <v>184</v>
      </c>
      <c r="H656" s="92" t="s">
        <v>227</v>
      </c>
      <c r="I656" s="86"/>
    </row>
    <row r="657" spans="2:9" ht="15" hidden="1" customHeight="1" x14ac:dyDescent="0.35">
      <c r="B657" s="96" t="s">
        <v>162</v>
      </c>
      <c r="C657" s="92" t="s">
        <v>971</v>
      </c>
      <c r="D657" s="91"/>
      <c r="E657" s="92" t="s">
        <v>915</v>
      </c>
      <c r="F657" s="92" t="s">
        <v>923</v>
      </c>
      <c r="G657" s="92" t="s">
        <v>184</v>
      </c>
      <c r="H657" s="92" t="s">
        <v>227</v>
      </c>
      <c r="I657" s="86"/>
    </row>
    <row r="658" spans="2:9" ht="15" hidden="1" customHeight="1" x14ac:dyDescent="0.35">
      <c r="B658" s="96" t="s">
        <v>162</v>
      </c>
      <c r="C658" s="92" t="s">
        <v>972</v>
      </c>
      <c r="D658" s="91"/>
      <c r="E658" s="92" t="s">
        <v>915</v>
      </c>
      <c r="F658" s="92" t="s">
        <v>926</v>
      </c>
      <c r="G658" s="92" t="s">
        <v>187</v>
      </c>
      <c r="H658" s="92" t="s">
        <v>227</v>
      </c>
      <c r="I658" s="86"/>
    </row>
    <row r="659" spans="2:9" ht="15" hidden="1" customHeight="1" x14ac:dyDescent="0.35">
      <c r="B659" s="96" t="s">
        <v>162</v>
      </c>
      <c r="C659" s="92" t="s">
        <v>973</v>
      </c>
      <c r="D659" s="91"/>
      <c r="E659" s="92" t="s">
        <v>915</v>
      </c>
      <c r="F659" s="92" t="s">
        <v>926</v>
      </c>
      <c r="G659" s="92" t="s">
        <v>187</v>
      </c>
      <c r="H659" s="92" t="s">
        <v>227</v>
      </c>
      <c r="I659" s="86"/>
    </row>
    <row r="660" spans="2:9" ht="15" hidden="1" customHeight="1" x14ac:dyDescent="0.35">
      <c r="B660" s="96" t="s">
        <v>162</v>
      </c>
      <c r="C660" s="92" t="s">
        <v>974</v>
      </c>
      <c r="D660" s="91"/>
      <c r="E660" s="92" t="s">
        <v>915</v>
      </c>
      <c r="F660" s="92" t="s">
        <v>926</v>
      </c>
      <c r="G660" s="92" t="s">
        <v>184</v>
      </c>
      <c r="H660" s="92" t="s">
        <v>227</v>
      </c>
      <c r="I660" s="86"/>
    </row>
    <row r="661" spans="2:9" ht="15" hidden="1" customHeight="1" x14ac:dyDescent="0.35">
      <c r="B661" s="96" t="s">
        <v>162</v>
      </c>
      <c r="C661" s="92" t="s">
        <v>975</v>
      </c>
      <c r="D661" s="91"/>
      <c r="E661" s="92" t="s">
        <v>915</v>
      </c>
      <c r="F661" s="92" t="s">
        <v>926</v>
      </c>
      <c r="G661" s="92" t="s">
        <v>468</v>
      </c>
      <c r="H661" s="92" t="s">
        <v>227</v>
      </c>
      <c r="I661" s="86"/>
    </row>
    <row r="662" spans="2:9" ht="15" hidden="1" customHeight="1" x14ac:dyDescent="0.35">
      <c r="B662" s="96" t="s">
        <v>162</v>
      </c>
      <c r="C662" s="92" t="s">
        <v>976</v>
      </c>
      <c r="D662" s="91"/>
      <c r="E662" s="92" t="s">
        <v>915</v>
      </c>
      <c r="F662" s="92" t="s">
        <v>926</v>
      </c>
      <c r="G662" s="92" t="s">
        <v>184</v>
      </c>
      <c r="H662" s="92" t="s">
        <v>227</v>
      </c>
      <c r="I662" s="86"/>
    </row>
    <row r="663" spans="2:9" ht="15" hidden="1" customHeight="1" x14ac:dyDescent="0.35">
      <c r="B663" s="96" t="s">
        <v>162</v>
      </c>
      <c r="C663" s="92" t="s">
        <v>977</v>
      </c>
      <c r="D663" s="91"/>
      <c r="E663" s="92" t="s">
        <v>978</v>
      </c>
      <c r="F663" s="92" t="s">
        <v>33</v>
      </c>
      <c r="G663" s="92" t="s">
        <v>187</v>
      </c>
      <c r="H663" s="92" t="s">
        <v>227</v>
      </c>
      <c r="I663" s="86"/>
    </row>
    <row r="664" spans="2:9" ht="15" hidden="1" customHeight="1" thickBot="1" x14ac:dyDescent="0.4">
      <c r="B664" s="96" t="s">
        <v>162</v>
      </c>
      <c r="C664" s="92" t="s">
        <v>979</v>
      </c>
      <c r="D664" s="91"/>
      <c r="E664" s="92" t="s">
        <v>978</v>
      </c>
      <c r="F664" s="92" t="s">
        <v>33</v>
      </c>
      <c r="G664" s="92" t="s">
        <v>460</v>
      </c>
      <c r="H664" s="92" t="s">
        <v>227</v>
      </c>
      <c r="I664" s="86"/>
    </row>
    <row r="665" spans="2:9" ht="15" hidden="1" customHeight="1" x14ac:dyDescent="0.35">
      <c r="B665" s="97" t="s">
        <v>162</v>
      </c>
      <c r="C665" s="92" t="s">
        <v>996</v>
      </c>
      <c r="D665" s="92"/>
      <c r="E665" s="92" t="s">
        <v>100</v>
      </c>
      <c r="F665" s="92" t="s">
        <v>104</v>
      </c>
      <c r="G665" s="92" t="s">
        <v>980</v>
      </c>
      <c r="H665" s="92" t="s">
        <v>227</v>
      </c>
      <c r="I665" s="87" t="s">
        <v>4</v>
      </c>
    </row>
    <row r="666" spans="2:9" ht="15" hidden="1" customHeight="1" x14ac:dyDescent="0.35">
      <c r="B666" s="96" t="s">
        <v>162</v>
      </c>
      <c r="C666" s="92" t="s">
        <v>997</v>
      </c>
      <c r="D666" s="92"/>
      <c r="E666" s="92" t="s">
        <v>100</v>
      </c>
      <c r="F666" s="92" t="s">
        <v>33</v>
      </c>
      <c r="G666" s="92" t="s">
        <v>981</v>
      </c>
      <c r="H666" s="92" t="s">
        <v>227</v>
      </c>
      <c r="I666" s="88" t="s">
        <v>4</v>
      </c>
    </row>
    <row r="667" spans="2:9" ht="15" hidden="1" customHeight="1" x14ac:dyDescent="0.35">
      <c r="B667" s="96" t="s">
        <v>162</v>
      </c>
      <c r="C667" s="92" t="s">
        <v>998</v>
      </c>
      <c r="D667" s="92"/>
      <c r="E667" s="92" t="s">
        <v>100</v>
      </c>
      <c r="F667" s="92" t="s">
        <v>101</v>
      </c>
      <c r="G667" s="92" t="s">
        <v>982</v>
      </c>
      <c r="H667" s="92" t="s">
        <v>227</v>
      </c>
      <c r="I667" s="88" t="s">
        <v>4</v>
      </c>
    </row>
    <row r="668" spans="2:9" ht="15" hidden="1" customHeight="1" x14ac:dyDescent="0.35">
      <c r="B668" s="96" t="s">
        <v>162</v>
      </c>
      <c r="C668" s="92" t="s">
        <v>999</v>
      </c>
      <c r="D668" s="92"/>
      <c r="E668" s="92" t="s">
        <v>100</v>
      </c>
      <c r="F668" s="92" t="s">
        <v>102</v>
      </c>
      <c r="G668" s="92" t="s">
        <v>982</v>
      </c>
      <c r="H668" s="92" t="s">
        <v>227</v>
      </c>
      <c r="I668" s="88" t="s">
        <v>4</v>
      </c>
    </row>
    <row r="669" spans="2:9" ht="15" hidden="1" customHeight="1" x14ac:dyDescent="0.35">
      <c r="B669" s="96" t="s">
        <v>162</v>
      </c>
      <c r="C669" s="92" t="s">
        <v>1000</v>
      </c>
      <c r="D669" s="92"/>
      <c r="E669" s="92" t="s">
        <v>100</v>
      </c>
      <c r="F669" s="92" t="s">
        <v>102</v>
      </c>
      <c r="G669" s="92" t="s">
        <v>981</v>
      </c>
      <c r="H669" s="92" t="s">
        <v>227</v>
      </c>
      <c r="I669" s="88" t="s">
        <v>4</v>
      </c>
    </row>
    <row r="670" spans="2:9" ht="15" hidden="1" customHeight="1" x14ac:dyDescent="0.35">
      <c r="B670" s="96" t="s">
        <v>162</v>
      </c>
      <c r="C670" s="92" t="s">
        <v>1001</v>
      </c>
      <c r="D670" s="92"/>
      <c r="E670" s="92" t="s">
        <v>100</v>
      </c>
      <c r="F670" s="92" t="s">
        <v>101</v>
      </c>
      <c r="G670" s="92" t="s">
        <v>983</v>
      </c>
      <c r="H670" s="92" t="s">
        <v>227</v>
      </c>
      <c r="I670" s="88" t="s">
        <v>4</v>
      </c>
    </row>
    <row r="671" spans="2:9" ht="15" hidden="1" customHeight="1" x14ac:dyDescent="0.35">
      <c r="B671" s="96" t="s">
        <v>162</v>
      </c>
      <c r="C671" s="92" t="s">
        <v>1002</v>
      </c>
      <c r="D671" s="92"/>
      <c r="E671" s="92" t="s">
        <v>100</v>
      </c>
      <c r="F671" s="92" t="s">
        <v>101</v>
      </c>
      <c r="G671" s="92" t="s">
        <v>982</v>
      </c>
      <c r="H671" s="92" t="s">
        <v>227</v>
      </c>
      <c r="I671" s="88" t="s">
        <v>4</v>
      </c>
    </row>
    <row r="672" spans="2:9" ht="15" hidden="1" customHeight="1" x14ac:dyDescent="0.35">
      <c r="B672" s="96" t="s">
        <v>162</v>
      </c>
      <c r="C672" s="92" t="s">
        <v>1003</v>
      </c>
      <c r="D672" s="92"/>
      <c r="E672" s="92" t="s">
        <v>100</v>
      </c>
      <c r="F672" s="92" t="s">
        <v>104</v>
      </c>
      <c r="G672" s="92" t="s">
        <v>982</v>
      </c>
      <c r="H672" s="92" t="s">
        <v>226</v>
      </c>
      <c r="I672" s="88" t="s">
        <v>4</v>
      </c>
    </row>
    <row r="673" spans="2:9" ht="15" hidden="1" customHeight="1" x14ac:dyDescent="0.35">
      <c r="B673" s="96" t="s">
        <v>162</v>
      </c>
      <c r="C673" s="92" t="s">
        <v>1004</v>
      </c>
      <c r="D673" s="92"/>
      <c r="E673" s="92" t="s">
        <v>100</v>
      </c>
      <c r="F673" s="92" t="s">
        <v>102</v>
      </c>
      <c r="G673" s="92" t="s">
        <v>982</v>
      </c>
      <c r="H673" s="92" t="s">
        <v>226</v>
      </c>
      <c r="I673" s="88" t="s">
        <v>4</v>
      </c>
    </row>
    <row r="674" spans="2:9" ht="15" hidden="1" customHeight="1" x14ac:dyDescent="0.35">
      <c r="B674" s="96" t="s">
        <v>162</v>
      </c>
      <c r="C674" s="92" t="s">
        <v>1005</v>
      </c>
      <c r="D674" s="92"/>
      <c r="E674" s="92" t="s">
        <v>100</v>
      </c>
      <c r="F674" s="92" t="s">
        <v>103</v>
      </c>
      <c r="G674" s="92" t="s">
        <v>982</v>
      </c>
      <c r="H674" s="92" t="s">
        <v>227</v>
      </c>
      <c r="I674" s="88" t="s">
        <v>4</v>
      </c>
    </row>
    <row r="675" spans="2:9" ht="15" hidden="1" customHeight="1" x14ac:dyDescent="0.35">
      <c r="B675" s="96" t="s">
        <v>162</v>
      </c>
      <c r="C675" s="92" t="s">
        <v>1006</v>
      </c>
      <c r="D675" s="92"/>
      <c r="E675" s="92" t="s">
        <v>100</v>
      </c>
      <c r="F675" s="92" t="s">
        <v>101</v>
      </c>
      <c r="G675" s="92" t="s">
        <v>983</v>
      </c>
      <c r="H675" s="92" t="s">
        <v>227</v>
      </c>
      <c r="I675" s="88" t="s">
        <v>4</v>
      </c>
    </row>
    <row r="676" spans="2:9" ht="15" hidden="1" customHeight="1" x14ac:dyDescent="0.35">
      <c r="B676" s="96" t="s">
        <v>162</v>
      </c>
      <c r="C676" s="92" t="s">
        <v>1007</v>
      </c>
      <c r="D676" s="92"/>
      <c r="E676" s="92" t="s">
        <v>100</v>
      </c>
      <c r="F676" s="92" t="s">
        <v>104</v>
      </c>
      <c r="G676" s="92" t="s">
        <v>983</v>
      </c>
      <c r="H676" s="92" t="s">
        <v>227</v>
      </c>
      <c r="I676" s="88" t="s">
        <v>4</v>
      </c>
    </row>
    <row r="677" spans="2:9" ht="15" hidden="1" customHeight="1" x14ac:dyDescent="0.35">
      <c r="B677" s="96" t="s">
        <v>162</v>
      </c>
      <c r="C677" s="92" t="s">
        <v>1008</v>
      </c>
      <c r="D677" s="92"/>
      <c r="E677" s="92" t="s">
        <v>100</v>
      </c>
      <c r="F677" s="92" t="s">
        <v>101</v>
      </c>
      <c r="G677" s="92" t="s">
        <v>981</v>
      </c>
      <c r="H677" s="92" t="s">
        <v>227</v>
      </c>
      <c r="I677" s="88" t="s">
        <v>4</v>
      </c>
    </row>
    <row r="678" spans="2:9" ht="15" hidden="1" customHeight="1" x14ac:dyDescent="0.35">
      <c r="B678" s="96" t="s">
        <v>162</v>
      </c>
      <c r="C678" s="92" t="s">
        <v>1009</v>
      </c>
      <c r="D678" s="92"/>
      <c r="E678" s="92" t="s">
        <v>100</v>
      </c>
      <c r="F678" s="92" t="s">
        <v>102</v>
      </c>
      <c r="G678" s="92" t="s">
        <v>984</v>
      </c>
      <c r="H678" s="92" t="s">
        <v>227</v>
      </c>
      <c r="I678" s="88" t="s">
        <v>4</v>
      </c>
    </row>
    <row r="679" spans="2:9" ht="15" hidden="1" customHeight="1" x14ac:dyDescent="0.35">
      <c r="B679" s="96" t="s">
        <v>162</v>
      </c>
      <c r="C679" s="92" t="s">
        <v>1010</v>
      </c>
      <c r="D679" s="92"/>
      <c r="E679" s="92" t="s">
        <v>100</v>
      </c>
      <c r="F679" s="92" t="s">
        <v>103</v>
      </c>
      <c r="G679" s="92" t="s">
        <v>984</v>
      </c>
      <c r="H679" s="92" t="s">
        <v>227</v>
      </c>
      <c r="I679" s="88" t="s">
        <v>985</v>
      </c>
    </row>
    <row r="680" spans="2:9" ht="15" hidden="1" customHeight="1" x14ac:dyDescent="0.35">
      <c r="B680" s="96" t="s">
        <v>162</v>
      </c>
      <c r="C680" s="92" t="s">
        <v>1011</v>
      </c>
      <c r="D680" s="92"/>
      <c r="E680" s="92" t="s">
        <v>100</v>
      </c>
      <c r="F680" s="92" t="s">
        <v>103</v>
      </c>
      <c r="G680" s="92" t="s">
        <v>984</v>
      </c>
      <c r="H680" s="92" t="s">
        <v>226</v>
      </c>
      <c r="I680" s="88" t="s">
        <v>4</v>
      </c>
    </row>
    <row r="681" spans="2:9" ht="15" hidden="1" customHeight="1" x14ac:dyDescent="0.35">
      <c r="B681" s="96" t="s">
        <v>162</v>
      </c>
      <c r="C681" s="92" t="s">
        <v>1012</v>
      </c>
      <c r="D681" s="92"/>
      <c r="E681" s="92" t="s">
        <v>100</v>
      </c>
      <c r="F681" s="92" t="s">
        <v>104</v>
      </c>
      <c r="G681" s="92" t="s">
        <v>984</v>
      </c>
      <c r="H681" s="92" t="s">
        <v>227</v>
      </c>
      <c r="I681" s="88" t="s">
        <v>4</v>
      </c>
    </row>
    <row r="682" spans="2:9" ht="15" hidden="1" customHeight="1" x14ac:dyDescent="0.35">
      <c r="B682" s="96" t="s">
        <v>162</v>
      </c>
      <c r="C682" s="92" t="s">
        <v>1013</v>
      </c>
      <c r="D682" s="92"/>
      <c r="E682" s="92" t="s">
        <v>100</v>
      </c>
      <c r="F682" s="92" t="s">
        <v>104</v>
      </c>
      <c r="G682" s="92" t="s">
        <v>982</v>
      </c>
      <c r="H682" s="92" t="s">
        <v>227</v>
      </c>
      <c r="I682" s="88" t="s">
        <v>4</v>
      </c>
    </row>
    <row r="683" spans="2:9" ht="15" hidden="1" customHeight="1" x14ac:dyDescent="0.35">
      <c r="B683" s="96" t="s">
        <v>162</v>
      </c>
      <c r="C683" s="92" t="s">
        <v>1014</v>
      </c>
      <c r="D683" s="92"/>
      <c r="E683" s="92" t="s">
        <v>100</v>
      </c>
      <c r="F683" s="92" t="s">
        <v>102</v>
      </c>
      <c r="G683" s="92" t="s">
        <v>982</v>
      </c>
      <c r="H683" s="92" t="s">
        <v>227</v>
      </c>
      <c r="I683" s="88" t="s">
        <v>4</v>
      </c>
    </row>
    <row r="684" spans="2:9" ht="15" hidden="1" customHeight="1" x14ac:dyDescent="0.35">
      <c r="B684" s="96" t="s">
        <v>162</v>
      </c>
      <c r="C684" s="92" t="s">
        <v>1015</v>
      </c>
      <c r="D684" s="92"/>
      <c r="E684" s="92" t="s">
        <v>100</v>
      </c>
      <c r="F684" s="92" t="s">
        <v>33</v>
      </c>
      <c r="G684" s="92" t="s">
        <v>986</v>
      </c>
      <c r="H684" s="92" t="s">
        <v>227</v>
      </c>
      <c r="I684" s="88" t="s">
        <v>4</v>
      </c>
    </row>
    <row r="685" spans="2:9" ht="15" hidden="1" customHeight="1" x14ac:dyDescent="0.35">
      <c r="B685" s="96" t="s">
        <v>162</v>
      </c>
      <c r="C685" s="92" t="s">
        <v>1016</v>
      </c>
      <c r="D685" s="92"/>
      <c r="E685" s="92" t="s">
        <v>100</v>
      </c>
      <c r="F685" s="92" t="s">
        <v>104</v>
      </c>
      <c r="G685" s="92" t="s">
        <v>983</v>
      </c>
      <c r="H685" s="92" t="s">
        <v>227</v>
      </c>
      <c r="I685" s="88" t="s">
        <v>4</v>
      </c>
    </row>
    <row r="686" spans="2:9" ht="15" hidden="1" customHeight="1" x14ac:dyDescent="0.35">
      <c r="B686" s="96" t="s">
        <v>162</v>
      </c>
      <c r="C686" s="92" t="s">
        <v>1017</v>
      </c>
      <c r="D686" s="92"/>
      <c r="E686" s="92" t="s">
        <v>100</v>
      </c>
      <c r="F686" s="92" t="s">
        <v>102</v>
      </c>
      <c r="G686" s="92" t="s">
        <v>980</v>
      </c>
      <c r="H686" s="92" t="s">
        <v>227</v>
      </c>
      <c r="I686" s="88" t="s">
        <v>4</v>
      </c>
    </row>
    <row r="687" spans="2:9" ht="15" hidden="1" customHeight="1" x14ac:dyDescent="0.35">
      <c r="B687" s="96" t="s">
        <v>162</v>
      </c>
      <c r="C687" s="92" t="s">
        <v>1018</v>
      </c>
      <c r="D687" s="92"/>
      <c r="E687" s="92" t="s">
        <v>100</v>
      </c>
      <c r="F687" s="92" t="s">
        <v>104</v>
      </c>
      <c r="G687" s="92" t="s">
        <v>983</v>
      </c>
      <c r="H687" s="92" t="s">
        <v>227</v>
      </c>
      <c r="I687" s="88" t="s">
        <v>4</v>
      </c>
    </row>
    <row r="688" spans="2:9" ht="15" hidden="1" customHeight="1" x14ac:dyDescent="0.35">
      <c r="B688" s="96" t="s">
        <v>162</v>
      </c>
      <c r="C688" s="92" t="s">
        <v>1019</v>
      </c>
      <c r="D688" s="92"/>
      <c r="E688" s="92" t="s">
        <v>100</v>
      </c>
      <c r="F688" s="92" t="s">
        <v>101</v>
      </c>
      <c r="G688" s="92" t="s">
        <v>984</v>
      </c>
      <c r="H688" s="92" t="s">
        <v>227</v>
      </c>
      <c r="I688" s="88" t="s">
        <v>4</v>
      </c>
    </row>
    <row r="689" spans="2:9" ht="15" hidden="1" customHeight="1" x14ac:dyDescent="0.35">
      <c r="B689" s="96" t="s">
        <v>162</v>
      </c>
      <c r="C689" s="92" t="s">
        <v>1020</v>
      </c>
      <c r="D689" s="92"/>
      <c r="E689" s="92" t="s">
        <v>100</v>
      </c>
      <c r="F689" s="92" t="s">
        <v>101</v>
      </c>
      <c r="G689" s="92" t="s">
        <v>980</v>
      </c>
      <c r="H689" s="92" t="s">
        <v>227</v>
      </c>
      <c r="I689" s="88" t="s">
        <v>4</v>
      </c>
    </row>
    <row r="690" spans="2:9" ht="15" hidden="1" customHeight="1" x14ac:dyDescent="0.35">
      <c r="B690" s="96" t="s">
        <v>162</v>
      </c>
      <c r="C690" s="92" t="s">
        <v>1021</v>
      </c>
      <c r="D690" s="92"/>
      <c r="E690" s="92" t="s">
        <v>100</v>
      </c>
      <c r="F690" s="92" t="s">
        <v>101</v>
      </c>
      <c r="G690" s="92" t="s">
        <v>982</v>
      </c>
      <c r="H690" s="92" t="s">
        <v>227</v>
      </c>
      <c r="I690" s="88" t="s">
        <v>4</v>
      </c>
    </row>
    <row r="691" spans="2:9" ht="15" hidden="1" customHeight="1" x14ac:dyDescent="0.35">
      <c r="B691" s="96" t="s">
        <v>162</v>
      </c>
      <c r="C691" s="92" t="s">
        <v>1022</v>
      </c>
      <c r="D691" s="92"/>
      <c r="E691" s="92" t="s">
        <v>100</v>
      </c>
      <c r="F691" s="92" t="s">
        <v>33</v>
      </c>
      <c r="G691" s="92" t="s">
        <v>987</v>
      </c>
      <c r="H691" s="92" t="s">
        <v>227</v>
      </c>
      <c r="I691" s="88" t="s">
        <v>4</v>
      </c>
    </row>
    <row r="692" spans="2:9" ht="15" hidden="1" customHeight="1" x14ac:dyDescent="0.35">
      <c r="B692" s="96" t="s">
        <v>162</v>
      </c>
      <c r="C692" s="92" t="s">
        <v>1023</v>
      </c>
      <c r="D692" s="92"/>
      <c r="E692" s="92" t="s">
        <v>100</v>
      </c>
      <c r="F692" s="92" t="s">
        <v>104</v>
      </c>
      <c r="G692" s="92" t="s">
        <v>983</v>
      </c>
      <c r="H692" s="92" t="s">
        <v>227</v>
      </c>
      <c r="I692" s="88" t="s">
        <v>4</v>
      </c>
    </row>
    <row r="693" spans="2:9" ht="15" hidden="1" customHeight="1" x14ac:dyDescent="0.35">
      <c r="B693" s="96" t="s">
        <v>162</v>
      </c>
      <c r="C693" s="92" t="s">
        <v>1024</v>
      </c>
      <c r="D693" s="92"/>
      <c r="E693" s="92" t="s">
        <v>100</v>
      </c>
      <c r="F693" s="92" t="s">
        <v>104</v>
      </c>
      <c r="G693" s="92" t="s">
        <v>984</v>
      </c>
      <c r="H693" s="92" t="s">
        <v>227</v>
      </c>
      <c r="I693" s="88" t="s">
        <v>4</v>
      </c>
    </row>
    <row r="694" spans="2:9" ht="15" hidden="1" customHeight="1" x14ac:dyDescent="0.35">
      <c r="B694" s="96" t="s">
        <v>162</v>
      </c>
      <c r="C694" s="92" t="s">
        <v>1025</v>
      </c>
      <c r="D694" s="92"/>
      <c r="E694" s="92" t="s">
        <v>100</v>
      </c>
      <c r="F694" s="92" t="s">
        <v>103</v>
      </c>
      <c r="G694" s="92" t="s">
        <v>980</v>
      </c>
      <c r="H694" s="92" t="s">
        <v>227</v>
      </c>
      <c r="I694" s="88" t="s">
        <v>4</v>
      </c>
    </row>
    <row r="695" spans="2:9" ht="15" hidden="1" customHeight="1" x14ac:dyDescent="0.35">
      <c r="B695" s="96" t="s">
        <v>162</v>
      </c>
      <c r="C695" s="92" t="s">
        <v>1026</v>
      </c>
      <c r="D695" s="92"/>
      <c r="E695" s="92" t="s">
        <v>100</v>
      </c>
      <c r="F695" s="92" t="s">
        <v>103</v>
      </c>
      <c r="G695" s="92" t="s">
        <v>984</v>
      </c>
      <c r="H695" s="92" t="s">
        <v>227</v>
      </c>
      <c r="I695" s="88" t="s">
        <v>4</v>
      </c>
    </row>
    <row r="696" spans="2:9" ht="15" hidden="1" customHeight="1" x14ac:dyDescent="0.35">
      <c r="B696" s="96" t="s">
        <v>162</v>
      </c>
      <c r="C696" s="92" t="s">
        <v>1027</v>
      </c>
      <c r="D696" s="92"/>
      <c r="E696" s="92" t="s">
        <v>100</v>
      </c>
      <c r="F696" s="92" t="s">
        <v>101</v>
      </c>
      <c r="G696" s="92" t="s">
        <v>984</v>
      </c>
      <c r="H696" s="92" t="s">
        <v>227</v>
      </c>
      <c r="I696" s="88" t="s">
        <v>4</v>
      </c>
    </row>
    <row r="697" spans="2:9" ht="15" hidden="1" customHeight="1" x14ac:dyDescent="0.35">
      <c r="B697" s="96" t="s">
        <v>162</v>
      </c>
      <c r="C697" s="92" t="s">
        <v>1028</v>
      </c>
      <c r="D697" s="92"/>
      <c r="E697" s="92" t="s">
        <v>100</v>
      </c>
      <c r="F697" s="92" t="s">
        <v>101</v>
      </c>
      <c r="G697" s="92" t="s">
        <v>982</v>
      </c>
      <c r="H697" s="92" t="s">
        <v>227</v>
      </c>
      <c r="I697" s="88" t="s">
        <v>4</v>
      </c>
    </row>
    <row r="698" spans="2:9" ht="15" hidden="1" customHeight="1" x14ac:dyDescent="0.35">
      <c r="B698" s="96" t="s">
        <v>162</v>
      </c>
      <c r="C698" s="92" t="s">
        <v>1029</v>
      </c>
      <c r="D698" s="92"/>
      <c r="E698" s="92" t="s">
        <v>100</v>
      </c>
      <c r="F698" s="92" t="s">
        <v>104</v>
      </c>
      <c r="G698" s="92" t="s">
        <v>981</v>
      </c>
      <c r="H698" s="92" t="s">
        <v>227</v>
      </c>
      <c r="I698" s="88" t="s">
        <v>4</v>
      </c>
    </row>
    <row r="699" spans="2:9" ht="15" hidden="1" customHeight="1" x14ac:dyDescent="0.35">
      <c r="B699" s="96" t="s">
        <v>162</v>
      </c>
      <c r="C699" s="92" t="s">
        <v>1030</v>
      </c>
      <c r="D699" s="92"/>
      <c r="E699" s="92" t="s">
        <v>100</v>
      </c>
      <c r="F699" s="92" t="s">
        <v>102</v>
      </c>
      <c r="G699" s="92" t="s">
        <v>984</v>
      </c>
      <c r="H699" s="92" t="s">
        <v>227</v>
      </c>
      <c r="I699" s="88" t="s">
        <v>4</v>
      </c>
    </row>
    <row r="700" spans="2:9" ht="15" hidden="1" customHeight="1" x14ac:dyDescent="0.35">
      <c r="B700" s="96" t="s">
        <v>162</v>
      </c>
      <c r="C700" s="92" t="s">
        <v>1031</v>
      </c>
      <c r="D700" s="92"/>
      <c r="E700" s="92" t="s">
        <v>100</v>
      </c>
      <c r="F700" s="92" t="s">
        <v>103</v>
      </c>
      <c r="G700" s="92" t="s">
        <v>984</v>
      </c>
      <c r="H700" s="92" t="s">
        <v>227</v>
      </c>
      <c r="I700" s="88" t="s">
        <v>4</v>
      </c>
    </row>
    <row r="701" spans="2:9" ht="15" hidden="1" customHeight="1" x14ac:dyDescent="0.35">
      <c r="B701" s="96" t="s">
        <v>162</v>
      </c>
      <c r="C701" s="92" t="s">
        <v>1032</v>
      </c>
      <c r="D701" s="92"/>
      <c r="E701" s="92" t="s">
        <v>100</v>
      </c>
      <c r="F701" s="92" t="s">
        <v>33</v>
      </c>
      <c r="G701" s="92" t="s">
        <v>981</v>
      </c>
      <c r="H701" s="92" t="s">
        <v>227</v>
      </c>
      <c r="I701" s="88" t="s">
        <v>4</v>
      </c>
    </row>
    <row r="702" spans="2:9" ht="15" hidden="1" customHeight="1" x14ac:dyDescent="0.35">
      <c r="B702" s="96" t="s">
        <v>171</v>
      </c>
      <c r="C702" s="92" t="s">
        <v>1033</v>
      </c>
      <c r="D702" s="92"/>
      <c r="E702" s="92" t="s">
        <v>100</v>
      </c>
      <c r="F702" s="92" t="s">
        <v>165</v>
      </c>
      <c r="G702" s="92" t="s">
        <v>988</v>
      </c>
      <c r="H702" s="92" t="s">
        <v>226</v>
      </c>
      <c r="I702" s="88" t="s">
        <v>4</v>
      </c>
    </row>
    <row r="703" spans="2:9" ht="15" hidden="1" customHeight="1" x14ac:dyDescent="0.35">
      <c r="B703" s="96" t="s">
        <v>171</v>
      </c>
      <c r="C703" s="92" t="s">
        <v>1034</v>
      </c>
      <c r="D703" s="92"/>
      <c r="E703" s="92" t="s">
        <v>100</v>
      </c>
      <c r="F703" s="92" t="s">
        <v>165</v>
      </c>
      <c r="G703" s="92" t="s">
        <v>989</v>
      </c>
      <c r="H703" s="92" t="s">
        <v>226</v>
      </c>
      <c r="I703" s="88" t="s">
        <v>990</v>
      </c>
    </row>
    <row r="704" spans="2:9" ht="15" hidden="1" customHeight="1" x14ac:dyDescent="0.35">
      <c r="B704" s="96" t="s">
        <v>171</v>
      </c>
      <c r="C704" s="92" t="s">
        <v>1035</v>
      </c>
      <c r="D704" s="92"/>
      <c r="E704" s="92" t="s">
        <v>100</v>
      </c>
      <c r="F704" s="92" t="s">
        <v>165</v>
      </c>
      <c r="G704" s="92" t="s">
        <v>991</v>
      </c>
      <c r="H704" s="92" t="s">
        <v>226</v>
      </c>
      <c r="I704" s="88" t="s">
        <v>4</v>
      </c>
    </row>
    <row r="705" spans="2:9" ht="15" hidden="1" customHeight="1" x14ac:dyDescent="0.35">
      <c r="B705" s="96" t="s">
        <v>171</v>
      </c>
      <c r="C705" s="92" t="s">
        <v>1036</v>
      </c>
      <c r="D705" s="92"/>
      <c r="E705" s="92" t="s">
        <v>100</v>
      </c>
      <c r="F705" s="92" t="s">
        <v>165</v>
      </c>
      <c r="G705" s="92" t="s">
        <v>991</v>
      </c>
      <c r="H705" s="92" t="s">
        <v>226</v>
      </c>
      <c r="I705" s="88" t="s">
        <v>4</v>
      </c>
    </row>
    <row r="706" spans="2:9" ht="15" hidden="1" customHeight="1" x14ac:dyDescent="0.35">
      <c r="B706" s="96" t="s">
        <v>171</v>
      </c>
      <c r="C706" s="92" t="s">
        <v>1037</v>
      </c>
      <c r="D706" s="92"/>
      <c r="E706" s="92" t="s">
        <v>100</v>
      </c>
      <c r="F706" s="92" t="s">
        <v>165</v>
      </c>
      <c r="G706" s="92" t="s">
        <v>986</v>
      </c>
      <c r="H706" s="92" t="s">
        <v>226</v>
      </c>
      <c r="I706" s="88" t="s">
        <v>4</v>
      </c>
    </row>
    <row r="707" spans="2:9" ht="15" hidden="1" customHeight="1" x14ac:dyDescent="0.35">
      <c r="B707" s="96" t="s">
        <v>171</v>
      </c>
      <c r="C707" s="92" t="s">
        <v>1038</v>
      </c>
      <c r="D707" s="92"/>
      <c r="E707" s="92" t="s">
        <v>100</v>
      </c>
      <c r="F707" s="92" t="s">
        <v>165</v>
      </c>
      <c r="G707" s="92" t="s">
        <v>988</v>
      </c>
      <c r="H707" s="92" t="s">
        <v>226</v>
      </c>
      <c r="I707" s="88" t="s">
        <v>4</v>
      </c>
    </row>
    <row r="708" spans="2:9" ht="15" hidden="1" customHeight="1" x14ac:dyDescent="0.35">
      <c r="B708" s="96" t="s">
        <v>171</v>
      </c>
      <c r="C708" s="92" t="s">
        <v>1039</v>
      </c>
      <c r="D708" s="92"/>
      <c r="E708" s="92" t="s">
        <v>100</v>
      </c>
      <c r="F708" s="92" t="s">
        <v>165</v>
      </c>
      <c r="G708" s="92" t="s">
        <v>992</v>
      </c>
      <c r="H708" s="92" t="s">
        <v>226</v>
      </c>
      <c r="I708" s="88" t="s">
        <v>985</v>
      </c>
    </row>
    <row r="709" spans="2:9" ht="15" hidden="1" customHeight="1" x14ac:dyDescent="0.35">
      <c r="B709" s="96" t="s">
        <v>171</v>
      </c>
      <c r="C709" s="92" t="s">
        <v>1040</v>
      </c>
      <c r="D709" s="92"/>
      <c r="E709" s="92" t="s">
        <v>100</v>
      </c>
      <c r="F709" s="92" t="s">
        <v>165</v>
      </c>
      <c r="G709" s="92" t="s">
        <v>988</v>
      </c>
      <c r="H709" s="92" t="s">
        <v>226</v>
      </c>
      <c r="I709" s="88" t="s">
        <v>4</v>
      </c>
    </row>
    <row r="710" spans="2:9" ht="15" hidden="1" customHeight="1" x14ac:dyDescent="0.35">
      <c r="B710" s="96" t="s">
        <v>171</v>
      </c>
      <c r="C710" s="92" t="s">
        <v>1041</v>
      </c>
      <c r="D710" s="92"/>
      <c r="E710" s="92" t="s">
        <v>100</v>
      </c>
      <c r="F710" s="92" t="s">
        <v>165</v>
      </c>
      <c r="G710" s="92" t="s">
        <v>992</v>
      </c>
      <c r="H710" s="92" t="s">
        <v>226</v>
      </c>
      <c r="I710" s="88" t="s">
        <v>4</v>
      </c>
    </row>
    <row r="711" spans="2:9" ht="15" hidden="1" customHeight="1" x14ac:dyDescent="0.35">
      <c r="B711" s="96" t="s">
        <v>171</v>
      </c>
      <c r="C711" s="92" t="s">
        <v>1042</v>
      </c>
      <c r="D711" s="92"/>
      <c r="E711" s="92" t="s">
        <v>100</v>
      </c>
      <c r="F711" s="92" t="s">
        <v>165</v>
      </c>
      <c r="G711" s="92" t="s">
        <v>989</v>
      </c>
      <c r="H711" s="92" t="s">
        <v>226</v>
      </c>
      <c r="I711" s="88" t="s">
        <v>4</v>
      </c>
    </row>
    <row r="712" spans="2:9" ht="15" hidden="1" customHeight="1" x14ac:dyDescent="0.35">
      <c r="B712" s="96" t="s">
        <v>164</v>
      </c>
      <c r="C712" s="92" t="s">
        <v>1043</v>
      </c>
      <c r="D712" s="92"/>
      <c r="E712" s="92" t="s">
        <v>100</v>
      </c>
      <c r="F712" s="92" t="s">
        <v>167</v>
      </c>
      <c r="G712" s="92" t="s">
        <v>989</v>
      </c>
      <c r="H712" s="92" t="s">
        <v>226</v>
      </c>
      <c r="I712" s="88" t="s">
        <v>4</v>
      </c>
    </row>
    <row r="713" spans="2:9" ht="15" hidden="1" customHeight="1" x14ac:dyDescent="0.35">
      <c r="B713" s="96" t="s">
        <v>164</v>
      </c>
      <c r="C713" s="92" t="s">
        <v>1044</v>
      </c>
      <c r="D713" s="92"/>
      <c r="E713" s="92" t="s">
        <v>100</v>
      </c>
      <c r="F713" s="92" t="s">
        <v>166</v>
      </c>
      <c r="G713" s="92" t="s">
        <v>991</v>
      </c>
      <c r="H713" s="92" t="s">
        <v>226</v>
      </c>
      <c r="I713" s="88" t="s">
        <v>4</v>
      </c>
    </row>
    <row r="714" spans="2:9" ht="15" hidden="1" customHeight="1" x14ac:dyDescent="0.35">
      <c r="B714" s="96" t="s">
        <v>164</v>
      </c>
      <c r="C714" s="92" t="s">
        <v>993</v>
      </c>
      <c r="D714" s="92"/>
      <c r="E714" s="92" t="s">
        <v>100</v>
      </c>
      <c r="F714" s="92" t="s">
        <v>168</v>
      </c>
      <c r="G714" s="92" t="s">
        <v>980</v>
      </c>
      <c r="H714" s="92" t="s">
        <v>226</v>
      </c>
      <c r="I714" s="88" t="s">
        <v>4</v>
      </c>
    </row>
    <row r="715" spans="2:9" ht="15" hidden="1" customHeight="1" x14ac:dyDescent="0.35">
      <c r="B715" s="96" t="s">
        <v>164</v>
      </c>
      <c r="C715" s="92" t="s">
        <v>1045</v>
      </c>
      <c r="D715" s="92"/>
      <c r="E715" s="92" t="s">
        <v>100</v>
      </c>
      <c r="F715" s="92" t="s">
        <v>169</v>
      </c>
      <c r="G715" s="92" t="s">
        <v>983</v>
      </c>
      <c r="H715" s="92" t="s">
        <v>226</v>
      </c>
      <c r="I715" s="88" t="s">
        <v>4</v>
      </c>
    </row>
    <row r="716" spans="2:9" ht="15" hidden="1" customHeight="1" x14ac:dyDescent="0.35">
      <c r="B716" s="96" t="s">
        <v>164</v>
      </c>
      <c r="C716" s="92" t="s">
        <v>1046</v>
      </c>
      <c r="D716" s="92"/>
      <c r="E716" s="92" t="s">
        <v>100</v>
      </c>
      <c r="F716" s="92" t="s">
        <v>167</v>
      </c>
      <c r="G716" s="92" t="s">
        <v>980</v>
      </c>
      <c r="H716" s="92" t="s">
        <v>226</v>
      </c>
      <c r="I716" s="88" t="s">
        <v>4</v>
      </c>
    </row>
    <row r="717" spans="2:9" ht="15" hidden="1" customHeight="1" x14ac:dyDescent="0.35">
      <c r="B717" s="96" t="s">
        <v>164</v>
      </c>
      <c r="C717" s="92" t="s">
        <v>1047</v>
      </c>
      <c r="D717" s="92"/>
      <c r="E717" s="92" t="s">
        <v>100</v>
      </c>
      <c r="F717" s="92" t="s">
        <v>168</v>
      </c>
      <c r="G717" s="92" t="s">
        <v>983</v>
      </c>
      <c r="H717" s="92" t="s">
        <v>226</v>
      </c>
      <c r="I717" s="88" t="s">
        <v>4</v>
      </c>
    </row>
    <row r="718" spans="2:9" ht="15" hidden="1" customHeight="1" x14ac:dyDescent="0.35">
      <c r="B718" s="96" t="s">
        <v>164</v>
      </c>
      <c r="C718" s="92" t="s">
        <v>1048</v>
      </c>
      <c r="D718" s="92"/>
      <c r="E718" s="92" t="s">
        <v>100</v>
      </c>
      <c r="F718" s="92" t="s">
        <v>166</v>
      </c>
      <c r="G718" s="92" t="s">
        <v>980</v>
      </c>
      <c r="H718" s="92" t="s">
        <v>226</v>
      </c>
      <c r="I718" s="88" t="s">
        <v>4</v>
      </c>
    </row>
    <row r="719" spans="2:9" ht="15" hidden="1" customHeight="1" x14ac:dyDescent="0.35">
      <c r="B719" s="96" t="s">
        <v>164</v>
      </c>
      <c r="C719" s="92" t="s">
        <v>1049</v>
      </c>
      <c r="D719" s="92"/>
      <c r="E719" s="92" t="s">
        <v>100</v>
      </c>
      <c r="F719" s="92" t="s">
        <v>166</v>
      </c>
      <c r="G719" s="92" t="s">
        <v>988</v>
      </c>
      <c r="H719" s="92" t="s">
        <v>226</v>
      </c>
      <c r="I719" s="88" t="s">
        <v>4</v>
      </c>
    </row>
    <row r="720" spans="2:9" ht="15" hidden="1" customHeight="1" x14ac:dyDescent="0.35">
      <c r="B720" s="96" t="s">
        <v>164</v>
      </c>
      <c r="C720" s="92" t="s">
        <v>1050</v>
      </c>
      <c r="D720" s="92"/>
      <c r="E720" s="92" t="s">
        <v>100</v>
      </c>
      <c r="F720" s="92" t="s">
        <v>166</v>
      </c>
      <c r="G720" s="92" t="s">
        <v>991</v>
      </c>
      <c r="H720" s="92" t="s">
        <v>226</v>
      </c>
      <c r="I720" s="88" t="s">
        <v>4</v>
      </c>
    </row>
    <row r="721" spans="2:9" ht="15" hidden="1" customHeight="1" x14ac:dyDescent="0.35">
      <c r="B721" s="96" t="s">
        <v>164</v>
      </c>
      <c r="C721" s="92" t="s">
        <v>1051</v>
      </c>
      <c r="D721" s="92"/>
      <c r="E721" s="92" t="s">
        <v>100</v>
      </c>
      <c r="F721" s="92" t="s">
        <v>166</v>
      </c>
      <c r="G721" s="92" t="s">
        <v>991</v>
      </c>
      <c r="H721" s="92" t="s">
        <v>226</v>
      </c>
      <c r="I721" s="88" t="s">
        <v>4</v>
      </c>
    </row>
    <row r="722" spans="2:9" ht="15" hidden="1" customHeight="1" x14ac:dyDescent="0.35">
      <c r="B722" s="96" t="s">
        <v>164</v>
      </c>
      <c r="C722" s="92" t="s">
        <v>1052</v>
      </c>
      <c r="D722" s="92"/>
      <c r="E722" s="92" t="s">
        <v>100</v>
      </c>
      <c r="F722" s="92" t="s">
        <v>167</v>
      </c>
      <c r="G722" s="92" t="s">
        <v>989</v>
      </c>
      <c r="H722" s="92" t="s">
        <v>227</v>
      </c>
      <c r="I722" s="88" t="s">
        <v>4</v>
      </c>
    </row>
    <row r="723" spans="2:9" ht="15" hidden="1" customHeight="1" x14ac:dyDescent="0.35">
      <c r="B723" s="96" t="s">
        <v>164</v>
      </c>
      <c r="C723" s="92" t="s">
        <v>1053</v>
      </c>
      <c r="D723" s="92"/>
      <c r="E723" s="92" t="s">
        <v>100</v>
      </c>
      <c r="F723" s="92" t="s">
        <v>166</v>
      </c>
      <c r="G723" s="92" t="s">
        <v>988</v>
      </c>
      <c r="H723" s="92" t="s">
        <v>226</v>
      </c>
      <c r="I723" s="88" t="s">
        <v>4</v>
      </c>
    </row>
    <row r="724" spans="2:9" ht="15" hidden="1" customHeight="1" x14ac:dyDescent="0.35">
      <c r="B724" s="96" t="s">
        <v>164</v>
      </c>
      <c r="C724" s="92" t="s">
        <v>1054</v>
      </c>
      <c r="D724" s="92"/>
      <c r="E724" s="92" t="s">
        <v>100</v>
      </c>
      <c r="F724" s="92" t="s">
        <v>169</v>
      </c>
      <c r="G724" s="92" t="s">
        <v>980</v>
      </c>
      <c r="H724" s="92" t="s">
        <v>226</v>
      </c>
      <c r="I724" s="88" t="s">
        <v>4</v>
      </c>
    </row>
    <row r="725" spans="2:9" ht="15" hidden="1" customHeight="1" x14ac:dyDescent="0.35">
      <c r="B725" s="96" t="s">
        <v>164</v>
      </c>
      <c r="C725" s="92" t="s">
        <v>1055</v>
      </c>
      <c r="D725" s="92"/>
      <c r="E725" s="92" t="s">
        <v>100</v>
      </c>
      <c r="F725" s="92" t="s">
        <v>167</v>
      </c>
      <c r="G725" s="92" t="s">
        <v>988</v>
      </c>
      <c r="H725" s="92" t="s">
        <v>226</v>
      </c>
      <c r="I725" s="88" t="s">
        <v>4</v>
      </c>
    </row>
    <row r="726" spans="2:9" ht="15" hidden="1" customHeight="1" x14ac:dyDescent="0.35">
      <c r="B726" s="96" t="s">
        <v>164</v>
      </c>
      <c r="C726" s="92" t="s">
        <v>1056</v>
      </c>
      <c r="D726" s="92"/>
      <c r="E726" s="92" t="s">
        <v>100</v>
      </c>
      <c r="F726" s="92" t="s">
        <v>166</v>
      </c>
      <c r="G726" s="92" t="s">
        <v>994</v>
      </c>
      <c r="H726" s="92" t="s">
        <v>226</v>
      </c>
      <c r="I726" s="88" t="s">
        <v>4</v>
      </c>
    </row>
    <row r="727" spans="2:9" ht="15" hidden="1" customHeight="1" x14ac:dyDescent="0.35">
      <c r="B727" s="96" t="s">
        <v>164</v>
      </c>
      <c r="C727" s="92" t="s">
        <v>1057</v>
      </c>
      <c r="D727" s="92"/>
      <c r="E727" s="92" t="s">
        <v>100</v>
      </c>
      <c r="F727" s="92" t="s">
        <v>166</v>
      </c>
      <c r="G727" s="92" t="s">
        <v>994</v>
      </c>
      <c r="H727" s="92" t="s">
        <v>226</v>
      </c>
      <c r="I727" s="88" t="s">
        <v>4</v>
      </c>
    </row>
    <row r="728" spans="2:9" ht="15" hidden="1" customHeight="1" x14ac:dyDescent="0.35">
      <c r="B728" s="96" t="s">
        <v>164</v>
      </c>
      <c r="C728" s="92" t="s">
        <v>1058</v>
      </c>
      <c r="D728" s="92"/>
      <c r="E728" s="92" t="s">
        <v>100</v>
      </c>
      <c r="F728" s="92" t="s">
        <v>166</v>
      </c>
      <c r="G728" s="92" t="s">
        <v>989</v>
      </c>
      <c r="H728" s="92" t="s">
        <v>226</v>
      </c>
      <c r="I728" s="88" t="s">
        <v>4</v>
      </c>
    </row>
    <row r="729" spans="2:9" ht="15" hidden="1" customHeight="1" x14ac:dyDescent="0.35">
      <c r="B729" s="96" t="s">
        <v>164</v>
      </c>
      <c r="C729" s="92" t="s">
        <v>1059</v>
      </c>
      <c r="D729" s="92"/>
      <c r="E729" s="92" t="s">
        <v>100</v>
      </c>
      <c r="F729" s="92" t="s">
        <v>166</v>
      </c>
      <c r="G729" s="92" t="s">
        <v>995</v>
      </c>
      <c r="H729" s="92" t="s">
        <v>226</v>
      </c>
      <c r="I729" s="88" t="s">
        <v>4</v>
      </c>
    </row>
    <row r="730" spans="2:9" ht="15" hidden="1" customHeight="1" x14ac:dyDescent="0.35">
      <c r="B730" s="96" t="s">
        <v>164</v>
      </c>
      <c r="C730" s="92" t="s">
        <v>1060</v>
      </c>
      <c r="D730" s="92"/>
      <c r="E730" s="92" t="s">
        <v>100</v>
      </c>
      <c r="F730" s="92" t="s">
        <v>167</v>
      </c>
      <c r="G730" s="92" t="s">
        <v>981</v>
      </c>
      <c r="H730" s="92" t="s">
        <v>226</v>
      </c>
      <c r="I730" s="88" t="s">
        <v>4</v>
      </c>
    </row>
    <row r="731" spans="2:9" ht="15" hidden="1" customHeight="1" x14ac:dyDescent="0.35">
      <c r="B731" s="96" t="s">
        <v>164</v>
      </c>
      <c r="C731" s="92" t="s">
        <v>1061</v>
      </c>
      <c r="D731" s="92"/>
      <c r="E731" s="92" t="s">
        <v>100</v>
      </c>
      <c r="F731" s="92" t="s">
        <v>167</v>
      </c>
      <c r="G731" s="92" t="s">
        <v>988</v>
      </c>
      <c r="H731" s="92" t="s">
        <v>226</v>
      </c>
      <c r="I731" s="88" t="s">
        <v>4</v>
      </c>
    </row>
    <row r="732" spans="2:9" ht="15" hidden="1" customHeight="1" x14ac:dyDescent="0.35">
      <c r="B732" s="96" t="s">
        <v>164</v>
      </c>
      <c r="C732" s="92" t="s">
        <v>1062</v>
      </c>
      <c r="D732" s="92"/>
      <c r="E732" s="92" t="s">
        <v>100</v>
      </c>
      <c r="F732" s="92" t="s">
        <v>168</v>
      </c>
      <c r="G732" s="92" t="s">
        <v>983</v>
      </c>
      <c r="H732" s="92" t="s">
        <v>226</v>
      </c>
      <c r="I732" s="88" t="s">
        <v>985</v>
      </c>
    </row>
    <row r="733" spans="2:9" ht="15" hidden="1" customHeight="1" x14ac:dyDescent="0.35">
      <c r="B733" s="96" t="s">
        <v>164</v>
      </c>
      <c r="C733" s="92" t="s">
        <v>1063</v>
      </c>
      <c r="D733" s="92"/>
      <c r="E733" s="92" t="s">
        <v>100</v>
      </c>
      <c r="F733" s="92" t="s">
        <v>168</v>
      </c>
      <c r="G733" s="92" t="s">
        <v>983</v>
      </c>
      <c r="H733" s="92" t="s">
        <v>226</v>
      </c>
      <c r="I733" s="88" t="s">
        <v>4</v>
      </c>
    </row>
    <row r="734" spans="2:9" ht="15" hidden="1" customHeight="1" x14ac:dyDescent="0.35">
      <c r="B734" s="96" t="s">
        <v>164</v>
      </c>
      <c r="C734" s="92" t="s">
        <v>1064</v>
      </c>
      <c r="D734" s="92"/>
      <c r="E734" s="92" t="s">
        <v>100</v>
      </c>
      <c r="F734" s="92" t="s">
        <v>167</v>
      </c>
      <c r="G734" s="92" t="s">
        <v>992</v>
      </c>
      <c r="H734" s="92" t="s">
        <v>226</v>
      </c>
      <c r="I734" s="88" t="s">
        <v>4</v>
      </c>
    </row>
    <row r="735" spans="2:9" ht="15" hidden="1" customHeight="1" x14ac:dyDescent="0.35">
      <c r="B735" s="96" t="s">
        <v>164</v>
      </c>
      <c r="C735" s="92" t="s">
        <v>1065</v>
      </c>
      <c r="D735" s="92"/>
      <c r="E735" s="92" t="s">
        <v>100</v>
      </c>
      <c r="F735" s="92" t="s">
        <v>166</v>
      </c>
      <c r="G735" s="92" t="s">
        <v>995</v>
      </c>
      <c r="H735" s="92" t="s">
        <v>226</v>
      </c>
      <c r="I735" s="88" t="s">
        <v>4</v>
      </c>
    </row>
    <row r="736" spans="2:9" ht="15" hidden="1" customHeight="1" thickBot="1" x14ac:dyDescent="0.4">
      <c r="B736" s="96" t="s">
        <v>164</v>
      </c>
      <c r="C736" s="92" t="s">
        <v>1066</v>
      </c>
      <c r="D736" s="92"/>
      <c r="E736" s="92" t="s">
        <v>100</v>
      </c>
      <c r="F736" s="92" t="s">
        <v>33</v>
      </c>
      <c r="G736" s="92" t="s">
        <v>987</v>
      </c>
      <c r="H736" s="92" t="s">
        <v>226</v>
      </c>
      <c r="I736" s="89" t="s">
        <v>4</v>
      </c>
    </row>
    <row r="737" spans="2:9" ht="15" hidden="1" customHeight="1" x14ac:dyDescent="0.35">
      <c r="B737" s="96" t="s">
        <v>162</v>
      </c>
      <c r="C737" s="92" t="s">
        <v>1067</v>
      </c>
      <c r="D737" s="91"/>
      <c r="E737" s="92" t="s">
        <v>1068</v>
      </c>
      <c r="F737" s="92" t="s">
        <v>33</v>
      </c>
      <c r="G737" s="92" t="s">
        <v>1069</v>
      </c>
      <c r="H737" s="92" t="s">
        <v>227</v>
      </c>
      <c r="I737" s="86"/>
    </row>
    <row r="738" spans="2:9" ht="15" hidden="1" customHeight="1" x14ac:dyDescent="0.35">
      <c r="B738" s="96" t="s">
        <v>162</v>
      </c>
      <c r="C738" s="92" t="s">
        <v>1070</v>
      </c>
      <c r="D738" s="91"/>
      <c r="E738" s="92" t="s">
        <v>1068</v>
      </c>
      <c r="F738" s="92" t="s">
        <v>1071</v>
      </c>
      <c r="G738" s="92" t="s">
        <v>1072</v>
      </c>
      <c r="H738" s="92" t="s">
        <v>227</v>
      </c>
      <c r="I738" s="86"/>
    </row>
    <row r="739" spans="2:9" ht="15" hidden="1" customHeight="1" x14ac:dyDescent="0.35">
      <c r="B739" s="96" t="s">
        <v>162</v>
      </c>
      <c r="C739" s="92" t="s">
        <v>1073</v>
      </c>
      <c r="D739" s="91"/>
      <c r="E739" s="92" t="s">
        <v>1068</v>
      </c>
      <c r="F739" s="92" t="s">
        <v>1074</v>
      </c>
      <c r="G739" s="92" t="s">
        <v>1075</v>
      </c>
      <c r="H739" s="92" t="s">
        <v>227</v>
      </c>
      <c r="I739" s="86"/>
    </row>
    <row r="740" spans="2:9" ht="15" hidden="1" customHeight="1" x14ac:dyDescent="0.35">
      <c r="B740" s="96" t="s">
        <v>162</v>
      </c>
      <c r="C740" s="96" t="s">
        <v>1076</v>
      </c>
      <c r="D740" s="91"/>
      <c r="E740" s="92" t="s">
        <v>1068</v>
      </c>
      <c r="F740" s="92" t="s">
        <v>1074</v>
      </c>
      <c r="G740" s="92" t="s">
        <v>1077</v>
      </c>
      <c r="H740" s="92" t="s">
        <v>227</v>
      </c>
      <c r="I740" s="86"/>
    </row>
    <row r="741" spans="2:9" ht="15" hidden="1" customHeight="1" x14ac:dyDescent="0.35">
      <c r="B741" s="96" t="s">
        <v>162</v>
      </c>
      <c r="C741" s="96" t="s">
        <v>1078</v>
      </c>
      <c r="D741" s="91"/>
      <c r="E741" s="92" t="s">
        <v>1068</v>
      </c>
      <c r="F741" s="92" t="s">
        <v>1074</v>
      </c>
      <c r="G741" s="92" t="s">
        <v>1077</v>
      </c>
      <c r="H741" s="92" t="s">
        <v>227</v>
      </c>
      <c r="I741" s="86"/>
    </row>
    <row r="742" spans="2:9" ht="15" hidden="1" customHeight="1" x14ac:dyDescent="0.35">
      <c r="B742" s="96" t="s">
        <v>162</v>
      </c>
      <c r="C742" s="96" t="s">
        <v>1079</v>
      </c>
      <c r="D742" s="91"/>
      <c r="E742" s="92" t="s">
        <v>1068</v>
      </c>
      <c r="F742" s="92" t="s">
        <v>1074</v>
      </c>
      <c r="G742" s="92" t="s">
        <v>1077</v>
      </c>
      <c r="H742" s="92" t="s">
        <v>227</v>
      </c>
      <c r="I742" s="86"/>
    </row>
    <row r="743" spans="2:9" ht="15" hidden="1" customHeight="1" x14ac:dyDescent="0.35">
      <c r="B743" s="96" t="s">
        <v>162</v>
      </c>
      <c r="C743" s="96" t="s">
        <v>1080</v>
      </c>
      <c r="D743" s="91"/>
      <c r="E743" s="92" t="s">
        <v>1068</v>
      </c>
      <c r="F743" s="92" t="s">
        <v>1074</v>
      </c>
      <c r="G743" s="92" t="s">
        <v>1077</v>
      </c>
      <c r="H743" s="92" t="s">
        <v>227</v>
      </c>
      <c r="I743" s="86"/>
    </row>
    <row r="744" spans="2:9" ht="15" hidden="1" customHeight="1" x14ac:dyDescent="0.35">
      <c r="B744" s="96" t="s">
        <v>162</v>
      </c>
      <c r="C744" s="96" t="s">
        <v>1081</v>
      </c>
      <c r="D744" s="91"/>
      <c r="E744" s="92" t="s">
        <v>1068</v>
      </c>
      <c r="F744" s="92" t="s">
        <v>1074</v>
      </c>
      <c r="G744" s="92" t="s">
        <v>1077</v>
      </c>
      <c r="H744" s="92" t="s">
        <v>227</v>
      </c>
      <c r="I744" s="86"/>
    </row>
    <row r="745" spans="2:9" ht="15" hidden="1" customHeight="1" x14ac:dyDescent="0.35">
      <c r="B745" s="96" t="s">
        <v>162</v>
      </c>
      <c r="C745" s="96" t="s">
        <v>1082</v>
      </c>
      <c r="D745" s="91"/>
      <c r="E745" s="92" t="s">
        <v>1068</v>
      </c>
      <c r="F745" s="92" t="s">
        <v>1074</v>
      </c>
      <c r="G745" s="92" t="s">
        <v>1077</v>
      </c>
      <c r="H745" s="92" t="s">
        <v>227</v>
      </c>
      <c r="I745" s="86"/>
    </row>
    <row r="746" spans="2:9" ht="15" hidden="1" customHeight="1" x14ac:dyDescent="0.35">
      <c r="B746" s="96" t="s">
        <v>162</v>
      </c>
      <c r="C746" s="96" t="s">
        <v>1083</v>
      </c>
      <c r="D746" s="91"/>
      <c r="E746" s="92" t="s">
        <v>1068</v>
      </c>
      <c r="F746" s="92" t="s">
        <v>1074</v>
      </c>
      <c r="G746" s="92" t="s">
        <v>1077</v>
      </c>
      <c r="H746" s="92" t="s">
        <v>227</v>
      </c>
      <c r="I746" s="86"/>
    </row>
    <row r="747" spans="2:9" ht="15" hidden="1" customHeight="1" x14ac:dyDescent="0.35">
      <c r="B747" s="96" t="s">
        <v>162</v>
      </c>
      <c r="C747" s="96" t="s">
        <v>1084</v>
      </c>
      <c r="D747" s="91"/>
      <c r="E747" s="92" t="s">
        <v>1068</v>
      </c>
      <c r="F747" s="92" t="s">
        <v>1074</v>
      </c>
      <c r="G747" s="92" t="s">
        <v>1077</v>
      </c>
      <c r="H747" s="92" t="s">
        <v>227</v>
      </c>
      <c r="I747" s="86"/>
    </row>
    <row r="748" spans="2:9" ht="15" hidden="1" customHeight="1" x14ac:dyDescent="0.35">
      <c r="B748" s="96" t="s">
        <v>162</v>
      </c>
      <c r="C748" s="96" t="s">
        <v>1085</v>
      </c>
      <c r="D748" s="91"/>
      <c r="E748" s="92" t="s">
        <v>1068</v>
      </c>
      <c r="F748" s="92" t="s">
        <v>1074</v>
      </c>
      <c r="G748" s="92" t="s">
        <v>1077</v>
      </c>
      <c r="H748" s="92" t="s">
        <v>227</v>
      </c>
      <c r="I748" s="86"/>
    </row>
    <row r="749" spans="2:9" ht="15" hidden="1" customHeight="1" x14ac:dyDescent="0.35">
      <c r="B749" s="96" t="s">
        <v>162</v>
      </c>
      <c r="C749" s="96" t="s">
        <v>1086</v>
      </c>
      <c r="D749" s="91"/>
      <c r="E749" s="92" t="s">
        <v>1068</v>
      </c>
      <c r="F749" s="92" t="s">
        <v>1074</v>
      </c>
      <c r="G749" s="92" t="s">
        <v>1077</v>
      </c>
      <c r="H749" s="92" t="s">
        <v>227</v>
      </c>
      <c r="I749" s="86"/>
    </row>
    <row r="750" spans="2:9" ht="15" hidden="1" customHeight="1" x14ac:dyDescent="0.35">
      <c r="B750" s="96" t="s">
        <v>162</v>
      </c>
      <c r="C750" s="96" t="s">
        <v>1763</v>
      </c>
      <c r="D750" s="91"/>
      <c r="E750" s="92" t="s">
        <v>1068</v>
      </c>
      <c r="F750" s="92" t="s">
        <v>1087</v>
      </c>
      <c r="G750" s="92" t="s">
        <v>1088</v>
      </c>
      <c r="H750" s="92" t="s">
        <v>226</v>
      </c>
      <c r="I750" s="86"/>
    </row>
    <row r="751" spans="2:9" ht="15" hidden="1" customHeight="1" x14ac:dyDescent="0.35">
      <c r="B751" s="96" t="s">
        <v>162</v>
      </c>
      <c r="C751" s="96" t="s">
        <v>1764</v>
      </c>
      <c r="D751" s="91"/>
      <c r="E751" s="92" t="s">
        <v>1068</v>
      </c>
      <c r="F751" s="92" t="s">
        <v>1087</v>
      </c>
      <c r="G751" s="92" t="s">
        <v>1089</v>
      </c>
      <c r="H751" s="92" t="s">
        <v>226</v>
      </c>
      <c r="I751" s="86"/>
    </row>
    <row r="752" spans="2:9" ht="15" hidden="1" customHeight="1" x14ac:dyDescent="0.35">
      <c r="B752" s="96" t="s">
        <v>162</v>
      </c>
      <c r="C752" s="96" t="s">
        <v>1765</v>
      </c>
      <c r="D752" s="91"/>
      <c r="E752" s="92" t="s">
        <v>1068</v>
      </c>
      <c r="F752" s="92" t="s">
        <v>1087</v>
      </c>
      <c r="G752" s="92" t="s">
        <v>1089</v>
      </c>
      <c r="H752" s="92" t="s">
        <v>226</v>
      </c>
      <c r="I752" s="86"/>
    </row>
    <row r="753" spans="2:9" ht="15" hidden="1" customHeight="1" x14ac:dyDescent="0.35">
      <c r="B753" s="96" t="s">
        <v>162</v>
      </c>
      <c r="C753" s="96" t="s">
        <v>1766</v>
      </c>
      <c r="D753" s="91"/>
      <c r="E753" s="92" t="s">
        <v>1068</v>
      </c>
      <c r="F753" s="92" t="s">
        <v>1087</v>
      </c>
      <c r="G753" s="92" t="s">
        <v>1089</v>
      </c>
      <c r="H753" s="92" t="s">
        <v>226</v>
      </c>
      <c r="I753" s="86"/>
    </row>
    <row r="754" spans="2:9" ht="15" hidden="1" customHeight="1" x14ac:dyDescent="0.35">
      <c r="B754" s="96" t="s">
        <v>162</v>
      </c>
      <c r="C754" s="96" t="s">
        <v>1767</v>
      </c>
      <c r="D754" s="91"/>
      <c r="E754" s="92" t="s">
        <v>1068</v>
      </c>
      <c r="F754" s="92" t="s">
        <v>1087</v>
      </c>
      <c r="G754" s="92" t="s">
        <v>1089</v>
      </c>
      <c r="H754" s="92" t="s">
        <v>226</v>
      </c>
      <c r="I754" s="86"/>
    </row>
    <row r="755" spans="2:9" ht="15" hidden="1" customHeight="1" x14ac:dyDescent="0.35">
      <c r="B755" s="96" t="s">
        <v>162</v>
      </c>
      <c r="C755" s="96" t="s">
        <v>1768</v>
      </c>
      <c r="D755" s="91"/>
      <c r="E755" s="92" t="s">
        <v>1068</v>
      </c>
      <c r="F755" s="92" t="s">
        <v>1087</v>
      </c>
      <c r="G755" s="92" t="s">
        <v>1089</v>
      </c>
      <c r="H755" s="92" t="s">
        <v>226</v>
      </c>
      <c r="I755" s="86"/>
    </row>
    <row r="756" spans="2:9" ht="15" hidden="1" customHeight="1" x14ac:dyDescent="0.35">
      <c r="B756" s="96" t="s">
        <v>162</v>
      </c>
      <c r="C756" s="96" t="s">
        <v>1769</v>
      </c>
      <c r="D756" s="91"/>
      <c r="E756" s="92" t="s">
        <v>1068</v>
      </c>
      <c r="F756" s="92" t="s">
        <v>1087</v>
      </c>
      <c r="G756" s="92" t="s">
        <v>1089</v>
      </c>
      <c r="H756" s="92" t="s">
        <v>226</v>
      </c>
      <c r="I756" s="86"/>
    </row>
    <row r="757" spans="2:9" ht="15" hidden="1" customHeight="1" x14ac:dyDescent="0.35">
      <c r="B757" s="96" t="s">
        <v>162</v>
      </c>
      <c r="C757" s="96" t="s">
        <v>1770</v>
      </c>
      <c r="D757" s="91"/>
      <c r="E757" s="92" t="s">
        <v>1068</v>
      </c>
      <c r="F757" s="92" t="s">
        <v>1087</v>
      </c>
      <c r="G757" s="92" t="s">
        <v>1089</v>
      </c>
      <c r="H757" s="92" t="s">
        <v>226</v>
      </c>
      <c r="I757" s="86"/>
    </row>
    <row r="758" spans="2:9" ht="15" hidden="1" customHeight="1" x14ac:dyDescent="0.35">
      <c r="B758" s="96" t="s">
        <v>162</v>
      </c>
      <c r="C758" s="96" t="s">
        <v>1771</v>
      </c>
      <c r="D758" s="91"/>
      <c r="E758" s="92" t="s">
        <v>1068</v>
      </c>
      <c r="F758" s="92" t="s">
        <v>1087</v>
      </c>
      <c r="G758" s="92" t="s">
        <v>1089</v>
      </c>
      <c r="H758" s="92" t="s">
        <v>226</v>
      </c>
      <c r="I758" s="86"/>
    </row>
    <row r="759" spans="2:9" ht="15" hidden="1" customHeight="1" x14ac:dyDescent="0.35">
      <c r="B759" s="96" t="s">
        <v>162</v>
      </c>
      <c r="C759" s="96" t="s">
        <v>1772</v>
      </c>
      <c r="D759" s="91"/>
      <c r="E759" s="92" t="s">
        <v>1068</v>
      </c>
      <c r="F759" s="92" t="s">
        <v>1087</v>
      </c>
      <c r="G759" s="92" t="s">
        <v>1089</v>
      </c>
      <c r="H759" s="92" t="s">
        <v>226</v>
      </c>
      <c r="I759" s="86"/>
    </row>
    <row r="760" spans="2:9" ht="15" hidden="1" customHeight="1" x14ac:dyDescent="0.35">
      <c r="B760" s="96" t="s">
        <v>171</v>
      </c>
      <c r="C760" s="96" t="s">
        <v>1773</v>
      </c>
      <c r="D760" s="91" t="str">
        <f>VLOOKUP(C760,'[1]Birbank İşçi Siyahı'!$B:$I,8,)</f>
        <v>Bir Payment</v>
      </c>
      <c r="E760" s="92" t="s">
        <v>1068</v>
      </c>
      <c r="F760" s="92" t="s">
        <v>1087</v>
      </c>
      <c r="G760" s="92" t="s">
        <v>1089</v>
      </c>
      <c r="H760" s="92" t="s">
        <v>226</v>
      </c>
      <c r="I760" s="86"/>
    </row>
    <row r="761" spans="2:9" ht="15" hidden="1" customHeight="1" x14ac:dyDescent="0.35">
      <c r="B761" s="96" t="s">
        <v>162</v>
      </c>
      <c r="C761" s="96" t="s">
        <v>1090</v>
      </c>
      <c r="D761" s="91" t="e">
        <f>VLOOKUP(C761,'[1]Birbank İşçi Siyahı'!$B:$I,8,)</f>
        <v>#N/A</v>
      </c>
      <c r="E761" s="92" t="s">
        <v>1068</v>
      </c>
      <c r="F761" s="92" t="s">
        <v>1087</v>
      </c>
      <c r="G761" s="92" t="s">
        <v>1089</v>
      </c>
      <c r="H761" s="92" t="s">
        <v>226</v>
      </c>
      <c r="I761" s="86"/>
    </row>
    <row r="762" spans="2:9" ht="15" hidden="1" customHeight="1" x14ac:dyDescent="0.35">
      <c r="B762" s="96" t="s">
        <v>171</v>
      </c>
      <c r="C762" s="96" t="s">
        <v>1091</v>
      </c>
      <c r="D762" s="91" t="str">
        <f>VLOOKUP(C762,[2]Sheet1!$D:$E,2,)</f>
        <v>Pashapay</v>
      </c>
      <c r="E762" s="92" t="s">
        <v>1068</v>
      </c>
      <c r="F762" s="92" t="s">
        <v>1087</v>
      </c>
      <c r="G762" s="92" t="s">
        <v>1089</v>
      </c>
      <c r="H762" s="92" t="s">
        <v>226</v>
      </c>
      <c r="I762" s="86"/>
    </row>
    <row r="763" spans="2:9" ht="15" hidden="1" customHeight="1" x14ac:dyDescent="0.35">
      <c r="B763" s="96" t="s">
        <v>171</v>
      </c>
      <c r="C763" s="96" t="s">
        <v>1092</v>
      </c>
      <c r="D763" s="91" t="str">
        <f>VLOOKUP(C763,'[1]Birbank İşçi Siyahı'!$B:$I,8,)</f>
        <v>Bir Payment</v>
      </c>
      <c r="E763" s="92" t="s">
        <v>1068</v>
      </c>
      <c r="F763" s="92" t="s">
        <v>1087</v>
      </c>
      <c r="G763" s="92" t="s">
        <v>1089</v>
      </c>
      <c r="H763" s="92" t="s">
        <v>227</v>
      </c>
      <c r="I763" s="86"/>
    </row>
    <row r="764" spans="2:9" ht="15" hidden="1" customHeight="1" x14ac:dyDescent="0.35">
      <c r="B764" s="96" t="s">
        <v>171</v>
      </c>
      <c r="C764" s="96" t="s">
        <v>1093</v>
      </c>
      <c r="D764" s="91" t="str">
        <f>VLOOKUP(C764,'[1]Birbank İşçi Siyahı'!$B:$I,8,)</f>
        <v>Bir Payment</v>
      </c>
      <c r="E764" s="92" t="s">
        <v>1068</v>
      </c>
      <c r="F764" s="92" t="s">
        <v>1087</v>
      </c>
      <c r="G764" s="92" t="s">
        <v>1089</v>
      </c>
      <c r="H764" s="92" t="s">
        <v>227</v>
      </c>
      <c r="I764" s="86"/>
    </row>
    <row r="765" spans="2:9" ht="15" hidden="1" customHeight="1" x14ac:dyDescent="0.35">
      <c r="B765" s="96" t="s">
        <v>162</v>
      </c>
      <c r="C765" s="96" t="s">
        <v>1774</v>
      </c>
      <c r="D765" s="91"/>
      <c r="E765" s="92" t="s">
        <v>1068</v>
      </c>
      <c r="F765" s="92" t="s">
        <v>1094</v>
      </c>
      <c r="G765" s="92" t="s">
        <v>1095</v>
      </c>
      <c r="H765" s="92" t="s">
        <v>226</v>
      </c>
      <c r="I765" s="86"/>
    </row>
    <row r="766" spans="2:9" ht="15" hidden="1" customHeight="1" x14ac:dyDescent="0.35">
      <c r="B766" s="96" t="s">
        <v>162</v>
      </c>
      <c r="C766" s="96" t="s">
        <v>1775</v>
      </c>
      <c r="D766" s="91"/>
      <c r="E766" s="92" t="s">
        <v>1068</v>
      </c>
      <c r="F766" s="92" t="s">
        <v>1094</v>
      </c>
      <c r="G766" s="92" t="s">
        <v>1096</v>
      </c>
      <c r="H766" s="92" t="s">
        <v>226</v>
      </c>
      <c r="I766" s="86"/>
    </row>
    <row r="767" spans="2:9" ht="15" hidden="1" customHeight="1" x14ac:dyDescent="0.35">
      <c r="B767" s="96" t="s">
        <v>162</v>
      </c>
      <c r="C767" s="96" t="s">
        <v>1776</v>
      </c>
      <c r="D767" s="91"/>
      <c r="E767" s="92" t="s">
        <v>1068</v>
      </c>
      <c r="F767" s="92" t="s">
        <v>1094</v>
      </c>
      <c r="G767" s="92" t="s">
        <v>1096</v>
      </c>
      <c r="H767" s="92" t="s">
        <v>226</v>
      </c>
      <c r="I767" s="86"/>
    </row>
    <row r="768" spans="2:9" ht="15" hidden="1" customHeight="1" x14ac:dyDescent="0.35">
      <c r="B768" s="96" t="s">
        <v>162</v>
      </c>
      <c r="C768" s="96" t="s">
        <v>1777</v>
      </c>
      <c r="D768" s="91"/>
      <c r="E768" s="92" t="s">
        <v>1068</v>
      </c>
      <c r="F768" s="92" t="s">
        <v>1094</v>
      </c>
      <c r="G768" s="92" t="s">
        <v>1096</v>
      </c>
      <c r="H768" s="92" t="s">
        <v>226</v>
      </c>
      <c r="I768" s="86"/>
    </row>
    <row r="769" spans="2:9" ht="15" hidden="1" customHeight="1" x14ac:dyDescent="0.35">
      <c r="B769" s="96" t="s">
        <v>162</v>
      </c>
      <c r="C769" s="96" t="s">
        <v>1097</v>
      </c>
      <c r="D769" s="91" t="e">
        <f>VLOOKUP(C769,'[1]Birbank İşçi Siyahı'!$B:$I,8,)</f>
        <v>#N/A</v>
      </c>
      <c r="E769" s="92" t="s">
        <v>1068</v>
      </c>
      <c r="F769" s="92" t="s">
        <v>1094</v>
      </c>
      <c r="G769" s="92" t="s">
        <v>1096</v>
      </c>
      <c r="H769" s="92" t="s">
        <v>226</v>
      </c>
      <c r="I769" s="86"/>
    </row>
    <row r="770" spans="2:9" ht="15" hidden="1" customHeight="1" x14ac:dyDescent="0.35">
      <c r="B770" s="96" t="s">
        <v>171</v>
      </c>
      <c r="C770" s="96" t="s">
        <v>1098</v>
      </c>
      <c r="D770" s="91" t="str">
        <f>VLOOKUP(C770,'[1]Birbank İşçi Siyahı'!$B:$I,8,)</f>
        <v>Bir Payment</v>
      </c>
      <c r="E770" s="92" t="s">
        <v>1068</v>
      </c>
      <c r="F770" s="92" t="s">
        <v>1094</v>
      </c>
      <c r="G770" s="92" t="s">
        <v>1096</v>
      </c>
      <c r="H770" s="92" t="s">
        <v>227</v>
      </c>
      <c r="I770" s="86"/>
    </row>
    <row r="771" spans="2:9" ht="15" hidden="1" customHeight="1" x14ac:dyDescent="0.35">
      <c r="B771" s="96" t="s">
        <v>162</v>
      </c>
      <c r="C771" s="96" t="s">
        <v>1099</v>
      </c>
      <c r="D771" s="91" t="e">
        <f>VLOOKUP(C771,'[1]Birbank İşçi Siyahı'!$B:$I,8,)</f>
        <v>#N/A</v>
      </c>
      <c r="E771" s="92" t="s">
        <v>1068</v>
      </c>
      <c r="F771" s="92" t="s">
        <v>1100</v>
      </c>
      <c r="G771" s="92" t="s">
        <v>1101</v>
      </c>
      <c r="H771" s="92" t="s">
        <v>226</v>
      </c>
      <c r="I771" s="86"/>
    </row>
    <row r="772" spans="2:9" ht="15" hidden="1" customHeight="1" x14ac:dyDescent="0.35">
      <c r="B772" s="96" t="s">
        <v>162</v>
      </c>
      <c r="C772" s="96" t="s">
        <v>1778</v>
      </c>
      <c r="D772" s="91"/>
      <c r="E772" s="92" t="s">
        <v>1068</v>
      </c>
      <c r="F772" s="92" t="s">
        <v>1102</v>
      </c>
      <c r="G772" s="92" t="s">
        <v>1103</v>
      </c>
      <c r="H772" s="92" t="s">
        <v>226</v>
      </c>
      <c r="I772" s="86"/>
    </row>
    <row r="773" spans="2:9" ht="15" hidden="1" customHeight="1" x14ac:dyDescent="0.35">
      <c r="B773" s="96" t="s">
        <v>162</v>
      </c>
      <c r="C773" s="96" t="s">
        <v>1779</v>
      </c>
      <c r="D773" s="91"/>
      <c r="E773" s="92" t="s">
        <v>1068</v>
      </c>
      <c r="F773" s="92" t="s">
        <v>1102</v>
      </c>
      <c r="G773" s="92" t="s">
        <v>1104</v>
      </c>
      <c r="H773" s="92" t="s">
        <v>226</v>
      </c>
      <c r="I773" s="86"/>
    </row>
    <row r="774" spans="2:9" ht="15" hidden="1" customHeight="1" x14ac:dyDescent="0.35">
      <c r="B774" s="96" t="s">
        <v>162</v>
      </c>
      <c r="C774" s="96" t="s">
        <v>1780</v>
      </c>
      <c r="D774" s="91"/>
      <c r="E774" s="92" t="s">
        <v>1068</v>
      </c>
      <c r="F774" s="92" t="s">
        <v>1102</v>
      </c>
      <c r="G774" s="92" t="s">
        <v>1104</v>
      </c>
      <c r="H774" s="92" t="s">
        <v>226</v>
      </c>
      <c r="I774" s="86"/>
    </row>
    <row r="775" spans="2:9" ht="15" hidden="1" customHeight="1" x14ac:dyDescent="0.35">
      <c r="B775" s="96" t="s">
        <v>162</v>
      </c>
      <c r="C775" s="96" t="s">
        <v>1781</v>
      </c>
      <c r="D775" s="91"/>
      <c r="E775" s="92" t="s">
        <v>1068</v>
      </c>
      <c r="F775" s="92" t="s">
        <v>1102</v>
      </c>
      <c r="G775" s="92" t="s">
        <v>1104</v>
      </c>
      <c r="H775" s="92" t="s">
        <v>226</v>
      </c>
      <c r="I775" s="86"/>
    </row>
    <row r="776" spans="2:9" ht="15" hidden="1" customHeight="1" x14ac:dyDescent="0.35">
      <c r="B776" s="96" t="s">
        <v>162</v>
      </c>
      <c r="C776" s="96" t="s">
        <v>1782</v>
      </c>
      <c r="D776" s="91"/>
      <c r="E776" s="92" t="s">
        <v>1068</v>
      </c>
      <c r="F776" s="92" t="s">
        <v>1102</v>
      </c>
      <c r="G776" s="92" t="s">
        <v>1104</v>
      </c>
      <c r="H776" s="92" t="s">
        <v>226</v>
      </c>
      <c r="I776" s="86"/>
    </row>
    <row r="777" spans="2:9" ht="15" hidden="1" customHeight="1" x14ac:dyDescent="0.35">
      <c r="B777" s="96" t="s">
        <v>162</v>
      </c>
      <c r="C777" s="96" t="s">
        <v>1783</v>
      </c>
      <c r="D777" s="91"/>
      <c r="E777" s="92" t="s">
        <v>1068</v>
      </c>
      <c r="F777" s="92" t="s">
        <v>1102</v>
      </c>
      <c r="G777" s="92" t="s">
        <v>1104</v>
      </c>
      <c r="H777" s="92" t="s">
        <v>226</v>
      </c>
      <c r="I777" s="86"/>
    </row>
    <row r="778" spans="2:9" ht="15" hidden="1" customHeight="1" x14ac:dyDescent="0.35">
      <c r="B778" s="96" t="s">
        <v>162</v>
      </c>
      <c r="C778" s="96" t="s">
        <v>1784</v>
      </c>
      <c r="D778" s="91"/>
      <c r="E778" s="92" t="s">
        <v>1068</v>
      </c>
      <c r="F778" s="92" t="s">
        <v>1102</v>
      </c>
      <c r="G778" s="92" t="s">
        <v>1104</v>
      </c>
      <c r="H778" s="92" t="s">
        <v>226</v>
      </c>
      <c r="I778" s="86"/>
    </row>
    <row r="779" spans="2:9" ht="15" hidden="1" customHeight="1" x14ac:dyDescent="0.35">
      <c r="B779" s="96" t="s">
        <v>162</v>
      </c>
      <c r="C779" s="96" t="s">
        <v>1785</v>
      </c>
      <c r="D779" s="91"/>
      <c r="E779" s="92" t="s">
        <v>1068</v>
      </c>
      <c r="F779" s="92" t="s">
        <v>1102</v>
      </c>
      <c r="G779" s="92" t="s">
        <v>1104</v>
      </c>
      <c r="H779" s="92" t="s">
        <v>226</v>
      </c>
      <c r="I779" s="86"/>
    </row>
    <row r="780" spans="2:9" ht="15" hidden="1" customHeight="1" x14ac:dyDescent="0.35">
      <c r="B780" s="96" t="s">
        <v>162</v>
      </c>
      <c r="C780" s="96" t="s">
        <v>1786</v>
      </c>
      <c r="D780" s="91"/>
      <c r="E780" s="92" t="s">
        <v>1068</v>
      </c>
      <c r="F780" s="92" t="s">
        <v>1102</v>
      </c>
      <c r="G780" s="92" t="s">
        <v>1104</v>
      </c>
      <c r="H780" s="92" t="s">
        <v>226</v>
      </c>
      <c r="I780" s="86"/>
    </row>
    <row r="781" spans="2:9" ht="15" hidden="1" customHeight="1" x14ac:dyDescent="0.35">
      <c r="B781" s="96" t="s">
        <v>162</v>
      </c>
      <c r="C781" s="96" t="s">
        <v>1787</v>
      </c>
      <c r="D781" s="91" t="e">
        <f>VLOOKUP(C781,'[1]Birbank İşçi Siyahı'!$B:$I,8,)</f>
        <v>#N/A</v>
      </c>
      <c r="E781" s="92" t="s">
        <v>1068</v>
      </c>
      <c r="F781" s="92" t="s">
        <v>1105</v>
      </c>
      <c r="G781" s="92" t="s">
        <v>1104</v>
      </c>
      <c r="H781" s="92" t="s">
        <v>226</v>
      </c>
      <c r="I781" s="86"/>
    </row>
    <row r="782" spans="2:9" ht="15" hidden="1" customHeight="1" x14ac:dyDescent="0.35">
      <c r="B782" s="96" t="s">
        <v>171</v>
      </c>
      <c r="C782" s="96" t="s">
        <v>1788</v>
      </c>
      <c r="D782" s="91" t="str">
        <f>VLOOKUP(C782,[2]Sheet1!$D:$E,2,)</f>
        <v>Pashapay</v>
      </c>
      <c r="E782" s="92" t="s">
        <v>1068</v>
      </c>
      <c r="F782" s="92" t="s">
        <v>1105</v>
      </c>
      <c r="G782" s="92" t="s">
        <v>1104</v>
      </c>
      <c r="H782" s="92" t="s">
        <v>226</v>
      </c>
      <c r="I782" s="86"/>
    </row>
    <row r="783" spans="2:9" ht="15" hidden="1" customHeight="1" x14ac:dyDescent="0.35">
      <c r="B783" s="96" t="s">
        <v>171</v>
      </c>
      <c r="C783" s="96" t="s">
        <v>1789</v>
      </c>
      <c r="D783" s="91" t="str">
        <f>VLOOKUP(C783,'[1]Birbank İşçi Siyahı'!$B:$I,8,)</f>
        <v>Bir Payment</v>
      </c>
      <c r="E783" s="92" t="s">
        <v>1068</v>
      </c>
      <c r="F783" s="92" t="s">
        <v>1105</v>
      </c>
      <c r="G783" s="92" t="s">
        <v>1104</v>
      </c>
      <c r="H783" s="92" t="s">
        <v>226</v>
      </c>
      <c r="I783" s="86"/>
    </row>
    <row r="784" spans="2:9" ht="15" hidden="1" customHeight="1" x14ac:dyDescent="0.35">
      <c r="B784" s="96" t="s">
        <v>171</v>
      </c>
      <c r="C784" s="96" t="s">
        <v>1790</v>
      </c>
      <c r="D784" s="91" t="str">
        <f>VLOOKUP(C784,'[1]Birbank İşçi Siyahı'!$B:$I,8,)</f>
        <v>Bir Payment</v>
      </c>
      <c r="E784" s="92" t="s">
        <v>1068</v>
      </c>
      <c r="F784" s="92" t="s">
        <v>1105</v>
      </c>
      <c r="G784" s="92" t="s">
        <v>1104</v>
      </c>
      <c r="H784" s="92" t="s">
        <v>226</v>
      </c>
      <c r="I784" s="86"/>
    </row>
    <row r="785" spans="2:9" ht="15" hidden="1" customHeight="1" x14ac:dyDescent="0.35">
      <c r="B785" s="96" t="s">
        <v>171</v>
      </c>
      <c r="C785" s="96" t="s">
        <v>1791</v>
      </c>
      <c r="D785" s="91" t="str">
        <f>VLOOKUP(C785,'[1]Birbank İşçi Siyahı'!$B:$I,8,)</f>
        <v>Bir Payment</v>
      </c>
      <c r="E785" s="92" t="s">
        <v>1068</v>
      </c>
      <c r="F785" s="92" t="s">
        <v>1105</v>
      </c>
      <c r="G785" s="92" t="s">
        <v>1104</v>
      </c>
      <c r="H785" s="92" t="s">
        <v>226</v>
      </c>
      <c r="I785" s="86"/>
    </row>
    <row r="786" spans="2:9" ht="15" hidden="1" customHeight="1" x14ac:dyDescent="0.35">
      <c r="B786" s="96" t="s">
        <v>162</v>
      </c>
      <c r="C786" s="96" t="s">
        <v>1106</v>
      </c>
      <c r="D786" s="91"/>
      <c r="E786" s="92" t="s">
        <v>1068</v>
      </c>
      <c r="F786" s="92" t="s">
        <v>1105</v>
      </c>
      <c r="G786" s="92" t="s">
        <v>1104</v>
      </c>
      <c r="H786" s="92" t="s">
        <v>227</v>
      </c>
      <c r="I786" s="86"/>
    </row>
    <row r="787" spans="2:9" ht="15" hidden="1" customHeight="1" x14ac:dyDescent="0.35">
      <c r="B787" s="96" t="s">
        <v>162</v>
      </c>
      <c r="C787" s="96" t="s">
        <v>1107</v>
      </c>
      <c r="D787" s="91"/>
      <c r="E787" s="92" t="s">
        <v>1068</v>
      </c>
      <c r="F787" s="92" t="s">
        <v>1105</v>
      </c>
      <c r="G787" s="92" t="s">
        <v>1104</v>
      </c>
      <c r="H787" s="92" t="s">
        <v>227</v>
      </c>
      <c r="I787" s="86"/>
    </row>
    <row r="788" spans="2:9" ht="15" hidden="1" customHeight="1" x14ac:dyDescent="0.35">
      <c r="B788" s="96" t="s">
        <v>162</v>
      </c>
      <c r="C788" s="96" t="s">
        <v>1108</v>
      </c>
      <c r="D788" s="91"/>
      <c r="E788" s="92" t="s">
        <v>1068</v>
      </c>
      <c r="F788" s="92" t="s">
        <v>1105</v>
      </c>
      <c r="G788" s="92" t="s">
        <v>1104</v>
      </c>
      <c r="H788" s="92" t="s">
        <v>227</v>
      </c>
      <c r="I788" s="86"/>
    </row>
    <row r="789" spans="2:9" ht="15" hidden="1" customHeight="1" x14ac:dyDescent="0.35">
      <c r="B789" s="96" t="s">
        <v>162</v>
      </c>
      <c r="C789" s="96" t="s">
        <v>1109</v>
      </c>
      <c r="D789" s="91"/>
      <c r="E789" s="92" t="s">
        <v>1068</v>
      </c>
      <c r="F789" s="92" t="s">
        <v>1105</v>
      </c>
      <c r="G789" s="92" t="s">
        <v>1104</v>
      </c>
      <c r="H789" s="92" t="s">
        <v>227</v>
      </c>
      <c r="I789" s="86"/>
    </row>
    <row r="790" spans="2:9" ht="15" hidden="1" customHeight="1" x14ac:dyDescent="0.35">
      <c r="B790" s="96" t="s">
        <v>162</v>
      </c>
      <c r="C790" s="96" t="s">
        <v>1792</v>
      </c>
      <c r="D790" s="91" t="e">
        <f>VLOOKUP(C790,'[1]Birbank İşçi Siyahı'!$B:$I,8,)</f>
        <v>#N/A</v>
      </c>
      <c r="E790" s="92" t="s">
        <v>1068</v>
      </c>
      <c r="F790" s="92" t="s">
        <v>1105</v>
      </c>
      <c r="G790" s="92" t="s">
        <v>1104</v>
      </c>
      <c r="H790" s="92" t="s">
        <v>226</v>
      </c>
      <c r="I790" s="86"/>
    </row>
    <row r="791" spans="2:9" ht="15" hidden="1" customHeight="1" x14ac:dyDescent="0.35">
      <c r="B791" s="96" t="s">
        <v>162</v>
      </c>
      <c r="C791" s="96" t="s">
        <v>1793</v>
      </c>
      <c r="D791" s="91"/>
      <c r="E791" s="92" t="s">
        <v>1068</v>
      </c>
      <c r="F791" s="92" t="s">
        <v>1105</v>
      </c>
      <c r="G791" s="92" t="s">
        <v>1104</v>
      </c>
      <c r="H791" s="92" t="s">
        <v>226</v>
      </c>
      <c r="I791" s="86"/>
    </row>
    <row r="792" spans="2:9" ht="15" hidden="1" customHeight="1" x14ac:dyDescent="0.35">
      <c r="B792" s="96" t="s">
        <v>162</v>
      </c>
      <c r="C792" s="96" t="s">
        <v>1794</v>
      </c>
      <c r="D792" s="91"/>
      <c r="E792" s="92" t="s">
        <v>1068</v>
      </c>
      <c r="F792" s="92" t="s">
        <v>1105</v>
      </c>
      <c r="G792" s="92" t="s">
        <v>1104</v>
      </c>
      <c r="H792" s="92" t="s">
        <v>226</v>
      </c>
      <c r="I792" s="86"/>
    </row>
    <row r="793" spans="2:9" ht="15" hidden="1" customHeight="1" x14ac:dyDescent="0.35">
      <c r="B793" s="96" t="s">
        <v>162</v>
      </c>
      <c r="C793" s="96" t="s">
        <v>1110</v>
      </c>
      <c r="D793" s="91" t="e">
        <f>VLOOKUP(C793,'[1]Birbank İşçi Siyahı'!$B:$I,8,)</f>
        <v>#N/A</v>
      </c>
      <c r="E793" s="92" t="s">
        <v>1068</v>
      </c>
      <c r="F793" s="92" t="s">
        <v>1111</v>
      </c>
      <c r="G793" s="92" t="s">
        <v>1112</v>
      </c>
      <c r="H793" s="92" t="s">
        <v>226</v>
      </c>
      <c r="I793" s="86"/>
    </row>
    <row r="794" spans="2:9" ht="15" hidden="1" customHeight="1" x14ac:dyDescent="0.35">
      <c r="B794" s="96" t="s">
        <v>171</v>
      </c>
      <c r="C794" s="96" t="s">
        <v>1795</v>
      </c>
      <c r="D794" s="91" t="str">
        <f>VLOOKUP(C794,'[1]Birbank İşçi Siyahı'!$B:$I,8,)</f>
        <v>Bir Payment</v>
      </c>
      <c r="E794" s="92" t="s">
        <v>1068</v>
      </c>
      <c r="F794" s="92" t="s">
        <v>1113</v>
      </c>
      <c r="G794" s="92" t="s">
        <v>1114</v>
      </c>
      <c r="H794" s="92" t="s">
        <v>226</v>
      </c>
      <c r="I794" s="86"/>
    </row>
    <row r="795" spans="2:9" ht="15" hidden="1" customHeight="1" x14ac:dyDescent="0.35">
      <c r="B795" s="96" t="s">
        <v>162</v>
      </c>
      <c r="C795" s="96" t="s">
        <v>1796</v>
      </c>
      <c r="D795" s="91"/>
      <c r="E795" s="92" t="s">
        <v>1068</v>
      </c>
      <c r="F795" s="92" t="s">
        <v>1113</v>
      </c>
      <c r="G795" s="92" t="s">
        <v>1114</v>
      </c>
      <c r="H795" s="92" t="s">
        <v>226</v>
      </c>
      <c r="I795" s="86"/>
    </row>
    <row r="796" spans="2:9" ht="15" hidden="1" customHeight="1" x14ac:dyDescent="0.35">
      <c r="B796" s="96" t="s">
        <v>162</v>
      </c>
      <c r="C796" s="96" t="s">
        <v>1797</v>
      </c>
      <c r="D796" s="91"/>
      <c r="E796" s="92" t="s">
        <v>1068</v>
      </c>
      <c r="F796" s="92" t="s">
        <v>1113</v>
      </c>
      <c r="G796" s="92" t="s">
        <v>1114</v>
      </c>
      <c r="H796" s="92" t="s">
        <v>226</v>
      </c>
      <c r="I796" s="86"/>
    </row>
    <row r="797" spans="2:9" ht="15" hidden="1" customHeight="1" x14ac:dyDescent="0.35">
      <c r="B797" s="96" t="s">
        <v>171</v>
      </c>
      <c r="C797" s="96" t="s">
        <v>1798</v>
      </c>
      <c r="D797" s="91" t="str">
        <f>VLOOKUP(C797,'[1]Birbank İşçi Siyahı'!$B:$I,8,)</f>
        <v>Bir Payment</v>
      </c>
      <c r="E797" s="92" t="s">
        <v>1068</v>
      </c>
      <c r="F797" s="92" t="s">
        <v>1113</v>
      </c>
      <c r="G797" s="92" t="s">
        <v>1114</v>
      </c>
      <c r="H797" s="92" t="s">
        <v>226</v>
      </c>
      <c r="I797" s="86"/>
    </row>
    <row r="798" spans="2:9" ht="15" hidden="1" customHeight="1" x14ac:dyDescent="0.35">
      <c r="B798" s="96" t="s">
        <v>171</v>
      </c>
      <c r="C798" s="96" t="s">
        <v>1799</v>
      </c>
      <c r="D798" s="91" t="str">
        <f>VLOOKUP(C798,'[1]Birbank İşçi Siyahı'!$B:$I,8,)</f>
        <v>Bir Payment</v>
      </c>
      <c r="E798" s="92" t="s">
        <v>1068</v>
      </c>
      <c r="F798" s="92" t="s">
        <v>1113</v>
      </c>
      <c r="G798" s="92" t="s">
        <v>1114</v>
      </c>
      <c r="H798" s="92" t="s">
        <v>226</v>
      </c>
      <c r="I798" s="86"/>
    </row>
    <row r="799" spans="2:9" ht="15" hidden="1" customHeight="1" x14ac:dyDescent="0.35">
      <c r="B799" s="96" t="s">
        <v>162</v>
      </c>
      <c r="C799" s="96" t="s">
        <v>1800</v>
      </c>
      <c r="D799" s="91"/>
      <c r="E799" s="92" t="s">
        <v>1068</v>
      </c>
      <c r="F799" s="92" t="s">
        <v>1113</v>
      </c>
      <c r="G799" s="92" t="s">
        <v>1114</v>
      </c>
      <c r="H799" s="92" t="s">
        <v>226</v>
      </c>
      <c r="I799" s="86"/>
    </row>
    <row r="800" spans="2:9" ht="15" hidden="1" customHeight="1" x14ac:dyDescent="0.35">
      <c r="B800" s="96" t="s">
        <v>162</v>
      </c>
      <c r="C800" s="96" t="s">
        <v>1115</v>
      </c>
      <c r="D800" s="91" t="e">
        <f>VLOOKUP(C800,'[1]Birbank İşçi Siyahı'!$B:$I,8,)</f>
        <v>#N/A</v>
      </c>
      <c r="E800" s="92" t="s">
        <v>1068</v>
      </c>
      <c r="F800" s="92" t="s">
        <v>1113</v>
      </c>
      <c r="G800" s="92" t="s">
        <v>1114</v>
      </c>
      <c r="H800" s="92" t="s">
        <v>226</v>
      </c>
      <c r="I800" s="86"/>
    </row>
    <row r="801" spans="2:9" ht="15" hidden="1" customHeight="1" x14ac:dyDescent="0.35">
      <c r="B801" s="96" t="s">
        <v>162</v>
      </c>
      <c r="C801" s="96" t="s">
        <v>1116</v>
      </c>
      <c r="D801" s="91" t="e">
        <f>VLOOKUP(C801,'[1]Birbank İşçi Siyahı'!$B:$I,8,)</f>
        <v>#N/A</v>
      </c>
      <c r="E801" s="92" t="s">
        <v>1068</v>
      </c>
      <c r="F801" s="92" t="s">
        <v>1113</v>
      </c>
      <c r="G801" s="92" t="s">
        <v>1114</v>
      </c>
      <c r="H801" s="92" t="s">
        <v>226</v>
      </c>
      <c r="I801" s="86"/>
    </row>
    <row r="802" spans="2:9" ht="15" hidden="1" customHeight="1" x14ac:dyDescent="0.35">
      <c r="B802" s="96" t="s">
        <v>162</v>
      </c>
      <c r="C802" s="96" t="s">
        <v>1801</v>
      </c>
      <c r="D802" s="91" t="e">
        <f>VLOOKUP(C802,'[1]Birbank İşçi Siyahı'!$B:$I,8,)</f>
        <v>#N/A</v>
      </c>
      <c r="E802" s="92" t="s">
        <v>1068</v>
      </c>
      <c r="F802" s="92" t="s">
        <v>1113</v>
      </c>
      <c r="G802" s="92" t="s">
        <v>1114</v>
      </c>
      <c r="H802" s="92" t="s">
        <v>226</v>
      </c>
      <c r="I802" s="86"/>
    </row>
    <row r="803" spans="2:9" ht="15" hidden="1" customHeight="1" x14ac:dyDescent="0.35">
      <c r="B803" s="96" t="s">
        <v>171</v>
      </c>
      <c r="C803" s="96" t="s">
        <v>1117</v>
      </c>
      <c r="D803" s="91" t="str">
        <f>VLOOKUP(C803,'[1]Birbank İşçi Siyahı'!$B:$I,8,)</f>
        <v>Bir Payment</v>
      </c>
      <c r="E803" s="92" t="s">
        <v>1068</v>
      </c>
      <c r="F803" s="92" t="s">
        <v>1113</v>
      </c>
      <c r="G803" s="92" t="s">
        <v>1114</v>
      </c>
      <c r="H803" s="92" t="s">
        <v>227</v>
      </c>
      <c r="I803" s="86"/>
    </row>
    <row r="804" spans="2:9" ht="15" hidden="1" customHeight="1" x14ac:dyDescent="0.35">
      <c r="B804" s="96" t="s">
        <v>171</v>
      </c>
      <c r="C804" s="96" t="s">
        <v>1802</v>
      </c>
      <c r="D804" s="91" t="str">
        <f>VLOOKUP(C804,'[1]Birbank İşçi Siyahı'!$B:$I,8,)</f>
        <v>Bir Payment</v>
      </c>
      <c r="E804" s="92" t="s">
        <v>1068</v>
      </c>
      <c r="F804" s="92" t="s">
        <v>1113</v>
      </c>
      <c r="G804" s="92" t="s">
        <v>1114</v>
      </c>
      <c r="H804" s="92" t="s">
        <v>226</v>
      </c>
      <c r="I804" s="86"/>
    </row>
    <row r="805" spans="2:9" ht="15" hidden="1" customHeight="1" x14ac:dyDescent="0.35">
      <c r="B805" s="96" t="s">
        <v>171</v>
      </c>
      <c r="C805" s="96" t="s">
        <v>1803</v>
      </c>
      <c r="D805" s="91" t="str">
        <f>VLOOKUP(C805,'[1]Birbank İşçi Siyahı'!$B:$I,8,)</f>
        <v>Bir Payment</v>
      </c>
      <c r="E805" s="92" t="s">
        <v>1068</v>
      </c>
      <c r="F805" s="92" t="s">
        <v>1113</v>
      </c>
      <c r="G805" s="92" t="s">
        <v>1114</v>
      </c>
      <c r="H805" s="92" t="s">
        <v>226</v>
      </c>
      <c r="I805" s="86"/>
    </row>
    <row r="806" spans="2:9" ht="15" hidden="1" customHeight="1" x14ac:dyDescent="0.35">
      <c r="B806" s="96" t="s">
        <v>162</v>
      </c>
      <c r="C806" s="96" t="s">
        <v>1804</v>
      </c>
      <c r="D806" s="91"/>
      <c r="E806" s="92" t="s">
        <v>1068</v>
      </c>
      <c r="F806" s="92" t="s">
        <v>1113</v>
      </c>
      <c r="G806" s="92" t="s">
        <v>1114</v>
      </c>
      <c r="H806" s="92" t="s">
        <v>226</v>
      </c>
      <c r="I806" s="86"/>
    </row>
    <row r="807" spans="2:9" ht="15" hidden="1" customHeight="1" x14ac:dyDescent="0.35">
      <c r="B807" s="96" t="s">
        <v>162</v>
      </c>
      <c r="C807" s="96" t="s">
        <v>1118</v>
      </c>
      <c r="D807" s="91" t="e">
        <f>VLOOKUP(C807,'[1]Birbank İşçi Siyahı'!$B:$I,8,)</f>
        <v>#N/A</v>
      </c>
      <c r="E807" s="92" t="s">
        <v>1068</v>
      </c>
      <c r="F807" s="92" t="s">
        <v>1113</v>
      </c>
      <c r="G807" s="92" t="s">
        <v>1114</v>
      </c>
      <c r="H807" s="92" t="s">
        <v>226</v>
      </c>
      <c r="I807" s="86"/>
    </row>
    <row r="808" spans="2:9" ht="15" hidden="1" customHeight="1" x14ac:dyDescent="0.35">
      <c r="B808" s="96" t="s">
        <v>162</v>
      </c>
      <c r="C808" s="96" t="s">
        <v>1119</v>
      </c>
      <c r="D808" s="91" t="e">
        <f>VLOOKUP(C808,'[1]Birbank İşçi Siyahı'!$B:$I,8,)</f>
        <v>#N/A</v>
      </c>
      <c r="E808" s="92" t="s">
        <v>1068</v>
      </c>
      <c r="F808" s="92" t="s">
        <v>1113</v>
      </c>
      <c r="G808" s="92" t="s">
        <v>1114</v>
      </c>
      <c r="H808" s="92" t="s">
        <v>226</v>
      </c>
      <c r="I808" s="86"/>
    </row>
    <row r="809" spans="2:9" ht="15" hidden="1" customHeight="1" x14ac:dyDescent="0.35">
      <c r="B809" s="96" t="s">
        <v>162</v>
      </c>
      <c r="C809" s="96" t="s">
        <v>1120</v>
      </c>
      <c r="D809" s="91" t="e">
        <f>VLOOKUP(C809,'[1]Birbank İşçi Siyahı'!$B:$I,8,)</f>
        <v>#N/A</v>
      </c>
      <c r="E809" s="92" t="s">
        <v>1068</v>
      </c>
      <c r="F809" s="92" t="s">
        <v>1121</v>
      </c>
      <c r="G809" s="92" t="s">
        <v>1122</v>
      </c>
      <c r="H809" s="92" t="s">
        <v>226</v>
      </c>
      <c r="I809" s="86"/>
    </row>
    <row r="810" spans="2:9" ht="15" hidden="1" customHeight="1" x14ac:dyDescent="0.35">
      <c r="B810" s="96" t="s">
        <v>162</v>
      </c>
      <c r="C810" s="96" t="s">
        <v>1805</v>
      </c>
      <c r="D810" s="91" t="e">
        <f>VLOOKUP(C810,'[1]Birbank İşçi Siyahı'!$B:$I,8,)</f>
        <v>#N/A</v>
      </c>
      <c r="E810" s="92" t="s">
        <v>1068</v>
      </c>
      <c r="F810" s="92" t="s">
        <v>1121</v>
      </c>
      <c r="G810" s="92" t="s">
        <v>1114</v>
      </c>
      <c r="H810" s="92" t="s">
        <v>226</v>
      </c>
      <c r="I810" s="86"/>
    </row>
    <row r="811" spans="2:9" ht="15" hidden="1" customHeight="1" x14ac:dyDescent="0.35">
      <c r="B811" s="96" t="s">
        <v>162</v>
      </c>
      <c r="C811" s="96" t="s">
        <v>1123</v>
      </c>
      <c r="D811" s="91" t="e">
        <f>VLOOKUP(C811,'[1]Birbank İşçi Siyahı'!$B:$I,8,)</f>
        <v>#N/A</v>
      </c>
      <c r="E811" s="92" t="s">
        <v>1068</v>
      </c>
      <c r="F811" s="92" t="s">
        <v>1121</v>
      </c>
      <c r="G811" s="92" t="s">
        <v>1114</v>
      </c>
      <c r="H811" s="92" t="s">
        <v>226</v>
      </c>
      <c r="I811" s="86"/>
    </row>
    <row r="812" spans="2:9" ht="15" hidden="1" customHeight="1" x14ac:dyDescent="0.35">
      <c r="B812" s="96" t="s">
        <v>171</v>
      </c>
      <c r="C812" s="96" t="s">
        <v>1806</v>
      </c>
      <c r="D812" s="91" t="str">
        <f>VLOOKUP(C812,'[1]Birbank İşçi Siyahı'!$B:$I,8,)</f>
        <v>Bir Payment</v>
      </c>
      <c r="E812" s="92" t="s">
        <v>1068</v>
      </c>
      <c r="F812" s="92" t="s">
        <v>1121</v>
      </c>
      <c r="G812" s="92" t="s">
        <v>1114</v>
      </c>
      <c r="H812" s="92" t="s">
        <v>226</v>
      </c>
      <c r="I812" s="86"/>
    </row>
    <row r="813" spans="2:9" ht="15" hidden="1" customHeight="1" x14ac:dyDescent="0.35">
      <c r="B813" s="96" t="s">
        <v>162</v>
      </c>
      <c r="C813" s="96" t="s">
        <v>1807</v>
      </c>
      <c r="D813" s="91"/>
      <c r="E813" s="92" t="s">
        <v>1068</v>
      </c>
      <c r="F813" s="92" t="s">
        <v>1121</v>
      </c>
      <c r="G813" s="92" t="s">
        <v>1114</v>
      </c>
      <c r="H813" s="92" t="s">
        <v>226</v>
      </c>
      <c r="I813" s="86"/>
    </row>
    <row r="814" spans="2:9" ht="15" hidden="1" customHeight="1" x14ac:dyDescent="0.35">
      <c r="B814" s="96" t="s">
        <v>162</v>
      </c>
      <c r="C814" s="96" t="s">
        <v>1124</v>
      </c>
      <c r="D814" s="91" t="e">
        <f>VLOOKUP(C814,'[1]Birbank İşçi Siyahı'!$B:$I,8,)</f>
        <v>#N/A</v>
      </c>
      <c r="E814" s="92" t="s">
        <v>1068</v>
      </c>
      <c r="F814" s="92" t="s">
        <v>1121</v>
      </c>
      <c r="G814" s="92" t="s">
        <v>1114</v>
      </c>
      <c r="H814" s="92" t="s">
        <v>226</v>
      </c>
      <c r="I814" s="86"/>
    </row>
    <row r="815" spans="2:9" ht="15" hidden="1" customHeight="1" x14ac:dyDescent="0.35">
      <c r="B815" s="96" t="s">
        <v>162</v>
      </c>
      <c r="C815" s="96" t="s">
        <v>1125</v>
      </c>
      <c r="D815" s="91"/>
      <c r="E815" s="92" t="s">
        <v>1068</v>
      </c>
      <c r="F815" s="92" t="s">
        <v>1126</v>
      </c>
      <c r="G815" s="92" t="s">
        <v>1127</v>
      </c>
      <c r="H815" s="92" t="s">
        <v>227</v>
      </c>
      <c r="I815" s="86"/>
    </row>
    <row r="816" spans="2:9" ht="15" hidden="1" customHeight="1" x14ac:dyDescent="0.35">
      <c r="B816" s="96" t="s">
        <v>162</v>
      </c>
      <c r="C816" s="96" t="s">
        <v>1808</v>
      </c>
      <c r="D816" s="91"/>
      <c r="E816" s="92" t="s">
        <v>1068</v>
      </c>
      <c r="F816" s="92" t="s">
        <v>33</v>
      </c>
      <c r="G816" s="92" t="s">
        <v>1128</v>
      </c>
      <c r="H816" s="92" t="s">
        <v>226</v>
      </c>
      <c r="I816" s="86"/>
    </row>
    <row r="817" spans="2:9" ht="15" hidden="1" customHeight="1" x14ac:dyDescent="0.35">
      <c r="B817" s="96" t="s">
        <v>162</v>
      </c>
      <c r="C817" s="96" t="s">
        <v>1809</v>
      </c>
      <c r="D817" s="91"/>
      <c r="E817" s="92" t="s">
        <v>1068</v>
      </c>
      <c r="F817" s="92" t="s">
        <v>1129</v>
      </c>
      <c r="G817" s="92" t="s">
        <v>1130</v>
      </c>
      <c r="H817" s="92" t="s">
        <v>226</v>
      </c>
      <c r="I817" s="86"/>
    </row>
    <row r="818" spans="2:9" ht="15" hidden="1" customHeight="1" x14ac:dyDescent="0.35">
      <c r="B818" s="96" t="s">
        <v>162</v>
      </c>
      <c r="C818" s="96" t="s">
        <v>1810</v>
      </c>
      <c r="D818" s="91"/>
      <c r="E818" s="92" t="s">
        <v>1068</v>
      </c>
      <c r="F818" s="92" t="s">
        <v>1129</v>
      </c>
      <c r="G818" s="92" t="s">
        <v>1131</v>
      </c>
      <c r="H818" s="92" t="s">
        <v>226</v>
      </c>
      <c r="I818" s="86"/>
    </row>
    <row r="819" spans="2:9" ht="15" hidden="1" customHeight="1" x14ac:dyDescent="0.35">
      <c r="B819" s="96" t="s">
        <v>171</v>
      </c>
      <c r="C819" s="96" t="s">
        <v>1811</v>
      </c>
      <c r="D819" s="91" t="str">
        <f>VLOOKUP(C819,'[1]Birbank İşçi Siyahı'!$B:$I,8,)</f>
        <v>Bir Payment</v>
      </c>
      <c r="E819" s="92" t="s">
        <v>1068</v>
      </c>
      <c r="F819" s="92" t="s">
        <v>1132</v>
      </c>
      <c r="G819" s="92" t="s">
        <v>1133</v>
      </c>
      <c r="H819" s="92" t="s">
        <v>226</v>
      </c>
      <c r="I819" s="86"/>
    </row>
    <row r="820" spans="2:9" ht="15" hidden="1" customHeight="1" x14ac:dyDescent="0.35">
      <c r="B820" s="96" t="s">
        <v>162</v>
      </c>
      <c r="C820" s="96" t="s">
        <v>1134</v>
      </c>
      <c r="D820" s="91"/>
      <c r="E820" s="92" t="s">
        <v>1135</v>
      </c>
      <c r="F820" s="91" t="s">
        <v>112</v>
      </c>
      <c r="G820" s="92" t="s">
        <v>983</v>
      </c>
      <c r="H820" s="92" t="s">
        <v>227</v>
      </c>
      <c r="I820" s="86"/>
    </row>
    <row r="821" spans="2:9" ht="15" hidden="1" customHeight="1" x14ac:dyDescent="0.35">
      <c r="B821" s="96" t="s">
        <v>162</v>
      </c>
      <c r="C821" s="96" t="s">
        <v>1136</v>
      </c>
      <c r="D821" s="91"/>
      <c r="E821" s="92" t="s">
        <v>1135</v>
      </c>
      <c r="F821" s="91" t="s">
        <v>112</v>
      </c>
      <c r="G821" s="92" t="s">
        <v>983</v>
      </c>
      <c r="H821" s="92" t="s">
        <v>227</v>
      </c>
      <c r="I821" s="86"/>
    </row>
    <row r="822" spans="2:9" ht="15" hidden="1" customHeight="1" x14ac:dyDescent="0.35">
      <c r="B822" s="96" t="s">
        <v>162</v>
      </c>
      <c r="C822" s="96" t="s">
        <v>1137</v>
      </c>
      <c r="D822" s="91"/>
      <c r="E822" s="92" t="s">
        <v>1135</v>
      </c>
      <c r="F822" s="92" t="s">
        <v>111</v>
      </c>
      <c r="G822" s="92" t="s">
        <v>1138</v>
      </c>
      <c r="H822" s="92" t="s">
        <v>227</v>
      </c>
      <c r="I822" s="86"/>
    </row>
    <row r="823" spans="2:9" ht="15" hidden="1" customHeight="1" x14ac:dyDescent="0.35">
      <c r="B823" s="96" t="s">
        <v>162</v>
      </c>
      <c r="C823" s="96" t="s">
        <v>1139</v>
      </c>
      <c r="D823" s="91"/>
      <c r="E823" s="92" t="s">
        <v>1135</v>
      </c>
      <c r="F823" s="92" t="s">
        <v>111</v>
      </c>
      <c r="G823" s="92" t="s">
        <v>1138</v>
      </c>
      <c r="H823" s="92" t="s">
        <v>227</v>
      </c>
      <c r="I823" s="86"/>
    </row>
    <row r="824" spans="2:9" ht="15" hidden="1" customHeight="1" x14ac:dyDescent="0.35">
      <c r="B824" s="96" t="s">
        <v>162</v>
      </c>
      <c r="C824" s="96" t="s">
        <v>1140</v>
      </c>
      <c r="D824" s="91"/>
      <c r="E824" s="92" t="s">
        <v>1135</v>
      </c>
      <c r="F824" s="92" t="s">
        <v>111</v>
      </c>
      <c r="G824" s="92" t="s">
        <v>983</v>
      </c>
      <c r="H824" s="92" t="s">
        <v>227</v>
      </c>
      <c r="I824" s="86"/>
    </row>
    <row r="825" spans="2:9" ht="15" hidden="1" customHeight="1" x14ac:dyDescent="0.35">
      <c r="B825" s="96" t="s">
        <v>162</v>
      </c>
      <c r="C825" s="96" t="s">
        <v>1141</v>
      </c>
      <c r="D825" s="91"/>
      <c r="E825" s="92" t="s">
        <v>1135</v>
      </c>
      <c r="F825" s="92" t="s">
        <v>111</v>
      </c>
      <c r="G825" s="92" t="s">
        <v>1138</v>
      </c>
      <c r="H825" s="92" t="s">
        <v>227</v>
      </c>
      <c r="I825" s="86"/>
    </row>
    <row r="826" spans="2:9" ht="15" hidden="1" customHeight="1" x14ac:dyDescent="0.35">
      <c r="B826" s="96" t="s">
        <v>162</v>
      </c>
      <c r="C826" s="96" t="s">
        <v>1142</v>
      </c>
      <c r="D826" s="91"/>
      <c r="E826" s="92" t="s">
        <v>1135</v>
      </c>
      <c r="F826" s="92" t="s">
        <v>111</v>
      </c>
      <c r="G826" s="92" t="s">
        <v>983</v>
      </c>
      <c r="H826" s="92" t="s">
        <v>227</v>
      </c>
      <c r="I826" s="86"/>
    </row>
    <row r="827" spans="2:9" ht="15" hidden="1" customHeight="1" x14ac:dyDescent="0.35">
      <c r="B827" s="96" t="s">
        <v>162</v>
      </c>
      <c r="C827" s="96" t="s">
        <v>1143</v>
      </c>
      <c r="D827" s="91"/>
      <c r="E827" s="92" t="s">
        <v>1135</v>
      </c>
      <c r="F827" s="92" t="s">
        <v>111</v>
      </c>
      <c r="G827" s="92" t="s">
        <v>1144</v>
      </c>
      <c r="H827" s="92" t="s">
        <v>227</v>
      </c>
      <c r="I827" s="86"/>
    </row>
    <row r="828" spans="2:9" ht="15" hidden="1" customHeight="1" x14ac:dyDescent="0.35">
      <c r="B828" s="96" t="s">
        <v>162</v>
      </c>
      <c r="C828" s="96" t="s">
        <v>1145</v>
      </c>
      <c r="D828" s="91"/>
      <c r="E828" s="92" t="s">
        <v>1135</v>
      </c>
      <c r="F828" s="92" t="s">
        <v>33</v>
      </c>
      <c r="G828" s="92" t="s">
        <v>1146</v>
      </c>
      <c r="H828" s="92" t="s">
        <v>227</v>
      </c>
      <c r="I828" s="86"/>
    </row>
    <row r="829" spans="2:9" ht="15" hidden="1" customHeight="1" x14ac:dyDescent="0.35">
      <c r="B829" s="96" t="s">
        <v>162</v>
      </c>
      <c r="C829" s="96" t="s">
        <v>1147</v>
      </c>
      <c r="D829" s="91"/>
      <c r="E829" s="92" t="s">
        <v>1135</v>
      </c>
      <c r="F829" s="92" t="s">
        <v>33</v>
      </c>
      <c r="G829" s="92" t="s">
        <v>1148</v>
      </c>
      <c r="H829" s="92" t="s">
        <v>227</v>
      </c>
      <c r="I829" s="86"/>
    </row>
    <row r="830" spans="2:9" ht="15" hidden="1" customHeight="1" x14ac:dyDescent="0.35">
      <c r="B830" s="96" t="s">
        <v>162</v>
      </c>
      <c r="C830" s="96" t="s">
        <v>1149</v>
      </c>
      <c r="D830" s="91"/>
      <c r="E830" s="92" t="s">
        <v>1135</v>
      </c>
      <c r="F830" s="92" t="s">
        <v>33</v>
      </c>
      <c r="G830" s="92" t="s">
        <v>1150</v>
      </c>
      <c r="H830" s="92" t="s">
        <v>227</v>
      </c>
      <c r="I830" s="86"/>
    </row>
    <row r="831" spans="2:9" ht="15" hidden="1" customHeight="1" x14ac:dyDescent="0.35">
      <c r="B831" s="96" t="s">
        <v>162</v>
      </c>
      <c r="C831" s="96" t="s">
        <v>1151</v>
      </c>
      <c r="D831" s="91"/>
      <c r="E831" s="92" t="s">
        <v>1152</v>
      </c>
      <c r="F831" s="92" t="s">
        <v>1153</v>
      </c>
      <c r="G831" s="92" t="s">
        <v>1154</v>
      </c>
      <c r="H831" s="92" t="s">
        <v>227</v>
      </c>
      <c r="I831" s="86"/>
    </row>
    <row r="832" spans="2:9" ht="15" hidden="1" customHeight="1" x14ac:dyDescent="0.35">
      <c r="B832" s="96" t="s">
        <v>162</v>
      </c>
      <c r="C832" s="96" t="s">
        <v>1155</v>
      </c>
      <c r="D832" s="91"/>
      <c r="E832" s="92" t="s">
        <v>1152</v>
      </c>
      <c r="F832" s="92" t="s">
        <v>1153</v>
      </c>
      <c r="G832" s="92" t="s">
        <v>1156</v>
      </c>
      <c r="H832" s="92" t="s">
        <v>227</v>
      </c>
      <c r="I832" s="86"/>
    </row>
    <row r="833" spans="2:9" ht="15" hidden="1" customHeight="1" x14ac:dyDescent="0.35">
      <c r="B833" s="96" t="s">
        <v>162</v>
      </c>
      <c r="C833" s="96" t="s">
        <v>1157</v>
      </c>
      <c r="D833" s="91"/>
      <c r="E833" s="92" t="s">
        <v>1152</v>
      </c>
      <c r="F833" s="92" t="s">
        <v>1158</v>
      </c>
      <c r="G833" s="92" t="s">
        <v>1159</v>
      </c>
      <c r="H833" s="92" t="s">
        <v>227</v>
      </c>
      <c r="I833" s="86"/>
    </row>
    <row r="834" spans="2:9" ht="15" hidden="1" customHeight="1" x14ac:dyDescent="0.35">
      <c r="B834" s="96" t="s">
        <v>162</v>
      </c>
      <c r="C834" s="96" t="s">
        <v>1160</v>
      </c>
      <c r="D834" s="91"/>
      <c r="E834" s="92" t="s">
        <v>1152</v>
      </c>
      <c r="F834" s="92" t="s">
        <v>1153</v>
      </c>
      <c r="G834" s="92" t="s">
        <v>1161</v>
      </c>
      <c r="H834" s="92" t="s">
        <v>227</v>
      </c>
      <c r="I834" s="86"/>
    </row>
    <row r="835" spans="2:9" ht="15" hidden="1" customHeight="1" x14ac:dyDescent="0.35">
      <c r="B835" s="96" t="s">
        <v>162</v>
      </c>
      <c r="C835" s="96" t="s">
        <v>1162</v>
      </c>
      <c r="D835" s="91"/>
      <c r="E835" s="92" t="s">
        <v>1152</v>
      </c>
      <c r="F835" s="92" t="s">
        <v>1153</v>
      </c>
      <c r="G835" s="92" t="s">
        <v>1161</v>
      </c>
      <c r="H835" s="92" t="s">
        <v>227</v>
      </c>
      <c r="I835" s="86"/>
    </row>
    <row r="836" spans="2:9" ht="15" hidden="1" customHeight="1" x14ac:dyDescent="0.35">
      <c r="B836" s="96" t="s">
        <v>162</v>
      </c>
      <c r="C836" s="96" t="s">
        <v>1163</v>
      </c>
      <c r="D836" s="91"/>
      <c r="E836" s="92" t="s">
        <v>1152</v>
      </c>
      <c r="F836" s="92" t="s">
        <v>1153</v>
      </c>
      <c r="G836" s="92" t="s">
        <v>1154</v>
      </c>
      <c r="H836" s="92" t="s">
        <v>227</v>
      </c>
      <c r="I836" s="86"/>
    </row>
    <row r="837" spans="2:9" ht="15" hidden="1" customHeight="1" x14ac:dyDescent="0.35">
      <c r="B837" s="96" t="s">
        <v>162</v>
      </c>
      <c r="C837" s="96" t="s">
        <v>1164</v>
      </c>
      <c r="D837" s="91"/>
      <c r="E837" s="92" t="s">
        <v>1152</v>
      </c>
      <c r="F837" s="92" t="s">
        <v>1153</v>
      </c>
      <c r="G837" s="92" t="s">
        <v>1165</v>
      </c>
      <c r="H837" s="92" t="s">
        <v>227</v>
      </c>
      <c r="I837" s="86"/>
    </row>
    <row r="838" spans="2:9" ht="15" hidden="1" customHeight="1" x14ac:dyDescent="0.35">
      <c r="B838" s="96" t="s">
        <v>162</v>
      </c>
      <c r="C838" s="96" t="s">
        <v>1166</v>
      </c>
      <c r="D838" s="91"/>
      <c r="E838" s="92" t="s">
        <v>1152</v>
      </c>
      <c r="F838" s="92" t="s">
        <v>1153</v>
      </c>
      <c r="G838" s="92" t="s">
        <v>1167</v>
      </c>
      <c r="H838" s="92" t="s">
        <v>227</v>
      </c>
      <c r="I838" s="86"/>
    </row>
    <row r="839" spans="2:9" ht="15" hidden="1" customHeight="1" x14ac:dyDescent="0.35">
      <c r="B839" s="96" t="s">
        <v>162</v>
      </c>
      <c r="C839" s="96" t="s">
        <v>1168</v>
      </c>
      <c r="D839" s="91"/>
      <c r="E839" s="92" t="s">
        <v>1152</v>
      </c>
      <c r="F839" s="92" t="s">
        <v>1153</v>
      </c>
      <c r="G839" s="92" t="s">
        <v>1154</v>
      </c>
      <c r="H839" s="92" t="s">
        <v>227</v>
      </c>
      <c r="I839" s="86"/>
    </row>
    <row r="840" spans="2:9" ht="15" hidden="1" customHeight="1" x14ac:dyDescent="0.35">
      <c r="B840" s="96" t="s">
        <v>162</v>
      </c>
      <c r="C840" s="96" t="s">
        <v>1169</v>
      </c>
      <c r="D840" s="91"/>
      <c r="E840" s="92" t="s">
        <v>1152</v>
      </c>
      <c r="F840" s="92" t="s">
        <v>1158</v>
      </c>
      <c r="G840" s="92" t="s">
        <v>1170</v>
      </c>
      <c r="H840" s="92" t="s">
        <v>227</v>
      </c>
      <c r="I840" s="86"/>
    </row>
    <row r="841" spans="2:9" ht="15" hidden="1" customHeight="1" x14ac:dyDescent="0.35">
      <c r="B841" s="96" t="s">
        <v>162</v>
      </c>
      <c r="C841" s="96" t="s">
        <v>1171</v>
      </c>
      <c r="D841" s="91"/>
      <c r="E841" s="92" t="s">
        <v>1152</v>
      </c>
      <c r="F841" s="92" t="s">
        <v>1153</v>
      </c>
      <c r="G841" s="92" t="s">
        <v>1154</v>
      </c>
      <c r="H841" s="92" t="s">
        <v>227</v>
      </c>
      <c r="I841" s="86"/>
    </row>
    <row r="842" spans="2:9" ht="15" hidden="1" customHeight="1" x14ac:dyDescent="0.35">
      <c r="B842" s="96" t="s">
        <v>162</v>
      </c>
      <c r="C842" s="96" t="s">
        <v>1172</v>
      </c>
      <c r="D842" s="91"/>
      <c r="E842" s="92" t="s">
        <v>1152</v>
      </c>
      <c r="F842" s="92" t="s">
        <v>1153</v>
      </c>
      <c r="G842" s="92" t="s">
        <v>1161</v>
      </c>
      <c r="H842" s="92" t="s">
        <v>227</v>
      </c>
      <c r="I842" s="86"/>
    </row>
    <row r="843" spans="2:9" ht="15" hidden="1" customHeight="1" x14ac:dyDescent="0.35">
      <c r="B843" s="96" t="s">
        <v>162</v>
      </c>
      <c r="C843" s="96" t="s">
        <v>1173</v>
      </c>
      <c r="D843" s="91"/>
      <c r="E843" s="92" t="s">
        <v>1152</v>
      </c>
      <c r="F843" s="92" t="s">
        <v>1153</v>
      </c>
      <c r="G843" s="92" t="s">
        <v>1161</v>
      </c>
      <c r="H843" s="92" t="s">
        <v>227</v>
      </c>
      <c r="I843" s="86"/>
    </row>
    <row r="844" spans="2:9" ht="15" hidden="1" customHeight="1" x14ac:dyDescent="0.35">
      <c r="B844" s="96" t="s">
        <v>162</v>
      </c>
      <c r="C844" s="96" t="s">
        <v>1174</v>
      </c>
      <c r="D844" s="91"/>
      <c r="E844" s="92" t="s">
        <v>1152</v>
      </c>
      <c r="F844" s="92" t="s">
        <v>1153</v>
      </c>
      <c r="G844" s="92" t="s">
        <v>1156</v>
      </c>
      <c r="H844" s="92" t="s">
        <v>227</v>
      </c>
      <c r="I844" s="86"/>
    </row>
    <row r="845" spans="2:9" ht="15" hidden="1" customHeight="1" x14ac:dyDescent="0.35">
      <c r="B845" s="96" t="s">
        <v>162</v>
      </c>
      <c r="C845" s="96" t="s">
        <v>1175</v>
      </c>
      <c r="D845" s="91"/>
      <c r="E845" s="92" t="s">
        <v>1152</v>
      </c>
      <c r="F845" s="92" t="s">
        <v>1176</v>
      </c>
      <c r="G845" s="92" t="s">
        <v>1177</v>
      </c>
      <c r="H845" s="92" t="s">
        <v>227</v>
      </c>
      <c r="I845" s="86"/>
    </row>
    <row r="846" spans="2:9" ht="15" hidden="1" customHeight="1" x14ac:dyDescent="0.35">
      <c r="B846" s="96" t="s">
        <v>162</v>
      </c>
      <c r="C846" s="96" t="s">
        <v>1178</v>
      </c>
      <c r="D846" s="91"/>
      <c r="E846" s="92" t="s">
        <v>1152</v>
      </c>
      <c r="F846" s="92" t="s">
        <v>1153</v>
      </c>
      <c r="G846" s="92" t="s">
        <v>1165</v>
      </c>
      <c r="H846" s="92" t="s">
        <v>227</v>
      </c>
      <c r="I846" s="86"/>
    </row>
    <row r="847" spans="2:9" ht="15" hidden="1" customHeight="1" x14ac:dyDescent="0.35">
      <c r="B847" s="96" t="s">
        <v>162</v>
      </c>
      <c r="C847" s="96" t="s">
        <v>1179</v>
      </c>
      <c r="D847" s="91"/>
      <c r="E847" s="92" t="s">
        <v>1152</v>
      </c>
      <c r="F847" s="92" t="s">
        <v>1153</v>
      </c>
      <c r="G847" s="92" t="s">
        <v>1165</v>
      </c>
      <c r="H847" s="92" t="s">
        <v>227</v>
      </c>
      <c r="I847" s="86"/>
    </row>
    <row r="848" spans="2:9" ht="15" hidden="1" customHeight="1" x14ac:dyDescent="0.35">
      <c r="B848" s="96" t="s">
        <v>162</v>
      </c>
      <c r="C848" s="96" t="s">
        <v>1180</v>
      </c>
      <c r="D848" s="91"/>
      <c r="E848" s="92" t="s">
        <v>1152</v>
      </c>
      <c r="F848" s="92" t="s">
        <v>1153</v>
      </c>
      <c r="G848" s="92" t="s">
        <v>1161</v>
      </c>
      <c r="H848" s="92" t="s">
        <v>227</v>
      </c>
      <c r="I848" s="86"/>
    </row>
    <row r="849" spans="2:9" ht="15" hidden="1" customHeight="1" x14ac:dyDescent="0.35">
      <c r="B849" s="96" t="s">
        <v>162</v>
      </c>
      <c r="C849" s="96" t="s">
        <v>1181</v>
      </c>
      <c r="D849" s="91"/>
      <c r="E849" s="92" t="s">
        <v>1152</v>
      </c>
      <c r="F849" s="92" t="s">
        <v>1153</v>
      </c>
      <c r="G849" s="92" t="s">
        <v>1182</v>
      </c>
      <c r="H849" s="92" t="s">
        <v>227</v>
      </c>
      <c r="I849" s="86"/>
    </row>
    <row r="850" spans="2:9" ht="15" hidden="1" customHeight="1" x14ac:dyDescent="0.35">
      <c r="B850" s="96" t="s">
        <v>162</v>
      </c>
      <c r="C850" s="96" t="s">
        <v>1183</v>
      </c>
      <c r="D850" s="91"/>
      <c r="E850" s="92" t="s">
        <v>1152</v>
      </c>
      <c r="F850" s="92" t="s">
        <v>1158</v>
      </c>
      <c r="G850" s="92" t="s">
        <v>1159</v>
      </c>
      <c r="H850" s="92" t="s">
        <v>227</v>
      </c>
      <c r="I850" s="86"/>
    </row>
    <row r="851" spans="2:9" ht="15" hidden="1" customHeight="1" x14ac:dyDescent="0.35">
      <c r="B851" s="96" t="s">
        <v>162</v>
      </c>
      <c r="C851" s="96" t="s">
        <v>1184</v>
      </c>
      <c r="D851" s="91"/>
      <c r="E851" s="92" t="s">
        <v>1152</v>
      </c>
      <c r="F851" s="92" t="s">
        <v>1158</v>
      </c>
      <c r="G851" s="92" t="s">
        <v>1170</v>
      </c>
      <c r="H851" s="92" t="s">
        <v>227</v>
      </c>
      <c r="I851" s="86"/>
    </row>
    <row r="852" spans="2:9" ht="15" hidden="1" customHeight="1" x14ac:dyDescent="0.35">
      <c r="B852" s="96" t="s">
        <v>162</v>
      </c>
      <c r="C852" s="96" t="s">
        <v>1185</v>
      </c>
      <c r="D852" s="91"/>
      <c r="E852" s="92" t="s">
        <v>1152</v>
      </c>
      <c r="F852" s="92" t="s">
        <v>1158</v>
      </c>
      <c r="G852" s="92" t="s">
        <v>1170</v>
      </c>
      <c r="H852" s="92" t="s">
        <v>227</v>
      </c>
      <c r="I852" s="86"/>
    </row>
    <row r="853" spans="2:9" ht="15" hidden="1" customHeight="1" x14ac:dyDescent="0.35">
      <c r="B853" s="96" t="s">
        <v>162</v>
      </c>
      <c r="C853" s="96" t="s">
        <v>1186</v>
      </c>
      <c r="D853" s="91"/>
      <c r="E853" s="92" t="s">
        <v>1152</v>
      </c>
      <c r="F853" s="92" t="s">
        <v>1153</v>
      </c>
      <c r="G853" s="92" t="s">
        <v>1182</v>
      </c>
      <c r="H853" s="92" t="s">
        <v>227</v>
      </c>
      <c r="I853" s="86"/>
    </row>
    <row r="854" spans="2:9" ht="15" hidden="1" customHeight="1" x14ac:dyDescent="0.35">
      <c r="B854" s="96" t="s">
        <v>162</v>
      </c>
      <c r="C854" s="96" t="s">
        <v>1187</v>
      </c>
      <c r="D854" s="91"/>
      <c r="E854" s="92" t="s">
        <v>1152</v>
      </c>
      <c r="F854" s="92" t="s">
        <v>1153</v>
      </c>
      <c r="G854" s="92" t="s">
        <v>1165</v>
      </c>
      <c r="H854" s="92" t="s">
        <v>227</v>
      </c>
      <c r="I854" s="86"/>
    </row>
    <row r="855" spans="2:9" ht="15" hidden="1" customHeight="1" x14ac:dyDescent="0.35">
      <c r="B855" s="96" t="s">
        <v>162</v>
      </c>
      <c r="C855" s="96" t="s">
        <v>1188</v>
      </c>
      <c r="D855" s="91"/>
      <c r="E855" s="92" t="s">
        <v>1152</v>
      </c>
      <c r="F855" s="92" t="s">
        <v>1153</v>
      </c>
      <c r="G855" s="92" t="s">
        <v>1167</v>
      </c>
      <c r="H855" s="92" t="s">
        <v>227</v>
      </c>
      <c r="I855" s="86"/>
    </row>
    <row r="856" spans="2:9" ht="15" hidden="1" customHeight="1" x14ac:dyDescent="0.35">
      <c r="B856" s="96" t="s">
        <v>162</v>
      </c>
      <c r="C856" s="96" t="s">
        <v>1189</v>
      </c>
      <c r="D856" s="91"/>
      <c r="E856" s="92" t="s">
        <v>1152</v>
      </c>
      <c r="F856" s="92" t="s">
        <v>1158</v>
      </c>
      <c r="G856" s="92" t="s">
        <v>1159</v>
      </c>
      <c r="H856" s="92" t="s">
        <v>227</v>
      </c>
      <c r="I856" s="86"/>
    </row>
    <row r="857" spans="2:9" ht="15" hidden="1" customHeight="1" x14ac:dyDescent="0.35">
      <c r="B857" s="96" t="s">
        <v>162</v>
      </c>
      <c r="C857" s="96" t="s">
        <v>1190</v>
      </c>
      <c r="D857" s="91"/>
      <c r="E857" s="92" t="s">
        <v>1152</v>
      </c>
      <c r="F857" s="92" t="s">
        <v>1176</v>
      </c>
      <c r="G857" s="92" t="s">
        <v>1191</v>
      </c>
      <c r="H857" s="92" t="s">
        <v>227</v>
      </c>
      <c r="I857" s="86"/>
    </row>
    <row r="858" spans="2:9" ht="15" hidden="1" customHeight="1" x14ac:dyDescent="0.35">
      <c r="B858" s="96" t="s">
        <v>162</v>
      </c>
      <c r="C858" s="96" t="s">
        <v>1192</v>
      </c>
      <c r="D858" s="91"/>
      <c r="E858" s="92" t="s">
        <v>1152</v>
      </c>
      <c r="F858" s="92" t="s">
        <v>1153</v>
      </c>
      <c r="G858" s="92" t="s">
        <v>1156</v>
      </c>
      <c r="H858" s="92" t="s">
        <v>227</v>
      </c>
      <c r="I858" s="86"/>
    </row>
    <row r="859" spans="2:9" ht="15" hidden="1" customHeight="1" x14ac:dyDescent="0.35">
      <c r="B859" s="96" t="s">
        <v>162</v>
      </c>
      <c r="C859" s="96" t="s">
        <v>1193</v>
      </c>
      <c r="D859" s="91"/>
      <c r="E859" s="92" t="s">
        <v>1152</v>
      </c>
      <c r="F859" s="92" t="s">
        <v>1153</v>
      </c>
      <c r="G859" s="92" t="s">
        <v>248</v>
      </c>
      <c r="H859" s="92" t="s">
        <v>227</v>
      </c>
      <c r="I859" s="86"/>
    </row>
    <row r="860" spans="2:9" ht="15" hidden="1" customHeight="1" x14ac:dyDescent="0.35">
      <c r="B860" s="96" t="s">
        <v>162</v>
      </c>
      <c r="C860" s="96" t="s">
        <v>1194</v>
      </c>
      <c r="D860" s="91"/>
      <c r="E860" s="92" t="s">
        <v>1152</v>
      </c>
      <c r="F860" s="92" t="s">
        <v>1153</v>
      </c>
      <c r="G860" s="92" t="s">
        <v>1156</v>
      </c>
      <c r="H860" s="92" t="s">
        <v>227</v>
      </c>
      <c r="I860" s="86"/>
    </row>
    <row r="861" spans="2:9" ht="15" hidden="1" customHeight="1" x14ac:dyDescent="0.35">
      <c r="B861" s="96" t="s">
        <v>162</v>
      </c>
      <c r="C861" s="96" t="s">
        <v>1195</v>
      </c>
      <c r="D861" s="91"/>
      <c r="E861" s="92" t="s">
        <v>1152</v>
      </c>
      <c r="F861" s="92" t="s">
        <v>1153</v>
      </c>
      <c r="G861" s="92" t="s">
        <v>1182</v>
      </c>
      <c r="H861" s="92" t="s">
        <v>227</v>
      </c>
      <c r="I861" s="86"/>
    </row>
    <row r="862" spans="2:9" ht="15" hidden="1" customHeight="1" x14ac:dyDescent="0.35">
      <c r="B862" s="96" t="s">
        <v>162</v>
      </c>
      <c r="C862" s="96" t="s">
        <v>1196</v>
      </c>
      <c r="D862" s="91"/>
      <c r="E862" s="92" t="s">
        <v>1152</v>
      </c>
      <c r="F862" s="92" t="s">
        <v>1153</v>
      </c>
      <c r="G862" s="92" t="s">
        <v>1156</v>
      </c>
      <c r="H862" s="92" t="s">
        <v>227</v>
      </c>
      <c r="I862" s="86"/>
    </row>
    <row r="863" spans="2:9" ht="15" hidden="1" customHeight="1" x14ac:dyDescent="0.35">
      <c r="B863" s="96" t="s">
        <v>162</v>
      </c>
      <c r="C863" s="96" t="s">
        <v>1197</v>
      </c>
      <c r="D863" s="91"/>
      <c r="E863" s="92" t="s">
        <v>1152</v>
      </c>
      <c r="F863" s="92" t="s">
        <v>1158</v>
      </c>
      <c r="G863" s="92" t="s">
        <v>1170</v>
      </c>
      <c r="H863" s="92" t="s">
        <v>227</v>
      </c>
      <c r="I863" s="86"/>
    </row>
    <row r="864" spans="2:9" ht="15" hidden="1" customHeight="1" x14ac:dyDescent="0.35">
      <c r="B864" s="96" t="s">
        <v>162</v>
      </c>
      <c r="C864" s="96" t="s">
        <v>1198</v>
      </c>
      <c r="D864" s="91"/>
      <c r="E864" s="92" t="s">
        <v>1152</v>
      </c>
      <c r="F864" s="92" t="s">
        <v>1153</v>
      </c>
      <c r="G864" s="92" t="s">
        <v>248</v>
      </c>
      <c r="H864" s="92" t="s">
        <v>227</v>
      </c>
      <c r="I864" s="86"/>
    </row>
    <row r="865" spans="2:9" ht="15" hidden="1" customHeight="1" x14ac:dyDescent="0.35">
      <c r="B865" s="96" t="s">
        <v>162</v>
      </c>
      <c r="C865" s="96" t="s">
        <v>1199</v>
      </c>
      <c r="D865" s="91" t="e">
        <f>VLOOKUP(C865,'[1]Birbank İşçi Siyahı'!$B:$I,8,)</f>
        <v>#N/A</v>
      </c>
      <c r="E865" s="92" t="s">
        <v>1152</v>
      </c>
      <c r="F865" s="92" t="s">
        <v>1153</v>
      </c>
      <c r="G865" s="92" t="s">
        <v>1167</v>
      </c>
      <c r="H865" s="92" t="s">
        <v>226</v>
      </c>
      <c r="I865" s="86"/>
    </row>
    <row r="866" spans="2:9" ht="15" hidden="1" customHeight="1" x14ac:dyDescent="0.35">
      <c r="B866" s="96" t="s">
        <v>162</v>
      </c>
      <c r="C866" s="96" t="s">
        <v>1200</v>
      </c>
      <c r="D866" s="91"/>
      <c r="E866" s="92" t="s">
        <v>1152</v>
      </c>
      <c r="F866" s="92" t="s">
        <v>1153</v>
      </c>
      <c r="G866" s="92" t="s">
        <v>1156</v>
      </c>
      <c r="H866" s="92" t="s">
        <v>227</v>
      </c>
      <c r="I866" s="86"/>
    </row>
    <row r="867" spans="2:9" ht="15" hidden="1" customHeight="1" x14ac:dyDescent="0.35">
      <c r="B867" s="96" t="s">
        <v>162</v>
      </c>
      <c r="C867" s="96" t="s">
        <v>1201</v>
      </c>
      <c r="D867" s="91"/>
      <c r="E867" s="92" t="s">
        <v>1152</v>
      </c>
      <c r="F867" s="92" t="s">
        <v>1158</v>
      </c>
      <c r="G867" s="92" t="s">
        <v>1170</v>
      </c>
      <c r="H867" s="92" t="s">
        <v>227</v>
      </c>
      <c r="I867" s="86"/>
    </row>
    <row r="868" spans="2:9" ht="15" hidden="1" customHeight="1" x14ac:dyDescent="0.35">
      <c r="B868" s="96" t="s">
        <v>162</v>
      </c>
      <c r="C868" s="96" t="s">
        <v>1202</v>
      </c>
      <c r="D868" s="91"/>
      <c r="E868" s="92" t="s">
        <v>1152</v>
      </c>
      <c r="F868" s="92" t="s">
        <v>1158</v>
      </c>
      <c r="G868" s="92" t="s">
        <v>1159</v>
      </c>
      <c r="H868" s="92" t="s">
        <v>227</v>
      </c>
      <c r="I868" s="86"/>
    </row>
    <row r="869" spans="2:9" ht="15" hidden="1" customHeight="1" x14ac:dyDescent="0.35">
      <c r="B869" s="96" t="s">
        <v>162</v>
      </c>
      <c r="C869" s="96" t="s">
        <v>1203</v>
      </c>
      <c r="D869" s="91"/>
      <c r="E869" s="92" t="s">
        <v>1152</v>
      </c>
      <c r="F869" s="92" t="s">
        <v>1158</v>
      </c>
      <c r="G869" s="92" t="s">
        <v>1170</v>
      </c>
      <c r="H869" s="92" t="s">
        <v>227</v>
      </c>
      <c r="I869" s="86"/>
    </row>
    <row r="870" spans="2:9" ht="15" hidden="1" customHeight="1" x14ac:dyDescent="0.35">
      <c r="B870" s="96" t="s">
        <v>162</v>
      </c>
      <c r="C870" s="96" t="s">
        <v>1204</v>
      </c>
      <c r="D870" s="91"/>
      <c r="E870" s="92" t="s">
        <v>1152</v>
      </c>
      <c r="F870" s="92" t="s">
        <v>1153</v>
      </c>
      <c r="G870" s="92" t="s">
        <v>248</v>
      </c>
      <c r="H870" s="92" t="s">
        <v>227</v>
      </c>
      <c r="I870" s="86"/>
    </row>
    <row r="871" spans="2:9" ht="15" hidden="1" customHeight="1" x14ac:dyDescent="0.35">
      <c r="B871" s="96" t="s">
        <v>162</v>
      </c>
      <c r="C871" s="96" t="s">
        <v>1205</v>
      </c>
      <c r="D871" s="91"/>
      <c r="E871" s="92" t="s">
        <v>1152</v>
      </c>
      <c r="F871" s="92" t="s">
        <v>1158</v>
      </c>
      <c r="G871" s="92" t="s">
        <v>1170</v>
      </c>
      <c r="H871" s="92" t="s">
        <v>227</v>
      </c>
      <c r="I871" s="86"/>
    </row>
    <row r="872" spans="2:9" ht="15" hidden="1" customHeight="1" x14ac:dyDescent="0.35">
      <c r="B872" s="96" t="s">
        <v>162</v>
      </c>
      <c r="C872" s="96" t="s">
        <v>1206</v>
      </c>
      <c r="D872" s="91"/>
      <c r="E872" s="92" t="s">
        <v>1152</v>
      </c>
      <c r="F872" s="92" t="s">
        <v>1158</v>
      </c>
      <c r="G872" s="92" t="s">
        <v>1159</v>
      </c>
      <c r="H872" s="92" t="s">
        <v>227</v>
      </c>
      <c r="I872" s="86"/>
    </row>
    <row r="873" spans="2:9" ht="15" hidden="1" customHeight="1" x14ac:dyDescent="0.35">
      <c r="B873" s="96" t="s">
        <v>162</v>
      </c>
      <c r="C873" s="96" t="s">
        <v>1207</v>
      </c>
      <c r="D873" s="91"/>
      <c r="E873" s="92" t="s">
        <v>1152</v>
      </c>
      <c r="F873" s="92" t="s">
        <v>1153</v>
      </c>
      <c r="G873" s="92" t="s">
        <v>248</v>
      </c>
      <c r="H873" s="92" t="s">
        <v>227</v>
      </c>
      <c r="I873" s="86"/>
    </row>
    <row r="874" spans="2:9" ht="15" hidden="1" customHeight="1" x14ac:dyDescent="0.35">
      <c r="B874" s="96" t="s">
        <v>162</v>
      </c>
      <c r="C874" s="96" t="s">
        <v>1208</v>
      </c>
      <c r="D874" s="91"/>
      <c r="E874" s="92" t="s">
        <v>1152</v>
      </c>
      <c r="F874" s="92" t="s">
        <v>1158</v>
      </c>
      <c r="G874" s="92" t="s">
        <v>1182</v>
      </c>
      <c r="H874" s="92" t="s">
        <v>227</v>
      </c>
      <c r="I874" s="86"/>
    </row>
    <row r="875" spans="2:9" ht="15" hidden="1" customHeight="1" x14ac:dyDescent="0.35">
      <c r="B875" s="96" t="s">
        <v>162</v>
      </c>
      <c r="C875" s="96" t="s">
        <v>1209</v>
      </c>
      <c r="D875" s="91"/>
      <c r="E875" s="92" t="s">
        <v>1152</v>
      </c>
      <c r="F875" s="92" t="s">
        <v>1153</v>
      </c>
      <c r="G875" s="92" t="s">
        <v>1165</v>
      </c>
      <c r="H875" s="92" t="s">
        <v>227</v>
      </c>
      <c r="I875" s="86"/>
    </row>
    <row r="876" spans="2:9" ht="15" hidden="1" customHeight="1" x14ac:dyDescent="0.35">
      <c r="B876" s="96" t="s">
        <v>162</v>
      </c>
      <c r="C876" s="96" t="s">
        <v>1210</v>
      </c>
      <c r="D876" s="91"/>
      <c r="E876" s="92" t="s">
        <v>1152</v>
      </c>
      <c r="F876" s="92" t="s">
        <v>1153</v>
      </c>
      <c r="G876" s="92" t="s">
        <v>1182</v>
      </c>
      <c r="H876" s="92" t="s">
        <v>227</v>
      </c>
      <c r="I876" s="86"/>
    </row>
    <row r="877" spans="2:9" ht="15" hidden="1" customHeight="1" x14ac:dyDescent="0.35">
      <c r="B877" s="96" t="s">
        <v>162</v>
      </c>
      <c r="C877" s="96" t="s">
        <v>1211</v>
      </c>
      <c r="D877" s="91"/>
      <c r="E877" s="92" t="s">
        <v>1152</v>
      </c>
      <c r="F877" s="92" t="s">
        <v>1153</v>
      </c>
      <c r="G877" s="92" t="s">
        <v>1154</v>
      </c>
      <c r="H877" s="92" t="s">
        <v>227</v>
      </c>
      <c r="I877" s="86"/>
    </row>
    <row r="878" spans="2:9" ht="15" hidden="1" customHeight="1" x14ac:dyDescent="0.35">
      <c r="B878" s="96" t="s">
        <v>162</v>
      </c>
      <c r="C878" s="96" t="s">
        <v>1212</v>
      </c>
      <c r="D878" s="91"/>
      <c r="E878" s="92" t="s">
        <v>1152</v>
      </c>
      <c r="F878" s="92" t="s">
        <v>1158</v>
      </c>
      <c r="G878" s="92" t="s">
        <v>248</v>
      </c>
      <c r="H878" s="92" t="s">
        <v>227</v>
      </c>
      <c r="I878" s="86"/>
    </row>
    <row r="879" spans="2:9" ht="15" hidden="1" customHeight="1" x14ac:dyDescent="0.35">
      <c r="B879" s="96" t="s">
        <v>162</v>
      </c>
      <c r="C879" s="96" t="s">
        <v>1213</v>
      </c>
      <c r="D879" s="91"/>
      <c r="E879" s="92" t="s">
        <v>1152</v>
      </c>
      <c r="F879" s="92" t="s">
        <v>1153</v>
      </c>
      <c r="G879" s="92" t="s">
        <v>1165</v>
      </c>
      <c r="H879" s="92" t="s">
        <v>227</v>
      </c>
      <c r="I879" s="86"/>
    </row>
    <row r="880" spans="2:9" ht="15" hidden="1" customHeight="1" x14ac:dyDescent="0.35">
      <c r="B880" s="96" t="s">
        <v>162</v>
      </c>
      <c r="C880" s="96" t="s">
        <v>1214</v>
      </c>
      <c r="D880" s="91"/>
      <c r="E880" s="92" t="s">
        <v>1152</v>
      </c>
      <c r="F880" s="92" t="s">
        <v>1153</v>
      </c>
      <c r="G880" s="92" t="s">
        <v>1154</v>
      </c>
      <c r="H880" s="92" t="s">
        <v>227</v>
      </c>
      <c r="I880" s="86"/>
    </row>
    <row r="881" spans="2:9" ht="15" hidden="1" customHeight="1" x14ac:dyDescent="0.35">
      <c r="B881" s="96" t="s">
        <v>162</v>
      </c>
      <c r="C881" s="96" t="s">
        <v>1215</v>
      </c>
      <c r="D881" s="91"/>
      <c r="E881" s="92" t="s">
        <v>1152</v>
      </c>
      <c r="F881" s="92" t="s">
        <v>1158</v>
      </c>
      <c r="G881" s="92" t="s">
        <v>247</v>
      </c>
      <c r="H881" s="92" t="s">
        <v>227</v>
      </c>
      <c r="I881" s="86"/>
    </row>
    <row r="882" spans="2:9" ht="15" hidden="1" customHeight="1" x14ac:dyDescent="0.35">
      <c r="B882" s="96" t="s">
        <v>162</v>
      </c>
      <c r="C882" s="96" t="s">
        <v>1216</v>
      </c>
      <c r="D882" s="91"/>
      <c r="E882" s="92" t="s">
        <v>1152</v>
      </c>
      <c r="F882" s="92" t="s">
        <v>1158</v>
      </c>
      <c r="G882" s="92" t="s">
        <v>1170</v>
      </c>
      <c r="H882" s="92" t="s">
        <v>227</v>
      </c>
      <c r="I882" s="86"/>
    </row>
    <row r="883" spans="2:9" ht="15" hidden="1" customHeight="1" x14ac:dyDescent="0.35">
      <c r="B883" s="96" t="s">
        <v>162</v>
      </c>
      <c r="C883" s="96" t="s">
        <v>1217</v>
      </c>
      <c r="D883" s="91"/>
      <c r="E883" s="92" t="s">
        <v>1152</v>
      </c>
      <c r="F883" s="92" t="s">
        <v>1153</v>
      </c>
      <c r="G883" s="92" t="s">
        <v>1167</v>
      </c>
      <c r="H883" s="92" t="s">
        <v>227</v>
      </c>
      <c r="I883" s="86"/>
    </row>
    <row r="884" spans="2:9" ht="15" hidden="1" customHeight="1" x14ac:dyDescent="0.35">
      <c r="B884" s="96" t="s">
        <v>162</v>
      </c>
      <c r="C884" s="96" t="s">
        <v>1218</v>
      </c>
      <c r="D884" s="91"/>
      <c r="E884" s="92" t="s">
        <v>1152</v>
      </c>
      <c r="F884" s="92" t="s">
        <v>1153</v>
      </c>
      <c r="G884" s="92" t="s">
        <v>1165</v>
      </c>
      <c r="H884" s="92" t="s">
        <v>227</v>
      </c>
      <c r="I884" s="86"/>
    </row>
    <row r="885" spans="2:9" ht="15" hidden="1" customHeight="1" x14ac:dyDescent="0.35">
      <c r="B885" s="96" t="s">
        <v>162</v>
      </c>
      <c r="C885" s="96" t="s">
        <v>1219</v>
      </c>
      <c r="D885" s="91"/>
      <c r="E885" s="92" t="s">
        <v>1152</v>
      </c>
      <c r="F885" s="92" t="s">
        <v>1153</v>
      </c>
      <c r="G885" s="92" t="s">
        <v>1182</v>
      </c>
      <c r="H885" s="92" t="s">
        <v>227</v>
      </c>
      <c r="I885" s="86"/>
    </row>
    <row r="886" spans="2:9" ht="15" hidden="1" customHeight="1" x14ac:dyDescent="0.35">
      <c r="B886" s="96" t="s">
        <v>162</v>
      </c>
      <c r="C886" s="96" t="s">
        <v>1220</v>
      </c>
      <c r="D886" s="91"/>
      <c r="E886" s="92" t="s">
        <v>1152</v>
      </c>
      <c r="F886" s="92" t="s">
        <v>1153</v>
      </c>
      <c r="G886" s="92" t="s">
        <v>1221</v>
      </c>
      <c r="H886" s="92" t="s">
        <v>227</v>
      </c>
      <c r="I886" s="86"/>
    </row>
    <row r="887" spans="2:9" ht="15" hidden="1" customHeight="1" x14ac:dyDescent="0.35">
      <c r="B887" s="96" t="s">
        <v>162</v>
      </c>
      <c r="C887" s="96" t="s">
        <v>1222</v>
      </c>
      <c r="D887" s="91"/>
      <c r="E887" s="92" t="s">
        <v>1152</v>
      </c>
      <c r="F887" s="92" t="s">
        <v>1153</v>
      </c>
      <c r="G887" s="92" t="s">
        <v>1156</v>
      </c>
      <c r="H887" s="92" t="s">
        <v>227</v>
      </c>
      <c r="I887" s="86"/>
    </row>
    <row r="888" spans="2:9" ht="15" hidden="1" customHeight="1" x14ac:dyDescent="0.35">
      <c r="B888" s="96" t="s">
        <v>162</v>
      </c>
      <c r="C888" s="96" t="s">
        <v>1223</v>
      </c>
      <c r="D888" s="91"/>
      <c r="E888" s="92" t="s">
        <v>1152</v>
      </c>
      <c r="F888" s="92" t="s">
        <v>1153</v>
      </c>
      <c r="G888" s="92" t="s">
        <v>1224</v>
      </c>
      <c r="H888" s="92" t="s">
        <v>227</v>
      </c>
      <c r="I888" s="86"/>
    </row>
    <row r="889" spans="2:9" ht="15" hidden="1" customHeight="1" x14ac:dyDescent="0.35">
      <c r="B889" s="96" t="s">
        <v>162</v>
      </c>
      <c r="C889" s="96" t="s">
        <v>1225</v>
      </c>
      <c r="D889" s="91"/>
      <c r="E889" s="92" t="s">
        <v>1152</v>
      </c>
      <c r="F889" s="92" t="s">
        <v>1153</v>
      </c>
      <c r="G889" s="92" t="s">
        <v>1224</v>
      </c>
      <c r="H889" s="92" t="s">
        <v>227</v>
      </c>
      <c r="I889" s="86"/>
    </row>
    <row r="890" spans="2:9" ht="15" hidden="1" customHeight="1" x14ac:dyDescent="0.35">
      <c r="B890" s="96" t="s">
        <v>162</v>
      </c>
      <c r="C890" s="96" t="s">
        <v>1226</v>
      </c>
      <c r="D890" s="91"/>
      <c r="E890" s="92" t="s">
        <v>1152</v>
      </c>
      <c r="F890" s="92" t="s">
        <v>1153</v>
      </c>
      <c r="G890" s="92" t="s">
        <v>1154</v>
      </c>
      <c r="H890" s="92" t="s">
        <v>227</v>
      </c>
      <c r="I890" s="86"/>
    </row>
    <row r="891" spans="2:9" ht="15" hidden="1" customHeight="1" x14ac:dyDescent="0.35">
      <c r="B891" s="96" t="s">
        <v>162</v>
      </c>
      <c r="C891" s="96" t="s">
        <v>1227</v>
      </c>
      <c r="D891" s="91"/>
      <c r="E891" s="92" t="s">
        <v>1152</v>
      </c>
      <c r="F891" s="92" t="s">
        <v>1153</v>
      </c>
      <c r="G891" s="92" t="s">
        <v>1156</v>
      </c>
      <c r="H891" s="92" t="s">
        <v>227</v>
      </c>
      <c r="I891" s="86"/>
    </row>
    <row r="892" spans="2:9" ht="15" hidden="1" customHeight="1" x14ac:dyDescent="0.35">
      <c r="B892" s="96" t="s">
        <v>162</v>
      </c>
      <c r="C892" s="96" t="s">
        <v>1228</v>
      </c>
      <c r="D892" s="91"/>
      <c r="E892" s="92" t="s">
        <v>1152</v>
      </c>
      <c r="F892" s="92" t="s">
        <v>1153</v>
      </c>
      <c r="G892" s="92" t="s">
        <v>1165</v>
      </c>
      <c r="H892" s="92" t="s">
        <v>227</v>
      </c>
      <c r="I892" s="86"/>
    </row>
    <row r="893" spans="2:9" ht="15" hidden="1" customHeight="1" x14ac:dyDescent="0.35">
      <c r="B893" s="96" t="s">
        <v>162</v>
      </c>
      <c r="C893" s="96" t="s">
        <v>1229</v>
      </c>
      <c r="D893" s="91"/>
      <c r="E893" s="92" t="s">
        <v>1152</v>
      </c>
      <c r="F893" s="92" t="s">
        <v>1153</v>
      </c>
      <c r="G893" s="92" t="s">
        <v>1156</v>
      </c>
      <c r="H893" s="92" t="s">
        <v>227</v>
      </c>
      <c r="I893" s="86"/>
    </row>
    <row r="894" spans="2:9" ht="15" hidden="1" customHeight="1" x14ac:dyDescent="0.35">
      <c r="B894" s="96" t="s">
        <v>162</v>
      </c>
      <c r="C894" s="96" t="s">
        <v>1230</v>
      </c>
      <c r="D894" s="91"/>
      <c r="E894" s="92" t="s">
        <v>1152</v>
      </c>
      <c r="F894" s="92" t="s">
        <v>1153</v>
      </c>
      <c r="G894" s="92" t="s">
        <v>1182</v>
      </c>
      <c r="H894" s="92" t="s">
        <v>227</v>
      </c>
      <c r="I894" s="86"/>
    </row>
    <row r="895" spans="2:9" ht="15" hidden="1" customHeight="1" x14ac:dyDescent="0.35">
      <c r="B895" s="96" t="s">
        <v>162</v>
      </c>
      <c r="C895" s="96" t="s">
        <v>1231</v>
      </c>
      <c r="D895" s="91"/>
      <c r="E895" s="92" t="s">
        <v>1152</v>
      </c>
      <c r="F895" s="92" t="s">
        <v>1153</v>
      </c>
      <c r="G895" s="92" t="s">
        <v>1154</v>
      </c>
      <c r="H895" s="92" t="s">
        <v>227</v>
      </c>
      <c r="I895" s="86"/>
    </row>
    <row r="896" spans="2:9" ht="15" hidden="1" customHeight="1" x14ac:dyDescent="0.35">
      <c r="B896" s="96" t="s">
        <v>162</v>
      </c>
      <c r="C896" s="96" t="s">
        <v>1232</v>
      </c>
      <c r="D896" s="91"/>
      <c r="E896" s="92" t="s">
        <v>1152</v>
      </c>
      <c r="F896" s="92" t="s">
        <v>1176</v>
      </c>
      <c r="G896" s="92" t="s">
        <v>1233</v>
      </c>
      <c r="H896" s="92" t="s">
        <v>227</v>
      </c>
      <c r="I896" s="86"/>
    </row>
    <row r="897" spans="2:9" ht="15" hidden="1" customHeight="1" x14ac:dyDescent="0.35">
      <c r="B897" s="96" t="s">
        <v>162</v>
      </c>
      <c r="C897" s="96" t="s">
        <v>1234</v>
      </c>
      <c r="D897" s="91"/>
      <c r="E897" s="92" t="s">
        <v>1152</v>
      </c>
      <c r="F897" s="92" t="s">
        <v>1153</v>
      </c>
      <c r="G897" s="92" t="s">
        <v>1167</v>
      </c>
      <c r="H897" s="92" t="s">
        <v>227</v>
      </c>
      <c r="I897" s="86"/>
    </row>
    <row r="898" spans="2:9" ht="15" hidden="1" customHeight="1" x14ac:dyDescent="0.35">
      <c r="B898" s="96" t="s">
        <v>162</v>
      </c>
      <c r="C898" s="96" t="s">
        <v>1235</v>
      </c>
      <c r="D898" s="91"/>
      <c r="E898" s="92" t="s">
        <v>1152</v>
      </c>
      <c r="F898" s="92" t="s">
        <v>1158</v>
      </c>
      <c r="G898" s="92" t="s">
        <v>1170</v>
      </c>
      <c r="H898" s="92" t="s">
        <v>227</v>
      </c>
      <c r="I898" s="86"/>
    </row>
    <row r="899" spans="2:9" ht="15" hidden="1" customHeight="1" x14ac:dyDescent="0.35">
      <c r="B899" s="96" t="s">
        <v>162</v>
      </c>
      <c r="C899" s="96" t="s">
        <v>1236</v>
      </c>
      <c r="D899" s="91"/>
      <c r="E899" s="92" t="s">
        <v>1152</v>
      </c>
      <c r="F899" s="92" t="s">
        <v>1158</v>
      </c>
      <c r="G899" s="92" t="s">
        <v>1159</v>
      </c>
      <c r="H899" s="92" t="s">
        <v>227</v>
      </c>
      <c r="I899" s="86"/>
    </row>
    <row r="900" spans="2:9" ht="15" hidden="1" customHeight="1" x14ac:dyDescent="0.35">
      <c r="B900" s="96" t="s">
        <v>162</v>
      </c>
      <c r="C900" s="96" t="s">
        <v>1237</v>
      </c>
      <c r="D900" s="91"/>
      <c r="E900" s="92" t="s">
        <v>1152</v>
      </c>
      <c r="F900" s="92" t="s">
        <v>1158</v>
      </c>
      <c r="G900" s="92" t="s">
        <v>1159</v>
      </c>
      <c r="H900" s="92" t="s">
        <v>227</v>
      </c>
      <c r="I900" s="86"/>
    </row>
    <row r="901" spans="2:9" ht="15" hidden="1" customHeight="1" x14ac:dyDescent="0.35">
      <c r="B901" s="96" t="s">
        <v>162</v>
      </c>
      <c r="C901" s="96" t="s">
        <v>1238</v>
      </c>
      <c r="D901" s="91"/>
      <c r="E901" s="92" t="s">
        <v>1152</v>
      </c>
      <c r="F901" s="92" t="s">
        <v>1158</v>
      </c>
      <c r="G901" s="92" t="s">
        <v>1170</v>
      </c>
      <c r="H901" s="92" t="s">
        <v>227</v>
      </c>
      <c r="I901" s="86"/>
    </row>
    <row r="902" spans="2:9" ht="15" hidden="1" customHeight="1" x14ac:dyDescent="0.35">
      <c r="B902" s="96" t="s">
        <v>162</v>
      </c>
      <c r="C902" s="96" t="s">
        <v>1239</v>
      </c>
      <c r="D902" s="91"/>
      <c r="E902" s="92" t="s">
        <v>1152</v>
      </c>
      <c r="F902" s="92" t="s">
        <v>1158</v>
      </c>
      <c r="G902" s="92" t="s">
        <v>1159</v>
      </c>
      <c r="H902" s="92" t="s">
        <v>227</v>
      </c>
      <c r="I902" s="86"/>
    </row>
    <row r="903" spans="2:9" ht="15" hidden="1" customHeight="1" x14ac:dyDescent="0.35">
      <c r="B903" s="96" t="s">
        <v>162</v>
      </c>
      <c r="C903" s="96" t="s">
        <v>1240</v>
      </c>
      <c r="D903" s="91"/>
      <c r="E903" s="92" t="s">
        <v>1152</v>
      </c>
      <c r="F903" s="92" t="s">
        <v>1153</v>
      </c>
      <c r="G903" s="92" t="s">
        <v>1156</v>
      </c>
      <c r="H903" s="92" t="s">
        <v>227</v>
      </c>
      <c r="I903" s="86"/>
    </row>
    <row r="904" spans="2:9" ht="15" hidden="1" customHeight="1" x14ac:dyDescent="0.35">
      <c r="B904" s="96" t="s">
        <v>162</v>
      </c>
      <c r="C904" s="96" t="s">
        <v>1241</v>
      </c>
      <c r="D904" s="91"/>
      <c r="E904" s="92" t="s">
        <v>1152</v>
      </c>
      <c r="F904" s="92" t="s">
        <v>1153</v>
      </c>
      <c r="G904" s="92" t="s">
        <v>1165</v>
      </c>
      <c r="H904" s="92" t="s">
        <v>227</v>
      </c>
      <c r="I904" s="86"/>
    </row>
    <row r="905" spans="2:9" ht="15" hidden="1" customHeight="1" x14ac:dyDescent="0.35">
      <c r="B905" s="96" t="s">
        <v>162</v>
      </c>
      <c r="C905" s="96" t="s">
        <v>1242</v>
      </c>
      <c r="D905" s="91"/>
      <c r="E905" s="92" t="s">
        <v>1152</v>
      </c>
      <c r="F905" s="92" t="s">
        <v>1153</v>
      </c>
      <c r="G905" s="92" t="s">
        <v>1154</v>
      </c>
      <c r="H905" s="92" t="s">
        <v>227</v>
      </c>
      <c r="I905" s="86"/>
    </row>
    <row r="906" spans="2:9" ht="15" hidden="1" customHeight="1" x14ac:dyDescent="0.35">
      <c r="B906" s="96" t="s">
        <v>162</v>
      </c>
      <c r="C906" s="96" t="s">
        <v>1243</v>
      </c>
      <c r="D906" s="91"/>
      <c r="E906" s="92" t="s">
        <v>1152</v>
      </c>
      <c r="F906" s="92" t="s">
        <v>1153</v>
      </c>
      <c r="G906" s="92" t="s">
        <v>1182</v>
      </c>
      <c r="H906" s="92" t="s">
        <v>227</v>
      </c>
      <c r="I906" s="86"/>
    </row>
    <row r="907" spans="2:9" ht="15" hidden="1" customHeight="1" x14ac:dyDescent="0.35">
      <c r="B907" s="96" t="s">
        <v>162</v>
      </c>
      <c r="C907" s="96" t="s">
        <v>1244</v>
      </c>
      <c r="D907" s="91"/>
      <c r="E907" s="92" t="s">
        <v>1152</v>
      </c>
      <c r="F907" s="92" t="s">
        <v>1153</v>
      </c>
      <c r="G907" s="92" t="s">
        <v>1156</v>
      </c>
      <c r="H907" s="92" t="s">
        <v>227</v>
      </c>
      <c r="I907" s="86"/>
    </row>
    <row r="908" spans="2:9" ht="15" hidden="1" customHeight="1" x14ac:dyDescent="0.35">
      <c r="B908" s="96" t="s">
        <v>162</v>
      </c>
      <c r="C908" s="96" t="s">
        <v>1245</v>
      </c>
      <c r="D908" s="91"/>
      <c r="E908" s="92" t="s">
        <v>1152</v>
      </c>
      <c r="F908" s="92" t="s">
        <v>1153</v>
      </c>
      <c r="G908" s="92" t="s">
        <v>1156</v>
      </c>
      <c r="H908" s="92" t="s">
        <v>227</v>
      </c>
      <c r="I908" s="86"/>
    </row>
    <row r="909" spans="2:9" ht="15" hidden="1" customHeight="1" x14ac:dyDescent="0.35">
      <c r="B909" s="96" t="s">
        <v>162</v>
      </c>
      <c r="C909" s="96" t="s">
        <v>1246</v>
      </c>
      <c r="D909" s="91"/>
      <c r="E909" s="92" t="s">
        <v>1152</v>
      </c>
      <c r="F909" s="92" t="s">
        <v>1153</v>
      </c>
      <c r="G909" s="92" t="s">
        <v>1221</v>
      </c>
      <c r="H909" s="92" t="s">
        <v>227</v>
      </c>
      <c r="I909" s="86"/>
    </row>
    <row r="910" spans="2:9" ht="15" hidden="1" customHeight="1" x14ac:dyDescent="0.35">
      <c r="B910" s="96" t="s">
        <v>162</v>
      </c>
      <c r="C910" s="96" t="s">
        <v>1247</v>
      </c>
      <c r="D910" s="91"/>
      <c r="E910" s="92" t="s">
        <v>1152</v>
      </c>
      <c r="F910" s="92" t="s">
        <v>1153</v>
      </c>
      <c r="G910" s="92" t="s">
        <v>1165</v>
      </c>
      <c r="H910" s="92" t="s">
        <v>227</v>
      </c>
      <c r="I910" s="86"/>
    </row>
    <row r="911" spans="2:9" ht="15" hidden="1" customHeight="1" x14ac:dyDescent="0.35">
      <c r="B911" s="96" t="s">
        <v>162</v>
      </c>
      <c r="C911" s="96" t="s">
        <v>1248</v>
      </c>
      <c r="D911" s="91"/>
      <c r="E911" s="92" t="s">
        <v>1152</v>
      </c>
      <c r="F911" s="92" t="s">
        <v>1153</v>
      </c>
      <c r="G911" s="92" t="s">
        <v>1165</v>
      </c>
      <c r="H911" s="92" t="s">
        <v>227</v>
      </c>
      <c r="I911" s="86"/>
    </row>
    <row r="912" spans="2:9" ht="15" hidden="1" customHeight="1" x14ac:dyDescent="0.35">
      <c r="B912" s="96" t="s">
        <v>162</v>
      </c>
      <c r="C912" s="96" t="s">
        <v>1249</v>
      </c>
      <c r="D912" s="91"/>
      <c r="E912" s="92" t="s">
        <v>1152</v>
      </c>
      <c r="F912" s="92" t="s">
        <v>1153</v>
      </c>
      <c r="G912" s="92" t="s">
        <v>1165</v>
      </c>
      <c r="H912" s="92" t="s">
        <v>227</v>
      </c>
      <c r="I912" s="86"/>
    </row>
    <row r="913" spans="2:9" ht="15" hidden="1" customHeight="1" x14ac:dyDescent="0.35">
      <c r="B913" s="96" t="s">
        <v>162</v>
      </c>
      <c r="C913" s="96" t="s">
        <v>1250</v>
      </c>
      <c r="D913" s="91"/>
      <c r="E913" s="92" t="s">
        <v>1152</v>
      </c>
      <c r="F913" s="92" t="s">
        <v>1176</v>
      </c>
      <c r="G913" s="92" t="s">
        <v>1177</v>
      </c>
      <c r="H913" s="92" t="s">
        <v>227</v>
      </c>
      <c r="I913" s="86"/>
    </row>
    <row r="914" spans="2:9" ht="15" hidden="1" customHeight="1" x14ac:dyDescent="0.35">
      <c r="B914" s="96" t="s">
        <v>162</v>
      </c>
      <c r="C914" s="96" t="s">
        <v>1251</v>
      </c>
      <c r="D914" s="91"/>
      <c r="E914" s="92" t="s">
        <v>1152</v>
      </c>
      <c r="F914" s="92" t="s">
        <v>1176</v>
      </c>
      <c r="G914" s="92" t="s">
        <v>1177</v>
      </c>
      <c r="H914" s="92" t="s">
        <v>227</v>
      </c>
      <c r="I914" s="86"/>
    </row>
    <row r="915" spans="2:9" ht="15" hidden="1" customHeight="1" x14ac:dyDescent="0.35">
      <c r="B915" s="96" t="s">
        <v>162</v>
      </c>
      <c r="C915" s="96" t="s">
        <v>1252</v>
      </c>
      <c r="D915" s="91"/>
      <c r="E915" s="92" t="s">
        <v>1152</v>
      </c>
      <c r="F915" s="92" t="s">
        <v>1176</v>
      </c>
      <c r="G915" s="92" t="s">
        <v>1177</v>
      </c>
      <c r="H915" s="92" t="s">
        <v>227</v>
      </c>
      <c r="I915" s="86"/>
    </row>
    <row r="916" spans="2:9" ht="15" hidden="1" customHeight="1" x14ac:dyDescent="0.35">
      <c r="B916" s="96" t="s">
        <v>162</v>
      </c>
      <c r="C916" s="96" t="s">
        <v>1253</v>
      </c>
      <c r="D916" s="91"/>
      <c r="E916" s="92" t="s">
        <v>1152</v>
      </c>
      <c r="F916" s="92" t="s">
        <v>1176</v>
      </c>
      <c r="G916" s="92" t="s">
        <v>1177</v>
      </c>
      <c r="H916" s="92" t="s">
        <v>227</v>
      </c>
      <c r="I916" s="86"/>
    </row>
    <row r="917" spans="2:9" ht="15" hidden="1" customHeight="1" x14ac:dyDescent="0.35">
      <c r="B917" s="96" t="s">
        <v>162</v>
      </c>
      <c r="C917" s="96" t="s">
        <v>1254</v>
      </c>
      <c r="D917" s="91"/>
      <c r="E917" s="92" t="s">
        <v>1152</v>
      </c>
      <c r="F917" s="92" t="s">
        <v>1176</v>
      </c>
      <c r="G917" s="92" t="s">
        <v>1177</v>
      </c>
      <c r="H917" s="92" t="s">
        <v>227</v>
      </c>
      <c r="I917" s="86"/>
    </row>
    <row r="918" spans="2:9" ht="15" hidden="1" customHeight="1" x14ac:dyDescent="0.35">
      <c r="B918" s="96" t="s">
        <v>162</v>
      </c>
      <c r="C918" s="96" t="s">
        <v>1255</v>
      </c>
      <c r="D918" s="91"/>
      <c r="E918" s="92" t="s">
        <v>1152</v>
      </c>
      <c r="F918" s="92" t="s">
        <v>1176</v>
      </c>
      <c r="G918" s="92" t="s">
        <v>1177</v>
      </c>
      <c r="H918" s="92" t="s">
        <v>227</v>
      </c>
      <c r="I918" s="86"/>
    </row>
    <row r="919" spans="2:9" ht="15" hidden="1" customHeight="1" x14ac:dyDescent="0.35">
      <c r="B919" s="96" t="s">
        <v>162</v>
      </c>
      <c r="C919" s="96" t="s">
        <v>1256</v>
      </c>
      <c r="D919" s="91"/>
      <c r="E919" s="92" t="s">
        <v>1152</v>
      </c>
      <c r="F919" s="92" t="s">
        <v>1176</v>
      </c>
      <c r="G919" s="92" t="s">
        <v>1257</v>
      </c>
      <c r="H919" s="92" t="s">
        <v>227</v>
      </c>
      <c r="I919" s="86"/>
    </row>
    <row r="920" spans="2:9" ht="15" hidden="1" customHeight="1" x14ac:dyDescent="0.35">
      <c r="B920" s="96" t="s">
        <v>162</v>
      </c>
      <c r="C920" s="96" t="s">
        <v>1258</v>
      </c>
      <c r="D920" s="91"/>
      <c r="E920" s="92" t="s">
        <v>1152</v>
      </c>
      <c r="F920" s="92" t="s">
        <v>1153</v>
      </c>
      <c r="G920" s="92" t="s">
        <v>1221</v>
      </c>
      <c r="H920" s="92" t="s">
        <v>227</v>
      </c>
      <c r="I920" s="86"/>
    </row>
    <row r="921" spans="2:9" ht="15" hidden="1" customHeight="1" x14ac:dyDescent="0.35">
      <c r="B921" s="96" t="s">
        <v>162</v>
      </c>
      <c r="C921" s="96" t="s">
        <v>1259</v>
      </c>
      <c r="D921" s="91"/>
      <c r="E921" s="92" t="s">
        <v>1152</v>
      </c>
      <c r="F921" s="92" t="s">
        <v>1153</v>
      </c>
      <c r="G921" s="92" t="s">
        <v>1221</v>
      </c>
      <c r="H921" s="92" t="s">
        <v>227</v>
      </c>
      <c r="I921" s="86"/>
    </row>
    <row r="922" spans="2:9" ht="15" hidden="1" customHeight="1" x14ac:dyDescent="0.35">
      <c r="B922" s="96" t="s">
        <v>162</v>
      </c>
      <c r="C922" s="96" t="s">
        <v>1260</v>
      </c>
      <c r="D922" s="91"/>
      <c r="E922" s="92" t="s">
        <v>1152</v>
      </c>
      <c r="F922" s="92" t="s">
        <v>1153</v>
      </c>
      <c r="G922" s="92" t="s">
        <v>1221</v>
      </c>
      <c r="H922" s="92" t="s">
        <v>227</v>
      </c>
      <c r="I922" s="86"/>
    </row>
    <row r="923" spans="2:9" ht="15" hidden="1" customHeight="1" x14ac:dyDescent="0.35">
      <c r="B923" s="96" t="s">
        <v>162</v>
      </c>
      <c r="C923" s="96" t="s">
        <v>1261</v>
      </c>
      <c r="D923" s="91"/>
      <c r="E923" s="92" t="s">
        <v>1152</v>
      </c>
      <c r="F923" s="92" t="s">
        <v>1153</v>
      </c>
      <c r="G923" s="92" t="s">
        <v>1156</v>
      </c>
      <c r="H923" s="92" t="s">
        <v>227</v>
      </c>
      <c r="I923" s="86"/>
    </row>
    <row r="924" spans="2:9" ht="15" hidden="1" customHeight="1" x14ac:dyDescent="0.35">
      <c r="B924" s="96" t="s">
        <v>162</v>
      </c>
      <c r="C924" s="96" t="s">
        <v>1262</v>
      </c>
      <c r="D924" s="91"/>
      <c r="E924" s="92" t="s">
        <v>1152</v>
      </c>
      <c r="F924" s="92" t="s">
        <v>1153</v>
      </c>
      <c r="G924" s="92" t="s">
        <v>247</v>
      </c>
      <c r="H924" s="92" t="s">
        <v>227</v>
      </c>
      <c r="I924" s="86"/>
    </row>
    <row r="925" spans="2:9" ht="15" hidden="1" customHeight="1" x14ac:dyDescent="0.35">
      <c r="B925" s="96" t="s">
        <v>162</v>
      </c>
      <c r="C925" s="96" t="s">
        <v>1263</v>
      </c>
      <c r="D925" s="91"/>
      <c r="E925" s="92" t="s">
        <v>1152</v>
      </c>
      <c r="F925" s="92" t="s">
        <v>1153</v>
      </c>
      <c r="G925" s="92" t="s">
        <v>1264</v>
      </c>
      <c r="H925" s="92" t="s">
        <v>227</v>
      </c>
      <c r="I925" s="86"/>
    </row>
    <row r="926" spans="2:9" ht="15" hidden="1" customHeight="1" x14ac:dyDescent="0.35">
      <c r="B926" s="96" t="s">
        <v>162</v>
      </c>
      <c r="C926" s="96" t="s">
        <v>1265</v>
      </c>
      <c r="D926" s="91"/>
      <c r="E926" s="92" t="s">
        <v>1152</v>
      </c>
      <c r="F926" s="92" t="s">
        <v>1153</v>
      </c>
      <c r="G926" s="92" t="s">
        <v>1224</v>
      </c>
      <c r="H926" s="92" t="s">
        <v>227</v>
      </c>
      <c r="I926" s="86"/>
    </row>
    <row r="927" spans="2:9" ht="15" hidden="1" customHeight="1" x14ac:dyDescent="0.35">
      <c r="B927" s="96" t="s">
        <v>162</v>
      </c>
      <c r="C927" s="96" t="s">
        <v>1266</v>
      </c>
      <c r="D927" s="91"/>
      <c r="E927" s="92" t="s">
        <v>1152</v>
      </c>
      <c r="F927" s="92" t="s">
        <v>1153</v>
      </c>
      <c r="G927" s="92" t="s">
        <v>1264</v>
      </c>
      <c r="H927" s="92" t="s">
        <v>227</v>
      </c>
      <c r="I927" s="86"/>
    </row>
    <row r="928" spans="2:9" ht="15" hidden="1" customHeight="1" x14ac:dyDescent="0.35">
      <c r="B928" s="96" t="s">
        <v>162</v>
      </c>
      <c r="C928" s="96" t="s">
        <v>1267</v>
      </c>
      <c r="D928" s="91"/>
      <c r="E928" s="92" t="s">
        <v>1152</v>
      </c>
      <c r="F928" s="92" t="s">
        <v>1153</v>
      </c>
      <c r="G928" s="92" t="s">
        <v>248</v>
      </c>
      <c r="H928" s="92" t="s">
        <v>227</v>
      </c>
      <c r="I928" s="86"/>
    </row>
    <row r="929" spans="2:9" ht="15" hidden="1" customHeight="1" x14ac:dyDescent="0.35">
      <c r="B929" s="96" t="s">
        <v>162</v>
      </c>
      <c r="C929" s="96" t="s">
        <v>1268</v>
      </c>
      <c r="D929" s="91"/>
      <c r="E929" s="92" t="s">
        <v>1152</v>
      </c>
      <c r="F929" s="92" t="s">
        <v>1153</v>
      </c>
      <c r="G929" s="92" t="s">
        <v>1154</v>
      </c>
      <c r="H929" s="92" t="s">
        <v>227</v>
      </c>
      <c r="I929" s="86"/>
    </row>
    <row r="930" spans="2:9" ht="15" hidden="1" customHeight="1" x14ac:dyDescent="0.35">
      <c r="B930" s="96" t="s">
        <v>162</v>
      </c>
      <c r="C930" s="96" t="s">
        <v>1269</v>
      </c>
      <c r="D930" s="91"/>
      <c r="E930" s="92" t="s">
        <v>1152</v>
      </c>
      <c r="F930" s="92"/>
      <c r="G930" s="92" t="s">
        <v>276</v>
      </c>
      <c r="H930" s="92" t="s">
        <v>227</v>
      </c>
      <c r="I930" s="86"/>
    </row>
    <row r="931" spans="2:9" ht="15" hidden="1" customHeight="1" x14ac:dyDescent="0.35">
      <c r="B931" s="96" t="s">
        <v>162</v>
      </c>
      <c r="C931" s="96" t="s">
        <v>1270</v>
      </c>
      <c r="D931" s="91"/>
      <c r="E931" s="92" t="s">
        <v>1152</v>
      </c>
      <c r="F931" s="92" t="s">
        <v>1153</v>
      </c>
      <c r="G931" s="92" t="s">
        <v>248</v>
      </c>
      <c r="H931" s="92" t="s">
        <v>227</v>
      </c>
      <c r="I931" s="86"/>
    </row>
    <row r="932" spans="2:9" ht="15" hidden="1" customHeight="1" x14ac:dyDescent="0.35">
      <c r="B932" s="96" t="s">
        <v>162</v>
      </c>
      <c r="C932" s="96" t="s">
        <v>1271</v>
      </c>
      <c r="D932" s="91"/>
      <c r="E932" s="92" t="s">
        <v>1152</v>
      </c>
      <c r="F932" s="92" t="s">
        <v>1153</v>
      </c>
      <c r="G932" s="92" t="s">
        <v>1156</v>
      </c>
      <c r="H932" s="92" t="s">
        <v>227</v>
      </c>
      <c r="I932" s="86"/>
    </row>
    <row r="933" spans="2:9" ht="15" hidden="1" customHeight="1" x14ac:dyDescent="0.35">
      <c r="B933" s="96" t="s">
        <v>162</v>
      </c>
      <c r="C933" s="96" t="s">
        <v>1272</v>
      </c>
      <c r="D933" s="91"/>
      <c r="E933" s="92" t="s">
        <v>1152</v>
      </c>
      <c r="F933" s="92" t="s">
        <v>1153</v>
      </c>
      <c r="G933" s="92" t="s">
        <v>1221</v>
      </c>
      <c r="H933" s="92" t="s">
        <v>227</v>
      </c>
      <c r="I933" s="86"/>
    </row>
    <row r="934" spans="2:9" ht="15" hidden="1" customHeight="1" x14ac:dyDescent="0.35">
      <c r="B934" s="96" t="s">
        <v>162</v>
      </c>
      <c r="C934" s="96" t="s">
        <v>1273</v>
      </c>
      <c r="D934" s="91"/>
      <c r="E934" s="92" t="s">
        <v>1152</v>
      </c>
      <c r="F934" s="92" t="s">
        <v>1153</v>
      </c>
      <c r="G934" s="92" t="s">
        <v>1182</v>
      </c>
      <c r="H934" s="92" t="s">
        <v>227</v>
      </c>
      <c r="I934" s="86"/>
    </row>
    <row r="935" spans="2:9" ht="15" hidden="1" customHeight="1" x14ac:dyDescent="0.35">
      <c r="B935" s="96" t="s">
        <v>162</v>
      </c>
      <c r="C935" s="96" t="s">
        <v>1274</v>
      </c>
      <c r="D935" s="91"/>
      <c r="E935" s="92" t="s">
        <v>1152</v>
      </c>
      <c r="F935" s="92" t="s">
        <v>1153</v>
      </c>
      <c r="G935" s="92" t="s">
        <v>1156</v>
      </c>
      <c r="H935" s="92" t="s">
        <v>227</v>
      </c>
      <c r="I935" s="86"/>
    </row>
    <row r="936" spans="2:9" ht="15" hidden="1" customHeight="1" x14ac:dyDescent="0.35">
      <c r="B936" s="96" t="s">
        <v>162</v>
      </c>
      <c r="C936" s="96" t="s">
        <v>1275</v>
      </c>
      <c r="D936" s="91"/>
      <c r="E936" s="92" t="s">
        <v>1152</v>
      </c>
      <c r="F936" s="92" t="s">
        <v>1153</v>
      </c>
      <c r="G936" s="92" t="s">
        <v>1156</v>
      </c>
      <c r="H936" s="92" t="s">
        <v>227</v>
      </c>
      <c r="I936" s="86"/>
    </row>
    <row r="937" spans="2:9" ht="15" hidden="1" customHeight="1" x14ac:dyDescent="0.35">
      <c r="B937" s="96" t="s">
        <v>162</v>
      </c>
      <c r="C937" s="96" t="s">
        <v>1276</v>
      </c>
      <c r="D937" s="91"/>
      <c r="E937" s="92" t="s">
        <v>1152</v>
      </c>
      <c r="F937" s="92" t="s">
        <v>1153</v>
      </c>
      <c r="G937" s="92" t="s">
        <v>1165</v>
      </c>
      <c r="H937" s="92" t="s">
        <v>227</v>
      </c>
      <c r="I937" s="86"/>
    </row>
    <row r="938" spans="2:9" ht="15" hidden="1" customHeight="1" x14ac:dyDescent="0.35">
      <c r="B938" s="96" t="s">
        <v>162</v>
      </c>
      <c r="C938" s="96" t="s">
        <v>1277</v>
      </c>
      <c r="D938" s="91"/>
      <c r="E938" s="92" t="s">
        <v>1152</v>
      </c>
      <c r="F938" s="92" t="s">
        <v>1153</v>
      </c>
      <c r="G938" s="92" t="s">
        <v>1221</v>
      </c>
      <c r="H938" s="92" t="s">
        <v>227</v>
      </c>
      <c r="I938" s="86"/>
    </row>
    <row r="939" spans="2:9" ht="15" hidden="1" customHeight="1" x14ac:dyDescent="0.35">
      <c r="B939" s="96" t="s">
        <v>162</v>
      </c>
      <c r="C939" s="96" t="s">
        <v>1278</v>
      </c>
      <c r="D939" s="91"/>
      <c r="E939" s="92" t="s">
        <v>1152</v>
      </c>
      <c r="F939" s="92" t="s">
        <v>1153</v>
      </c>
      <c r="G939" s="92" t="s">
        <v>1264</v>
      </c>
      <c r="H939" s="92" t="s">
        <v>227</v>
      </c>
      <c r="I939" s="86"/>
    </row>
    <row r="940" spans="2:9" ht="15" hidden="1" customHeight="1" x14ac:dyDescent="0.35">
      <c r="B940" s="96" t="s">
        <v>162</v>
      </c>
      <c r="C940" s="96" t="s">
        <v>1279</v>
      </c>
      <c r="D940" s="91"/>
      <c r="E940" s="92" t="s">
        <v>1152</v>
      </c>
      <c r="F940" s="92" t="s">
        <v>1153</v>
      </c>
      <c r="G940" s="92" t="s">
        <v>1221</v>
      </c>
      <c r="H940" s="92" t="s">
        <v>227</v>
      </c>
      <c r="I940" s="86"/>
    </row>
    <row r="941" spans="2:9" ht="15" hidden="1" customHeight="1" x14ac:dyDescent="0.35">
      <c r="B941" s="96" t="s">
        <v>162</v>
      </c>
      <c r="C941" s="96" t="s">
        <v>1280</v>
      </c>
      <c r="D941" s="91"/>
      <c r="E941" s="92" t="s">
        <v>1152</v>
      </c>
      <c r="F941" s="92" t="s">
        <v>1153</v>
      </c>
      <c r="G941" s="92" t="s">
        <v>1154</v>
      </c>
      <c r="H941" s="92" t="s">
        <v>227</v>
      </c>
      <c r="I941" s="86"/>
    </row>
    <row r="942" spans="2:9" ht="15" hidden="1" customHeight="1" x14ac:dyDescent="0.35">
      <c r="B942" s="96" t="s">
        <v>162</v>
      </c>
      <c r="C942" s="96" t="s">
        <v>1281</v>
      </c>
      <c r="D942" s="91"/>
      <c r="E942" s="92" t="s">
        <v>1152</v>
      </c>
      <c r="F942" s="92" t="s">
        <v>1153</v>
      </c>
      <c r="G942" s="92" t="s">
        <v>1224</v>
      </c>
      <c r="H942" s="92" t="s">
        <v>227</v>
      </c>
      <c r="I942" s="86"/>
    </row>
    <row r="943" spans="2:9" ht="15" hidden="1" customHeight="1" x14ac:dyDescent="0.35">
      <c r="B943" s="96" t="s">
        <v>162</v>
      </c>
      <c r="C943" s="96" t="s">
        <v>1282</v>
      </c>
      <c r="D943" s="91"/>
      <c r="E943" s="92" t="s">
        <v>1152</v>
      </c>
      <c r="F943" s="92" t="s">
        <v>1153</v>
      </c>
      <c r="G943" s="92" t="s">
        <v>1221</v>
      </c>
      <c r="H943" s="92" t="s">
        <v>227</v>
      </c>
      <c r="I943" s="86"/>
    </row>
    <row r="944" spans="2:9" ht="15" hidden="1" customHeight="1" x14ac:dyDescent="0.35">
      <c r="B944" s="96" t="s">
        <v>162</v>
      </c>
      <c r="C944" s="96" t="s">
        <v>1283</v>
      </c>
      <c r="D944" s="91"/>
      <c r="E944" s="92" t="s">
        <v>1152</v>
      </c>
      <c r="F944" s="92" t="s">
        <v>1153</v>
      </c>
      <c r="G944" s="92" t="s">
        <v>1224</v>
      </c>
      <c r="H944" s="92" t="s">
        <v>227</v>
      </c>
      <c r="I944" s="86"/>
    </row>
    <row r="945" spans="2:9" ht="15" hidden="1" customHeight="1" x14ac:dyDescent="0.35">
      <c r="B945" s="96" t="s">
        <v>162</v>
      </c>
      <c r="C945" s="96" t="s">
        <v>1284</v>
      </c>
      <c r="D945" s="91"/>
      <c r="E945" s="92" t="s">
        <v>1152</v>
      </c>
      <c r="F945" s="92" t="s">
        <v>1176</v>
      </c>
      <c r="G945" s="92" t="s">
        <v>1285</v>
      </c>
      <c r="H945" s="92" t="s">
        <v>227</v>
      </c>
      <c r="I945" s="86"/>
    </row>
    <row r="946" spans="2:9" ht="15" hidden="1" customHeight="1" x14ac:dyDescent="0.35">
      <c r="B946" s="96" t="s">
        <v>162</v>
      </c>
      <c r="C946" s="96" t="s">
        <v>1286</v>
      </c>
      <c r="D946" s="91"/>
      <c r="E946" s="92" t="s">
        <v>1152</v>
      </c>
      <c r="F946" s="92" t="s">
        <v>1153</v>
      </c>
      <c r="G946" s="92" t="s">
        <v>1182</v>
      </c>
      <c r="H946" s="92" t="s">
        <v>227</v>
      </c>
      <c r="I946" s="86"/>
    </row>
    <row r="947" spans="2:9" ht="15" hidden="1" customHeight="1" x14ac:dyDescent="0.35">
      <c r="B947" s="96" t="s">
        <v>162</v>
      </c>
      <c r="C947" s="96" t="s">
        <v>1287</v>
      </c>
      <c r="D947" s="91"/>
      <c r="E947" s="92" t="s">
        <v>1152</v>
      </c>
      <c r="F947" s="92" t="s">
        <v>1153</v>
      </c>
      <c r="G947" s="92" t="s">
        <v>1156</v>
      </c>
      <c r="H947" s="92" t="s">
        <v>227</v>
      </c>
      <c r="I947" s="86"/>
    </row>
    <row r="948" spans="2:9" ht="15" hidden="1" customHeight="1" x14ac:dyDescent="0.35">
      <c r="B948" s="96" t="s">
        <v>162</v>
      </c>
      <c r="C948" s="96" t="s">
        <v>1288</v>
      </c>
      <c r="D948" s="91"/>
      <c r="E948" s="92" t="s">
        <v>1152</v>
      </c>
      <c r="F948" s="92" t="s">
        <v>1153</v>
      </c>
      <c r="G948" s="92" t="s">
        <v>1165</v>
      </c>
      <c r="H948" s="92" t="s">
        <v>227</v>
      </c>
      <c r="I948" s="86"/>
    </row>
    <row r="949" spans="2:9" ht="15" hidden="1" customHeight="1" x14ac:dyDescent="0.35">
      <c r="B949" s="96" t="s">
        <v>162</v>
      </c>
      <c r="C949" s="96" t="s">
        <v>1289</v>
      </c>
      <c r="D949" s="91"/>
      <c r="E949" s="92" t="s">
        <v>1152</v>
      </c>
      <c r="F949" s="92" t="s">
        <v>1158</v>
      </c>
      <c r="G949" s="92" t="s">
        <v>1159</v>
      </c>
      <c r="H949" s="92" t="s">
        <v>227</v>
      </c>
      <c r="I949" s="86"/>
    </row>
    <row r="950" spans="2:9" ht="15" hidden="1" customHeight="1" x14ac:dyDescent="0.35">
      <c r="B950" s="96" t="s">
        <v>162</v>
      </c>
      <c r="C950" s="96" t="s">
        <v>1290</v>
      </c>
      <c r="D950" s="91"/>
      <c r="E950" s="92" t="s">
        <v>1152</v>
      </c>
      <c r="F950" s="92" t="s">
        <v>1176</v>
      </c>
      <c r="G950" s="92" t="s">
        <v>1191</v>
      </c>
      <c r="H950" s="92" t="s">
        <v>227</v>
      </c>
      <c r="I950" s="86"/>
    </row>
    <row r="951" spans="2:9" ht="15" hidden="1" customHeight="1" x14ac:dyDescent="0.35">
      <c r="B951" s="96" t="s">
        <v>162</v>
      </c>
      <c r="C951" s="96" t="s">
        <v>1291</v>
      </c>
      <c r="D951" s="91"/>
      <c r="E951" s="92" t="s">
        <v>1152</v>
      </c>
      <c r="F951" s="92" t="s">
        <v>1153</v>
      </c>
      <c r="G951" s="92" t="s">
        <v>1154</v>
      </c>
      <c r="H951" s="92" t="s">
        <v>227</v>
      </c>
      <c r="I951" s="86"/>
    </row>
    <row r="952" spans="2:9" ht="15" hidden="1" customHeight="1" x14ac:dyDescent="0.35">
      <c r="B952" s="96" t="s">
        <v>162</v>
      </c>
      <c r="C952" s="96" t="s">
        <v>1292</v>
      </c>
      <c r="D952" s="91"/>
      <c r="E952" s="92" t="s">
        <v>1152</v>
      </c>
      <c r="F952" s="92" t="s">
        <v>1153</v>
      </c>
      <c r="G952" s="92" t="s">
        <v>1156</v>
      </c>
      <c r="H952" s="92" t="s">
        <v>227</v>
      </c>
      <c r="I952" s="86"/>
    </row>
    <row r="953" spans="2:9" ht="15" hidden="1" customHeight="1" x14ac:dyDescent="0.35">
      <c r="B953" s="96" t="s">
        <v>162</v>
      </c>
      <c r="C953" s="96" t="s">
        <v>1293</v>
      </c>
      <c r="D953" s="91"/>
      <c r="E953" s="92" t="s">
        <v>1152</v>
      </c>
      <c r="F953" s="92" t="s">
        <v>1153</v>
      </c>
      <c r="G953" s="92" t="s">
        <v>1224</v>
      </c>
      <c r="H953" s="92" t="s">
        <v>227</v>
      </c>
      <c r="I953" s="86"/>
    </row>
    <row r="954" spans="2:9" ht="15" hidden="1" customHeight="1" x14ac:dyDescent="0.35">
      <c r="B954" s="96" t="s">
        <v>162</v>
      </c>
      <c r="C954" s="96" t="s">
        <v>1294</v>
      </c>
      <c r="D954" s="91"/>
      <c r="E954" s="92" t="s">
        <v>1152</v>
      </c>
      <c r="F954" s="92" t="s">
        <v>1153</v>
      </c>
      <c r="G954" s="92" t="s">
        <v>1221</v>
      </c>
      <c r="H954" s="92" t="s">
        <v>227</v>
      </c>
      <c r="I954" s="86"/>
    </row>
    <row r="955" spans="2:9" ht="15" hidden="1" customHeight="1" x14ac:dyDescent="0.35">
      <c r="B955" s="96" t="s">
        <v>162</v>
      </c>
      <c r="C955" s="96" t="s">
        <v>1295</v>
      </c>
      <c r="D955" s="91"/>
      <c r="E955" s="92" t="s">
        <v>1152</v>
      </c>
      <c r="F955" s="92" t="s">
        <v>1153</v>
      </c>
      <c r="G955" s="92" t="s">
        <v>1154</v>
      </c>
      <c r="H955" s="92" t="s">
        <v>227</v>
      </c>
      <c r="I955" s="86"/>
    </row>
    <row r="956" spans="2:9" ht="15" hidden="1" customHeight="1" x14ac:dyDescent="0.35">
      <c r="B956" s="96" t="s">
        <v>162</v>
      </c>
      <c r="C956" s="96" t="s">
        <v>1296</v>
      </c>
      <c r="D956" s="91"/>
      <c r="E956" s="92" t="s">
        <v>1152</v>
      </c>
      <c r="F956" s="92" t="s">
        <v>1153</v>
      </c>
      <c r="G956" s="92" t="s">
        <v>1221</v>
      </c>
      <c r="H956" s="92" t="s">
        <v>227</v>
      </c>
      <c r="I956" s="86"/>
    </row>
    <row r="957" spans="2:9" ht="15" hidden="1" customHeight="1" x14ac:dyDescent="0.35">
      <c r="B957" s="96" t="s">
        <v>162</v>
      </c>
      <c r="C957" s="96" t="s">
        <v>1297</v>
      </c>
      <c r="D957" s="91"/>
      <c r="E957" s="92" t="s">
        <v>1152</v>
      </c>
      <c r="F957" s="92" t="s">
        <v>1153</v>
      </c>
      <c r="G957" s="92" t="s">
        <v>1264</v>
      </c>
      <c r="H957" s="92" t="s">
        <v>227</v>
      </c>
      <c r="I957" s="86"/>
    </row>
    <row r="958" spans="2:9" ht="15" hidden="1" customHeight="1" x14ac:dyDescent="0.35">
      <c r="B958" s="96" t="s">
        <v>162</v>
      </c>
      <c r="C958" s="96" t="s">
        <v>1298</v>
      </c>
      <c r="D958" s="91"/>
      <c r="E958" s="92" t="s">
        <v>1152</v>
      </c>
      <c r="F958" s="92" t="s">
        <v>1153</v>
      </c>
      <c r="G958" s="92" t="s">
        <v>1156</v>
      </c>
      <c r="H958" s="92" t="s">
        <v>227</v>
      </c>
      <c r="I958" s="86"/>
    </row>
    <row r="959" spans="2:9" ht="15" hidden="1" customHeight="1" x14ac:dyDescent="0.35">
      <c r="B959" s="96" t="s">
        <v>162</v>
      </c>
      <c r="C959" s="96" t="s">
        <v>1299</v>
      </c>
      <c r="D959" s="91"/>
      <c r="E959" s="92" t="s">
        <v>1152</v>
      </c>
      <c r="F959" s="92" t="s">
        <v>1153</v>
      </c>
      <c r="G959" s="92" t="s">
        <v>1221</v>
      </c>
      <c r="H959" s="92" t="s">
        <v>227</v>
      </c>
      <c r="I959" s="86"/>
    </row>
    <row r="960" spans="2:9" ht="15" hidden="1" customHeight="1" x14ac:dyDescent="0.35">
      <c r="B960" s="96" t="s">
        <v>162</v>
      </c>
      <c r="C960" s="96" t="s">
        <v>1300</v>
      </c>
      <c r="D960" s="91"/>
      <c r="E960" s="92" t="s">
        <v>1152</v>
      </c>
      <c r="F960" s="92" t="s">
        <v>1153</v>
      </c>
      <c r="G960" s="92" t="s">
        <v>1167</v>
      </c>
      <c r="H960" s="92" t="s">
        <v>227</v>
      </c>
      <c r="I960" s="86"/>
    </row>
    <row r="961" spans="2:9" ht="15" hidden="1" customHeight="1" x14ac:dyDescent="0.35">
      <c r="B961" s="96" t="s">
        <v>162</v>
      </c>
      <c r="C961" s="96" t="s">
        <v>1301</v>
      </c>
      <c r="D961" s="91"/>
      <c r="E961" s="92" t="s">
        <v>1152</v>
      </c>
      <c r="F961" s="92" t="s">
        <v>1176</v>
      </c>
      <c r="G961" s="92" t="s">
        <v>1285</v>
      </c>
      <c r="H961" s="92" t="s">
        <v>227</v>
      </c>
      <c r="I961" s="86"/>
    </row>
    <row r="962" spans="2:9" ht="15" hidden="1" customHeight="1" x14ac:dyDescent="0.35">
      <c r="B962" s="96" t="s">
        <v>162</v>
      </c>
      <c r="C962" s="96" t="s">
        <v>1302</v>
      </c>
      <c r="D962" s="91"/>
      <c r="E962" s="92" t="s">
        <v>1152</v>
      </c>
      <c r="F962" s="92" t="s">
        <v>1153</v>
      </c>
      <c r="G962" s="92" t="s">
        <v>248</v>
      </c>
      <c r="H962" s="92" t="s">
        <v>227</v>
      </c>
      <c r="I962" s="86"/>
    </row>
    <row r="963" spans="2:9" ht="15" hidden="1" customHeight="1" x14ac:dyDescent="0.35">
      <c r="B963" s="96" t="s">
        <v>162</v>
      </c>
      <c r="C963" s="96" t="s">
        <v>1303</v>
      </c>
      <c r="D963" s="91"/>
      <c r="E963" s="92" t="s">
        <v>1152</v>
      </c>
      <c r="F963" s="92" t="s">
        <v>1153</v>
      </c>
      <c r="G963" s="92" t="s">
        <v>1156</v>
      </c>
      <c r="H963" s="92" t="s">
        <v>227</v>
      </c>
      <c r="I963" s="86"/>
    </row>
    <row r="964" spans="2:9" ht="15" hidden="1" customHeight="1" x14ac:dyDescent="0.35">
      <c r="B964" s="96" t="s">
        <v>162</v>
      </c>
      <c r="C964" s="96" t="s">
        <v>1304</v>
      </c>
      <c r="D964" s="91"/>
      <c r="E964" s="92" t="s">
        <v>1152</v>
      </c>
      <c r="F964" s="92" t="s">
        <v>1153</v>
      </c>
      <c r="G964" s="92" t="s">
        <v>1154</v>
      </c>
      <c r="H964" s="92" t="s">
        <v>227</v>
      </c>
      <c r="I964" s="86"/>
    </row>
    <row r="965" spans="2:9" ht="15" hidden="1" customHeight="1" x14ac:dyDescent="0.35">
      <c r="B965" s="96" t="s">
        <v>162</v>
      </c>
      <c r="C965" s="96" t="s">
        <v>1305</v>
      </c>
      <c r="D965" s="91"/>
      <c r="E965" s="92" t="s">
        <v>1152</v>
      </c>
      <c r="F965" s="92" t="s">
        <v>1153</v>
      </c>
      <c r="G965" s="92" t="s">
        <v>1221</v>
      </c>
      <c r="H965" s="92" t="s">
        <v>227</v>
      </c>
      <c r="I965" s="86"/>
    </row>
    <row r="966" spans="2:9" ht="15" hidden="1" customHeight="1" x14ac:dyDescent="0.35">
      <c r="B966" s="96" t="s">
        <v>162</v>
      </c>
      <c r="C966" s="96" t="s">
        <v>1306</v>
      </c>
      <c r="D966" s="91"/>
      <c r="E966" s="92" t="s">
        <v>1152</v>
      </c>
      <c r="F966" s="92" t="s">
        <v>1153</v>
      </c>
      <c r="G966" s="92" t="s">
        <v>1156</v>
      </c>
      <c r="H966" s="92" t="s">
        <v>227</v>
      </c>
      <c r="I966" s="86"/>
    </row>
    <row r="967" spans="2:9" ht="15" hidden="1" customHeight="1" x14ac:dyDescent="0.35">
      <c r="B967" s="96" t="s">
        <v>164</v>
      </c>
      <c r="C967" s="96" t="s">
        <v>1307</v>
      </c>
      <c r="D967" s="91" t="str">
        <f>VLOOKUP(C967,'[1]Birbank İşçi Siyahı'!$B:$I,8,)</f>
        <v>BirMarket</v>
      </c>
      <c r="E967" s="92" t="s">
        <v>1152</v>
      </c>
      <c r="F967" s="92" t="s">
        <v>1153</v>
      </c>
      <c r="G967" s="92" t="s">
        <v>1221</v>
      </c>
      <c r="H967" s="92" t="s">
        <v>227</v>
      </c>
      <c r="I967" s="86"/>
    </row>
    <row r="968" spans="2:9" ht="15" hidden="1" customHeight="1" x14ac:dyDescent="0.35">
      <c r="B968" s="96" t="s">
        <v>164</v>
      </c>
      <c r="C968" s="96" t="s">
        <v>1308</v>
      </c>
      <c r="D968" s="91" t="str">
        <f>VLOOKUP(C968,'[1]Birbank İşçi Siyahı'!$B:$I,8,)</f>
        <v>BirMarket</v>
      </c>
      <c r="E968" s="92" t="s">
        <v>1152</v>
      </c>
      <c r="F968" s="92" t="s">
        <v>1153</v>
      </c>
      <c r="G968" s="92" t="s">
        <v>1161</v>
      </c>
      <c r="H968" s="92" t="s">
        <v>227</v>
      </c>
      <c r="I968" s="86"/>
    </row>
    <row r="969" spans="2:9" ht="15" hidden="1" customHeight="1" x14ac:dyDescent="0.35">
      <c r="B969" s="96" t="s">
        <v>162</v>
      </c>
      <c r="C969" s="96" t="s">
        <v>1309</v>
      </c>
      <c r="D969" s="91"/>
      <c r="E969" s="92" t="s">
        <v>1152</v>
      </c>
      <c r="F969" s="92" t="s">
        <v>1153</v>
      </c>
      <c r="G969" s="92" t="s">
        <v>1154</v>
      </c>
      <c r="H969" s="92" t="s">
        <v>227</v>
      </c>
      <c r="I969" s="86"/>
    </row>
    <row r="970" spans="2:9" ht="15" hidden="1" customHeight="1" x14ac:dyDescent="0.35">
      <c r="B970" s="96" t="s">
        <v>162</v>
      </c>
      <c r="C970" s="96" t="s">
        <v>1310</v>
      </c>
      <c r="D970" s="91"/>
      <c r="E970" s="92" t="s">
        <v>1152</v>
      </c>
      <c r="F970" s="92" t="s">
        <v>1176</v>
      </c>
      <c r="G970" s="92" t="s">
        <v>1285</v>
      </c>
      <c r="H970" s="92" t="s">
        <v>227</v>
      </c>
      <c r="I970" s="86"/>
    </row>
    <row r="971" spans="2:9" ht="15" hidden="1" customHeight="1" x14ac:dyDescent="0.35">
      <c r="B971" s="96" t="s">
        <v>162</v>
      </c>
      <c r="C971" s="96" t="s">
        <v>1311</v>
      </c>
      <c r="D971" s="91"/>
      <c r="E971" s="92" t="s">
        <v>1312</v>
      </c>
      <c r="F971" s="92" t="s">
        <v>386</v>
      </c>
      <c r="G971" s="92"/>
      <c r="H971" s="92" t="s">
        <v>227</v>
      </c>
      <c r="I971" s="86"/>
    </row>
    <row r="972" spans="2:9" ht="15" hidden="1" customHeight="1" x14ac:dyDescent="0.35">
      <c r="B972" s="96" t="s">
        <v>162</v>
      </c>
      <c r="C972" s="96" t="s">
        <v>1313</v>
      </c>
      <c r="D972" s="91"/>
      <c r="E972" s="92" t="s">
        <v>1312</v>
      </c>
      <c r="F972" s="92" t="s">
        <v>248</v>
      </c>
      <c r="G972" s="92"/>
      <c r="H972" s="92" t="s">
        <v>227</v>
      </c>
      <c r="I972" s="86"/>
    </row>
    <row r="973" spans="2:9" ht="15" hidden="1" customHeight="1" x14ac:dyDescent="0.35">
      <c r="B973" s="96" t="s">
        <v>162</v>
      </c>
      <c r="C973" s="96" t="s">
        <v>1314</v>
      </c>
      <c r="D973" s="91"/>
      <c r="E973" s="92" t="s">
        <v>1312</v>
      </c>
      <c r="F973" s="92" t="s">
        <v>1334</v>
      </c>
      <c r="G973" s="92"/>
      <c r="H973" s="92" t="s">
        <v>227</v>
      </c>
      <c r="I973" s="86"/>
    </row>
    <row r="974" spans="2:9" ht="15" hidden="1" customHeight="1" x14ac:dyDescent="0.35">
      <c r="B974" s="96" t="s">
        <v>162</v>
      </c>
      <c r="C974" s="96" t="s">
        <v>1315</v>
      </c>
      <c r="D974" s="91"/>
      <c r="E974" s="92" t="s">
        <v>1312</v>
      </c>
      <c r="F974" s="92" t="s">
        <v>1334</v>
      </c>
      <c r="G974" s="92"/>
      <c r="H974" s="92" t="s">
        <v>227</v>
      </c>
      <c r="I974" s="86"/>
    </row>
    <row r="975" spans="2:9" ht="15" hidden="1" customHeight="1" x14ac:dyDescent="0.35">
      <c r="B975" s="96" t="s">
        <v>162</v>
      </c>
      <c r="C975" s="96" t="s">
        <v>1316</v>
      </c>
      <c r="D975" s="91"/>
      <c r="E975" s="92" t="s">
        <v>1312</v>
      </c>
      <c r="F975" s="92" t="s">
        <v>1334</v>
      </c>
      <c r="G975" s="92"/>
      <c r="H975" s="92" t="s">
        <v>227</v>
      </c>
      <c r="I975" s="86"/>
    </row>
    <row r="976" spans="2:9" ht="15" hidden="1" customHeight="1" x14ac:dyDescent="0.35">
      <c r="B976" s="96" t="s">
        <v>162</v>
      </c>
      <c r="C976" s="96" t="s">
        <v>1317</v>
      </c>
      <c r="D976" s="91"/>
      <c r="E976" s="92" t="s">
        <v>1312</v>
      </c>
      <c r="F976" s="92" t="s">
        <v>1334</v>
      </c>
      <c r="G976" s="92"/>
      <c r="H976" s="92" t="s">
        <v>227</v>
      </c>
      <c r="I976" s="86"/>
    </row>
    <row r="977" spans="2:9" ht="15" hidden="1" customHeight="1" x14ac:dyDescent="0.35">
      <c r="B977" s="96" t="s">
        <v>162</v>
      </c>
      <c r="C977" s="96" t="s">
        <v>1318</v>
      </c>
      <c r="D977" s="91"/>
      <c r="E977" s="92" t="s">
        <v>1312</v>
      </c>
      <c r="F977" s="92" t="s">
        <v>1334</v>
      </c>
      <c r="G977" s="92"/>
      <c r="H977" s="92" t="s">
        <v>227</v>
      </c>
      <c r="I977" s="86"/>
    </row>
    <row r="978" spans="2:9" ht="15" hidden="1" customHeight="1" x14ac:dyDescent="0.35">
      <c r="B978" s="96" t="s">
        <v>162</v>
      </c>
      <c r="C978" s="96" t="s">
        <v>1319</v>
      </c>
      <c r="D978" s="91"/>
      <c r="E978" s="92" t="s">
        <v>1312</v>
      </c>
      <c r="F978" s="92" t="s">
        <v>1334</v>
      </c>
      <c r="G978" s="92"/>
      <c r="H978" s="92" t="s">
        <v>227</v>
      </c>
      <c r="I978" s="86"/>
    </row>
    <row r="979" spans="2:9" ht="15" hidden="1" customHeight="1" x14ac:dyDescent="0.35">
      <c r="B979" s="96" t="s">
        <v>162</v>
      </c>
      <c r="C979" s="96" t="s">
        <v>1320</v>
      </c>
      <c r="D979" s="91"/>
      <c r="E979" s="92" t="s">
        <v>1312</v>
      </c>
      <c r="F979" s="92" t="s">
        <v>1334</v>
      </c>
      <c r="G979" s="92"/>
      <c r="H979" s="92" t="s">
        <v>227</v>
      </c>
      <c r="I979" s="86"/>
    </row>
    <row r="980" spans="2:9" ht="15" hidden="1" customHeight="1" x14ac:dyDescent="0.35">
      <c r="B980" s="96" t="s">
        <v>162</v>
      </c>
      <c r="C980" s="96" t="s">
        <v>1321</v>
      </c>
      <c r="D980" s="91"/>
      <c r="E980" s="92" t="s">
        <v>1312</v>
      </c>
      <c r="F980" s="92" t="s">
        <v>1334</v>
      </c>
      <c r="G980" s="92"/>
      <c r="H980" s="92" t="s">
        <v>227</v>
      </c>
      <c r="I980" s="86"/>
    </row>
    <row r="981" spans="2:9" ht="15" hidden="1" customHeight="1" x14ac:dyDescent="0.35">
      <c r="B981" s="96" t="s">
        <v>162</v>
      </c>
      <c r="C981" s="96" t="s">
        <v>1322</v>
      </c>
      <c r="D981" s="91"/>
      <c r="E981" s="92" t="s">
        <v>1312</v>
      </c>
      <c r="F981" s="92" t="s">
        <v>1334</v>
      </c>
      <c r="G981" s="92"/>
      <c r="H981" s="92" t="s">
        <v>227</v>
      </c>
      <c r="I981" s="86"/>
    </row>
    <row r="982" spans="2:9" ht="15" hidden="1" customHeight="1" x14ac:dyDescent="0.35">
      <c r="B982" s="96" t="s">
        <v>1848</v>
      </c>
      <c r="C982" s="96" t="s">
        <v>1323</v>
      </c>
      <c r="D982" s="91" t="str">
        <f>VLOOKUP(C982,'[1]Birbank İşçi Siyahı'!$B:$I,8,)</f>
        <v>Future lab</v>
      </c>
      <c r="E982" s="92" t="s">
        <v>1312</v>
      </c>
      <c r="F982" s="92" t="s">
        <v>1334</v>
      </c>
      <c r="G982" s="92"/>
      <c r="H982" s="92" t="s">
        <v>449</v>
      </c>
      <c r="I982" s="86"/>
    </row>
    <row r="983" spans="2:9" ht="15" hidden="1" customHeight="1" x14ac:dyDescent="0.35">
      <c r="B983" s="96" t="s">
        <v>1848</v>
      </c>
      <c r="C983" s="96" t="s">
        <v>1324</v>
      </c>
      <c r="D983" s="91" t="str">
        <f>VLOOKUP(C983,'[1]Birbank İşçi Siyahı'!$B:$I,8,)</f>
        <v>Future lab</v>
      </c>
      <c r="E983" s="92" t="s">
        <v>1312</v>
      </c>
      <c r="F983" s="92" t="s">
        <v>1334</v>
      </c>
      <c r="G983" s="92"/>
      <c r="H983" s="92" t="s">
        <v>449</v>
      </c>
      <c r="I983" s="86"/>
    </row>
    <row r="984" spans="2:9" ht="15" hidden="1" customHeight="1" x14ac:dyDescent="0.35">
      <c r="B984" s="96" t="s">
        <v>171</v>
      </c>
      <c r="C984" s="96" t="s">
        <v>1325</v>
      </c>
      <c r="D984" s="91" t="str">
        <f>VLOOKUP(C984,'[1]Birbank İşçi Siyahı'!$B:$I,8,)</f>
        <v>Bir Payment</v>
      </c>
      <c r="E984" s="92" t="s">
        <v>1312</v>
      </c>
      <c r="F984" s="92" t="s">
        <v>1334</v>
      </c>
      <c r="G984" s="92"/>
      <c r="H984" s="92" t="s">
        <v>449</v>
      </c>
      <c r="I984" s="86"/>
    </row>
    <row r="985" spans="2:9" ht="15" hidden="1" customHeight="1" x14ac:dyDescent="0.35">
      <c r="B985" s="96" t="s">
        <v>171</v>
      </c>
      <c r="C985" s="96" t="s">
        <v>1326</v>
      </c>
      <c r="D985" s="91" t="str">
        <f>VLOOKUP(C985,'[1]Birbank İşçi Siyahı'!$B:$I,8,)</f>
        <v>Bir Payment</v>
      </c>
      <c r="E985" s="92" t="s">
        <v>1312</v>
      </c>
      <c r="F985" s="92" t="s">
        <v>1334</v>
      </c>
      <c r="G985" s="92"/>
      <c r="H985" s="92" t="s">
        <v>449</v>
      </c>
      <c r="I985" s="86"/>
    </row>
    <row r="986" spans="2:9" ht="15" hidden="1" customHeight="1" x14ac:dyDescent="0.35">
      <c r="B986" s="96" t="s">
        <v>171</v>
      </c>
      <c r="C986" s="96" t="s">
        <v>1327</v>
      </c>
      <c r="D986" s="91" t="str">
        <f>VLOOKUP(C986,'[1]Birbank İşçi Siyahı'!$B:$I,8,)</f>
        <v>Bir Payment</v>
      </c>
      <c r="E986" s="92" t="s">
        <v>1312</v>
      </c>
      <c r="F986" s="92" t="s">
        <v>1334</v>
      </c>
      <c r="G986" s="92"/>
      <c r="H986" s="92" t="s">
        <v>449</v>
      </c>
      <c r="I986" s="86"/>
    </row>
    <row r="987" spans="2:9" ht="15" hidden="1" customHeight="1" x14ac:dyDescent="0.35">
      <c r="B987" s="96" t="s">
        <v>171</v>
      </c>
      <c r="C987" s="96" t="s">
        <v>1328</v>
      </c>
      <c r="D987" s="91" t="str">
        <f>VLOOKUP(C987,'[1]Birbank İşçi Siyahı'!$B:$I,8,)</f>
        <v>Bir Payment</v>
      </c>
      <c r="E987" s="92" t="s">
        <v>1312</v>
      </c>
      <c r="F987" s="92" t="s">
        <v>1334</v>
      </c>
      <c r="G987" s="92"/>
      <c r="H987" s="92" t="s">
        <v>449</v>
      </c>
      <c r="I987" s="86"/>
    </row>
    <row r="988" spans="2:9" ht="15" hidden="1" customHeight="1" x14ac:dyDescent="0.35">
      <c r="B988" s="96" t="s">
        <v>171</v>
      </c>
      <c r="C988" s="96" t="s">
        <v>1329</v>
      </c>
      <c r="D988" s="91" t="str">
        <f>VLOOKUP(C988,'[1]Birbank İşçi Siyahı'!$B:$I,8,)</f>
        <v>Bir Payment</v>
      </c>
      <c r="E988" s="92" t="s">
        <v>1312</v>
      </c>
      <c r="F988" s="92" t="s">
        <v>1334</v>
      </c>
      <c r="G988" s="92"/>
      <c r="H988" s="92" t="s">
        <v>449</v>
      </c>
      <c r="I988" s="86"/>
    </row>
    <row r="989" spans="2:9" ht="15" hidden="1" customHeight="1" x14ac:dyDescent="0.35">
      <c r="B989" s="96" t="s">
        <v>171</v>
      </c>
      <c r="C989" s="96" t="s">
        <v>1330</v>
      </c>
      <c r="D989" s="91" t="str">
        <f>VLOOKUP(C989,'[1]Birbank İşçi Siyahı'!$B:$I,8,)</f>
        <v>Bir Payment</v>
      </c>
      <c r="E989" s="92" t="s">
        <v>1312</v>
      </c>
      <c r="F989" s="92" t="s">
        <v>1334</v>
      </c>
      <c r="G989" s="92"/>
      <c r="H989" s="92" t="s">
        <v>449</v>
      </c>
      <c r="I989" s="86"/>
    </row>
    <row r="990" spans="2:9" ht="15" hidden="1" customHeight="1" x14ac:dyDescent="0.35">
      <c r="B990" s="96" t="s">
        <v>162</v>
      </c>
      <c r="C990" s="96" t="s">
        <v>1331</v>
      </c>
      <c r="D990" s="91"/>
      <c r="E990" s="92" t="s">
        <v>1312</v>
      </c>
      <c r="F990" s="92" t="s">
        <v>1335</v>
      </c>
      <c r="G990" s="92"/>
      <c r="H990" s="92" t="s">
        <v>227</v>
      </c>
      <c r="I990" s="86"/>
    </row>
    <row r="991" spans="2:9" ht="15" hidden="1" customHeight="1" x14ac:dyDescent="0.35">
      <c r="B991" s="96" t="s">
        <v>162</v>
      </c>
      <c r="C991" s="96" t="s">
        <v>1332</v>
      </c>
      <c r="D991" s="91"/>
      <c r="E991" s="92" t="s">
        <v>1312</v>
      </c>
      <c r="F991" s="92" t="s">
        <v>1335</v>
      </c>
      <c r="G991" s="92"/>
      <c r="H991" s="92" t="s">
        <v>227</v>
      </c>
      <c r="I991" s="86"/>
    </row>
    <row r="992" spans="2:9" ht="15" hidden="1" customHeight="1" x14ac:dyDescent="0.35">
      <c r="B992" s="96" t="s">
        <v>162</v>
      </c>
      <c r="C992" s="96" t="s">
        <v>1812</v>
      </c>
      <c r="D992" s="91" t="e">
        <f>VLOOKUP(C992,'[1]Birbank İşçi Siyahı'!$B:$I,8,)</f>
        <v>#N/A</v>
      </c>
      <c r="E992" s="92" t="s">
        <v>1312</v>
      </c>
      <c r="F992" s="92" t="s">
        <v>1335</v>
      </c>
      <c r="G992" s="92"/>
      <c r="H992" s="92" t="s">
        <v>227</v>
      </c>
      <c r="I992" s="86"/>
    </row>
    <row r="993" spans="2:9" ht="15" hidden="1" customHeight="1" x14ac:dyDescent="0.35">
      <c r="B993" s="96" t="s">
        <v>162</v>
      </c>
      <c r="C993" s="96" t="s">
        <v>1333</v>
      </c>
      <c r="D993" s="91"/>
      <c r="E993" s="92" t="s">
        <v>1312</v>
      </c>
      <c r="F993" s="92" t="s">
        <v>1335</v>
      </c>
      <c r="G993" s="92"/>
      <c r="H993" s="92" t="s">
        <v>227</v>
      </c>
      <c r="I993" s="86"/>
    </row>
    <row r="994" spans="2:9" ht="15" hidden="1" customHeight="1" x14ac:dyDescent="0.35">
      <c r="B994" s="96" t="s">
        <v>162</v>
      </c>
      <c r="C994" s="96" t="s">
        <v>1470</v>
      </c>
      <c r="D994" s="91"/>
      <c r="E994" s="92" t="s">
        <v>1336</v>
      </c>
      <c r="F994" s="92" t="s">
        <v>33</v>
      </c>
      <c r="G994" s="92" t="s">
        <v>459</v>
      </c>
      <c r="H994" s="92" t="s">
        <v>227</v>
      </c>
      <c r="I994" s="86"/>
    </row>
    <row r="995" spans="2:9" ht="15" hidden="1" customHeight="1" x14ac:dyDescent="0.35">
      <c r="B995" s="96" t="s">
        <v>1849</v>
      </c>
      <c r="C995" s="96" t="s">
        <v>1471</v>
      </c>
      <c r="D995" s="91" t="str">
        <f>VLOOKUP(C995,'[1]Birbank İşçi Siyahı'!$B:$I,8,)</f>
        <v>Paşa Holding</v>
      </c>
      <c r="E995" s="92" t="s">
        <v>1336</v>
      </c>
      <c r="F995" s="92" t="s">
        <v>123</v>
      </c>
      <c r="G995" s="92" t="s">
        <v>187</v>
      </c>
      <c r="H995" s="92" t="s">
        <v>227</v>
      </c>
      <c r="I995" s="86"/>
    </row>
    <row r="996" spans="2:9" ht="15" hidden="1" customHeight="1" x14ac:dyDescent="0.35">
      <c r="B996" s="96" t="s">
        <v>1849</v>
      </c>
      <c r="C996" s="96" t="s">
        <v>1472</v>
      </c>
      <c r="D996" s="91" t="str">
        <f>VLOOKUP(C996,'[1]Birbank İşçi Siyahı'!$B:$I,8,)</f>
        <v>Paşa Holding</v>
      </c>
      <c r="E996" s="92" t="s">
        <v>1336</v>
      </c>
      <c r="F996" s="92" t="s">
        <v>123</v>
      </c>
      <c r="G996" s="92" t="s">
        <v>274</v>
      </c>
      <c r="H996" s="92" t="s">
        <v>227</v>
      </c>
      <c r="I996" s="86"/>
    </row>
    <row r="997" spans="2:9" ht="15" hidden="1" customHeight="1" x14ac:dyDescent="0.35">
      <c r="B997" s="96" t="s">
        <v>1849</v>
      </c>
      <c r="C997" s="96" t="s">
        <v>1473</v>
      </c>
      <c r="D997" s="91" t="str">
        <f>VLOOKUP(C997,'[1]Birbank İşçi Siyahı'!$B:$I,8,)</f>
        <v>Paşa Holding</v>
      </c>
      <c r="E997" s="92" t="s">
        <v>1336</v>
      </c>
      <c r="F997" s="92" t="s">
        <v>123</v>
      </c>
      <c r="G997" s="92" t="s">
        <v>187</v>
      </c>
      <c r="H997" s="92" t="s">
        <v>227</v>
      </c>
      <c r="I997" s="86"/>
    </row>
    <row r="998" spans="2:9" ht="15" hidden="1" customHeight="1" x14ac:dyDescent="0.35">
      <c r="B998" s="96" t="s">
        <v>162</v>
      </c>
      <c r="C998" s="96" t="s">
        <v>1474</v>
      </c>
      <c r="D998" s="91"/>
      <c r="E998" s="92" t="s">
        <v>1336</v>
      </c>
      <c r="F998" s="92" t="s">
        <v>124</v>
      </c>
      <c r="G998" s="92" t="s">
        <v>181</v>
      </c>
      <c r="H998" s="92" t="s">
        <v>227</v>
      </c>
      <c r="I998" s="86"/>
    </row>
    <row r="999" spans="2:9" ht="15" hidden="1" customHeight="1" x14ac:dyDescent="0.35">
      <c r="B999" s="96" t="s">
        <v>162</v>
      </c>
      <c r="C999" s="96" t="s">
        <v>1475</v>
      </c>
      <c r="D999" s="91"/>
      <c r="E999" s="92" t="s">
        <v>1336</v>
      </c>
      <c r="F999" s="92" t="s">
        <v>124</v>
      </c>
      <c r="G999" s="92" t="s">
        <v>300</v>
      </c>
      <c r="H999" s="92" t="s">
        <v>227</v>
      </c>
      <c r="I999" s="86"/>
    </row>
    <row r="1000" spans="2:9" ht="15" hidden="1" customHeight="1" x14ac:dyDescent="0.35">
      <c r="B1000" s="96" t="s">
        <v>162</v>
      </c>
      <c r="C1000" s="96" t="s">
        <v>1476</v>
      </c>
      <c r="D1000" s="91"/>
      <c r="E1000" s="92" t="s">
        <v>1336</v>
      </c>
      <c r="F1000" s="92" t="s">
        <v>124</v>
      </c>
      <c r="G1000" s="92" t="s">
        <v>1337</v>
      </c>
      <c r="H1000" s="92" t="s">
        <v>227</v>
      </c>
      <c r="I1000" s="86"/>
    </row>
    <row r="1001" spans="2:9" ht="15" hidden="1" customHeight="1" x14ac:dyDescent="0.35">
      <c r="B1001" s="96" t="s">
        <v>162</v>
      </c>
      <c r="C1001" s="96" t="s">
        <v>1338</v>
      </c>
      <c r="D1001" s="91"/>
      <c r="E1001" s="92" t="s">
        <v>1336</v>
      </c>
      <c r="F1001" s="92" t="s">
        <v>124</v>
      </c>
      <c r="G1001" s="92" t="s">
        <v>1337</v>
      </c>
      <c r="H1001" s="92" t="s">
        <v>227</v>
      </c>
      <c r="I1001" s="86"/>
    </row>
    <row r="1002" spans="2:9" ht="15" hidden="1" customHeight="1" x14ac:dyDescent="0.35">
      <c r="B1002" s="96" t="s">
        <v>162</v>
      </c>
      <c r="C1002" s="96" t="s">
        <v>1477</v>
      </c>
      <c r="D1002" s="91"/>
      <c r="E1002" s="92" t="s">
        <v>1336</v>
      </c>
      <c r="F1002" s="92" t="s">
        <v>124</v>
      </c>
      <c r="G1002" s="92" t="s">
        <v>248</v>
      </c>
      <c r="H1002" s="92" t="s">
        <v>227</v>
      </c>
      <c r="I1002" s="86"/>
    </row>
    <row r="1003" spans="2:9" ht="15" hidden="1" customHeight="1" x14ac:dyDescent="0.35">
      <c r="B1003" s="96" t="s">
        <v>162</v>
      </c>
      <c r="C1003" s="96" t="s">
        <v>1478</v>
      </c>
      <c r="D1003" s="91"/>
      <c r="E1003" s="92" t="s">
        <v>1336</v>
      </c>
      <c r="F1003" s="92" t="s">
        <v>124</v>
      </c>
      <c r="G1003" s="92" t="s">
        <v>1339</v>
      </c>
      <c r="H1003" s="92" t="s">
        <v>227</v>
      </c>
      <c r="I1003" s="86"/>
    </row>
    <row r="1004" spans="2:9" ht="15" hidden="1" customHeight="1" x14ac:dyDescent="0.35">
      <c r="B1004" s="96" t="s">
        <v>162</v>
      </c>
      <c r="C1004" s="96" t="s">
        <v>1479</v>
      </c>
      <c r="D1004" s="91"/>
      <c r="E1004" s="92" t="s">
        <v>1336</v>
      </c>
      <c r="F1004" s="92" t="s">
        <v>124</v>
      </c>
      <c r="G1004" s="92" t="s">
        <v>1340</v>
      </c>
      <c r="H1004" s="92" t="s">
        <v>227</v>
      </c>
      <c r="I1004" s="86"/>
    </row>
    <row r="1005" spans="2:9" ht="15" hidden="1" customHeight="1" x14ac:dyDescent="0.35">
      <c r="B1005" s="96" t="s">
        <v>162</v>
      </c>
      <c r="C1005" s="96" t="s">
        <v>1480</v>
      </c>
      <c r="D1005" s="91"/>
      <c r="E1005" s="92" t="s">
        <v>1336</v>
      </c>
      <c r="F1005" s="92" t="s">
        <v>124</v>
      </c>
      <c r="G1005" s="92" t="s">
        <v>1340</v>
      </c>
      <c r="H1005" s="92" t="s">
        <v>227</v>
      </c>
      <c r="I1005" s="86"/>
    </row>
    <row r="1006" spans="2:9" ht="15" hidden="1" customHeight="1" x14ac:dyDescent="0.35">
      <c r="B1006" s="96" t="s">
        <v>162</v>
      </c>
      <c r="C1006" s="96" t="s">
        <v>1481</v>
      </c>
      <c r="D1006" s="91"/>
      <c r="E1006" s="92" t="s">
        <v>1336</v>
      </c>
      <c r="F1006" s="92" t="s">
        <v>124</v>
      </c>
      <c r="G1006" s="92" t="s">
        <v>1340</v>
      </c>
      <c r="H1006" s="92" t="s">
        <v>227</v>
      </c>
      <c r="I1006" s="86"/>
    </row>
    <row r="1007" spans="2:9" ht="15" hidden="1" customHeight="1" x14ac:dyDescent="0.35">
      <c r="B1007" s="96" t="s">
        <v>162</v>
      </c>
      <c r="C1007" s="96" t="s">
        <v>1482</v>
      </c>
      <c r="D1007" s="91"/>
      <c r="E1007" s="92" t="s">
        <v>1336</v>
      </c>
      <c r="F1007" s="92" t="s">
        <v>124</v>
      </c>
      <c r="G1007" s="92" t="s">
        <v>1340</v>
      </c>
      <c r="H1007" s="92" t="s">
        <v>227</v>
      </c>
      <c r="I1007" s="86"/>
    </row>
    <row r="1008" spans="2:9" ht="15" hidden="1" customHeight="1" x14ac:dyDescent="0.35">
      <c r="B1008" s="96" t="s">
        <v>162</v>
      </c>
      <c r="C1008" s="96" t="s">
        <v>1483</v>
      </c>
      <c r="D1008" s="91"/>
      <c r="E1008" s="92" t="s">
        <v>1336</v>
      </c>
      <c r="F1008" s="92" t="s">
        <v>124</v>
      </c>
      <c r="G1008" s="92" t="s">
        <v>1340</v>
      </c>
      <c r="H1008" s="92" t="s">
        <v>227</v>
      </c>
      <c r="I1008" s="86"/>
    </row>
    <row r="1009" spans="2:9" ht="15" hidden="1" customHeight="1" x14ac:dyDescent="0.35">
      <c r="B1009" s="96" t="s">
        <v>171</v>
      </c>
      <c r="C1009" s="96" t="s">
        <v>1484</v>
      </c>
      <c r="D1009" s="91" t="str">
        <f>VLOOKUP(C1009,'[1]Birbank İşçi Siyahı'!$B:$I,8,)</f>
        <v>Bir Payment</v>
      </c>
      <c r="E1009" s="92" t="s">
        <v>1336</v>
      </c>
      <c r="F1009" s="92" t="s">
        <v>124</v>
      </c>
      <c r="G1009" s="92" t="s">
        <v>1339</v>
      </c>
      <c r="H1009" s="92" t="s">
        <v>227</v>
      </c>
      <c r="I1009" s="86"/>
    </row>
    <row r="1010" spans="2:9" ht="15" hidden="1" customHeight="1" x14ac:dyDescent="0.35">
      <c r="B1010" s="96" t="s">
        <v>171</v>
      </c>
      <c r="C1010" s="96" t="s">
        <v>1485</v>
      </c>
      <c r="D1010" s="91" t="str">
        <f>VLOOKUP(C1010,'[1]Birbank İşçi Siyahı'!$B:$I,8,)</f>
        <v>Bir Payment</v>
      </c>
      <c r="E1010" s="92" t="s">
        <v>1336</v>
      </c>
      <c r="F1010" s="92" t="s">
        <v>124</v>
      </c>
      <c r="G1010" s="92" t="s">
        <v>1340</v>
      </c>
      <c r="H1010" s="92" t="s">
        <v>227</v>
      </c>
      <c r="I1010" s="86"/>
    </row>
    <row r="1011" spans="2:9" ht="15" hidden="1" customHeight="1" x14ac:dyDescent="0.35">
      <c r="B1011" s="96" t="s">
        <v>171</v>
      </c>
      <c r="C1011" s="96" t="s">
        <v>1486</v>
      </c>
      <c r="D1011" s="91" t="str">
        <f>VLOOKUP(C1011,'[1]Birbank İşçi Siyahı'!$B:$I,8,)</f>
        <v>Bir Payment</v>
      </c>
      <c r="E1011" s="92" t="s">
        <v>1336</v>
      </c>
      <c r="F1011" s="92" t="s">
        <v>124</v>
      </c>
      <c r="G1011" s="92" t="s">
        <v>1340</v>
      </c>
      <c r="H1011" s="92" t="s">
        <v>227</v>
      </c>
      <c r="I1011" s="86"/>
    </row>
    <row r="1012" spans="2:9" ht="15" hidden="1" customHeight="1" x14ac:dyDescent="0.35">
      <c r="B1012" s="96" t="s">
        <v>162</v>
      </c>
      <c r="C1012" s="96" t="s">
        <v>1487</v>
      </c>
      <c r="D1012" s="91"/>
      <c r="E1012" s="92" t="s">
        <v>1336</v>
      </c>
      <c r="F1012" s="92" t="s">
        <v>122</v>
      </c>
      <c r="G1012" s="92" t="s">
        <v>181</v>
      </c>
      <c r="H1012" s="92" t="s">
        <v>227</v>
      </c>
      <c r="I1012" s="86"/>
    </row>
    <row r="1013" spans="2:9" ht="15" hidden="1" customHeight="1" x14ac:dyDescent="0.35">
      <c r="B1013" s="96" t="s">
        <v>162</v>
      </c>
      <c r="C1013" s="96" t="s">
        <v>1488</v>
      </c>
      <c r="D1013" s="91"/>
      <c r="E1013" s="92" t="s">
        <v>1336</v>
      </c>
      <c r="F1013" s="92" t="s">
        <v>122</v>
      </c>
      <c r="G1013" s="92" t="s">
        <v>187</v>
      </c>
      <c r="H1013" s="92" t="s">
        <v>227</v>
      </c>
      <c r="I1013" s="86"/>
    </row>
    <row r="1014" spans="2:9" ht="15" hidden="1" customHeight="1" x14ac:dyDescent="0.35">
      <c r="B1014" s="96" t="s">
        <v>162</v>
      </c>
      <c r="C1014" s="96" t="s">
        <v>1489</v>
      </c>
      <c r="D1014" s="91"/>
      <c r="E1014" s="92" t="s">
        <v>1336</v>
      </c>
      <c r="F1014" s="92" t="s">
        <v>122</v>
      </c>
      <c r="G1014" s="92" t="s">
        <v>300</v>
      </c>
      <c r="H1014" s="92" t="s">
        <v>227</v>
      </c>
      <c r="I1014" s="86"/>
    </row>
    <row r="1015" spans="2:9" ht="15" hidden="1" customHeight="1" x14ac:dyDescent="0.35">
      <c r="B1015" s="96" t="s">
        <v>1849</v>
      </c>
      <c r="C1015" s="96" t="s">
        <v>1490</v>
      </c>
      <c r="D1015" s="91" t="str">
        <f>VLOOKUP(C1015,'[1]Birbank İşçi Siyahı'!$B:$I,8,)</f>
        <v>Paşa Holding</v>
      </c>
      <c r="E1015" s="92" t="s">
        <v>1336</v>
      </c>
      <c r="F1015" s="92" t="s">
        <v>122</v>
      </c>
      <c r="G1015" s="92" t="s">
        <v>184</v>
      </c>
      <c r="H1015" s="92" t="s">
        <v>227</v>
      </c>
      <c r="I1015" s="86"/>
    </row>
    <row r="1016" spans="2:9" ht="15" hidden="1" customHeight="1" x14ac:dyDescent="0.35">
      <c r="B1016" s="96" t="s">
        <v>162</v>
      </c>
      <c r="C1016" s="96" t="s">
        <v>1491</v>
      </c>
      <c r="D1016" s="91"/>
      <c r="E1016" s="92" t="s">
        <v>1341</v>
      </c>
      <c r="F1016" s="92" t="s">
        <v>1342</v>
      </c>
      <c r="G1016" s="92" t="s">
        <v>183</v>
      </c>
      <c r="H1016" s="92" t="s">
        <v>227</v>
      </c>
      <c r="I1016" s="86"/>
    </row>
    <row r="1017" spans="2:9" ht="15" hidden="1" customHeight="1" x14ac:dyDescent="0.35">
      <c r="B1017" s="96" t="s">
        <v>162</v>
      </c>
      <c r="C1017" s="96" t="s">
        <v>1492</v>
      </c>
      <c r="D1017" s="91"/>
      <c r="E1017" s="92" t="s">
        <v>1341</v>
      </c>
      <c r="F1017" s="92" t="s">
        <v>1342</v>
      </c>
      <c r="G1017" s="92" t="s">
        <v>300</v>
      </c>
      <c r="H1017" s="92" t="s">
        <v>227</v>
      </c>
      <c r="I1017" s="86"/>
    </row>
    <row r="1018" spans="2:9" ht="15" hidden="1" customHeight="1" x14ac:dyDescent="0.35">
      <c r="B1018" s="96" t="s">
        <v>162</v>
      </c>
      <c r="C1018" s="96" t="s">
        <v>1493</v>
      </c>
      <c r="D1018" s="91"/>
      <c r="E1018" s="92" t="s">
        <v>1341</v>
      </c>
      <c r="F1018" s="92" t="s">
        <v>1342</v>
      </c>
      <c r="G1018" s="92" t="s">
        <v>300</v>
      </c>
      <c r="H1018" s="92" t="s">
        <v>227</v>
      </c>
      <c r="I1018" s="86"/>
    </row>
    <row r="1019" spans="2:9" ht="15" hidden="1" customHeight="1" x14ac:dyDescent="0.35">
      <c r="B1019" s="96" t="s">
        <v>162</v>
      </c>
      <c r="C1019" s="96" t="s">
        <v>1343</v>
      </c>
      <c r="D1019" s="91"/>
      <c r="E1019" s="92" t="s">
        <v>125</v>
      </c>
      <c r="F1019" s="92" t="s">
        <v>33</v>
      </c>
      <c r="G1019" s="92" t="s">
        <v>1344</v>
      </c>
      <c r="H1019" s="92" t="s">
        <v>227</v>
      </c>
      <c r="I1019" s="86"/>
    </row>
    <row r="1020" spans="2:9" ht="15" hidden="1" customHeight="1" x14ac:dyDescent="0.35">
      <c r="B1020" s="96" t="s">
        <v>162</v>
      </c>
      <c r="C1020" s="96" t="s">
        <v>1345</v>
      </c>
      <c r="D1020" s="91"/>
      <c r="E1020" s="92" t="s">
        <v>125</v>
      </c>
      <c r="F1020" s="92" t="s">
        <v>33</v>
      </c>
      <c r="G1020" s="92" t="s">
        <v>1346</v>
      </c>
      <c r="H1020" s="92" t="s">
        <v>227</v>
      </c>
      <c r="I1020" s="86"/>
    </row>
    <row r="1021" spans="2:9" ht="15" hidden="1" customHeight="1" x14ac:dyDescent="0.35">
      <c r="B1021" s="96" t="s">
        <v>162</v>
      </c>
      <c r="C1021" s="96" t="s">
        <v>1347</v>
      </c>
      <c r="D1021" s="91"/>
      <c r="E1021" s="92" t="s">
        <v>125</v>
      </c>
      <c r="F1021" s="92" t="s">
        <v>33</v>
      </c>
      <c r="G1021" s="92" t="s">
        <v>1346</v>
      </c>
      <c r="H1021" s="92" t="s">
        <v>227</v>
      </c>
      <c r="I1021" s="86"/>
    </row>
    <row r="1022" spans="2:9" ht="15" hidden="1" customHeight="1" x14ac:dyDescent="0.35">
      <c r="B1022" s="96" t="s">
        <v>162</v>
      </c>
      <c r="C1022" s="96" t="s">
        <v>1348</v>
      </c>
      <c r="D1022" s="91" t="e">
        <f>VLOOKUP(C1022,'[1]Birbank İşçi Siyahı'!$B:$I,8,)</f>
        <v>#N/A</v>
      </c>
      <c r="E1022" s="92" t="s">
        <v>125</v>
      </c>
      <c r="F1022" s="92" t="s">
        <v>128</v>
      </c>
      <c r="G1022" s="92" t="s">
        <v>980</v>
      </c>
      <c r="H1022" s="92" t="s">
        <v>226</v>
      </c>
      <c r="I1022" s="86"/>
    </row>
    <row r="1023" spans="2:9" ht="15" hidden="1" customHeight="1" x14ac:dyDescent="0.35">
      <c r="B1023" s="96" t="s">
        <v>162</v>
      </c>
      <c r="C1023" s="96" t="s">
        <v>1349</v>
      </c>
      <c r="D1023" s="91"/>
      <c r="E1023" s="92" t="s">
        <v>125</v>
      </c>
      <c r="F1023" s="92" t="s">
        <v>128</v>
      </c>
      <c r="G1023" s="92" t="s">
        <v>982</v>
      </c>
      <c r="H1023" s="92" t="s">
        <v>227</v>
      </c>
      <c r="I1023" s="86"/>
    </row>
    <row r="1024" spans="2:9" ht="15" hidden="1" customHeight="1" x14ac:dyDescent="0.35">
      <c r="B1024" s="96" t="s">
        <v>162</v>
      </c>
      <c r="C1024" s="96" t="s">
        <v>1350</v>
      </c>
      <c r="D1024" s="91"/>
      <c r="E1024" s="92" t="s">
        <v>125</v>
      </c>
      <c r="F1024" s="92" t="s">
        <v>128</v>
      </c>
      <c r="G1024" s="92" t="s">
        <v>982</v>
      </c>
      <c r="H1024" s="92" t="s">
        <v>227</v>
      </c>
      <c r="I1024" s="86"/>
    </row>
    <row r="1025" spans="2:9" ht="15" hidden="1" customHeight="1" x14ac:dyDescent="0.35">
      <c r="B1025" s="96" t="s">
        <v>162</v>
      </c>
      <c r="C1025" s="96" t="s">
        <v>1351</v>
      </c>
      <c r="D1025" s="91"/>
      <c r="E1025" s="92" t="s">
        <v>125</v>
      </c>
      <c r="F1025" s="92" t="s">
        <v>128</v>
      </c>
      <c r="G1025" s="92" t="s">
        <v>982</v>
      </c>
      <c r="H1025" s="92" t="s">
        <v>227</v>
      </c>
      <c r="I1025" s="86"/>
    </row>
    <row r="1026" spans="2:9" ht="15" hidden="1" customHeight="1" x14ac:dyDescent="0.35">
      <c r="B1026" s="96" t="s">
        <v>162</v>
      </c>
      <c r="C1026" s="96" t="s">
        <v>1352</v>
      </c>
      <c r="D1026" s="91"/>
      <c r="E1026" s="92" t="s">
        <v>125</v>
      </c>
      <c r="F1026" s="92" t="s">
        <v>128</v>
      </c>
      <c r="G1026" s="92" t="s">
        <v>1138</v>
      </c>
      <c r="H1026" s="92" t="s">
        <v>227</v>
      </c>
      <c r="I1026" s="86"/>
    </row>
    <row r="1027" spans="2:9" ht="15" hidden="1" customHeight="1" x14ac:dyDescent="0.35">
      <c r="B1027" s="96" t="s">
        <v>162</v>
      </c>
      <c r="C1027" s="96" t="s">
        <v>1353</v>
      </c>
      <c r="D1027" s="91"/>
      <c r="E1027" s="92" t="s">
        <v>125</v>
      </c>
      <c r="F1027" s="92" t="s">
        <v>128</v>
      </c>
      <c r="G1027" s="92" t="s">
        <v>1138</v>
      </c>
      <c r="H1027" s="92" t="s">
        <v>227</v>
      </c>
      <c r="I1027" s="86"/>
    </row>
    <row r="1028" spans="2:9" ht="15" hidden="1" customHeight="1" x14ac:dyDescent="0.35">
      <c r="B1028" s="96" t="s">
        <v>162</v>
      </c>
      <c r="C1028" s="96" t="s">
        <v>1354</v>
      </c>
      <c r="D1028" s="91"/>
      <c r="E1028" s="92" t="s">
        <v>125</v>
      </c>
      <c r="F1028" s="92" t="s">
        <v>128</v>
      </c>
      <c r="G1028" s="92" t="s">
        <v>1138</v>
      </c>
      <c r="H1028" s="92" t="s">
        <v>227</v>
      </c>
      <c r="I1028" s="86"/>
    </row>
    <row r="1029" spans="2:9" ht="15" hidden="1" customHeight="1" x14ac:dyDescent="0.35">
      <c r="B1029" s="96" t="s">
        <v>162</v>
      </c>
      <c r="C1029" s="96" t="s">
        <v>1355</v>
      </c>
      <c r="D1029" s="91"/>
      <c r="E1029" s="92" t="s">
        <v>125</v>
      </c>
      <c r="F1029" s="92" t="s">
        <v>128</v>
      </c>
      <c r="G1029" s="92" t="s">
        <v>1138</v>
      </c>
      <c r="H1029" s="92" t="s">
        <v>227</v>
      </c>
      <c r="I1029" s="86"/>
    </row>
    <row r="1030" spans="2:9" ht="15" hidden="1" customHeight="1" x14ac:dyDescent="0.35">
      <c r="B1030" s="96" t="s">
        <v>162</v>
      </c>
      <c r="C1030" s="96" t="s">
        <v>1356</v>
      </c>
      <c r="D1030" s="91"/>
      <c r="E1030" s="92" t="s">
        <v>125</v>
      </c>
      <c r="F1030" s="92" t="s">
        <v>128</v>
      </c>
      <c r="G1030" s="92" t="s">
        <v>983</v>
      </c>
      <c r="H1030" s="92" t="s">
        <v>227</v>
      </c>
      <c r="I1030" s="86"/>
    </row>
    <row r="1031" spans="2:9" ht="15" hidden="1" customHeight="1" x14ac:dyDescent="0.35">
      <c r="B1031" s="96" t="s">
        <v>162</v>
      </c>
      <c r="C1031" s="96" t="s">
        <v>1357</v>
      </c>
      <c r="D1031" s="91"/>
      <c r="E1031" s="92" t="s">
        <v>125</v>
      </c>
      <c r="F1031" s="92" t="s">
        <v>128</v>
      </c>
      <c r="G1031" s="92" t="s">
        <v>1358</v>
      </c>
      <c r="H1031" s="92" t="s">
        <v>227</v>
      </c>
      <c r="I1031" s="86"/>
    </row>
    <row r="1032" spans="2:9" ht="15" hidden="1" customHeight="1" x14ac:dyDescent="0.35">
      <c r="B1032" s="96" t="s">
        <v>162</v>
      </c>
      <c r="C1032" s="96" t="s">
        <v>1359</v>
      </c>
      <c r="D1032" s="91"/>
      <c r="E1032" s="92" t="s">
        <v>125</v>
      </c>
      <c r="F1032" s="92" t="s">
        <v>128</v>
      </c>
      <c r="G1032" s="92" t="s">
        <v>981</v>
      </c>
      <c r="H1032" s="92" t="s">
        <v>227</v>
      </c>
      <c r="I1032" s="86"/>
    </row>
    <row r="1033" spans="2:9" ht="15" hidden="1" customHeight="1" x14ac:dyDescent="0.35">
      <c r="B1033" s="96" t="s">
        <v>162</v>
      </c>
      <c r="C1033" s="96" t="s">
        <v>1360</v>
      </c>
      <c r="D1033" s="91"/>
      <c r="E1033" s="92" t="s">
        <v>125</v>
      </c>
      <c r="F1033" s="92" t="s">
        <v>128</v>
      </c>
      <c r="G1033" s="92" t="s">
        <v>982</v>
      </c>
      <c r="H1033" s="92" t="s">
        <v>227</v>
      </c>
      <c r="I1033" s="86"/>
    </row>
    <row r="1034" spans="2:9" ht="15" hidden="1" customHeight="1" x14ac:dyDescent="0.35">
      <c r="B1034" s="96" t="s">
        <v>162</v>
      </c>
      <c r="C1034" s="96" t="s">
        <v>1361</v>
      </c>
      <c r="D1034" s="91"/>
      <c r="E1034" s="92" t="s">
        <v>125</v>
      </c>
      <c r="F1034" s="92" t="s">
        <v>128</v>
      </c>
      <c r="G1034" s="92" t="s">
        <v>1138</v>
      </c>
      <c r="H1034" s="92" t="s">
        <v>227</v>
      </c>
      <c r="I1034" s="86"/>
    </row>
    <row r="1035" spans="2:9" ht="15" hidden="1" customHeight="1" x14ac:dyDescent="0.35">
      <c r="B1035" s="96" t="s">
        <v>162</v>
      </c>
      <c r="C1035" s="96" t="s">
        <v>1362</v>
      </c>
      <c r="D1035" s="91"/>
      <c r="E1035" s="92" t="s">
        <v>125</v>
      </c>
      <c r="F1035" s="92" t="s">
        <v>128</v>
      </c>
      <c r="G1035" s="92" t="s">
        <v>1138</v>
      </c>
      <c r="H1035" s="92" t="s">
        <v>227</v>
      </c>
      <c r="I1035" s="86"/>
    </row>
    <row r="1036" spans="2:9" ht="15" hidden="1" customHeight="1" x14ac:dyDescent="0.35">
      <c r="B1036" s="96" t="s">
        <v>164</v>
      </c>
      <c r="C1036" s="96" t="s">
        <v>1363</v>
      </c>
      <c r="D1036" s="91" t="str">
        <f>VLOOKUP(C1036,'[1]Birbank İşçi Siyahı'!$B:$I,8,)</f>
        <v>BirMarket</v>
      </c>
      <c r="E1036" s="92" t="s">
        <v>125</v>
      </c>
      <c r="F1036" s="92" t="s">
        <v>128</v>
      </c>
      <c r="G1036" s="92" t="s">
        <v>983</v>
      </c>
      <c r="H1036" s="92" t="s">
        <v>227</v>
      </c>
      <c r="I1036" s="86"/>
    </row>
    <row r="1037" spans="2:9" ht="15" hidden="1" customHeight="1" x14ac:dyDescent="0.35">
      <c r="B1037" s="96" t="s">
        <v>162</v>
      </c>
      <c r="C1037" s="96" t="s">
        <v>1364</v>
      </c>
      <c r="D1037" s="91" t="e">
        <f>VLOOKUP(C1037,'[1]Birbank İşçi Siyahı'!$B:$I,8,)</f>
        <v>#N/A</v>
      </c>
      <c r="E1037" s="92" t="s">
        <v>125</v>
      </c>
      <c r="F1037" s="92" t="s">
        <v>128</v>
      </c>
      <c r="G1037" s="92" t="s">
        <v>983</v>
      </c>
      <c r="H1037" s="92" t="s">
        <v>226</v>
      </c>
      <c r="I1037" s="86"/>
    </row>
    <row r="1038" spans="2:9" ht="15" hidden="1" customHeight="1" x14ac:dyDescent="0.35">
      <c r="B1038" s="96" t="s">
        <v>162</v>
      </c>
      <c r="C1038" s="96" t="s">
        <v>1365</v>
      </c>
      <c r="D1038" s="91"/>
      <c r="E1038" s="92" t="s">
        <v>125</v>
      </c>
      <c r="F1038" s="92" t="s">
        <v>129</v>
      </c>
      <c r="G1038" s="92" t="s">
        <v>980</v>
      </c>
      <c r="H1038" s="92" t="s">
        <v>227</v>
      </c>
      <c r="I1038" s="86"/>
    </row>
    <row r="1039" spans="2:9" ht="15" hidden="1" customHeight="1" x14ac:dyDescent="0.35">
      <c r="B1039" s="96" t="s">
        <v>162</v>
      </c>
      <c r="C1039" s="96" t="s">
        <v>1366</v>
      </c>
      <c r="D1039" s="91"/>
      <c r="E1039" s="92" t="s">
        <v>125</v>
      </c>
      <c r="F1039" s="92" t="s">
        <v>129</v>
      </c>
      <c r="G1039" s="92" t="s">
        <v>982</v>
      </c>
      <c r="H1039" s="92" t="s">
        <v>227</v>
      </c>
      <c r="I1039" s="86"/>
    </row>
    <row r="1040" spans="2:9" ht="15" hidden="1" customHeight="1" x14ac:dyDescent="0.35">
      <c r="B1040" s="96" t="s">
        <v>162</v>
      </c>
      <c r="C1040" s="96" t="s">
        <v>1367</v>
      </c>
      <c r="D1040" s="91"/>
      <c r="E1040" s="92" t="s">
        <v>125</v>
      </c>
      <c r="F1040" s="92" t="s">
        <v>129</v>
      </c>
      <c r="G1040" s="92" t="s">
        <v>1138</v>
      </c>
      <c r="H1040" s="92" t="s">
        <v>227</v>
      </c>
      <c r="I1040" s="86"/>
    </row>
    <row r="1041" spans="2:9" ht="15" hidden="1" customHeight="1" x14ac:dyDescent="0.35">
      <c r="B1041" s="96" t="s">
        <v>162</v>
      </c>
      <c r="C1041" s="96" t="s">
        <v>1368</v>
      </c>
      <c r="D1041" s="91"/>
      <c r="E1041" s="92" t="s">
        <v>125</v>
      </c>
      <c r="F1041" s="92" t="s">
        <v>129</v>
      </c>
      <c r="G1041" s="92" t="s">
        <v>1138</v>
      </c>
      <c r="H1041" s="92" t="s">
        <v>227</v>
      </c>
      <c r="I1041" s="86"/>
    </row>
    <row r="1042" spans="2:9" ht="15" hidden="1" customHeight="1" x14ac:dyDescent="0.35">
      <c r="B1042" s="96" t="s">
        <v>162</v>
      </c>
      <c r="C1042" s="96" t="s">
        <v>1369</v>
      </c>
      <c r="D1042" s="91"/>
      <c r="E1042" s="92" t="s">
        <v>125</v>
      </c>
      <c r="F1042" s="92" t="s">
        <v>129</v>
      </c>
      <c r="G1042" s="92" t="s">
        <v>1138</v>
      </c>
      <c r="H1042" s="92" t="s">
        <v>227</v>
      </c>
      <c r="I1042" s="86"/>
    </row>
    <row r="1043" spans="2:9" ht="15" hidden="1" customHeight="1" x14ac:dyDescent="0.35">
      <c r="B1043" s="96" t="s">
        <v>162</v>
      </c>
      <c r="C1043" s="96" t="s">
        <v>1370</v>
      </c>
      <c r="D1043" s="91"/>
      <c r="E1043" s="92" t="s">
        <v>125</v>
      </c>
      <c r="F1043" s="92" t="s">
        <v>130</v>
      </c>
      <c r="G1043" s="92" t="s">
        <v>980</v>
      </c>
      <c r="H1043" s="92" t="s">
        <v>227</v>
      </c>
      <c r="I1043" s="86"/>
    </row>
    <row r="1044" spans="2:9" ht="15" hidden="1" customHeight="1" x14ac:dyDescent="0.35">
      <c r="B1044" s="96" t="s">
        <v>162</v>
      </c>
      <c r="C1044" s="96" t="s">
        <v>1371</v>
      </c>
      <c r="D1044" s="91"/>
      <c r="E1044" s="92" t="s">
        <v>125</v>
      </c>
      <c r="F1044" s="92" t="s">
        <v>130</v>
      </c>
      <c r="G1044" s="92" t="s">
        <v>981</v>
      </c>
      <c r="H1044" s="92" t="s">
        <v>227</v>
      </c>
      <c r="I1044" s="86"/>
    </row>
    <row r="1045" spans="2:9" ht="15" hidden="1" customHeight="1" x14ac:dyDescent="0.35">
      <c r="B1045" s="96" t="s">
        <v>162</v>
      </c>
      <c r="C1045" s="96" t="s">
        <v>1372</v>
      </c>
      <c r="D1045" s="91"/>
      <c r="E1045" s="92" t="s">
        <v>125</v>
      </c>
      <c r="F1045" s="92" t="s">
        <v>130</v>
      </c>
      <c r="G1045" s="92" t="s">
        <v>1138</v>
      </c>
      <c r="H1045" s="92" t="s">
        <v>227</v>
      </c>
      <c r="I1045" s="86"/>
    </row>
    <row r="1046" spans="2:9" ht="15" hidden="1" customHeight="1" x14ac:dyDescent="0.35">
      <c r="B1046" s="96" t="s">
        <v>162</v>
      </c>
      <c r="C1046" s="96" t="s">
        <v>1373</v>
      </c>
      <c r="D1046" s="91"/>
      <c r="E1046" s="92" t="s">
        <v>125</v>
      </c>
      <c r="F1046" s="92" t="s">
        <v>130</v>
      </c>
      <c r="G1046" s="92" t="s">
        <v>982</v>
      </c>
      <c r="H1046" s="92" t="s">
        <v>227</v>
      </c>
      <c r="I1046" s="86"/>
    </row>
    <row r="1047" spans="2:9" ht="15" hidden="1" customHeight="1" x14ac:dyDescent="0.35">
      <c r="B1047" s="96" t="s">
        <v>162</v>
      </c>
      <c r="C1047" s="96" t="s">
        <v>1374</v>
      </c>
      <c r="D1047" s="91"/>
      <c r="E1047" s="92" t="s">
        <v>125</v>
      </c>
      <c r="F1047" s="92" t="s">
        <v>130</v>
      </c>
      <c r="G1047" s="92" t="s">
        <v>982</v>
      </c>
      <c r="H1047" s="92" t="s">
        <v>227</v>
      </c>
      <c r="I1047" s="86"/>
    </row>
    <row r="1048" spans="2:9" ht="15" hidden="1" customHeight="1" x14ac:dyDescent="0.35">
      <c r="B1048" s="96" t="s">
        <v>162</v>
      </c>
      <c r="C1048" s="96" t="s">
        <v>1375</v>
      </c>
      <c r="D1048" s="91"/>
      <c r="E1048" s="92" t="s">
        <v>125</v>
      </c>
      <c r="F1048" s="92" t="s">
        <v>126</v>
      </c>
      <c r="G1048" s="92" t="s">
        <v>981</v>
      </c>
      <c r="H1048" s="92" t="s">
        <v>227</v>
      </c>
      <c r="I1048" s="86"/>
    </row>
    <row r="1049" spans="2:9" ht="15" hidden="1" customHeight="1" x14ac:dyDescent="0.35">
      <c r="B1049" s="96" t="s">
        <v>162</v>
      </c>
      <c r="C1049" s="96" t="s">
        <v>1376</v>
      </c>
      <c r="D1049" s="91"/>
      <c r="E1049" s="92" t="s">
        <v>125</v>
      </c>
      <c r="F1049" s="92" t="s">
        <v>126</v>
      </c>
      <c r="G1049" s="92" t="s">
        <v>981</v>
      </c>
      <c r="H1049" s="92" t="s">
        <v>227</v>
      </c>
      <c r="I1049" s="86"/>
    </row>
    <row r="1050" spans="2:9" ht="15" hidden="1" customHeight="1" x14ac:dyDescent="0.35">
      <c r="B1050" s="96" t="s">
        <v>162</v>
      </c>
      <c r="C1050" s="96" t="s">
        <v>1377</v>
      </c>
      <c r="D1050" s="91"/>
      <c r="E1050" s="92" t="s">
        <v>125</v>
      </c>
      <c r="F1050" s="92" t="s">
        <v>126</v>
      </c>
      <c r="G1050" s="92" t="s">
        <v>981</v>
      </c>
      <c r="H1050" s="92" t="s">
        <v>227</v>
      </c>
      <c r="I1050" s="86"/>
    </row>
    <row r="1051" spans="2:9" ht="15" hidden="1" customHeight="1" x14ac:dyDescent="0.35">
      <c r="B1051" s="96" t="s">
        <v>162</v>
      </c>
      <c r="C1051" s="96" t="s">
        <v>1378</v>
      </c>
      <c r="D1051" s="91"/>
      <c r="E1051" s="92" t="s">
        <v>125</v>
      </c>
      <c r="F1051" s="92" t="s">
        <v>126</v>
      </c>
      <c r="G1051" s="92" t="s">
        <v>982</v>
      </c>
      <c r="H1051" s="92" t="s">
        <v>227</v>
      </c>
      <c r="I1051" s="86"/>
    </row>
    <row r="1052" spans="2:9" ht="15" hidden="1" customHeight="1" x14ac:dyDescent="0.35">
      <c r="B1052" s="96" t="s">
        <v>162</v>
      </c>
      <c r="C1052" s="96" t="s">
        <v>1379</v>
      </c>
      <c r="D1052" s="91"/>
      <c r="E1052" s="92" t="s">
        <v>125</v>
      </c>
      <c r="F1052" s="92" t="s">
        <v>126</v>
      </c>
      <c r="G1052" s="92" t="s">
        <v>982</v>
      </c>
      <c r="H1052" s="92" t="s">
        <v>227</v>
      </c>
      <c r="I1052" s="86"/>
    </row>
    <row r="1053" spans="2:9" ht="15" hidden="1" customHeight="1" x14ac:dyDescent="0.35">
      <c r="B1053" s="96" t="s">
        <v>162</v>
      </c>
      <c r="C1053" s="96" t="s">
        <v>1380</v>
      </c>
      <c r="D1053" s="91"/>
      <c r="E1053" s="92" t="s">
        <v>125</v>
      </c>
      <c r="F1053" s="92" t="s">
        <v>126</v>
      </c>
      <c r="G1053" s="92" t="s">
        <v>1138</v>
      </c>
      <c r="H1053" s="92" t="s">
        <v>227</v>
      </c>
      <c r="I1053" s="86"/>
    </row>
    <row r="1054" spans="2:9" ht="15" hidden="1" customHeight="1" x14ac:dyDescent="0.35">
      <c r="B1054" s="96" t="s">
        <v>162</v>
      </c>
      <c r="C1054" s="96" t="s">
        <v>1381</v>
      </c>
      <c r="D1054" s="91"/>
      <c r="E1054" s="92" t="s">
        <v>125</v>
      </c>
      <c r="F1054" s="92" t="s">
        <v>126</v>
      </c>
      <c r="G1054" s="92" t="s">
        <v>1138</v>
      </c>
      <c r="H1054" s="92" t="s">
        <v>227</v>
      </c>
      <c r="I1054" s="86"/>
    </row>
    <row r="1055" spans="2:9" ht="15" hidden="1" customHeight="1" x14ac:dyDescent="0.35">
      <c r="B1055" s="96" t="s">
        <v>162</v>
      </c>
      <c r="C1055" s="96" t="s">
        <v>1382</v>
      </c>
      <c r="D1055" s="91"/>
      <c r="E1055" s="92" t="s">
        <v>125</v>
      </c>
      <c r="F1055" s="92" t="s">
        <v>126</v>
      </c>
      <c r="G1055" s="92" t="s">
        <v>1138</v>
      </c>
      <c r="H1055" s="92" t="s">
        <v>227</v>
      </c>
      <c r="I1055" s="86"/>
    </row>
    <row r="1056" spans="2:9" ht="15" hidden="1" customHeight="1" x14ac:dyDescent="0.35">
      <c r="B1056" s="96" t="s">
        <v>162</v>
      </c>
      <c r="C1056" s="96" t="s">
        <v>1383</v>
      </c>
      <c r="D1056" s="91"/>
      <c r="E1056" s="92" t="s">
        <v>125</v>
      </c>
      <c r="F1056" s="92" t="s">
        <v>126</v>
      </c>
      <c r="G1056" s="92" t="s">
        <v>1138</v>
      </c>
      <c r="H1056" s="92" t="s">
        <v>227</v>
      </c>
      <c r="I1056" s="86"/>
    </row>
    <row r="1057" spans="2:9" ht="15" hidden="1" customHeight="1" x14ac:dyDescent="0.35">
      <c r="B1057" s="96" t="s">
        <v>162</v>
      </c>
      <c r="C1057" s="96" t="s">
        <v>1384</v>
      </c>
      <c r="D1057" s="91"/>
      <c r="E1057" s="92" t="s">
        <v>125</v>
      </c>
      <c r="F1057" s="92" t="s">
        <v>126</v>
      </c>
      <c r="G1057" s="92" t="s">
        <v>983</v>
      </c>
      <c r="H1057" s="92" t="s">
        <v>227</v>
      </c>
      <c r="I1057" s="86"/>
    </row>
    <row r="1058" spans="2:9" ht="15" hidden="1" customHeight="1" x14ac:dyDescent="0.35">
      <c r="B1058" s="96" t="s">
        <v>162</v>
      </c>
      <c r="C1058" s="96" t="s">
        <v>1385</v>
      </c>
      <c r="D1058" s="91"/>
      <c r="E1058" s="92" t="s">
        <v>125</v>
      </c>
      <c r="F1058" s="92" t="s">
        <v>126</v>
      </c>
      <c r="G1058" s="92" t="s">
        <v>983</v>
      </c>
      <c r="H1058" s="92" t="s">
        <v>227</v>
      </c>
      <c r="I1058" s="86"/>
    </row>
    <row r="1059" spans="2:9" ht="15" hidden="1" customHeight="1" x14ac:dyDescent="0.35">
      <c r="B1059" s="96" t="s">
        <v>162</v>
      </c>
      <c r="C1059" s="96" t="s">
        <v>1386</v>
      </c>
      <c r="D1059" s="91"/>
      <c r="E1059" s="92" t="s">
        <v>125</v>
      </c>
      <c r="F1059" s="92" t="s">
        <v>127</v>
      </c>
      <c r="G1059" s="92" t="s">
        <v>980</v>
      </c>
      <c r="H1059" s="92" t="s">
        <v>227</v>
      </c>
      <c r="I1059" s="86"/>
    </row>
    <row r="1060" spans="2:9" ht="15" hidden="1" customHeight="1" x14ac:dyDescent="0.35">
      <c r="B1060" s="96" t="s">
        <v>162</v>
      </c>
      <c r="C1060" s="96" t="s">
        <v>1387</v>
      </c>
      <c r="D1060" s="91"/>
      <c r="E1060" s="92" t="s">
        <v>125</v>
      </c>
      <c r="F1060" s="92" t="s">
        <v>127</v>
      </c>
      <c r="G1060" s="92" t="s">
        <v>981</v>
      </c>
      <c r="H1060" s="92" t="s">
        <v>227</v>
      </c>
      <c r="I1060" s="86"/>
    </row>
    <row r="1061" spans="2:9" ht="15" hidden="1" customHeight="1" x14ac:dyDescent="0.35">
      <c r="B1061" s="96" t="s">
        <v>164</v>
      </c>
      <c r="C1061" s="96" t="s">
        <v>1388</v>
      </c>
      <c r="D1061" s="91" t="str">
        <f>VLOOKUP(C1061,'[1]Birbank İşçi Siyahı'!$B:$I,8,)</f>
        <v>BirMarket</v>
      </c>
      <c r="E1061" s="92" t="s">
        <v>125</v>
      </c>
      <c r="F1061" s="92" t="s">
        <v>127</v>
      </c>
      <c r="G1061" s="92" t="s">
        <v>983</v>
      </c>
      <c r="H1061" s="92" t="s">
        <v>227</v>
      </c>
      <c r="I1061" s="86"/>
    </row>
    <row r="1062" spans="2:9" ht="15" hidden="1" customHeight="1" x14ac:dyDescent="0.35">
      <c r="B1062" s="96" t="s">
        <v>164</v>
      </c>
      <c r="C1062" s="96" t="s">
        <v>1389</v>
      </c>
      <c r="D1062" s="91" t="str">
        <f>VLOOKUP(C1062,'[1]Birbank İşçi Siyahı'!$B:$I,8,)</f>
        <v>BirMarket</v>
      </c>
      <c r="E1062" s="92" t="s">
        <v>125</v>
      </c>
      <c r="F1062" s="92" t="s">
        <v>127</v>
      </c>
      <c r="G1062" s="92" t="s">
        <v>983</v>
      </c>
      <c r="H1062" s="92" t="s">
        <v>227</v>
      </c>
      <c r="I1062" s="86"/>
    </row>
    <row r="1063" spans="2:9" ht="15" hidden="1" customHeight="1" x14ac:dyDescent="0.35">
      <c r="B1063" s="96" t="s">
        <v>162</v>
      </c>
      <c r="C1063" s="96" t="s">
        <v>1390</v>
      </c>
      <c r="D1063" s="91"/>
      <c r="E1063" s="92" t="s">
        <v>125</v>
      </c>
      <c r="F1063" s="92" t="s">
        <v>133</v>
      </c>
      <c r="G1063" s="92" t="s">
        <v>981</v>
      </c>
      <c r="H1063" s="92" t="s">
        <v>227</v>
      </c>
      <c r="I1063" s="86"/>
    </row>
    <row r="1064" spans="2:9" ht="15" hidden="1" customHeight="1" x14ac:dyDescent="0.35">
      <c r="B1064" s="96" t="s">
        <v>162</v>
      </c>
      <c r="C1064" s="96" t="s">
        <v>1391</v>
      </c>
      <c r="D1064" s="91"/>
      <c r="E1064" s="92" t="s">
        <v>125</v>
      </c>
      <c r="F1064" s="92" t="s">
        <v>133</v>
      </c>
      <c r="G1064" s="92" t="s">
        <v>981</v>
      </c>
      <c r="H1064" s="92" t="s">
        <v>227</v>
      </c>
      <c r="I1064" s="86"/>
    </row>
    <row r="1065" spans="2:9" ht="15" hidden="1" customHeight="1" x14ac:dyDescent="0.35">
      <c r="B1065" s="96" t="s">
        <v>171</v>
      </c>
      <c r="C1065" s="96" t="s">
        <v>1392</v>
      </c>
      <c r="D1065" s="91" t="str">
        <f>VLOOKUP(C1065,'[1]Birbank İşçi Siyahı'!$B:$I,8,)</f>
        <v>Bir Payment</v>
      </c>
      <c r="E1065" s="92" t="s">
        <v>125</v>
      </c>
      <c r="F1065" s="92" t="s">
        <v>133</v>
      </c>
      <c r="G1065" s="92" t="s">
        <v>982</v>
      </c>
      <c r="H1065" s="92" t="s">
        <v>227</v>
      </c>
      <c r="I1065" s="86"/>
    </row>
    <row r="1066" spans="2:9" ht="15" hidden="1" customHeight="1" x14ac:dyDescent="0.35">
      <c r="B1066" s="96" t="s">
        <v>162</v>
      </c>
      <c r="C1066" s="96" t="s">
        <v>1393</v>
      </c>
      <c r="D1066" s="91"/>
      <c r="E1066" s="92" t="s">
        <v>125</v>
      </c>
      <c r="F1066" s="92" t="s">
        <v>133</v>
      </c>
      <c r="G1066" s="92" t="s">
        <v>982</v>
      </c>
      <c r="H1066" s="92" t="s">
        <v>227</v>
      </c>
      <c r="I1066" s="86"/>
    </row>
    <row r="1067" spans="2:9" ht="15" hidden="1" customHeight="1" x14ac:dyDescent="0.35">
      <c r="B1067" s="96" t="s">
        <v>162</v>
      </c>
      <c r="C1067" s="96" t="s">
        <v>1394</v>
      </c>
      <c r="D1067" s="91"/>
      <c r="E1067" s="92" t="s">
        <v>125</v>
      </c>
      <c r="F1067" s="92" t="s">
        <v>133</v>
      </c>
      <c r="G1067" s="92" t="s">
        <v>1138</v>
      </c>
      <c r="H1067" s="92" t="s">
        <v>227</v>
      </c>
      <c r="I1067" s="86"/>
    </row>
    <row r="1068" spans="2:9" ht="15" hidden="1" customHeight="1" x14ac:dyDescent="0.35">
      <c r="B1068" s="96" t="s">
        <v>162</v>
      </c>
      <c r="C1068" s="96" t="s">
        <v>1395</v>
      </c>
      <c r="D1068" s="91"/>
      <c r="E1068" s="92" t="s">
        <v>125</v>
      </c>
      <c r="F1068" s="92" t="s">
        <v>133</v>
      </c>
      <c r="G1068" s="92" t="s">
        <v>1138</v>
      </c>
      <c r="H1068" s="92" t="s">
        <v>227</v>
      </c>
      <c r="I1068" s="86"/>
    </row>
    <row r="1069" spans="2:9" ht="15" hidden="1" customHeight="1" x14ac:dyDescent="0.35">
      <c r="B1069" s="96" t="s">
        <v>162</v>
      </c>
      <c r="C1069" s="96" t="s">
        <v>1396</v>
      </c>
      <c r="D1069" s="91"/>
      <c r="E1069" s="92" t="s">
        <v>125</v>
      </c>
      <c r="F1069" s="92" t="s">
        <v>133</v>
      </c>
      <c r="G1069" s="92" t="s">
        <v>1138</v>
      </c>
      <c r="H1069" s="92" t="s">
        <v>227</v>
      </c>
      <c r="I1069" s="86"/>
    </row>
    <row r="1070" spans="2:9" ht="15" hidden="1" customHeight="1" x14ac:dyDescent="0.35">
      <c r="B1070" s="96" t="s">
        <v>162</v>
      </c>
      <c r="C1070" s="96" t="s">
        <v>1397</v>
      </c>
      <c r="D1070" s="91"/>
      <c r="E1070" s="92" t="s">
        <v>125</v>
      </c>
      <c r="F1070" s="92" t="s">
        <v>133</v>
      </c>
      <c r="G1070" s="92" t="s">
        <v>1138</v>
      </c>
      <c r="H1070" s="92" t="s">
        <v>227</v>
      </c>
      <c r="I1070" s="86"/>
    </row>
    <row r="1071" spans="2:9" ht="15" hidden="1" customHeight="1" x14ac:dyDescent="0.35">
      <c r="B1071" s="96" t="s">
        <v>162</v>
      </c>
      <c r="C1071" s="96" t="s">
        <v>1398</v>
      </c>
      <c r="D1071" s="91"/>
      <c r="E1071" s="92" t="s">
        <v>125</v>
      </c>
      <c r="F1071" s="92" t="s">
        <v>133</v>
      </c>
      <c r="G1071" s="92" t="s">
        <v>1138</v>
      </c>
      <c r="H1071" s="92" t="s">
        <v>227</v>
      </c>
      <c r="I1071" s="86"/>
    </row>
    <row r="1072" spans="2:9" ht="15" hidden="1" customHeight="1" x14ac:dyDescent="0.35">
      <c r="B1072" s="96" t="s">
        <v>162</v>
      </c>
      <c r="C1072" s="96" t="s">
        <v>1399</v>
      </c>
      <c r="D1072" s="91"/>
      <c r="E1072" s="92" t="s">
        <v>125</v>
      </c>
      <c r="F1072" s="92" t="s">
        <v>131</v>
      </c>
      <c r="G1072" s="92" t="s">
        <v>981</v>
      </c>
      <c r="H1072" s="92" t="s">
        <v>227</v>
      </c>
      <c r="I1072" s="86"/>
    </row>
    <row r="1073" spans="2:9" ht="15" hidden="1" customHeight="1" x14ac:dyDescent="0.35">
      <c r="B1073" s="96" t="s">
        <v>162</v>
      </c>
      <c r="C1073" s="96" t="s">
        <v>1400</v>
      </c>
      <c r="D1073" s="91"/>
      <c r="E1073" s="92" t="s">
        <v>125</v>
      </c>
      <c r="F1073" s="92" t="s">
        <v>131</v>
      </c>
      <c r="G1073" s="92" t="s">
        <v>981</v>
      </c>
      <c r="H1073" s="92" t="s">
        <v>227</v>
      </c>
      <c r="I1073" s="86"/>
    </row>
    <row r="1074" spans="2:9" ht="15" hidden="1" customHeight="1" x14ac:dyDescent="0.35">
      <c r="B1074" s="96" t="s">
        <v>162</v>
      </c>
      <c r="C1074" s="96" t="s">
        <v>1401</v>
      </c>
      <c r="D1074" s="91"/>
      <c r="E1074" s="92" t="s">
        <v>125</v>
      </c>
      <c r="F1074" s="92" t="s">
        <v>131</v>
      </c>
      <c r="G1074" s="92" t="s">
        <v>982</v>
      </c>
      <c r="H1074" s="92" t="s">
        <v>227</v>
      </c>
      <c r="I1074" s="86"/>
    </row>
    <row r="1075" spans="2:9" ht="15" hidden="1" customHeight="1" x14ac:dyDescent="0.35">
      <c r="B1075" s="96" t="s">
        <v>171</v>
      </c>
      <c r="C1075" s="96" t="s">
        <v>1402</v>
      </c>
      <c r="D1075" s="91" t="str">
        <f>VLOOKUP(C1075,'[1]Birbank İşçi Siyahı'!$B:$I,8,)</f>
        <v>Bir Payment</v>
      </c>
      <c r="E1075" s="92" t="s">
        <v>125</v>
      </c>
      <c r="F1075" s="92" t="s">
        <v>131</v>
      </c>
      <c r="G1075" s="92" t="s">
        <v>982</v>
      </c>
      <c r="H1075" s="92" t="s">
        <v>227</v>
      </c>
      <c r="I1075" s="86"/>
    </row>
    <row r="1076" spans="2:9" ht="15" hidden="1" customHeight="1" x14ac:dyDescent="0.35">
      <c r="B1076" s="96" t="s">
        <v>162</v>
      </c>
      <c r="C1076" s="96" t="s">
        <v>1494</v>
      </c>
      <c r="D1076" s="91"/>
      <c r="E1076" s="92" t="s">
        <v>125</v>
      </c>
      <c r="F1076" s="92" t="s">
        <v>131</v>
      </c>
      <c r="G1076" s="92" t="s">
        <v>983</v>
      </c>
      <c r="H1076" s="92" t="s">
        <v>227</v>
      </c>
      <c r="I1076" s="86"/>
    </row>
    <row r="1077" spans="2:9" ht="15" hidden="1" customHeight="1" x14ac:dyDescent="0.35">
      <c r="B1077" s="96" t="s">
        <v>171</v>
      </c>
      <c r="C1077" s="96" t="s">
        <v>1403</v>
      </c>
      <c r="D1077" s="91" t="str">
        <f>VLOOKUP(C1077,'[1]Birbank İşçi Siyahı'!$B:$I,8,)</f>
        <v>Bir Payment</v>
      </c>
      <c r="E1077" s="92" t="s">
        <v>125</v>
      </c>
      <c r="F1077" s="92" t="s">
        <v>131</v>
      </c>
      <c r="G1077" s="92" t="s">
        <v>983</v>
      </c>
      <c r="H1077" s="92" t="s">
        <v>227</v>
      </c>
      <c r="I1077" s="86"/>
    </row>
    <row r="1078" spans="2:9" ht="15" hidden="1" customHeight="1" x14ac:dyDescent="0.35">
      <c r="B1078" s="96" t="s">
        <v>162</v>
      </c>
      <c r="C1078" s="96" t="s">
        <v>1404</v>
      </c>
      <c r="D1078" s="91"/>
      <c r="E1078" s="92" t="s">
        <v>125</v>
      </c>
      <c r="F1078" s="92" t="s">
        <v>131</v>
      </c>
      <c r="G1078" s="92" t="s">
        <v>1358</v>
      </c>
      <c r="H1078" s="92" t="s">
        <v>227</v>
      </c>
      <c r="I1078" s="86"/>
    </row>
    <row r="1079" spans="2:9" ht="15" hidden="1" customHeight="1" x14ac:dyDescent="0.35">
      <c r="B1079" s="96" t="s">
        <v>162</v>
      </c>
      <c r="C1079" s="96" t="s">
        <v>1405</v>
      </c>
      <c r="D1079" s="91"/>
      <c r="E1079" s="92" t="s">
        <v>125</v>
      </c>
      <c r="F1079" s="92" t="s">
        <v>131</v>
      </c>
      <c r="G1079" s="92" t="s">
        <v>982</v>
      </c>
      <c r="H1079" s="92" t="s">
        <v>227</v>
      </c>
      <c r="I1079" s="86"/>
    </row>
    <row r="1080" spans="2:9" ht="15" hidden="1" customHeight="1" x14ac:dyDescent="0.35">
      <c r="B1080" s="96" t="s">
        <v>162</v>
      </c>
      <c r="C1080" s="96" t="s">
        <v>1406</v>
      </c>
      <c r="D1080" s="91"/>
      <c r="E1080" s="92" t="s">
        <v>125</v>
      </c>
      <c r="F1080" s="92" t="s">
        <v>131</v>
      </c>
      <c r="G1080" s="92" t="s">
        <v>1138</v>
      </c>
      <c r="H1080" s="92" t="s">
        <v>227</v>
      </c>
      <c r="I1080" s="86"/>
    </row>
    <row r="1081" spans="2:9" ht="15" hidden="1" customHeight="1" x14ac:dyDescent="0.35">
      <c r="B1081" s="96" t="s">
        <v>162</v>
      </c>
      <c r="C1081" s="96" t="s">
        <v>1407</v>
      </c>
      <c r="D1081" s="91"/>
      <c r="E1081" s="92" t="s">
        <v>125</v>
      </c>
      <c r="F1081" s="92" t="s">
        <v>131</v>
      </c>
      <c r="G1081" s="92" t="s">
        <v>1138</v>
      </c>
      <c r="H1081" s="92" t="s">
        <v>227</v>
      </c>
      <c r="I1081" s="86"/>
    </row>
    <row r="1082" spans="2:9" ht="15" hidden="1" customHeight="1" x14ac:dyDescent="0.35">
      <c r="B1082" s="96" t="s">
        <v>162</v>
      </c>
      <c r="C1082" s="96" t="s">
        <v>1408</v>
      </c>
      <c r="D1082" s="91"/>
      <c r="E1082" s="92" t="s">
        <v>125</v>
      </c>
      <c r="F1082" s="92" t="s">
        <v>131</v>
      </c>
      <c r="G1082" s="92" t="s">
        <v>1138</v>
      </c>
      <c r="H1082" s="92" t="s">
        <v>227</v>
      </c>
      <c r="I1082" s="86"/>
    </row>
    <row r="1083" spans="2:9" ht="15" hidden="1" customHeight="1" x14ac:dyDescent="0.35">
      <c r="B1083" s="96" t="s">
        <v>162</v>
      </c>
      <c r="C1083" s="96" t="s">
        <v>1409</v>
      </c>
      <c r="D1083" s="91"/>
      <c r="E1083" s="92" t="s">
        <v>125</v>
      </c>
      <c r="F1083" s="92" t="s">
        <v>131</v>
      </c>
      <c r="G1083" s="92" t="s">
        <v>1138</v>
      </c>
      <c r="H1083" s="92" t="s">
        <v>227</v>
      </c>
      <c r="I1083" s="86"/>
    </row>
    <row r="1084" spans="2:9" ht="15" hidden="1" customHeight="1" x14ac:dyDescent="0.35">
      <c r="B1084" s="96" t="s">
        <v>162</v>
      </c>
      <c r="C1084" s="96" t="s">
        <v>1410</v>
      </c>
      <c r="D1084" s="91"/>
      <c r="E1084" s="92" t="s">
        <v>125</v>
      </c>
      <c r="F1084" s="92" t="s">
        <v>132</v>
      </c>
      <c r="G1084" s="92" t="s">
        <v>980</v>
      </c>
      <c r="H1084" s="92" t="s">
        <v>227</v>
      </c>
      <c r="I1084" s="86"/>
    </row>
    <row r="1085" spans="2:9" ht="15" hidden="1" customHeight="1" x14ac:dyDescent="0.35">
      <c r="B1085" s="96" t="s">
        <v>162</v>
      </c>
      <c r="C1085" s="96" t="s">
        <v>1411</v>
      </c>
      <c r="D1085" s="91"/>
      <c r="E1085" s="92" t="s">
        <v>125</v>
      </c>
      <c r="F1085" s="92" t="s">
        <v>132</v>
      </c>
      <c r="G1085" s="92" t="s">
        <v>982</v>
      </c>
      <c r="H1085" s="92" t="s">
        <v>227</v>
      </c>
      <c r="I1085" s="86"/>
    </row>
    <row r="1086" spans="2:9" ht="15" hidden="1" customHeight="1" x14ac:dyDescent="0.35">
      <c r="B1086" s="96" t="s">
        <v>162</v>
      </c>
      <c r="C1086" s="96" t="s">
        <v>1412</v>
      </c>
      <c r="D1086" s="91"/>
      <c r="E1086" s="92" t="s">
        <v>125</v>
      </c>
      <c r="F1086" s="92" t="s">
        <v>132</v>
      </c>
      <c r="G1086" s="92" t="s">
        <v>982</v>
      </c>
      <c r="H1086" s="92" t="s">
        <v>227</v>
      </c>
      <c r="I1086" s="86"/>
    </row>
    <row r="1087" spans="2:9" ht="15" hidden="1" customHeight="1" x14ac:dyDescent="0.35">
      <c r="B1087" s="96" t="s">
        <v>162</v>
      </c>
      <c r="C1087" s="96" t="s">
        <v>1413</v>
      </c>
      <c r="D1087" s="91"/>
      <c r="E1087" s="92" t="s">
        <v>125</v>
      </c>
      <c r="F1087" s="92" t="s">
        <v>132</v>
      </c>
      <c r="G1087" s="92" t="s">
        <v>982</v>
      </c>
      <c r="H1087" s="92" t="s">
        <v>227</v>
      </c>
      <c r="I1087" s="86"/>
    </row>
    <row r="1088" spans="2:9" ht="15" hidden="1" customHeight="1" x14ac:dyDescent="0.35">
      <c r="B1088" s="96" t="s">
        <v>162</v>
      </c>
      <c r="C1088" s="96" t="s">
        <v>1414</v>
      </c>
      <c r="D1088" s="91"/>
      <c r="E1088" s="92" t="s">
        <v>125</v>
      </c>
      <c r="F1088" s="92" t="s">
        <v>132</v>
      </c>
      <c r="G1088" s="92" t="s">
        <v>1138</v>
      </c>
      <c r="H1088" s="92" t="s">
        <v>227</v>
      </c>
      <c r="I1088" s="86"/>
    </row>
    <row r="1089" spans="2:9" ht="15" hidden="1" customHeight="1" x14ac:dyDescent="0.35">
      <c r="B1089" s="96" t="s">
        <v>162</v>
      </c>
      <c r="C1089" s="96" t="s">
        <v>1415</v>
      </c>
      <c r="D1089" s="91"/>
      <c r="E1089" s="92" t="s">
        <v>125</v>
      </c>
      <c r="F1089" s="92" t="s">
        <v>132</v>
      </c>
      <c r="G1089" s="92" t="s">
        <v>1138</v>
      </c>
      <c r="H1089" s="92" t="s">
        <v>227</v>
      </c>
      <c r="I1089" s="86"/>
    </row>
    <row r="1090" spans="2:9" ht="15" hidden="1" customHeight="1" x14ac:dyDescent="0.35">
      <c r="B1090" s="96" t="s">
        <v>162</v>
      </c>
      <c r="C1090" s="96" t="s">
        <v>1416</v>
      </c>
      <c r="D1090" s="91"/>
      <c r="E1090" s="92" t="s">
        <v>125</v>
      </c>
      <c r="F1090" s="92" t="s">
        <v>132</v>
      </c>
      <c r="G1090" s="92" t="s">
        <v>1138</v>
      </c>
      <c r="H1090" s="92" t="s">
        <v>227</v>
      </c>
      <c r="I1090" s="86"/>
    </row>
    <row r="1091" spans="2:9" ht="15" hidden="1" customHeight="1" x14ac:dyDescent="0.35">
      <c r="B1091" s="96" t="s">
        <v>162</v>
      </c>
      <c r="C1091" s="96" t="s">
        <v>1417</v>
      </c>
      <c r="D1091" s="91"/>
      <c r="E1091" s="92" t="s">
        <v>125</v>
      </c>
      <c r="F1091" s="92" t="s">
        <v>132</v>
      </c>
      <c r="G1091" s="92" t="s">
        <v>1138</v>
      </c>
      <c r="H1091" s="92" t="s">
        <v>227</v>
      </c>
      <c r="I1091" s="86"/>
    </row>
    <row r="1092" spans="2:9" ht="15" hidden="1" customHeight="1" x14ac:dyDescent="0.35">
      <c r="B1092" s="96" t="s">
        <v>162</v>
      </c>
      <c r="C1092" s="96" t="s">
        <v>1418</v>
      </c>
      <c r="D1092" s="91"/>
      <c r="E1092" s="92" t="s">
        <v>125</v>
      </c>
      <c r="F1092" s="92" t="s">
        <v>132</v>
      </c>
      <c r="G1092" s="92" t="s">
        <v>983</v>
      </c>
      <c r="H1092" s="92" t="s">
        <v>227</v>
      </c>
      <c r="I1092" s="86"/>
    </row>
    <row r="1093" spans="2:9" ht="15" hidden="1" customHeight="1" x14ac:dyDescent="0.35">
      <c r="B1093" s="96" t="s">
        <v>162</v>
      </c>
      <c r="C1093" s="96" t="s">
        <v>1419</v>
      </c>
      <c r="D1093" s="91" t="e">
        <f>VLOOKUP(C1093,'[1]Birbank İşçi Siyahı'!$B:$I,8,)</f>
        <v>#N/A</v>
      </c>
      <c r="E1093" s="92" t="s">
        <v>125</v>
      </c>
      <c r="F1093" s="92" t="s">
        <v>132</v>
      </c>
      <c r="G1093" s="92" t="s">
        <v>1144</v>
      </c>
      <c r="H1093" s="92" t="s">
        <v>226</v>
      </c>
      <c r="I1093" s="86"/>
    </row>
    <row r="1094" spans="2:9" ht="15" hidden="1" customHeight="1" x14ac:dyDescent="0.35">
      <c r="B1094" s="96" t="s">
        <v>171</v>
      </c>
      <c r="C1094" s="96" t="s">
        <v>1495</v>
      </c>
      <c r="D1094" s="91" t="str">
        <f>VLOOKUP(C1094,[2]Sheet1!$D:$E,2,)</f>
        <v>Pashapay</v>
      </c>
      <c r="E1094" s="92" t="s">
        <v>125</v>
      </c>
      <c r="F1094" s="92" t="s">
        <v>171</v>
      </c>
      <c r="G1094" s="92" t="s">
        <v>1344</v>
      </c>
      <c r="H1094" s="92" t="s">
        <v>226</v>
      </c>
      <c r="I1094" s="86"/>
    </row>
    <row r="1095" spans="2:9" ht="15" hidden="1" customHeight="1" x14ac:dyDescent="0.35">
      <c r="B1095" s="96" t="s">
        <v>171</v>
      </c>
      <c r="C1095" s="96" t="s">
        <v>1496</v>
      </c>
      <c r="D1095" s="91" t="str">
        <f>VLOOKUP(C1095,[2]Sheet1!$D:$E,2,)</f>
        <v>Pashapay</v>
      </c>
      <c r="E1095" s="92" t="s">
        <v>125</v>
      </c>
      <c r="F1095" s="92" t="s">
        <v>171</v>
      </c>
      <c r="G1095" s="92" t="s">
        <v>1420</v>
      </c>
      <c r="H1095" s="92" t="s">
        <v>226</v>
      </c>
      <c r="I1095" s="86"/>
    </row>
    <row r="1096" spans="2:9" ht="15" hidden="1" customHeight="1" x14ac:dyDescent="0.35">
      <c r="B1096" s="96" t="s">
        <v>171</v>
      </c>
      <c r="C1096" s="96" t="s">
        <v>1497</v>
      </c>
      <c r="D1096" s="91" t="str">
        <f>VLOOKUP(C1096,[2]Sheet1!$D:$E,2,)</f>
        <v>Pashapay</v>
      </c>
      <c r="E1096" s="92" t="s">
        <v>125</v>
      </c>
      <c r="F1096" s="92" t="s">
        <v>171</v>
      </c>
      <c r="G1096" s="92" t="s">
        <v>1421</v>
      </c>
      <c r="H1096" s="92" t="s">
        <v>226</v>
      </c>
      <c r="I1096" s="86"/>
    </row>
    <row r="1097" spans="2:9" ht="15" hidden="1" customHeight="1" x14ac:dyDescent="0.35">
      <c r="B1097" s="96" t="s">
        <v>171</v>
      </c>
      <c r="C1097" s="96" t="s">
        <v>1498</v>
      </c>
      <c r="D1097" s="91" t="str">
        <f>VLOOKUP(C1097,[2]Sheet1!$D:$E,2,)</f>
        <v>Pashapay</v>
      </c>
      <c r="E1097" s="92" t="s">
        <v>125</v>
      </c>
      <c r="F1097" s="92" t="s">
        <v>171</v>
      </c>
      <c r="G1097" s="92" t="s">
        <v>1421</v>
      </c>
      <c r="H1097" s="92" t="s">
        <v>226</v>
      </c>
      <c r="I1097" s="86"/>
    </row>
    <row r="1098" spans="2:9" ht="15" hidden="1" customHeight="1" x14ac:dyDescent="0.35">
      <c r="B1098" s="96" t="s">
        <v>171</v>
      </c>
      <c r="C1098" s="96" t="s">
        <v>1499</v>
      </c>
      <c r="D1098" s="91" t="str">
        <f>VLOOKUP(C1098,[2]Sheet1!$D:$E,2,)</f>
        <v>Pashapay</v>
      </c>
      <c r="E1098" s="92" t="s">
        <v>125</v>
      </c>
      <c r="F1098" s="92" t="s">
        <v>171</v>
      </c>
      <c r="G1098" s="92" t="s">
        <v>1421</v>
      </c>
      <c r="H1098" s="92" t="s">
        <v>226</v>
      </c>
      <c r="I1098" s="86"/>
    </row>
    <row r="1099" spans="2:9" ht="15" hidden="1" customHeight="1" x14ac:dyDescent="0.35">
      <c r="B1099" s="96" t="s">
        <v>171</v>
      </c>
      <c r="C1099" s="96" t="s">
        <v>1500</v>
      </c>
      <c r="D1099" s="91" t="str">
        <f>VLOOKUP(C1099,[2]Sheet1!$D:$E,2,)</f>
        <v>Pashapay</v>
      </c>
      <c r="E1099" s="92" t="s">
        <v>125</v>
      </c>
      <c r="F1099" s="92" t="s">
        <v>171</v>
      </c>
      <c r="G1099" s="92" t="s">
        <v>982</v>
      </c>
      <c r="H1099" s="92" t="s">
        <v>226</v>
      </c>
      <c r="I1099" s="86"/>
    </row>
    <row r="1100" spans="2:9" ht="15" hidden="1" customHeight="1" x14ac:dyDescent="0.35">
      <c r="B1100" s="96" t="s">
        <v>171</v>
      </c>
      <c r="C1100" s="96" t="s">
        <v>1501</v>
      </c>
      <c r="D1100" s="91" t="str">
        <f>VLOOKUP(C1100,[2]Sheet1!$D:$E,2,)</f>
        <v>Pashapay</v>
      </c>
      <c r="E1100" s="92" t="s">
        <v>125</v>
      </c>
      <c r="F1100" s="92" t="s">
        <v>171</v>
      </c>
      <c r="G1100" s="92" t="s">
        <v>982</v>
      </c>
      <c r="H1100" s="92" t="s">
        <v>226</v>
      </c>
      <c r="I1100" s="86"/>
    </row>
    <row r="1101" spans="2:9" ht="15" hidden="1" customHeight="1" x14ac:dyDescent="0.35">
      <c r="B1101" s="96" t="s">
        <v>171</v>
      </c>
      <c r="C1101" s="96" t="s">
        <v>1502</v>
      </c>
      <c r="D1101" s="91" t="str">
        <f>VLOOKUP(C1101,[2]Sheet1!$D:$E,2,)</f>
        <v>Pashapay</v>
      </c>
      <c r="E1101" s="92" t="s">
        <v>125</v>
      </c>
      <c r="F1101" s="92" t="s">
        <v>171</v>
      </c>
      <c r="G1101" s="92" t="s">
        <v>983</v>
      </c>
      <c r="H1101" s="92" t="s">
        <v>226</v>
      </c>
      <c r="I1101" s="86"/>
    </row>
    <row r="1102" spans="2:9" ht="15" hidden="1" customHeight="1" x14ac:dyDescent="0.35">
      <c r="B1102" s="96" t="s">
        <v>162</v>
      </c>
      <c r="C1102" s="96" t="s">
        <v>1422</v>
      </c>
      <c r="D1102" s="91" t="e">
        <f>VLOOKUP(C1102,'[1]Birbank İşçi Siyahı'!$B:$I,8,)</f>
        <v>#N/A</v>
      </c>
      <c r="E1102" s="92" t="s">
        <v>1423</v>
      </c>
      <c r="F1102" s="92" t="s">
        <v>33</v>
      </c>
      <c r="G1102" s="92" t="s">
        <v>459</v>
      </c>
      <c r="H1102" s="92" t="s">
        <v>227</v>
      </c>
      <c r="I1102" s="86"/>
    </row>
    <row r="1103" spans="2:9" ht="15" hidden="1" customHeight="1" x14ac:dyDescent="0.35">
      <c r="B1103" s="96" t="s">
        <v>162</v>
      </c>
      <c r="C1103" s="96" t="s">
        <v>1424</v>
      </c>
      <c r="D1103" s="91" t="e">
        <f>VLOOKUP(C1103,'[1]Birbank İşçi Siyahı'!$B:$I,8,)</f>
        <v>#N/A</v>
      </c>
      <c r="E1103" s="92" t="s">
        <v>1423</v>
      </c>
      <c r="F1103" s="92" t="s">
        <v>33</v>
      </c>
      <c r="G1103" s="92" t="s">
        <v>460</v>
      </c>
      <c r="H1103" s="92" t="s">
        <v>227</v>
      </c>
      <c r="I1103" s="86"/>
    </row>
    <row r="1104" spans="2:9" ht="15" hidden="1" customHeight="1" x14ac:dyDescent="0.35">
      <c r="B1104" s="96" t="s">
        <v>162</v>
      </c>
      <c r="C1104" s="96" t="s">
        <v>1425</v>
      </c>
      <c r="D1104" s="91" t="e">
        <f>VLOOKUP(C1104,'[1]Birbank İşçi Siyahı'!$B:$I,8,)</f>
        <v>#N/A</v>
      </c>
      <c r="E1104" s="92" t="s">
        <v>1423</v>
      </c>
      <c r="F1104" s="92" t="s">
        <v>33</v>
      </c>
      <c r="G1104" s="92" t="s">
        <v>187</v>
      </c>
      <c r="H1104" s="92" t="s">
        <v>227</v>
      </c>
      <c r="I1104" s="86"/>
    </row>
    <row r="1105" spans="2:9" ht="15" hidden="1" customHeight="1" x14ac:dyDescent="0.35">
      <c r="B1105" s="96" t="s">
        <v>162</v>
      </c>
      <c r="C1105" s="96" t="s">
        <v>1426</v>
      </c>
      <c r="D1105" s="91" t="e">
        <f>VLOOKUP(C1105,'[1]Birbank İşçi Siyahı'!$B:$I,8,)</f>
        <v>#N/A</v>
      </c>
      <c r="E1105" s="92" t="s">
        <v>1423</v>
      </c>
      <c r="F1105" s="92" t="s">
        <v>1427</v>
      </c>
      <c r="G1105" s="92" t="s">
        <v>184</v>
      </c>
      <c r="H1105" s="92" t="s">
        <v>227</v>
      </c>
      <c r="I1105" s="86"/>
    </row>
    <row r="1106" spans="2:9" ht="15" hidden="1" customHeight="1" x14ac:dyDescent="0.35">
      <c r="B1106" s="96" t="s">
        <v>162</v>
      </c>
      <c r="C1106" s="96" t="s">
        <v>1428</v>
      </c>
      <c r="D1106" s="91"/>
      <c r="E1106" s="92" t="s">
        <v>1423</v>
      </c>
      <c r="F1106" s="92" t="s">
        <v>1427</v>
      </c>
      <c r="G1106" s="92" t="s">
        <v>181</v>
      </c>
      <c r="H1106" s="92" t="s">
        <v>227</v>
      </c>
      <c r="I1106" s="86"/>
    </row>
    <row r="1107" spans="2:9" ht="15" hidden="1" customHeight="1" x14ac:dyDescent="0.35">
      <c r="B1107" s="96" t="s">
        <v>162</v>
      </c>
      <c r="C1107" s="96" t="s">
        <v>1429</v>
      </c>
      <c r="D1107" s="91"/>
      <c r="E1107" s="92" t="s">
        <v>1423</v>
      </c>
      <c r="F1107" s="92" t="s">
        <v>1427</v>
      </c>
      <c r="G1107" s="92" t="s">
        <v>187</v>
      </c>
      <c r="H1107" s="92" t="s">
        <v>227</v>
      </c>
      <c r="I1107" s="86"/>
    </row>
    <row r="1108" spans="2:9" ht="15" hidden="1" customHeight="1" x14ac:dyDescent="0.35">
      <c r="B1108" s="96" t="s">
        <v>162</v>
      </c>
      <c r="C1108" s="96" t="s">
        <v>1430</v>
      </c>
      <c r="D1108" s="91"/>
      <c r="E1108" s="92" t="s">
        <v>1423</v>
      </c>
      <c r="F1108" s="92" t="s">
        <v>1427</v>
      </c>
      <c r="G1108" s="92" t="s">
        <v>300</v>
      </c>
      <c r="H1108" s="92" t="s">
        <v>227</v>
      </c>
      <c r="I1108" s="86"/>
    </row>
    <row r="1109" spans="2:9" ht="15" hidden="1" customHeight="1" x14ac:dyDescent="0.35">
      <c r="B1109" s="96" t="s">
        <v>162</v>
      </c>
      <c r="C1109" s="96" t="s">
        <v>1431</v>
      </c>
      <c r="D1109" s="91"/>
      <c r="E1109" s="92" t="s">
        <v>1423</v>
      </c>
      <c r="F1109" s="92" t="s">
        <v>1427</v>
      </c>
      <c r="G1109" s="92" t="s">
        <v>300</v>
      </c>
      <c r="H1109" s="92" t="s">
        <v>227</v>
      </c>
      <c r="I1109" s="86"/>
    </row>
    <row r="1110" spans="2:9" ht="15" hidden="1" customHeight="1" x14ac:dyDescent="0.35">
      <c r="B1110" s="96" t="s">
        <v>162</v>
      </c>
      <c r="C1110" s="96" t="s">
        <v>1432</v>
      </c>
      <c r="D1110" s="91" t="e">
        <f>VLOOKUP(C1110,'[1]Birbank İşçi Siyahı'!$B:$I,8,)</f>
        <v>#N/A</v>
      </c>
      <c r="E1110" s="92" t="s">
        <v>1423</v>
      </c>
      <c r="F1110" s="92" t="s">
        <v>1427</v>
      </c>
      <c r="G1110" s="92" t="s">
        <v>300</v>
      </c>
      <c r="H1110" s="92" t="s">
        <v>227</v>
      </c>
      <c r="I1110" s="86"/>
    </row>
    <row r="1111" spans="2:9" ht="15" hidden="1" customHeight="1" x14ac:dyDescent="0.35">
      <c r="B1111" s="96" t="s">
        <v>162</v>
      </c>
      <c r="C1111" s="96" t="s">
        <v>1433</v>
      </c>
      <c r="D1111" s="91"/>
      <c r="E1111" s="92" t="s">
        <v>1423</v>
      </c>
      <c r="F1111" s="92" t="s">
        <v>1427</v>
      </c>
      <c r="G1111" s="92" t="s">
        <v>187</v>
      </c>
      <c r="H1111" s="92" t="s">
        <v>227</v>
      </c>
      <c r="I1111" s="86"/>
    </row>
    <row r="1112" spans="2:9" ht="15" hidden="1" customHeight="1" x14ac:dyDescent="0.35">
      <c r="B1112" s="96" t="s">
        <v>171</v>
      </c>
      <c r="C1112" s="96" t="s">
        <v>1434</v>
      </c>
      <c r="D1112" s="91" t="str">
        <f>VLOOKUP(C1112,'[1]Birbank İşçi Siyahı'!$B:$I,8,)</f>
        <v>Bir Payment</v>
      </c>
      <c r="E1112" s="92" t="s">
        <v>1423</v>
      </c>
      <c r="F1112" s="92" t="s">
        <v>1427</v>
      </c>
      <c r="G1112" s="92" t="s">
        <v>184</v>
      </c>
      <c r="H1112" s="92" t="s">
        <v>227</v>
      </c>
      <c r="I1112" s="86"/>
    </row>
    <row r="1113" spans="2:9" ht="15" hidden="1" customHeight="1" x14ac:dyDescent="0.35">
      <c r="B1113" s="96" t="s">
        <v>162</v>
      </c>
      <c r="C1113" s="96" t="s">
        <v>1435</v>
      </c>
      <c r="D1113" s="91"/>
      <c r="E1113" s="92" t="s">
        <v>1423</v>
      </c>
      <c r="F1113" s="92" t="s">
        <v>1427</v>
      </c>
      <c r="G1113" s="92" t="s">
        <v>188</v>
      </c>
      <c r="H1113" s="92" t="s">
        <v>227</v>
      </c>
      <c r="I1113" s="86"/>
    </row>
    <row r="1114" spans="2:9" ht="15" hidden="1" customHeight="1" x14ac:dyDescent="0.35">
      <c r="B1114" s="96" t="s">
        <v>162</v>
      </c>
      <c r="C1114" s="96" t="s">
        <v>1436</v>
      </c>
      <c r="D1114" s="91"/>
      <c r="E1114" s="92" t="s">
        <v>1423</v>
      </c>
      <c r="F1114" s="92" t="s">
        <v>1427</v>
      </c>
      <c r="G1114" s="92" t="s">
        <v>184</v>
      </c>
      <c r="H1114" s="92" t="s">
        <v>227</v>
      </c>
      <c r="I1114" s="86"/>
    </row>
    <row r="1115" spans="2:9" ht="15" hidden="1" customHeight="1" x14ac:dyDescent="0.35">
      <c r="B1115" s="96" t="s">
        <v>171</v>
      </c>
      <c r="C1115" s="96" t="s">
        <v>1503</v>
      </c>
      <c r="D1115" s="91" t="str">
        <f>VLOOKUP(C1115,'[1]Birbank İşçi Siyahı'!$B:$I,8,)</f>
        <v>Bir Payment</v>
      </c>
      <c r="E1115" s="92" t="s">
        <v>1423</v>
      </c>
      <c r="F1115" s="92" t="s">
        <v>1437</v>
      </c>
      <c r="G1115" s="92" t="s">
        <v>181</v>
      </c>
      <c r="H1115" s="92" t="s">
        <v>227</v>
      </c>
      <c r="I1115" s="86"/>
    </row>
    <row r="1116" spans="2:9" ht="15" hidden="1" customHeight="1" x14ac:dyDescent="0.35">
      <c r="B1116" s="96" t="s">
        <v>162</v>
      </c>
      <c r="C1116" s="96" t="s">
        <v>1504</v>
      </c>
      <c r="D1116" s="91"/>
      <c r="E1116" s="92" t="s">
        <v>1423</v>
      </c>
      <c r="F1116" s="92" t="s">
        <v>1437</v>
      </c>
      <c r="G1116" s="92" t="s">
        <v>183</v>
      </c>
      <c r="H1116" s="92" t="s">
        <v>227</v>
      </c>
      <c r="I1116" s="86"/>
    </row>
    <row r="1117" spans="2:9" ht="15" hidden="1" customHeight="1" x14ac:dyDescent="0.35">
      <c r="B1117" s="96" t="s">
        <v>162</v>
      </c>
      <c r="C1117" s="96" t="s">
        <v>1505</v>
      </c>
      <c r="D1117" s="91"/>
      <c r="E1117" s="92" t="s">
        <v>1423</v>
      </c>
      <c r="F1117" s="92" t="s">
        <v>1437</v>
      </c>
      <c r="G1117" s="92" t="s">
        <v>300</v>
      </c>
      <c r="H1117" s="92" t="s">
        <v>227</v>
      </c>
      <c r="I1117" s="86"/>
    </row>
    <row r="1118" spans="2:9" ht="15" hidden="1" customHeight="1" x14ac:dyDescent="0.35">
      <c r="B1118" s="96" t="s">
        <v>162</v>
      </c>
      <c r="C1118" s="96" t="s">
        <v>1506</v>
      </c>
      <c r="D1118" s="91"/>
      <c r="E1118" s="92" t="s">
        <v>1423</v>
      </c>
      <c r="F1118" s="92" t="s">
        <v>1437</v>
      </c>
      <c r="G1118" s="92" t="s">
        <v>300</v>
      </c>
      <c r="H1118" s="92" t="s">
        <v>227</v>
      </c>
      <c r="I1118" s="86"/>
    </row>
    <row r="1119" spans="2:9" ht="15" hidden="1" customHeight="1" x14ac:dyDescent="0.35">
      <c r="B1119" s="96" t="s">
        <v>162</v>
      </c>
      <c r="C1119" s="96" t="s">
        <v>1507</v>
      </c>
      <c r="D1119" s="91"/>
      <c r="E1119" s="92" t="s">
        <v>1423</v>
      </c>
      <c r="F1119" s="92" t="s">
        <v>1437</v>
      </c>
      <c r="G1119" s="92" t="s">
        <v>300</v>
      </c>
      <c r="H1119" s="92" t="s">
        <v>227</v>
      </c>
      <c r="I1119" s="86"/>
    </row>
    <row r="1120" spans="2:9" ht="15" hidden="1" customHeight="1" x14ac:dyDescent="0.35">
      <c r="B1120" s="96" t="s">
        <v>162</v>
      </c>
      <c r="C1120" s="96" t="s">
        <v>1508</v>
      </c>
      <c r="D1120" s="91"/>
      <c r="E1120" s="92" t="s">
        <v>1423</v>
      </c>
      <c r="F1120" s="92" t="s">
        <v>1437</v>
      </c>
      <c r="G1120" s="92" t="s">
        <v>184</v>
      </c>
      <c r="H1120" s="92" t="s">
        <v>227</v>
      </c>
      <c r="I1120" s="86"/>
    </row>
    <row r="1121" spans="2:9" ht="15" hidden="1" customHeight="1" x14ac:dyDescent="0.35">
      <c r="B1121" s="96" t="s">
        <v>162</v>
      </c>
      <c r="C1121" s="96" t="s">
        <v>1509</v>
      </c>
      <c r="D1121" s="91"/>
      <c r="E1121" s="92" t="s">
        <v>1423</v>
      </c>
      <c r="F1121" s="92" t="s">
        <v>1437</v>
      </c>
      <c r="G1121" s="92" t="s">
        <v>184</v>
      </c>
      <c r="H1121" s="92" t="s">
        <v>227</v>
      </c>
      <c r="I1121" s="86"/>
    </row>
    <row r="1122" spans="2:9" ht="15" hidden="1" customHeight="1" x14ac:dyDescent="0.35">
      <c r="B1122" s="96" t="s">
        <v>162</v>
      </c>
      <c r="C1122" s="96" t="s">
        <v>1438</v>
      </c>
      <c r="D1122" s="91"/>
      <c r="E1122" s="92" t="s">
        <v>1423</v>
      </c>
      <c r="F1122" s="92" t="s">
        <v>1437</v>
      </c>
      <c r="G1122" s="92" t="s">
        <v>184</v>
      </c>
      <c r="H1122" s="92" t="s">
        <v>227</v>
      </c>
      <c r="I1122" s="86"/>
    </row>
    <row r="1123" spans="2:9" ht="15" hidden="1" customHeight="1" x14ac:dyDescent="0.35">
      <c r="B1123" s="96" t="s">
        <v>162</v>
      </c>
      <c r="C1123" s="96" t="s">
        <v>1439</v>
      </c>
      <c r="D1123" s="91"/>
      <c r="E1123" s="92" t="s">
        <v>1423</v>
      </c>
      <c r="F1123" s="92" t="s">
        <v>1440</v>
      </c>
      <c r="G1123" s="92" t="s">
        <v>300</v>
      </c>
      <c r="H1123" s="92" t="s">
        <v>227</v>
      </c>
      <c r="I1123" s="86"/>
    </row>
    <row r="1124" spans="2:9" ht="15" hidden="1" customHeight="1" x14ac:dyDescent="0.35">
      <c r="B1124" s="96" t="s">
        <v>162</v>
      </c>
      <c r="C1124" s="96" t="s">
        <v>1441</v>
      </c>
      <c r="D1124" s="91"/>
      <c r="E1124" s="92" t="s">
        <v>1423</v>
      </c>
      <c r="F1124" s="92" t="s">
        <v>1440</v>
      </c>
      <c r="G1124" s="92" t="s">
        <v>188</v>
      </c>
      <c r="H1124" s="92" t="s">
        <v>227</v>
      </c>
      <c r="I1124" s="86"/>
    </row>
    <row r="1125" spans="2:9" ht="15" hidden="1" customHeight="1" x14ac:dyDescent="0.35">
      <c r="B1125" s="96" t="s">
        <v>162</v>
      </c>
      <c r="C1125" s="96" t="s">
        <v>1442</v>
      </c>
      <c r="D1125" s="91"/>
      <c r="E1125" s="92" t="s">
        <v>1423</v>
      </c>
      <c r="F1125" s="92" t="s">
        <v>1440</v>
      </c>
      <c r="G1125" s="92" t="s">
        <v>188</v>
      </c>
      <c r="H1125" s="92" t="s">
        <v>227</v>
      </c>
      <c r="I1125" s="86"/>
    </row>
    <row r="1126" spans="2:9" ht="15" hidden="1" customHeight="1" x14ac:dyDescent="0.35">
      <c r="B1126" s="96" t="s">
        <v>162</v>
      </c>
      <c r="C1126" s="96" t="s">
        <v>1443</v>
      </c>
      <c r="D1126" s="91"/>
      <c r="E1126" s="92" t="s">
        <v>1423</v>
      </c>
      <c r="F1126" s="92" t="s">
        <v>1440</v>
      </c>
      <c r="G1126" s="92" t="s">
        <v>300</v>
      </c>
      <c r="H1126" s="92" t="s">
        <v>227</v>
      </c>
      <c r="I1126" s="86"/>
    </row>
    <row r="1127" spans="2:9" ht="15" hidden="1" customHeight="1" x14ac:dyDescent="0.35">
      <c r="B1127" s="96" t="s">
        <v>162</v>
      </c>
      <c r="C1127" s="96" t="s">
        <v>1444</v>
      </c>
      <c r="D1127" s="91"/>
      <c r="E1127" s="92" t="s">
        <v>1423</v>
      </c>
      <c r="F1127" s="92" t="s">
        <v>1440</v>
      </c>
      <c r="G1127" s="92" t="s">
        <v>300</v>
      </c>
      <c r="H1127" s="92" t="s">
        <v>227</v>
      </c>
      <c r="I1127" s="86"/>
    </row>
    <row r="1128" spans="2:9" ht="15" hidden="1" customHeight="1" x14ac:dyDescent="0.35">
      <c r="B1128" s="96" t="s">
        <v>162</v>
      </c>
      <c r="C1128" s="96" t="s">
        <v>1445</v>
      </c>
      <c r="D1128" s="91" t="e">
        <f>VLOOKUP(C1128,'[1]Birbank İşçi Siyahı'!$B:$I,8,)</f>
        <v>#N/A</v>
      </c>
      <c r="E1128" s="92" t="s">
        <v>1423</v>
      </c>
      <c r="F1128" s="92" t="s">
        <v>1440</v>
      </c>
      <c r="G1128" s="92" t="s">
        <v>183</v>
      </c>
      <c r="H1128" s="92" t="s">
        <v>227</v>
      </c>
      <c r="I1128" s="86"/>
    </row>
    <row r="1129" spans="2:9" ht="15" hidden="1" customHeight="1" x14ac:dyDescent="0.35">
      <c r="B1129" s="96" t="s">
        <v>162</v>
      </c>
      <c r="C1129" s="96" t="s">
        <v>1446</v>
      </c>
      <c r="D1129" s="91" t="e">
        <f>VLOOKUP(C1129,'[1]Birbank İşçi Siyahı'!$B:$I,8,)</f>
        <v>#N/A</v>
      </c>
      <c r="E1129" s="92" t="s">
        <v>1423</v>
      </c>
      <c r="F1129" s="92" t="s">
        <v>1440</v>
      </c>
      <c r="G1129" s="92" t="s">
        <v>181</v>
      </c>
      <c r="H1129" s="92" t="s">
        <v>227</v>
      </c>
      <c r="I1129" s="86"/>
    </row>
    <row r="1130" spans="2:9" ht="15" hidden="1" customHeight="1" x14ac:dyDescent="0.35">
      <c r="B1130" s="96" t="s">
        <v>162</v>
      </c>
      <c r="C1130" s="96" t="s">
        <v>1447</v>
      </c>
      <c r="D1130" s="91"/>
      <c r="E1130" s="92" t="s">
        <v>1423</v>
      </c>
      <c r="F1130" s="92" t="s">
        <v>1440</v>
      </c>
      <c r="G1130" s="92" t="s">
        <v>183</v>
      </c>
      <c r="H1130" s="92" t="s">
        <v>227</v>
      </c>
      <c r="I1130" s="86"/>
    </row>
    <row r="1131" spans="2:9" ht="15" hidden="1" customHeight="1" x14ac:dyDescent="0.35">
      <c r="B1131" s="96" t="s">
        <v>162</v>
      </c>
      <c r="C1131" s="96" t="s">
        <v>1510</v>
      </c>
      <c r="D1131" s="91"/>
      <c r="E1131" s="92" t="s">
        <v>1423</v>
      </c>
      <c r="F1131" s="92" t="s">
        <v>1448</v>
      </c>
      <c r="G1131" s="92" t="s">
        <v>181</v>
      </c>
      <c r="H1131" s="92" t="s">
        <v>227</v>
      </c>
      <c r="I1131" s="86"/>
    </row>
    <row r="1132" spans="2:9" ht="15" hidden="1" customHeight="1" x14ac:dyDescent="0.35">
      <c r="B1132" s="96" t="s">
        <v>162</v>
      </c>
      <c r="C1132" s="96" t="s">
        <v>1511</v>
      </c>
      <c r="D1132" s="91"/>
      <c r="E1132" s="92" t="s">
        <v>1423</v>
      </c>
      <c r="F1132" s="92" t="s">
        <v>1448</v>
      </c>
      <c r="G1132" s="92" t="s">
        <v>187</v>
      </c>
      <c r="H1132" s="92" t="s">
        <v>227</v>
      </c>
      <c r="I1132" s="86"/>
    </row>
    <row r="1133" spans="2:9" ht="15" hidden="1" customHeight="1" x14ac:dyDescent="0.35">
      <c r="B1133" s="96" t="s">
        <v>162</v>
      </c>
      <c r="C1133" s="96" t="s">
        <v>1512</v>
      </c>
      <c r="D1133" s="91"/>
      <c r="E1133" s="92" t="s">
        <v>1423</v>
      </c>
      <c r="F1133" s="92" t="s">
        <v>1448</v>
      </c>
      <c r="G1133" s="92" t="s">
        <v>187</v>
      </c>
      <c r="H1133" s="92" t="s">
        <v>227</v>
      </c>
      <c r="I1133" s="86"/>
    </row>
    <row r="1134" spans="2:9" ht="15" hidden="1" customHeight="1" x14ac:dyDescent="0.35">
      <c r="B1134" s="96" t="s">
        <v>162</v>
      </c>
      <c r="C1134" s="96" t="s">
        <v>1513</v>
      </c>
      <c r="D1134" s="91"/>
      <c r="E1134" s="92" t="s">
        <v>1423</v>
      </c>
      <c r="F1134" s="92" t="s">
        <v>1448</v>
      </c>
      <c r="G1134" s="92" t="s">
        <v>183</v>
      </c>
      <c r="H1134" s="92" t="s">
        <v>227</v>
      </c>
      <c r="I1134" s="86"/>
    </row>
    <row r="1135" spans="2:9" ht="15" hidden="1" customHeight="1" x14ac:dyDescent="0.35">
      <c r="B1135" s="96" t="s">
        <v>162</v>
      </c>
      <c r="C1135" s="96" t="s">
        <v>1449</v>
      </c>
      <c r="D1135" s="91" t="e">
        <f>VLOOKUP(C1135,'[1]Birbank İşçi Siyahı'!$B:$I,8,)</f>
        <v>#N/A</v>
      </c>
      <c r="E1135" s="92" t="s">
        <v>1423</v>
      </c>
      <c r="F1135" s="92" t="s">
        <v>1448</v>
      </c>
      <c r="G1135" s="92" t="s">
        <v>1450</v>
      </c>
      <c r="H1135" s="92" t="s">
        <v>227</v>
      </c>
      <c r="I1135" s="86"/>
    </row>
    <row r="1136" spans="2:9" ht="15" hidden="1" customHeight="1" x14ac:dyDescent="0.35">
      <c r="B1136" s="96" t="s">
        <v>162</v>
      </c>
      <c r="C1136" s="96" t="s">
        <v>1514</v>
      </c>
      <c r="D1136" s="91"/>
      <c r="E1136" s="92" t="s">
        <v>1423</v>
      </c>
      <c r="F1136" s="92" t="s">
        <v>1451</v>
      </c>
      <c r="G1136" s="92" t="s">
        <v>184</v>
      </c>
      <c r="H1136" s="92" t="s">
        <v>227</v>
      </c>
      <c r="I1136" s="86"/>
    </row>
    <row r="1137" spans="2:9" ht="15" hidden="1" customHeight="1" x14ac:dyDescent="0.35">
      <c r="B1137" s="96" t="s">
        <v>162</v>
      </c>
      <c r="C1137" s="96" t="s">
        <v>1515</v>
      </c>
      <c r="D1137" s="91"/>
      <c r="E1137" s="92" t="s">
        <v>1423</v>
      </c>
      <c r="F1137" s="92" t="s">
        <v>1451</v>
      </c>
      <c r="G1137" s="92" t="s">
        <v>187</v>
      </c>
      <c r="H1137" s="92" t="s">
        <v>227</v>
      </c>
      <c r="I1137" s="86"/>
    </row>
    <row r="1138" spans="2:9" ht="15" hidden="1" customHeight="1" x14ac:dyDescent="0.35">
      <c r="B1138" s="96" t="s">
        <v>162</v>
      </c>
      <c r="C1138" s="96" t="s">
        <v>1516</v>
      </c>
      <c r="D1138" s="91"/>
      <c r="E1138" s="92" t="s">
        <v>1423</v>
      </c>
      <c r="F1138" s="92" t="s">
        <v>1451</v>
      </c>
      <c r="G1138" s="92" t="s">
        <v>183</v>
      </c>
      <c r="H1138" s="92" t="s">
        <v>227</v>
      </c>
      <c r="I1138" s="86"/>
    </row>
    <row r="1139" spans="2:9" ht="15" hidden="1" customHeight="1" x14ac:dyDescent="0.35">
      <c r="B1139" s="96" t="s">
        <v>162</v>
      </c>
      <c r="C1139" s="96" t="s">
        <v>1517</v>
      </c>
      <c r="D1139" s="91"/>
      <c r="E1139" s="92" t="s">
        <v>1423</v>
      </c>
      <c r="F1139" s="92" t="s">
        <v>1451</v>
      </c>
      <c r="G1139" s="92" t="s">
        <v>183</v>
      </c>
      <c r="H1139" s="92" t="s">
        <v>227</v>
      </c>
      <c r="I1139" s="86"/>
    </row>
    <row r="1140" spans="2:9" ht="15" hidden="1" customHeight="1" x14ac:dyDescent="0.35">
      <c r="B1140" s="96" t="s">
        <v>162</v>
      </c>
      <c r="C1140" s="96" t="s">
        <v>1518</v>
      </c>
      <c r="D1140" s="91"/>
      <c r="E1140" s="92" t="s">
        <v>1423</v>
      </c>
      <c r="F1140" s="92" t="s">
        <v>1451</v>
      </c>
      <c r="G1140" s="92" t="s">
        <v>184</v>
      </c>
      <c r="H1140" s="92" t="s">
        <v>227</v>
      </c>
      <c r="I1140" s="86"/>
    </row>
    <row r="1141" spans="2:9" ht="15" hidden="1" customHeight="1" x14ac:dyDescent="0.35">
      <c r="B1141" s="96" t="s">
        <v>162</v>
      </c>
      <c r="C1141" s="96" t="s">
        <v>1519</v>
      </c>
      <c r="D1141" s="91"/>
      <c r="E1141" s="92" t="s">
        <v>1423</v>
      </c>
      <c r="F1141" s="92" t="s">
        <v>1451</v>
      </c>
      <c r="G1141" s="92" t="s">
        <v>188</v>
      </c>
      <c r="H1141" s="92" t="s">
        <v>227</v>
      </c>
      <c r="I1141" s="86"/>
    </row>
    <row r="1142" spans="2:9" ht="15" hidden="1" customHeight="1" x14ac:dyDescent="0.35">
      <c r="B1142" s="96" t="s">
        <v>162</v>
      </c>
      <c r="C1142" s="96" t="s">
        <v>1520</v>
      </c>
      <c r="D1142" s="91"/>
      <c r="E1142" s="92" t="s">
        <v>1423</v>
      </c>
      <c r="F1142" s="92" t="s">
        <v>1452</v>
      </c>
      <c r="G1142" s="92" t="s">
        <v>181</v>
      </c>
      <c r="H1142" s="92" t="s">
        <v>227</v>
      </c>
      <c r="I1142" s="86"/>
    </row>
    <row r="1143" spans="2:9" ht="15" hidden="1" customHeight="1" x14ac:dyDescent="0.35">
      <c r="B1143" s="96" t="s">
        <v>162</v>
      </c>
      <c r="C1143" s="96" t="s">
        <v>1521</v>
      </c>
      <c r="D1143" s="91"/>
      <c r="E1143" s="92" t="s">
        <v>1423</v>
      </c>
      <c r="F1143" s="92" t="s">
        <v>1452</v>
      </c>
      <c r="G1143" s="92" t="s">
        <v>183</v>
      </c>
      <c r="H1143" s="92" t="s">
        <v>227</v>
      </c>
      <c r="I1143" s="86"/>
    </row>
    <row r="1144" spans="2:9" ht="15" hidden="1" customHeight="1" x14ac:dyDescent="0.35">
      <c r="B1144" s="96" t="s">
        <v>162</v>
      </c>
      <c r="C1144" s="96" t="s">
        <v>1522</v>
      </c>
      <c r="D1144" s="91"/>
      <c r="E1144" s="92" t="s">
        <v>1423</v>
      </c>
      <c r="F1144" s="92" t="s">
        <v>1452</v>
      </c>
      <c r="G1144" s="92" t="s">
        <v>187</v>
      </c>
      <c r="H1144" s="92" t="s">
        <v>227</v>
      </c>
      <c r="I1144" s="86"/>
    </row>
    <row r="1145" spans="2:9" ht="15" hidden="1" customHeight="1" x14ac:dyDescent="0.35">
      <c r="B1145" s="96" t="s">
        <v>162</v>
      </c>
      <c r="C1145" s="96" t="s">
        <v>1523</v>
      </c>
      <c r="D1145" s="91"/>
      <c r="E1145" s="92" t="s">
        <v>1423</v>
      </c>
      <c r="F1145" s="92" t="s">
        <v>1452</v>
      </c>
      <c r="G1145" s="92" t="s">
        <v>184</v>
      </c>
      <c r="H1145" s="92" t="s">
        <v>227</v>
      </c>
      <c r="I1145" s="86"/>
    </row>
    <row r="1146" spans="2:9" ht="15" hidden="1" customHeight="1" x14ac:dyDescent="0.35">
      <c r="B1146" s="96" t="s">
        <v>162</v>
      </c>
      <c r="C1146" s="96" t="s">
        <v>1524</v>
      </c>
      <c r="D1146" s="91"/>
      <c r="E1146" s="92" t="s">
        <v>1423</v>
      </c>
      <c r="F1146" s="92" t="s">
        <v>1452</v>
      </c>
      <c r="G1146" s="92" t="s">
        <v>300</v>
      </c>
      <c r="H1146" s="92" t="s">
        <v>227</v>
      </c>
      <c r="I1146" s="86"/>
    </row>
    <row r="1147" spans="2:9" ht="15" hidden="1" customHeight="1" x14ac:dyDescent="0.35">
      <c r="B1147" s="96" t="s">
        <v>162</v>
      </c>
      <c r="C1147" s="96" t="s">
        <v>1525</v>
      </c>
      <c r="D1147" s="91"/>
      <c r="E1147" s="92" t="s">
        <v>1423</v>
      </c>
      <c r="F1147" s="92" t="s">
        <v>1452</v>
      </c>
      <c r="G1147" s="92" t="s">
        <v>300</v>
      </c>
      <c r="H1147" s="92" t="s">
        <v>227</v>
      </c>
      <c r="I1147" s="86"/>
    </row>
    <row r="1148" spans="2:9" ht="15" hidden="1" customHeight="1" x14ac:dyDescent="0.35">
      <c r="B1148" s="96" t="s">
        <v>162</v>
      </c>
      <c r="C1148" s="96" t="s">
        <v>1526</v>
      </c>
      <c r="D1148" s="91"/>
      <c r="E1148" s="92" t="s">
        <v>1423</v>
      </c>
      <c r="F1148" s="92" t="s">
        <v>1452</v>
      </c>
      <c r="G1148" s="92" t="s">
        <v>300</v>
      </c>
      <c r="H1148" s="92" t="s">
        <v>227</v>
      </c>
      <c r="I1148" s="86"/>
    </row>
    <row r="1149" spans="2:9" ht="15" hidden="1" customHeight="1" x14ac:dyDescent="0.35">
      <c r="B1149" s="96" t="s">
        <v>162</v>
      </c>
      <c r="C1149" s="96" t="s">
        <v>1453</v>
      </c>
      <c r="D1149" s="91" t="e">
        <f>VLOOKUP(C1149,'[1]Birbank İşçi Siyahı'!$B:$I,8,)</f>
        <v>#N/A</v>
      </c>
      <c r="E1149" s="92" t="s">
        <v>1423</v>
      </c>
      <c r="F1149" s="92" t="s">
        <v>1454</v>
      </c>
      <c r="G1149" s="92" t="s">
        <v>181</v>
      </c>
      <c r="H1149" s="92" t="s">
        <v>227</v>
      </c>
      <c r="I1149" s="86"/>
    </row>
    <row r="1150" spans="2:9" ht="15" hidden="1" customHeight="1" x14ac:dyDescent="0.35">
      <c r="B1150" s="96" t="s">
        <v>162</v>
      </c>
      <c r="C1150" s="96" t="s">
        <v>1455</v>
      </c>
      <c r="D1150" s="91" t="e">
        <f>VLOOKUP(C1150,'[1]Birbank İşçi Siyahı'!$B:$I,8,)</f>
        <v>#N/A</v>
      </c>
      <c r="E1150" s="92" t="s">
        <v>1423</v>
      </c>
      <c r="F1150" s="92" t="s">
        <v>1454</v>
      </c>
      <c r="G1150" s="92" t="s">
        <v>183</v>
      </c>
      <c r="H1150" s="92" t="s">
        <v>227</v>
      </c>
      <c r="I1150" s="86"/>
    </row>
    <row r="1151" spans="2:9" ht="15" hidden="1" customHeight="1" x14ac:dyDescent="0.35">
      <c r="B1151" s="96" t="s">
        <v>162</v>
      </c>
      <c r="C1151" s="96" t="s">
        <v>1456</v>
      </c>
      <c r="D1151" s="91" t="e">
        <f>VLOOKUP(C1151,'[1]Birbank İşçi Siyahı'!$B:$I,8,)</f>
        <v>#N/A</v>
      </c>
      <c r="E1151" s="92" t="s">
        <v>1423</v>
      </c>
      <c r="F1151" s="92" t="s">
        <v>1454</v>
      </c>
      <c r="G1151" s="92" t="s">
        <v>183</v>
      </c>
      <c r="H1151" s="92" t="s">
        <v>227</v>
      </c>
      <c r="I1151" s="86"/>
    </row>
    <row r="1152" spans="2:9" ht="15" hidden="1" customHeight="1" x14ac:dyDescent="0.35">
      <c r="B1152" s="96" t="s">
        <v>162</v>
      </c>
      <c r="C1152" s="96" t="s">
        <v>1457</v>
      </c>
      <c r="D1152" s="91" t="e">
        <f>VLOOKUP(C1152,'[1]Birbank İşçi Siyahı'!$B:$I,8,)</f>
        <v>#N/A</v>
      </c>
      <c r="E1152" s="92" t="s">
        <v>1423</v>
      </c>
      <c r="F1152" s="92" t="s">
        <v>1454</v>
      </c>
      <c r="G1152" s="92" t="s">
        <v>1458</v>
      </c>
      <c r="H1152" s="92" t="s">
        <v>227</v>
      </c>
      <c r="I1152" s="86"/>
    </row>
    <row r="1153" spans="2:9" ht="15" hidden="1" customHeight="1" x14ac:dyDescent="0.35">
      <c r="B1153" s="96" t="s">
        <v>162</v>
      </c>
      <c r="C1153" s="96" t="s">
        <v>1459</v>
      </c>
      <c r="D1153" s="91" t="e">
        <f>VLOOKUP(C1153,'[1]Birbank İşçi Siyahı'!$B:$I,8,)</f>
        <v>#N/A</v>
      </c>
      <c r="E1153" s="92" t="s">
        <v>1423</v>
      </c>
      <c r="F1153" s="92" t="s">
        <v>1454</v>
      </c>
      <c r="G1153" s="92" t="s">
        <v>1458</v>
      </c>
      <c r="H1153" s="92" t="s">
        <v>227</v>
      </c>
      <c r="I1153" s="86"/>
    </row>
    <row r="1154" spans="2:9" ht="15" hidden="1" customHeight="1" x14ac:dyDescent="0.35">
      <c r="B1154" s="96" t="s">
        <v>162</v>
      </c>
      <c r="C1154" s="96" t="s">
        <v>1460</v>
      </c>
      <c r="D1154" s="91" t="e">
        <f>VLOOKUP(C1154,'[1]Birbank İşçi Siyahı'!$B:$I,8,)</f>
        <v>#N/A</v>
      </c>
      <c r="E1154" s="92" t="s">
        <v>1423</v>
      </c>
      <c r="F1154" s="92" t="s">
        <v>1454</v>
      </c>
      <c r="G1154" s="92" t="s">
        <v>1461</v>
      </c>
      <c r="H1154" s="92" t="s">
        <v>227</v>
      </c>
      <c r="I1154" s="86"/>
    </row>
    <row r="1155" spans="2:9" ht="15" hidden="1" customHeight="1" x14ac:dyDescent="0.35">
      <c r="B1155" s="96" t="s">
        <v>162</v>
      </c>
      <c r="C1155" s="96" t="s">
        <v>1462</v>
      </c>
      <c r="D1155" s="91" t="e">
        <f>VLOOKUP(C1155,'[1]Birbank İşçi Siyahı'!$B:$I,8,)</f>
        <v>#N/A</v>
      </c>
      <c r="E1155" s="92" t="s">
        <v>1423</v>
      </c>
      <c r="F1155" s="92" t="s">
        <v>1454</v>
      </c>
      <c r="G1155" s="92" t="s">
        <v>183</v>
      </c>
      <c r="H1155" s="92" t="s">
        <v>227</v>
      </c>
      <c r="I1155" s="86"/>
    </row>
    <row r="1156" spans="2:9" ht="15" hidden="1" customHeight="1" x14ac:dyDescent="0.35">
      <c r="B1156" s="96" t="s">
        <v>171</v>
      </c>
      <c r="C1156" s="96" t="s">
        <v>1463</v>
      </c>
      <c r="D1156" s="96"/>
      <c r="E1156" s="92" t="s">
        <v>1423</v>
      </c>
      <c r="F1156" s="92" t="s">
        <v>1464</v>
      </c>
      <c r="G1156" s="92" t="s">
        <v>187</v>
      </c>
      <c r="H1156" s="92" t="s">
        <v>226</v>
      </c>
      <c r="I1156" s="86"/>
    </row>
    <row r="1157" spans="2:9" ht="15" hidden="1" customHeight="1" x14ac:dyDescent="0.35">
      <c r="B1157" s="96" t="s">
        <v>171</v>
      </c>
      <c r="C1157" s="96" t="s">
        <v>1465</v>
      </c>
      <c r="D1157" s="96"/>
      <c r="E1157" s="92" t="s">
        <v>1423</v>
      </c>
      <c r="F1157" s="92" t="s">
        <v>1466</v>
      </c>
      <c r="G1157" s="92" t="s">
        <v>638</v>
      </c>
      <c r="H1157" s="92" t="s">
        <v>226</v>
      </c>
      <c r="I1157" s="86"/>
    </row>
    <row r="1158" spans="2:9" ht="15" hidden="1" customHeight="1" x14ac:dyDescent="0.35">
      <c r="B1158" s="96" t="s">
        <v>171</v>
      </c>
      <c r="C1158" s="96" t="s">
        <v>1467</v>
      </c>
      <c r="D1158" s="96"/>
      <c r="E1158" s="92" t="s">
        <v>1423</v>
      </c>
      <c r="F1158" s="92" t="s">
        <v>1466</v>
      </c>
      <c r="G1158" s="92" t="s">
        <v>184</v>
      </c>
      <c r="H1158" s="92" t="s">
        <v>226</v>
      </c>
      <c r="I1158" s="86"/>
    </row>
    <row r="1159" spans="2:9" ht="15" hidden="1" customHeight="1" x14ac:dyDescent="0.35">
      <c r="B1159" s="96" t="s">
        <v>171</v>
      </c>
      <c r="C1159" s="96" t="s">
        <v>1468</v>
      </c>
      <c r="D1159" s="96"/>
      <c r="E1159" s="92" t="s">
        <v>1423</v>
      </c>
      <c r="F1159" s="92" t="s">
        <v>1464</v>
      </c>
      <c r="G1159" s="92" t="s">
        <v>639</v>
      </c>
      <c r="H1159" s="92" t="s">
        <v>226</v>
      </c>
      <c r="I1159" s="86"/>
    </row>
    <row r="1160" spans="2:9" ht="15" hidden="1" customHeight="1" x14ac:dyDescent="0.35">
      <c r="B1160" s="96" t="s">
        <v>171</v>
      </c>
      <c r="C1160" s="96" t="s">
        <v>1469</v>
      </c>
      <c r="D1160" s="96"/>
      <c r="E1160" s="93" t="s">
        <v>1423</v>
      </c>
      <c r="F1160" s="93" t="s">
        <v>1466</v>
      </c>
      <c r="G1160" s="93" t="s">
        <v>639</v>
      </c>
      <c r="H1160" s="92" t="s">
        <v>226</v>
      </c>
      <c r="I1160" s="86"/>
    </row>
    <row r="1161" spans="2:9" ht="15" hidden="1" customHeight="1" x14ac:dyDescent="0.35">
      <c r="B1161" s="96" t="s">
        <v>162</v>
      </c>
      <c r="C1161" s="96" t="s">
        <v>1527</v>
      </c>
      <c r="D1161" s="91"/>
      <c r="E1161" s="92" t="s">
        <v>1528</v>
      </c>
      <c r="F1161" s="92" t="s">
        <v>1529</v>
      </c>
      <c r="G1161" s="92" t="s">
        <v>247</v>
      </c>
      <c r="H1161" s="92" t="s">
        <v>227</v>
      </c>
      <c r="I1161" s="86"/>
    </row>
    <row r="1162" spans="2:9" ht="15" hidden="1" customHeight="1" x14ac:dyDescent="0.35">
      <c r="B1162" s="96" t="s">
        <v>164</v>
      </c>
      <c r="C1162" s="96" t="s">
        <v>1530</v>
      </c>
      <c r="D1162" s="91" t="str">
        <f>VLOOKUP(C1162,'[1]Birbank İşçi Siyahı'!$B:$I,8,)</f>
        <v>BirMarket</v>
      </c>
      <c r="E1162" s="92" t="s">
        <v>1528</v>
      </c>
      <c r="F1162" s="92" t="s">
        <v>1529</v>
      </c>
      <c r="G1162" s="92" t="s">
        <v>187</v>
      </c>
      <c r="H1162" s="92" t="s">
        <v>227</v>
      </c>
      <c r="I1162" s="86"/>
    </row>
    <row r="1163" spans="2:9" ht="15" hidden="1" customHeight="1" x14ac:dyDescent="0.35">
      <c r="B1163" s="96" t="s">
        <v>164</v>
      </c>
      <c r="C1163" s="96" t="s">
        <v>1531</v>
      </c>
      <c r="D1163" s="91" t="str">
        <f>VLOOKUP(C1163,'[1]Birbank İşçi Siyahı'!$B:$I,8,)</f>
        <v>BirMarket</v>
      </c>
      <c r="E1163" s="92" t="s">
        <v>1528</v>
      </c>
      <c r="F1163" s="92" t="s">
        <v>1529</v>
      </c>
      <c r="G1163" s="92" t="s">
        <v>187</v>
      </c>
      <c r="H1163" s="92" t="s">
        <v>227</v>
      </c>
      <c r="I1163" s="86"/>
    </row>
    <row r="1164" spans="2:9" ht="15" hidden="1" customHeight="1" x14ac:dyDescent="0.35">
      <c r="B1164" s="96" t="s">
        <v>162</v>
      </c>
      <c r="C1164" s="96" t="s">
        <v>1532</v>
      </c>
      <c r="D1164" s="91"/>
      <c r="E1164" s="92" t="s">
        <v>1528</v>
      </c>
      <c r="F1164" s="92" t="s">
        <v>1529</v>
      </c>
      <c r="G1164" s="92" t="s">
        <v>300</v>
      </c>
      <c r="H1164" s="92" t="s">
        <v>227</v>
      </c>
      <c r="I1164" s="86"/>
    </row>
    <row r="1165" spans="2:9" ht="15" hidden="1" customHeight="1" x14ac:dyDescent="0.35">
      <c r="B1165" s="96" t="s">
        <v>1848</v>
      </c>
      <c r="C1165" s="96" t="s">
        <v>1533</v>
      </c>
      <c r="D1165" s="91" t="str">
        <f>VLOOKUP(C1165,'[1]Birbank İşçi Siyahı'!$B:$I,8,)</f>
        <v>Future lab</v>
      </c>
      <c r="E1165" s="92" t="s">
        <v>1528</v>
      </c>
      <c r="F1165" s="92" t="s">
        <v>1529</v>
      </c>
      <c r="G1165" s="92" t="s">
        <v>300</v>
      </c>
      <c r="H1165" s="92" t="s">
        <v>449</v>
      </c>
      <c r="I1165" s="86"/>
    </row>
    <row r="1166" spans="2:9" ht="15" hidden="1" customHeight="1" x14ac:dyDescent="0.35">
      <c r="B1166" s="96" t="s">
        <v>162</v>
      </c>
      <c r="C1166" s="96" t="s">
        <v>1534</v>
      </c>
      <c r="D1166" s="91"/>
      <c r="E1166" s="92" t="s">
        <v>1528</v>
      </c>
      <c r="F1166" s="92" t="s">
        <v>1529</v>
      </c>
      <c r="G1166" s="92" t="s">
        <v>183</v>
      </c>
      <c r="H1166" s="92" t="s">
        <v>227</v>
      </c>
      <c r="I1166" s="86"/>
    </row>
    <row r="1167" spans="2:9" ht="15" hidden="1" customHeight="1" x14ac:dyDescent="0.35">
      <c r="B1167" s="96" t="s">
        <v>162</v>
      </c>
      <c r="C1167" s="96" t="s">
        <v>1535</v>
      </c>
      <c r="D1167" s="91"/>
      <c r="E1167" s="92" t="s">
        <v>1528</v>
      </c>
      <c r="F1167" s="92" t="s">
        <v>1529</v>
      </c>
      <c r="G1167" s="92" t="s">
        <v>183</v>
      </c>
      <c r="H1167" s="92" t="s">
        <v>227</v>
      </c>
      <c r="I1167" s="86"/>
    </row>
    <row r="1168" spans="2:9" ht="15" hidden="1" customHeight="1" x14ac:dyDescent="0.35">
      <c r="B1168" s="96" t="s">
        <v>162</v>
      </c>
      <c r="C1168" s="96" t="s">
        <v>1536</v>
      </c>
      <c r="D1168" s="91"/>
      <c r="E1168" s="92" t="s">
        <v>1528</v>
      </c>
      <c r="F1168" s="92" t="s">
        <v>1529</v>
      </c>
      <c r="G1168" s="92" t="s">
        <v>183</v>
      </c>
      <c r="H1168" s="92" t="s">
        <v>449</v>
      </c>
      <c r="I1168" s="86"/>
    </row>
    <row r="1169" spans="2:9" ht="15" hidden="1" customHeight="1" x14ac:dyDescent="0.35">
      <c r="B1169" s="96" t="s">
        <v>162</v>
      </c>
      <c r="C1169" s="96" t="s">
        <v>1537</v>
      </c>
      <c r="D1169" s="91"/>
      <c r="E1169" s="92" t="s">
        <v>1528</v>
      </c>
      <c r="F1169" s="92" t="s">
        <v>1529</v>
      </c>
      <c r="G1169" s="92" t="s">
        <v>184</v>
      </c>
      <c r="H1169" s="92" t="s">
        <v>227</v>
      </c>
      <c r="I1169" s="86"/>
    </row>
    <row r="1170" spans="2:9" ht="15" hidden="1" customHeight="1" x14ac:dyDescent="0.35">
      <c r="B1170" s="96" t="s">
        <v>162</v>
      </c>
      <c r="C1170" s="96" t="s">
        <v>1538</v>
      </c>
      <c r="D1170" s="91"/>
      <c r="E1170" s="92" t="s">
        <v>1528</v>
      </c>
      <c r="F1170" s="92" t="s">
        <v>1529</v>
      </c>
      <c r="G1170" s="92" t="s">
        <v>300</v>
      </c>
      <c r="H1170" s="92" t="s">
        <v>227</v>
      </c>
      <c r="I1170" s="86"/>
    </row>
    <row r="1171" spans="2:9" ht="15" hidden="1" customHeight="1" x14ac:dyDescent="0.35">
      <c r="B1171" s="96" t="s">
        <v>162</v>
      </c>
      <c r="C1171" s="96" t="s">
        <v>1539</v>
      </c>
      <c r="D1171" s="91"/>
      <c r="E1171" s="92" t="s">
        <v>1528</v>
      </c>
      <c r="F1171" s="92" t="s">
        <v>1529</v>
      </c>
      <c r="G1171" s="92" t="s">
        <v>184</v>
      </c>
      <c r="H1171" s="92" t="s">
        <v>227</v>
      </c>
      <c r="I1171" s="86"/>
    </row>
    <row r="1172" spans="2:9" ht="15" hidden="1" customHeight="1" x14ac:dyDescent="0.35">
      <c r="B1172" s="96" t="s">
        <v>162</v>
      </c>
      <c r="C1172" s="96" t="s">
        <v>1540</v>
      </c>
      <c r="D1172" s="91"/>
      <c r="E1172" s="92" t="s">
        <v>1528</v>
      </c>
      <c r="F1172" s="92" t="s">
        <v>1529</v>
      </c>
      <c r="G1172" s="92" t="s">
        <v>184</v>
      </c>
      <c r="H1172" s="92" t="s">
        <v>227</v>
      </c>
      <c r="I1172" s="86"/>
    </row>
    <row r="1173" spans="2:9" ht="15" hidden="1" customHeight="1" x14ac:dyDescent="0.35">
      <c r="B1173" s="96" t="s">
        <v>164</v>
      </c>
      <c r="C1173" s="96" t="s">
        <v>1541</v>
      </c>
      <c r="D1173" s="91" t="str">
        <f>VLOOKUP(C1173,'[1]Birbank İşçi Siyahı'!$B:$I,8,)</f>
        <v>BirMarket</v>
      </c>
      <c r="E1173" s="92" t="s">
        <v>1528</v>
      </c>
      <c r="F1173" s="92" t="s">
        <v>1529</v>
      </c>
      <c r="G1173" s="92" t="s">
        <v>183</v>
      </c>
      <c r="H1173" s="92" t="s">
        <v>227</v>
      </c>
      <c r="I1173" s="86"/>
    </row>
    <row r="1174" spans="2:9" ht="15" hidden="1" customHeight="1" x14ac:dyDescent="0.35">
      <c r="B1174" s="96" t="s">
        <v>162</v>
      </c>
      <c r="C1174" s="96" t="s">
        <v>1542</v>
      </c>
      <c r="D1174" s="91"/>
      <c r="E1174" s="92" t="s">
        <v>1528</v>
      </c>
      <c r="F1174" s="92" t="s">
        <v>33</v>
      </c>
      <c r="G1174" s="92" t="s">
        <v>459</v>
      </c>
      <c r="H1174" s="92" t="s">
        <v>227</v>
      </c>
      <c r="I1174" s="86"/>
    </row>
    <row r="1175" spans="2:9" ht="15" hidden="1" customHeight="1" x14ac:dyDescent="0.35">
      <c r="B1175" s="96" t="s">
        <v>162</v>
      </c>
      <c r="C1175" s="96" t="s">
        <v>1813</v>
      </c>
      <c r="D1175" s="91" t="e">
        <f>VLOOKUP(C1175,'[1]Birbank İşçi Siyahı'!$B:$I,8,)</f>
        <v>#N/A</v>
      </c>
      <c r="E1175" s="92" t="s">
        <v>1528</v>
      </c>
      <c r="F1175" s="92" t="s">
        <v>33</v>
      </c>
      <c r="G1175" s="92" t="s">
        <v>1814</v>
      </c>
      <c r="H1175" s="92" t="s">
        <v>227</v>
      </c>
      <c r="I1175" s="86"/>
    </row>
    <row r="1176" spans="2:9" ht="15" hidden="1" customHeight="1" x14ac:dyDescent="0.35">
      <c r="B1176" s="96" t="s">
        <v>162</v>
      </c>
      <c r="C1176" s="96" t="s">
        <v>1543</v>
      </c>
      <c r="D1176" s="91"/>
      <c r="E1176" s="92" t="s">
        <v>1528</v>
      </c>
      <c r="F1176" s="92" t="s">
        <v>1529</v>
      </c>
      <c r="G1176" s="92" t="s">
        <v>1339</v>
      </c>
      <c r="H1176" s="92" t="s">
        <v>227</v>
      </c>
      <c r="I1176" s="86"/>
    </row>
    <row r="1177" spans="2:9" ht="15" hidden="1" customHeight="1" x14ac:dyDescent="0.35">
      <c r="B1177" s="96" t="s">
        <v>162</v>
      </c>
      <c r="C1177" s="96" t="s">
        <v>1815</v>
      </c>
      <c r="D1177" s="91" t="e">
        <f>VLOOKUP(C1177,'[1]Birbank İşçi Siyahı'!$B:$I,8,)</f>
        <v>#N/A</v>
      </c>
      <c r="E1177" s="92" t="s">
        <v>1528</v>
      </c>
      <c r="F1177" s="92" t="s">
        <v>1529</v>
      </c>
      <c r="G1177" s="92" t="s">
        <v>248</v>
      </c>
      <c r="H1177" s="92" t="s">
        <v>227</v>
      </c>
      <c r="I1177" s="86"/>
    </row>
    <row r="1178" spans="2:9" ht="15" hidden="1" customHeight="1" x14ac:dyDescent="0.35">
      <c r="B1178" s="96" t="s">
        <v>162</v>
      </c>
      <c r="C1178" s="96" t="s">
        <v>1544</v>
      </c>
      <c r="D1178" s="91"/>
      <c r="E1178" s="92" t="s">
        <v>1528</v>
      </c>
      <c r="F1178" s="92" t="s">
        <v>1545</v>
      </c>
      <c r="G1178" s="92" t="s">
        <v>248</v>
      </c>
      <c r="H1178" s="92" t="s">
        <v>227</v>
      </c>
      <c r="I1178" s="86"/>
    </row>
    <row r="1179" spans="2:9" ht="15" hidden="1" customHeight="1" x14ac:dyDescent="0.35">
      <c r="B1179" s="96" t="s">
        <v>162</v>
      </c>
      <c r="C1179" s="96" t="s">
        <v>1546</v>
      </c>
      <c r="D1179" s="91"/>
      <c r="E1179" s="92" t="s">
        <v>1528</v>
      </c>
      <c r="F1179" s="92" t="s">
        <v>1545</v>
      </c>
      <c r="G1179" s="92" t="s">
        <v>1614</v>
      </c>
      <c r="H1179" s="92" t="s">
        <v>227</v>
      </c>
      <c r="I1179" s="86"/>
    </row>
    <row r="1180" spans="2:9" ht="15" hidden="1" customHeight="1" x14ac:dyDescent="0.35">
      <c r="B1180" s="96" t="s">
        <v>162</v>
      </c>
      <c r="C1180" s="96" t="s">
        <v>1547</v>
      </c>
      <c r="D1180" s="91"/>
      <c r="E1180" s="92" t="s">
        <v>1528</v>
      </c>
      <c r="F1180" s="92" t="s">
        <v>1545</v>
      </c>
      <c r="G1180" s="92" t="s">
        <v>1615</v>
      </c>
      <c r="H1180" s="92" t="s">
        <v>227</v>
      </c>
      <c r="I1180" s="86"/>
    </row>
    <row r="1181" spans="2:9" ht="15" hidden="1" customHeight="1" x14ac:dyDescent="0.35">
      <c r="B1181" s="96" t="s">
        <v>162</v>
      </c>
      <c r="C1181" s="96" t="s">
        <v>1548</v>
      </c>
      <c r="D1181" s="91"/>
      <c r="E1181" s="92" t="s">
        <v>1528</v>
      </c>
      <c r="F1181" s="92" t="s">
        <v>1545</v>
      </c>
      <c r="G1181" s="92" t="s">
        <v>1615</v>
      </c>
      <c r="H1181" s="92" t="s">
        <v>227</v>
      </c>
      <c r="I1181" s="86"/>
    </row>
    <row r="1182" spans="2:9" ht="15" hidden="1" customHeight="1" x14ac:dyDescent="0.35">
      <c r="B1182" s="96" t="s">
        <v>162</v>
      </c>
      <c r="C1182" s="96" t="s">
        <v>1549</v>
      </c>
      <c r="D1182" s="91"/>
      <c r="E1182" s="92" t="s">
        <v>1528</v>
      </c>
      <c r="F1182" s="92" t="s">
        <v>1545</v>
      </c>
      <c r="G1182" s="92" t="s">
        <v>1615</v>
      </c>
      <c r="H1182" s="92" t="s">
        <v>227</v>
      </c>
      <c r="I1182" s="86"/>
    </row>
    <row r="1183" spans="2:9" ht="15" hidden="1" customHeight="1" x14ac:dyDescent="0.35">
      <c r="B1183" s="96" t="s">
        <v>162</v>
      </c>
      <c r="C1183" s="96" t="s">
        <v>1550</v>
      </c>
      <c r="D1183" s="91"/>
      <c r="E1183" s="92" t="s">
        <v>1528</v>
      </c>
      <c r="F1183" s="92" t="s">
        <v>1545</v>
      </c>
      <c r="G1183" s="92" t="s">
        <v>1615</v>
      </c>
      <c r="H1183" s="92" t="s">
        <v>227</v>
      </c>
      <c r="I1183" s="86"/>
    </row>
    <row r="1184" spans="2:9" ht="15" hidden="1" customHeight="1" x14ac:dyDescent="0.35">
      <c r="B1184" s="96" t="s">
        <v>171</v>
      </c>
      <c r="C1184" s="96" t="s">
        <v>1551</v>
      </c>
      <c r="D1184" s="91" t="str">
        <f>VLOOKUP(C1184,'[1]Birbank İşçi Siyahı'!$B:$I,8,)</f>
        <v>Bir Payment</v>
      </c>
      <c r="E1184" s="92" t="s">
        <v>1528</v>
      </c>
      <c r="F1184" s="92" t="s">
        <v>1545</v>
      </c>
      <c r="G1184" s="92" t="s">
        <v>1615</v>
      </c>
      <c r="H1184" s="92" t="s">
        <v>227</v>
      </c>
      <c r="I1184" s="86"/>
    </row>
    <row r="1185" spans="2:9" ht="15" hidden="1" customHeight="1" x14ac:dyDescent="0.35">
      <c r="B1185" s="96" t="s">
        <v>162</v>
      </c>
      <c r="C1185" s="96" t="s">
        <v>1552</v>
      </c>
      <c r="D1185" s="91"/>
      <c r="E1185" s="92" t="s">
        <v>1528</v>
      </c>
      <c r="F1185" s="92" t="s">
        <v>1545</v>
      </c>
      <c r="G1185" s="92" t="s">
        <v>1615</v>
      </c>
      <c r="H1185" s="92" t="s">
        <v>227</v>
      </c>
      <c r="I1185" s="86"/>
    </row>
    <row r="1186" spans="2:9" ht="15" hidden="1" customHeight="1" x14ac:dyDescent="0.35">
      <c r="B1186" s="96" t="s">
        <v>162</v>
      </c>
      <c r="C1186" s="96" t="s">
        <v>1553</v>
      </c>
      <c r="D1186" s="91"/>
      <c r="E1186" s="92" t="s">
        <v>1528</v>
      </c>
      <c r="F1186" s="92" t="s">
        <v>1545</v>
      </c>
      <c r="G1186" s="92" t="s">
        <v>184</v>
      </c>
      <c r="H1186" s="92" t="s">
        <v>227</v>
      </c>
      <c r="I1186" s="86"/>
    </row>
    <row r="1187" spans="2:9" ht="15" hidden="1" customHeight="1" x14ac:dyDescent="0.35">
      <c r="B1187" s="96" t="s">
        <v>162</v>
      </c>
      <c r="C1187" s="96" t="s">
        <v>1554</v>
      </c>
      <c r="D1187" s="91"/>
      <c r="E1187" s="92" t="s">
        <v>1528</v>
      </c>
      <c r="F1187" s="92" t="s">
        <v>1545</v>
      </c>
      <c r="G1187" s="92" t="s">
        <v>184</v>
      </c>
      <c r="H1187" s="92" t="s">
        <v>449</v>
      </c>
      <c r="I1187" s="86"/>
    </row>
    <row r="1188" spans="2:9" ht="15" hidden="1" customHeight="1" x14ac:dyDescent="0.35">
      <c r="B1188" s="96" t="s">
        <v>162</v>
      </c>
      <c r="C1188" s="96" t="s">
        <v>1555</v>
      </c>
      <c r="D1188" s="91"/>
      <c r="E1188" s="92" t="s">
        <v>1528</v>
      </c>
      <c r="F1188" s="92" t="s">
        <v>1545</v>
      </c>
      <c r="G1188" s="92" t="s">
        <v>188</v>
      </c>
      <c r="H1188" s="92" t="s">
        <v>227</v>
      </c>
      <c r="I1188" s="86"/>
    </row>
    <row r="1189" spans="2:9" ht="15" hidden="1" customHeight="1" x14ac:dyDescent="0.35">
      <c r="B1189" s="96" t="s">
        <v>171</v>
      </c>
      <c r="C1189" s="96" t="s">
        <v>1556</v>
      </c>
      <c r="D1189" s="91" t="str">
        <f>VLOOKUP(C1189,'[1]Birbank İşçi Siyahı'!$B:$I,8,)</f>
        <v>Bir Payment</v>
      </c>
      <c r="E1189" s="92" t="s">
        <v>1528</v>
      </c>
      <c r="F1189" s="92" t="s">
        <v>1557</v>
      </c>
      <c r="G1189" s="92" t="s">
        <v>300</v>
      </c>
      <c r="H1189" s="92" t="s">
        <v>227</v>
      </c>
      <c r="I1189" s="86"/>
    </row>
    <row r="1190" spans="2:9" ht="15" hidden="1" customHeight="1" x14ac:dyDescent="0.35">
      <c r="B1190" s="96" t="s">
        <v>171</v>
      </c>
      <c r="C1190" s="96" t="s">
        <v>1558</v>
      </c>
      <c r="D1190" s="91" t="str">
        <f>VLOOKUP(C1190,'[1]Birbank İşçi Siyahı'!$B:$I,8,)</f>
        <v>Bir Payment</v>
      </c>
      <c r="E1190" s="92" t="s">
        <v>1528</v>
      </c>
      <c r="F1190" s="92" t="s">
        <v>1545</v>
      </c>
      <c r="G1190" s="92" t="s">
        <v>183</v>
      </c>
      <c r="H1190" s="92" t="s">
        <v>227</v>
      </c>
      <c r="I1190" s="86"/>
    </row>
    <row r="1191" spans="2:9" ht="15" hidden="1" customHeight="1" x14ac:dyDescent="0.35">
      <c r="B1191" s="96" t="s">
        <v>164</v>
      </c>
      <c r="C1191" s="96" t="s">
        <v>1559</v>
      </c>
      <c r="D1191" s="91" t="str">
        <f>VLOOKUP(C1191,'[1]Birbank İşçi Siyahı'!$B:$I,8,)</f>
        <v>BirMarket</v>
      </c>
      <c r="E1191" s="92" t="s">
        <v>1528</v>
      </c>
      <c r="F1191" s="92" t="s">
        <v>1545</v>
      </c>
      <c r="G1191" s="92" t="s">
        <v>183</v>
      </c>
      <c r="H1191" s="92" t="s">
        <v>227</v>
      </c>
      <c r="I1191" s="86"/>
    </row>
    <row r="1192" spans="2:9" ht="15" hidden="1" customHeight="1" x14ac:dyDescent="0.35">
      <c r="B1192" s="96" t="s">
        <v>164</v>
      </c>
      <c r="C1192" s="96" t="s">
        <v>1560</v>
      </c>
      <c r="D1192" s="91" t="str">
        <f>VLOOKUP(C1192,'[1]Birbank İşçi Siyahı'!$B:$I,8,)</f>
        <v>BirMarket</v>
      </c>
      <c r="E1192" s="92" t="s">
        <v>1528</v>
      </c>
      <c r="F1192" s="92" t="s">
        <v>1545</v>
      </c>
      <c r="G1192" s="92" t="s">
        <v>183</v>
      </c>
      <c r="H1192" s="92" t="s">
        <v>227</v>
      </c>
      <c r="I1192" s="86"/>
    </row>
    <row r="1193" spans="2:9" ht="15" hidden="1" customHeight="1" x14ac:dyDescent="0.35">
      <c r="B1193" s="96" t="s">
        <v>1849</v>
      </c>
      <c r="C1193" s="96" t="s">
        <v>1561</v>
      </c>
      <c r="D1193" s="91" t="str">
        <f>VLOOKUP(C1193,'[1]Birbank İşçi Siyahı'!$B:$I,8,)</f>
        <v>Paşa Holding</v>
      </c>
      <c r="E1193" s="92" t="s">
        <v>1528</v>
      </c>
      <c r="F1193" s="92" t="s">
        <v>1545</v>
      </c>
      <c r="G1193" s="92" t="s">
        <v>183</v>
      </c>
      <c r="H1193" s="92" t="s">
        <v>227</v>
      </c>
      <c r="I1193" s="86"/>
    </row>
    <row r="1194" spans="2:9" ht="15" hidden="1" customHeight="1" x14ac:dyDescent="0.35">
      <c r="B1194" s="96" t="s">
        <v>162</v>
      </c>
      <c r="C1194" s="96" t="s">
        <v>1562</v>
      </c>
      <c r="D1194" s="91"/>
      <c r="E1194" s="92" t="s">
        <v>1528</v>
      </c>
      <c r="F1194" s="92" t="s">
        <v>1557</v>
      </c>
      <c r="G1194" s="92" t="s">
        <v>248</v>
      </c>
      <c r="H1194" s="92" t="s">
        <v>227</v>
      </c>
      <c r="I1194" s="86"/>
    </row>
    <row r="1195" spans="2:9" ht="15" hidden="1" customHeight="1" x14ac:dyDescent="0.35">
      <c r="B1195" s="96" t="s">
        <v>162</v>
      </c>
      <c r="C1195" s="96" t="s">
        <v>1563</v>
      </c>
      <c r="D1195" s="91"/>
      <c r="E1195" s="92" t="s">
        <v>1528</v>
      </c>
      <c r="F1195" s="92" t="s">
        <v>1557</v>
      </c>
      <c r="G1195" s="92" t="s">
        <v>187</v>
      </c>
      <c r="H1195" s="92" t="s">
        <v>227</v>
      </c>
      <c r="I1195" s="86"/>
    </row>
    <row r="1196" spans="2:9" ht="15" hidden="1" customHeight="1" x14ac:dyDescent="0.35">
      <c r="B1196" s="96" t="s">
        <v>164</v>
      </c>
      <c r="C1196" s="96" t="s">
        <v>1564</v>
      </c>
      <c r="D1196" s="91" t="str">
        <f>VLOOKUP(C1196,'[1]Birbank İşçi Siyahı'!$B:$I,8,)</f>
        <v>BirMarket</v>
      </c>
      <c r="E1196" s="92" t="s">
        <v>1528</v>
      </c>
      <c r="F1196" s="92" t="s">
        <v>1557</v>
      </c>
      <c r="G1196" s="92" t="s">
        <v>187</v>
      </c>
      <c r="H1196" s="92" t="s">
        <v>227</v>
      </c>
      <c r="I1196" s="86"/>
    </row>
    <row r="1197" spans="2:9" ht="15" hidden="1" customHeight="1" x14ac:dyDescent="0.35">
      <c r="B1197" s="96" t="s">
        <v>162</v>
      </c>
      <c r="C1197" s="96" t="s">
        <v>1565</v>
      </c>
      <c r="D1197" s="91"/>
      <c r="E1197" s="92" t="s">
        <v>1528</v>
      </c>
      <c r="F1197" s="92" t="s">
        <v>1557</v>
      </c>
      <c r="G1197" s="92" t="s">
        <v>300</v>
      </c>
      <c r="H1197" s="92" t="s">
        <v>227</v>
      </c>
      <c r="I1197" s="86"/>
    </row>
    <row r="1198" spans="2:9" ht="15" hidden="1" customHeight="1" x14ac:dyDescent="0.35">
      <c r="B1198" s="96" t="s">
        <v>162</v>
      </c>
      <c r="C1198" s="96" t="s">
        <v>1566</v>
      </c>
      <c r="D1198" s="91"/>
      <c r="E1198" s="92" t="s">
        <v>1528</v>
      </c>
      <c r="F1198" s="92" t="s">
        <v>1557</v>
      </c>
      <c r="G1198" s="92" t="s">
        <v>300</v>
      </c>
      <c r="H1198" s="92" t="s">
        <v>227</v>
      </c>
      <c r="I1198" s="86"/>
    </row>
    <row r="1199" spans="2:9" ht="15" hidden="1" customHeight="1" x14ac:dyDescent="0.35">
      <c r="B1199" s="96" t="s">
        <v>171</v>
      </c>
      <c r="C1199" s="96" t="s">
        <v>1567</v>
      </c>
      <c r="D1199" s="91" t="str">
        <f>VLOOKUP(C1199,'[1]Birbank İşçi Siyahı'!$B:$I,8,)</f>
        <v>Bir Payment</v>
      </c>
      <c r="E1199" s="92" t="s">
        <v>1528</v>
      </c>
      <c r="F1199" s="92" t="s">
        <v>1557</v>
      </c>
      <c r="G1199" s="92" t="s">
        <v>300</v>
      </c>
      <c r="H1199" s="92" t="s">
        <v>227</v>
      </c>
      <c r="I1199" s="86"/>
    </row>
    <row r="1200" spans="2:9" ht="15" hidden="1" customHeight="1" x14ac:dyDescent="0.35">
      <c r="B1200" s="96" t="s">
        <v>171</v>
      </c>
      <c r="C1200" s="96" t="s">
        <v>1568</v>
      </c>
      <c r="D1200" s="91" t="str">
        <f>VLOOKUP(C1200,'[1]Birbank İşçi Siyahı'!$B:$I,8,)</f>
        <v>Bir Payment</v>
      </c>
      <c r="E1200" s="92" t="s">
        <v>1528</v>
      </c>
      <c r="F1200" s="92" t="s">
        <v>1557</v>
      </c>
      <c r="G1200" s="92" t="s">
        <v>300</v>
      </c>
      <c r="H1200" s="92" t="s">
        <v>227</v>
      </c>
      <c r="I1200" s="86"/>
    </row>
    <row r="1201" spans="2:9" ht="15" hidden="1" customHeight="1" x14ac:dyDescent="0.35">
      <c r="B1201" s="96" t="s">
        <v>162</v>
      </c>
      <c r="C1201" s="96" t="s">
        <v>1569</v>
      </c>
      <c r="D1201" s="91"/>
      <c r="E1201" s="92" t="s">
        <v>1528</v>
      </c>
      <c r="F1201" s="92" t="s">
        <v>1557</v>
      </c>
      <c r="G1201" s="92" t="s">
        <v>300</v>
      </c>
      <c r="H1201" s="92" t="s">
        <v>227</v>
      </c>
      <c r="I1201" s="86"/>
    </row>
    <row r="1202" spans="2:9" ht="15" hidden="1" customHeight="1" x14ac:dyDescent="0.35">
      <c r="B1202" s="96" t="s">
        <v>162</v>
      </c>
      <c r="C1202" s="96" t="s">
        <v>1570</v>
      </c>
      <c r="D1202" s="91"/>
      <c r="E1202" s="92" t="s">
        <v>1528</v>
      </c>
      <c r="F1202" s="92" t="s">
        <v>1557</v>
      </c>
      <c r="G1202" s="92" t="s">
        <v>300</v>
      </c>
      <c r="H1202" s="92" t="s">
        <v>227</v>
      </c>
      <c r="I1202" s="86"/>
    </row>
    <row r="1203" spans="2:9" ht="15" hidden="1" customHeight="1" x14ac:dyDescent="0.35">
      <c r="B1203" s="96" t="s">
        <v>162</v>
      </c>
      <c r="C1203" s="96" t="s">
        <v>1571</v>
      </c>
      <c r="D1203" s="91"/>
      <c r="E1203" s="92" t="s">
        <v>1528</v>
      </c>
      <c r="F1203" s="92" t="s">
        <v>1557</v>
      </c>
      <c r="G1203" s="92" t="s">
        <v>300</v>
      </c>
      <c r="H1203" s="92" t="s">
        <v>227</v>
      </c>
      <c r="I1203" s="86"/>
    </row>
    <row r="1204" spans="2:9" ht="15" hidden="1" customHeight="1" x14ac:dyDescent="0.35">
      <c r="B1204" s="96" t="s">
        <v>164</v>
      </c>
      <c r="C1204" s="96" t="s">
        <v>1572</v>
      </c>
      <c r="D1204" s="91" t="str">
        <f>VLOOKUP(C1204,'[1]Birbank İşçi Siyahı'!$B:$I,8,)</f>
        <v>BirMarket</v>
      </c>
      <c r="E1204" s="92" t="s">
        <v>1528</v>
      </c>
      <c r="F1204" s="92" t="s">
        <v>1557</v>
      </c>
      <c r="G1204" s="92" t="s">
        <v>300</v>
      </c>
      <c r="H1204" s="92" t="s">
        <v>227</v>
      </c>
      <c r="I1204" s="86"/>
    </row>
    <row r="1205" spans="2:9" ht="15" hidden="1" customHeight="1" x14ac:dyDescent="0.35">
      <c r="B1205" s="96" t="s">
        <v>162</v>
      </c>
      <c r="C1205" s="96" t="s">
        <v>1573</v>
      </c>
      <c r="D1205" s="91"/>
      <c r="E1205" s="92" t="s">
        <v>1528</v>
      </c>
      <c r="F1205" s="92" t="s">
        <v>1557</v>
      </c>
      <c r="G1205" s="92" t="s">
        <v>183</v>
      </c>
      <c r="H1205" s="92" t="s">
        <v>227</v>
      </c>
      <c r="I1205" s="86"/>
    </row>
    <row r="1206" spans="2:9" ht="15" hidden="1" customHeight="1" x14ac:dyDescent="0.35">
      <c r="B1206" s="96" t="s">
        <v>162</v>
      </c>
      <c r="C1206" s="96" t="s">
        <v>1574</v>
      </c>
      <c r="D1206" s="91"/>
      <c r="E1206" s="92" t="s">
        <v>1528</v>
      </c>
      <c r="F1206" s="92" t="s">
        <v>1557</v>
      </c>
      <c r="G1206" s="92" t="s">
        <v>183</v>
      </c>
      <c r="H1206" s="92" t="s">
        <v>227</v>
      </c>
      <c r="I1206" s="86"/>
    </row>
    <row r="1207" spans="2:9" ht="15" hidden="1" customHeight="1" x14ac:dyDescent="0.35">
      <c r="B1207" s="96" t="s">
        <v>162</v>
      </c>
      <c r="C1207" s="96" t="s">
        <v>1575</v>
      </c>
      <c r="D1207" s="91"/>
      <c r="E1207" s="92" t="s">
        <v>1528</v>
      </c>
      <c r="F1207" s="92" t="s">
        <v>1557</v>
      </c>
      <c r="G1207" s="92" t="s">
        <v>183</v>
      </c>
      <c r="H1207" s="92" t="s">
        <v>227</v>
      </c>
      <c r="I1207" s="86"/>
    </row>
    <row r="1208" spans="2:9" ht="15" hidden="1" customHeight="1" x14ac:dyDescent="0.35">
      <c r="B1208" s="96" t="s">
        <v>162</v>
      </c>
      <c r="C1208" s="96" t="s">
        <v>1576</v>
      </c>
      <c r="D1208" s="91"/>
      <c r="E1208" s="92" t="s">
        <v>1528</v>
      </c>
      <c r="F1208" s="92" t="s">
        <v>1557</v>
      </c>
      <c r="G1208" s="92" t="s">
        <v>183</v>
      </c>
      <c r="H1208" s="92" t="s">
        <v>227</v>
      </c>
      <c r="I1208" s="86"/>
    </row>
    <row r="1209" spans="2:9" ht="15" hidden="1" customHeight="1" x14ac:dyDescent="0.35">
      <c r="B1209" s="96" t="s">
        <v>162</v>
      </c>
      <c r="C1209" s="96" t="s">
        <v>1577</v>
      </c>
      <c r="D1209" s="91"/>
      <c r="E1209" s="92" t="s">
        <v>1528</v>
      </c>
      <c r="F1209" s="92" t="s">
        <v>1557</v>
      </c>
      <c r="G1209" s="92" t="s">
        <v>183</v>
      </c>
      <c r="H1209" s="92" t="s">
        <v>227</v>
      </c>
      <c r="I1209" s="86"/>
    </row>
    <row r="1210" spans="2:9" ht="15" hidden="1" customHeight="1" x14ac:dyDescent="0.35">
      <c r="B1210" s="96" t="s">
        <v>162</v>
      </c>
      <c r="C1210" s="96" t="s">
        <v>1578</v>
      </c>
      <c r="D1210" s="91"/>
      <c r="E1210" s="92" t="s">
        <v>1528</v>
      </c>
      <c r="F1210" s="92" t="s">
        <v>1557</v>
      </c>
      <c r="G1210" s="92" t="s">
        <v>183</v>
      </c>
      <c r="H1210" s="92" t="s">
        <v>227</v>
      </c>
      <c r="I1210" s="86"/>
    </row>
    <row r="1211" spans="2:9" ht="15" hidden="1" customHeight="1" x14ac:dyDescent="0.35">
      <c r="B1211" s="96" t="s">
        <v>162</v>
      </c>
      <c r="C1211" s="96" t="s">
        <v>1579</v>
      </c>
      <c r="D1211" s="91"/>
      <c r="E1211" s="92" t="s">
        <v>1528</v>
      </c>
      <c r="F1211" s="92" t="s">
        <v>1557</v>
      </c>
      <c r="G1211" s="92" t="s">
        <v>636</v>
      </c>
      <c r="H1211" s="92" t="s">
        <v>227</v>
      </c>
      <c r="I1211" s="86"/>
    </row>
    <row r="1212" spans="2:9" ht="15" hidden="1" customHeight="1" x14ac:dyDescent="0.35">
      <c r="B1212" s="96" t="s">
        <v>162</v>
      </c>
      <c r="C1212" s="96" t="s">
        <v>1580</v>
      </c>
      <c r="D1212" s="91"/>
      <c r="E1212" s="92" t="s">
        <v>1528</v>
      </c>
      <c r="F1212" s="92" t="s">
        <v>1557</v>
      </c>
      <c r="G1212" s="92" t="s">
        <v>184</v>
      </c>
      <c r="H1212" s="92" t="s">
        <v>227</v>
      </c>
      <c r="I1212" s="86"/>
    </row>
    <row r="1213" spans="2:9" ht="15" hidden="1" customHeight="1" x14ac:dyDescent="0.35">
      <c r="B1213" s="96" t="s">
        <v>162</v>
      </c>
      <c r="C1213" s="96" t="s">
        <v>1581</v>
      </c>
      <c r="D1213" s="91"/>
      <c r="E1213" s="92" t="s">
        <v>1528</v>
      </c>
      <c r="F1213" s="92" t="s">
        <v>1557</v>
      </c>
      <c r="G1213" s="92" t="s">
        <v>478</v>
      </c>
      <c r="H1213" s="92" t="s">
        <v>227</v>
      </c>
      <c r="I1213" s="86"/>
    </row>
    <row r="1214" spans="2:9" ht="15" hidden="1" customHeight="1" x14ac:dyDescent="0.35">
      <c r="B1214" s="96" t="s">
        <v>162</v>
      </c>
      <c r="C1214" s="96" t="s">
        <v>1582</v>
      </c>
      <c r="D1214" s="91"/>
      <c r="E1214" s="92" t="s">
        <v>1528</v>
      </c>
      <c r="F1214" s="92" t="s">
        <v>1557</v>
      </c>
      <c r="G1214" s="92" t="s">
        <v>184</v>
      </c>
      <c r="H1214" s="92" t="s">
        <v>227</v>
      </c>
      <c r="I1214" s="86"/>
    </row>
    <row r="1215" spans="2:9" ht="15" hidden="1" customHeight="1" x14ac:dyDescent="0.35">
      <c r="B1215" s="96" t="s">
        <v>162</v>
      </c>
      <c r="C1215" s="96" t="s">
        <v>1583</v>
      </c>
      <c r="D1215" s="91"/>
      <c r="E1215" s="92" t="s">
        <v>1528</v>
      </c>
      <c r="F1215" s="92" t="s">
        <v>1557</v>
      </c>
      <c r="G1215" s="92" t="s">
        <v>636</v>
      </c>
      <c r="H1215" s="92" t="s">
        <v>227</v>
      </c>
      <c r="I1215" s="86"/>
    </row>
    <row r="1216" spans="2:9" ht="15" hidden="1" customHeight="1" x14ac:dyDescent="0.35">
      <c r="B1216" s="96" t="s">
        <v>162</v>
      </c>
      <c r="C1216" s="96" t="s">
        <v>1584</v>
      </c>
      <c r="D1216" s="91"/>
      <c r="E1216" s="92" t="s">
        <v>1528</v>
      </c>
      <c r="F1216" s="92" t="s">
        <v>1557</v>
      </c>
      <c r="G1216" s="92" t="s">
        <v>184</v>
      </c>
      <c r="H1216" s="92" t="s">
        <v>227</v>
      </c>
      <c r="I1216" s="86"/>
    </row>
    <row r="1217" spans="2:9" ht="15" hidden="1" customHeight="1" x14ac:dyDescent="0.35">
      <c r="B1217" s="96" t="s">
        <v>164</v>
      </c>
      <c r="C1217" s="96" t="s">
        <v>1585</v>
      </c>
      <c r="D1217" s="91" t="str">
        <f>VLOOKUP(C1217,'[1]Birbank İşçi Siyahı'!$B:$I,8,)</f>
        <v>BirMarket</v>
      </c>
      <c r="E1217" s="92" t="s">
        <v>1528</v>
      </c>
      <c r="F1217" s="92" t="s">
        <v>1557</v>
      </c>
      <c r="G1217" s="92" t="s">
        <v>184</v>
      </c>
      <c r="H1217" s="92" t="s">
        <v>227</v>
      </c>
      <c r="I1217" s="86"/>
    </row>
    <row r="1218" spans="2:9" ht="15" hidden="1" customHeight="1" x14ac:dyDescent="0.35">
      <c r="B1218" s="96" t="s">
        <v>164</v>
      </c>
      <c r="C1218" s="96" t="s">
        <v>1586</v>
      </c>
      <c r="D1218" s="91" t="str">
        <f>VLOOKUP(C1218,'[1]Birbank İşçi Siyahı'!$B:$I,8,)</f>
        <v>BirMarket</v>
      </c>
      <c r="E1218" s="92" t="s">
        <v>1528</v>
      </c>
      <c r="F1218" s="92" t="s">
        <v>1557</v>
      </c>
      <c r="G1218" s="92" t="s">
        <v>184</v>
      </c>
      <c r="H1218" s="92" t="s">
        <v>227</v>
      </c>
      <c r="I1218" s="86"/>
    </row>
    <row r="1219" spans="2:9" ht="15" hidden="1" customHeight="1" x14ac:dyDescent="0.35">
      <c r="B1219" s="96" t="s">
        <v>164</v>
      </c>
      <c r="C1219" s="96" t="s">
        <v>1587</v>
      </c>
      <c r="D1219" s="91" t="str">
        <f>VLOOKUP(C1219,'[1]Birbank İşçi Siyahı'!$B:$I,8,)</f>
        <v>BirMarket</v>
      </c>
      <c r="E1219" s="92" t="s">
        <v>1528</v>
      </c>
      <c r="F1219" s="92" t="s">
        <v>1557</v>
      </c>
      <c r="G1219" s="92" t="s">
        <v>184</v>
      </c>
      <c r="H1219" s="92" t="s">
        <v>227</v>
      </c>
      <c r="I1219" s="86"/>
    </row>
    <row r="1220" spans="2:9" ht="15" hidden="1" customHeight="1" x14ac:dyDescent="0.35">
      <c r="B1220" s="96" t="s">
        <v>171</v>
      </c>
      <c r="C1220" s="96" t="s">
        <v>1588</v>
      </c>
      <c r="D1220" s="91" t="str">
        <f>VLOOKUP(C1220,'[1]Birbank İşçi Siyahı'!$B:$I,8,)</f>
        <v>Bir Payment</v>
      </c>
      <c r="E1220" s="92" t="s">
        <v>1528</v>
      </c>
      <c r="F1220" s="92" t="s">
        <v>1557</v>
      </c>
      <c r="G1220" s="92" t="s">
        <v>184</v>
      </c>
      <c r="H1220" s="92" t="s">
        <v>227</v>
      </c>
      <c r="I1220" s="86"/>
    </row>
    <row r="1221" spans="2:9" ht="15" hidden="1" customHeight="1" x14ac:dyDescent="0.35">
      <c r="B1221" s="96" t="s">
        <v>171</v>
      </c>
      <c r="C1221" s="96" t="s">
        <v>1589</v>
      </c>
      <c r="D1221" s="91" t="str">
        <f>VLOOKUP(C1221,'[1]Birbank İşçi Siyahı'!$B:$I,8,)</f>
        <v>Bir Payment</v>
      </c>
      <c r="E1221" s="92" t="s">
        <v>1528</v>
      </c>
      <c r="F1221" s="92" t="s">
        <v>1557</v>
      </c>
      <c r="G1221" s="92" t="s">
        <v>184</v>
      </c>
      <c r="H1221" s="92" t="s">
        <v>227</v>
      </c>
      <c r="I1221" s="86"/>
    </row>
    <row r="1222" spans="2:9" ht="15" hidden="1" customHeight="1" x14ac:dyDescent="0.35">
      <c r="B1222" s="96" t="s">
        <v>162</v>
      </c>
      <c r="C1222" s="96" t="s">
        <v>1590</v>
      </c>
      <c r="D1222" s="91"/>
      <c r="E1222" s="92" t="s">
        <v>1528</v>
      </c>
      <c r="F1222" s="92" t="s">
        <v>1557</v>
      </c>
      <c r="G1222" s="92" t="s">
        <v>247</v>
      </c>
      <c r="H1222" s="92" t="s">
        <v>227</v>
      </c>
      <c r="I1222" s="86"/>
    </row>
    <row r="1223" spans="2:9" ht="15" hidden="1" customHeight="1" x14ac:dyDescent="0.35">
      <c r="B1223" s="96" t="s">
        <v>162</v>
      </c>
      <c r="C1223" s="96" t="s">
        <v>1591</v>
      </c>
      <c r="D1223" s="91"/>
      <c r="E1223" s="92" t="s">
        <v>1528</v>
      </c>
      <c r="F1223" s="92" t="s">
        <v>1557</v>
      </c>
      <c r="G1223" s="92" t="s">
        <v>183</v>
      </c>
      <c r="H1223" s="92" t="s">
        <v>227</v>
      </c>
      <c r="I1223" s="86"/>
    </row>
    <row r="1224" spans="2:9" ht="15" hidden="1" customHeight="1" x14ac:dyDescent="0.35">
      <c r="B1224" s="96" t="s">
        <v>162</v>
      </c>
      <c r="C1224" s="96" t="s">
        <v>1592</v>
      </c>
      <c r="D1224" s="91"/>
      <c r="E1224" s="92" t="s">
        <v>1528</v>
      </c>
      <c r="F1224" s="92" t="s">
        <v>1557</v>
      </c>
      <c r="G1224" s="92" t="s">
        <v>187</v>
      </c>
      <c r="H1224" s="92" t="s">
        <v>227</v>
      </c>
      <c r="I1224" s="86"/>
    </row>
    <row r="1225" spans="2:9" ht="15" hidden="1" customHeight="1" x14ac:dyDescent="0.35">
      <c r="B1225" s="96" t="s">
        <v>162</v>
      </c>
      <c r="C1225" s="96" t="s">
        <v>1593</v>
      </c>
      <c r="D1225" s="91"/>
      <c r="E1225" s="92" t="s">
        <v>1528</v>
      </c>
      <c r="F1225" s="92" t="s">
        <v>1557</v>
      </c>
      <c r="G1225" s="92" t="s">
        <v>184</v>
      </c>
      <c r="H1225" s="92" t="s">
        <v>227</v>
      </c>
      <c r="I1225" s="86"/>
    </row>
    <row r="1226" spans="2:9" ht="15" hidden="1" customHeight="1" x14ac:dyDescent="0.35">
      <c r="B1226" s="96" t="s">
        <v>162</v>
      </c>
      <c r="C1226" s="96" t="s">
        <v>1594</v>
      </c>
      <c r="D1226" s="91"/>
      <c r="E1226" s="92" t="s">
        <v>1528</v>
      </c>
      <c r="F1226" s="92" t="s">
        <v>1529</v>
      </c>
      <c r="G1226" s="92" t="s">
        <v>187</v>
      </c>
      <c r="H1226" s="92" t="s">
        <v>227</v>
      </c>
      <c r="I1226" s="86"/>
    </row>
    <row r="1227" spans="2:9" ht="15" hidden="1" customHeight="1" x14ac:dyDescent="0.35">
      <c r="B1227" s="96" t="s">
        <v>162</v>
      </c>
      <c r="C1227" s="96" t="s">
        <v>1595</v>
      </c>
      <c r="D1227" s="91"/>
      <c r="E1227" s="92" t="s">
        <v>1528</v>
      </c>
      <c r="F1227" s="92" t="s">
        <v>1529</v>
      </c>
      <c r="G1227" s="92" t="s">
        <v>300</v>
      </c>
      <c r="H1227" s="92" t="s">
        <v>227</v>
      </c>
      <c r="I1227" s="86"/>
    </row>
    <row r="1228" spans="2:9" ht="15" hidden="1" customHeight="1" x14ac:dyDescent="0.35">
      <c r="B1228" s="96" t="s">
        <v>162</v>
      </c>
      <c r="C1228" s="96" t="s">
        <v>1596</v>
      </c>
      <c r="D1228" s="91"/>
      <c r="E1228" s="92" t="s">
        <v>1528</v>
      </c>
      <c r="F1228" s="92" t="s">
        <v>1557</v>
      </c>
      <c r="G1228" s="92" t="s">
        <v>183</v>
      </c>
      <c r="H1228" s="92" t="s">
        <v>227</v>
      </c>
      <c r="I1228" s="86"/>
    </row>
    <row r="1229" spans="2:9" ht="15" hidden="1" customHeight="1" x14ac:dyDescent="0.35">
      <c r="B1229" s="96" t="s">
        <v>162</v>
      </c>
      <c r="C1229" s="96" t="s">
        <v>1597</v>
      </c>
      <c r="D1229" s="91"/>
      <c r="E1229" s="92" t="s">
        <v>1528</v>
      </c>
      <c r="F1229" s="92" t="s">
        <v>1598</v>
      </c>
      <c r="G1229" s="92" t="s">
        <v>247</v>
      </c>
      <c r="H1229" s="92" t="s">
        <v>227</v>
      </c>
      <c r="I1229" s="86"/>
    </row>
    <row r="1230" spans="2:9" ht="15" hidden="1" customHeight="1" x14ac:dyDescent="0.35">
      <c r="B1230" s="96" t="s">
        <v>162</v>
      </c>
      <c r="C1230" s="96" t="s">
        <v>1599</v>
      </c>
      <c r="D1230" s="91"/>
      <c r="E1230" s="92" t="s">
        <v>1528</v>
      </c>
      <c r="F1230" s="92" t="s">
        <v>1598</v>
      </c>
      <c r="G1230" s="92" t="s">
        <v>187</v>
      </c>
      <c r="H1230" s="92" t="s">
        <v>227</v>
      </c>
      <c r="I1230" s="86"/>
    </row>
    <row r="1231" spans="2:9" ht="15" hidden="1" customHeight="1" x14ac:dyDescent="0.35">
      <c r="B1231" s="96" t="s">
        <v>164</v>
      </c>
      <c r="C1231" s="96" t="s">
        <v>1600</v>
      </c>
      <c r="D1231" s="91" t="str">
        <f>VLOOKUP(C1231,'[1]Birbank İşçi Siyahı'!$B:$I,8,)</f>
        <v>BirMarket</v>
      </c>
      <c r="E1231" s="92" t="s">
        <v>1528</v>
      </c>
      <c r="F1231" s="92" t="s">
        <v>1598</v>
      </c>
      <c r="G1231" s="92" t="s">
        <v>187</v>
      </c>
      <c r="H1231" s="92" t="s">
        <v>227</v>
      </c>
      <c r="I1231" s="86"/>
    </row>
    <row r="1232" spans="2:9" ht="15" hidden="1" customHeight="1" x14ac:dyDescent="0.35">
      <c r="B1232" s="96" t="s">
        <v>162</v>
      </c>
      <c r="C1232" s="96" t="s">
        <v>1601</v>
      </c>
      <c r="D1232" s="91"/>
      <c r="E1232" s="92" t="s">
        <v>1528</v>
      </c>
      <c r="F1232" s="92" t="s">
        <v>1598</v>
      </c>
      <c r="G1232" s="92" t="s">
        <v>187</v>
      </c>
      <c r="H1232" s="92" t="s">
        <v>227</v>
      </c>
      <c r="I1232" s="86"/>
    </row>
    <row r="1233" spans="2:9" ht="15" hidden="1" customHeight="1" x14ac:dyDescent="0.35">
      <c r="B1233" s="96" t="s">
        <v>171</v>
      </c>
      <c r="C1233" s="96" t="s">
        <v>1602</v>
      </c>
      <c r="D1233" s="91" t="str">
        <f>VLOOKUP(C1233,'[1]Birbank İşçi Siyahı'!$B:$I,8,)</f>
        <v>Bir Payment</v>
      </c>
      <c r="E1233" s="92" t="s">
        <v>1528</v>
      </c>
      <c r="F1233" s="92" t="s">
        <v>1598</v>
      </c>
      <c r="G1233" s="92" t="s">
        <v>183</v>
      </c>
      <c r="H1233" s="92" t="s">
        <v>227</v>
      </c>
      <c r="I1233" s="86"/>
    </row>
    <row r="1234" spans="2:9" ht="15" hidden="1" customHeight="1" x14ac:dyDescent="0.35">
      <c r="B1234" s="96" t="s">
        <v>164</v>
      </c>
      <c r="C1234" s="96" t="s">
        <v>1603</v>
      </c>
      <c r="D1234" s="91" t="str">
        <f>VLOOKUP(C1234,'[1]Birbank İşçi Siyahı'!$B:$I,8,)</f>
        <v>BirMarket</v>
      </c>
      <c r="E1234" s="92" t="s">
        <v>1528</v>
      </c>
      <c r="F1234" s="92" t="s">
        <v>1598</v>
      </c>
      <c r="G1234" s="92" t="s">
        <v>184</v>
      </c>
      <c r="H1234" s="92" t="s">
        <v>227</v>
      </c>
      <c r="I1234" s="86"/>
    </row>
    <row r="1235" spans="2:9" ht="15" hidden="1" customHeight="1" x14ac:dyDescent="0.35">
      <c r="B1235" s="96" t="s">
        <v>162</v>
      </c>
      <c r="C1235" s="96" t="s">
        <v>1604</v>
      </c>
      <c r="D1235" s="91"/>
      <c r="E1235" s="92" t="s">
        <v>1528</v>
      </c>
      <c r="F1235" s="92" t="s">
        <v>1598</v>
      </c>
      <c r="G1235" s="92" t="s">
        <v>183</v>
      </c>
      <c r="H1235" s="92" t="s">
        <v>227</v>
      </c>
      <c r="I1235" s="86"/>
    </row>
    <row r="1236" spans="2:9" ht="15" hidden="1" customHeight="1" x14ac:dyDescent="0.35">
      <c r="B1236" s="96" t="s">
        <v>162</v>
      </c>
      <c r="C1236" s="96" t="s">
        <v>1605</v>
      </c>
      <c r="D1236" s="91"/>
      <c r="E1236" s="92" t="s">
        <v>1528</v>
      </c>
      <c r="F1236" s="92" t="s">
        <v>1598</v>
      </c>
      <c r="G1236" s="92" t="s">
        <v>183</v>
      </c>
      <c r="H1236" s="92" t="s">
        <v>227</v>
      </c>
      <c r="I1236" s="86"/>
    </row>
    <row r="1237" spans="2:9" ht="15" hidden="1" customHeight="1" x14ac:dyDescent="0.35">
      <c r="B1237" s="96" t="s">
        <v>162</v>
      </c>
      <c r="C1237" s="96" t="s">
        <v>1606</v>
      </c>
      <c r="D1237" s="91"/>
      <c r="E1237" s="92" t="s">
        <v>1528</v>
      </c>
      <c r="F1237" s="92" t="s">
        <v>1598</v>
      </c>
      <c r="G1237" s="92" t="s">
        <v>187</v>
      </c>
      <c r="H1237" s="92" t="s">
        <v>227</v>
      </c>
      <c r="I1237" s="86"/>
    </row>
    <row r="1238" spans="2:9" ht="15" hidden="1" customHeight="1" x14ac:dyDescent="0.35">
      <c r="B1238" s="96" t="s">
        <v>162</v>
      </c>
      <c r="C1238" s="96" t="s">
        <v>1607</v>
      </c>
      <c r="D1238" s="91"/>
      <c r="E1238" s="92" t="s">
        <v>1528</v>
      </c>
      <c r="F1238" s="92" t="s">
        <v>1598</v>
      </c>
      <c r="G1238" s="92" t="s">
        <v>187</v>
      </c>
      <c r="H1238" s="92" t="s">
        <v>227</v>
      </c>
      <c r="I1238" s="86"/>
    </row>
    <row r="1239" spans="2:9" ht="15" hidden="1" customHeight="1" x14ac:dyDescent="0.35">
      <c r="B1239" s="96" t="s">
        <v>162</v>
      </c>
      <c r="C1239" s="96" t="s">
        <v>1608</v>
      </c>
      <c r="D1239" s="91"/>
      <c r="E1239" s="92" t="s">
        <v>1528</v>
      </c>
      <c r="F1239" s="92" t="s">
        <v>1598</v>
      </c>
      <c r="G1239" s="92" t="s">
        <v>300</v>
      </c>
      <c r="H1239" s="92" t="s">
        <v>227</v>
      </c>
      <c r="I1239" s="86"/>
    </row>
    <row r="1240" spans="2:9" ht="15" hidden="1" customHeight="1" x14ac:dyDescent="0.35">
      <c r="B1240" s="96" t="s">
        <v>162</v>
      </c>
      <c r="C1240" s="96" t="s">
        <v>1609</v>
      </c>
      <c r="D1240" s="91"/>
      <c r="E1240" s="92" t="s">
        <v>1528</v>
      </c>
      <c r="F1240" s="92" t="s">
        <v>1598</v>
      </c>
      <c r="G1240" s="92" t="s">
        <v>184</v>
      </c>
      <c r="H1240" s="92" t="s">
        <v>227</v>
      </c>
      <c r="I1240" s="86"/>
    </row>
    <row r="1241" spans="2:9" ht="15" hidden="1" customHeight="1" x14ac:dyDescent="0.35">
      <c r="B1241" s="96" t="s">
        <v>162</v>
      </c>
      <c r="C1241" s="96" t="s">
        <v>1610</v>
      </c>
      <c r="D1241" s="91"/>
      <c r="E1241" s="92" t="s">
        <v>1528</v>
      </c>
      <c r="F1241" s="92" t="s">
        <v>1557</v>
      </c>
      <c r="G1241" s="92" t="s">
        <v>1616</v>
      </c>
      <c r="H1241" s="92" t="s">
        <v>227</v>
      </c>
      <c r="I1241" s="86"/>
    </row>
    <row r="1242" spans="2:9" ht="15" hidden="1" customHeight="1" x14ac:dyDescent="0.35">
      <c r="B1242" s="96" t="s">
        <v>162</v>
      </c>
      <c r="C1242" s="96" t="s">
        <v>1611</v>
      </c>
      <c r="D1242" s="91"/>
      <c r="E1242" s="92" t="s">
        <v>1528</v>
      </c>
      <c r="F1242" s="92" t="s">
        <v>1557</v>
      </c>
      <c r="G1242" s="92" t="s">
        <v>1616</v>
      </c>
      <c r="H1242" s="92" t="s">
        <v>227</v>
      </c>
      <c r="I1242" s="86"/>
    </row>
    <row r="1243" spans="2:9" ht="15" hidden="1" customHeight="1" x14ac:dyDescent="0.35">
      <c r="B1243" s="96" t="s">
        <v>171</v>
      </c>
      <c r="C1243" s="96" t="s">
        <v>1612</v>
      </c>
      <c r="D1243" s="91" t="str">
        <f>VLOOKUP(C1243,'[1]Birbank İşçi Siyahı'!$B:$I,8,)</f>
        <v>Bir Payment</v>
      </c>
      <c r="E1243" s="92" t="s">
        <v>1528</v>
      </c>
      <c r="F1243" s="92" t="s">
        <v>1545</v>
      </c>
      <c r="G1243" s="92" t="s">
        <v>300</v>
      </c>
      <c r="H1243" s="92" t="s">
        <v>227</v>
      </c>
      <c r="I1243" s="86"/>
    </row>
    <row r="1244" spans="2:9" ht="15" hidden="1" customHeight="1" x14ac:dyDescent="0.35">
      <c r="B1244" s="96" t="s">
        <v>1849</v>
      </c>
      <c r="C1244" s="96" t="s">
        <v>1613</v>
      </c>
      <c r="D1244" s="91" t="str">
        <f>VLOOKUP(C1244,'[1]Birbank İşçi Siyahı'!$B:$I,8,)</f>
        <v>Paşa Holding</v>
      </c>
      <c r="E1244" s="92" t="s">
        <v>1528</v>
      </c>
      <c r="F1244" s="92" t="s">
        <v>1529</v>
      </c>
      <c r="G1244" s="92" t="s">
        <v>184</v>
      </c>
      <c r="H1244" s="92" t="s">
        <v>227</v>
      </c>
      <c r="I1244" s="86"/>
    </row>
    <row r="1245" spans="2:9" hidden="1" x14ac:dyDescent="0.35">
      <c r="B1245" s="96" t="s">
        <v>164</v>
      </c>
      <c r="C1245" s="92" t="s">
        <v>1816</v>
      </c>
      <c r="D1245" s="92"/>
      <c r="E1245" s="92" t="s">
        <v>1312</v>
      </c>
      <c r="F1245" s="92" t="s">
        <v>1334</v>
      </c>
      <c r="G1245" s="92"/>
      <c r="H1245" s="92" t="s">
        <v>1826</v>
      </c>
    </row>
    <row r="1246" spans="2:9" hidden="1" x14ac:dyDescent="0.35">
      <c r="B1246" s="96" t="s">
        <v>171</v>
      </c>
      <c r="C1246" s="92" t="s">
        <v>1328</v>
      </c>
      <c r="D1246" s="92"/>
      <c r="E1246" s="92" t="s">
        <v>1312</v>
      </c>
      <c r="F1246" s="92" t="s">
        <v>1334</v>
      </c>
      <c r="G1246" s="92"/>
      <c r="H1246" s="92" t="s">
        <v>449</v>
      </c>
    </row>
    <row r="1247" spans="2:9" hidden="1" x14ac:dyDescent="0.35">
      <c r="B1247" s="96" t="s">
        <v>171</v>
      </c>
      <c r="C1247" s="92" t="s">
        <v>1617</v>
      </c>
      <c r="D1247" s="92"/>
      <c r="E1247" s="92" t="s">
        <v>1312</v>
      </c>
      <c r="F1247" s="92" t="s">
        <v>1334</v>
      </c>
      <c r="G1247" s="92"/>
      <c r="H1247" s="92" t="s">
        <v>1826</v>
      </c>
    </row>
  </sheetData>
  <autoFilter ref="B2:H1247" xr:uid="{10B0D4DA-C3A8-4AA3-930C-5B43B74856E3}">
    <filterColumn colId="3">
      <filters>
        <filter val="Architecture Center of Expertise"/>
      </filters>
    </filterColumn>
  </autoFilter>
  <conditionalFormatting sqref="H3:H173 H177:H191 H193:H333 H335:H981 H990:H1164 H1166:H1167 H1169:H1186 H1188:H1244">
    <cfRule type="expression" dxfId="1" priority="5">
      <formula>$H3="HR listinde var"</formula>
    </cfRule>
    <cfRule type="expression" dxfId="0" priority="6">
      <formula>AND($H3&lt;&gt;"",$H3&lt;&gt;"HR listinde var")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Summary</vt:lpstr>
      <vt:lpstr>Summary by Division</vt:lpstr>
      <vt:lpstr>2027</vt:lpstr>
      <vt:lpstr>Full list (horizontal)</vt:lpstr>
      <vt:lpstr>'2027'!Print_Area</vt:lpstr>
      <vt:lpstr>Summary!Print_Area</vt:lpstr>
      <vt:lpstr>'Summary by Division'!Print_Area</vt:lpstr>
      <vt:lpstr>'2027'!Print_Titles</vt:lpstr>
      <vt:lpstr>'Summary by Division'!Print_Titles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Laman R. Alizada</dc:creator>
  <cp:lastModifiedBy>Nizami B. Tahirov</cp:lastModifiedBy>
  <dcterms:created xsi:type="dcterms:W3CDTF">2015-06-05T18:17:20Z</dcterms:created>
  <dcterms:modified xsi:type="dcterms:W3CDTF">2026-10-20T10:29:03Z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277f234c-efb6-49db-aab1-a60b88521426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277f234c-efb6-49db-aab1-a60b88521426</vt:lpwstr>
  </property>
  <property fmtid="{D5CDD505-2E9C-101B-9397-08002B2CF9AE}" pid="6" name="UserId">
    <vt:lpwstr>Nizami B. Tahirov</vt:lpwstr>
  </property>
  <property fmtid="{D5CDD505-2E9C-101B-9397-08002B2CF9AE}" pid="7" name="TagDateTime">
    <vt:lpwstr>20-10-2026</vt:lpwstr>
  </property>
  <property fmtid="{D5CDD505-2E9C-101B-9397-08002B2CF9AE}" pid="8" name="GVData">
    <vt:lpwstr>eyJPUyI6IldpbmRvd3MiLCJkb2NJRCI6IjI3N2YyMzRjLWVmYjYtNDlkYi1hYWIxLWE2MGI4ODUyMTQyNiIsImRvY1N0YXRlIjoie30iLCJwYXJlbnRMaW5lSWRzIjoiW1wiMzMxMTMyOTEtY2RmYi00OTA3LWJjOTYtM2ZmMzQ5YTkyYzU0XCIsXCIxZDg5YmFhZS0y</vt:lpwstr>
  </property>
  <property fmtid="{D5CDD505-2E9C-101B-9397-08002B2CF9AE}" pid="9" name="GVData0">
    <vt:lpwstr>NjVmLTRhZmYtODk3Zi0zZDllMjNkYjcwZmRcIixcIjljMjJkNjdmLTExY2MtNDkwYS05NjRkLTVmMWM3ZGMxNWQyNVwiLFwiNTQ3N2FkYzAtZWU1OC00MTI4LWE4NWItNjYyM2FkMzJjODU4XCIsXCI3MjI4ZDQ3OC00ZWU5LTQ3NzYtYjUwMS01Mzg5NTZjODUzYWVc</vt:lpwstr>
  </property>
  <property fmtid="{D5CDD505-2E9C-101B-9397-08002B2CF9AE}" pid="10" name="GVData1">
    <vt:lpwstr>IixcImU2ZjQ2YjVlLTY4YzMtNGQ0OC05Y2Y2LTdmZDBmNGY5YjgwM1wiLFwiMDUwZTA3MDMtNGFlZS00Yzc5LTg5ZTYtZWYzNmE4MWEyZjIzXCIsXCIzNGM3ODJlMi1kYTdjLTQ1N2EtOWZmZi1kZWRmMDNiODBhZDJcIixcIjAwYTU0YTJmLWE2ZTktNGMwNi1hMTdl</vt:lpwstr>
  </property>
  <property fmtid="{D5CDD505-2E9C-101B-9397-08002B2CF9AE}" pid="11" name="GVData2">
    <vt:lpwstr>LTZlODExZjQxNWEyZFwiLFwiOTk4MDg2Y2EtMjAzZS00MzA5LWIwODQtZGQ0NDQwY2IwNzRhXCJdIiwid3JpdHRlbktleXMiOiJbXCJDbGFzc2lmaWNhdGlvblRhZ1NldElkXCIsXCJDb21wbGlhbmNlVGFnU2V0SWRcIixcIkZpbGVJZFwiLFwiZ3Zkb2NpZFwiLFwi</vt:lpwstr>
  </property>
  <property fmtid="{D5CDD505-2E9C-101B-9397-08002B2CF9AE}" pid="12" name="GVData3">
    <vt:lpwstr>VGFnRGF0ZVRpbWVcIixcIlVzZXJJZFwiXSIsIm5vT2ZHdkRhdGFFbnRyaWVzIjoiNSIsImxpbmVJZCI6IjNlMmJjYjFiLWEwNDUtNDUzMi1iMWM4LWI5NWUyNWFjYWU4NyJ9</vt:lpwstr>
  </property>
  <property fmtid="{D5CDD505-2E9C-101B-9397-08002B2CF9AE}" pid="13" name="GVData4">
    <vt:lpwstr>(end)</vt:lpwstr>
  </property>
</Properties>
</file>