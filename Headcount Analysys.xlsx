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ahirovnb\Downloads\"/>
    </mc:Choice>
  </mc:AlternateContent>
  <xr:revisionPtr revIDLastSave="0" documentId="8_{CC9090AD-9294-4CCA-AB27-B73166E54797}" xr6:coauthVersionLast="47" xr6:coauthVersionMax="47" xr10:uidLastSave="{00000000-0000-0000-0000-000000000000}"/>
  <bookViews>
    <workbookView xWindow="-110" yWindow="-110" windowWidth="19420" windowHeight="11500" xr2:uid="{00F9342E-E8A5-493E-A6D9-A4C71DC36FDB}"/>
  </bookViews>
  <sheets>
    <sheet name="ştat sayları" sheetId="6" r:id="rId1"/>
    <sheet name="əlavə ştat" sheetId="14" r:id="rId2"/>
    <sheet name="yekun ştat və vakant" sheetId="18" r:id="rId3"/>
    <sheet name="baza" sheetId="19" r:id="rId4"/>
    <sheet name="birmarket" sheetId="9" r:id="rId5"/>
    <sheet name="pashapay" sheetId="10" r:id="rId6"/>
  </sheets>
  <definedNames>
    <definedName name="_xlnm._FilterDatabase" localSheetId="3" hidden="1">baza!$A$1:$K$6314</definedName>
    <definedName name="_xlnm._FilterDatabase" localSheetId="0" hidden="1">'ştat sayları'!$A$1:$N$94</definedName>
    <definedName name="_xlnm._FilterDatabase" localSheetId="2" hidden="1">'yekun ştat və vakant'!$A$1:$F$94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4" i="6" l="1"/>
  <c r="M16" i="14"/>
  <c r="J93" i="6" l="1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5" i="6"/>
  <c r="J4" i="6"/>
  <c r="J3" i="6"/>
  <c r="J2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K6" i="6" s="1"/>
  <c r="I5" i="6"/>
  <c r="I4" i="6"/>
  <c r="I3" i="6"/>
  <c r="I2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5" i="6"/>
  <c r="H4" i="6"/>
  <c r="H3" i="6"/>
  <c r="H2" i="6"/>
  <c r="G3" i="6"/>
  <c r="G5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2" i="6"/>
  <c r="G94" i="6" l="1"/>
  <c r="J94" i="6"/>
  <c r="H94" i="6"/>
  <c r="I94" i="6"/>
  <c r="K78" i="6"/>
  <c r="K8" i="6"/>
  <c r="K32" i="6"/>
  <c r="K77" i="6"/>
  <c r="K21" i="6"/>
  <c r="K90" i="6"/>
  <c r="K76" i="6"/>
  <c r="K62" i="6"/>
  <c r="K48" i="6"/>
  <c r="K34" i="6"/>
  <c r="K20" i="6"/>
  <c r="K92" i="6"/>
  <c r="K64" i="6"/>
  <c r="K50" i="6"/>
  <c r="K22" i="6"/>
  <c r="K46" i="6"/>
  <c r="K74" i="6"/>
  <c r="K88" i="6"/>
  <c r="K91" i="6"/>
  <c r="K49" i="6"/>
  <c r="K7" i="6"/>
  <c r="K60" i="6"/>
  <c r="K63" i="6"/>
  <c r="K36" i="6"/>
  <c r="K35" i="6"/>
  <c r="K79" i="6"/>
  <c r="K65" i="6"/>
  <c r="K51" i="6"/>
  <c r="K37" i="6"/>
  <c r="K23" i="6"/>
  <c r="K9" i="6"/>
  <c r="K11" i="6"/>
  <c r="K25" i="6"/>
  <c r="K39" i="6"/>
  <c r="K53" i="6"/>
  <c r="K67" i="6"/>
  <c r="K81" i="6"/>
  <c r="K3" i="6"/>
  <c r="K93" i="6"/>
  <c r="K5" i="6"/>
  <c r="K87" i="6"/>
  <c r="K45" i="6"/>
  <c r="K17" i="6"/>
  <c r="K72" i="6"/>
  <c r="K71" i="6"/>
  <c r="K15" i="6"/>
  <c r="K19" i="6"/>
  <c r="K61" i="6"/>
  <c r="K89" i="6"/>
  <c r="K70" i="6"/>
  <c r="K42" i="6"/>
  <c r="K12" i="6"/>
  <c r="K40" i="6"/>
  <c r="K83" i="6"/>
  <c r="K41" i="6"/>
  <c r="K13" i="6"/>
  <c r="K68" i="6"/>
  <c r="K73" i="6"/>
  <c r="K57" i="6"/>
  <c r="K33" i="6"/>
  <c r="K14" i="6"/>
  <c r="K55" i="6"/>
  <c r="K59" i="6"/>
  <c r="K31" i="6"/>
  <c r="K86" i="6"/>
  <c r="K58" i="6"/>
  <c r="K18" i="6"/>
  <c r="K85" i="6"/>
  <c r="K43" i="6"/>
  <c r="K29" i="6"/>
  <c r="K4" i="6"/>
  <c r="K47" i="6"/>
  <c r="K75" i="6"/>
  <c r="K84" i="6"/>
  <c r="K56" i="6"/>
  <c r="K28" i="6"/>
  <c r="K26" i="6"/>
  <c r="K54" i="6"/>
  <c r="K82" i="6"/>
  <c r="K69" i="6"/>
  <c r="K27" i="6"/>
  <c r="K2" i="6"/>
  <c r="K80" i="6"/>
  <c r="K66" i="6"/>
  <c r="K52" i="6"/>
  <c r="K38" i="6"/>
  <c r="K24" i="6"/>
  <c r="K10" i="6"/>
  <c r="K16" i="6"/>
  <c r="K30" i="6"/>
  <c r="K44" i="6"/>
  <c r="K94" i="6" l="1"/>
  <c r="H96" i="6"/>
  <c r="C20" i="10" l="1"/>
  <c r="C17" i="10"/>
  <c r="C25" i="10"/>
  <c r="J4" i="18" l="1"/>
  <c r="J3" i="18" l="1"/>
  <c r="J2" i="18" l="1"/>
  <c r="L3" i="18" s="1"/>
</calcChain>
</file>

<file path=xl/sharedStrings.xml><?xml version="1.0" encoding="utf-8"?>
<sst xmlns="http://schemas.openxmlformats.org/spreadsheetml/2006/main" count="39169" uniqueCount="1095">
  <si>
    <t>yeni struktur</t>
  </si>
  <si>
    <t>Kart məhsulları sahəsi</t>
  </si>
  <si>
    <t>Ödənişlər sahəsi</t>
  </si>
  <si>
    <t>Ödəniş və transferlər sahəsi</t>
  </si>
  <si>
    <t>Loyallıq məhsulları sahəsi</t>
  </si>
  <si>
    <t>Birbonus sahəsi</t>
  </si>
  <si>
    <t>Özünəxidmət terminalları sahəsi</t>
  </si>
  <si>
    <t>Nağd pulların idarə edilməsi departamenti</t>
  </si>
  <si>
    <t>Texniki dəstək departamenti</t>
  </si>
  <si>
    <t>Kassa və inkassasiya prosesləri departamenti</t>
  </si>
  <si>
    <t>Loyallıq platformaları sahəsi</t>
  </si>
  <si>
    <t>Ödəniş platformaları sahəsi</t>
  </si>
  <si>
    <t>Biznes sahələrinin inkişafı və partnyor şəbəkəsi departamenti</t>
  </si>
  <si>
    <t>Rəqəmsal dələduzluğa qarşı mübarizə departamenti</t>
  </si>
  <si>
    <t>Risk texnologiyaları sahəsi</t>
  </si>
  <si>
    <t>Təşkilati risklərin idarə edilməsi departamenti</t>
  </si>
  <si>
    <t>Təşkilati və qeyri-maliyyə risklərinin idarə edilməsi departamenti</t>
  </si>
  <si>
    <t>Kredit portfelinə nəzarət departamenti</t>
  </si>
  <si>
    <t>Birbank biznes sahəsi</t>
  </si>
  <si>
    <t>İşçi təcrübəsi sahəsi</t>
  </si>
  <si>
    <t>Rəqəmsal həllər sahəsi</t>
  </si>
  <si>
    <t>BirApp sahəsi</t>
  </si>
  <si>
    <t>Təşkilati inkişaf və HR texnologiyaları departamenti</t>
  </si>
  <si>
    <t>Data texnologiyaları ekspert mərkəzi</t>
  </si>
  <si>
    <t>Data mühəndisliyi və texnologiyaları ekspert mərkəzi</t>
  </si>
  <si>
    <t>Data governance ekspert mərkəzi</t>
  </si>
  <si>
    <t>Ekosistem korporativ maliyyə və investor əlaqələri departamenti</t>
  </si>
  <si>
    <t>Korporativ inkişaf və investor əlaqələri departamenti</t>
  </si>
  <si>
    <t>İnformasiya təhlükəsizliyi departamenti</t>
  </si>
  <si>
    <t>İT infrastruktur departamenti</t>
  </si>
  <si>
    <t>Satış kanalları departamenti</t>
  </si>
  <si>
    <t>Hüquq departamenti</t>
  </si>
  <si>
    <t>Komplayens departamenti</t>
  </si>
  <si>
    <t>Korporativ katiblik şöbəsi</t>
  </si>
  <si>
    <t>Birmarket</t>
  </si>
  <si>
    <t>Pashapay</t>
  </si>
  <si>
    <t>Biznesə dəstək departamenti</t>
  </si>
  <si>
    <t>Mikro biznes departamenti</t>
  </si>
  <si>
    <t>Kart biznesi ekspert mərkəzi</t>
  </si>
  <si>
    <t>Maliyyə risklərinin idarə edilməsi departamenti</t>
  </si>
  <si>
    <t>Arxitektura ekspert mərkəzi</t>
  </si>
  <si>
    <t>İT proseslərinin idarə edilməsi funksional sahəsi</t>
  </si>
  <si>
    <t>Kart klirinqi və hesablaşmalar şöbəsi</t>
  </si>
  <si>
    <t>Maliyyə hesabatlığı və mühasibatlıq departamenti</t>
  </si>
  <si>
    <t>Mühəndislik və texnoloji platformalar ekspert mərkəzi</t>
  </si>
  <si>
    <t>Ödəniş biznesinin TechOps funksional sahəsi</t>
  </si>
  <si>
    <t>Xidmət keyfiyyətinin idarə edilməsi departamenti</t>
  </si>
  <si>
    <t>İnzibati idarəetmə departamenti</t>
  </si>
  <si>
    <t>Strategiya və layihələrin idarə edilməsi departamenti</t>
  </si>
  <si>
    <t>Agile və məhsul ekspert mərkəzi</t>
  </si>
  <si>
    <t>Maliyyə menecmenti departamenti</t>
  </si>
  <si>
    <t>FinTech mühəndislik ekspert mərkəzi</t>
  </si>
  <si>
    <t>Ödəniş biznesinin mühəndislik ekspert mərkəzi</t>
  </si>
  <si>
    <t>BirApp texnologiyası sahəsi</t>
  </si>
  <si>
    <t>Təhlükəsizlik departamenti</t>
  </si>
  <si>
    <t>Fintech Analitika və Aİ ekspert mərkəzi</t>
  </si>
  <si>
    <t>İstedadların idarə edilməsi departamenti</t>
  </si>
  <si>
    <t>BirMarket</t>
  </si>
  <si>
    <t>Ekosistemin inkişafı və analitikası departamenti</t>
  </si>
  <si>
    <t>Müştəri dəyərləri sahəsi</t>
  </si>
  <si>
    <t>Məhsulların rəsmiləşdirilməsi sahəsi</t>
  </si>
  <si>
    <t>New</t>
  </si>
  <si>
    <t>Səbəb</t>
  </si>
  <si>
    <t>FinTech platformalar sahəsi</t>
  </si>
  <si>
    <t>Audit komitəsi</t>
  </si>
  <si>
    <t>Daxili audit departamenti</t>
  </si>
  <si>
    <t>Dizayn ekspert mərkəzi</t>
  </si>
  <si>
    <t>Xəzinədarlıq departamenti</t>
  </si>
  <si>
    <t>Kiçik və orta sahibkarlarla iş departamenti</t>
  </si>
  <si>
    <t>Korporativ satışlar departamenti</t>
  </si>
  <si>
    <t>Kredit risklərinin təhlili departamenti</t>
  </si>
  <si>
    <t>Kreditlərin hüquqi təqibi departamenti</t>
  </si>
  <si>
    <t>Kreditlərin ilkin təqibi departamenti</t>
  </si>
  <si>
    <t>Marketinq ekspert mərkəzi</t>
  </si>
  <si>
    <t>Prosessinq sahəsi</t>
  </si>
  <si>
    <t>Rəhbərlik</t>
  </si>
  <si>
    <t>VİP müştərilərlə iş şöbəsi</t>
  </si>
  <si>
    <t>Ekvayrinq texnologiyaları sahəsi</t>
  </si>
  <si>
    <t>Müştəri təcrübəsi ekspert mərkəzi</t>
  </si>
  <si>
    <t>Pərakəndə biznes platformaları sahəsi</t>
  </si>
  <si>
    <t>Ekosistem platforma və İD sahəsi</t>
  </si>
  <si>
    <t>Model risklərinin idarəedilməsi ekspert mərkəzi</t>
  </si>
  <si>
    <t>Ödəniş biznesinin Analitika və Aİ ekspert mərkəzi</t>
  </si>
  <si>
    <t>Aİ governance ekspert mərkəzi</t>
  </si>
  <si>
    <t>Strategiya idarəsi</t>
  </si>
  <si>
    <t>Data və Aİ idarəsi</t>
  </si>
  <si>
    <t>Beynəlxalq hesabatlıq və MİS departamenti</t>
  </si>
  <si>
    <t>FinTech TechOps funksional sahəsi</t>
  </si>
  <si>
    <t>FinTech arxitektura və İT idarəetmə prosesi</t>
  </si>
  <si>
    <t>Ödəniş biznesinin arxitektura və İT idarəetmə prosesi</t>
  </si>
  <si>
    <t>Filial</t>
  </si>
  <si>
    <t>Personal kod</t>
  </si>
  <si>
    <t>#</t>
  </si>
  <si>
    <t>İdarə Heyəti sədrinin müşaviri</t>
  </si>
  <si>
    <t>İdarə Heyəti sədrinin müşaviri (əvəzçilik qaydasında)</t>
  </si>
  <si>
    <t>Baş direktor</t>
  </si>
  <si>
    <t>Funksional lider</t>
  </si>
  <si>
    <t>Tech lead  (0,5 ştat vahidi üzrə əvəzçilik qaydasında)</t>
  </si>
  <si>
    <t>Məhsul sahibi</t>
  </si>
  <si>
    <t>Menecer</t>
  </si>
  <si>
    <t>Direktor müavini</t>
  </si>
  <si>
    <t>Şöbə müdiri</t>
  </si>
  <si>
    <t>Aparıcı mütəxəssis</t>
  </si>
  <si>
    <t>Mütəxəssis</t>
  </si>
  <si>
    <t>Katiblik bölməsi</t>
  </si>
  <si>
    <t>Şəxsi köməkçi</t>
  </si>
  <si>
    <t>Kiçik mütəxəssis</t>
  </si>
  <si>
    <t>İşəgötürən brendi və KSM funksional sahəsi</t>
  </si>
  <si>
    <t>İnternal communications function</t>
  </si>
  <si>
    <t>Baş mütəxəssis</t>
  </si>
  <si>
    <t>Direktor</t>
  </si>
  <si>
    <t>Məhkəmələr və hüquqi təminat şöbəsi</t>
  </si>
  <si>
    <t>Aparıcı hüquqşünas</t>
  </si>
  <si>
    <t>Hüquqşünas (əvəzçilik qaydasında)</t>
  </si>
  <si>
    <t>Mütəxəssis(əvəzçilik qaydasında)</t>
  </si>
  <si>
    <t>Ödəniş biznesinə hüquqi dəstək şöbəsi</t>
  </si>
  <si>
    <t>Baş hüquqşünas</t>
  </si>
  <si>
    <t>E-ticarət biznesinə hüquqi dəstək şöbəsi</t>
  </si>
  <si>
    <t>Hüquqşunas</t>
  </si>
  <si>
    <t>Korporativ hüquq və korporativ idarəetməyə hüquqi dəstək şöbəsi</t>
  </si>
  <si>
    <t>Menecer(əvəzçilik qaydasında)</t>
  </si>
  <si>
    <t>Təmir və Xidmət Şöbəsi</t>
  </si>
  <si>
    <t>Xadimə</t>
  </si>
  <si>
    <t>Xidmətçi</t>
  </si>
  <si>
    <t>Satınalma və Təchizat Şöbəsi</t>
  </si>
  <si>
    <t>Texniki işçi (0,5 ştat vahidi üzrə)</t>
  </si>
  <si>
    <t>Layihə rəhbəri</t>
  </si>
  <si>
    <t>HRBP və istedad cəlbi funksional sahəsi</t>
  </si>
  <si>
    <t>İnsan resursları üzrə biznes partnyor</t>
  </si>
  <si>
    <t>HR TechOps, performans və data funksional sahəsi</t>
  </si>
  <si>
    <t>Ecosystem HR operations &amp; Service delivery</t>
  </si>
  <si>
    <t>İstedadların cəlbi və biznes partnyorluq şöbəsi</t>
  </si>
  <si>
    <t>Təşkilati inkişaf və işçi bağlılığı funksional sahəsi</t>
  </si>
  <si>
    <t>Learning &amp; Development</t>
  </si>
  <si>
    <t>Ekosistem üzrə məhsul və proseslərdə komplayens dəstəyi şöbəsi</t>
  </si>
  <si>
    <t>Daxili mühasibatlıq şöbəsi</t>
  </si>
  <si>
    <t>Strategiya şöbəsi</t>
  </si>
  <si>
    <t>Ekosistemin inkişafı şöbəsi</t>
  </si>
  <si>
    <t>Məhsul üzrə menecer</t>
  </si>
  <si>
    <t>Kiçik biznes analitik</t>
  </si>
  <si>
    <t>Ekosistemin analitikası şöbəsi</t>
  </si>
  <si>
    <t>Baş data analitik</t>
  </si>
  <si>
    <t>Aparıcı biznes analitik</t>
  </si>
  <si>
    <t>Data analitik</t>
  </si>
  <si>
    <t>Kiçik data analitik</t>
  </si>
  <si>
    <t>Fəaliyyət göstəricilərinin idarəedilməsi şöbəsi</t>
  </si>
  <si>
    <t>Biznes analitik</t>
  </si>
  <si>
    <t>Layihələrin idarəedilməsi şöbəsi</t>
  </si>
  <si>
    <t>SƏTƏM şöbəsi</t>
  </si>
  <si>
    <t>Fraud halları və rəqəmsal əməliyyatların araşdırılması şöbəsi</t>
  </si>
  <si>
    <t>Maraq münaqişəsi və korrupsiya halları ilə iş bölməsi</t>
  </si>
  <si>
    <t>Bölmə rəhbəri</t>
  </si>
  <si>
    <t>Təhlükəsizlik sistemləri şöbəsi</t>
  </si>
  <si>
    <t>Terminal şəbəkəsinin təhlükəsizliyi şöbəsi</t>
  </si>
  <si>
    <t>Payment chapter</t>
  </si>
  <si>
    <t>Agile kouç</t>
  </si>
  <si>
    <t>Scrum master</t>
  </si>
  <si>
    <t>Sahə lideri</t>
  </si>
  <si>
    <t>Satışın təşkili və dəstək şöbəsi</t>
  </si>
  <si>
    <t>Sənədləşmə bölməsi</t>
  </si>
  <si>
    <t>Ekosistem məhsullarının satışı bölməsi</t>
  </si>
  <si>
    <t>Nağd əməliyyatlara dəstək şöbəsi</t>
  </si>
  <si>
    <t>İT BA chapter</t>
  </si>
  <si>
    <t>Nağd pul əməliyyatları şöbəsi</t>
  </si>
  <si>
    <t>İnkassasiya əməliyyatları şöbəsi</t>
  </si>
  <si>
    <t>İnkassasiya mərkəzləri ilə iş şöbəsi</t>
  </si>
  <si>
    <t>Ödəniş terminallarına texniki dəstək şöbəsi</t>
  </si>
  <si>
    <t>Baş mütəxəssis (Lənkaran regional inkassasiya mərkəzi üzrə)</t>
  </si>
  <si>
    <t>Baş mütəxəssis (Beylaqan regional inkassasiya mərkəzi üzrə)</t>
  </si>
  <si>
    <t xml:space="preserve">Aparıcı mütəxəssis </t>
  </si>
  <si>
    <t>Kassir-inkassator</t>
  </si>
  <si>
    <t>Kassir</t>
  </si>
  <si>
    <t>Pul və logistika əməliyyatları şöbəsi</t>
  </si>
  <si>
    <t>Kassir-inkassator(Naxçıvan regional inkassasiya mərkəzi üzrə)</t>
  </si>
  <si>
    <t>Kassir (Yevlax regional inkassasiya mərkəzi üzrə)</t>
  </si>
  <si>
    <t>Kassir-inkassator (Sumqayıt regional inkassasiya mərkəzi üzrə)</t>
  </si>
  <si>
    <t>Kassir-inkassator (Xaçmaz regional inkassasiya mərkəzi üzrə)</t>
  </si>
  <si>
    <t>Kassir-inkassator (Beyləqan regional inkassasiya mərkəzi üzrə)</t>
  </si>
  <si>
    <t>Kassir-inkassator (Gəncə regional inkassasiya mərkəzi üzrə)</t>
  </si>
  <si>
    <t>Kassir-inkassator (Tovuz regional inkassasiya mərkəzi üzrə)</t>
  </si>
  <si>
    <t>Kassir-inkassator (İsmayıllı regional inkassasiya mərkəzi üzrə)</t>
  </si>
  <si>
    <t>Kassir-inkassator (Şəki regional inkassasiya mərkəzi üzrə)</t>
  </si>
  <si>
    <t>Kassir-inkassator (Lənkəran regional inkassasiya mərkəzi üzrə)</t>
  </si>
  <si>
    <t>Kassir (Naxçıvan regional inkassasiya mərkəzi üzrə)</t>
  </si>
  <si>
    <t>Kassir-inkassator (Şirvan regional inkassasiya mərkəzi üzrə)</t>
  </si>
  <si>
    <t>Menecer (Şirvan regional inkassasiya mərkəzi üzrə)</t>
  </si>
  <si>
    <t>Ekspert funksional lider</t>
  </si>
  <si>
    <t>Payment analytics chapter</t>
  </si>
  <si>
    <t>Funksional lider (0,5 ştat vahidi üzrə əvəzçilik qaydasında)</t>
  </si>
  <si>
    <t>Analytics chapter</t>
  </si>
  <si>
    <t>Biznes analitik (0,5 ştat vahidi üzrə əvəzçilik qaydasında)</t>
  </si>
  <si>
    <t>Data Engineer 1</t>
  </si>
  <si>
    <t>Data mühəndisi</t>
  </si>
  <si>
    <t>Data proseslərin idarə edilməsi</t>
  </si>
  <si>
    <t>Data Quality</t>
  </si>
  <si>
    <t>Data keyfiyyəti üzrə mühəndis</t>
  </si>
  <si>
    <t>Data stevvard</t>
  </si>
  <si>
    <t>Data idarəedilməsi üzrə analitik</t>
  </si>
  <si>
    <t>Platforma təhlükəsizliyi şöbəsi</t>
  </si>
  <si>
    <t>Şəbəkə əməliyyatları şöbəsi</t>
  </si>
  <si>
    <t>Sistem və şəbəkənin idarə edilməsi şöbəsi</t>
  </si>
  <si>
    <t>Proqram mühəndisliyi funksional sahəsi</t>
  </si>
  <si>
    <t>Devops mühəndisi</t>
  </si>
  <si>
    <t>Softvvare chapter</t>
  </si>
  <si>
    <t>Sistem developer</t>
  </si>
  <si>
    <t>Backend developer</t>
  </si>
  <si>
    <t>Software chapter</t>
  </si>
  <si>
    <t>Frontend developer</t>
  </si>
  <si>
    <t>QA chapter</t>
  </si>
  <si>
    <t>QA mühəndis</t>
  </si>
  <si>
    <t>İT biznes analitik (0,5 ştat vahidi üzrə əvəzçilik qaydasında)</t>
  </si>
  <si>
    <t>Kredit risklərinin idarə edilməsi şöbəsi</t>
  </si>
  <si>
    <t>Məhsul dizayneri</t>
  </si>
  <si>
    <t>Graphic design</t>
  </si>
  <si>
    <t>Product designer 1</t>
  </si>
  <si>
    <t>Qrafik dizayner</t>
  </si>
  <si>
    <t>Müştəri təcrübəsi üzrə tədqiqatçı</t>
  </si>
  <si>
    <t>Customer Experience Expertise</t>
  </si>
  <si>
    <t>Müştəri təcrübəsinin tətbiqi üzrə ekspert</t>
  </si>
  <si>
    <t>İctimaiyyətlə əlaqələr prosesi</t>
  </si>
  <si>
    <t>İctimaiyyətlə əlaqələr üzrə ekspert</t>
  </si>
  <si>
    <t>Marketinq kommunikasiyaları prosesi</t>
  </si>
  <si>
    <t>Marketinq kommunikasiyaları üzrə ekspert</t>
  </si>
  <si>
    <t>Məhsulların marketinqi prosesi</t>
  </si>
  <si>
    <t>Məhsulların marketinqi üzrə ekspert</t>
  </si>
  <si>
    <t>Rəqəmsal marketinq prosesi</t>
  </si>
  <si>
    <t>Kreativ həllər üzrə ekspert</t>
  </si>
  <si>
    <t>Rəqəmsal marketinq üzrə ekspert</t>
  </si>
  <si>
    <t>Monitorinq şöbəsi</t>
  </si>
  <si>
    <t>Xidmət sektorları üzrə partnyorluq şöbəsi</t>
  </si>
  <si>
    <t>Gündəlik tələbat və səhiyyə sektoru üzrə partnyorluq şöbəsi</t>
  </si>
  <si>
    <t>Enerji,avto və e-ticarət üzrə partnyorluq şöbəsi</t>
  </si>
  <si>
    <t>Xüsusi tələbat məhsulları üzrə partnyorluq şöbəsi</t>
  </si>
  <si>
    <t>Merçendayzinq və monitorinq bölməsi</t>
  </si>
  <si>
    <t>Kiçik mütəxəssis (0,5 ştat vahidi üzrə)</t>
  </si>
  <si>
    <t>İT risklərinin idarə edilməsi şöbəsi</t>
  </si>
  <si>
    <t>Ödəniş biznesinin əməliyyat risklərinin idarə edilməsi şöbəsi</t>
  </si>
  <si>
    <t>ERM şöbəsi</t>
  </si>
  <si>
    <t>Layihələrin idarə edilməsi üzrə ekspert</t>
  </si>
  <si>
    <t>Texnoloji platformalar sahəsi</t>
  </si>
  <si>
    <t>Ekosistemin partnyor şəbəkəsi departamenti</t>
  </si>
  <si>
    <t>Şöbə
(Section)</t>
  </si>
  <si>
    <t>Bölmə 
(Subsection)</t>
  </si>
  <si>
    <t>Vəzifə
(Position)</t>
  </si>
  <si>
    <t>A</t>
  </si>
  <si>
    <t>HX</t>
  </si>
  <si>
    <t>P</t>
  </si>
  <si>
    <t>Aktiv, Passiv, HX, SM (Active, Passive,Social vacation)</t>
  </si>
  <si>
    <t>Paşa Holding</t>
  </si>
  <si>
    <t>Bir Payment</t>
  </si>
  <si>
    <t>Future lab</t>
  </si>
  <si>
    <t>Departament
(Department)</t>
  </si>
  <si>
    <t>Aparat rəhbəri</t>
  </si>
  <si>
    <t>Struktur dəyişiklik</t>
  </si>
  <si>
    <t>Struktur dəyişiklik və keçidlər</t>
  </si>
  <si>
    <t>Keçidlər</t>
  </si>
  <si>
    <t>Qeyd</t>
  </si>
  <si>
    <t>5 birmarket ştatı verilib, 4 ü istifade edilib</t>
  </si>
  <si>
    <t>yeni sahə</t>
  </si>
  <si>
    <t>struktur dəyişikliyi yoxdur</t>
  </si>
  <si>
    <t>Mikro məhsullar sahəsi, KOS və korporativ məhsullar sahəsi</t>
  </si>
  <si>
    <t>1 əlavə ştat yazdıq orxan qeyd</t>
  </si>
  <si>
    <t>yeni sahə və keçid</t>
  </si>
  <si>
    <t>softwate chapter</t>
  </si>
  <si>
    <t>Baş hüquqşünas (0,5 ştat vahidi üzrə)</t>
  </si>
  <si>
    <t>Aparıcı mütəxəssis (0,5 ştat vahidi üzrə)</t>
  </si>
  <si>
    <t>Kassir-inkassator (Beyləqan regional inkassasiya mərkəzi üzrə)(0,5 ştat vahidi üzrə əvəzçilik qaydasında)</t>
  </si>
  <si>
    <t>Baş mütəxəssis (Yevlax regional inkassasiya mərkəzi üzrə)</t>
  </si>
  <si>
    <t>Kassir-inkassator (Lənkaran regional inkassasiya mərkəzi üzrə)(0,5 ştat vahidi üzrə əvəzçilik qaydasında)</t>
  </si>
  <si>
    <t>Kassir-inkassator (Yevlax regional inkassasiya mərkəzi üzrə)(0,5 ştat vahidi üzrə əvəzçilik qaydasında)</t>
  </si>
  <si>
    <t>Kassir-inkassator (İsmayıllı regional inkassasiya mərkəzi üzrə)(0,5 ştat vahidi üzrə əvəzçilik qaydasında)</t>
  </si>
  <si>
    <t>Kassir-inkassator (Biləsuvar regional inkassasiya mərkəzi üzrə)(0,5 ştat vahidi üzrə əvəzçilik qaydasında)</t>
  </si>
  <si>
    <t>Kassir-inkassator (0,5 ştat vahidi üzrə əvəzçilik qaydasında)</t>
  </si>
  <si>
    <t>Kassir-inkassator (Sumqayıt regional inkassasiya mərkəzi üzrə)(0,5 ştat vahidi üzrə əvəzçilik qaydasında)</t>
  </si>
  <si>
    <t>Aparıcı mütəxəssis (Sumqayıt regional inkassasiya mərkəzi üzrə)(0,5 ştat vahidi üzrə əvəzçilik qaydasında)</t>
  </si>
  <si>
    <t>Kassir-inkassator(0,5 ştat vahidi üzrə əvəzçilik qaydasında)</t>
  </si>
  <si>
    <t>Kassir-inkassator (Gəncə regional inkassasiya mərkəzi üzrə)(0,5 ştat vahidi üzrə əvəzçilik qaydasında)</t>
  </si>
  <si>
    <t>Kassir-inkassator (Lənkəran regional inkassasiya mərkəzi üzrə)(0,5 ştat vahidi üzrə əvəzçilik qaydasında)</t>
  </si>
  <si>
    <t>Kassir-inkassator (Naxçıvan regional inkassasiya mərkəzi üzrə)(0,5 ştat vahidi üzrə əvəzçilik qaydasında)</t>
  </si>
  <si>
    <t>Kassir-inkassator (Şəki regional inkassasiya mərkəzi üzrə)(0,5 ştat vahidi üzrə əvəzçilik qaydasında)</t>
  </si>
  <si>
    <t>Kassir-inkassator (Şirvan regional inkassasiya mərkəzi üzrə)(0,5 ştat vahidi üzrə əvəzçilik qaydasında)</t>
  </si>
  <si>
    <t>Kassir-inkassator (Tovuz regional inkassasiya mərkəzi üzrə)(0,5 ştat vahidi üzrə əvəzçilik qaydasında)</t>
  </si>
  <si>
    <t>travel</t>
  </si>
  <si>
    <t>Aİ governance üzrə baş mütəxəssis</t>
  </si>
  <si>
    <t>Direktor müavini (əvəzçilik qaydasında)</t>
  </si>
  <si>
    <t>FinTech Analitika və Aİ ekspert mərkəzi</t>
  </si>
  <si>
    <t>Unit</t>
  </si>
  <si>
    <t>Number of employee</t>
  </si>
  <si>
    <t>Commercial Block</t>
  </si>
  <si>
    <t>Electronics Vertical</t>
  </si>
  <si>
    <t>Beauty Vertical</t>
  </si>
  <si>
    <t>Home goods Vertical</t>
  </si>
  <si>
    <t>FMCG Vertical</t>
  </si>
  <si>
    <t>Seller Excellence Department</t>
  </si>
  <si>
    <t>Content Operations Division</t>
  </si>
  <si>
    <t>Seller Product tribe</t>
  </si>
  <si>
    <t>C-level</t>
  </si>
  <si>
    <t>Vacant HCs</t>
  </si>
  <si>
    <t>Supply Chain Block</t>
  </si>
  <si>
    <t xml:space="preserve">Routes planning&amp;Delivery division </t>
  </si>
  <si>
    <t>Technologists division</t>
  </si>
  <si>
    <t>Monitoring Division</t>
  </si>
  <si>
    <t>PUDO Operations Division</t>
  </si>
  <si>
    <t>Returns division</t>
  </si>
  <si>
    <t>X-Border division</t>
  </si>
  <si>
    <t>Warehousing division</t>
  </si>
  <si>
    <t>Maintenance&amp;Facility division</t>
  </si>
  <si>
    <t>Logistics product tribe</t>
  </si>
  <si>
    <t>Interim Growth Block</t>
  </si>
  <si>
    <t>Marketing Department</t>
  </si>
  <si>
    <t>Data Analytics Department</t>
  </si>
  <si>
    <t>AI&amp;Modeling Department</t>
  </si>
  <si>
    <t>Buyer Experience Product Tribe</t>
  </si>
  <si>
    <t>Product Technology Block</t>
  </si>
  <si>
    <t>Engineering Department</t>
  </si>
  <si>
    <t>Infrastructure Technology Division</t>
  </si>
  <si>
    <t>Financial Block</t>
  </si>
  <si>
    <t>Financial Reporting &amp; Accounting Department</t>
  </si>
  <si>
    <t>Financial Planning &amp; Analytics Department</t>
  </si>
  <si>
    <t>Legal, Compliance &amp; Document Control Division</t>
  </si>
  <si>
    <t>Procurement Division</t>
  </si>
  <si>
    <t>People &amp; Culture Block</t>
  </si>
  <si>
    <t>HR Business Partnership Division</t>
  </si>
  <si>
    <t>Talent Division</t>
  </si>
  <si>
    <t>Performance Excellence Department</t>
  </si>
  <si>
    <t>PMO Department</t>
  </si>
  <si>
    <t>Client Care &amp; Marketplace Operations Department</t>
  </si>
  <si>
    <t>HSE Division</t>
  </si>
  <si>
    <t>Struktur adı</t>
  </si>
  <si>
    <t>Staff</t>
  </si>
  <si>
    <t>Vacant</t>
  </si>
  <si>
    <t>Baş Komplayens inzibatçısı</t>
  </si>
  <si>
    <t>Biznesin optimallaşdırılması şöbəsi</t>
  </si>
  <si>
    <t>Daxili nəzarət şöbəsi</t>
  </si>
  <si>
    <t>Frauda qarşı mübarizə şöbəsi</t>
  </si>
  <si>
    <t>Hesablaşmalar departamenti</t>
  </si>
  <si>
    <t>Hüquq Şöbəsi</t>
  </si>
  <si>
    <t>İnformasiya təhlükəsizliyi şöbəsi</t>
  </si>
  <si>
    <t>İnkassasiya Şöbəsi</t>
  </si>
  <si>
    <t xml:space="preserve">86 vakant yerdən 60 FTE-in relokasiyasına icazə verilmişdir. Bu vakantlar 34 FTE-in relokasiyası üçün istifadə olunacaqdır. İnkassasiya şöbəsində 26 vakant qalacaq. </t>
  </si>
  <si>
    <t xml:space="preserve"> </t>
  </si>
  <si>
    <t>İT şöbəsi</t>
  </si>
  <si>
    <t>Kross-sərhəd və satış sahəsi</t>
  </si>
  <si>
    <t xml:space="preserve">Hazırda 1 vakant var, lakin 3 FTE də bura relokasiya olunacaqdır. 34 FTE excelinin içində bu barədə məlumat var. </t>
  </si>
  <si>
    <t>Məhsullar Şöbəsi</t>
  </si>
  <si>
    <t>Mühasibatlıq departamenti</t>
  </si>
  <si>
    <t>Müştəri mükəmməlliyi departamenti</t>
  </si>
  <si>
    <t xml:space="preserve">3 FTE relokasiya olunacaq bura, 34 FTE-in içində qeyd olunub.  </t>
  </si>
  <si>
    <t>none structure</t>
  </si>
  <si>
    <t xml:space="preserve">Təhlükəsizlik departamenti </t>
  </si>
  <si>
    <t>Terminal biznesinə dəstək departamenti</t>
  </si>
  <si>
    <t>Terminal və ATM şəbəkəsinin idarə edilməsi departamenti</t>
  </si>
  <si>
    <t>Grand Total</t>
  </si>
  <si>
    <t>Cəmi</t>
  </si>
  <si>
    <t>1 pashapay</t>
  </si>
  <si>
    <t>2 pashapay</t>
  </si>
  <si>
    <t>-</t>
  </si>
  <si>
    <t>1 future lab</t>
  </si>
  <si>
    <t>11 pashapay ştatı verilib, hələki 5 i keçib</t>
  </si>
  <si>
    <t>10 birmarket, 8 pashapay ştatı verilib</t>
  </si>
  <si>
    <t>6 pashapay ştatı verilib</t>
  </si>
  <si>
    <t>8 pashapay,1 birmarket</t>
  </si>
  <si>
    <t>1 əlavə ştat əsaslandırma</t>
  </si>
  <si>
    <t>1 filialdan ştat</t>
  </si>
  <si>
    <t>1 kredit portfelinə nəzarət</t>
  </si>
  <si>
    <t>qeyd</t>
  </si>
  <si>
    <t>Müşahidə Şurası</t>
  </si>
  <si>
    <t>Müşahidə şurasının sədri (əvəzçilik qaydasında)</t>
  </si>
  <si>
    <t>Müşahidə şurasının üzvü, Audit komitəsinin sədri (əvəzçilik qaydasında)</t>
  </si>
  <si>
    <t>İdarə Heyətinin sədri, Baş icraçı direktor</t>
  </si>
  <si>
    <t>İdarə Heyəti sədrinin I müavini</t>
  </si>
  <si>
    <t>İdarə Heyəti sədrinin müavini, Baş Korporativ satış inzibatçısı</t>
  </si>
  <si>
    <t>İdarə Heyəti sədrinin müavini</t>
  </si>
  <si>
    <t>Baş komplayens inzibatçısı</t>
  </si>
  <si>
    <t>Baş Risk inzibatçısı</t>
  </si>
  <si>
    <t>Baş Maliyyə inzibatçısı</t>
  </si>
  <si>
    <t>Müşavir (İdarə Heyətinin sədri/baş icraçı direktorun ekosistem üzrə) (əvəzçilik üzrə)</t>
  </si>
  <si>
    <t>Ofis lideri</t>
  </si>
  <si>
    <t>İnformasiya texnologiyaları idarəsi</t>
  </si>
  <si>
    <t>Məhsul və marketinq idarəsi</t>
  </si>
  <si>
    <t>Əməliyyatlar ofisi</t>
  </si>
  <si>
    <t>Ödəniş məhsulları ofisi</t>
  </si>
  <si>
    <t>Data menecment ofisi</t>
  </si>
  <si>
    <t>Ekspert mərkəzinin lideri</t>
  </si>
  <si>
    <t>Ödəniş texnologiyaları ofisi</t>
  </si>
  <si>
    <t>Maliyyə ofisi</t>
  </si>
  <si>
    <t>Maliyyə risklərinin idarə edilməsi ofisi</t>
  </si>
  <si>
    <t>Tribe tech lead</t>
  </si>
  <si>
    <t>Tech lead</t>
  </si>
  <si>
    <t>Servis dayanıqlığı üzrə mühəndis</t>
  </si>
  <si>
    <t>Birbank Platform</t>
  </si>
  <si>
    <t>İdarəetmə orqanları və komitələrlə iş bölməsi</t>
  </si>
  <si>
    <t>Korporativ katib</t>
  </si>
  <si>
    <t>Ekosistem idarəetmə orqanları ilə iş bölməsi</t>
  </si>
  <si>
    <t>Şəxsi köməkçi (əvəzçilik qaydasında)</t>
  </si>
  <si>
    <t>Sənədlərin qeydiyyatı və dövriyyəsi bölməsi</t>
  </si>
  <si>
    <t>Baş mühasib</t>
  </si>
  <si>
    <t>Funksional sahə lideri</t>
  </si>
  <si>
    <t>aparıcı mütəxəssis</t>
  </si>
  <si>
    <t>Əməliyyat,komplayens və davamlı audit üzrə ekspert mərkəzi</t>
  </si>
  <si>
    <t>Audit meneceri</t>
  </si>
  <si>
    <t>Baş auditor</t>
  </si>
  <si>
    <t>Qrup rəhbəri</t>
  </si>
  <si>
    <t>Baş auditor (0,5 ştat vahidi üzrə)</t>
  </si>
  <si>
    <t>Aparıcı auditor</t>
  </si>
  <si>
    <t>Auditor</t>
  </si>
  <si>
    <t>Müştərilərlə iş üzrə baş mütəxəssis</t>
  </si>
  <si>
    <t>Audit köməkçisi</t>
  </si>
  <si>
    <t>Mühasibatlıq,büdcə və dəstək funksiyaları üzrə ekspert mərkəzi</t>
  </si>
  <si>
    <t>Bazar, kredit riskləri və modelləşmə üzrə ekspert mərkəzi</t>
  </si>
  <si>
    <t>ZEUS</t>
  </si>
  <si>
    <t>SM</t>
  </si>
  <si>
    <t>İT audit üzrə ekspert mərkəzi</t>
  </si>
  <si>
    <t>İT üzrə baş auditor</t>
  </si>
  <si>
    <t>İT üzrə aparıcı auditor</t>
  </si>
  <si>
    <t>İT üzrə audit köməkçisi</t>
  </si>
  <si>
    <t>İT üzrə auditor</t>
  </si>
  <si>
    <t>Hüquqşünas</t>
  </si>
  <si>
    <t>Arxiv şöbəsi</t>
  </si>
  <si>
    <t>Aparıcı mütəxəssis (Naxçıvan zonası üzrə)</t>
  </si>
  <si>
    <t>Mütəxəssis (Naxçıvan zonası üzrə)</t>
  </si>
  <si>
    <t>Kiçik mütəxəssis (Naxçıvan zonası üzrə)</t>
  </si>
  <si>
    <t>Bank məhsullarına hüquqi dəstək şöbəsi</t>
  </si>
  <si>
    <t>Metodologiya şöbəsi</t>
  </si>
  <si>
    <t>Mütəxəssis (müvəqqəti)</t>
  </si>
  <si>
    <t>Kiçik mütəxəssis (müvəqqəti)</t>
  </si>
  <si>
    <t>baş mütəxəssis</t>
  </si>
  <si>
    <t>BirTreasury</t>
  </si>
  <si>
    <t>İT biznes analitik</t>
  </si>
  <si>
    <t>Dilinq əməliyyatları şöbəsi</t>
  </si>
  <si>
    <t>Xəzinədarlıq əməliyyatları şöbəsi</t>
  </si>
  <si>
    <t>İnvestisiya şöbəsi</t>
  </si>
  <si>
    <t>Beynəlxalq bankçılıq şöbəsi</t>
  </si>
  <si>
    <t>Təmir və Xidmət şöbəsi</t>
  </si>
  <si>
    <t>Xadimə (0,5 ştat vahidi ilə Naxçıvan üzrə)</t>
  </si>
  <si>
    <t>Nəqliyyat şöbəsi</t>
  </si>
  <si>
    <t>Sürücü</t>
  </si>
  <si>
    <t>Sürücü (Naxçıvan üzrə)</t>
  </si>
  <si>
    <t>İnzibati Əməliyyatlar Şöbəsi</t>
  </si>
  <si>
    <t>Aparıcı Mütəxəssis</t>
  </si>
  <si>
    <t>Baş Mütəxəssis</t>
  </si>
  <si>
    <t>Usta</t>
  </si>
  <si>
    <t>Texniki işçi</t>
  </si>
  <si>
    <t xml:space="preserve"> Ekspert məhsul sahibi</t>
  </si>
  <si>
    <t>Community lead</t>
  </si>
  <si>
    <t>Ecosystem talent performance</t>
  </si>
  <si>
    <t>Performansın idarə edilməsi və işçi bağlılığı şöbəsi</t>
  </si>
  <si>
    <t>Ecosystem HR data</t>
  </si>
  <si>
    <t>Mütəxəssis(müvəqqəti)</t>
  </si>
  <si>
    <t>Employee Engagement</t>
  </si>
  <si>
    <t>Alternativ satış kanalları şöbəsi</t>
  </si>
  <si>
    <t>Lizinq və fondlarla iş şöbəsi</t>
  </si>
  <si>
    <t>şöbə müdiri</t>
  </si>
  <si>
    <t>Baş mütəxəssis (Gəncə zonası üzrə)</t>
  </si>
  <si>
    <t>Aparıcı mütəxəssis (Gəncə zonası üzrə)</t>
  </si>
  <si>
    <t>Baş mütəxəssis (Mingəçevir zonası üzrə)</t>
  </si>
  <si>
    <t>Baş mütəxəssis (Şirvan zonası üzrə)</t>
  </si>
  <si>
    <t>Aparıcı mütəxəssis (Zaqatala zonası üzrə)</t>
  </si>
  <si>
    <t>Mütəxəssis (Zaqatala zonası üzrə)</t>
  </si>
  <si>
    <t>aparıcı mütəxəssis (Şəki zonası üzrə)</t>
  </si>
  <si>
    <t>Mütəxəssis (Şəki zonası üzrə)</t>
  </si>
  <si>
    <t>Aparıcı mütəxəssis (Bərdə zonası üzrə)</t>
  </si>
  <si>
    <t>KOB filialı</t>
  </si>
  <si>
    <t>KOS satışlar şöbəsi</t>
  </si>
  <si>
    <t>Müdir</t>
  </si>
  <si>
    <t>Gənclik filialı</t>
  </si>
  <si>
    <t>KOB mərkəzi filialı</t>
  </si>
  <si>
    <t>Yasamal filialı</t>
  </si>
  <si>
    <t>Ticarət filialı</t>
  </si>
  <si>
    <t>Nəsimi filialı</t>
  </si>
  <si>
    <t>Mərkəz filialı</t>
  </si>
  <si>
    <t>menecer</t>
  </si>
  <si>
    <t>Ağ şəhər KOB mərkəzi filialı</t>
  </si>
  <si>
    <t>Müştərilərlə iş üzrə mütəxəssis</t>
  </si>
  <si>
    <t>Məlumat xidməti üzrə mütəxəssis</t>
  </si>
  <si>
    <t>Məlumat xidməti üzrə kiçik mütəxəssis</t>
  </si>
  <si>
    <t>ÇPY və TMM şöbəsi</t>
  </si>
  <si>
    <t>Müştərilərlə iş üzrə aparıcı mütəxəssis</t>
  </si>
  <si>
    <t>Aparıcı mütəxəssis(müvəqqəti)</t>
  </si>
  <si>
    <t>Komplayens risklərinin idarə edilməsi və monitorinq şöbəsi</t>
  </si>
  <si>
    <t>Baş mütəxəssis (müvəqqəti)</t>
  </si>
  <si>
    <t>Komplayens hesabatlığı şöbəsi</t>
  </si>
  <si>
    <t>Komplayens sahəsi üzrə fəaliyyətin idarə edilməsi şöbəsi</t>
  </si>
  <si>
    <t>Data və Aİ sahəsində uyğunluğa nəzarət şöbəsi</t>
  </si>
  <si>
    <t>Requlyativ uyğunluq şöbəsi</t>
  </si>
  <si>
    <t>Qeyri-kredit məhsullarının satışı şöbəsi</t>
  </si>
  <si>
    <t>Menecer (Naxçıvan zonası üzrə)</t>
  </si>
  <si>
    <t>Məlumat xidməti üzrə aparıcı mütəxəssis</t>
  </si>
  <si>
    <t>Müştərilərlə iş şöbəsi</t>
  </si>
  <si>
    <t>Əməliyyatların icrası və dəstək şöbəsi</t>
  </si>
  <si>
    <t>Requlyativ hesabatlıq şöbəsi</t>
  </si>
  <si>
    <t>Aparıcı mütəxəssis (müvəqqəti)</t>
  </si>
  <si>
    <t>MİS hesabatlıq</t>
  </si>
  <si>
    <t>İFRS hesabatlıq</t>
  </si>
  <si>
    <t>Modelləşdirmə,Qiymətləndirmə və Konsolidasiya olunmuş Hesabatliq</t>
  </si>
  <si>
    <t>Maddi motivasiyanın hesablanması şöbəsi</t>
  </si>
  <si>
    <t>Əməliyyatçı-kassir</t>
  </si>
  <si>
    <t>Maliyyə nəzarəti və uçotu şöbəsi</t>
  </si>
  <si>
    <t>Strategiya,büdcə və analitika şöbəsi</t>
  </si>
  <si>
    <t>Aktiv və passivlərin idarə edilməsi şöbəsi</t>
  </si>
  <si>
    <t>Fəaliyyət göstəricilərinin təyini və hesabatlılığı şöbəsi</t>
  </si>
  <si>
    <t>Kiçik mütəxəssis (0.5 ştat vahidi üzrə)</t>
  </si>
  <si>
    <t>Alternativ satışlar şöbəsi</t>
  </si>
  <si>
    <t>ƏM</t>
  </si>
  <si>
    <t>Mikro satışlar şöbəsi</t>
  </si>
  <si>
    <t>Mühafizə və rejim şöbəsi</t>
  </si>
  <si>
    <t>Kassa üzrə baş mütəxəssis</t>
  </si>
  <si>
    <t>Baş mütəxəssis (Naxçıvan zonası üzrə)</t>
  </si>
  <si>
    <t>Fraud hallarının idarə edilməsi şöbəsi</t>
  </si>
  <si>
    <t>Hüquq mühafizə orqanları ilə iş şöbəsi</t>
  </si>
  <si>
    <t>Operativ monitorinq bölməsi</t>
  </si>
  <si>
    <t>Video müşahidə və təhlükəsizlik analitikası şöbəsi</t>
  </si>
  <si>
    <t>Proseslər üzrə ekspert</t>
  </si>
  <si>
    <t>Ekosistem məhsullarının idarə edilməsi üzrə ekspert</t>
  </si>
  <si>
    <t>Scrum master(müvəqqəti)</t>
  </si>
  <si>
    <t>Registration and cabinet</t>
  </si>
  <si>
    <t>Account Opening, Payments and Cash Operations</t>
  </si>
  <si>
    <t>Transfers and Tariff</t>
  </si>
  <si>
    <t>CVM &amp; Engagement</t>
  </si>
  <si>
    <t>Əməliyyatların icrası şöbəsi</t>
  </si>
  <si>
    <t>Kiçik mütəxəssis (əvəzçilik qaydasında)</t>
  </si>
  <si>
    <t>Ödəniş əməliyyatları ofisi</t>
  </si>
  <si>
    <t>ATM və ekvayrinq biznesinə dəstək şöbəsi</t>
  </si>
  <si>
    <t>POS terminallara dəstək şöbəsi</t>
  </si>
  <si>
    <t>Xüsusi müştərilərlə iş şöbəsi</t>
  </si>
  <si>
    <t xml:space="preserve">Mütəxəssis </t>
  </si>
  <si>
    <t>Müştəri müraciətlərinin araşdırılması şöbəsi</t>
  </si>
  <si>
    <t>Retail loans</t>
  </si>
  <si>
    <t>Biznes müştərilərlə iş şöbəsi</t>
  </si>
  <si>
    <t>Biznesə texniki dəstək şöbəsi</t>
  </si>
  <si>
    <t>Kassa üzrə mütəxəssis</t>
  </si>
  <si>
    <t>Kassa üzrə aparıcı mütəxəssis</t>
  </si>
  <si>
    <t>Xidmət keyfiyyətinə nəzarət şöbəsi</t>
  </si>
  <si>
    <t>28 Mall filialı</t>
  </si>
  <si>
    <t>Xidmət strukturları ilə iş şöbəsi</t>
  </si>
  <si>
    <t>Müştəri məmnuniyyəti şöbəsi</t>
  </si>
  <si>
    <t>Məlumat xidməti üzrə mütəxəssis (müvəqqəti)</t>
  </si>
  <si>
    <t>Plastik kartların çapı və dəstəyi şöbəsi</t>
  </si>
  <si>
    <t>Motokuryer</t>
  </si>
  <si>
    <t>Kassir-inkassator (0,5 ştat vahidi üzrə)</t>
  </si>
  <si>
    <t>Kassir-inkassator (Biləsuvar regional inkassasiya mərkəzi üzrə)</t>
  </si>
  <si>
    <t>Kassir-inkassator (Yevlax regional inkassasiya mərkəzi üzrə)</t>
  </si>
  <si>
    <t>Kassir-inkassator (Naxçıvan regional inkassasiya mərkəzi üzrə)</t>
  </si>
  <si>
    <t>Kassa və inkassasiya əməliyyatlarının koordinasiyası şöbəsi</t>
  </si>
  <si>
    <t>Birbaşa satış və xidmət şöbəsi</t>
  </si>
  <si>
    <t>YSB-lərdə satış və xidmət şöbəsi</t>
  </si>
  <si>
    <t>Birbaşa satış bölməsi</t>
  </si>
  <si>
    <t>Baş mütəxəssis (Mərkəzi Aran zonası üzrə)</t>
  </si>
  <si>
    <t>Baş əməliyyatçı-kassir</t>
  </si>
  <si>
    <t>Aparıcı mütəxəssis(Gəncə-Daşkəsən zonası üzrə)</t>
  </si>
  <si>
    <t>Mütəxəssis(Şəki-Zaqatala zonası üzrə)</t>
  </si>
  <si>
    <t>Kiçik mütəxəssis (Şirvan-Salyan zonası üzrə)</t>
  </si>
  <si>
    <t>Kiçik mütəxəssis (Qarabağ zonası üzrə)</t>
  </si>
  <si>
    <t>Kiçik mütəxəssis (Quba-Xaçmaz zonası üzrə)</t>
  </si>
  <si>
    <t>Kiçik mütəxəssis(Mil-Muğan zonası üzrə)</t>
  </si>
  <si>
    <t>Yerində Xidmət bölməsi</t>
  </si>
  <si>
    <t>Mütəxəssis (Gəncə zonası üzrə)</t>
  </si>
  <si>
    <t>Kiçik mütəxəssis (Gəncə zonası üzrə)</t>
  </si>
  <si>
    <t>Yerində xidmət bölməsi</t>
  </si>
  <si>
    <t>Əlaqə mərkəzi şöbəsi</t>
  </si>
  <si>
    <t>Smart service</t>
  </si>
  <si>
    <t>Onlayn xidmətlər bölməsi</t>
  </si>
  <si>
    <t>Kiçik mütəxəssis (müvəqqəti) (0,5 ştat vahidi üzrə əvəzçilik qaydasında)</t>
  </si>
  <si>
    <t>Mütəxəssis (0,5 ştat vahidi üzrə əvəzçilik qaydasında)</t>
  </si>
  <si>
    <t>Kiçik mütəxəssis (0,5 ştat vahidi üzrə əvəzçilik qaydasında)</t>
  </si>
  <si>
    <t>Telefon mərkəzi bölməsi</t>
  </si>
  <si>
    <t>Məsafədən satış və xidmət şöbəsi</t>
  </si>
  <si>
    <t>Rəqəmsal satışlara xidmət bölməsi</t>
  </si>
  <si>
    <t>Onlayn hesablar bölməsi</t>
  </si>
  <si>
    <t>Satış Kanalları Departamenti</t>
  </si>
  <si>
    <t>Telemarketinq bölməsi</t>
  </si>
  <si>
    <t>Telesatış bölməsi</t>
  </si>
  <si>
    <t xml:space="preserve">Kiçik mütəxəssis </t>
  </si>
  <si>
    <t>ÖM</t>
  </si>
  <si>
    <t>Kredit məhsullarının satışının təşkili bölməsi</t>
  </si>
  <si>
    <t>Qeyri kredit məhsullarının satışının təşkili bölməsi</t>
  </si>
  <si>
    <t>Təminatlı kreditlərin satışının təşkili bölməsi</t>
  </si>
  <si>
    <t>İpoteka üzrə baş mütəxəssis</t>
  </si>
  <si>
    <t>Ekspert məhsul sahibi</t>
  </si>
  <si>
    <t>Birbank PFM</t>
  </si>
  <si>
    <t>Bir Enabler</t>
  </si>
  <si>
    <t>Birbank Mainpage</t>
  </si>
  <si>
    <t>BirSearch</t>
  </si>
  <si>
    <t>Ekspert Mərkəzinin lideri</t>
  </si>
  <si>
    <t>Segments</t>
  </si>
  <si>
    <t>Business CRM</t>
  </si>
  <si>
    <t>Micro scoring</t>
  </si>
  <si>
    <t>Ecosystem Analytics</t>
  </si>
  <si>
    <t>BirİD</t>
  </si>
  <si>
    <t>Analitika ekspert mərkəzi</t>
  </si>
  <si>
    <t>Ecosystem BA and DS</t>
  </si>
  <si>
    <t>Ecosystem x-sell and CLV</t>
  </si>
  <si>
    <t>Kart biznesinin analitikası və hesabatlılıq prosesi</t>
  </si>
  <si>
    <t>Cards Journey</t>
  </si>
  <si>
    <t>Lending portfolio</t>
  </si>
  <si>
    <t>Biznes analitik (müvəqqəti)</t>
  </si>
  <si>
    <t>Data və Aİ platformaları funksional sahəsi</t>
  </si>
  <si>
    <t>Data elmi üzrə ekspert</t>
  </si>
  <si>
    <t>Payments</t>
  </si>
  <si>
    <t>ATM/ADMs</t>
  </si>
  <si>
    <t>Bol ode</t>
  </si>
  <si>
    <t>Ecosystem</t>
  </si>
  <si>
    <t>Funding and debet portfolio</t>
  </si>
  <si>
    <t>Transfers</t>
  </si>
  <si>
    <t>VAT Refund</t>
  </si>
  <si>
    <t>Ecosystem Scoring</t>
  </si>
  <si>
    <t>Marketplace Scoring</t>
  </si>
  <si>
    <t>Aİ və Data elmi ekspert mərkəzi</t>
  </si>
  <si>
    <t>Aİ chapter</t>
  </si>
  <si>
    <t>Payment Aİ chapter</t>
  </si>
  <si>
    <t>Data scientist 3</t>
  </si>
  <si>
    <t>Data Engineer 3</t>
  </si>
  <si>
    <t>BirBank data engineering</t>
  </si>
  <si>
    <t>Data Engineer 2</t>
  </si>
  <si>
    <t>BirPayment data engineering</t>
  </si>
  <si>
    <t>Data metodikası üzrə ekspert</t>
  </si>
  <si>
    <t>Unified VVorkStream</t>
  </si>
  <si>
    <t>Branch Optimization</t>
  </si>
  <si>
    <t>RPA</t>
  </si>
  <si>
    <t>Operations Optimization</t>
  </si>
  <si>
    <t>Elma Docflovv</t>
  </si>
  <si>
    <t>İntranet 360</t>
  </si>
  <si>
    <t>İT hüquqlar və texniki dəstək şöbəsi</t>
  </si>
  <si>
    <t>İT xidmətlərinin idarə edilməsi şöbəsi</t>
  </si>
  <si>
    <t>Baş mütəxəssis (0,5 ştat vahidi üzrə)</t>
  </si>
  <si>
    <t>Şəbəkə təhlükəsizliyi şöbəsi</t>
  </si>
  <si>
    <t>İT hüquqlar bölməsi</t>
  </si>
  <si>
    <t>Texniki dəstək bölməsi</t>
  </si>
  <si>
    <t>İlkin dəstək bölməsi</t>
  </si>
  <si>
    <t>Sistemlərin idarə edilməsi bölməsi</t>
  </si>
  <si>
    <t>Rabitə sistemlərinin idarə edilməsi bölməsi</t>
  </si>
  <si>
    <t>Şəbəkənin idarə edilməsi bölməsi</t>
  </si>
  <si>
    <t>İT xidmətlərinin monitorinqi və hadisələrin idarə edilməsi şöbəsi</t>
  </si>
  <si>
    <t>Business İD</t>
  </si>
  <si>
    <t>DVS</t>
  </si>
  <si>
    <t>BPM</t>
  </si>
  <si>
    <t>DevOps və SRE funksional sahəsi</t>
  </si>
  <si>
    <t>Proses sahibi</t>
  </si>
  <si>
    <t>Platform mühəndisi</t>
  </si>
  <si>
    <t>Data platformaları üzrə mühəndis</t>
  </si>
  <si>
    <t>Aİ platformaları üzrə mühəndis</t>
  </si>
  <si>
    <t>Funksional Lider</t>
  </si>
  <si>
    <t>Funksional Sahə lideri</t>
  </si>
  <si>
    <t>Verilənlər bazalarının idarə edilməsi bölməsi</t>
  </si>
  <si>
    <t>Tech Lead</t>
  </si>
  <si>
    <t>Verilənlər bazası üzrə mühəndis</t>
  </si>
  <si>
    <t>İT proseslərinin idarə edilməsi üzrə ekspert</t>
  </si>
  <si>
    <t>Korporativ arxitektor</t>
  </si>
  <si>
    <t>Business cards</t>
  </si>
  <si>
    <t>Acquiring technology and chekout platform</t>
  </si>
  <si>
    <t>Sistem developer (0,5 ştat vahidi üzrə)</t>
  </si>
  <si>
    <t>Tribe tech Lead</t>
  </si>
  <si>
    <t>Backend developer (0,5 ştat vahidi üzrə)</t>
  </si>
  <si>
    <t>Mobile developer</t>
  </si>
  <si>
    <t>Cards, Accounts and Depozit journeys</t>
  </si>
  <si>
    <t>Credit journeys</t>
  </si>
  <si>
    <t>Mobile developer (müvəqqəti)</t>
  </si>
  <si>
    <t>Sistem developer(0,5 ştat vahidi üzrə)</t>
  </si>
  <si>
    <t>Secured Lending</t>
  </si>
  <si>
    <t>Frontend developer (müvəqqəti)</t>
  </si>
  <si>
    <t>SDET mühəndis</t>
  </si>
  <si>
    <t>Load mühəndis</t>
  </si>
  <si>
    <t>QA mühəndis (müvəqqəti)</t>
  </si>
  <si>
    <t>SDET mühəndis (0,5 ştat vahidi üzrə)</t>
  </si>
  <si>
    <t>Service Quality&amp;Platforms</t>
  </si>
  <si>
    <t>Prosessing</t>
  </si>
  <si>
    <t>İT BA Chapter</t>
  </si>
  <si>
    <t>OpenBanking</t>
  </si>
  <si>
    <t>Payment gatevvay</t>
  </si>
  <si>
    <t>Ödəniş biznesinin məhsullara nəzarət şöbəsi</t>
  </si>
  <si>
    <t>Girovlarla iş və qiymətləndirmə prosesinə nəzarət şöbəsi</t>
  </si>
  <si>
    <t>53 saylı Notariat şöbəsi</t>
  </si>
  <si>
    <t>Pərakəndə və ipoteka kredit risklərinin təhlili şöbəsi</t>
  </si>
  <si>
    <t>Korporativ kredit risklərinin təhlili şöbəsi</t>
  </si>
  <si>
    <t>KOS kredit risklərin təhlili şöbəsi</t>
  </si>
  <si>
    <t>Aparıcı mütəxəssis (Mingəçevir zonası üzrə)</t>
  </si>
  <si>
    <t>Baş mütəxəssis (Bərdə zonası üzrə)</t>
  </si>
  <si>
    <t>Baş mütəxəssis (Lənkəran zonası üzrə)</t>
  </si>
  <si>
    <t>Aparıcı mütəxəssis (Lənkəran zonası üzrə)</t>
  </si>
  <si>
    <t>Baş mütəxəssis (Zaqatala zonası üzrə)</t>
  </si>
  <si>
    <t>Kredit inzibatçılığına nəzarət şöbəsi</t>
  </si>
  <si>
    <t>Qarantiya və rəqəmsal kredit risklərinin təhlili şöbəsi</t>
  </si>
  <si>
    <t>Mikro kredit və lizinq risklərinin təhlili şöbəsi</t>
  </si>
  <si>
    <t>Business Scoring &amp; Decision Platform</t>
  </si>
  <si>
    <t>Kredit risklərinin texnoloji həlləri şöbəsi</t>
  </si>
  <si>
    <t>Agro Scoring</t>
  </si>
  <si>
    <t>Təqib Strategiyalarının idarə edilməsi və analitikası şöbəsi</t>
  </si>
  <si>
    <t>Maliyyə dayanıqlığı risklərinin idarə edilməsi və requlyativ tədqiqatı şöbəsi</t>
  </si>
  <si>
    <t>Bazar və likvidlik riskinin idarə edilməsi şöbəsi</t>
  </si>
  <si>
    <t>Product Designer 1</t>
  </si>
  <si>
    <t>Product Designer 2</t>
  </si>
  <si>
    <t>Sales channels</t>
  </si>
  <si>
    <t>Product Designer 3</t>
  </si>
  <si>
    <t>Product designer 4</t>
  </si>
  <si>
    <t>Product Designer 4</t>
  </si>
  <si>
    <t>UX Researcher</t>
  </si>
  <si>
    <t>İstifadəçi təcrübəsi üzrə tədqiqatçı</t>
  </si>
  <si>
    <t>Customer Experience Researcher</t>
  </si>
  <si>
    <t>Müştəri təcrübəsi üzrə analitika və araşdırma prosesi</t>
  </si>
  <si>
    <t>İnnovasiyalar üzrə ekspert</t>
  </si>
  <si>
    <t>Chargeback prosesi</t>
  </si>
  <si>
    <t>Chargeback üzrə baş mütəxəssis</t>
  </si>
  <si>
    <t>Chargeback üzrə mütəxəssis</t>
  </si>
  <si>
    <t>Chargeback üzrə aparıcı mütəxəssis</t>
  </si>
  <si>
    <t>Kart biznesinə təşkilati dəstək prosesi</t>
  </si>
  <si>
    <t>Kart biznesinə təşkilati dəstək üzrə aparıcı mütəxəssis</t>
  </si>
  <si>
    <t>Kart analitikası üzrə aparıcı mütəxəssis</t>
  </si>
  <si>
    <t>Kart analitikası üzrə mütəxəssis</t>
  </si>
  <si>
    <t>Kart analitikası üzrə kiçik mütəxəssis</t>
  </si>
  <si>
    <t>Analitika şöbəsi</t>
  </si>
  <si>
    <t>E-ticarət partnyorları bölməsi</t>
  </si>
  <si>
    <t>Debit cards and engagement</t>
  </si>
  <si>
    <t>Personalization &amp; Lifecycle</t>
  </si>
  <si>
    <t>Bonus Cabinet</t>
  </si>
  <si>
    <t>Club and Partnership</t>
  </si>
  <si>
    <t>Subscription and Gamification</t>
  </si>
  <si>
    <t>TechOps</t>
  </si>
  <si>
    <t>Payment integrations</t>
  </si>
  <si>
    <t>İnformasiya təhlükəsizliyi üzrə GRC şöbəsi</t>
  </si>
  <si>
    <t>Kibermüdafiə şöbəsi</t>
  </si>
  <si>
    <t>Məhsul təhlükəsizliyi şöbəsi</t>
  </si>
  <si>
    <t>Kiber fraudlarla mübarizə bölməsi</t>
  </si>
  <si>
    <t>kiçik mütəxəssis(0,5 ştat vahidi üzrə)</t>
  </si>
  <si>
    <t>mütəxəssis(0,5 ştat vahidi üzrə)</t>
  </si>
  <si>
    <t>İcra orqanları ilə iş şöbəsi</t>
  </si>
  <si>
    <t>Aparıcı hüquqşünas (Naxçıvan üzrə)</t>
  </si>
  <si>
    <t>Korporativ və təminatlı kreditlərlə iş şöbəsi</t>
  </si>
  <si>
    <t>Məhkəmələrlə iş şöbəsi</t>
  </si>
  <si>
    <t>Ümidsiz aktivlərin uçotu və qeydiyyat şöbəsi</t>
  </si>
  <si>
    <t>Digər kreditlər ilə iş şöbəsi</t>
  </si>
  <si>
    <t>İntensiv təqib şöbəsi</t>
  </si>
  <si>
    <t>Təhlil və dəstək şöbəsi</t>
  </si>
  <si>
    <t>İlkin təqib və dəstək bölməsi</t>
  </si>
  <si>
    <t>Ünvanda təqib şöbəsi</t>
  </si>
  <si>
    <t>Baş mütəxəssis (Tovuz zonası üzrə)</t>
  </si>
  <si>
    <t>Baş mütəxəssis (Yevlax zonası üzrə)</t>
  </si>
  <si>
    <t>Sumqayıt filialı</t>
  </si>
  <si>
    <t>Aparıcı mütəxəssis (Saatlı zonası üzrə)</t>
  </si>
  <si>
    <t>Aparıcı mütəxəssis (Bakı zonası üzrə)</t>
  </si>
  <si>
    <t>Aparıcı mütəxəssis (Cəlilabad zonası üzrə)</t>
  </si>
  <si>
    <t>Aparıcı mütəxəssis (Kürdəmir zonası üzrə)</t>
  </si>
  <si>
    <t>Aparıcı mütəxəssis (Şamaxı zonası üzrə)</t>
  </si>
  <si>
    <t>Aparıcı mütəxəssis (Şəmkir zonası üzrə)</t>
  </si>
  <si>
    <t>Aparıcı mütəxəssis (Ağstafa zonası üzrə)</t>
  </si>
  <si>
    <t>Mütəxəssis (Astara zonası üzrə)</t>
  </si>
  <si>
    <t>Aparıcı mütəxəssis (Ağcabədi zonası üzrə)</t>
  </si>
  <si>
    <t>Mütəxəssis (Ağcabədi zonası üzrə)</t>
  </si>
  <si>
    <t>Aparıcı mütəxəssis (İmişli zonası üzrə)</t>
  </si>
  <si>
    <t>Aparıcı mütəxəssis (Salyan zonası üzrə)</t>
  </si>
  <si>
    <t>Aparıcı mütəxəssis (Siyəzən zonası üzrə)</t>
  </si>
  <si>
    <t>Mütəxəssis (Quba zonası üzrə)</t>
  </si>
  <si>
    <t>Fərhad Fərhadlı filialı</t>
  </si>
  <si>
    <t>Mütəxəssis (Saatlı zonası üzrə)</t>
  </si>
  <si>
    <t>Mütəxəssis (Göyçay zonası üzrə)</t>
  </si>
  <si>
    <t>Mütəxəssis (İsmayıllı zonası üzrə)</t>
  </si>
  <si>
    <t>Mütəxəssis (Biləsuvar zonası üzrə)</t>
  </si>
  <si>
    <t>Mütəxəssis (Beyləqan zonası üzrə)</t>
  </si>
  <si>
    <t>Mütəxəssis (Şirvan zonası üzrə)</t>
  </si>
  <si>
    <t>Mütəxəssis (Masallı zonası üzrə)</t>
  </si>
  <si>
    <t>Mütəxəssis (Goranboy zonası üzrə)</t>
  </si>
  <si>
    <t>Biznes kreditlərinin monitorinqi şöbəsi</t>
  </si>
  <si>
    <t>FinTech biznesinin məhsullara nəzarət şöbəsi</t>
  </si>
  <si>
    <t>Kiçik mütəxəssis(0,5 ştat vahidi üzrə)</t>
  </si>
  <si>
    <t>Nağd vəsaitlər və qiymətlilərə nəzarət şöbəsi</t>
  </si>
  <si>
    <t>Qiymətlilərlə işə nəzarət bölməsi</t>
  </si>
  <si>
    <t>Risk hadisələrinin idarə edilməsi şöbəsi</t>
  </si>
  <si>
    <t>Kreditləşmə şərtlərinə nəzarət şöbəsi</t>
  </si>
  <si>
    <t>Aparıcı mütəxəssis (Qusar zonası üzrə)</t>
  </si>
  <si>
    <t>Aparıcı mütəxəssis (Şəki zonası üzrə)</t>
  </si>
  <si>
    <t>Modellərin validasiyası chapter</t>
  </si>
  <si>
    <t>MRM chapter</t>
  </si>
  <si>
    <t>Modellərin validasiyası üzrə aparıcı mütəxəssis</t>
  </si>
  <si>
    <t>MRM üzrə mütəxəssis</t>
  </si>
  <si>
    <t>Modellərin validasiyası üzrə mütəxəssis</t>
  </si>
  <si>
    <t>Modellərin validasiyası üzrə kiçik mütəxəssis</t>
  </si>
  <si>
    <t>Data risklərinin idarə edilməsi bölməsi</t>
  </si>
  <si>
    <t>FinTech biznesinin əməliyyat risklərinin idarə edilməsi şöbəsi</t>
  </si>
  <si>
    <t>B2B &amp; Digital Experience</t>
  </si>
  <si>
    <t>Lending and leasing</t>
  </si>
  <si>
    <t>1 saylı Notariat şöbəsi</t>
  </si>
  <si>
    <t>Xidmət bölməsi</t>
  </si>
  <si>
    <t>4 saylı Notariat şöbəsi</t>
  </si>
  <si>
    <t xml:space="preserve">Aparıcı əməliyyatçı-kassir </t>
  </si>
  <si>
    <t>Kiçik əməliyyatçı-kassir</t>
  </si>
  <si>
    <t>6 saylı Notariat şöbəsi</t>
  </si>
  <si>
    <t>7 saylı Notariat şöbəsi</t>
  </si>
  <si>
    <t xml:space="preserve">Kiçik əməliyyatçı-kassir </t>
  </si>
  <si>
    <t>12 saylı Notariat şöbəsi</t>
  </si>
  <si>
    <t>13 saylı Notariat şöbəsi</t>
  </si>
  <si>
    <t>Kiçik əməliyyatçı-kassir (müvəqqəti)</t>
  </si>
  <si>
    <t>14 saylı Notariat şöbəsi</t>
  </si>
  <si>
    <t>İnzibati bölmə</t>
  </si>
  <si>
    <t>Xadimə (0,5 ştat vahidi üzrə)</t>
  </si>
  <si>
    <t>15 saylı Notariat şöbəsi</t>
  </si>
  <si>
    <t>16 saylı Notariat şöbəsi</t>
  </si>
  <si>
    <t>18 saylı Notariat şöbəsi</t>
  </si>
  <si>
    <t>19 saylı Notariat şöbəsi</t>
  </si>
  <si>
    <t>Bakı 2 saylı Notariat şöbəsi</t>
  </si>
  <si>
    <t>21 saylı Notariat şöbəsi</t>
  </si>
  <si>
    <t xml:space="preserve">Baş əməliyyatçı-kassir </t>
  </si>
  <si>
    <t>22 saylı Notariat şöbəsi</t>
  </si>
  <si>
    <t>23 saylı Notariat şöbəsi</t>
  </si>
  <si>
    <t>26 saylı Notariat şöbəsi</t>
  </si>
  <si>
    <t>32 saylı Notariat şöbəsi</t>
  </si>
  <si>
    <t>35 saylı Notariat şöbəsi</t>
  </si>
  <si>
    <t>38 saylı Notariat şöbəsi</t>
  </si>
  <si>
    <t>50 saylı Notariat şöbəsi</t>
  </si>
  <si>
    <t>Aparıcı əməliyyatçı-kassir (müvəqqəti)</t>
  </si>
  <si>
    <t>51 saylı Notariat şöbəsi</t>
  </si>
  <si>
    <t>52 saylı Notariat şöbəsi</t>
  </si>
  <si>
    <t>54 saylı Notariat şöbəsi</t>
  </si>
  <si>
    <t>Sumqayıt 1 saylı Notariat şöbəsi</t>
  </si>
  <si>
    <t>Bakı Limanı şöbəsi</t>
  </si>
  <si>
    <t>Laçın filialı</t>
  </si>
  <si>
    <t>Buzovna şöbəsi</t>
  </si>
  <si>
    <t>Dəmiryol şöbəsi</t>
  </si>
  <si>
    <t>Hava limanı şöbəsi</t>
  </si>
  <si>
    <t>Logistika şöbəsi</t>
  </si>
  <si>
    <t>4 saylı Bakı Asan filialı</t>
  </si>
  <si>
    <t>7 saylı Bakı Asan filialı</t>
  </si>
  <si>
    <t>1 saylı Sumqayıt Asan filialı</t>
  </si>
  <si>
    <t>Əməliyyatçı-kassir (müvəqqəti)</t>
  </si>
  <si>
    <t>2 saylı Sumqayıt Asan filialı</t>
  </si>
  <si>
    <t>Müştərilərlə iş üzrə kiçik mütəxəssis</t>
  </si>
  <si>
    <t>Kassa üzrə kiçik mütəxəssis</t>
  </si>
  <si>
    <t>Abşeron  filialı</t>
  </si>
  <si>
    <t>Məlumat xidməti üzrə kiçik mütəxəssis (müvəqqəti)</t>
  </si>
  <si>
    <t>Mikro kredit bölməsi</t>
  </si>
  <si>
    <t>İpoteka üzrə aparıcı mütəxəssis</t>
  </si>
  <si>
    <t>Azadlıq filialı</t>
  </si>
  <si>
    <t>Bakıxanov filialı</t>
  </si>
  <si>
    <t>Kassa üzrə kiçik mütəxəssis (müvəqqəti)</t>
  </si>
  <si>
    <t>Müştərilərlə iş üzrə mütəxəssis (müvəqqəti)</t>
  </si>
  <si>
    <t>Binəqədi filialı</t>
  </si>
  <si>
    <t>müştərilərlə iş üzrə baş mütəxəssis</t>
  </si>
  <si>
    <t>Müştərilərlə iş üzrə kiçik mütəxəssis (müvəqqəti)</t>
  </si>
  <si>
    <t>Bravo 2 filialı</t>
  </si>
  <si>
    <t>Bravo 3 filialı</t>
  </si>
  <si>
    <t>Cəfər Cabbarlı filialı</t>
  </si>
  <si>
    <t>Kassa üzrə aparıcı mütəxəssis (müvəqqəti)</t>
  </si>
  <si>
    <t>Əhmədli filialı</t>
  </si>
  <si>
    <t>Masazır filialı</t>
  </si>
  <si>
    <t>Hüseyn Cavid filialı</t>
  </si>
  <si>
    <t>Gənclik mall filialı</t>
  </si>
  <si>
    <t>Həzi Aslanov filialı</t>
  </si>
  <si>
    <t>Müştərilərlə iş üzrə aparıcı mütəxəssis(müvəqqəti)</t>
  </si>
  <si>
    <t>Xəzər filialı</t>
  </si>
  <si>
    <t>Əməliyyatçı-kassir(müvəqqəti)</t>
  </si>
  <si>
    <t>Xırdalan filialı</t>
  </si>
  <si>
    <t>Müştərilərlə iş üzrə aparıcı mütəxəssis (müvəqqəti)</t>
  </si>
  <si>
    <t>İçərişəhər filialı</t>
  </si>
  <si>
    <t>İnşaatçılar filialı</t>
  </si>
  <si>
    <t>Qara Qarayev filialı</t>
  </si>
  <si>
    <t>Müştərilərlə iş üzrə kiçik mütəxəssis (0,5 ştat vahidi üzrə)</t>
  </si>
  <si>
    <t>Qaradağ  filialı</t>
  </si>
  <si>
    <t>Qubadlı filialı</t>
  </si>
  <si>
    <t>Məhəmməd Hadi filialı</t>
  </si>
  <si>
    <t>Kassa üzrə mütəxəssis (müvəqqəti)</t>
  </si>
  <si>
    <t>İpoteka üzrə mütəxəssis</t>
  </si>
  <si>
    <t>VİP bölməsi</t>
  </si>
  <si>
    <t>Port Baku filialı</t>
  </si>
  <si>
    <t>Baş mütəxəssis(müvəqqəti)</t>
  </si>
  <si>
    <t>Neftçilər filialı</t>
  </si>
  <si>
    <t>Nərimanov  filialı</t>
  </si>
  <si>
    <t>Xalqlar Dostluğu filialı</t>
  </si>
  <si>
    <t>Sabunçu filialı</t>
  </si>
  <si>
    <t>Sahil filialı</t>
  </si>
  <si>
    <t>Səbail filialı</t>
  </si>
  <si>
    <t>Suraxanı  filialı</t>
  </si>
  <si>
    <t>8-ci mikrorayon filialı</t>
  </si>
  <si>
    <t>Təbriz filialı</t>
  </si>
  <si>
    <t>Zəfər filialı</t>
  </si>
  <si>
    <t>Ağcabədi şöbəsi</t>
  </si>
  <si>
    <t>Balakən şöbəsi</t>
  </si>
  <si>
    <t>Xaçmaz şöbəsi</t>
  </si>
  <si>
    <t>İmişli şöbəsi</t>
  </si>
  <si>
    <t>Kürdəmir şöbəsi</t>
  </si>
  <si>
    <t>Qazax şöbəsi</t>
  </si>
  <si>
    <t>Qəbələ şöbəsi</t>
  </si>
  <si>
    <t>Mingəçevir şöbəsi</t>
  </si>
  <si>
    <t>Salyan şöbəsi</t>
  </si>
  <si>
    <t>Şamaxı şöbəsi</t>
  </si>
  <si>
    <t>Şəki şöbəsi</t>
  </si>
  <si>
    <t>Tovuz şöbəsi</t>
  </si>
  <si>
    <t>Ağcabədi  filialı</t>
  </si>
  <si>
    <t>Ağdam filialı</t>
  </si>
  <si>
    <t>Ağdaş  filialı</t>
  </si>
  <si>
    <t>Ağstafa  filialı</t>
  </si>
  <si>
    <t>Ağsu  filialı</t>
  </si>
  <si>
    <t>Culfa filialı</t>
  </si>
  <si>
    <t>Astara  filialı</t>
  </si>
  <si>
    <t>Balakən  filialı</t>
  </si>
  <si>
    <t>Beyləqan  filialı</t>
  </si>
  <si>
    <t>Bərdə  filialı</t>
  </si>
  <si>
    <t>Naftalan şəhər filialı</t>
  </si>
  <si>
    <t>Biləsuvar  filialı</t>
  </si>
  <si>
    <t>Cəbrayıl filialı</t>
  </si>
  <si>
    <t>Cəlilabad  filialı</t>
  </si>
  <si>
    <t>Cənub filialı</t>
  </si>
  <si>
    <t>Daşkəsən  filialı</t>
  </si>
  <si>
    <t>Foodcity filialı</t>
  </si>
  <si>
    <t>Füzuli  filialı</t>
  </si>
  <si>
    <t>Gədəbəy  filialı</t>
  </si>
  <si>
    <t>Gəncə filialı</t>
  </si>
  <si>
    <t>Nizami filialı</t>
  </si>
  <si>
    <t>Goranboy filialı</t>
  </si>
  <si>
    <t>Göyçay filialı</t>
  </si>
  <si>
    <t>Göygöl  filialı</t>
  </si>
  <si>
    <t>Hacıqabul  filialı</t>
  </si>
  <si>
    <t>Xaçmaz  filialı</t>
  </si>
  <si>
    <t>Xaçmaz Notariat şöbəsi</t>
  </si>
  <si>
    <t>Xankəndi filialı</t>
  </si>
  <si>
    <t>İmişli  filialı</t>
  </si>
  <si>
    <t>İsmayıllı  filialı</t>
  </si>
  <si>
    <t>Kəpəz filialı</t>
  </si>
  <si>
    <t>Kürdəmir filialı</t>
  </si>
  <si>
    <t xml:space="preserve">Məlumat xidməti üzrə kiçik mütəxəssis </t>
  </si>
  <si>
    <t>Qax  filialı</t>
  </si>
  <si>
    <t>Qazax  filialı</t>
  </si>
  <si>
    <t xml:space="preserve">Müştərilərlə iş üzrə mütəxəssis </t>
  </si>
  <si>
    <t>Qəbələ  filialı</t>
  </si>
  <si>
    <t>Qərb filialı</t>
  </si>
  <si>
    <t>Qobustan  filialı</t>
  </si>
  <si>
    <t>Quba  filialı</t>
  </si>
  <si>
    <t>Qusar  filialı</t>
  </si>
  <si>
    <t>Lerik filialı</t>
  </si>
  <si>
    <t>Lənkəran şəhər filialı</t>
  </si>
  <si>
    <t>Lənkəran şöbəsi</t>
  </si>
  <si>
    <t>Masallı  filialı</t>
  </si>
  <si>
    <t>Mingəçevir şəhər filialı</t>
  </si>
  <si>
    <t>Neftçala  filialı</t>
  </si>
  <si>
    <t>Oğuz filialı</t>
  </si>
  <si>
    <t>Saatlı  filialı</t>
  </si>
  <si>
    <t>Sabirabad  filialı</t>
  </si>
  <si>
    <t>Salyan  filialı</t>
  </si>
  <si>
    <t>Samux  filialı</t>
  </si>
  <si>
    <t>Siyəzən  filialı</t>
  </si>
  <si>
    <t>Şabran filialı</t>
  </si>
  <si>
    <t>Şamaxı  filialı</t>
  </si>
  <si>
    <t>Şəki  filialı</t>
  </si>
  <si>
    <t>Şəmkir  filialı</t>
  </si>
  <si>
    <t>Şimal filialı</t>
  </si>
  <si>
    <t>Şirvan şəhər filialı</t>
  </si>
  <si>
    <t>Şuşa filialı</t>
  </si>
  <si>
    <t>Tərtər  filialı</t>
  </si>
  <si>
    <t>Tovuz  filialı</t>
  </si>
  <si>
    <t>Ucar filialı</t>
  </si>
  <si>
    <t>Yardımlı  filialı</t>
  </si>
  <si>
    <t>Yevlax  filialı</t>
  </si>
  <si>
    <t>Zaqatala  filialı</t>
  </si>
  <si>
    <t>Zəngilan filialı</t>
  </si>
  <si>
    <t>Zərdab  filialı</t>
  </si>
  <si>
    <t>Culfa şöbəsi</t>
  </si>
  <si>
    <t>Kəngərli şöbəsi</t>
  </si>
  <si>
    <t>Kəngərli filialı</t>
  </si>
  <si>
    <t>Naxçıvan Gömrük şöbəsi</t>
  </si>
  <si>
    <t>Naxçıvan şöbəsi</t>
  </si>
  <si>
    <t>Şərur filialı</t>
  </si>
  <si>
    <t>Sədərək şöbəsi</t>
  </si>
  <si>
    <t>Sədərək filialı</t>
  </si>
  <si>
    <t>Babək filialı</t>
  </si>
  <si>
    <t>Naxçıvan filialı</t>
  </si>
  <si>
    <t>Ordubad filialı</t>
  </si>
  <si>
    <t>Xadimə (0,5 ştat vahidi üzrə əvəzçilik qaydasında)</t>
  </si>
  <si>
    <t>Şahbuz filialı</t>
  </si>
  <si>
    <t>Kapital Banka işə qəbul olunduğu tarix 
(Hire date)</t>
  </si>
  <si>
    <t>OPCO N 22</t>
  </si>
  <si>
    <t>Hansı sahə</t>
  </si>
  <si>
    <t>Neçə ştat</t>
  </si>
  <si>
    <t>Tarix</t>
  </si>
  <si>
    <t>Protokol/ təsdiq</t>
  </si>
  <si>
    <t>OPCO N 38</t>
  </si>
  <si>
    <t>İnformasiya təhlükəsizliyi</t>
  </si>
  <si>
    <t>OPCO N 15</t>
  </si>
  <si>
    <t>OPCO N14</t>
  </si>
  <si>
    <t>Birapp, Bir search</t>
  </si>
  <si>
    <t>OPCO N 13</t>
  </si>
  <si>
    <t>Birinvest</t>
  </si>
  <si>
    <t>Mühəndislik və texnoloji platform, data və Aİ</t>
  </si>
  <si>
    <t>Müşahidə şurası</t>
  </si>
  <si>
    <t>Pərakəndə məhsullar ofisi</t>
  </si>
  <si>
    <t>Non-Agile</t>
  </si>
  <si>
    <t>Agile</t>
  </si>
  <si>
    <t>Non agile, agile, filial</t>
  </si>
  <si>
    <t>Rəqəmsal dələduzluq</t>
  </si>
  <si>
    <t>pashapay</t>
  </si>
  <si>
    <t>holdinq</t>
  </si>
  <si>
    <t>pashapaydan bura</t>
  </si>
  <si>
    <t>07.07.2026 tamillla x ok</t>
  </si>
  <si>
    <t>11.09.2026 tamilla x ok</t>
  </si>
  <si>
    <t>əsaslandırılmalı</t>
  </si>
  <si>
    <t>başqa sahənin parçalanması</t>
  </si>
  <si>
    <t>Fərq səbəbi</t>
  </si>
  <si>
    <t>2 si  Ödəniş biznesinin arxitektura və İT idarəetmə prosesi prosesi, 4 İT proseslərinin idarə edilməsi funksional sahəsi</t>
  </si>
  <si>
    <t>1- müştəri təcrübəsi ekspert mərkəzinə geri verilib</t>
  </si>
  <si>
    <t>1-nağd pulların idarə edilməsi dep verilib</t>
  </si>
  <si>
    <t>3-marketinqdən,pashapaydan , dizayn ekspert mərkəzindən</t>
  </si>
  <si>
    <t>31 nəzarət,+3 maliyyə risk id ed, +1 biznes risk texnologiyaları sahəsi, +1 pərakəndə risk texnologiyaları sahəsi, -1 fintech mühəndislik , -1 fintech analitika</t>
  </si>
  <si>
    <t>15 devops ekspert mərkəzi, 1 fintech mühəndislik</t>
  </si>
  <si>
    <t>18 verildi xkied, -35 nağd pulların id edilməsi, -8 kart klirinqi və hesablaşmalar, -30 texniki dəstək, +11 satış kanalları, +6 maliyyə hesabatlıq</t>
  </si>
  <si>
    <t>11 rəqəmsal dələduzluğa qarşı mübarizə dep</t>
  </si>
  <si>
    <t>1 birmarket boş ştat, 1 nəzarət dep verilib</t>
  </si>
  <si>
    <t>4 arxitektura ekspert mərkəzindən,1 ödəniş biznesinin analitika və ai sahəsindən</t>
  </si>
  <si>
    <t>1 pashapay, 1 holdinq, 1 birmarket</t>
  </si>
  <si>
    <t>2 agile və məhsul eksp m, 10 layihələrin id ed eksp m,5 maliyyə menecmenti dep, +1 agile və məhs eksp m(orxan), 3 boş ştat(1 pashapay,1 holdinq, 1 birmarket)</t>
  </si>
  <si>
    <t>1 pashapay işdən çıxan əməkdaşın ştatı əlavə edildi</t>
  </si>
  <si>
    <t>1 biznesə dəstək, -2 proqram müh coe(mikro biznes),-1 QA(mikro biznes dep), -1 Fintech analitika(xkied), -1 Təhlükəsizlik, -4  fintech müh(rəqəmsal həllər), -1 vip şöbəsi</t>
  </si>
  <si>
    <t>41mikro biznes dep, -11 Biznesə dəstək dep, -2 Fintech marketinq(müştəri dəyərləri), -2 Fintech Analitika və Aİ(müştəri dəyərləri),-3 Fintech mühəndislik (müştəri dəyərləri),-1 Müştəri dəyərləri, -4 fintech mühəndislik məhsulların rəsmiləşd.sahəsi, -1 Fintech analitika və ai(skd), -2 Rəqəmsal dələduzluğa qarşı mübarizə dep, +1 Fintech analitika və ai(skd)(lazım olmadı geri qaytarıldı), -3 Mühəndislik və texnoloji platform</t>
  </si>
  <si>
    <t>1OPCO 13N 14.06.2026</t>
  </si>
  <si>
    <t>11 Pashapay, +5 devops coe, +1 analitika coe, -10 İnformasiya təhlükəsizliyi, +1Birmarket keçid üçün</t>
  </si>
  <si>
    <t>1  Fintech müh(pərakəndə biznes platform)-OPCO N 20, 27.07.2026</t>
  </si>
  <si>
    <t>2 paşa holdinq boş ştat</t>
  </si>
  <si>
    <t>1 asiman ştatı pmem dən,1 Fintech mühəndislik(texnoloji platformalar)(MF İD 11988), +1 Fintech müh(fintech platform)(MF İD = 11987 nin relokasiyası)</t>
  </si>
  <si>
    <t>2 arxitektura coe, +3 IT Governance Expert,Area Lead ,Architect ştat alındı</t>
  </si>
  <si>
    <t>1 xkied</t>
  </si>
  <si>
    <t xml:space="preserve">5 strategiya və layihələrin id ed </t>
  </si>
  <si>
    <t>1 Daxili komm və korp sosial məs verildi, +1 birmarket, -48 təşkilati inkişaf və hr texn, -1 Təşkilati inkişaf və HR(xuraman həsənova), -1 Müjgan Rüstəmli ştatı(Təşkilati inkişaf və HR verildi)</t>
  </si>
  <si>
    <t>48 iied, 8 daxili komm, +1İstedadların idarə edilməsi dep, +1 Pashapaydan Zabeta ştatı, +1 İİEDdən(Müjgan Rüstəmli ştatı),</t>
  </si>
  <si>
    <t>2 birmarket, 1 pashapay ştat boş</t>
  </si>
  <si>
    <t>2 Fintech müh(kredit portf nəzarət dep) verildi, -1 Maliyyə risk.id.olunması</t>
  </si>
  <si>
    <t>1 filialdan bura</t>
  </si>
  <si>
    <t>1 kreditlərin ilkin təqibindən</t>
  </si>
  <si>
    <t>4 pashapay boş ştat, 24 nəzarət depdən</t>
  </si>
  <si>
    <t>13 data tranformasiyasından</t>
  </si>
  <si>
    <t>1 fintech analitika(fintech marketinq), 10 analitika, 2 agile</t>
  </si>
  <si>
    <t>Beynəlxalq hesabatlıq MİS</t>
  </si>
  <si>
    <t>1 i ödəniş platformaları</t>
  </si>
  <si>
    <t>1i özünə xidmət terminalları, 1 birapp</t>
  </si>
  <si>
    <t>151 Aİ və Analitika ekspert mərkəzlərindən keçidlər</t>
  </si>
  <si>
    <t>57 ştat ləğv olunsun</t>
  </si>
  <si>
    <t>1 Korporativ satış dep, -244(kassa və inkassasiya dep, struktur dəyişiklik),-2 Nağd pull id ed(struktur dəyişiklik),+18 Biznesə dəstək dep(struktur d), +3 Kassa və inkassasiya(keçmiş QƏLD dən verilən)</t>
  </si>
  <si>
    <t>41 satış kanallarına verildi, +2 mikro məhsullar</t>
  </si>
  <si>
    <t>161 struktur dəyişikliyi zamanı(it ba, qa, programming coedən), +5 fintech müh(fintech marketinq), +3 OPCO N 21, -1 birapp sahəsi</t>
  </si>
  <si>
    <t>11 Kart biznesi ekspert mərkəzindən, 2 si Nəzarət dep, +2SKD, +3 Analitika şöbəsinə, +2 developer</t>
  </si>
  <si>
    <t xml:space="preserve">2 ştat pashapaydan bura boş verilib,35 BDD, 2 xkied, +1 Biznes sah inkişafi və partn,+1 orxan yeni excel, </t>
  </si>
  <si>
    <t>4 biznes risk texn, 5 pərakəndə risk tex sah</t>
  </si>
  <si>
    <t>366 struktur dəyişiklik</t>
  </si>
  <si>
    <t>6 loyallıq məhsullar</t>
  </si>
  <si>
    <t>2 birbank platforma, 1 texnoloji həllər</t>
  </si>
  <si>
    <t>1 əlavə ştat tamilla x əsaslandırma</t>
  </si>
  <si>
    <t>4 boş pashapay ştat, 10 İT infrastruktur, 17 OPCO N 38</t>
  </si>
  <si>
    <t>3 müştərinin rəqəmsal təc, 1 ödənişlər sahısi, 1 texnoloji həllər ofis, +1 mühəndislik və texn pl</t>
  </si>
  <si>
    <t>2 Müştərinin rəqəmsal təcrübəsi sahəsi, 1 cvm, 1 məhs rəsmil,1 kos və korp m, 1 orxan yekun excele esasen, +1 ödəniş bizn müh(kart məhs)</t>
  </si>
  <si>
    <t>1 ödənişlər sahəsindən</t>
  </si>
  <si>
    <t>30 biznsə dəstək dep</t>
  </si>
  <si>
    <t>8 biznesə dəstək, 4 maliyyə hesabatlığı</t>
  </si>
  <si>
    <t>1 fintech platform, 1 texnoloji həllər</t>
  </si>
  <si>
    <t xml:space="preserve"> 8 devops eks mərkəzi,  5 əlavə pashapaydan, +5 (4SRE,1 devops),</t>
  </si>
  <si>
    <t>244 xkied, -3 XKİED(köhnə QƏLD dən verilən ştat), 1 xkieddəki kassir inkassatorun ştatı, +5 keçid pashapay sonradan</t>
  </si>
  <si>
    <t>müvəqqəti</t>
  </si>
  <si>
    <t>struktur dəyişikliyi</t>
  </si>
  <si>
    <t>Bank əməliyyatları ofisi</t>
  </si>
  <si>
    <t>köhnə strukturda qalanlar</t>
  </si>
  <si>
    <t>2 yeni rəhbər lukasz və rauf atakişiyev</t>
  </si>
  <si>
    <t>Pərvin Məmmədovun rəhbərlikdən bura keçməsi</t>
  </si>
  <si>
    <t>Maliyyədən silinməli idi</t>
  </si>
  <si>
    <t>Pərakəndə biznes ofisi</t>
  </si>
  <si>
    <t>Gündəlik bankçılıq ofisi</t>
  </si>
  <si>
    <t>Texnoloji həllər ofisi</t>
  </si>
  <si>
    <t>2 si ai governance verilib, 3 ü strategiya və layihələr</t>
  </si>
  <si>
    <t>3 pashapay keçid</t>
  </si>
  <si>
    <t>danışılmalıdı, burdan 13 u beynəlxalq hesabatlıq və MİS</t>
  </si>
  <si>
    <t>1 i nağd pullardan, 1i opco(axtarılır)</t>
  </si>
  <si>
    <t>OPCO</t>
  </si>
  <si>
    <t>dəqiqləşməli</t>
  </si>
  <si>
    <t>Keçid edən ştat</t>
  </si>
  <si>
    <t>Əsas</t>
  </si>
  <si>
    <t>Digər ştat məsələləri</t>
  </si>
  <si>
    <t>Kassir-inkassator (Xaçmaz regional inkassasiya mərkəzi üzrə)(0,5 ştat vahidi üzrə əvəzçilik qaydasında)</t>
  </si>
  <si>
    <t>Kiçik mütəxəssis(Lənkaran-Astara zonası üzrə)</t>
  </si>
  <si>
    <t>CJM Researcher</t>
  </si>
  <si>
    <t>CX analytic</t>
  </si>
  <si>
    <t>keçid etdiyi şirkət</t>
  </si>
  <si>
    <t>İnzibati idarəetmədən gəlib deyə orda nəzərə alındı ştat olaraq</t>
  </si>
  <si>
    <t>İT dən gəlib deyə orda nəzərə alındı ştat olaraq</t>
  </si>
  <si>
    <t>2 future lab, 7 payment</t>
  </si>
  <si>
    <t>Non agile filial</t>
  </si>
  <si>
    <t>İşçi sayı</t>
  </si>
  <si>
    <t>indi fintech və payment olaraq bölünüb amma bu birləşəcək</t>
  </si>
  <si>
    <t>bu payment keçididir, ştatı kassa və inkassasiyaya nəzərə aldıq</t>
  </si>
  <si>
    <t>Paşa holding</t>
  </si>
  <si>
    <t>Keçid cəm</t>
  </si>
  <si>
    <t>1 pashapay, 3 future lab keçid</t>
  </si>
  <si>
    <t>1 i fintech analitika və ai verildi</t>
  </si>
  <si>
    <t>1 vip verildi, -57 ştat ixtisar olunmalı</t>
  </si>
  <si>
    <t>vakant</t>
  </si>
  <si>
    <t>1 pashapay, 2 birmarket boş</t>
  </si>
  <si>
    <t>Paymentsə verilən</t>
  </si>
  <si>
    <t>aylin maillər-pavel varapai,yuliya və.s</t>
  </si>
  <si>
    <t>Keçmiş Ştat sayı</t>
  </si>
  <si>
    <t>Keçmiş Struktur adı</t>
  </si>
  <si>
    <t>Yeni Struktur adı</t>
  </si>
  <si>
    <t>Yeni Ştat sayı</t>
  </si>
  <si>
    <t>Müxtəlif mənbələrdən əlavə edilmiş ştat sayı</t>
  </si>
  <si>
    <t>Cəm ştat sayı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</si>
</sst>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  <charset val="204"/>
    </font>
    <font>
      <b/>
      <sz val="10"/>
      <color theme="1"/>
      <name val="Aptos Narrow"/>
      <family val="2"/>
      <charset val="204"/>
      <scheme val="minor"/>
    </font>
    <font>
      <sz val="10"/>
      <color theme="1"/>
      <name val="Times New Roman"/>
      <family val="1"/>
    </font>
    <font>
      <sz val="10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b/>
      <sz val="11"/>
      <color rgb="FF1A1A1A"/>
      <name val="Aptos Narrow"/>
      <family val="2"/>
      <scheme val="minor"/>
    </font>
    <font>
      <sz val="11"/>
      <color theme="1"/>
      <name val="Aptos Narrow"/>
      <family val="2"/>
      <charset val="186"/>
      <scheme val="minor"/>
    </font>
    <font>
      <sz val="11"/>
      <color indexed="8"/>
      <name val="Calibri"/>
      <family val="2"/>
      <charset val="204"/>
    </font>
    <font>
      <sz val="12"/>
      <name val="Aptos Narrow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">
    <xf numFmtId="0" fontId="0" fillId="0" borderId="0"/>
    <xf numFmtId="0" fontId="2" fillId="0" borderId="0"/>
    <xf numFmtId="0" fontId="11" fillId="0" borderId="0"/>
    <xf numFmtId="0" fontId="12" fillId="0" borderId="0"/>
    <xf numFmtId="0" fontId="11" fillId="0" borderId="0"/>
    <xf numFmtId="0" fontId="11" fillId="0" borderId="0"/>
  </cellStyleXfs>
  <cellXfs count="6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Font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Border="1" applyAlignment="1"/>
    <xf numFmtId="0" fontId="0" fillId="0" borderId="0" xfId="0" applyFill="1" applyBorder="1" applyAlignment="1"/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0" fontId="0" fillId="0" borderId="0" xfId="0" applyFill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 applyAlignment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5" xfId="0" applyFont="1" applyBorder="1" applyAlignment="1">
      <alignment vertical="center"/>
    </xf>
    <xf numFmtId="0" fontId="6" fillId="0" borderId="6" xfId="0" applyFont="1" applyBorder="1"/>
    <xf numFmtId="0" fontId="7" fillId="0" borderId="2" xfId="0" applyFont="1" applyBorder="1" applyAlignment="1">
      <alignment vertical="center"/>
    </xf>
    <xf numFmtId="0" fontId="8" fillId="0" borderId="2" xfId="0" applyFont="1" applyBorder="1"/>
    <xf numFmtId="0" fontId="7" fillId="0" borderId="1" xfId="0" applyFont="1" applyBorder="1" applyAlignment="1">
      <alignment vertical="center"/>
    </xf>
    <xf numFmtId="0" fontId="8" fillId="0" borderId="1" xfId="0" applyFont="1" applyBorder="1"/>
    <xf numFmtId="0" fontId="7" fillId="4" borderId="1" xfId="0" applyFont="1" applyFill="1" applyBorder="1" applyAlignment="1">
      <alignment vertical="center"/>
    </xf>
    <xf numFmtId="0" fontId="8" fillId="4" borderId="1" xfId="0" applyFont="1" applyFill="1" applyBorder="1"/>
    <xf numFmtId="0" fontId="9" fillId="0" borderId="5" xfId="0" applyFont="1" applyBorder="1" applyAlignment="1">
      <alignment vertical="center"/>
    </xf>
    <xf numFmtId="0" fontId="8" fillId="0" borderId="6" xfId="0" applyFont="1" applyBorder="1"/>
    <xf numFmtId="0" fontId="0" fillId="4" borderId="1" xfId="0" applyFill="1" applyBorder="1"/>
    <xf numFmtId="0" fontId="0" fillId="0" borderId="6" xfId="0" applyBorder="1"/>
    <xf numFmtId="0" fontId="7" fillId="4" borderId="2" xfId="0" applyFont="1" applyFill="1" applyBorder="1" applyAlignment="1">
      <alignment vertical="center"/>
    </xf>
    <xf numFmtId="0" fontId="0" fillId="4" borderId="2" xfId="0" applyFill="1" applyBorder="1"/>
    <xf numFmtId="0" fontId="10" fillId="0" borderId="5" xfId="0" applyFont="1" applyBorder="1"/>
    <xf numFmtId="14" fontId="0" fillId="0" borderId="0" xfId="0" applyNumberFormat="1"/>
    <xf numFmtId="0" fontId="0" fillId="3" borderId="0" xfId="0" applyFill="1"/>
    <xf numFmtId="0" fontId="0" fillId="0" borderId="0" xfId="0" applyFill="1" applyAlignment="1">
      <alignment vertical="center"/>
    </xf>
    <xf numFmtId="14" fontId="0" fillId="2" borderId="0" xfId="0" applyNumberFormat="1" applyFill="1" applyAlignment="1">
      <alignment horizontal="center"/>
    </xf>
    <xf numFmtId="0" fontId="0" fillId="8" borderId="0" xfId="0" applyFill="1"/>
    <xf numFmtId="0" fontId="0" fillId="7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8" borderId="0" xfId="0" applyFill="1" applyAlignment="1"/>
    <xf numFmtId="0" fontId="0" fillId="0" borderId="0" xfId="0" applyFill="1" applyBorder="1"/>
    <xf numFmtId="0" fontId="13" fillId="0" borderId="8" xfId="0" applyFont="1" applyBorder="1" applyAlignment="1">
      <alignment vertical="center" wrapText="1"/>
    </xf>
    <xf numFmtId="0" fontId="3" fillId="0" borderId="0" xfId="0" applyFont="1"/>
    <xf numFmtId="0" fontId="3" fillId="2" borderId="0" xfId="0" applyFont="1" applyFill="1"/>
    <xf numFmtId="0" fontId="0" fillId="0" borderId="1" xfId="0" pivotButton="1" applyBorder="1"/>
    <xf numFmtId="0" fontId="0" fillId="0" borderId="1" xfId="0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7" xfId="0" applyFill="1" applyBorder="1"/>
  </cellXfs>
  <cellStyles count="6">
    <cellStyle name="Normal" xfId="0" builtinId="0"/>
    <cellStyle name="Normal 12" xfId="4" xr:uid="{28964DFD-4368-46AC-88E9-171F7AAB5EC2}"/>
    <cellStyle name="Normal 3 2 2" xfId="1" xr:uid="{51F36A83-F6E5-4924-BA37-073D03F2B45E}"/>
    <cellStyle name="Normal 5" xfId="2" xr:uid="{CA77F6B8-4F17-49D6-84C7-A412BF3AE389}"/>
    <cellStyle name="Normal 5 2 2" xfId="5" xr:uid="{2561CCEA-C98F-4E23-99E0-7A7C1E77465F}"/>
    <cellStyle name="Обычный_Лист1_STRUKTUR BÖLMƏLƏR" xfId="3" xr:uid="{C80F3BA8-5705-4CC2-B192-008ABE14DD0B}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alignment horizontal="center"/>
    </dxf>
    <dxf>
      <alignment horizontal="center"/>
    </dxf>
    <dxf>
      <font>
        <b/>
        <charset val="204"/>
      </font>
    </dxf>
    <dxf>
      <font>
        <color rgb="FFFF0000"/>
      </font>
    </dxf>
    <dxf>
      <font>
        <b/>
        <charset val="204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Yusifovaaaz/AppData/Local/Microsoft/Windows/INetCache/Content.Outlook/8SHJJWUR/Copy%20of%20Master%20File%20(staff)-Azerbaijan%20Orkhan%20(003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rxan R. Cavadli" refreshedDate="46253.701381712963" createdVersion="8" refreshedVersion="8" minRefreshableVersion="3" recordCount="597" xr:uid="{3192677A-07A4-47DF-AF18-FF6143B438F2}">
  <cacheSource type="worksheet">
    <worksheetSource ref="A1:L598" sheet="Labor contract" r:id="rId2"/>
  </cacheSource>
  <cacheFields count="12">
    <cacheField name="Status" numFmtId="0">
      <sharedItems/>
    </cacheField>
    <cacheField name="ID" numFmtId="0">
      <sharedItems/>
    </cacheField>
    <cacheField name="Name  Surname" numFmtId="0">
      <sharedItems/>
    </cacheField>
    <cacheField name="Soyad, Ad, Ata adı" numFmtId="0">
      <sharedItems/>
    </cacheField>
    <cacheField name="Department " numFmtId="0">
      <sharedItems/>
    </cacheField>
    <cacheField name="Departament" numFmtId="0">
      <sharedItems count="22">
        <s v="Terminal və ATM şəbəkəsinin idarə edilməsi departamenti"/>
        <s v="İnkassasiya Şöbəsi"/>
        <s v="Terminal biznesinə dəstək departamenti"/>
        <s v="Maliyyə menecmenti departamenti"/>
        <s v="Müştəri mükəmməlliyi departamenti"/>
        <s v="none structure"/>
        <s v="Təhlükəsizlik departamenti "/>
        <s v="Hesablaşmalar departamenti"/>
        <s v="Frauda qarşı mübarizə şöbəsi"/>
        <s v="İT şöbəsi"/>
        <s v="Biznesin optimallaşdırılması şöbəsi"/>
        <s v="Məhsullar Şöbəsi"/>
        <s v="Kross-sərhəd və satış sahəsi"/>
        <s v="Mühasibatlıq departamenti"/>
        <s v="Daxili nəzarət şöbəsi"/>
        <s v="Baş Komplayens inzibatçısı"/>
        <s v="Hüquq Şöbəsi"/>
        <s v="İstedadların idarə edilməsi departamenti"/>
        <s v="Audit komitəsi"/>
        <s v="Daxili audit departamenti"/>
        <s v="İnformasiya təhlükəsizliyi şöbəsi"/>
        <s v="Təhlükəsizlik departamenti" u="1"/>
      </sharedItems>
    </cacheField>
    <cacheField name="Division " numFmtId="0">
      <sharedItems/>
    </cacheField>
    <cacheField name="Şöbə" numFmtId="0">
      <sharedItems/>
    </cacheField>
    <cacheField name="Position" numFmtId="0">
      <sharedItems/>
    </cacheField>
    <cacheField name="Mövcud Yeni Vəzifə" numFmtId="0">
      <sharedItems/>
    </cacheField>
    <cacheField name="Reporting to (Need Update)" numFmtId="0">
      <sharedItems/>
    </cacheField>
    <cacheField name="İşə qəbul tarixi" numFmtId="0">
      <sharedItems containsDate="1" containsMixedTypes="1" minDate="2009-01-06T00:00:00" maxDate="2026-08-1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7">
  <r>
    <s v="Active"/>
    <s v="ID-01"/>
    <s v="Ilaha Zeynalova, Aflatun"/>
    <s v="Zeynalova İlahə Əflatun qızı"/>
    <s v="Terminal and ATM department"/>
    <x v="0"/>
    <s v="-"/>
    <s v="-"/>
    <s v="Head of Terminals Network Management"/>
    <s v="Direktor"/>
    <s v="Tağıyev Camal İlham oğlu"/>
    <d v="2009-01-06T00:00:00"/>
  </r>
  <r>
    <s v="Active"/>
    <s v="ID-04"/>
    <s v="Asim Bayramov, Sahib"/>
    <s v="Bayramov Asim Sahib oğlu"/>
    <s v="Encashment division"/>
    <x v="1"/>
    <s v="Encashment division"/>
    <s v="İnkassasiya Şöbəsi"/>
    <s v="Driver Incasator"/>
    <s v="Sürücü inkassator"/>
    <s v="Abbasova Nurlana Ramiz qızı"/>
    <d v="2010-11-26T00:00:00"/>
  </r>
  <r>
    <s v="Active"/>
    <s v="ID-05"/>
    <s v="Nurlan Mahmudov, Valeh"/>
    <s v="Mahmudov Nurlan Valeh oğlu"/>
    <s v=" Terminal business support department"/>
    <x v="2"/>
    <s v="Encashment processes support division"/>
    <s v="İnkassasiya proseslərinə dəstək şöbəsi "/>
    <s v="Team Lead"/>
    <s v="Qrup Rəhbəri"/>
    <s v="Rüstəmzadə İlqar Vilayət oğlu"/>
    <d v="2011-02-18T00:00:00"/>
  </r>
  <r>
    <s v="Active"/>
    <s v="ID-06"/>
    <s v="Shirinbika Mahmudova, Mushvig"/>
    <s v="Mahmudova Şirinbikə Müşviq qızı"/>
    <s v="Financial management department"/>
    <x v="3"/>
    <s v="Budget control division"/>
    <s v="Büdcəyə nəzarət şöbəsi"/>
    <s v="Manager"/>
    <s v="Menecer"/>
    <s v="Ağayev Mirşahin Mircəfər oğlu"/>
    <d v="2011-03-18T00:00:00"/>
  </r>
  <r>
    <s v="Active"/>
    <s v="ID-07"/>
    <s v="Bakhtiyar Abdul-Ahadov, Shahid"/>
    <s v="Abdul-Əhədov Bəxtiyar Şahid oğlu"/>
    <s v=" Terminal business support department"/>
    <x v="2"/>
    <s v="Terminal maintenance division"/>
    <s v="Texniki təmir şöbəsi"/>
    <s v="Team Lead"/>
    <s v="Qrup Rəhbəri"/>
    <s v="Nəbiyev Namiq Şahbəddin oğlu"/>
    <d v="2011-10-17T00:00:00"/>
  </r>
  <r>
    <s v="Active"/>
    <s v="ID-08"/>
    <s v="Saida Najafova, Ali"/>
    <s v="Nəcəfova Səidə Əli qızı"/>
    <s v="Customer excellence department"/>
    <x v="4"/>
    <s v="Customer care division"/>
    <s v="Müştəri xidmətləri şöbəsi"/>
    <s v="Senior Front Office Specialist"/>
    <s v="Ön Masa üzrə Baş Mütəxəssis"/>
    <s v="Əmirov Savalan İsrəfil oğlu"/>
    <d v="2011-10-25T00:00:00"/>
  </r>
  <r>
    <s v="Active"/>
    <s v="ID-09"/>
    <s v="Shahin Jabbarov, Arif"/>
    <s v="Cabbarov Şahin Arif oğlu"/>
    <s v=" Terminal business support department"/>
    <x v="2"/>
    <s v="Terminal maintenance division"/>
    <s v="Texniki təmir şöbəsi"/>
    <s v="Technician Specialist"/>
    <s v="Texniki İşlər üzrə Mütəxəssis"/>
    <s v="Nəbiyev Namiq Şahbəddin oğlu"/>
    <d v="2011-11-11T00:00:00"/>
  </r>
  <r>
    <s v="Active"/>
    <s v="ID-14"/>
    <s v="Parviz Mayilov, Anvar"/>
    <s v="Mayılov Pərviz Ənvər oğlu"/>
    <s v=" Terminal business support department"/>
    <x v="2"/>
    <s v="Terminal maintenance division"/>
    <s v="Texniki təmir şöbəsi"/>
    <s v="Team Lead"/>
    <s v="Qrup Rəhbəri"/>
    <s v="Nəbiyev Namiq Şahbəddin oğlu"/>
    <d v="2012-05-23T00:00:00"/>
  </r>
  <r>
    <s v="Active"/>
    <s v="ID-15"/>
    <s v="Azer Afandiyev, Dadash"/>
    <s v="Əfəndiyev Azər Dadaş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13-02-04T00:00:00"/>
  </r>
  <r>
    <s v="Active"/>
    <s v="ID-16"/>
    <s v="Samir Zeynalov, Nizami"/>
    <s v="Zeynalov Samir Nizami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13-05-27T00:00:00"/>
  </r>
  <r>
    <s v="Active"/>
    <s v="ID-20"/>
    <s v="Gismat Mammadov, Ali"/>
    <s v="Məmmədov Qismət Əli oğlu"/>
    <s v="Encashment division"/>
    <x v="1"/>
    <s v="Encashment division"/>
    <s v="İnkassasiya Şöbəsi"/>
    <s v="Driver Incasator"/>
    <s v="Sürücü inkassator"/>
    <s v="Abbasova Nurlana Ramiz qızı"/>
    <d v="2013-08-01T00:00:00"/>
  </r>
  <r>
    <s v="Active"/>
    <s v="ID-19"/>
    <s v="Elvin Mukhtarov, Yagub"/>
    <s v="Muxtarov Elvin Yaqub oğlu"/>
    <s v="Encashment division"/>
    <x v="1"/>
    <s v="Encashment division"/>
    <s v="İnkassasiya Şöbəsi"/>
    <s v="Cash Collector"/>
    <s v="Kassir inkassator"/>
    <s v="Abbasova Nurlana Ramiz qızı"/>
    <d v="2013-08-01T00:00:00"/>
  </r>
  <r>
    <s v="Active"/>
    <s v="ID-22"/>
    <s v="Vasif Garibli, Hafiz"/>
    <s v="Qəribli Vasif Hafiz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14-02-03T00:00:00"/>
  </r>
  <r>
    <s v="Active"/>
    <s v="ID-21"/>
    <s v="Nijat Soltanov, Zulfigar"/>
    <s v="Soltanov Nicat Zülfiqar oğlu"/>
    <s v=" Terminal business support department"/>
    <x v="2"/>
    <s v="Terminal business support division"/>
    <s v="Terminal biznesinə dəstək şöbəsi"/>
    <s v="Leading Warehouseman"/>
    <s v="Aparıcı Anbardar"/>
    <s v="Fərzəliyev Zaur Tofiq oğlu"/>
    <d v="2014-02-03T00:00:00"/>
  </r>
  <r>
    <s v="Active"/>
    <s v="ID-23"/>
    <s v="Nijat Alizade, Ashraf"/>
    <s v="Əlizadə Nicat Əşrəf oğlu"/>
    <s v=" Terminal business support department"/>
    <x v="2"/>
    <s v="Terminal technical support division"/>
    <s v="Terminallara texniki dəstək şöbəsi "/>
    <s v="Technical Support Division Manager"/>
    <s v="Texniki Dəstək üzrə Menecer"/>
    <s v="Abbasov Toğrul Vaqif oğlu"/>
    <d v="2014-02-12T00:00:00"/>
  </r>
  <r>
    <s v="Active"/>
    <s v="ID-24"/>
    <s v="Emil Huseynov, Vagif"/>
    <s v="Hüseynov Emil Vaqif oğlu"/>
    <s v="Encashment division"/>
    <x v="1"/>
    <s v="Encashment division"/>
    <s v="İnkassasiya Şöbəsi"/>
    <s v="Cash Collector"/>
    <s v="Kassir inkassator"/>
    <s v="Abbasova Nurlana Ramiz qızı"/>
    <d v="2014-04-16T00:00:00"/>
  </r>
  <r>
    <s v="Active"/>
    <s v="ID-27"/>
    <s v="Farid Ramazanov, Tanriverdi"/>
    <s v="Ramazanov Fərid Tanrıverdi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14-06-02T00:00:00"/>
  </r>
  <r>
    <s v="Active"/>
    <s v="ID-28"/>
    <s v="Ilkin Aghazade, Ilgar"/>
    <s v="Ağazadə İlkin İlqar oğlu"/>
    <s v="Encashment division"/>
    <x v="1"/>
    <s v="Encashment division"/>
    <s v="İnkassasiya Şöbəsi"/>
    <s v="Cash Collector"/>
    <s v="Kassir inkassator"/>
    <s v="Abbasova Nurlana Ramiz qızı"/>
    <d v="2014-06-25T00:00:00"/>
  </r>
  <r>
    <s v="Active"/>
    <s v="ID-29"/>
    <s v="Sarkhan Mahmudov, Bakhtijamal"/>
    <s v="Mahmudov Sərxan Bəxticamal oğlu"/>
    <s v="Encashment division"/>
    <x v="1"/>
    <s v="Encashment division"/>
    <s v="İnkassasiya Şöbəsi"/>
    <s v="Cash Team Leader"/>
    <s v="Kassa üzrə Qrup Rəhbəri"/>
    <s v="Abbasova Nurlana Ramiz qızı"/>
    <d v="2014-07-14T00:00:00"/>
  </r>
  <r>
    <s v="Active"/>
    <s v="ID-31"/>
    <s v="Samir Mammadov, Rafig"/>
    <s v="Məmmədov Samir Rafiq oğlu"/>
    <s v=" Terminal business support department"/>
    <x v="2"/>
    <s v="Terminal business support division"/>
    <s v="Terminal biznesinə dəstək şöbəsi"/>
    <s v="Labourer"/>
    <s v="Fəhlə"/>
    <s v="Fərzəliyev Zaur Tofiq oğlu"/>
    <d v="2014-09-18T00:00:00"/>
  </r>
  <r>
    <s v="Active"/>
    <s v="ID-32"/>
    <s v="Novruz Aliyev, Gardashkhan"/>
    <s v="Əliyev Novruz Qardaşxan oğlu"/>
    <s v="Encashment division"/>
    <x v="1"/>
    <s v="Encashment division"/>
    <s v="İnkassasiya Şöbəsi"/>
    <s v="Driver Incasator"/>
    <s v="Sürücü inkassator"/>
    <s v="Abbasova Nurlana Ramiz qızı"/>
    <d v="2014-10-01T00:00:00"/>
  </r>
  <r>
    <s v="Active"/>
    <s v="ID-38"/>
    <s v="Elvin Rzayev, Anvar"/>
    <s v="Rzayev Elvin Ənvər oğlu"/>
    <s v="Encashment division"/>
    <x v="1"/>
    <s v="Encashment division"/>
    <s v="İnkassasiya Şöbəsi"/>
    <s v="Cash Collector"/>
    <s v="Kassir inkassator"/>
    <s v="Abbasova Nurlana Ramiz qızı"/>
    <d v="2014-12-02T00:00:00"/>
  </r>
  <r>
    <s v="Active"/>
    <s v="ID-39"/>
    <s v="Amina Mammadli, Tahir"/>
    <s v="Məmmədli Əminə Tahir qızı"/>
    <s v="Customer excellence department"/>
    <x v="4"/>
    <s v="Customer care division"/>
    <s v="Müştəri xidmətləri şöbəsi"/>
    <s v="Leading Front Office Specialist"/>
    <s v="Ön Masa üzrə Aparıcı Mütəxəssis"/>
    <s v="Əmirov Savalan İsrəfil oğlu"/>
    <d v="2014-12-11T00:00:00"/>
  </r>
  <r>
    <s v="Active"/>
    <s v="ID-40"/>
    <s v="Yegana Hajiyeva, Safar"/>
    <s v="Hacıyeva Yeganə Səfər qızı"/>
    <s v="none structure"/>
    <x v="5"/>
    <s v="none structure"/>
    <s v="none structure"/>
    <s v="Cleaning Lady"/>
    <s v="Xidmətçi"/>
    <s v="KB-yə Kassa və inkassasiya prosesləri departamentinə keçirilir, rəsmiləşmədədirlər. "/>
    <d v="2015-01-06T00:00:00"/>
  </r>
  <r>
    <s v="Active"/>
    <s v="ID-41"/>
    <s v="Akif Salmanov, Israfil"/>
    <s v="Salmanov Akif İsrafil oğlu"/>
    <s v=" Terminal business support department"/>
    <x v="2"/>
    <s v="Terminal maintenance division"/>
    <s v="Texniki təmir şöbəsi"/>
    <s v="Technician Specialist"/>
    <s v="Texniki İşlər üzrə Mütəxəssis"/>
    <s v="Nəbiyev Namiq Şahbəddin oğlu"/>
    <d v="2015-02-26T00:00:00"/>
  </r>
  <r>
    <s v="Active"/>
    <s v="ID-43"/>
    <s v="Iltimas Guliyeva, Mammadali"/>
    <s v="Quliyeva İltimas Məmmədəli qızı"/>
    <s v="none structure"/>
    <x v="5"/>
    <s v="none structure"/>
    <s v="none structure"/>
    <s v="Cleaning Lady"/>
    <s v="Xidmətçi"/>
    <s v="KB-yə Kassa və inkassasiya prosesləri departamentinə keçirilir, rəsmiləşmədədirlər. "/>
    <d v="2015-03-11T00:00:00"/>
  </r>
  <r>
    <s v="Active"/>
    <s v="ID-44"/>
    <s v="Jamaladdin Karimov, Tapdig"/>
    <s v="Kərimov Cəmaləddin Tapdıq oğlu"/>
    <s v=" Terminal business support department"/>
    <x v="2"/>
    <s v="Terminal maintenance division"/>
    <s v="Texniki təmir şöbəsi"/>
    <s v="Technician Specialist"/>
    <s v="Texniki İşlər üzrə Mütəxəssis"/>
    <s v="Nəbiyev Namiq Şahbəddin oğlu"/>
    <d v="2015-04-01T00:00:00"/>
  </r>
  <r>
    <s v="Active"/>
    <s v="ID-46"/>
    <s v="Anar Huseynov, Telman"/>
    <s v="Hüseynov Anar Telman oğlu"/>
    <s v=" Terminal business support department"/>
    <x v="2"/>
    <s v="Encashment processes support division"/>
    <s v="İnkassasiya proseslərinə dəstək şöbəsi "/>
    <s v="Leading Specialist"/>
    <s v="Aparıcı mütəxəssis"/>
    <s v="Rüstəmzadə İlqar Vilayət oğlu"/>
    <d v="2015-04-07T00:00:00"/>
  </r>
  <r>
    <s v="Active"/>
    <s v="ID-47"/>
    <s v="Rena Umudova, Valeh"/>
    <s v="Umudova Rəna Valeh qızı"/>
    <s v="none structure"/>
    <x v="5"/>
    <s v="none structure"/>
    <s v="none structure"/>
    <s v="Accountant"/>
    <s v="Mühasib"/>
    <s v="Piriyev Abdulla Vaqif oğlu"/>
    <d v="2015-05-01T00:00:00"/>
  </r>
  <r>
    <s v="Active"/>
    <s v="ID-49"/>
    <s v="Igbal Aslanov, Aliheydar"/>
    <s v="Aslanov İqbal Əliheydər oğlu"/>
    <s v="Encashment division"/>
    <x v="1"/>
    <s v="Encashment division"/>
    <s v="İnkassasiya Şöbəsi"/>
    <s v="Driver Incasator"/>
    <s v="Sürücü inkassator"/>
    <s v="Abbasova Nurlana Ramiz qızı"/>
    <d v="2015-05-12T00:00:00"/>
  </r>
  <r>
    <s v="Active"/>
    <s v="ID-50"/>
    <s v="Aykhan Mammadov, Ali"/>
    <s v="Məmmədov Ayxan Əli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15-05-13T00:00:00"/>
  </r>
  <r>
    <s v="Active"/>
    <s v="ID-52"/>
    <s v="Ajdar Isgandarov, Elshan"/>
    <s v="İsgəndərov Əjdər Elşən oğlu"/>
    <s v="Encashment division"/>
    <x v="1"/>
    <s v="Encashment division"/>
    <s v="İnkassasiya Şöbəsi"/>
    <s v="Driver Incasator"/>
    <s v="Sürücü inkassator"/>
    <s v="Abbasova Nurlana Ramiz qızı"/>
    <d v="2015-05-13T00:00:00"/>
  </r>
  <r>
    <s v="Active"/>
    <s v="ID-53"/>
    <s v="Ilgar Rustamzade, Vilayat"/>
    <s v="Rüstəmzadə İlqar Vilayət oğlu"/>
    <s v=" Terminal business support department"/>
    <x v="2"/>
    <s v="Encashment processes support division"/>
    <s v="İnkassasiya proseslərinə dəstək şöbəsi "/>
    <s v="Transportation Manager"/>
    <s v="Nəqliyyat üzrə Menecer"/>
    <s v="Abbasov Toğrul Vaqif oğlu"/>
    <d v="2015-06-05T00:00:00"/>
  </r>
  <r>
    <s v="Active"/>
    <s v="ID-54"/>
    <s v="Samir Hajiyev, Mehman"/>
    <s v="Hacıyev Samir Mehman oğlu"/>
    <s v=" Terminal business support department"/>
    <x v="2"/>
    <s v="Encashment processes and cash centers monitoring division"/>
    <s v="İnkassasiya prosesi və kassa mərkəzlərinin monitorinqi şöbəsi"/>
    <s v="Leading Specialist"/>
    <s v="Aparıcı mütəxəssis"/>
    <s v="Ramaldanov Şıxbala Şair oğlu"/>
    <d v="2015-06-16T00:00:00"/>
  </r>
  <r>
    <s v="Active"/>
    <s v="ID-56"/>
    <s v="Azer Guliyev, Shaban"/>
    <s v="Quliyev Azər Şaban oğlu"/>
    <s v="Security department "/>
    <x v="6"/>
    <s v="-"/>
    <s v="-"/>
    <s v="Security Team Leader"/>
    <s v="Təhlükəsizlik üzrə Qrup Rəhbəri"/>
    <s v="Məmmədov Kənan Eldar oğlu"/>
    <d v="2015-06-22T00:00:00"/>
  </r>
  <r>
    <s v="Active"/>
    <s v="ID-57"/>
    <s v="Nurlan Sultanov, Nariman"/>
    <s v="Sultanov Nurlan Nəriman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15-08-06T00:00:00"/>
  </r>
  <r>
    <s v="Active"/>
    <s v="ID-58"/>
    <s v="Ilkin Ahmadzade, Azer"/>
    <s v="Əhmədzadə İlkin Azər oğlu"/>
    <s v="Encashment division"/>
    <x v="1"/>
    <s v="Encashment division"/>
    <s v="İnkassasiya Şöbəsi"/>
    <s v="Cash Team Leader"/>
    <s v="Kassa üzrə Qrup Rəhbəri"/>
    <s v="Abbasova Nurlana Ramiz qızı"/>
    <d v="2015-08-18T00:00:00"/>
  </r>
  <r>
    <s v="Active"/>
    <s v="ID-59"/>
    <s v="Khalil Khanabadskiy, Elkhan"/>
    <s v="Xanabadskiy Xəlil Elxan oğlu"/>
    <s v="Settlements department"/>
    <x v="7"/>
    <s v="Payment system division"/>
    <s v="Ödəniş Sistemləri"/>
    <s v="Payment System Manager"/>
    <s v="Ödəniş Sistemləri Şöbəsinin Meneceri"/>
    <s v="Usubova Sevinc Cəfər qızı"/>
    <d v="2015-09-22T00:00:00"/>
  </r>
  <r>
    <s v="Active"/>
    <s v="ID-61"/>
    <s v="Ismayil Aliyev, Hasan"/>
    <s v="Əliyev İsmayıl Həsən oğlu"/>
    <s v="Encashment division"/>
    <x v="1"/>
    <s v="Encashment division"/>
    <s v="İnkassasiya Şöbəsi"/>
    <s v="Driver Incasator"/>
    <s v="Sürücü inkassator"/>
    <s v="Abbasova Nurlana Ramiz qızı"/>
    <d v="2016-01-22T00:00:00"/>
  </r>
  <r>
    <s v="Active"/>
    <s v="ID-62"/>
    <s v="Famil Abasov, Mirmahammad"/>
    <s v="Abasov Famil Mirməhəmməd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16-01-22T00:00:00"/>
  </r>
  <r>
    <s v="Active"/>
    <s v="ID-64"/>
    <s v="Zaur Bakhshiyev, Tofig"/>
    <s v="Baxşıyev Zaur Tofiq oğlu"/>
    <s v=" Terminal business support department"/>
    <x v="2"/>
    <s v="Encashment processes support division"/>
    <s v="İnkassasiya proseslərinə dəstək şöbəsi "/>
    <s v="Transportation Team Leader "/>
    <s v="Nəqliyyat üzrə Qrup Rəhbəri"/>
    <s v="Rüstəmzadə İlqar Vilayət oğlu"/>
    <d v="2016-06-06T00:00:00"/>
  </r>
  <r>
    <s v="Active"/>
    <s v="ID-65"/>
    <s v="Beytulla Mammadov, Vugar"/>
    <s v="Məmmədov Beytulla Vüqar oğlu"/>
    <s v="Encashment division"/>
    <x v="1"/>
    <s v="Encashment division"/>
    <s v="İnkassasiya Şöbəsi"/>
    <s v="Cash Collector"/>
    <s v="Kassir inkassator"/>
    <s v="Abbasova Nurlana Ramiz qızı"/>
    <d v="2016-06-07T00:00:00"/>
  </r>
  <r>
    <s v="Active"/>
    <s v="ID-66"/>
    <s v="Arzu Hasanov, Humbat"/>
    <s v="Həsənov Arzu Hümbət oğlu"/>
    <s v="Encashment division"/>
    <x v="1"/>
    <s v="Encashment division"/>
    <s v="İnkassasiya Şöbəsi"/>
    <s v="Driver Incasator"/>
    <s v="Sürücü inkassator"/>
    <s v="Abbasova Nurlana Ramiz qızı"/>
    <d v="2016-07-01T00:00:00"/>
  </r>
  <r>
    <s v="Active"/>
    <s v="ID-67"/>
    <s v="Farid Babayev, Sokrat"/>
    <s v="Babayev Fərid Sokrat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16-09-27T00:00:00"/>
  </r>
  <r>
    <s v="Active"/>
    <s v="ID-68"/>
    <s v="Gulnaz Javanshirli (Rajabova), Chingiz"/>
    <s v="Cavanşirli (Rəcəbova) Gülnaz Çingiz qızı"/>
    <s v="Customer excellence department"/>
    <x v="4"/>
    <s v="Customer care division"/>
    <s v="Müştəri xidmətləri şöbəsi"/>
    <s v="Customer Relations Team Lead"/>
    <s v="Müştəri Xidmətləri üzrə Qrup Rəhbəri"/>
    <s v="Əmirov Savalan İsrəfil oğlu"/>
    <d v="2016-11-01T00:00:00"/>
  </r>
  <r>
    <s v="Active"/>
    <s v="ID-69"/>
    <s v="Fizuli Imanov, Maharram"/>
    <s v="İmanov Fizuli Məhərrəm oğlu"/>
    <s v=" Terminal business support department"/>
    <x v="2"/>
    <s v="Encashment processes support division"/>
    <s v="İnkassasiya proseslərinə dəstək şöbəsi "/>
    <s v="Driver"/>
    <s v="Sürücü"/>
    <s v="Rüstəmzadə İlqar Vilayət oğlu"/>
    <d v="2016-11-04T00:00:00"/>
  </r>
  <r>
    <s v="Active"/>
    <s v="ID-70"/>
    <s v="Aghali Ahmadov, Siyasat"/>
    <s v="Əhmədov Ağali Siyasət oğlu"/>
    <s v=" Terminal business support department"/>
    <x v="2"/>
    <s v="Terminal business support division"/>
    <s v="Terminal biznesinə dəstək şöbəsi"/>
    <s v="Team Lead "/>
    <s v="Qrup Rəhbəri"/>
    <s v="Fərzəliyev Zaur Tofiq oğlu"/>
    <d v="2016-12-05T00:00:00"/>
  </r>
  <r>
    <s v="Active"/>
    <s v="ID-73"/>
    <s v="Adila Mammadova, Adalat"/>
    <s v="Məmmədova Ədilə Ədalət qızı"/>
    <s v="Customer excellence department"/>
    <x v="4"/>
    <s v="Customer complaints division"/>
    <s v="Müştəri şikayətləri şöbəsi"/>
    <s v="Senior Customer Complaints Specialist"/>
    <s v="Müştəri Şikayətləri üzrə Baş Mütəxəssis"/>
    <s v="Ağazadə Bəhmən Zeynal oğli"/>
    <d v="2017-01-17T00:00:00"/>
  </r>
  <r>
    <s v="Active"/>
    <s v="ID-75"/>
    <s v="Turan Abdullayev, Galib"/>
    <s v="Abdullayev Turan Qalib oğlu"/>
    <s v="Encashment division"/>
    <x v="1"/>
    <s v="Encashment division"/>
    <s v="İnkassasiya Şöbəsi"/>
    <s v="Cash Collector"/>
    <s v="Kassir inkassator"/>
    <s v="Abbasova Nurlana Ramiz qızı"/>
    <d v="2017-02-14T00:00:00"/>
  </r>
  <r>
    <s v="Active"/>
    <s v="ID-76"/>
    <s v="Shams Jalilova (Ismayilova), Hakim"/>
    <s v="Cəlilova Şəms (İsmayılova) Hakim"/>
    <s v="Settlements department"/>
    <x v="7"/>
    <s v="Payment system division"/>
    <s v="Ödəniş Sistemləri"/>
    <s v="Senior Settlements Specialist"/>
    <s v="Hesablaşmalar üzrə Baş Mütəxəssis"/>
    <s v="Xanabadskiy Xəlil Elxan oğlu"/>
    <d v="2017-03-17T00:00:00"/>
  </r>
  <r>
    <s v="Active"/>
    <s v="ID-77"/>
    <s v="Zaur Asgarov, Aydin"/>
    <s v="Əsgərov Zaur Aydın oğlu"/>
    <s v="Encashment division"/>
    <x v="1"/>
    <s v="Encashment division"/>
    <s v="İnkassasiya Şöbəsi"/>
    <s v="Driver Incasator"/>
    <s v="Sürücü inkassator"/>
    <s v="Abbasova Nurlana Ramiz qızı"/>
    <d v="2017-04-14T00:00:00"/>
  </r>
  <r>
    <s v="Active"/>
    <s v="ID-79"/>
    <s v="Tofig Allahverdiyev, Natig"/>
    <s v="Allahverdiyev Tofiq Natiq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17-06-12T00:00:00"/>
  </r>
  <r>
    <s v="Active"/>
    <s v="ID-81"/>
    <s v="Salam Miriyev, Mirbashir"/>
    <s v="Miriyev Salam Mirbəşir oğlu"/>
    <s v="Encashment division"/>
    <x v="1"/>
    <s v="Encashment division"/>
    <s v="İnkassasiya Şöbəsi"/>
    <s v="Driver Incasator"/>
    <s v="Sürücü inkassator"/>
    <s v="Abbasova Nurlana Ramiz qızı"/>
    <d v="2017-08-15T00:00:00"/>
  </r>
  <r>
    <s v="Active"/>
    <s v="ID-82"/>
    <s v="Nuran Mammadzade, Zafar"/>
    <s v="Məmmədzadə Nuran Zəfər oğlu"/>
    <s v="Terminal and ATM department"/>
    <x v="0"/>
    <s v="Terminal and ATM distibution division"/>
    <s v="Terminal və ATM-lərin yerləşdirilməsi"/>
    <s v="Terminal Installation Team Lead"/>
    <s v="Terminalların Yerləşdirilməsi üzrə Qrup Rəhbəri"/>
    <s v="Ramazanov Rəşad Cəfər oğlu"/>
    <d v="2017-08-17T00:00:00"/>
  </r>
  <r>
    <s v="Active"/>
    <s v="ID-84"/>
    <s v="Rafig Aliyev, Ilgar"/>
    <s v="Əliyev Rafiq İlqar oğlu"/>
    <s v="Terminal and ATM department"/>
    <x v="0"/>
    <s v="Terminal and ATM distibution division"/>
    <s v="Terminal və ATM-lərin yerləşdirilməsi"/>
    <s v="Sales Representative Team Lead"/>
    <s v="Satış Təmsilçiləri üzrə Qrup Rəhbəri"/>
    <s v="Ramazanov Rəşad Cəfər oğlu"/>
    <d v="2017-09-11T00:00:00"/>
  </r>
  <r>
    <s v="Active"/>
    <s v="ID-85"/>
    <s v="Murad Hasanov, Fayaz"/>
    <s v="Həsənov Murad Fayaz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17-09-21T00:00:00"/>
  </r>
  <r>
    <s v="Active"/>
    <s v="ID-86"/>
    <s v="Samir Mammadov, Sabir"/>
    <s v="Məmmədov Samir Sabir oğlu"/>
    <s v=" Terminal business support department"/>
    <x v="2"/>
    <s v="Terminal maintenance division"/>
    <s v="Texniki təmir şöbəsi"/>
    <s v="Leading Technician Specialist"/>
    <s v="Texniki İşlər üzrə Aparıcı Mütəxəssis"/>
    <s v="Nəbiyev Namiq Şahbəddin oğlu"/>
    <d v="2017-10-02T00:00:00"/>
  </r>
  <r>
    <s v="Active"/>
    <s v="ID-88"/>
    <s v="Umid Ibrahimov, Yunus"/>
    <s v="İbrahimov Ümid Yunus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17-11-01T00:00:00"/>
  </r>
  <r>
    <s v="Active"/>
    <s v="ID-89"/>
    <s v="Rahim Aliyev, Bakhtiyar"/>
    <s v="Əliyev Rəhim Bəxtiyar oğlu"/>
    <s v="none structure"/>
    <x v="5"/>
    <s v="none structure"/>
    <s v="none structure"/>
    <s v="Technical worker on terminal payments"/>
    <s v="Terminal ödənişləri üzrə texniki işçi"/>
    <s v="Abbasov Toğrul Vaqif oğlu"/>
    <d v="2017-12-01T00:00:00"/>
  </r>
  <r>
    <s v="Active"/>
    <s v="ID-92"/>
    <s v="Nargiz Mustafayeva, Adil"/>
    <s v="Mustafayeva Nərgiz Adil qızı"/>
    <s v="Customer excellence department"/>
    <x v="4"/>
    <s v="Customer care division"/>
    <s v="Müştəri xidmətləri şöbəsi"/>
    <s v="Senior Front Office Specialist"/>
    <s v="Ön Masa üzrə Baş Mütəxəssis"/>
    <s v="Əmirov Savalan İsrəfil oğlu"/>
    <d v="2018-01-08T00:00:00"/>
  </r>
  <r>
    <s v="Active"/>
    <s v="ID-95"/>
    <s v="Vahid Orujzade, Daryagulu"/>
    <s v="Oruczadə Vahid Dəryaqulu oğlu"/>
    <s v="Encashment division"/>
    <x v="1"/>
    <s v="Encashment division"/>
    <s v="İnkassasiya Şöbəsi"/>
    <s v="Driver Incasator"/>
    <s v="Sürücü inkassator"/>
    <s v="Abbasova Nurlana Ramiz qızı"/>
    <d v="2018-04-02T00:00:00"/>
  </r>
  <r>
    <s v="Active"/>
    <s v="ID-96"/>
    <s v="Ulvi Mehnat, Mukhtar"/>
    <s v="Mehnət Ülvi Muxtar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18-04-16T00:00:00"/>
  </r>
  <r>
    <s v="Active"/>
    <s v="ID-97"/>
    <s v="Ramin Gurbanov, Akbar"/>
    <s v="Qurbanov Ramin Əkbər oğlu"/>
    <s v="Encashment division"/>
    <x v="1"/>
    <s v="Encashment division"/>
    <s v="İnkassasiya Şöbəsi"/>
    <s v="Cash Collector"/>
    <s v="Kassir inkassator"/>
    <s v="Abbasova Nurlana Ramiz qızı"/>
    <d v="2018-05-08T00:00:00"/>
  </r>
  <r>
    <s v="Active"/>
    <s v="ID-99"/>
    <s v="Rauf Asgarov, Vagif"/>
    <s v="Əsgərov Rauf Vaqif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18-06-01T00:00:00"/>
  </r>
  <r>
    <s v="Active"/>
    <s v="ID-100"/>
    <s v="Fuad Jamalzade, Sabir"/>
    <s v="Camalzadə Fuad Sabir oğlu"/>
    <s v="Terminal and ATM department"/>
    <x v="0"/>
    <s v="Sales support division"/>
    <s v="Satışa dəstək"/>
    <s v="Terminal Monitoring Team Lead"/>
    <s v="Terminalların Monitorinqi üzrə Qrup Rəhbəri"/>
    <s v="Zeynalova İlahə Əflatun qızı"/>
    <d v="2018-06-27T00:00:00"/>
  </r>
  <r>
    <s v="Active"/>
    <s v="ID-104"/>
    <s v="Mehman Jafarov, Azer"/>
    <s v="Cəfərov Mehman Azər oğlu"/>
    <s v="none structure"/>
    <x v="5"/>
    <s v="none structure"/>
    <s v="none structure"/>
    <s v="Senior Accountant"/>
    <s v="Böyük Mühasib"/>
    <s v="Piriyev Abdulla Vaqif oğlu"/>
    <d v="2018-08-20T00:00:00"/>
  </r>
  <r>
    <s v="Active"/>
    <s v="ID-105"/>
    <s v="Fidan Eyvazzade (Khaligova), Jeyhun"/>
    <s v="Eyvazzade (Xalıqova) Fidan Ceyhun qızı"/>
    <s v="Fraud prevention division"/>
    <x v="8"/>
    <s v="Fraud prevention division"/>
    <s v="Frauda qarşı mübarizə şöbəsi"/>
    <s v="Senior Fraud Specialist"/>
    <s v="Fraud Monitorinq üzrə Baş Mütəxəssis"/>
    <s v="Ramazanov Ramis Rahim oğlu"/>
    <d v="2018-08-30T00:00:00"/>
  </r>
  <r>
    <s v="Active"/>
    <s v="ID-108"/>
    <s v="Murad Ahmadzade, Talibzade"/>
    <s v="Əhmədzadə Murad Talıbzadə oğlu"/>
    <s v="IT Division"/>
    <x v="9"/>
    <s v="IT Division"/>
    <s v="İT şöbəsi"/>
    <s v="Customer Help Desk Manager "/>
    <s v="Müştərilərə Texniki Dəstək üzrə Menecer"/>
    <s v="Almaz Cavadova"/>
    <d v="2018-09-07T00:00:00"/>
  </r>
  <r>
    <s v="Active"/>
    <s v="ID-112"/>
    <s v="Nurlana Abbasova, Ramiz"/>
    <s v="Abbasova Nurlana Ramiz qızı"/>
    <s v="Encashment division"/>
    <x v="1"/>
    <s v="Encashment division"/>
    <s v="İnkassasiya Şöbəsi"/>
    <s v="Team Lead"/>
    <s v="Qrup Rəhbəri"/>
    <s v="Tağıyev Camal İlham oğlu"/>
    <d v="2018-10-02T00:00:00"/>
  </r>
  <r>
    <s v="Active"/>
    <s v="ID-113"/>
    <s v="Hajiagha Aghamammadov, Bahruz"/>
    <s v="Ağaməmmədov Hacıağa Bəhruz oğlu"/>
    <s v=" Terminal business support department"/>
    <x v="2"/>
    <s v="Encashment processes support division"/>
    <s v="İnkassasiya proseslərinə dəstək şöbəsi "/>
    <s v="Driver"/>
    <s v="Sürücü"/>
    <s v="Rüstəmzadə İlqar Vilayət oğlu"/>
    <d v="2018-10-10T00:00:00"/>
  </r>
  <r>
    <s v="Active"/>
    <s v="ID-115"/>
    <s v="Sona Ahmadzade, Firidun"/>
    <s v="Əhmədzadə Sona Firidun qızı"/>
    <s v="Customer excellence department"/>
    <x v="4"/>
    <s v="Customer complaints division"/>
    <s v="Müştəri şikayətləri şöbəsi"/>
    <s v="Leading Customer Complaints Specialist"/>
    <s v="Müştəri Şikayətləri üzrə Aparıcı Mütəxəssis"/>
    <s v="Ağazadə Bəhmən Zeynal oğli"/>
    <d v="2018-11-05T00:00:00"/>
  </r>
  <r>
    <s v="Active"/>
    <s v="ID-116"/>
    <s v="Orkhan Karimov, Akif"/>
    <s v="Kərimov Orxan Akif oğlu"/>
    <s v=" Terminal business support department"/>
    <x v="2"/>
    <s v="Terminal maintenance division"/>
    <s v="Texniki təmir şöbəsi"/>
    <s v="Leading Technician Spacialist "/>
    <s v="Texniki İşlər üzrə Aparıcı Mütəxəssis"/>
    <s v="Nəbiyev Namiq Şahbəddin oğlu"/>
    <d v="2018-11-06T00:00:00"/>
  </r>
  <r>
    <s v="Active"/>
    <s v="ID-124"/>
    <s v="Vidadi Alakbarov, Ilham"/>
    <s v="Ələkbərov Vidadi İlham oğlu"/>
    <s v="Encashment division"/>
    <x v="1"/>
    <s v="Encashment division"/>
    <s v="İnkassasiya Şöbəsi"/>
    <s v="Cash Collector"/>
    <s v="Kassir inkassator"/>
    <s v="Abbasova Nurlana Ramiz qızı"/>
    <d v="2018-12-01T00:00:00"/>
  </r>
  <r>
    <s v="Active"/>
    <s v="ID-125"/>
    <s v="Elshan Jumshudov, Shahin"/>
    <s v="Cümşüdov Elşən Şahin oğlu"/>
    <s v="Encashment division"/>
    <x v="1"/>
    <s v="Encashment division"/>
    <s v="İnkassasiya Şöbəsi"/>
    <s v="Cash Collector"/>
    <s v="Kassir inkassator"/>
    <s v="Abbasova Nurlana Ramiz qızı"/>
    <d v="2018-12-01T00:00:00"/>
  </r>
  <r>
    <s v="Active"/>
    <s v="ID-123"/>
    <s v="Bahram Shukurov, Hidayat"/>
    <s v="Şükürov Bəhram Hidayət oğlu"/>
    <s v="Encashment division"/>
    <x v="1"/>
    <s v="Encashment division"/>
    <s v="İnkassasiya Şöbəsi"/>
    <s v="Cash Collector"/>
    <s v="Kassir inkassator"/>
    <s v="Abbasova Nurlana Ramiz qızı"/>
    <d v="2018-12-01T00:00:00"/>
  </r>
  <r>
    <s v="Active"/>
    <s v="ID-128"/>
    <s v="Ibrahim Nasrullayev, Amil"/>
    <s v="Nəsrullayev İbrahim Amil oğlu"/>
    <s v="Encashment division"/>
    <x v="1"/>
    <s v="Encashment division"/>
    <s v="İnkassasiya Şöbəsi"/>
    <s v="Cash Collector"/>
    <s v="Kassir inkassator"/>
    <s v="Abbasova Nurlana Ramiz qızı"/>
    <d v="2018-12-01T00:00:00"/>
  </r>
  <r>
    <s v="Active"/>
    <s v="ID-131"/>
    <s v="Rza Mammadov, Shahmirza"/>
    <s v="Məmmədov Rza Şahmirzə oğlu"/>
    <s v="Encashment division"/>
    <x v="1"/>
    <s v="Encashment division"/>
    <s v="İnkassasiya Şöbəsi"/>
    <s v="Cash Collector"/>
    <s v="Kassir inkassator"/>
    <s v="Abbasova Nurlana Ramiz qızı"/>
    <d v="2018-12-01T00:00:00"/>
  </r>
  <r>
    <s v="Active"/>
    <s v="ID-132"/>
    <s v="Azer Aliyev, Fizuli"/>
    <s v="Əliyev Azər Fizuli oğlu"/>
    <s v="Encashment division"/>
    <x v="1"/>
    <s v="Encashment division"/>
    <s v="İnkassasiya Şöbəsi"/>
    <s v="Driver Incasator"/>
    <s v="Sürücü inkassator"/>
    <s v="Abbasova Nurlana Ramiz qızı"/>
    <d v="2018-12-01T00:00:00"/>
  </r>
  <r>
    <s v="Active"/>
    <s v="ID-129"/>
    <s v="Sadig Imanov, Mohubbat"/>
    <s v="İmanov Sadiq Möhübbət oğlu"/>
    <s v="Encashment division"/>
    <x v="1"/>
    <s v="Encashment division"/>
    <s v="İnkassasiya Şöbəsi"/>
    <s v="Cash Collector"/>
    <s v="Kassir inkassator"/>
    <s v="Abbasova Nurlana Ramiz qızı"/>
    <d v="2018-12-01T00:00:00"/>
  </r>
  <r>
    <s v="Active"/>
    <s v="ID-119"/>
    <s v="Furad Abasov, Intigam"/>
    <s v="Abasov Furad İntiqam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18-12-01T00:00:00"/>
  </r>
  <r>
    <s v="Active"/>
    <s v="ID-126"/>
    <s v="Aliniyaz Mammadzade, Mehman"/>
    <s v="Məmmədzadə Əliniyaz Mehman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18-12-01T00:00:00"/>
  </r>
  <r>
    <s v="Active"/>
    <s v="ID-127"/>
    <s v="Ilgar Pashazade, Famil"/>
    <s v="Paşazadə İlqar Famil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18-12-01T00:00:00"/>
  </r>
  <r>
    <s v="Active"/>
    <s v="ID-122"/>
    <s v="Elnur Aliyev, Movlan"/>
    <s v="Əliyev Elnur Mövlan oğlu"/>
    <s v="Encashment division"/>
    <x v="1"/>
    <s v="Encashment division"/>
    <s v="İnkassasiya Şöbəsi"/>
    <s v="Cash Collector"/>
    <s v="Kassir inkassator"/>
    <s v="Abbasova Nurlana Ramiz qızı"/>
    <d v="2018-12-01T00:00:00"/>
  </r>
  <r>
    <s v="Active"/>
    <s v="ID-134"/>
    <s v="Sadi Allahverdiyev, Zahid"/>
    <s v="Allahverdiyev Sədi Zahid oğlu"/>
    <s v="Encashment division"/>
    <x v="1"/>
    <s v="Encashment division"/>
    <s v="İnkassasiya Şöbəsi"/>
    <s v="Cash Collector"/>
    <s v="Kassir inkassator"/>
    <s v="Abbasova Nurlana Ramiz qızı"/>
    <d v="2018-12-01T00:00:00"/>
  </r>
  <r>
    <s v="Active"/>
    <s v="ID-121"/>
    <s v="Tural Shirinov, Shami"/>
    <s v="Şirinov Tural Şəmi oğlu"/>
    <s v="Encashment division"/>
    <x v="1"/>
    <s v="Encashment division"/>
    <s v="İnkassasiya Şöbəsi"/>
    <s v="Cash Collector"/>
    <s v="Kassir inkassator"/>
    <s v="Abbasova Nurlana Ramiz qızı"/>
    <d v="2018-12-01T00:00:00"/>
  </r>
  <r>
    <s v="Active"/>
    <s v="ID-118"/>
    <s v="Rafik Azizov, Namig"/>
    <s v="Əzizov Rafik Namiq oğlu"/>
    <s v="Encashment division"/>
    <x v="1"/>
    <s v="Encashment division"/>
    <s v="İnkassasiya Şöbəsi"/>
    <s v="Cash Collector"/>
    <s v="Kassir inkassator"/>
    <s v="Abbasova Nurlana Ramiz qızı"/>
    <d v="2018-12-01T00:00:00"/>
  </r>
  <r>
    <s v="Active"/>
    <s v="ID-120"/>
    <s v="Kamran Jamalov, Kamil"/>
    <s v="Camalov Kamran Kamil oğlu"/>
    <s v="Encashment division"/>
    <x v="1"/>
    <s v="Encashment division"/>
    <s v="İnkassasiya Şöbəsi"/>
    <s v="Cash Collector"/>
    <s v="Kassir inkassator"/>
    <s v="Abbasova Nurlana Ramiz qızı"/>
    <d v="2018-12-01T00:00:00"/>
  </r>
  <r>
    <s v="Active"/>
    <s v="ID-130"/>
    <s v="Murad Mammadov, Sari"/>
    <s v="Məmmədov Murad Sarı oğlu"/>
    <s v="Encashment division"/>
    <x v="1"/>
    <s v="Encashment division"/>
    <s v="İnkassasiya Şöbəsi"/>
    <s v="Cash Collector"/>
    <s v="Kassir inkassator"/>
    <s v="Abbasova Nurlana Ramiz qızı"/>
    <d v="2018-12-01T00:00:00"/>
  </r>
  <r>
    <s v="Active"/>
    <s v="ID-136"/>
    <s v="Mehman Hasanov, Mahir"/>
    <s v="Həsənov Mehman Mahir oğlu"/>
    <s v="Encashment division"/>
    <x v="1"/>
    <s v="Encashment division"/>
    <s v="İnkassasiya Şöbəsi"/>
    <s v="Cash Collector"/>
    <s v="Kassir inkassator"/>
    <s v="Abbasova Nurlana Ramiz qızı"/>
    <d v="2018-12-01T00:00:00"/>
  </r>
  <r>
    <s v="Active"/>
    <s v="ID-139"/>
    <s v="Jeyhun Musazade, Famil"/>
    <s v="Musazadə Ceyhun Famil oğlu"/>
    <s v="Encashment division"/>
    <x v="1"/>
    <s v="Encashment division"/>
    <s v="İnkassasiya Şöbəsi"/>
    <s v="Driver Incasator"/>
    <s v="Sürücü inkassator"/>
    <s v="Abbasova Nurlana Ramiz qızı"/>
    <d v="2018-12-17T00:00:00"/>
  </r>
  <r>
    <s v="Active"/>
    <s v="ID-138"/>
    <s v="Yagut Abdulazizova, Shahbuz"/>
    <s v="Abduləzizova Yaqut Şahbuz qızı"/>
    <s v="none structure"/>
    <x v="5"/>
    <s v="none structure"/>
    <s v="none structure"/>
    <s v="Cleaning Lady"/>
    <s v="Xidmətçi"/>
    <s v="KB-yə Kassa və inkassasiya prosesləri departamentinə keçirilir, rəsmiləşmədədirlər. "/>
    <d v="2018-12-17T00:00:00"/>
  </r>
  <r>
    <s v="Active"/>
    <s v="ID-142"/>
    <s v="Emin Hajiyev, Musavar"/>
    <s v="Hacıyev Emin Müsavər oğlu"/>
    <s v="Encashment division"/>
    <x v="1"/>
    <s v="Encashment division"/>
    <s v="İnkassasiya Şöbəsi"/>
    <s v="Cash Team Leader"/>
    <s v="Kassa üzrə Qrup Rəhbəri"/>
    <s v="Abbasova Nurlana Ramiz qızı"/>
    <d v="2018-12-24T00:00:00"/>
  </r>
  <r>
    <s v="Active"/>
    <s v="ID-144"/>
    <s v="Zaur Alakbarov, Jahangir"/>
    <s v="Ələkbərov Zaur Cahangir oğlu"/>
    <s v="Terminal and ATM department"/>
    <x v="0"/>
    <s v="Terminal and ATM distibution division"/>
    <s v="Terminal və ATM-lərin yerləşdirilməsi"/>
    <s v="Senior Sales Representative"/>
    <s v="Baş Satış Təmsilçisi"/>
    <s v="Ramazanov Rəşad Cəfər oğlu"/>
    <d v="2019-01-03T00:00:00"/>
  </r>
  <r>
    <s v="Active"/>
    <s v="ID-145"/>
    <s v="Sakina Ibrahimova, Bayram"/>
    <s v="İbrahimova Səkinə Bayram qızı"/>
    <s v=" Terminal business support department"/>
    <x v="2"/>
    <s v="Encashment processes support division"/>
    <s v="İnkassasiya proseslərinə dəstək şöbəsi "/>
    <s v="Security Specialist"/>
    <s v="Təhlükəsizlik üzrə Mütəxəssis"/>
    <s v="Rüstəmzadə İlqar Vilayət oğlu"/>
    <d v="2019-01-04T00:00:00"/>
  </r>
  <r>
    <s v="Active"/>
    <s v="ID-146"/>
    <s v="Majid Huseynli, Arastun"/>
    <s v="Hüseynli Məcid Ərəstun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19-02-01T00:00:00"/>
  </r>
  <r>
    <s v="Active"/>
    <s v="ID-150"/>
    <s v="Elmar Babazade, Eldar"/>
    <s v="Babazadə Elmar Eldar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19-02-25T00:00:00"/>
  </r>
  <r>
    <s v="Active"/>
    <s v="ID-152"/>
    <s v="Gani Taghiyev, Saadat"/>
    <s v="Tağıyev Qəni Səadət oğlu"/>
    <s v="Security department"/>
    <x v="6"/>
    <s v="-"/>
    <s v="-"/>
    <s v="Senior Security Specialist"/>
    <s v="Baş mütəxəssis"/>
    <s v="Məmmədov Kənan Eldar oğlu"/>
    <d v="2019-05-01T00:00:00"/>
  </r>
  <r>
    <s v="Active"/>
    <s v="ID-154"/>
    <s v="Rasim Rustamov, Javid"/>
    <s v="Rüstəmov Rasim Cavid oğlu"/>
    <s v="Encashment division"/>
    <x v="1"/>
    <s v="Encashment division"/>
    <s v="İnkassasiya Şöbəsi"/>
    <s v="Driver Incasator"/>
    <s v="Sürücü inkassator"/>
    <s v="Abbasova Nurlana Ramiz qızı"/>
    <d v="2019-05-10T00:00:00"/>
  </r>
  <r>
    <s v="Active"/>
    <s v="ID-157"/>
    <s v="Toghrul Aghazade, Javanshir"/>
    <s v="Ağazadə Toğrul Cavanşir oğlu"/>
    <s v="Encashment division"/>
    <x v="1"/>
    <s v="Encashment division"/>
    <s v="İnkassasiya Şöbəsi"/>
    <s v="Cash Collector"/>
    <s v="Kassir inkassator"/>
    <s v="Abbasova Nurlana Ramiz qızı"/>
    <d v="2019-06-01T00:00:00"/>
  </r>
  <r>
    <s v="Active"/>
    <s v="ID-160"/>
    <s v="Fakhraddin Ahmadov, Firidun"/>
    <s v="Əhmədov Fəxrəddin Firidun oğlu"/>
    <s v="Encashment division"/>
    <x v="1"/>
    <s v="Encashment division"/>
    <s v="İnkassasiya Şöbəsi"/>
    <s v="Gabala Branch Manager"/>
    <s v="Qəbələ RXM-nin Meneceri"/>
    <s v="Abbasova Nurlana Ramiz qızı"/>
    <d v="2019-06-18T00:00:00"/>
  </r>
  <r>
    <s v="Active"/>
    <s v="ID-164"/>
    <s v="Gulu Taghizade, Vusat"/>
    <s v="Tağızadə Qulu Vüsət oğlu"/>
    <s v=" Terminal business support department"/>
    <x v="2"/>
    <s v="Encashment processes support division"/>
    <s v="İnkassasiya proseslərinə dəstək şöbəsi "/>
    <s v="Security"/>
    <s v="Mühafizəçi"/>
    <s v="Rüstəmzadə İlqar Vilayət oğlu"/>
    <d v="2019-06-27T00:00:00"/>
  </r>
  <r>
    <s v="Active"/>
    <s v="ID-165"/>
    <s v="Mirvahab Abdullayev, Jamaladdin"/>
    <s v="Abdullayev Mirvahab Camaləddin oğlu"/>
    <s v="Encashment division"/>
    <x v="1"/>
    <s v="Encashment division"/>
    <s v="İnkassasiya Şöbəsi"/>
    <s v="Driver Incasator"/>
    <s v="Sürücü inkassator"/>
    <s v="Abbasova Nurlana Ramiz qızı"/>
    <d v="2019-07-09T00:00:00"/>
  </r>
  <r>
    <s v="Active"/>
    <s v="ID-166"/>
    <s v="Ulfat Mammadzade, Fakhraddin"/>
    <s v="Məmmədzadə Ülfət Faxrəddin oğlu"/>
    <s v="Encashment division"/>
    <x v="1"/>
    <s v="Encashment division"/>
    <s v="İnkassasiya Şöbəsi"/>
    <s v="Cash Collector"/>
    <s v="Kassir inkassator"/>
    <s v="Abbasova Nurlana Ramiz qızı"/>
    <d v="2019-07-15T00:00:00"/>
  </r>
  <r>
    <s v="Active"/>
    <s v="ID-167"/>
    <s v="Rashad Gurbanov, Rafail"/>
    <s v="Qurbanov Rəşad Rəfail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19-08-02T00:00:00"/>
  </r>
  <r>
    <s v="Active"/>
    <s v="ID-169"/>
    <s v="Veysal Rahimov, Karam"/>
    <s v="Rəhimov Veysəl Kərəm oğlu"/>
    <s v="Encashment division"/>
    <x v="1"/>
    <s v="Encashment division"/>
    <s v="İnkassasiya Şöbəsi"/>
    <s v="Cash Collector"/>
    <s v="Kassir inkassator"/>
    <s v="Abbasova Nurlana Ramiz qızı"/>
    <d v="2019-08-07T00:00:00"/>
  </r>
  <r>
    <s v="Active"/>
    <s v="ID-168"/>
    <s v="Vusal Jabiyev, Eynulla"/>
    <s v="Cəbiyev Vüsal Eynulla oğlu"/>
    <s v="Encashment division"/>
    <x v="1"/>
    <s v="Encashment division"/>
    <s v="İnkassasiya Şöbəsi"/>
    <s v="Cash Collector"/>
    <s v="Kassir inkassator"/>
    <s v="Abbasova Nurlana Ramiz qızı"/>
    <d v="2019-08-07T00:00:00"/>
  </r>
  <r>
    <s v="Active"/>
    <s v="ID-170"/>
    <s v="Fuad Aghayev, Alimukhtar"/>
    <s v="Ağayev Fuad Əlimuxtar oğlu"/>
    <s v="Encashment division"/>
    <x v="1"/>
    <s v="Encashment division"/>
    <s v="İnkassasiya Şöbəsi"/>
    <s v="Driver Incasator"/>
    <s v="Sürücü inkassator"/>
    <s v="Abbasova Nurlana Ramiz qızı"/>
    <d v="2019-08-10T00:00:00"/>
  </r>
  <r>
    <s v="Active"/>
    <s v="ID-171"/>
    <s v="Magsud Aghababayev, Rashid"/>
    <s v="Ağababayev Maqsud Rəşid oğlu"/>
    <s v="Encashment division"/>
    <x v="1"/>
    <s v="Encashment division"/>
    <s v="İnkassasiya Şöbəsi"/>
    <s v="Cash Collector"/>
    <s v="Kassir inkassator"/>
    <s v="Abbasova Nurlana Ramiz qızı"/>
    <d v="2019-08-16T00:00:00"/>
  </r>
  <r>
    <s v="Active"/>
    <s v="ID-173"/>
    <s v="Anvar Sultanov, Ehtibar"/>
    <s v="Sultanov Ənvər Ehtibar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19-09-06T00:00:00"/>
  </r>
  <r>
    <s v="Active"/>
    <s v="ID-177"/>
    <s v="Emin Mammadli, Daghistan"/>
    <s v="Məmmədli Emin Dağıstan oğlu"/>
    <s v="Encashment division"/>
    <x v="1"/>
    <s v="Encashment division"/>
    <s v="İnkassasiya Şöbəsi"/>
    <s v="Cash Collector"/>
    <s v="Kassir inkassator"/>
    <s v="Abbasova Nurlana Ramiz qızı"/>
    <d v="2019-10-01T00:00:00"/>
  </r>
  <r>
    <s v="Active"/>
    <s v="ID-178"/>
    <s v="Elnur Huseynov, Araz"/>
    <s v="Hüseynov Elnur Araz oğlu"/>
    <s v="Encashment division"/>
    <x v="1"/>
    <s v="Encashment division"/>
    <s v="İnkassasiya Şöbəsi"/>
    <s v="Driver Incasator"/>
    <s v="Sürücü inkassator"/>
    <s v="Abbasova Nurlana Ramiz qızı"/>
    <d v="2019-10-25T00:00:00"/>
  </r>
  <r>
    <s v="Active"/>
    <s v="ID-179"/>
    <s v="Turkan Huseynova, Elyar"/>
    <s v="Hüseynova Türkan Elyar qızı"/>
    <s v="none structure"/>
    <x v="5"/>
    <s v="none structure"/>
    <s v="none structure"/>
    <s v="Cleaning Lady"/>
    <s v="Xidmətçi"/>
    <s v="Əlildir, xitam prosesindədir. "/>
    <d v="2019-11-01T00:00:00"/>
  </r>
  <r>
    <s v="Active"/>
    <s v="ID-182"/>
    <s v="Talib Gulioghlu, Avdal"/>
    <s v="Qulioğlu Talıb Avdal oğlu"/>
    <s v="Encashment division"/>
    <x v="1"/>
    <s v="Encashment division"/>
    <s v="İnkassasiya Şöbəsi"/>
    <s v="Cash Collector"/>
    <s v="Kassir inkassator"/>
    <s v="Abbasova Nurlana Ramiz qızı"/>
    <d v="2019-11-04T00:00:00"/>
  </r>
  <r>
    <s v="Active"/>
    <s v="ID-183"/>
    <s v="Tural Nasibov, Mustafa"/>
    <s v="Nəsibov Tural Mustafa oğlu"/>
    <s v="Terminal and ATM department"/>
    <x v="0"/>
    <s v="Terminal and ATM distibution division"/>
    <s v="Terminal və ATM-lərin yerləşdirilməsi"/>
    <s v="Senior Specialist"/>
    <s v="Baş mütəxəssis"/>
    <s v="Ramazanov Rəşad Cəfər oğlu"/>
    <d v="2019-11-04T00:00:00"/>
  </r>
  <r>
    <s v="Active"/>
    <s v="ID-184"/>
    <s v="Khalig Goyushov, Oktay"/>
    <s v="Göyüşov Xaliq Oktay oğlu"/>
    <s v=" Terminal business support department"/>
    <x v="2"/>
    <s v="Encashment processes and cash centers monitoring division"/>
    <s v="İnkassasiya prosesi və kassa mərkəzlərinin monitorinqi şöbəsi"/>
    <s v="Leading Specialist"/>
    <s v="Aparıcı mütəxəssis"/>
    <s v="Ramaldanov Şıxbala Şair oğlu"/>
    <d v="2019-11-07T00:00:00"/>
  </r>
  <r>
    <s v="Active"/>
    <s v="ID-185"/>
    <s v="Samid Samadov, Sarbala"/>
    <s v="Səmədov Səmid Sarbala oğlu"/>
    <s v="Encashment division"/>
    <x v="1"/>
    <s v="Encashment division"/>
    <s v="İnkassasiya Şöbəsi"/>
    <s v="Cash Collector"/>
    <s v="Kassir inkassator"/>
    <s v="Abbasova Nurlana Ramiz qızı"/>
    <d v="2019-11-22T00:00:00"/>
  </r>
  <r>
    <s v="Active"/>
    <s v="ID-186"/>
    <s v="Nigar Javadova, Ramzi"/>
    <s v="Cavadova Nigar Rəmzi qızı"/>
    <s v="Settlements department"/>
    <x v="7"/>
    <s v="Clearing divison"/>
    <s v="Klirinq şöbəsi"/>
    <s v="Leading Settlements specialist"/>
    <s v="Hesablaşmalar üzrə Aparıcı Mütəxəssis"/>
    <s v="Usubova Sevinc Cəfər qızı"/>
    <d v="2019-11-25T00:00:00"/>
  </r>
  <r>
    <s v="Active"/>
    <s v="ID-187"/>
    <s v="Elvin Ismayilzade, Elchin"/>
    <s v="İsmayılzadə Elvin Elçin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19-11-26T00:00:00"/>
  </r>
  <r>
    <s v="Active"/>
    <s v="ID-188"/>
    <s v="Rasim Aghajanov, Asim"/>
    <s v="Ağacanov Rasim Asim oğlu"/>
    <s v="IT Division"/>
    <x v="9"/>
    <s v="IT Division"/>
    <s v="İT şöbəsi"/>
    <s v="Leading Customer Help Desk Specialist"/>
    <s v="Müştərilərə Texniki Dəstək üzrə Aparıcı Mütəxəssis"/>
    <s v="Almaz Cavadova"/>
    <d v="2019-11-27T00:00:00"/>
  </r>
  <r>
    <s v="Active"/>
    <s v="ID-189"/>
    <s v="Nazrin Burjali, Rahil"/>
    <s v="Burcalı Nəzrin Rahil qızı"/>
    <s v="Customer excellence department"/>
    <x v="4"/>
    <s v="Monitoring and evaluation division"/>
    <s v="Monitorinq və qiymətləndirmə şöbəsi"/>
    <s v="Leading Quality Management and Evaluation Specialist"/>
    <s v="Keyfiyyət İdarəetməsi və Qiymətləndirmə üzrə Aparıcı Mütəxəssis"/>
    <s v="Abbaszadə Elçin Nazim oğlu"/>
    <d v="2019-12-05T00:00:00"/>
  </r>
  <r>
    <s v="Active"/>
    <s v="ID-191"/>
    <s v="Raig Rahimov, Vasif"/>
    <s v="Rəhimov Raiq Vasif oğlu"/>
    <s v="Encashment division"/>
    <x v="1"/>
    <s v="Encashment division"/>
    <s v="İnkassasiya Şöbəsi"/>
    <s v="Driver Incasator"/>
    <s v="Sürücü inkassator"/>
    <s v="Abbasova Nurlana Ramiz qızı"/>
    <d v="2019-12-26T00:00:00"/>
  </r>
  <r>
    <s v="Active"/>
    <s v="ID-192"/>
    <s v="Ruslan Musayev, Sabir"/>
    <s v="Musayev Ruslan Sabir oğlu"/>
    <s v=" Terminal business support department"/>
    <x v="2"/>
    <s v="Encashment processes support division"/>
    <s v="İnkassasiya proseslərinə dəstək şöbəsi "/>
    <s v="Security"/>
    <s v="Mühafizəçi"/>
    <s v="Rüstəmzadə İlqar Vilayət oğlu"/>
    <d v="2020-01-21T00:00:00"/>
  </r>
  <r>
    <s v="Active"/>
    <s v="ID-193"/>
    <s v="Turgay Ismayilov, Zahir"/>
    <s v="İsmayılov Turqay Zahir oğlu"/>
    <s v="Encashment division"/>
    <x v="1"/>
    <s v="Encashment division"/>
    <s v="İnkassasiya Şöbəsi"/>
    <s v="Cash Collector"/>
    <s v="Kassir inkassator"/>
    <s v="Abbasova Nurlana Ramiz qızı"/>
    <d v="2020-01-22T00:00:00"/>
  </r>
  <r>
    <s v="Active"/>
    <s v="ID-194"/>
    <s v="Elmin Habibov, Tarlan"/>
    <s v="Həbibov Elmin Tərlan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20-01-23T00:00:00"/>
  </r>
  <r>
    <s v="Active"/>
    <s v="ID-196"/>
    <s v="Shaig Aghayev, Balahuseyn"/>
    <s v="Ağayev Şaiq Balahüseyn oğlu"/>
    <s v=" Terminal business support department"/>
    <x v="2"/>
    <s v="Terminal business support division"/>
    <s v="Terminal biznesinə dəstək şöbəsi"/>
    <s v="Labourer"/>
    <s v="Fəhlə"/>
    <s v="Fərzəliyev Zaur Tofiq oğlu"/>
    <d v="2020-01-30T00:00:00"/>
  </r>
  <r>
    <s v="Active"/>
    <s v="ID-201"/>
    <s v="Jala Zeynalova, Mugabil"/>
    <s v="Zeynalova Jalə Müqabil qızı"/>
    <s v=" Terminal business support department"/>
    <x v="2"/>
    <s v="Encashment processes support division"/>
    <s v="İnkassasiya proseslərinə dəstək şöbəsi "/>
    <s v="Security Specialist"/>
    <s v="Təhlükəsizlik üzrə Mütəxəssis"/>
    <s v="Rüstəmzadə İlqar Vilayət oğlu"/>
    <d v="2020-05-07T00:00:00"/>
  </r>
  <r>
    <s v="Active"/>
    <s v="ID-202"/>
    <s v="Vugar Aliyev, Atakishi"/>
    <s v="Əliyev Vüqar Atakişi oğlu"/>
    <s v="Encashment division"/>
    <x v="1"/>
    <s v="Encashment division"/>
    <s v="İnkassasiya Şöbəsi"/>
    <s v="Driver Incasator"/>
    <s v="Sürücü inkassator"/>
    <s v="Abbasova Nurlana Ramiz qızı"/>
    <d v="2020-05-08T00:00:00"/>
  </r>
  <r>
    <s v="Active"/>
    <s v="ID-203"/>
    <s v="Rashad Shukurov, Imran"/>
    <s v="Şükürov Rəşad İmran oğlu"/>
    <s v="Encashment division"/>
    <x v="1"/>
    <s v="Encashment division"/>
    <s v="İnkassasiya Şöbəsi"/>
    <s v="Cash Collector"/>
    <s v="Kassir inkassator"/>
    <s v="Abbasova Nurlana Ramiz qızı"/>
    <d v="2020-05-13T00:00:00"/>
  </r>
  <r>
    <s v="Active"/>
    <s v="ID-206"/>
    <s v="Karim Abdurahmanov, Chingiz"/>
    <s v="Əbdürəhmanov Kərim Çingiz oğlu"/>
    <s v=" Terminal business support department"/>
    <x v="2"/>
    <s v="Encashment processes support division"/>
    <s v="İnkassasiya proseslərinə dəstək şöbəsi "/>
    <s v="Security"/>
    <s v="Mühafizəçi"/>
    <s v="Rüstəmzadə İlqar Vilayət oğlu"/>
    <d v="2020-05-23T00:00:00"/>
  </r>
  <r>
    <s v="Active"/>
    <s v="ID-205"/>
    <s v="Gunduz Aliyev, Faig"/>
    <s v="Əliyev Gündüz Faiq oğlu"/>
    <s v="Encashment division"/>
    <x v="1"/>
    <s v="Encashment division"/>
    <s v="İnkassasiya Şöbəsi"/>
    <s v="Cash Collector"/>
    <s v="Kassir inkassator"/>
    <s v="Abbasova Nurlana Ramiz qızı"/>
    <d v="2020-05-23T00:00:00"/>
  </r>
  <r>
    <s v="Active"/>
    <s v="ID-208"/>
    <s v="Yusif Manafov, Ali"/>
    <s v="Manafov Yusif Əli oğlu"/>
    <s v="Encashment division"/>
    <x v="1"/>
    <s v="Encashment division"/>
    <s v="İnkassasiya Şöbəsi"/>
    <s v="Cash Collector"/>
    <s v="Kassir inkassator"/>
    <s v="Abbasova Nurlana Ramiz qızı"/>
    <d v="2020-06-01T00:00:00"/>
  </r>
  <r>
    <s v="Active"/>
    <s v="ID-210"/>
    <s v="Khayal Hasanov, Bakhtibar"/>
    <s v="Həsənov Xəyal Bəxtibar oğlu"/>
    <s v=" Terminal business support department"/>
    <x v="2"/>
    <s v="Encashment processes support division"/>
    <s v="İnkassasiya proseslərinə dəstək şöbəsi "/>
    <s v="Security"/>
    <s v="Mühafizəçi"/>
    <s v="Rüstəmzadə İlqar Vilayət oğlu"/>
    <d v="2020-06-03T00:00:00"/>
  </r>
  <r>
    <s v="Active"/>
    <s v="ID-212"/>
    <s v="Rufat Rashidov, Galib"/>
    <s v="Rəşidov Rüfət Qalib oğlu"/>
    <s v="Encashment division"/>
    <x v="1"/>
    <s v="Encashment division"/>
    <s v="İnkassasiya Şöbəsi"/>
    <s v="Driver Incasator"/>
    <s v="Sürücü inkassator"/>
    <s v="Abbasova Nurlana Ramiz qızı"/>
    <d v="2020-06-22T00:00:00"/>
  </r>
  <r>
    <s v="Active"/>
    <s v="ID-213"/>
    <s v="Samir Murshudov, Murshud"/>
    <s v="Mürşüdov Samir Mürşüd oğlu"/>
    <s v=" Terminal business support department"/>
    <x v="2"/>
    <s v="Terminal business support division"/>
    <s v="Terminal biznesinə dəstək şöbəsi"/>
    <s v="Office Technician"/>
    <s v="Ofis üzrə Texnik"/>
    <s v="Fərzəliyev Zaur Tofiq oğlu"/>
    <d v="2020-07-01T00:00:00"/>
  </r>
  <r>
    <s v="Active"/>
    <s v="ID-216"/>
    <s v="Fuad Jafarov, Murad"/>
    <s v="Cəfərov Fuad Murad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20-07-27T00:00:00"/>
  </r>
  <r>
    <s v="Active"/>
    <s v="ID-217"/>
    <s v="Ulvi Aslanov, Nasib"/>
    <s v="Aslanov Ülvi Nəsib oğlu"/>
    <s v="Encashment division"/>
    <x v="1"/>
    <s v="Encashment division"/>
    <s v="İnkassasiya Şöbəsi"/>
    <s v="Cash Collector"/>
    <s v="Kassir inkassator"/>
    <s v="Abbasova Nurlana Ramiz qızı"/>
    <d v="2020-08-03T00:00:00"/>
  </r>
  <r>
    <s v="Active"/>
    <s v="ID-218"/>
    <s v="Rashad Nusratov, Seyran"/>
    <s v="Nüsrətov Rəşad Seyran oğlu"/>
    <s v="Encashment division"/>
    <x v="1"/>
    <s v="Encashment division"/>
    <s v="İnkassasiya Şöbəsi"/>
    <s v="Cash Collector"/>
    <s v="Kassir inkassator"/>
    <s v="Abbasova Nurlana Ramiz qızı"/>
    <d v="2020-08-03T00:00:00"/>
  </r>
  <r>
    <s v="Active"/>
    <s v="ID-223"/>
    <s v="Nijat Huseynov, Shakir"/>
    <s v="Hüseynov Nicat Şakir oğlu"/>
    <s v="Encashment division"/>
    <x v="1"/>
    <s v="Encashment division"/>
    <s v="İnkassasiya Şöbəsi"/>
    <s v="Cashier"/>
    <s v="Kassir"/>
    <s v="Abbasova Nurlana Ramiz qızı"/>
    <d v="2020-08-17T00:00:00"/>
  </r>
  <r>
    <s v="Active"/>
    <s v="ID-225"/>
    <s v="Zaur Baghirov, Eytibar"/>
    <s v="Bağırov Zaur Eytibar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20-08-21T00:00:00"/>
  </r>
  <r>
    <s v="Active"/>
    <s v="ID-228"/>
    <s v="Shukufakhanim Hasanova, Akif"/>
    <s v="Həsənova Şükufəxanım Akif qızı"/>
    <s v="Customer excellence department"/>
    <x v="4"/>
    <s v="Monitoring and evaluation division"/>
    <s v="Monitorinq və qiymətləndirmə şöbəsi"/>
    <s v="Senior Quality Management and Evaluation Specialist"/>
    <s v="Keyfiyyət İdarəetməsi və Qiymətləndirmə üzrə Baş Mütəxəssis"/>
    <s v="Abbaszadə Elçin Nazim oğlu"/>
    <d v="2020-10-02T00:00:00"/>
  </r>
  <r>
    <s v="Active"/>
    <s v="ID-230"/>
    <s v="Huseyn Abdullazade, Gulam"/>
    <s v="Abdullazadə Hüseyn Qulam oğlu"/>
    <s v=" Terminal business support department"/>
    <x v="2"/>
    <s v="Terminal maintenance division"/>
    <s v="Texniki təmir şöbəsi"/>
    <s v="Specialist"/>
    <s v="Mütəxəssis"/>
    <s v="Nəbiyev Namiq Şahbəddin oğlu"/>
    <d v="2020-12-01T00:00:00"/>
  </r>
  <r>
    <s v="Active"/>
    <s v="ID-231"/>
    <s v="Sakhavat Idrisov, Subhan"/>
    <s v="İdrisov Səxavət Sübhan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20-12-01T00:00:00"/>
  </r>
  <r>
    <s v="Active"/>
    <s v="ID-234"/>
    <s v="Tariyel Jafarov, Akif"/>
    <s v="Cəfərov Tariyel Akif oğlu"/>
    <s v="Terminal and ATM department"/>
    <x v="0"/>
    <s v="Terminal and ATM distibution division"/>
    <s v="Terminal və ATM-lərin yerləşdirilməsi"/>
    <s v="Specialist"/>
    <s v="Mütəxəssis"/>
    <s v="Ramazanov Rəşad Cəfər oğlu"/>
    <d v="2020-12-02T00:00:00"/>
  </r>
  <r>
    <s v="Active"/>
    <s v="ID-235"/>
    <s v="Hagigat Mammadova, Gabil"/>
    <s v="Məmmədova Həqiqət Qabil qızı"/>
    <s v="Terminal and ATM department"/>
    <x v="0"/>
    <s v="Sales support division"/>
    <s v="Satışa dəstək"/>
    <s v="Terminal Monitoring Leading Specialist"/>
    <s v="Terminalların Monitorinqi üzrə Aparıcı Mütəxəssis"/>
    <s v="Camalzadə Fuad Sabir oğlu"/>
    <d v="2020-12-17T00:00:00"/>
  </r>
  <r>
    <s v="Active"/>
    <s v="ID-237"/>
    <s v="Shabnam (Guliyeva) Ahmadova, Rasim"/>
    <s v="Quliyeva Şəbnəm (Əhmədova) Rasim qızı"/>
    <s v="Customer excellence department"/>
    <x v="4"/>
    <s v="Customer care division"/>
    <s v="Müştəri xidmətləri şöbəsi"/>
    <s v="Leading Front Office Specialist"/>
    <s v="Ön Masa üzrə Aparıcı Mütəxəssis"/>
    <s v="Əmirov Savalan İsrəfil oğlu"/>
    <d v="2020-12-25T00:00:00"/>
  </r>
  <r>
    <s v="Active"/>
    <s v="ID-242"/>
    <s v="Suleyman Musayev, Nizami"/>
    <s v="Musayev Süleyman Nizami oğlu"/>
    <s v="Encashment division"/>
    <x v="1"/>
    <s v="Encashment division"/>
    <s v="İnkassasiya Şöbəsi"/>
    <s v="Driver Incasator"/>
    <s v="Sürücü inkassator"/>
    <s v="Abbasova Nurlana Ramiz qızı"/>
    <d v="2020-12-29T00:00:00"/>
  </r>
  <r>
    <s v="Active"/>
    <s v="ID-243"/>
    <s v="Igbal Rustamov, Nabi"/>
    <s v="Rüstəmov İqbal Nəbi oğlu"/>
    <s v="Business optimization division"/>
    <x v="10"/>
    <s v="Business optimization division"/>
    <s v="Biznesin optimallaşdırılması şöbəsi"/>
    <s v="Divion Head"/>
    <s v="Şöbə Rəhbəri"/>
    <s v="Səlimi Fərhad Arif oğlu"/>
    <d v="2021-01-26T00:00:00"/>
  </r>
  <r>
    <s v="Active"/>
    <s v="ID-246"/>
    <s v="Ilkin Samadov, Samad"/>
    <s v="Səmədov İlkin Səməd oğlu"/>
    <s v="none structure"/>
    <x v="5"/>
    <s v="none structure"/>
    <s v="none structure"/>
    <s v="Leading Accountant"/>
    <s v="Aparıcı Mühasib"/>
    <s v="Piriyev Abdulla Vaqif oğlu"/>
    <d v="2021-03-15T00:00:00"/>
  </r>
  <r>
    <s v="Active"/>
    <s v="ID-247"/>
    <s v="Tarlan Misirov, Bashir"/>
    <s v="Misirov Tərlan Bəşir oğlu"/>
    <s v="Encashment division"/>
    <x v="1"/>
    <s v="Encashment division"/>
    <s v="İnkassasiya Şöbəsi"/>
    <s v="Driver Incasator"/>
    <s v="Sürücü inkassator"/>
    <s v="Abbasova Nurlana Ramiz qızı"/>
    <d v="2021-03-18T00:00:00"/>
  </r>
  <r>
    <s v="Active"/>
    <s v="ID-248"/>
    <s v="Gunduz Abdullayev, Ayaz"/>
    <s v="Abdullayev Gündüz Ayaz oğlu"/>
    <s v="Security department"/>
    <x v="6"/>
    <s v="-"/>
    <s v="-"/>
    <s v="Team Lead"/>
    <s v="Qrup Rəhbəri"/>
    <s v="Məmmədov Kənan Eldar oğlu"/>
    <d v="2021-04-05T00:00:00"/>
  </r>
  <r>
    <s v="Active"/>
    <s v="ID-249"/>
    <s v="Loghman Baghirli, Shohladdin"/>
    <s v="Bağırlı Loğman Şöhləddin oğlu"/>
    <s v="Encashment division"/>
    <x v="1"/>
    <s v="Encashment division"/>
    <s v="İnkassasiya Şöbəsi"/>
    <s v="Cash Collector"/>
    <s v="Kassir inkassator"/>
    <s v="Abbasova Nurlana Ramiz qızı"/>
    <d v="2021-04-07T00:00:00"/>
  </r>
  <r>
    <s v="Active"/>
    <s v="ID-251"/>
    <s v="Asaf Karimov, Vugar"/>
    <s v="Kərimov Asəf Vüqar oğlu"/>
    <s v="Encashment division"/>
    <x v="1"/>
    <s v="Encashment division"/>
    <s v="İnkassasiya Şöbəsi"/>
    <s v="Driver Incasator"/>
    <s v="Sürücü inkassator"/>
    <s v="Abbasova Nurlana Ramiz qızı"/>
    <d v="2021-04-07T00:00:00"/>
  </r>
  <r>
    <s v="Active"/>
    <s v="ID-252"/>
    <s v="Kanan Mammadov, Eldar"/>
    <s v="Məmmədov Kənan Eldar oğlu"/>
    <s v="Security department"/>
    <x v="6"/>
    <s v="-"/>
    <s v="-"/>
    <s v="Director"/>
    <s v="Direktor"/>
    <s v="Tağıyev Camal İlham oğlu"/>
    <d v="2021-05-16T00:00:00"/>
  </r>
  <r>
    <s v="Active"/>
    <s v="ID-255"/>
    <s v="Aladdin Allahverdiyev, Nuraddin"/>
    <s v="Allahverdiyev Ələddin Nurəddin oğlu"/>
    <s v=" Terminal business support department"/>
    <x v="2"/>
    <s v="Terminal business support division"/>
    <s v="Terminal biznesinə dəstək şöbəsi"/>
    <s v="Labourer"/>
    <s v="Fəhlə"/>
    <s v="Fərzəliyev Zaur Tofiq oğlu"/>
    <d v="2021-05-26T00:00:00"/>
  </r>
  <r>
    <s v="Active"/>
    <s v="ID-257"/>
    <s v="Zaur Farzaliyev, Tofig"/>
    <s v="Fərzəliyev Zaur Tofiq oğlu"/>
    <s v=" Terminal business support department"/>
    <x v="2"/>
    <s v="Terminal business support division"/>
    <s v="Terminal biznesinə dəstək şöbəsi"/>
    <s v="Logistics &amp; Service Manager"/>
    <s v="Logistika və Xidmət üzrə Menecer"/>
    <s v="Abbasov Toğrul Vaqif oğlu"/>
    <d v="2021-06-21T00:00:00"/>
  </r>
  <r>
    <s v="Active"/>
    <s v="ID-259"/>
    <s v="Zakir Mammadov, Elman"/>
    <s v="Məmmədov Zakir  Elman oğlu"/>
    <s v=" Terminal business support department"/>
    <x v="2"/>
    <s v="Terminal business support division"/>
    <s v="Terminal biznesinə dəstək şöbəsi"/>
    <s v="Specialist"/>
    <s v="Mütəxəssis"/>
    <s v="Rüstəmzadə İlqar Vilayət oğlu"/>
    <d v="2021-07-01T00:00:00"/>
  </r>
  <r>
    <s v="Active"/>
    <s v="ID-261"/>
    <s v="Ramal Guliyev, Galib"/>
    <s v="Quliyev Rəmal Qalib oğlu"/>
    <s v="Customer excellence department"/>
    <x v="4"/>
    <s v="Customer care division"/>
    <s v="Müştəri xidmətləri şöbəsi"/>
    <s v="Leading Customer Relations Specialist"/>
    <s v="Müştəri Əlaqələri üzrə Aparıcı Mütəxəssis"/>
    <s v="Əmirov Savalan İsrəfil oğlu"/>
    <d v="2021-07-13T00:00:00"/>
  </r>
  <r>
    <s v="Active"/>
    <s v="ID-262"/>
    <s v="Rufat Suleymanov, Elman"/>
    <s v="Süleymanov Rüfət Elman oğlu"/>
    <s v=" Terminal business support department"/>
    <x v="2"/>
    <s v="Terminal maintenance division"/>
    <s v="Texniki təmir şöbəsi"/>
    <s v="Specialist"/>
    <s v="Mütəxəssis"/>
    <s v="Nəbiyev Namiq Şahbəddin oğlu"/>
    <d v="2021-07-14T00:00:00"/>
  </r>
  <r>
    <s v="Active"/>
    <s v="ID-265"/>
    <s v="Kamran Taghiyev, Imran"/>
    <s v="Tağıyev Kəmran İmran oğlu"/>
    <s v="Security department"/>
    <x v="6"/>
    <s v="-"/>
    <s v="-"/>
    <s v="Senior Specialist"/>
    <s v="Baş Mütəxəssis"/>
    <s v="Məmmədov Kənan Eldar oğlu"/>
    <d v="2021-07-26T00:00:00"/>
  </r>
  <r>
    <s v="Active"/>
    <s v="ID-276"/>
    <s v="Zaur Mammadov, Goja"/>
    <s v="Məmmədov Zaur Qoca oğlu"/>
    <s v="Encashment division"/>
    <x v="1"/>
    <s v="Encashment division"/>
    <s v="İnkassasiya Şöbəsi"/>
    <s v="Cash Collector"/>
    <s v="Kassir inkassator"/>
    <s v="Abbasova Nurlana Ramiz qızı"/>
    <d v="2021-09-01T00:00:00"/>
  </r>
  <r>
    <s v="Active"/>
    <s v="ID-277"/>
    <s v="Kamil Mustafayev, Yusif"/>
    <s v="Mustafayev Kamil Yusif oğlu"/>
    <s v="Encashment division"/>
    <x v="1"/>
    <s v="Encashment division"/>
    <s v="İnkassasiya Şöbəsi"/>
    <s v="Driver Incasator"/>
    <s v="Sürücü inkassator"/>
    <s v="Abbasova Nurlana Ramiz qızı"/>
    <d v="2021-09-01T00:00:00"/>
  </r>
  <r>
    <s v="Active"/>
    <s v="ID-274"/>
    <s v="Aygun Muradova (Aliyeva), Khanlar"/>
    <s v="Muradova (Əliyeva) Aygün Xanlar qızı"/>
    <s v="Products division"/>
    <x v="11"/>
    <s v="Products division"/>
    <s v="Məhsullar Şöbəsi"/>
    <s v="Junior UX/UI Designer"/>
    <s v="Kiçik UX/UI Dizayner"/>
    <s v="Malik Mammadov"/>
    <d v="2021-09-01T00:00:00"/>
  </r>
  <r>
    <s v="Active"/>
    <s v="ID-281"/>
    <s v="Bakhtiyar Mammadov, Ibadulla"/>
    <s v="Məmmədov Bəxtiyar İbadulla oğlu"/>
    <s v="Security department"/>
    <x v="6"/>
    <s v="-"/>
    <s v="-"/>
    <s v="Team Lead"/>
    <s v="Qrup Rəhbəri"/>
    <s v="Məmmədov Kənan Eldar oğlu"/>
    <d v="2021-09-17T00:00:00"/>
  </r>
  <r>
    <s v="Active"/>
    <s v="ID-282"/>
    <s v="Nijat Hasilov, Abdulla"/>
    <s v="Həsilov Nicat Abdulla oğlu"/>
    <s v="Terminal and ATM department"/>
    <x v="0"/>
    <s v="Terminal and ATM distibution division"/>
    <s v="Terminal və ATM-lərin yerləşdirilməsi"/>
    <s v="Senior Sales Representative"/>
    <s v="Baş Satış Təmsilçisi"/>
    <s v="Ramazanov Rəşad Cəfər oğlu"/>
    <d v="2021-09-23T00:00:00"/>
  </r>
  <r>
    <s v="Active"/>
    <s v="ID-285"/>
    <s v="Emil Mehdiyev, Mahir"/>
    <s v="Mehdiyev Emil Mahir oğlu"/>
    <s v="Encashment division"/>
    <x v="1"/>
    <s v="Encashment division"/>
    <s v="İnkassasiya Şöbəsi"/>
    <s v="Driver Incasator"/>
    <s v="Sürücü inkassator"/>
    <s v="Abbasova Nurlana Ramiz qızı"/>
    <d v="2021-10-12T00:00:00"/>
  </r>
  <r>
    <s v="Active"/>
    <s v="ID-288"/>
    <s v="Bahruz Nuraliyev, Ehsan"/>
    <s v="Nurəliyev Bəhruz Ehsan oğlu"/>
    <s v=" Terminal business support department"/>
    <x v="2"/>
    <s v="Terminal technical support division"/>
    <s v="Terminallara texniki dəstək şöbəsi "/>
    <s v="Technical Support Team Lead"/>
    <s v="Qrup rəhbəri"/>
    <s v="Əlizadə Nicat Əşrəf oğlu"/>
    <d v="2021-10-18T00:00:00"/>
  </r>
  <r>
    <s v="Active"/>
    <s v="ID-287"/>
    <s v="Karim Akhundov, Ahmad"/>
    <s v="Axundov Kərim Əhməd oğlu"/>
    <s v=" Terminal business support department"/>
    <x v="2"/>
    <s v="Encashment processes support division"/>
    <s v="İnkassasiya proseslərinə dəstək şöbəsi "/>
    <s v="Security Specialist"/>
    <s v="Təhlükəsizlik üzrə Mütəxəssis"/>
    <s v="Rüstəmzadə İlqar Vilayət oğlu"/>
    <d v="2021-10-18T00:00:00"/>
  </r>
  <r>
    <s v="Active"/>
    <s v="ID-292"/>
    <s v="Farid Orujov, Sadig"/>
    <s v="Orucov Fərid Sadiq oğlu"/>
    <s v="Encashment division"/>
    <x v="1"/>
    <s v="Encashment division"/>
    <s v="İnkassasiya Şöbəsi"/>
    <s v="Cash Collector"/>
    <s v="Kassir inkassator"/>
    <s v="Abbasova Nurlana Ramiz qızı"/>
    <d v="2021-10-26T00:00:00"/>
  </r>
  <r>
    <s v="Active"/>
    <s v="ID-291"/>
    <s v="Pirhuseyn Huseynov, Abulfaz"/>
    <s v="Hüseynov Pirhüseyn Əbülfəz oğlu"/>
    <s v="Encashment division"/>
    <x v="1"/>
    <s v="Encashment division"/>
    <s v="İnkassasiya Şöbəsi"/>
    <s v="Driver Incasator"/>
    <s v="Sürücü inkassator"/>
    <s v="Abbasova Nurlana Ramiz qızı"/>
    <d v="2021-10-26T00:00:00"/>
  </r>
  <r>
    <s v="Active"/>
    <s v="ID-295"/>
    <s v="Rahim Gasimov, Nahib"/>
    <s v="Qasımov Rahim Nahib oğlu"/>
    <s v=" Terminal business support department"/>
    <x v="2"/>
    <s v="Terminal maintenance division"/>
    <s v="Texniki təmir şöbəsi"/>
    <s v="Technician Specialist"/>
    <s v="Texniki İşlər üzrə Mütəxəssis"/>
    <s v="Nəbiyev Namiq Şahbəddin oğlu"/>
    <d v="2021-11-02T00:00:00"/>
  </r>
  <r>
    <s v="Active"/>
    <s v="ID-315"/>
    <s v="Namig Nabiyev, Shahbaddin"/>
    <s v="Nəbiyev Namiq Şahbəddin oğlu"/>
    <s v=" Terminal business support department"/>
    <x v="2"/>
    <s v="Terminal maintenance division"/>
    <s v="Texniki təmir şöbəsi"/>
    <s v="Technical Repair Manager"/>
    <s v="Texniki Təmir üzrə Menecer"/>
    <s v="Abbasov Toğrul Vaqif oğlu"/>
    <d v="2021-11-02T00:00:00"/>
  </r>
  <r>
    <s v="Active"/>
    <s v="ID-300"/>
    <s v="Zaur Heydarov, Namig"/>
    <s v="Heydərov Zaur Namiq oğlu"/>
    <s v="Encashment division"/>
    <x v="1"/>
    <s v="Encashment division"/>
    <s v="İnkassasiya Şöbəsi"/>
    <s v="Driver Incasator"/>
    <s v="Sürücü inkassator"/>
    <s v="Abbasova Nurlana Ramiz qızı"/>
    <d v="2021-11-02T00:00:00"/>
  </r>
  <r>
    <s v="Active"/>
    <s v="ID-317"/>
    <s v="Rashad Ramazanov, Jafar"/>
    <s v="Ramazanov Rəşad Cəfər oğlu"/>
    <s v="Terminal and ATM department"/>
    <x v="0"/>
    <s v="Terminal and ATM distibution division"/>
    <s v="Terminal və ATM-lərin yerləşdirilməsi"/>
    <s v="Manager"/>
    <s v="Menecer"/>
    <s v="Zeynalova İlahə Əflatun qızı"/>
    <d v="2021-11-03T00:00:00"/>
  </r>
  <r>
    <s v="Active"/>
    <s v="ID-318"/>
    <s v="Tapdig Mammadov, Fuzuli"/>
    <s v="Məmmədov Tapdıq Füzuli oğlu"/>
    <s v="Encashment division"/>
    <x v="1"/>
    <s v="Encashment division"/>
    <s v="İnkassasiya Şöbəsi"/>
    <s v="Cash Collector"/>
    <s v="Kassir inkassator"/>
    <s v="Abbasova Nurlana Ramiz qızı"/>
    <d v="2021-11-03T00:00:00"/>
  </r>
  <r>
    <s v="Active"/>
    <s v="ID-320"/>
    <s v="Aghazaman Aliyev, Sahib"/>
    <s v="Əliyev Ağazaman Sahib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21-11-05T00:00:00"/>
  </r>
  <r>
    <s v="Active"/>
    <s v="ID-324"/>
    <s v="Aliyar Amirbayov, Azad"/>
    <s v="Əmirbəyov Əliyar Azad oğlu"/>
    <s v="Encashment division"/>
    <x v="1"/>
    <s v="Encashment division"/>
    <s v="İnkassasiya Şöbəsi"/>
    <s v="Cash Collector"/>
    <s v="Kassir inkassator"/>
    <s v="Abbasova Nurlana Ramiz qızı"/>
    <d v="2021-11-10T00:00:00"/>
  </r>
  <r>
    <s v="Active"/>
    <s v="ID-328"/>
    <s v="Kamila Jalalova, Fizuli"/>
    <s v="Calalova Kamila Fizuli qızı"/>
    <s v="Customer excellence department"/>
    <x v="4"/>
    <s v="Monitoring and evaluation division"/>
    <s v="Monitorinq və qiymətləndirmə şöbəsi"/>
    <s v="Leading Quality Management and Evaluation Specialist"/>
    <s v="Keyfiyyət İdarəetməsi və Qiymətləndirmə üzrə Aparıcı Mütəxəssis"/>
    <s v="Abbaszadə Elçin Nazim oğlu"/>
    <d v="2021-11-22T00:00:00"/>
  </r>
  <r>
    <s v="Active"/>
    <s v="ID-331"/>
    <s v="Uzeyir Aliyev, Jabbar"/>
    <s v="Əliyev Üzeyir Cabbar oğlu"/>
    <s v="Encashment division"/>
    <x v="1"/>
    <s v="Encashment division"/>
    <s v="İnkassasiya Şöbəsi"/>
    <s v="Nakhchivan Branch Manager"/>
    <s v="Naxçıvan RXM-nin Meneceri"/>
    <s v="Abbasova Nurlana Ramiz qızı"/>
    <d v="2021-11-23T00:00:00"/>
  </r>
  <r>
    <s v="Active"/>
    <s v="ID-332"/>
    <s v="Habil Najafov, Rahim"/>
    <s v="Nəcəfov Habil Rəhim oğlu"/>
    <s v="Encashment division"/>
    <x v="1"/>
    <s v="Encashment division"/>
    <s v="İnkassasiya Şöbəsi"/>
    <s v="Cash Collector"/>
    <s v="Kassir inkassator"/>
    <s v="Abbasova Nurlana Ramiz qızı"/>
    <d v="2021-11-26T00:00:00"/>
  </r>
  <r>
    <s v="Active"/>
    <s v="ID-336"/>
    <s v="Rashad Musayev, Abulfat"/>
    <s v="Musayev Rəşad Əbülfət oğlu"/>
    <s v="Encashment division"/>
    <x v="1"/>
    <s v="Encashment division"/>
    <s v="İnkassasiya Şöbəsi"/>
    <s v="Driver Incasator"/>
    <s v="Sürücü inkassator"/>
    <s v="Abbasova Nurlana Ramiz qızı"/>
    <d v="2021-12-01T00:00:00"/>
  </r>
  <r>
    <s v="Active"/>
    <s v="ID-334"/>
    <s v="Narmin Mammadova, Mehman"/>
    <s v="Məmmədova Nərmin Mehman qızı"/>
    <s v="Fraud prevention division"/>
    <x v="8"/>
    <s v="Fraud prevention division"/>
    <s v="Frauda qarşı mübarizə şöbəsi"/>
    <s v="Leading Fraud Monitoring Specialist "/>
    <s v="Fraud Monitorinq üzrə Aparıcı Mütəxəssis"/>
    <s v="Ramazanov Ramis Rahim oğlu"/>
    <d v="2021-12-01T00:00:00"/>
  </r>
  <r>
    <s v="Active"/>
    <s v="ID-342"/>
    <s v="Elnur Shahbazov, Avazagha"/>
    <s v="Şahbazov Elnur Əvəzağa oğlu"/>
    <s v="Encashment division"/>
    <x v="1"/>
    <s v="Encashment division"/>
    <s v="İnkassasiya Şöbəsi"/>
    <s v="Cash Collector"/>
    <s v="Kassir inkassator"/>
    <s v="Abbasova Nurlana Ramiz qızı"/>
    <d v="2021-12-06T00:00:00"/>
  </r>
  <r>
    <s v="Active"/>
    <s v="ID-340"/>
    <s v="Ulvi Rahimov, Nasimi"/>
    <s v="Rəhimov Ülvi Nəsimi oğlu"/>
    <s v="Encashment division"/>
    <x v="1"/>
    <s v="Encashment division"/>
    <s v="İnkassasiya Şöbəsi"/>
    <s v="Driver Incasator"/>
    <s v="Sürücü inkassator"/>
    <s v="Abbasova Nurlana Ramiz qızı"/>
    <d v="2021-12-06T00:00:00"/>
  </r>
  <r>
    <s v="Active"/>
    <s v="ID-354"/>
    <s v="Adalat Novruzov, Hakim"/>
    <s v="Novruzov Ədalət Hakim oğlu"/>
    <s v="Encashment division"/>
    <x v="1"/>
    <s v="Encashment division"/>
    <s v="İnkassasiya Şöbəsi"/>
    <s v="Cash Collector"/>
    <s v="Kassir inkassator"/>
    <s v="Abbasova Nurlana Ramiz qızı"/>
    <d v="2021-12-22T00:00:00"/>
  </r>
  <r>
    <s v="Active"/>
    <s v="ID-355"/>
    <s v="Gadir Pashayev, Avaz"/>
    <s v="Paşayev Qədir Əvəz oğlu"/>
    <s v="Encashment division"/>
    <x v="1"/>
    <s v="Encashment division"/>
    <s v="İnkassasiya Şöbəsi"/>
    <s v="Driver Incasator"/>
    <s v="Sürücü inkassator"/>
    <s v="Abbasova Nurlana Ramiz qızı"/>
    <d v="2021-12-22T00:00:00"/>
  </r>
  <r>
    <s v="Active"/>
    <s v="ID-360"/>
    <s v="Hamid Rasulov, Ali"/>
    <s v="Rəsulov Həmid Əli oğlu"/>
    <s v="Terminal and ATM department"/>
    <x v="0"/>
    <s v="Terminal and ATM distibution division"/>
    <s v="Terminal və ATM-lərin yerləşdirilməsi"/>
    <s v="Leading Sales Representative"/>
    <s v="Aparıcı Satış Təmsilçisi"/>
    <s v="Ramazanov Rəşad Cəfər oğlu"/>
    <d v="2021-12-22T00:00:00"/>
  </r>
  <r>
    <s v="Active"/>
    <s v="ID-361"/>
    <s v="Rashad Abdulla, Gulagha"/>
    <s v="Abdulla Rəşad Gülağa oğlu"/>
    <s v="Terminal and ATM department"/>
    <x v="0"/>
    <s v="Terminal and ATM distibution division"/>
    <s v="Terminal və ATM-lərin yerləşdirilməsi"/>
    <s v="Specialist"/>
    <s v="Mütəxəssis"/>
    <s v="Ramazanov Rəşad Cəfər oğlu"/>
    <d v="2021-12-22T00:00:00"/>
  </r>
  <r>
    <s v="Active"/>
    <s v="ID-353"/>
    <s v="Shabnam Aghayeva, Fazail"/>
    <s v="Ağayeva Şəbnəm Fəzail qızı"/>
    <s v="Customer excellence department"/>
    <x v="4"/>
    <s v="Customer care division"/>
    <s v="Müştəri xidmətləri şöbəsi"/>
    <s v="Leading Front Office Specialist"/>
    <s v="Ön Masa üzrə Aparıcı Mütəxəssis"/>
    <s v="Əmirov Savalan İsrəfil oğlu"/>
    <d v="2021-12-22T00:00:00"/>
  </r>
  <r>
    <s v="Active"/>
    <s v="IDM-04"/>
    <s v="Emin Mehdiyev, Fazil"/>
    <s v="Mehdiyev Emin Fazil oğlu"/>
    <s v=" Terminal business support department"/>
    <x v="2"/>
    <s v="Encashment processes support division"/>
    <s v="İnkassasiya proseslərinə dəstək şöbəsi "/>
    <s v="Senior Security Specialist"/>
    <s v="Təhlükəsizlik üzrə Baş Mütəxəssis"/>
    <s v="Rüstəmzadə İlqar Vilayət oğlu"/>
    <d v="2022-01-05T00:00:00"/>
  </r>
  <r>
    <s v="Active"/>
    <s v="IDM-09"/>
    <s v="Javidan Mahmudzade, Rafig"/>
    <s v="Mahmudzadə Cavidan Rafiq oğlu"/>
    <s v="Encashment division"/>
    <x v="1"/>
    <s v="Encashment division"/>
    <s v="İnkassasiya Şöbəsi"/>
    <s v="Driver Incasator"/>
    <s v="Sürücü inkassator"/>
    <s v="Abbasova Nurlana Ramiz qızı"/>
    <d v="2022-01-14T00:00:00"/>
  </r>
  <r>
    <s v="Active"/>
    <s v="IDM-08"/>
    <s v="Vugar Yamanzade, Farrukh"/>
    <s v="Yamənzadə Vüqar Fərrux oğlu"/>
    <s v="Encashment division"/>
    <x v="1"/>
    <s v="Encashment division"/>
    <s v="İnkassasiya Şöbəsi"/>
    <s v="Cash Collector"/>
    <s v="Kassir inkassator"/>
    <s v="Abbasova Nurlana Ramiz qızı"/>
    <d v="2022-01-14T00:00:00"/>
  </r>
  <r>
    <s v="Active"/>
    <s v="IDM-11"/>
    <s v="Ilyas Soltanov, Namizat"/>
    <s v="Soltanov İlyas Namizət oğlu"/>
    <s v=" Terminal business support department"/>
    <x v="2"/>
    <s v="Encashment processes support division"/>
    <s v="İnkassasiya proseslərinə dəstək şöbəsi "/>
    <s v="Security"/>
    <s v="Mühafizəçi"/>
    <s v="Rüstəmzadə İlqar Vilayət oğlu"/>
    <d v="2022-01-25T00:00:00"/>
  </r>
  <r>
    <s v="Active"/>
    <s v="IDM-14"/>
    <s v="Namig Jafarov, Najaf"/>
    <s v="Cəfərov Namiq Nəcəf oğlu"/>
    <s v=" Terminal business support department"/>
    <x v="2"/>
    <s v="Encashment processes support division"/>
    <s v="İnkassasiya proseslərinə dəstək şöbəsi "/>
    <s v="Transportation Specialist"/>
    <s v="Nəqliyyat üzrə Mütəxəssis"/>
    <s v="Rüstəmzadə İlqar Vilayət oğlu"/>
    <d v="2022-02-01T00:00:00"/>
  </r>
  <r>
    <s v="Active"/>
    <s v="IDM-16"/>
    <s v="Kanan Abbasov, Eldar"/>
    <s v="Abbasov Kənan Eldar oğlu"/>
    <s v="Encashment division"/>
    <x v="1"/>
    <s v="Encashment division"/>
    <s v="İnkassasiya Şöbəsi"/>
    <s v="Cash Collector"/>
    <s v="Kassir inkassator"/>
    <s v="Abbasova Nurlana Ramiz qızı"/>
    <d v="2022-02-03T00:00:00"/>
  </r>
  <r>
    <s v="Active"/>
    <s v="IDM-23"/>
    <s v="Nazrin Karimova, Fuad"/>
    <s v="Kərimova Nəzrin Fuad qızı"/>
    <s v="Products division"/>
    <x v="11"/>
    <s v="Products division"/>
    <s v="Məhsullar Şöbəsi"/>
    <s v="Product Owner L4"/>
    <s v="Məhsul Sahibi"/>
    <s v="Naina Shukurova,Zakir Khanmammadov"/>
    <d v="2022-02-18T00:00:00"/>
  </r>
  <r>
    <s v="Active"/>
    <s v="IDM-28"/>
    <s v="Farhad Salimi, Arif"/>
    <s v="Səlimi Fərhad Arif oğlu"/>
    <s v="none structure"/>
    <x v="5"/>
    <s v="none structure"/>
    <s v="none structure"/>
    <s v="Chief Financial Officer"/>
    <s v="Baş Maliyyə İnzibatçısı"/>
    <s v="Tağıyev Camal İlham oğlu"/>
    <d v="2022-02-21T00:00:00"/>
  </r>
  <r>
    <s v="Active"/>
    <s v="IDM-35"/>
    <s v="Turgay Baratov, Alirza"/>
    <s v="Baratov Turqay Əlirza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22-03-10T00:00:00"/>
  </r>
  <r>
    <s v="Active"/>
    <s v="IDM-40"/>
    <s v="Orkhan Abbasov, Zikrulla"/>
    <s v="Abbasov Orxan Zikrulla oğlu"/>
    <s v="Cross-border and sales tribe"/>
    <x v="12"/>
    <s v="Cross-border and sales tribe"/>
    <s v="Kross-sərhəd və satış sahəsi"/>
    <s v="Senior Auto QA Engineer L1"/>
    <s v="Keyfiyyət Təminatı üzrə Baş Mühəndis"/>
    <s v="Rauf Mirzoyev,Ilqar Mammadov"/>
    <d v="2022-04-25T00:00:00"/>
  </r>
  <r>
    <s v="Active"/>
    <s v="IDM-41"/>
    <s v="Nabi Ismayilov, Muhlis"/>
    <s v="İsmayılov Nəbi Muhlis oğlu"/>
    <s v="Cross-border and sales tribe"/>
    <x v="12"/>
    <s v="Cross-border and sales tribe"/>
    <s v="Kross-sərhəd və satış sahəsi"/>
    <s v="Middle Auto QA Engineer M1"/>
    <s v="Keyfiyyət Təminatı üzrə Middle Mühəndis"/>
    <s v="Malik Mammadov,Anton Brauer"/>
    <d v="2022-04-27T00:00:00"/>
  </r>
  <r>
    <s v="Active"/>
    <s v="IDM-44"/>
    <s v="Emin Niyazov, Elman"/>
    <s v="Niyazov Emin Elman oğlu"/>
    <s v="Cross-border and sales tribe"/>
    <x v="12"/>
    <s v="Cross-border and sales tribe"/>
    <s v="Kross-sərhəd və satış sahəsi"/>
    <s v="Area Product Lead"/>
    <s v="Məhsul üzrə Sahə Lideri"/>
    <s v="Tağıyev Camal İlham oğlu"/>
    <d v="2022-05-04T00:00:00"/>
  </r>
  <r>
    <s v="Active"/>
    <s v="IDM-50"/>
    <s v="Elchin Allahverdiyev, Ali"/>
    <s v="Allahverdiyev Elçin Əli oğlu"/>
    <s v="Encashment division"/>
    <x v="1"/>
    <s v="Encashment division"/>
    <s v="İnkassasiya Şöbəsi"/>
    <s v="Driver Incasator"/>
    <s v="Sürücü inkassator"/>
    <s v="Abbasova Nurlana Ramiz qızı"/>
    <d v="2022-05-12T00:00:00"/>
  </r>
  <r>
    <s v="Active"/>
    <s v="IDM-49"/>
    <s v="Mirshahin Agayev, Mirjafar"/>
    <s v="Ağayev Mirşahin Mircəfər oğlu"/>
    <s v="Financial management department"/>
    <x v="3"/>
    <s v="-"/>
    <s v="-"/>
    <s v="Director"/>
    <s v="Direktor"/>
    <s v="Səlimi Fərhad Arif oğlu"/>
    <d v="2022-05-13T00:00:00"/>
  </r>
  <r>
    <s v="Active"/>
    <s v="IDM-48"/>
    <s v="Sadig Yusifi, Manichohri"/>
    <s v="Yusifi Sadiq Məniçöhri oğlu"/>
    <s v="Products division"/>
    <x v="11"/>
    <s v="Products division"/>
    <s v="Məhsullar Şöbəsi"/>
    <s v="Product Owner L2"/>
    <s v="Məhsul Sahibi"/>
    <s v="Zakir Khanmammadov"/>
    <d v="2022-05-13T00:00:00"/>
  </r>
  <r>
    <s v="Active"/>
    <s v="IDM-54"/>
    <s v="Sabira Nagiyeva, Agaverdi"/>
    <s v="Nağıyeva Sabirə Ağaverdi qızı"/>
    <s v="Customer excellence department"/>
    <x v="4"/>
    <s v="Customer care division"/>
    <s v="Müştəri xidmətləri şöbəsi"/>
    <s v="Leading Customer Relations Specialist"/>
    <s v="Müştəri Əlaqələri üzrə Aparıcı Mütəxəssis"/>
    <s v="Əmirov Savalan İsrəfil oğlu"/>
    <d v="2022-05-20T00:00:00"/>
  </r>
  <r>
    <s v="Active"/>
    <s v="IDM-57"/>
    <s v="Nazim Abbaszadeh, Saxavat"/>
    <s v="Abbaszadə Nazim Səxavət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22-06-01T00:00:00"/>
  </r>
  <r>
    <s v="Active"/>
    <s v="IDM-60"/>
    <s v="Nijat Mehdiyev, Namik"/>
    <s v="Mehtiyev Nicat Namik oğlu"/>
    <s v="Terminal and ATM department"/>
    <x v="0"/>
    <s v="Terminal and ATM distibution division"/>
    <s v="Terminal və ATM-lərin yerləşdirilməsi"/>
    <s v="Senior Specialist"/>
    <s v="Baş mütəxəssis"/>
    <s v="Ramazanov Rəşad Cəfər oğlu"/>
    <d v="2022-06-07T00:00:00"/>
  </r>
  <r>
    <s v="Active"/>
    <s v="IDM-64"/>
    <s v="Orkhan Talibzade, Afgan"/>
    <s v="Talıbzadə Orxan Əfqan oğlu"/>
    <s v="Financial management department"/>
    <x v="3"/>
    <s v="Budgeting &amp; financial modeling division"/>
    <s v="Büdcələşdirmə və maliyyə modelləşdirilməsi şöbəsi"/>
    <s v="Financial Modelling and Budgeting Manager"/>
    <s v="Maliyyə Modelləşdirmə və Büdcələşdirmə üzrə Menecer"/>
    <s v="Ağayev Mirşahin Mircəfər oğlu"/>
    <d v="2022-06-14T00:00:00"/>
  </r>
  <r>
    <s v="Active"/>
    <s v="IDM-66"/>
    <s v="Humay Mammadova, Arif"/>
    <s v="Məmmədova Humay Arif qızı"/>
    <s v="Accounting department"/>
    <x v="13"/>
    <s v="Payroll division"/>
    <s v="Əmək haqqı hesablanması şöbəsi"/>
    <s v="Payroll Division Manager"/>
    <s v="Əmək Haqqı Hesablanması Şöbəsinin Meneceri"/>
    <s v="Səlimi Fərhad Arif oğlu"/>
    <d v="2022-06-17T00:00:00"/>
  </r>
  <r>
    <s v="Active"/>
    <s v="IDM-74"/>
    <s v="Rashad Shirinov, Amir"/>
    <s v="Şirinov Rəşad Əmir oğlu"/>
    <s v="Encashment division"/>
    <x v="1"/>
    <s v="Encashment division"/>
    <s v="İnkassasiya Şöbəsi"/>
    <s v="Cash Collector"/>
    <s v="Kassir inkassator"/>
    <s v="Abbasova Nurlana Ramiz qızı"/>
    <d v="2022-07-04T00:00:00"/>
  </r>
  <r>
    <s v="Active"/>
    <s v="IDM-75"/>
    <s v="Shams Nabizada, Natig"/>
    <s v="Nəbizadə Şəms Natiq qızı"/>
    <s v="Financial management department"/>
    <x v="3"/>
    <s v="Budgeting &amp; financial modeling division"/>
    <s v="Büdcələşdirmə və maliyyə modelləşdirilməsi şöbəsi"/>
    <s v="Senior Analyst"/>
    <s v="Baş analitik"/>
    <s v="Talıbzadə Orxan Əfqan oğlu"/>
    <d v="2022-07-04T00:00:00"/>
  </r>
  <r>
    <s v="Active"/>
    <s v="IDM-82"/>
    <s v="Nurlan Badalov, Sarviz"/>
    <s v="Bədəlov Nurlan Sərviz oğlu"/>
    <s v="Encashment division"/>
    <x v="1"/>
    <s v="Encashment division"/>
    <s v="İnkassasiya Şöbəsi"/>
    <s v="Branch Management Team Lead"/>
    <s v="Regional Xidmət Mərkəzləri üzrə Qrup Rəhbəri"/>
    <s v="Abbasova Nurlana Ramiz qızı"/>
    <d v="2022-07-19T00:00:00"/>
  </r>
  <r>
    <s v="Active"/>
    <s v="IDM-88"/>
    <s v="Rinat Mammadov, Mahir"/>
    <s v="Məmmədov Rinat Mahir oğlu"/>
    <s v="Customer excellence department"/>
    <x v="4"/>
    <s v="Customer complaints division"/>
    <s v="Müştəri şikayətləri şöbəsi"/>
    <s v="Leading Business Analyst"/>
    <s v="Aparıcı Biznes Analitik"/>
    <s v="Ağazadə Bəhmən Zeynal oğli"/>
    <d v="2022-07-20T00:00:00"/>
  </r>
  <r>
    <s v="Active"/>
    <s v="IDM-91"/>
    <s v="Madina Rajabova, Faig"/>
    <s v="Rəcəbova Mədinə Faiq qızı"/>
    <s v="Customer excellence department"/>
    <x v="4"/>
    <s v="Customer care division"/>
    <s v="Müştəri xidmətləri şöbəsi"/>
    <s v="Leading Customer Relations Specialist"/>
    <s v="Müştəri Əlaqələri üzrə Aparıcı Mütəxəssis"/>
    <s v="Əmirov Savalan İsrəfil oğlu"/>
    <d v="2022-07-21T00:00:00"/>
  </r>
  <r>
    <s v="Active"/>
    <s v="IDM-93"/>
    <s v="Shanay Mehdiyeva, Azer"/>
    <s v="Mehdiyeva Şənay Azər qızı"/>
    <s v="none structure"/>
    <x v="5"/>
    <s v="none structure"/>
    <s v="none structure"/>
    <s v="Leading Accountant"/>
    <s v="Aparıcı mühasib"/>
    <s v="Piriyev Abdulla Vaqif oğlu"/>
    <d v="2022-07-25T00:00:00"/>
  </r>
  <r>
    <s v="Active"/>
    <s v="IDM-99"/>
    <s v="Rustam Dadashov, Hamid"/>
    <s v="Dadaşov Rüstəm Həmid oğlu"/>
    <s v="Encashment division"/>
    <x v="1"/>
    <s v="Encashment division"/>
    <s v="İnkassasiya Şöbəsi"/>
    <s v="Cash Collector"/>
    <s v="Kassir inkassator"/>
    <s v="Abbasova Nurlana Ramiz qızı"/>
    <d v="2022-08-01T00:00:00"/>
  </r>
  <r>
    <s v="Active"/>
    <s v="IDM-98"/>
    <s v="Habil Safarov, Abil"/>
    <s v="Səfərov Habil Əbil oğlu"/>
    <s v="Encashment division"/>
    <x v="1"/>
    <s v="Encashment division"/>
    <s v="İnkassasiya Şöbəsi"/>
    <s v="Cash Collector"/>
    <s v="Kassir inkassator"/>
    <s v="Abbasova Nurlana Ramiz qızı"/>
    <d v="2022-08-01T00:00:00"/>
  </r>
  <r>
    <s v="Active"/>
    <s v="IDM-95"/>
    <s v="Elmira Khalilova, Sarifovna"/>
    <s v="Xəlilova Elmira Sarifovna"/>
    <s v="none structure"/>
    <x v="5"/>
    <s v="none structure"/>
    <s v="none structure"/>
    <s v="ERM Manager"/>
    <s v="Müəssisə Risklərinin İdarə Edilməsi üzrə Menecer"/>
    <s v="Funksiya mərkəzləşir, KB-yə keçməlidir bu əməkdaşlar"/>
    <d v="2022-08-01T00:00:00"/>
  </r>
  <r>
    <s v="Active"/>
    <s v="IDM-103"/>
    <s v="Jeyhun Yahyayev, Galib"/>
    <s v="Yəhyayev Ceyhun Qalib oğlu"/>
    <s v="Products division"/>
    <x v="11"/>
    <s v="Products division"/>
    <s v="Məhsullar Şöbəsi"/>
    <s v="Product Owner L2"/>
    <s v="Məhsul Sahibi"/>
    <s v="Naina Shukurova,Zakir Khanmammadov"/>
    <d v="2022-08-08T00:00:00"/>
  </r>
  <r>
    <s v="Active"/>
    <s v="IDM-110"/>
    <s v="Antiga Taghiyeva, Tahir"/>
    <s v="Tağıyeva Əntiqə Tahir qızı"/>
    <s v="Customer excellence department"/>
    <x v="4"/>
    <s v="-"/>
    <s v="-"/>
    <s v="Head of Customer Excellence"/>
    <s v="Müştəri Mükəmməlliyi Mərkəzinin Rəhbəri"/>
    <s v="Tağıyev Camal İlham oğlu"/>
    <d v="2022-08-15T00:00:00"/>
  </r>
  <r>
    <s v="Active"/>
    <s v="IDM-119"/>
    <s v="Rovshan Osmanov, Maarif"/>
    <s v="Osmanov Rövşən Maarif oğlu"/>
    <s v="Encashment division"/>
    <x v="1"/>
    <s v="Encashment division"/>
    <s v="İnkassasiya Şöbəsi"/>
    <s v="Cash Collector"/>
    <s v="Kassir inkassator"/>
    <s v="Abbasova Nurlana Ramiz qızı"/>
    <d v="2022-09-12T00:00:00"/>
  </r>
  <r>
    <s v="Active"/>
    <s v="IDM-124"/>
    <s v="Samir Mammadzada, Safar"/>
    <s v="Məmmədzadə Samir Səfər oğlu"/>
    <s v="Products division"/>
    <x v="11"/>
    <s v="Products division"/>
    <s v="Məhsullar Şöbəsi"/>
    <s v="Area Tech Lead"/>
    <s v="Sahə üzrə Texniki Lider"/>
    <s v="Ilqar Mammadov"/>
    <d v="2022-09-26T00:00:00"/>
  </r>
  <r>
    <s v="Active"/>
    <s v="IDM-129"/>
    <s v="Minakhanum Imanverdiyeva, Elnur"/>
    <s v="İmanverdiyeva Minaxanım Elnur"/>
    <s v="Fraud prevention division"/>
    <x v="8"/>
    <s v="Fraud prevention division"/>
    <s v="Frauda qarşı mübarizə şöbəsi"/>
    <s v="Leading Fraud Monitoring Specialist "/>
    <s v="Fraud Monitorinq üzrə Aparıcı Mütəxəssis"/>
    <s v="Ramazanov Ramis Rahim oğlu"/>
    <d v="2022-10-06T00:00:00"/>
  </r>
  <r>
    <s v="Active"/>
    <s v="IDM-131"/>
    <s v="Bayram Kazimov, Faig"/>
    <s v="Kazımov Bayram Faiq oğlu"/>
    <s v="Encashment division"/>
    <x v="1"/>
    <s v="Encashment division"/>
    <s v="İnkassasiya Şöbəsi"/>
    <s v="Driver Incasator"/>
    <s v="Sürücü inkassator"/>
    <s v="Abbasova Nurlana Ramiz qızı"/>
    <d v="2022-10-10T00:00:00"/>
  </r>
  <r>
    <s v="Active"/>
    <s v="IDM-135"/>
    <s v="Aleksandr Mikhailov"/>
    <s v="Mikhailov Aleksandr"/>
    <s v="Products division"/>
    <x v="11"/>
    <s v="Products division"/>
    <s v="Məhsullar Şöbəsi"/>
    <s v="Product Owner L2"/>
    <s v="Məhsul Sahibi"/>
    <s v="Birmarket"/>
    <d v="2022-10-26T00:00:00"/>
  </r>
  <r>
    <s v="Active"/>
    <s v="IDM-140"/>
    <s v="Ayla Gasimova, Aghasi"/>
    <s v="Qasımova Ayla Ağası qızı"/>
    <s v="Products division"/>
    <x v="11"/>
    <s v="Products division"/>
    <s v="Məhsullar Şöbəsi"/>
    <s v="Senior Product Marketing Specialist"/>
    <s v="Məhsul Marketinqi üzrə Baş Mütəxəssis"/>
    <s v="Kamran Babashov, Pavel Kasatkin"/>
    <d v="2022-11-01T00:00:00"/>
  </r>
  <r>
    <s v="Active"/>
    <s v="IDM-137"/>
    <s v="Sakit Amirli, Bunyamin"/>
    <s v="Əmirli Sakit Bünyamin oğlu"/>
    <s v="IT Division"/>
    <x v="9"/>
    <s v="IT Division"/>
    <s v="İT şöbəsi"/>
    <s v="IT Infrastructure Manager "/>
    <s v="İT İnfrastruktur şöbəsinin Meneceri"/>
    <s v="Rashad Ahmadov"/>
    <d v="2022-11-01T00:00:00"/>
  </r>
  <r>
    <s v="Active"/>
    <s v="IDM-141"/>
    <s v="Narmin Orujova, Faig"/>
    <s v="Orucova Nərmin Faiq qızı"/>
    <s v="Internal control division"/>
    <x v="14"/>
    <s v="Internal control division"/>
    <s v="Daxili nəzarət şöbəsi"/>
    <s v="Internal Control  Specialist "/>
    <s v="Daxili Nəzarət üzrə Mütəxəssis"/>
    <s v="Birbaşa rəhbəri yoxdur"/>
    <d v="2022-11-01T00:00:00"/>
  </r>
  <r>
    <s v="Active"/>
    <s v="IDM-145"/>
    <s v="Nail Aliyev, Shakir"/>
    <s v="Əliyev Nail Şakir oğlu"/>
    <s v=" Terminal business support department"/>
    <x v="2"/>
    <s v="Encashment processes and cash centers monitoring division"/>
    <s v="İnkassasiya prosesi və kassa mərkəzlərinin monitorinqi şöbəsi"/>
    <s v="Leading Specialist"/>
    <s v="Aparıcı Mütəxəssis"/>
    <s v="Ramaldanov Şıxbala Şair oğlu"/>
    <d v="2022-11-02T00:00:00"/>
  </r>
  <r>
    <s v="Active"/>
    <s v="IDM-144"/>
    <s v="Fidan Salimi (Mammadzade), Emin"/>
    <s v="Səlimi (Məmmədzadə) Fidan Emin qızı"/>
    <s v="Products division"/>
    <x v="11"/>
    <s v="Products division"/>
    <s v="Məhsullar Şöbəsi"/>
    <s v="Digital Marketing Specialist"/>
    <s v="Rəqəmsal Marketinq üzrə Mütəxəssis"/>
    <s v="Kamran Babashov, Kanan Aliyev"/>
    <d v="2022-11-02T00:00:00"/>
  </r>
  <r>
    <s v="Active"/>
    <s v="IDM-153"/>
    <s v="Gulara Guliyeva, Oktay"/>
    <s v="Quliyeva Gülarə Oktay qızı"/>
    <s v="none structure"/>
    <x v="5"/>
    <s v="none structure"/>
    <s v="none structure"/>
    <s v="Leading Market Research Specialist"/>
    <s v="Bazar araşdırması üzrə aparıcı mütəxəssis"/>
    <s v="Bu komanda Yuliyaya keçməlidir, komandada olan əməkdaşların rəhbəri Həsəndir, lakin Həsənin birbaşa rəhbəri yoxdur. Yeni strukturda bu şöbə yoxdur. "/>
    <d v="2022-11-24T00:00:00"/>
  </r>
  <r>
    <s v="Active"/>
    <s v="IDM-154"/>
    <s v="Zahra Pashayeva, Yaver"/>
    <s v="Paşayeva Zəhra Yavər qızı"/>
    <s v=" Terminal business support department"/>
    <x v="2"/>
    <s v="Terminal business support division"/>
    <s v="Terminal biznesinə dəstək şöbəsi"/>
    <s v="Office Management Administrator"/>
    <s v="Ofis Menecment üzrə Administrator"/>
    <s v="Fərzəliyev Zaur Tofiq oğlu"/>
    <d v="2022-11-25T00:00:00"/>
  </r>
  <r>
    <s v="Active"/>
    <s v="IDM-160"/>
    <s v="Najafali Mahmudov, Islam"/>
    <s v="Mahmudov Nəcəfəli İslam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22-12-12T00:00:00"/>
  </r>
  <r>
    <s v="Active"/>
    <s v="IDM-159"/>
    <s v="Orkhan Shahverenov, Oktay"/>
    <s v="Şahverənov Orxan Oktay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22-12-12T00:00:00"/>
  </r>
  <r>
    <s v="Active"/>
    <s v="IDM-163"/>
    <s v="Rauf Bairamov, Allahyar"/>
    <s v="Baıramov Rauf Allahyar oğlu"/>
    <s v=" Terminal business support department"/>
    <x v="2"/>
    <s v="Terminal maintenance division"/>
    <s v="Texniki təmir şöbəsi"/>
    <s v="Technician Specialist"/>
    <s v="Texniki İşlər üzrə Mütəxəssis"/>
    <s v="Nəbiyev Namiq Şahbəddin oğlu"/>
    <d v="2022-12-15T00:00:00"/>
  </r>
  <r>
    <s v="Active"/>
    <s v="IDM-164"/>
    <s v="Rauf Gafarov, Rafael"/>
    <s v="Qafarov Rauf Rafael oğlu"/>
    <s v="Customer excellence department"/>
    <x v="4"/>
    <s v="Monitoring and evaluation division"/>
    <s v="Monitorinq və qiymətləndirmə şöbəsi"/>
    <s v="Senior Training Specialist"/>
    <s v="Təlim üzrə Baş Mütəxəssis"/>
    <s v="Abbaszadə Elçin Nazim oğlu"/>
    <d v="2022-12-15T00:00:00"/>
  </r>
  <r>
    <s v="Active"/>
    <s v="IDM-166"/>
    <s v="Farid Afandiyev, Javid"/>
    <s v="Əfəndiyev Fərid Cavid oğlu"/>
    <s v="Customer excellence department"/>
    <x v="4"/>
    <s v="Customer complaints division"/>
    <s v="Müştəri şikayətləri şöbəsi"/>
    <s v="Leading Customer Complaints Specialist"/>
    <s v="Müştəri Şikayətləri üzrə Aparıcı Mütəxəssis"/>
    <s v="Ağazadə Bəhmən Zeynal oğli"/>
    <d v="2022-12-19T00:00:00"/>
  </r>
  <r>
    <s v="Active"/>
    <s v="IDM-168"/>
    <s v="Nijat Karimov, Arzuman"/>
    <s v="Kərimov Nicat Arzuman oğlu"/>
    <s v=" Terminal business support department"/>
    <x v="2"/>
    <s v="Terminal business support division"/>
    <s v="Terminal biznesinə dəstək şöbəsi"/>
    <s v="Specialist"/>
    <s v="Mütəxəssis"/>
    <s v="Fərzəliyev Zaur Tofiq oğlu"/>
    <d v="2022-12-21T00:00:00"/>
  </r>
  <r>
    <s v="Active"/>
    <s v="IDM-171"/>
    <s v="Oktay Gozalov, Aydin"/>
    <s v="Gözəlov Oktay Aydın oğlu"/>
    <s v="Customer excellence department"/>
    <x v="4"/>
    <s v="Monitoring and evaluation division"/>
    <s v="Monitorinq və qiymətləndirmə şöbəsi"/>
    <s v="Leading Monitoring Specialist"/>
    <s v="Monitorinq üzrə Aparıcı Mütəxəssis"/>
    <s v="Abbaszadə Elçin Nazim oğlu"/>
    <d v="2022-12-26T00:00:00"/>
  </r>
  <r>
    <s v="Active"/>
    <s v="IDM-172"/>
    <s v="Sevinj Usubova, Jafar"/>
    <s v="Usubova Sevinc Cəfər qızı"/>
    <s v="Settlements department"/>
    <x v="7"/>
    <s v="-"/>
    <s v="-"/>
    <s v="Head of Settlements"/>
    <s v="Hesablaşmalar Departamentinin Rəhbəri"/>
    <s v="Tağıyev Camal İlham oğlu"/>
    <d v="2023-01-05T00:00:00"/>
  </r>
  <r>
    <s v="Active"/>
    <s v="IDM-175"/>
    <s v="Nargiz Amirova, Nazim"/>
    <s v="Əmirova Nərgiz Nazim qızı"/>
    <s v="Customer excellence department"/>
    <x v="4"/>
    <s v="Monitoring and evaluation division"/>
    <s v="Monitorinq və qiymətləndirmə şöbəsi"/>
    <s v="Leading Quality Management and Evaluation Specialist"/>
    <s v="Keyfiyyət idarəetməsi və qiymətləndirmə üzrə aparıcı mütəxəssis"/>
    <s v="Abbaszadə Elçin Nazim oğlu"/>
    <d v="2023-01-06T00:00:00"/>
  </r>
  <r>
    <s v="Active"/>
    <s v="IDM-176"/>
    <s v="Tahir Panjaliyev, Firudin"/>
    <s v="Pəncəliyev Tahir Firudin oğlu"/>
    <s v="Encashment division"/>
    <x v="1"/>
    <s v="Encashment division"/>
    <s v="İnkassasiya Şöbəsi"/>
    <s v="Driver Incasator"/>
    <s v="Sürücü inkassator"/>
    <s v="Abbasova Nurlana Ramiz qızı"/>
    <d v="2023-01-09T00:00:00"/>
  </r>
  <r>
    <s v="Active"/>
    <s v="IDM-178"/>
    <s v="Alexander Lozhkin"/>
    <s v="Alexander Lozhkin"/>
    <s v="Products division"/>
    <x v="11"/>
    <s v="Products division"/>
    <s v="Məhsullar Şöbəsi"/>
    <s v="Head of Design"/>
    <s v="Dizayn üzrə Rəhbər"/>
    <s v="Birmarket"/>
    <d v="2023-01-12T00:00:00"/>
  </r>
  <r>
    <s v="Active"/>
    <s v="IDM-180"/>
    <s v="Farhad Hajiyev, Mehman "/>
    <s v="Hacıyev Fərhad Mehman oğlu"/>
    <s v=" Terminal business support department"/>
    <x v="2"/>
    <s v="Terminal maintenance division"/>
    <s v="Texniki təmir şöbəsi"/>
    <s v="Technician Specialist"/>
    <s v="Texniki İşlər üzrə Mütəxəssis"/>
    <s v="Nəbiyev Namiq Şahbəddin oğlu"/>
    <d v="2023-01-26T00:00:00"/>
  </r>
  <r>
    <s v="Active"/>
    <s v="IDM-187"/>
    <s v="Parvin Bakhshaliyeva, Vahid"/>
    <s v="Baxşəliyeva Pərvin Vahid qızı"/>
    <s v="Settlements department"/>
    <x v="7"/>
    <s v="Payment system division"/>
    <s v="Ödəniş Sistemləri"/>
    <s v="Senior settlements specialist"/>
    <s v="Hesablaşmalar üzrə Baş Mütəxəssis"/>
    <s v="Xanabadskiy Xəlil Elxan oğlu"/>
    <d v="2023-02-13T00:00:00"/>
  </r>
  <r>
    <s v="Active"/>
    <s v="IDM-190"/>
    <s v="Ali Zamanli, Yashar"/>
    <s v="Zamanlı Əli Yaşar oğlu"/>
    <s v="IT Division"/>
    <x v="9"/>
    <s v="IT Division"/>
    <s v="İT şöbəsi"/>
    <s v="Leading IT Specialist"/>
    <s v="İT üzrə Aparıcı Mütəxəssis"/>
    <s v="Amina Aliyeva"/>
    <d v="2023-02-20T00:00:00"/>
  </r>
  <r>
    <s v="Active"/>
    <s v="IDM-192"/>
    <s v="Elvin Ahmadov, Oruj"/>
    <s v="Əhmədov Elvin Oruc oğlu"/>
    <s v=" Terminal business support department"/>
    <x v="2"/>
    <s v="Encashment processes support division"/>
    <s v="İnkassasiya proseslərinə dəstək şöbəsi "/>
    <s v="Driver"/>
    <s v="Sürücü"/>
    <s v="Rüstəmzadə İlqar Vilayət oğlu"/>
    <d v="2023-02-20T00:00:00"/>
  </r>
  <r>
    <s v="Active"/>
    <s v="IDM-210"/>
    <s v="Javid Tofigzade, Hamlet"/>
    <s v="Tofiqzadə Cavid Hamlet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23-03-15T00:00:00"/>
  </r>
  <r>
    <s v="Active"/>
    <s v="IDM-211"/>
    <s v="Laman Mammadova, Rauf"/>
    <s v="Məmmədova Ləman Rauf qızı"/>
    <s v="Customer excellence department"/>
    <x v="4"/>
    <s v="Customer care division"/>
    <s v="Müştəri xidmətləri şöbəsi"/>
    <s v="Leading Customer Relations Specialist"/>
    <s v="Müştəri Əlaqələri üzrə Aparıcı Mütəxəssis"/>
    <s v="Əmirov Savalan İsrəfil oğlu"/>
    <d v="2023-04-03T00:00:00"/>
  </r>
  <r>
    <s v="Active"/>
    <s v="IDM-227"/>
    <s v="Sarvin Rizvanov, Garib"/>
    <s v="Rizvanov Sərvin Qərib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23-04-19T00:00:00"/>
  </r>
  <r>
    <s v="Active"/>
    <s v="IDM-229"/>
    <s v="Fargana Nazarli, Rasim"/>
    <s v="Nəzərli Fərqanə Rasim qızı"/>
    <s v="none structure"/>
    <x v="5"/>
    <s v="none structure"/>
    <s v="none structure"/>
    <s v="Leading Market Research Specialist"/>
    <s v="Bazar araşdırması üzrə aparıcı mütəxəssis"/>
    <s v="Bu komanda Yuliyaya keçməlidir, komandada olan əməkdaşların rəhbəri Həsəndir, lakin Həsənin birbaşa rəhbəri yoxdur. Yeni strukturda bu şöbə yoxdur. "/>
    <d v="2023-04-25T00:00:00"/>
  </r>
  <r>
    <s v="Active"/>
    <s v="IDM-243"/>
    <s v="Sabuhi Ahmadov, Iltifat"/>
    <s v="Əhmədov Səbuhi İltifat oğlu"/>
    <s v="Encashment division"/>
    <x v="1"/>
    <s v="Encashment division"/>
    <s v="İnkassasiya Şöbəsi"/>
    <s v="Driver Incasator"/>
    <s v="Sürücü inkassator"/>
    <s v="Abbasova Nurlana Ramiz qızı"/>
    <d v="2023-05-01T00:00:00"/>
  </r>
  <r>
    <s v="Active"/>
    <s v="IDM-249"/>
    <s v="Rasim Shirinov, Tofig"/>
    <s v="Şirinov Rasim Tofiq oğlu"/>
    <s v="Encashment division"/>
    <x v="1"/>
    <s v="Encashment division"/>
    <s v="İnkassasiya Şöbəsi"/>
    <s v="Driver Incasator"/>
    <s v="Sürücü inkassator"/>
    <s v="Abbasova Nurlana Ramiz qızı"/>
    <d v="2023-05-01T00:00:00"/>
  </r>
  <r>
    <s v="Active"/>
    <s v="IDM-244"/>
    <s v="Khalig Babayev, Shahin"/>
    <s v="Babayev Xalıq Şahin oğlu"/>
    <s v="Chief Compliance Office"/>
    <x v="15"/>
    <s v="-"/>
    <s v="-"/>
    <s v="AML and Compliance Manager"/>
    <s v="AML və Komplayens üzrə Menecer"/>
    <s v="Tağıyev Camal İlham oğlu"/>
    <d v="2023-05-01T00:00:00"/>
  </r>
  <r>
    <s v="Active"/>
    <s v="IDM-248"/>
    <s v="Ilham Haziyev, Ilham"/>
    <s v="Həziyev İlham İlham oğlu"/>
    <s v="Encashment division"/>
    <x v="1"/>
    <s v="Encashment division"/>
    <s v="İnkassasiya Şöbəsi"/>
    <s v="Cash Collector"/>
    <s v="Kassir inkassator"/>
    <s v="Abbasova Nurlana Ramiz qızı"/>
    <d v="2023-05-01T00:00:00"/>
  </r>
  <r>
    <s v="Active"/>
    <s v="IDM-251"/>
    <s v="Azad Alkhasov, Balami"/>
    <s v="Alxasov Azad Balami oğlu"/>
    <s v=" Terminal business support department"/>
    <x v="2"/>
    <s v="Terminal business support division"/>
    <s v="Terminal biznesinə dəstək şöbəsi"/>
    <s v="Labourer"/>
    <s v="Fəhlə"/>
    <s v="Fərzəliyev Zaur Tofiq oğlu"/>
    <d v="2023-05-01T00:00:00"/>
  </r>
  <r>
    <s v="Active"/>
    <s v="IDM-258"/>
    <s v="Ali Ibrahimov, Tarlan"/>
    <s v="İbrahimov Əli Tərlan oğlu"/>
    <s v="Encashment division"/>
    <x v="1"/>
    <s v="Encashment division"/>
    <s v="İnkassasiya Şöbəsi"/>
    <s v="Cash Collector"/>
    <s v="Kassir inkassator"/>
    <s v="Abbasova Nurlana Ramiz qızı"/>
    <d v="2023-05-03T00:00:00"/>
  </r>
  <r>
    <s v="Active"/>
    <s v="IDM-255"/>
    <s v="Abalfaz Aliyev, Fuad"/>
    <s v="Əliyev Əbəlfəz Fuad oğlu"/>
    <s v="Encashment division"/>
    <x v="1"/>
    <s v="Encashment division"/>
    <s v="İnkassasiya Şöbəsi"/>
    <s v="Driver Incasator"/>
    <s v="Sürücü inkassator"/>
    <s v="Abbasova Nurlana Ramiz qızı"/>
    <d v="2023-05-03T00:00:00"/>
  </r>
  <r>
    <s v="Active"/>
    <s v="IDM-257"/>
    <s v="Murad Huseynov, Ilgar"/>
    <s v="Hüseynov Murad İlqar oğlu"/>
    <s v="Encashment division"/>
    <x v="1"/>
    <s v="Encashment division"/>
    <s v="İnkassasiya Şöbəsi"/>
    <s v="Cash Collector"/>
    <s v="Kassir inkassator"/>
    <s v="Abbasova Nurlana Ramiz qızı"/>
    <d v="2023-05-03T00:00:00"/>
  </r>
  <r>
    <s v="Active"/>
    <s v="IDM-259"/>
    <s v="Narmin Rasulova, Aziz"/>
    <s v="Rəsulova Nərmin Əziz qızı"/>
    <s v="none structure"/>
    <x v="5"/>
    <s v="none structure"/>
    <s v="none structure"/>
    <s v="Senior ERM Specialist"/>
    <s v="Müəssisə Risklərinin İdarə Edilməsi üzrə Baş Mütəxəssis"/>
    <s v="Funksiya mərkəzləşir, KB-yə keçməlidir bu əməkdaşlar"/>
    <d v="2023-05-08T00:00:00"/>
  </r>
  <r>
    <s v="Active"/>
    <s v="IDM-261"/>
    <s v="Kanan Nazarov, Vugar"/>
    <s v="Nəzərov Kənan Vüqar oğlu"/>
    <s v=" Terminal business support department"/>
    <x v="2"/>
    <s v="Terminal maintenance division"/>
    <s v="Texniki təmir şöbəsi"/>
    <s v="Technician Specialist"/>
    <s v="Texniki İşlər üzrə Mütəxəssis"/>
    <s v="Nəbiyev Namiq Şahbəddin oğlu"/>
    <d v="2023-05-12T00:00:00"/>
  </r>
  <r>
    <s v="Active"/>
    <s v="IDM-263"/>
    <s v="Hasan Mahmudov, Lazim"/>
    <s v="Mahmudov Həsən Lazım oğlu"/>
    <s v="none structure"/>
    <x v="5"/>
    <s v="none structure"/>
    <s v="none structure"/>
    <s v="Research and Development Division Team Leader"/>
    <s v="Araşdırma və İnkişaf şöbəsinin Qrup Rəhbəri"/>
    <s v="Bu komanda Yuliyaya keçməlidir, komandada olan əməkdaşların rəhbəri Həsəndir, lakin Həsənin birbaşa rəhbəri yoxdur. PP-nin yeni strukturunda Müştəri Mükəmməlliyi Mərkəzində bu şöbə yoxdur. "/>
    <d v="2023-05-15T00:00:00"/>
  </r>
  <r>
    <s v="Active"/>
    <s v="IDM-268"/>
    <s v="Huseyn Huseynov, Aligara"/>
    <s v="Hüseynov Hüseyn Əliqara oğlu"/>
    <s v="Encashment division"/>
    <x v="1"/>
    <s v="Encashment division"/>
    <s v="İnkassasiya Şöbəsi"/>
    <s v="Cash Collector"/>
    <s v="Kassir inkassator"/>
    <s v="Abbasova Nurlana Ramiz qızı"/>
    <d v="2023-05-16T00:00:00"/>
  </r>
  <r>
    <s v="Active"/>
    <s v="IDM-266"/>
    <s v="Kanan Nuri, Mirzagha"/>
    <s v="Nuri Kənan Mirzağa oğlu"/>
    <s v="Encashment division"/>
    <x v="1"/>
    <s v="Encashment division"/>
    <s v="İnkassasiya Şöbəsi"/>
    <s v="Cash Collector"/>
    <s v="Kassir inkassator"/>
    <s v="Abbasova Nurlana Ramiz qızı"/>
    <d v="2023-05-16T00:00:00"/>
  </r>
  <r>
    <s v="Active"/>
    <s v="IDM-267"/>
    <s v="Khayal Mirzayev, Agil"/>
    <s v="Mirzəyev Xəyal Aqil oğlu"/>
    <s v="Encashment division"/>
    <x v="1"/>
    <s v="Encashment division"/>
    <s v="İnkassasiya Şöbəsi"/>
    <s v="Driver Incasator"/>
    <s v="Sürücü inkassator"/>
    <s v="Abbasova Nurlana Ramiz qızı"/>
    <d v="2023-05-16T00:00:00"/>
  </r>
  <r>
    <s v="Active"/>
    <s v="IDM-264"/>
    <s v="Leyla Javadova, Arzuman"/>
    <s v="Cavadova Leyla Arzuman qızı"/>
    <s v="none structure"/>
    <x v="5"/>
    <s v="none structure"/>
    <s v="none structure"/>
    <s v="Cleaning Lady"/>
    <s v="Xidmətçi"/>
    <s v="KB-yə Kassa və inkassasiya prosesləri departamentinə keçirilir, rəsmiləşmədədirlər. "/>
    <d v="2023-05-16T00:00:00"/>
  </r>
  <r>
    <s v="Active"/>
    <s v="IDM-270"/>
    <s v="Ramil Huseynov, Shamsaddin"/>
    <s v="Hüseynov Ramil Şəmsəddin oğlu"/>
    <s v="Encashment division"/>
    <x v="1"/>
    <s v="Encashment division"/>
    <s v="İnkassasiya Şöbəsi"/>
    <s v="Driver Incasator"/>
    <s v="Sürücü inkassator"/>
    <s v="Abbasova Nurlana Ramiz qızı"/>
    <d v="2023-05-19T00:00:00"/>
  </r>
  <r>
    <s v="Active"/>
    <s v="IDM-273"/>
    <s v="Elvin Tapdigov, Elnur"/>
    <s v="Tapdıqov Elvin Elnur oğlu"/>
    <s v="Customer excellence department"/>
    <x v="4"/>
    <s v="Customer care division"/>
    <s v="Müştəri xidmətləri şöbəsi"/>
    <s v="Leading Customer Relations Specialist"/>
    <s v="Müştəri Əlaqələri üzrə Aparıcı Mütəxəssis"/>
    <s v="Əmirov Savalan İsrəfil oğlu"/>
    <d v="2023-05-22T00:00:00"/>
  </r>
  <r>
    <s v="Active"/>
    <s v="IDM-277"/>
    <s v="Faig Cafarov, Elchin"/>
    <s v="Cəfərov Faiq Elçin oğlu"/>
    <s v="Encashment division"/>
    <x v="1"/>
    <s v="Encashment division"/>
    <s v="İnkassasiya Şöbəsi"/>
    <s v="Cash Collector"/>
    <s v="Kassir inkassator"/>
    <s v="Abbasova Nurlana Ramiz qızı"/>
    <d v="2023-05-25T00:00:00"/>
  </r>
  <r>
    <s v="Active"/>
    <s v="IDM-276"/>
    <s v="Emin Naibov, Amrah"/>
    <s v="Naibov Emin Əmrah oğlu"/>
    <s v="IT Division"/>
    <x v="9"/>
    <s v="IT Division"/>
    <s v="İT şöbəsi"/>
    <s v="Leading Customer Help Desk Specialist"/>
    <s v="Müştərilərə Texniki Dəstək üzrə Aparıcı Mütəxəssis"/>
    <s v="Almaz Cavadova"/>
    <d v="2023-05-25T00:00:00"/>
  </r>
  <r>
    <s v="Active"/>
    <s v="IDM-278"/>
    <s v="Ramin Aghazade, Jamil"/>
    <s v="Ağazadə Ramin Cəmil oğlu"/>
    <s v="Financial management department"/>
    <x v="3"/>
    <s v="Financial reporting &amp; analysis division"/>
    <s v="Maliyyə hesabatlılığı və təhlil şöbəsi"/>
    <s v="Leading Analyst"/>
    <s v="Aparıcı analitik"/>
    <s v="Abdullayev Murad Zahir oğlu"/>
    <d v="2023-05-25T00:00:00"/>
  </r>
  <r>
    <s v="Active"/>
    <s v="IDM-280"/>
    <s v="Fizuli Alakbarli, Alakbar"/>
    <s v="Ələkbərli Fizuli Ələkbər oğlu"/>
    <s v="IT Division"/>
    <x v="9"/>
    <s v="IT Division"/>
    <s v="İT şöbəsi"/>
    <s v="Senior IT Specialist"/>
    <s v="İT üzrə Baş Mütəxəssis"/>
    <s v="Amina Aliyeva"/>
    <d v="2023-06-01T00:00:00"/>
  </r>
  <r>
    <s v="Active"/>
    <s v="IDM-282"/>
    <s v="Hafis Sadikhov, Nadir"/>
    <s v="Sadıxov Hafis Nadir oğlu"/>
    <s v=" Terminal business support department"/>
    <x v="2"/>
    <s v="Encashment processes support division"/>
    <s v="İnkassasiya proseslərinə dəstək şöbəsi "/>
    <s v="Leading Transportation Specialist"/>
    <s v="Nəqliyyat üzrə Aparıcı Mütəxəssis"/>
    <s v="Rüstəmzadə İlqar Vilayət oğlu"/>
    <d v="2023-06-01T00:00:00"/>
  </r>
  <r>
    <s v="Active"/>
    <s v="IDM-289"/>
    <s v="Sakit Vahidov, Akif"/>
    <s v="Vahidov Sakit Akif oğlu"/>
    <s v="Encashment division"/>
    <x v="1"/>
    <s v="Encashment division"/>
    <s v="İnkassasiya Şöbəsi"/>
    <s v="Cash Collector"/>
    <s v="Kassir inkassator"/>
    <s v="Abbasova Nurlana Ramiz qızı"/>
    <d v="2023-06-12T00:00:00"/>
  </r>
  <r>
    <s v="Active"/>
    <s v="IDM-288"/>
    <s v="Ramis Ramazanov, Rahim"/>
    <s v="Ramazanov Ramis Rahim oğlu"/>
    <s v="Fraud prevention division"/>
    <x v="8"/>
    <s v="Fraud prevention division"/>
    <s v="Frauda qarşı mübarizə şöbəsi"/>
    <s v="Fraud Monitoring division Manager"/>
    <s v="Fraud Monitorinq Şöbəsinin Meneceri"/>
    <s v="Tağıyev Camal İlham oğlu"/>
    <d v="2023-06-12T00:00:00"/>
  </r>
  <r>
    <s v="Active"/>
    <s v="IDM-286"/>
    <s v="Ramil Nuruyev, Gasim"/>
    <s v="Nuruyev Ramil Qasım oğlu"/>
    <s v="Encashment division"/>
    <x v="1"/>
    <s v="Encashment division"/>
    <s v="İnkassasiya Şöbəsi"/>
    <s v="Cash Collector"/>
    <s v="Kassir inkassator"/>
    <s v="Abbasova Nurlana Ramiz qızı"/>
    <d v="2023-06-12T00:00:00"/>
  </r>
  <r>
    <s v="Active"/>
    <s v="IDM-297"/>
    <s v="Rovshan Abbaszade, Rizvan"/>
    <s v="Abbaszadə Rövşən Rizvan oğlu"/>
    <s v="Encashment division"/>
    <x v="1"/>
    <s v="Encashment division"/>
    <s v="İnkassasiya Şöbəsi"/>
    <s v="Cash Team Leader"/>
    <s v="Kassa üzrə Qrup Rəhbəri"/>
    <s v="Abbasova Nurlana Ramiz qızı"/>
    <d v="2023-06-14T00:00:00"/>
  </r>
  <r>
    <s v="Active"/>
    <s v="IDM-295"/>
    <s v="Khalid Aliyev, Khalil"/>
    <s v="Alıyev Xalid Xəlil oğlu"/>
    <s v="Encashment division"/>
    <x v="1"/>
    <s v="Encashment division"/>
    <s v="İnkassasiya Şöbəsi"/>
    <s v="Driver Incasator"/>
    <s v="Sürücü inkassator"/>
    <s v="Abbasova Nurlana Ramiz qızı"/>
    <d v="2023-06-14T00:00:00"/>
  </r>
  <r>
    <s v="Active"/>
    <s v="IDM-296"/>
    <s v="Aziz Alakbarov, Huseyn"/>
    <s v="Ələkbərov Əziz Hüseyn oğlu"/>
    <s v="Encashment division"/>
    <x v="1"/>
    <s v="Encashment division"/>
    <s v="İnkassasiya Şöbəsi"/>
    <s v="Cash Collector"/>
    <s v="Kassir inkassator"/>
    <s v="Abbasova Nurlana Ramiz qızı"/>
    <d v="2023-06-14T00:00:00"/>
  </r>
  <r>
    <s v="Active"/>
    <s v="IDM-300"/>
    <s v="Humbat Jalilov, Ismayil"/>
    <s v="Cəlilov Hümbət İsmayıl oğlu"/>
    <s v="Encashment division"/>
    <x v="1"/>
    <s v="Encashment division"/>
    <s v="İnkassasiya Şöbəsi"/>
    <s v="Driver Incasator"/>
    <s v="Sürücü inkassator"/>
    <s v="Abbasova Nurlana Ramiz qızı"/>
    <d v="2023-06-22T00:00:00"/>
  </r>
  <r>
    <s v="Active"/>
    <s v="IDM-303"/>
    <s v="Murad Gardashli, Gudrat"/>
    <s v="Qardaşlı Murad Qüdrət oğlu"/>
    <s v="Encashment division"/>
    <x v="1"/>
    <s v="Encashment division"/>
    <s v="İnkassasiya Şöbəsi"/>
    <s v="Cash Collector"/>
    <s v="Kassir inkassator"/>
    <s v="Abbasova Nurlana Ramiz qızı"/>
    <d v="2023-07-03T00:00:00"/>
  </r>
  <r>
    <s v="Active"/>
    <s v="IDM-305"/>
    <s v="Narmin Safarova, Akif"/>
    <s v="Səfərova Nərmin Akif qızı"/>
    <s v="Customer excellence department"/>
    <x v="4"/>
    <s v="Customer care division"/>
    <s v="Müştəri xidmətləri şöbəsi"/>
    <s v="Customer Relations Specialist"/>
    <s v="Müştəri Əlaqələri üzrə Mütəxəssis"/>
    <s v="Əmirov Savalan İsrəfil oğlu"/>
    <d v="2023-07-03T00:00:00"/>
  </r>
  <r>
    <s v="Active"/>
    <s v="IDM-309"/>
    <s v="Jahandar Askerov, Rovshan"/>
    <s v="Əskərov Cahandar Rövşən oğlu"/>
    <s v="Encashment division"/>
    <x v="1"/>
    <s v="Encashment division"/>
    <s v="İnkassasiya Şöbəsi"/>
    <s v="Driver Incasator"/>
    <s v="Sürücü inkassator"/>
    <s v="Abbasova Nurlana Ramiz qızı"/>
    <d v="2023-07-06T00:00:00"/>
  </r>
  <r>
    <s v="Active"/>
    <s v="IDM-314"/>
    <s v="Faig Hajiyev, Farhad"/>
    <s v="Hacıyev Faiq Fərhad oğlu"/>
    <s v="Customer excellence department"/>
    <x v="4"/>
    <s v="Customer care division"/>
    <s v="Müştəri xidmətləri şöbəsi"/>
    <s v="Leading Customer Relations Specialist"/>
    <s v="Müştəri Əlaqələri üzrə Aparıcı Mütəxəssis"/>
    <s v="Əmirov Savalan İsrəfil oğlu"/>
    <d v="2023-07-06T00:00:00"/>
  </r>
  <r>
    <s v="Active"/>
    <s v="IDM-323"/>
    <s v="Tarlan Orujzade, Taleh"/>
    <s v="Oruczadə Tərlan Taleh oğlu"/>
    <s v="Encashment division"/>
    <x v="1"/>
    <s v="Encashment division"/>
    <s v="İnkassasiya Şöbəsi"/>
    <s v="Cash Collector"/>
    <s v="Kassir inkassator"/>
    <s v="Abbasova Nurlana Ramiz qızı"/>
    <d v="2023-07-13T00:00:00"/>
  </r>
  <r>
    <s v="Active"/>
    <s v="IDM-326"/>
    <s v="Farid Rahimov, Ayaz"/>
    <s v="Rəhimov Fərid Ayaz oğlu"/>
    <s v=" Terminal business support department"/>
    <x v="2"/>
    <s v="Encashment processes support division"/>
    <s v="İnkassasiya proseslərinə dəstək şöbəsi "/>
    <s v="Driver"/>
    <s v="Sürücü"/>
    <s v="Rüstəmzadə İlqar Vilayət oğlu"/>
    <d v="2023-07-13T00:00:00"/>
  </r>
  <r>
    <s v="Active"/>
    <s v="IDM-329"/>
    <s v="Mirza Guliyev, Fizuli"/>
    <s v="Quliyev Mirzə Fizuli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23-07-17T00:00:00"/>
  </r>
  <r>
    <s v="Active"/>
    <s v="IDM-330"/>
    <s v="Ayyub Salmanov, Akif"/>
    <s v="Salmanov Əyyub Akif oğlu"/>
    <s v="Customer excellence department"/>
    <x v="4"/>
    <s v="Monitoring and evaluation division"/>
    <s v="Monitorinq və qiymətləndirmə şöbəsi"/>
    <s v="Senior Training Specialist"/>
    <s v="Təlim üzrə Baş Mütəxəssis"/>
    <s v="Abbaszadə Elçin Nazim oğlu"/>
    <d v="2023-07-17T00:00:00"/>
  </r>
  <r>
    <s v="Active"/>
    <s v="IDM-332"/>
    <s v="Alim Aghayev Isag"/>
    <s v="Ağayev Alim İsaq oğlu"/>
    <s v=" Terminal business support department"/>
    <x v="2"/>
    <s v="Terminal business support division"/>
    <s v="Terminal biznesinə dəstək şöbəsi"/>
    <s v="Labourer"/>
    <s v="Fəhlə"/>
    <s v="Fərzəliyev Zaur Tofiq oğlu"/>
    <d v="2023-07-20T00:00:00"/>
  </r>
  <r>
    <s v="Active"/>
    <s v="IDM-336"/>
    <s v="Murad Humbatov, Adil"/>
    <s v="Hümbətov Murad Adil oğlu"/>
    <s v="Encashment division"/>
    <x v="1"/>
    <s v="Encashment division"/>
    <s v="İnkassasiya Şöbəsi"/>
    <s v="Cash Collector"/>
    <s v="Kassir inkassator"/>
    <s v="Abbasova Nurlana Ramiz qızı"/>
    <d v="2023-07-24T00:00:00"/>
  </r>
  <r>
    <s v="Active"/>
    <s v="IDM-337"/>
    <s v="Ilyas Askerli, Shaig"/>
    <s v="Əskərli İlyas Şaiq oğlu"/>
    <s v="Encashment division"/>
    <x v="1"/>
    <s v="Encashment division"/>
    <s v="İnkassasiya Şöbəsi"/>
    <s v="Cash Collector"/>
    <s v="Kassir inkassator"/>
    <s v="Abbasova Nurlana Ramiz qızı"/>
    <d v="2023-07-24T00:00:00"/>
  </r>
  <r>
    <s v="Active"/>
    <s v="IDM-334"/>
    <s v="Khagani Samadov, Loghman"/>
    <s v="Səmədov Xəqani Loğman oğlu"/>
    <s v="Terminal and ATM department"/>
    <x v="0"/>
    <s v="Terminal and ATM distibution division"/>
    <s v="Terminal və ATM-lərin yerləşdirilməsi"/>
    <s v="Specialist"/>
    <s v="Mütəxəssis"/>
    <s v="Ramazanov Rəşad Cəfər oğlu"/>
    <d v="2023-07-24T00:00:00"/>
  </r>
  <r>
    <s v="Active"/>
    <s v="IDM-338"/>
    <s v="Ibrahim Mustafayev, Ruslan"/>
    <s v="Mustafayev İbrahim Ruslan oğlu"/>
    <s v=" Terminal business support department"/>
    <x v="2"/>
    <s v="Encashment processes and cash centers monitoring division"/>
    <s v="İnkassasiya prosesi və kassa mərkəzlərinin monitorinqi şöbəsi"/>
    <s v="Leading Specialist"/>
    <s v="Aparıcı Mütəxəssis"/>
    <s v="Ramaldanov Şıxbala Şair oğlu"/>
    <d v="2023-07-24T00:00:00"/>
  </r>
  <r>
    <s v="Active"/>
    <s v="IDM-342"/>
    <s v="Nigar Hasanova, Alasgar"/>
    <s v="Həsənova Nigar Ələsgər oğlu"/>
    <s v="Fraud prevention division"/>
    <x v="8"/>
    <s v="Fraud prevention division"/>
    <s v="Frauda qarşı mübarizə şöbəsi"/>
    <s v="Leading Fraud Monitoring Specialist "/>
    <s v="Fraud Monitorinq üzrə Aparıcı Mütəxəssis"/>
    <s v="Ramazanov Ramis Rahim oğlu"/>
    <d v="2023-08-01T00:00:00"/>
  </r>
  <r>
    <s v="Active"/>
    <s v="IDM-346"/>
    <s v="Turan Ali, Ulvi"/>
    <s v="Əli Turan Ülvi oğlu"/>
    <s v="Financial management department"/>
    <x v="3"/>
    <s v="Budget control division"/>
    <s v="Büdcəyə nəzarət şöbəsi"/>
    <s v="Leading Financial Controller Specialist"/>
    <s v="Maliyyə Nəzarəti üzrə Aparıcı Mütəxəssis"/>
    <s v="Mahmudova Şirinbikə Müşviq qızı"/>
    <d v="2023-08-03T00:00:00"/>
  </r>
  <r>
    <s v="Active"/>
    <s v="IDM-347"/>
    <s v="Kanan Hasanzade, Arzu"/>
    <s v="Həsənzadə Kənan Arzu oğlu"/>
    <s v="Financial management department"/>
    <x v="3"/>
    <s v="Budgeting &amp; financial modeling division"/>
    <s v="Büdcələşdirmə və maliyyə modelləşdirilməsi şöbəsi"/>
    <s v="Senior Specialist"/>
    <s v="Baş mütəxəssis"/>
    <s v="Talıbzadə Orxan Əfqan oğlu"/>
    <d v="2023-08-07T00:00:00"/>
  </r>
  <r>
    <s v="Active"/>
    <s v="IDM-351"/>
    <s v="Huseyn Sofuyev, Rafig"/>
    <s v="Sofuyev Hüseyn Rafiq oğlu"/>
    <s v="Encashment division"/>
    <x v="1"/>
    <s v="Encashment division"/>
    <s v="İnkassasiya Şöbəsi"/>
    <s v="Cash Collector"/>
    <s v="Kassir inkassator"/>
    <s v="Abbasova Nurlana Ramiz qızı"/>
    <d v="2023-08-10T00:00:00"/>
  </r>
  <r>
    <s v="Active"/>
    <s v="IDM-348"/>
    <s v="Gulnar Orujova, Nayib"/>
    <s v="Orucova Gülnar Naib qızı"/>
    <s v="none structure"/>
    <x v="5"/>
    <s v="none structure"/>
    <s v="none structure"/>
    <s v="Cleaning Lady"/>
    <s v="Xidmətçi"/>
    <s v="KB-yə Kassa və inkassasiya prosesləri departamentinə keçirilir, rəsmiləşmədədirlər. "/>
    <d v="2023-08-10T00:00:00"/>
  </r>
  <r>
    <s v="Active"/>
    <s v="IDM-352"/>
    <s v="Zakir Aghayev, Shabala"/>
    <s v="Ağayev Zakir  Şabala oğlu"/>
    <s v=" Terminal business support department"/>
    <x v="2"/>
    <s v="Encashment processes support division"/>
    <s v="İnkassasiya proseslərinə dəstək şöbəsi "/>
    <s v="Office Driver"/>
    <s v="Ofis üzrə Sürücü"/>
    <s v="Rüstəmzadə İlqar Vilayət oğlu"/>
    <d v="2023-08-11T00:00:00"/>
  </r>
  <r>
    <s v="Active"/>
    <s v="IDM-354"/>
    <s v="Khagani Farzaliyev, Jamil"/>
    <s v="Fərzəliyev Xəqani Cəmil oğlu"/>
    <s v="Terminal and ATM department"/>
    <x v="0"/>
    <s v="Terminal and ATM distibution division"/>
    <s v="Terminal və ATM-lərin yerləşdirilməsi"/>
    <s v="Leading Specialist"/>
    <s v="Aparıcı mütəxəssis"/>
    <s v="Ramazanov Rəşad Cəfər oğlu"/>
    <d v="2023-08-14T00:00:00"/>
  </r>
  <r>
    <s v="Active"/>
    <s v="IDM-355"/>
    <s v="Nargiz Ismayilova, Asger"/>
    <s v="İsmayılova Nərgiz Əsgər qızı"/>
    <s v="Fraud prevention division"/>
    <x v="8"/>
    <s v="Fraud prevention division"/>
    <s v="Frauda qarşı mübarizə şöbəsi"/>
    <s v="Fraud Support Specialist"/>
    <s v="Frauda Dəstək üzrə Mütəxəssis"/>
    <s v="Ramazanov Ramis Rahim oğlu"/>
    <d v="2023-08-17T00:00:00"/>
  </r>
  <r>
    <s v="Active"/>
    <s v="IDM-359"/>
    <s v="Urfan Guliyev, Elkhan"/>
    <s v="Quliyev Urfan Elxan oğlu"/>
    <s v="Terminal and ATM department"/>
    <x v="0"/>
    <s v="Sales support division"/>
    <s v="Satışa dəstək"/>
    <s v="Sales Representative"/>
    <s v="Satış Təmsilçisi"/>
    <s v="Camalzadə Fuad Sabir oğlu"/>
    <d v="2023-08-21T00:00:00"/>
  </r>
  <r>
    <s v="Active"/>
    <s v="IDM-364"/>
    <s v="Toghrul Abbasov, Vagif"/>
    <s v="Abbasov Toğrul Vaqif oğlu"/>
    <s v=" Terminal business support department"/>
    <x v="2"/>
    <s v="-"/>
    <s v="-"/>
    <s v="Deputy Director"/>
    <s v="Direktor müavini"/>
    <s v="Tağıyev Camal İlham oğlu"/>
    <d v="2023-08-28T00:00:00"/>
  </r>
  <r>
    <s v="Active"/>
    <s v="IDM-367"/>
    <s v="Leyla Baghirzada, Farman"/>
    <s v="Bağırzadə Leyla Fərman qızı"/>
    <s v="Customer excellence department"/>
    <x v="4"/>
    <s v="Telesales division"/>
    <s v="Telesatış şöbəsi"/>
    <s v="Telesales Specialist"/>
    <s v="Telesatış üzrə Mütəxəssis"/>
    <s v="Məmmədli Elgiz Əziz oğlu"/>
    <d v="2023-09-01T00:00:00"/>
  </r>
  <r>
    <s v="Active"/>
    <s v="IDM-369"/>
    <s v="Karim Karimov, Abulfaz"/>
    <s v="Kərimov Kərim Əbülfəz oğlu"/>
    <s v="Customer excellence department"/>
    <x v="4"/>
    <s v="Telesales division"/>
    <s v="Telesatış şöbəsi"/>
    <s v="Telesales Specialist"/>
    <s v="Telesatış üzrə Mütəxəssis"/>
    <s v="Məmmədli Elgiz Əziz oğlu"/>
    <d v="2023-09-01T00:00:00"/>
  </r>
  <r>
    <s v="Active"/>
    <s v="IDM-368"/>
    <s v="Elgiz Mammadli, Aziz"/>
    <s v="Məmmədli Elgiz Əziz oğlu"/>
    <s v="Customer excellence department"/>
    <x v="4"/>
    <s v="Telesales division"/>
    <s v="Telesatış şöbəsi"/>
    <s v="Telesales Team Lead"/>
    <s v="Telesatış üzrə Qrup Rəhbəri"/>
    <s v="Tağıyeva Əntiqə Tahir qızı"/>
    <d v="2023-09-01T00:00:00"/>
  </r>
  <r>
    <s v="Active"/>
    <s v="IDM-371"/>
    <s v="Lala Mikayilova, Shamil"/>
    <s v="Mikayılova Lalə Şamil qızı"/>
    <s v="Customer excellence department"/>
    <x v="4"/>
    <s v="Telesales division"/>
    <s v="Telesatış şöbəsi"/>
    <s v="Telesales Specialist"/>
    <s v="Telesatış üzrə Mütəxəssis"/>
    <s v="Məmmədli Elgiz Əziz oğlu"/>
    <d v="2023-09-01T00:00:00"/>
  </r>
  <r>
    <s v="Active"/>
    <s v="IDM-366"/>
    <s v="Elnur Beydizada, Elkhan"/>
    <s v="Beydizadə Elnur Elxan oğlu"/>
    <s v="Customer excellence department"/>
    <x v="4"/>
    <s v="Telesales division"/>
    <s v="Telesatış şöbəsi"/>
    <s v="Telesales Specialist"/>
    <s v="Telesatış üzrə Mütəxəssis"/>
    <s v="Məmmədli Elgiz Əziz oğlu"/>
    <d v="2023-09-01T00:00:00"/>
  </r>
  <r>
    <s v="Active"/>
    <s v="IDM-380"/>
    <s v="Mahammad Huseynov, Yaver"/>
    <s v="Hüseynov Məhəmməd Yavər oğlu"/>
    <s v="Encashment division"/>
    <x v="1"/>
    <s v="Encashment division"/>
    <s v="İnkassasiya Şöbəsi"/>
    <s v="Driver Incasator"/>
    <s v="Sürücü inkassator"/>
    <s v="Abbasova Nurlana Ramiz qızı"/>
    <d v="2023-09-04T00:00:00"/>
  </r>
  <r>
    <s v="Active"/>
    <s v="IDM-378"/>
    <s v="Gulnara Shahveranova, Rafig"/>
    <s v="Şahverənova Gülnarə Rafiq qızı"/>
    <s v="Settlements department"/>
    <x v="7"/>
    <s v="Payment system division"/>
    <s v="Ödəniş Sistemləri"/>
    <s v="Leading Settlements specialist"/>
    <s v="Hesablaşmalar üzrə Aparıcı Mütəxəssis"/>
    <s v="Xanabadskiy Xəlil Elxan oğlu"/>
    <d v="2023-09-04T00:00:00"/>
  </r>
  <r>
    <s v="Active"/>
    <s v="IDM-377"/>
    <s v="Adil Karimov, Sabuhi"/>
    <s v="Kərimov Adil Səbuhi oğlu"/>
    <s v="Encashment division"/>
    <x v="1"/>
    <s v="Encashment division"/>
    <s v="İnkassasiya Şöbəsi"/>
    <s v="Cash Collector"/>
    <s v="Kassir inkassator"/>
    <s v="Abbasova Nurlana Ramiz qızı"/>
    <d v="2023-09-04T00:00:00"/>
  </r>
  <r>
    <s v="Active"/>
    <s v="IDM-376"/>
    <s v="Zahrakhanim Zeynalova, Murad"/>
    <s v="Zeynalova Zəhraxanım Murad qızı"/>
    <s v="Customer excellence department"/>
    <x v="4"/>
    <s v="Customer care division"/>
    <s v="Müştəri xidmətləri şöbəsi"/>
    <s v="Leading Social Media Community Specialist"/>
    <s v="Sosial Media Qrupu üzrə Aparıcı Mütəxəssis"/>
    <s v="Əmirov Savalan İsrəfil oğlu"/>
    <d v="2023-09-04T00:00:00"/>
  </r>
  <r>
    <s v="Active"/>
    <s v="IDM-383"/>
    <s v="Narmin Abdullayeva (Akbarli), Gudrat"/>
    <s v="Abdullayeva (Əkbərli) Nərmin Qüdrət qızı"/>
    <s v="Customer excellence department"/>
    <x v="4"/>
    <s v="Telesales division"/>
    <s v="Telesatış şöbəsi"/>
    <s v="Telesales Specialist"/>
    <s v="Telesatış üzrə Mütəxəssis"/>
    <s v="Məmmədli Elgiz Əziz oğlu"/>
    <d v="2023-09-07T00:00:00"/>
  </r>
  <r>
    <s v="Active"/>
    <s v="IDM-382"/>
    <s v="Malak Alizadeh, Sarraf"/>
    <s v="Əlizadə Mələk Asəf qızı"/>
    <s v="none structure"/>
    <x v="5"/>
    <s v="none structure"/>
    <s v="none structure"/>
    <s v="Market Research Specialist "/>
    <s v="Bazar Araşdırması üzrə Mütəxəssis"/>
    <s v="Bu komanda Yuliyaya keçməlidir, komandada olan əməkdaşların rəhbəri Həsəndir, lakin Həsənin birbaşa rəhbəri yoxdur. Yeni strukturda bu şöbə yoxdur. "/>
    <d v="2023-09-07T00:00:00"/>
  </r>
  <r>
    <s v="Active"/>
    <s v="IDM-391"/>
    <s v="Mammadali Tagiyev, Khanbala"/>
    <s v="Tağıyev Məhəmmədəli Xanbala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23-09-12T00:00:00"/>
  </r>
  <r>
    <s v="Active"/>
    <s v="IDM-386"/>
    <s v="Maya Karimli, Mubariz"/>
    <s v="Kərimli Maya Mübariz qızı"/>
    <s v="none structure"/>
    <x v="5"/>
    <s v="none structure"/>
    <s v="none structure"/>
    <s v="Leading Accountant"/>
    <s v="Aparıcı Mühasib"/>
    <s v="Piriyev Abdulla Vaqif oğlu"/>
    <d v="2023-09-12T00:00:00"/>
  </r>
  <r>
    <s v="Active"/>
    <s v="IDM-387"/>
    <s v="Amina Talibova, Ajdar"/>
    <s v="Talıbova Əminə Əjdər qızı"/>
    <s v="Fraud prevention division"/>
    <x v="8"/>
    <s v="Fraud prevention division"/>
    <s v="Frauda qarşı mübarizə şöbəsi"/>
    <s v="Fraud Support Specialist"/>
    <s v="Frauda Dəstək üzrə Mütəxəssis"/>
    <s v="Ramazanov Ramis Rahim oğlu"/>
    <d v="2023-09-12T00:00:00"/>
  </r>
  <r>
    <s v="Active"/>
    <s v="IDM-392"/>
    <s v="Fuad Aliyev, Nazim"/>
    <s v="Alıyev Fuad Nazim oğlu"/>
    <s v="Encashment division"/>
    <x v="1"/>
    <s v="Encashment division"/>
    <s v="İnkassasiya Şöbəsi"/>
    <s v="Cash Collector"/>
    <s v="Kassir inkassator"/>
    <s v="Abbasova Nurlana Ramiz qızı"/>
    <d v="2023-09-14T00:00:00"/>
  </r>
  <r>
    <s v="Active"/>
    <s v="IDM-394"/>
    <s v="Jamal Abushov, Razim"/>
    <s v="Abuşov Camal Razim oğlu"/>
    <s v="Encashment division"/>
    <x v="1"/>
    <s v="Encashment division"/>
    <s v="İnkassasiya Şöbəsi"/>
    <s v="Driver Incasator"/>
    <s v="Sürücü inkassator"/>
    <s v="Abbasova Nurlana Ramiz qızı"/>
    <d v="2023-09-21T00:00:00"/>
  </r>
  <r>
    <s v="Active"/>
    <s v="IDM-398"/>
    <s v="Abdulla Piriyev, Vagif"/>
    <s v="Piriyev Abdulla Vaqif oğlu"/>
    <s v="none structure"/>
    <x v="5"/>
    <s v="none structure"/>
    <s v="none structure"/>
    <s v="Chief Accountant"/>
    <s v="Baş Mühasib"/>
    <s v="Ağayev Mirşahin Mircəfər oğlu"/>
    <d v="2023-10-02T00:00:00"/>
  </r>
  <r>
    <s v="Active"/>
    <s v="IDM-399"/>
    <s v="Shams Baratzada, Ilgar"/>
    <s v="Baratzadə Şəms İlqar qızı"/>
    <s v="Customer excellence department"/>
    <x v="4"/>
    <s v="Customer care division"/>
    <s v="Müştəri xidmətləri şöbəsi"/>
    <s v="Leading Social Media Community Specialist"/>
    <s v="Sosial Media Qrupu üzrə Aparıcı Mütəxəssis"/>
    <s v="Əmirov Savalan İsrəfil oğlu"/>
    <d v="2023-10-02T00:00:00"/>
  </r>
  <r>
    <s v="Active"/>
    <s v="IDM-400"/>
    <s v="Farid Aliyev, Farman"/>
    <s v="Əliyev Fərid Fərman oğlu"/>
    <s v="Customer excellence department"/>
    <x v="4"/>
    <s v="Customer complaints division"/>
    <s v="Müştəri şikayətləri şöbəsi"/>
    <s v="Leading Customer Complaints Specialist"/>
    <s v="Müştəri Şikayətləri üzrə Aparıcı Mütəxəssis"/>
    <s v="Ağazadə Bəhmən Zeynal oğli"/>
    <d v="2023-10-02T00:00:00"/>
  </r>
  <r>
    <s v="Active"/>
    <s v="IDM-403"/>
    <s v="Aleksandra Mikheeva"/>
    <s v="Mikheeva Aleksandra"/>
    <s v="Products division"/>
    <x v="11"/>
    <s v="Products division"/>
    <s v="Məhsullar Şöbəsi"/>
    <s v="Acting Product Owner"/>
    <s v="Məhsul Sahibi vəzifəsini müvəqqəti icra edən"/>
    <s v="Aleksandr Rakhmanov,Zakir Khanmammadov"/>
    <d v="2023-10-09T00:00:00"/>
  </r>
  <r>
    <s v="Active"/>
    <s v="IDM-404"/>
    <s v="Hajar Imamguluzade, Elshad"/>
    <s v="İmamquluzadə Həcər Elşad qızı"/>
    <s v="Customer excellence department"/>
    <x v="4"/>
    <s v="Telesales division"/>
    <s v="Telesatış şöbəsi"/>
    <s v="Leading Specialist"/>
    <s v="Aparıcı mütəxəssis"/>
    <s v="Məmmədli Elgiz Əziz oğlu"/>
    <d v="2023-10-12T00:00:00"/>
  </r>
  <r>
    <s v="Active"/>
    <s v="IDM-407"/>
    <s v="Kamran Rzayev, Hasanbala"/>
    <s v="Rzayev Kamran Həsənbala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23-10-16T00:00:00"/>
  </r>
  <r>
    <s v="Active"/>
    <s v="IDM-408"/>
    <s v="Mukhtar Hamidov, Kamran"/>
    <s v="Həmidov Muxtar Kamran oğlu"/>
    <s v="Cross-border and sales tribe"/>
    <x v="12"/>
    <s v="Cross-border and sales tribe"/>
    <s v="Kross-sərhəd və satış sahəsi"/>
    <s v="Product Owner L4"/>
    <s v="Məhsul Sahibi"/>
    <s v="Emin Niyazov"/>
    <d v="2023-10-16T00:00:00"/>
  </r>
  <r>
    <s v="Active"/>
    <s v="IDM-409"/>
    <s v="Elvin Mustafayev, Elshan"/>
    <s v="Mustafayev Elvin Elşən oğlu"/>
    <s v="Encashment division"/>
    <x v="1"/>
    <s v="Encashment division"/>
    <s v="İnkassasiya Şöbəsi"/>
    <s v="Cash Collector"/>
    <s v="Kassir inkassator"/>
    <s v="Abbasova Nurlana Ramiz qızı"/>
    <d v="2023-10-19T00:00:00"/>
  </r>
  <r>
    <s v="Active"/>
    <s v="IDM-411"/>
    <s v="Khayal Karimov, Galandar"/>
    <s v="Kərimov Xəyal Qələndər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23-10-23T00:00:00"/>
  </r>
  <r>
    <s v="Active"/>
    <s v="IDM-413"/>
    <s v="Orkhan Khanjanov, Khanjan"/>
    <s v="Xancanov Orxan Xancan oğlu"/>
    <s v=" Terminal business support department"/>
    <x v="2"/>
    <s v="Terminal business support division"/>
    <s v="Terminal biznesinə dəstək şöbəsi"/>
    <s v="Leading Specialist"/>
    <s v="Aparıcı mütəxəssis"/>
    <s v="Fərzəliyev Zaur Tofiq oğlu"/>
    <d v="2023-10-23T00:00:00"/>
  </r>
  <r>
    <s v="Active"/>
    <s v="IDM-414"/>
    <s v="Ilgar Huseynov, Rasim"/>
    <s v="Hüseynov İlqar Rasim oğlu"/>
    <s v="Encashment division"/>
    <x v="1"/>
    <s v="Encashment division"/>
    <s v="İnkassasiya Şöbəsi"/>
    <s v="Cash Collector"/>
    <s v="Kassir inkassator"/>
    <s v="Abbasova Nurlana Ramiz qızı"/>
    <d v="2023-10-26T00:00:00"/>
  </r>
  <r>
    <s v="Active"/>
    <s v="IDM-417"/>
    <s v="Emin Mammadov, Aftandil"/>
    <s v="Məmmədov Emin Aftandil oğlu"/>
    <s v=" Terminal business support department"/>
    <x v="2"/>
    <s v="Encashment processes support division"/>
    <s v="İnkassasiya proseslərinə dəstək şöbəsi "/>
    <s v="Leading Security Specialist"/>
    <s v="Təhlükəsizlik üzrə Aparıcı Mütəxəssis"/>
    <s v="Rüstəmzadə İlqar Vilayət oğlu"/>
    <d v="2023-10-26T00:00:00"/>
  </r>
  <r>
    <s v="Active"/>
    <s v="IDM-420"/>
    <s v="Mahammad Mehraliyev, Hashim"/>
    <s v="Mehraliyev Məhəmməd Həşim oğlu"/>
    <s v="Encashment division"/>
    <x v="1"/>
    <s v="Encashment division"/>
    <s v="İnkassasiya Şöbəsi"/>
    <s v="Cash Collector"/>
    <s v="Kassir inkassator"/>
    <s v="Abbasova Nurlana Ramiz qızı"/>
    <d v="2023-11-01T00:00:00"/>
  </r>
  <r>
    <s v="Active"/>
    <s v="IDM-419"/>
    <s v="Alovsat Azizov, Seyran"/>
    <s v="Əzizov Əlövsət Seyran oğlu"/>
    <s v="Encashment division"/>
    <x v="1"/>
    <s v="Encashment division"/>
    <s v="İnkassasiya Şöbəsi"/>
    <s v="Cash Collector"/>
    <s v="Kassir inkassator"/>
    <s v="Abbasova Nurlana Ramiz qızı"/>
    <d v="2023-11-01T00:00:00"/>
  </r>
  <r>
    <s v="Active"/>
    <s v="IDM-418"/>
    <s v="Farida Nabiyeva, Jamal"/>
    <s v="Nəbiyeva Fəridə Camal qızı"/>
    <s v="none structure"/>
    <x v="5"/>
    <s v="none structure"/>
    <s v="none structure"/>
    <s v="Leading Market Research Analytics "/>
    <s v="Bazar Araşdırması üzrə Aparıcı Analitik"/>
    <s v="Bu komanda Yuliyaya keçməlidir, komandada olan əməkdaşların rəhbəri Həsəndir, lakin Həsənin birbaşa rəhbəri yoxdur. Yeni strukturda bu şöbə yoxdur. "/>
    <d v="2023-11-01T00:00:00"/>
  </r>
  <r>
    <s v="Active"/>
    <s v="IDM-423"/>
    <s v="Andrey Khlinenkov, Anatolyevich"/>
    <s v="Xlinenkov Andrey Anatolyevich"/>
    <s v="IT Division"/>
    <x v="9"/>
    <s v="IT Division"/>
    <s v="İT şöbəsi"/>
    <s v="Senior Customer Helpdesk Specialist"/>
    <s v="Müştərilərə Texniki Dəstək üzrə Baş Mütəxəssis"/>
    <s v="Almaz Cavadova"/>
    <d v="2023-11-02T00:00:00"/>
  </r>
  <r>
    <s v="Active"/>
    <s v="IDM-424"/>
    <s v="Eldar Guliyev, Oktay"/>
    <s v="Quliyev Eldar Oktay oğlu"/>
    <s v=" Terminal business support department"/>
    <x v="2"/>
    <s v="Terminal business support division"/>
    <s v="Terminal biznesinə dəstək şöbəsi"/>
    <s v="Labourer"/>
    <s v="Fəhlə"/>
    <s v="Fərzəliyev Zaur Tofiq oğlu"/>
    <d v="2023-11-06T00:00:00"/>
  </r>
  <r>
    <s v="Active"/>
    <s v="IDM-425"/>
    <s v="Ramin Soltanov, Akif"/>
    <s v="Soltanov Ramin Akif oğlu"/>
    <s v=" Terminal business support department"/>
    <x v="2"/>
    <s v="Encashment processes support division"/>
    <s v="İnkassasiya proseslərinə dəstək şöbəsi "/>
    <s v="Driver"/>
    <s v="Sürücü"/>
    <s v="Rüstəmzadə İlqar Vilayət oğlu"/>
    <d v="2023-11-06T00:00:00"/>
  </r>
  <r>
    <s v="Active"/>
    <s v="IDM-428"/>
    <s v="Mehman Maharramov, Kamil"/>
    <s v="Məhərrəmov Mehman Kamil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23-11-13T00:00:00"/>
  </r>
  <r>
    <s v="Active"/>
    <s v="IDM-427"/>
    <s v="Mirza Akhundov"/>
    <s v="Akhundov Mirza"/>
    <s v="Products division"/>
    <x v="11"/>
    <s v="Products division"/>
    <s v="Məhsullar Şöbəsi"/>
    <s v="Product Owner L2"/>
    <s v="Məhsul Sahibi"/>
    <s v="Naina Shukurova,Zakir Khanmammadov"/>
    <d v="2023-11-13T00:00:00"/>
  </r>
  <r>
    <s v="Active"/>
    <s v="IDM-426"/>
    <s v="Zarifa Shirinova, Akram"/>
    <s v="Şirinova Zərifə Əkrəm qızı"/>
    <s v="none structure"/>
    <x v="5"/>
    <s v="none structure"/>
    <s v="none structure"/>
    <s v="General Division Specialist"/>
    <s v="Ümumi Şöbə üzrə Mütəxəssis"/>
    <s v="Bu komanda Yuliyaya keçməlidir, komandada olan əməkdaşların rəhbəri Həsəndir, lakin Həsənin birbaşa rəhbəri yoxdur. Yeni strukturda bu şöbə yoxdur. "/>
    <d v="2023-11-13T00:00:00"/>
  </r>
  <r>
    <s v="Active"/>
    <s v="IDM-434"/>
    <s v="Hasrat Mammadov, Sabir"/>
    <s v="Məmmədov Həsrət Sabir oğlu"/>
    <s v="Terminal and ATM department"/>
    <x v="0"/>
    <s v="Terminal and ATM distibution division"/>
    <s v="Terminal və ATM-lərin yerləşdirilməsi"/>
    <s v="Specialist"/>
    <s v="Mütəxəssis"/>
    <s v="Ramazanov Rəşad Cəfər oğlu"/>
    <d v="2023-11-16T00:00:00"/>
  </r>
  <r>
    <s v="Active"/>
    <s v="IDM-437"/>
    <s v="Elmaddin Aliyev, Jabrayil"/>
    <s v="Əliyev Elməddin Cəbrayıl oğlu"/>
    <s v="Encashment division"/>
    <x v="1"/>
    <s v="Encashment division"/>
    <s v="İnkassasiya Şöbəsi"/>
    <s v="Cash Collector"/>
    <s v="Kassir inkassator"/>
    <s v="Abbasova Nurlana Ramiz qızı"/>
    <d v="2023-11-23T00:00:00"/>
  </r>
  <r>
    <s v="Active"/>
    <s v="IDM-439"/>
    <s v="Ramin Suleymanov, Rahman"/>
    <s v="Süleymanov Ramin Rəhman oğlu"/>
    <s v=" Terminal business support department"/>
    <x v="2"/>
    <s v="Encashment processes and cash centers monitoring division"/>
    <s v="İnkassasiya prosesi və kassa mərkəzlərinin monitorinqi şöbəsi"/>
    <s v="Leading Specialist"/>
    <s v="Aparıcı Mütəxəssis"/>
    <s v="Ramaldanov Şıxbala Şair oğlu"/>
    <d v="2023-11-27T00:00:00"/>
  </r>
  <r>
    <s v="Active"/>
    <s v="IDM-446"/>
    <s v="Javid Mansimov, Zahid"/>
    <s v="Mənsimov Cavid Zahid oğlu"/>
    <s v="Cross-border and sales tribe"/>
    <x v="12"/>
    <s v="Cross-border and sales tribe"/>
    <s v="Kross-sərhəd və satış sahəsi"/>
    <s v="Treasury Manager"/>
    <s v="Xəzinədarlıq üzrə Menecer"/>
    <s v="Emin Niyazov"/>
    <d v="2023-12-01T00:00:00"/>
  </r>
  <r>
    <s v="Active"/>
    <s v="IDM-444"/>
    <s v="Aisha Mustafayeva, Elshanovna"/>
    <s v="Mustafayeva Aişə Elşənovna"/>
    <s v="Customer excellence department"/>
    <x v="4"/>
    <s v="Customer complaints division"/>
    <s v="Müştəri şikayətləri şöbəsi"/>
    <s v="Customer Complaints Specialist"/>
    <s v="Müştəri Şikayətləri üzrə Mütəxəssis"/>
    <s v="Ağazadə Bəhmən Zeynal oğli"/>
    <d v="2023-12-01T00:00:00"/>
  </r>
  <r>
    <s v="Active"/>
    <s v="IDM-456"/>
    <s v="Sara Yagublu, Sabir"/>
    <s v="Yaqublu Sara Sabir qızı"/>
    <s v="Products division"/>
    <x v="11"/>
    <s v="Products division"/>
    <s v="Məhsullar Şöbəsi"/>
    <s v="Specialist"/>
    <s v="Mütəxəssis"/>
    <s v="Almaz Cavadova"/>
    <d v="2023-12-04T00:00:00"/>
  </r>
  <r>
    <s v="Active"/>
    <s v="IDM-448"/>
    <s v="Gunel Muradova, Namig"/>
    <s v="Muradova Günel Namiq qızı"/>
    <s v="Settlements department"/>
    <x v="7"/>
    <s v="Payment system division"/>
    <s v="Ödəniş Sistemləri"/>
    <s v="Specialist"/>
    <s v="Mütəxəssis"/>
    <s v="Xanabadskiy Xəlil Elxan oğlu"/>
    <d v="2023-12-04T00:00:00"/>
  </r>
  <r>
    <s v="Active"/>
    <s v="IDM-459"/>
    <s v="Farid Nasirulla, Elshan"/>
    <s v="Nəsirulla Farid Elşən oğlu"/>
    <s v="Legal division"/>
    <x v="16"/>
    <s v="Legal division"/>
    <s v="Hüquq Şöbəsi"/>
    <s v="Manager"/>
    <s v="Menecer"/>
    <s v="Tağıyev Camal İlham oğlu"/>
    <d v="2023-12-18T00:00:00"/>
  </r>
  <r>
    <s v="Active"/>
    <s v="IDM-464"/>
    <s v="Roman Lugamanov"/>
    <s v="Lugamanov Roman"/>
    <s v="Products division"/>
    <x v="11"/>
    <s v="Products division"/>
    <s v="Məhsullar Şöbəsi"/>
    <s v="Middle DevOps Engineer M2"/>
    <s v="DevOps üzrə Middle Mühəndis"/>
    <s v="Kanan Mammadov"/>
    <d v="2023-12-26T00:00:00"/>
  </r>
  <r>
    <s v="Active"/>
    <s v="IDM-465"/>
    <s v="Vusala Ismayilova, Lazim"/>
    <s v="İsmayılova Vüsalə Lazım qızı"/>
    <s v="Customer excellence department"/>
    <x v="4"/>
    <s v="Customer complaints division"/>
    <s v="Müştəri şikayətləri şöbəsi"/>
    <s v="Customer Complaints Specialist"/>
    <s v="Müştəri Şikayətləri üzrə Mütəxəssis"/>
    <s v="Ağazadə Bəhmən Zeynal oğli"/>
    <d v="2024-01-07T00:00:00"/>
  </r>
  <r>
    <s v="Active"/>
    <s v="IDM-467"/>
    <s v="Nargiz Karimova, Najaf"/>
    <s v="Kərimova Nərgiz Nəcəf qızı"/>
    <s v="Talent management department"/>
    <x v="17"/>
    <s v="-"/>
    <s v="-"/>
    <s v="People Operations Manager"/>
    <s v="İnsan Resursları Əməliyyatları üzrə Menecer"/>
    <s v="Hüseynova Səidə Əsədulla qızı"/>
    <d v="2024-01-08T00:00:00"/>
  </r>
  <r>
    <s v="Active"/>
    <s v="IDM-469"/>
    <s v="Orkhan Muradov, İsmayıl"/>
    <s v="Muradov Orxan İsmayıl oğlu"/>
    <s v="Encashment division"/>
    <x v="1"/>
    <s v="Encashment division"/>
    <s v="İnkassasiya Şöbəsi"/>
    <s v="Driver Incasator"/>
    <s v="Sürücü inkassator"/>
    <s v="Abbasova Nurlana Ramiz qızı"/>
    <d v="2024-01-18T00:00:00"/>
  </r>
  <r>
    <s v="Active"/>
    <s v="IDM-470"/>
    <s v="Nuran Alizade, Rashad"/>
    <s v="Əlizadə Nuran Rəşad oğlu"/>
    <s v=" Terminal business support department"/>
    <x v="2"/>
    <s v="Encashment processes and cash centers monitoring division"/>
    <s v="İnkassasiya prosesi və kassa mərkəzlərinin monitorinqi şöbəsi"/>
    <s v="Specialist"/>
    <s v="Mütəxəssis"/>
    <s v="Ramaldanov Şıxbala Şair oğlu"/>
    <d v="2024-01-18T00:00:00"/>
  </r>
  <r>
    <s v="Active"/>
    <s v="IDM-471"/>
    <s v="Ilya Rafailov, Yurievich"/>
    <s v="Rafailov İlya Yuriyeviç"/>
    <s v="Products division"/>
    <x v="11"/>
    <s v="Products division"/>
    <s v="Məhsullar Şöbəsi"/>
    <s v="Senior Back-End Developer L1"/>
    <s v="Back-End üzrə Baş Developer"/>
    <s v="İlqar Mammadov"/>
    <d v="2024-01-22T00:00:00"/>
  </r>
  <r>
    <s v="Active"/>
    <s v="IDM-472"/>
    <s v="Nuray Hasanli, Elnur"/>
    <s v="Həsənli Nuray Elnur qızı"/>
    <s v="Terminal and ATM department"/>
    <x v="0"/>
    <s v="Sales support division"/>
    <s v="Satışa dəstək"/>
    <s v="Specialist"/>
    <s v="Mütəxəssis"/>
    <s v="Camalzadə Fuad Sabir oğlu"/>
    <d v="2024-01-23T00:00:00"/>
  </r>
  <r>
    <s v="Active"/>
    <s v="IDM-474"/>
    <s v="Sarkan Bagishli, Vatan"/>
    <s v="Bağışlı Sarkan Vətən oğlu"/>
    <s v="Encashment division"/>
    <x v="1"/>
    <s v="Encashment division"/>
    <s v="İnkassasiya Şöbəsi"/>
    <s v="Cash Collector"/>
    <s v="Kassir inkassator"/>
    <s v="Abbasova Nurlana Ramiz qızı"/>
    <d v="2024-01-25T00:00:00"/>
  </r>
  <r>
    <s v="Active"/>
    <s v="IDM-475"/>
    <s v="Elshan Guliyev, Ramiz"/>
    <s v="Quliyev Elşən Ramiz oğlu"/>
    <s v="Encashment division"/>
    <x v="1"/>
    <s v="Encashment division"/>
    <s v="İnkassasiya Şöbəsi"/>
    <s v="Driver Incasator"/>
    <s v="Sürücü inkassator"/>
    <s v="Abbasova Nurlana Ramiz qızı"/>
    <d v="2024-01-25T00:00:00"/>
  </r>
  <r>
    <s v="Active"/>
    <s v="IDM-473"/>
    <s v="Mahir Aliyev, Muzaffar"/>
    <s v="Əliyev Mahir Müzəffər oğlu"/>
    <s v="Encashment division"/>
    <x v="1"/>
    <s v="Encashment division"/>
    <s v="İnkassasiya Şöbəsi"/>
    <s v="Cash Collector"/>
    <s v="Kassir inkassator"/>
    <s v="Abbasova Nurlana Ramiz qızı"/>
    <d v="2024-01-25T00:00:00"/>
  </r>
  <r>
    <s v="Active"/>
    <s v="IDM-479"/>
    <s v="Ali Naghizade, Elchin"/>
    <s v="Nağızadə Əli Elçin oğlu"/>
    <s v="Products division"/>
    <x v="11"/>
    <s v="Products division"/>
    <s v="Məhsullar Şöbəsi"/>
    <s v="Middle Auto QA Engineer M1"/>
    <s v="Keyfiyyət Təminatı üzrə Middle Mühəndis"/>
    <s v="Rauf Mirzoyev,Ilqar Mammadov"/>
    <d v="2024-02-01T00:00:00"/>
  </r>
  <r>
    <s v="Active"/>
    <s v="IDM-483"/>
    <s v="Aysel Babayeva, İsmayil "/>
    <s v="Babayeva Aysel İsmayıl qızı"/>
    <s v="Customer excellence department"/>
    <x v="4"/>
    <s v="Monitoring and evaluation division"/>
    <s v="Monitorinq və qiymətləndirmə şöbəsi"/>
    <s v="Quality Management and Evaluation Specialist"/>
    <s v="Keyfiyyət idarəetməsi və qiymətləndirmə üzrə mütəxəssis"/>
    <s v="Abbaszadə Elçin Nazim oğlu"/>
    <d v="2024-02-01T00:00:00"/>
  </r>
  <r>
    <s v="Active"/>
    <s v="IDM-485"/>
    <s v="Zarnishan Nametova,Tavakkul"/>
    <s v="Namətova Zərnişan Təvəkkül qızı"/>
    <s v="Customer excellence department"/>
    <x v="4"/>
    <s v="Customer care division"/>
    <s v="Müştəri xidmətləri şöbəsi"/>
    <s v="Customer Relations Specialist"/>
    <s v="Müştəri Əlaqələri üzrə Mütəxəssis"/>
    <s v="Əmirov Savalan İsrəfil oğlu"/>
    <d v="2024-02-01T00:00:00"/>
  </r>
  <r>
    <s v="Active"/>
    <s v="IDM-480"/>
    <s v="İlaha Shafiyeva, Azad"/>
    <s v="Şəfiyeva İlahə Azad qızı"/>
    <s v="Fraud prevention division"/>
    <x v="8"/>
    <s v="Fraud prevention division"/>
    <s v="Frauda qarşı mübarizə şöbəsi"/>
    <s v="Fraud Support Specialist"/>
    <s v="Frauda Dəstək üzrə Mütəxəssis"/>
    <s v="Ramazanov Ramis Rahim oğlu"/>
    <d v="2024-02-01T00:00:00"/>
  </r>
  <r>
    <s v="Active"/>
    <s v="IDM-488"/>
    <s v="Hafiz Mammadov, Mushfig"/>
    <s v="Məmmədov Hafiz Müşfiq oğlu"/>
    <s v="Products division"/>
    <x v="11"/>
    <s v="Products division"/>
    <s v="Məhsullar Şöbəsi"/>
    <s v="Senior System Analyst L2"/>
    <s v="Sistem üzrə Baş Analitik"/>
    <s v="Togrul Talibzade"/>
    <d v="2024-02-06T00:00:00"/>
  </r>
  <r>
    <s v="Active"/>
    <s v="IDM-496"/>
    <s v="Anar Akbarov, Vahid"/>
    <s v="Əkbərov Anar Vahid oğlu"/>
    <s v="Customer excellence department"/>
    <x v="4"/>
    <s v="Telesales division"/>
    <s v="Telesatış şöbəsi"/>
    <s v="Telesales Specialist"/>
    <s v="Telesatış üzrə Mütəxəssis"/>
    <s v="Məmmədli Elgiz Əziz oğlu"/>
    <d v="2024-02-08T00:00:00"/>
  </r>
  <r>
    <s v="Active"/>
    <s v="IDM-502"/>
    <s v="Shahin Aghazade, Telman"/>
    <s v="Ağazadə Şahin Telman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24-02-12T00:00:00"/>
  </r>
  <r>
    <s v="Active"/>
    <s v="IDM-505"/>
    <s v="Kanan Abdullayev, Musa"/>
    <s v="Abdullayev Kənan Musa oğlu"/>
    <s v="Encashment division"/>
    <x v="1"/>
    <s v="Encashment division"/>
    <s v="İnkassasiya Şöbəsi"/>
    <s v="Cash Collector"/>
    <s v="Kassir inkassator"/>
    <s v="Abbasova Nurlana Ramiz qızı"/>
    <d v="2024-02-12T00:00:00"/>
  </r>
  <r>
    <s v="Active"/>
    <s v="IDM-504"/>
    <s v="İlham Gahramanov, Anvar"/>
    <s v="Qəhrəmanov İlham Ənvər oğlu"/>
    <s v=" Terminal business support department"/>
    <x v="2"/>
    <s v="Encashment processes and cash centers monitoring division"/>
    <s v="İnkassasiya prosesi və kassa mərkəzlərinin monitorinqi şöbəsi"/>
    <s v="Specialist"/>
    <s v="Mütəxəssis"/>
    <s v="Ramaldanov Şıxbala Şair oğlu"/>
    <d v="2024-02-12T00:00:00"/>
  </r>
  <r>
    <s v="Active"/>
    <s v="IDM-508"/>
    <s v="Namig Mikayilov, Alirza"/>
    <s v="Mikayılov Namiq Əlirza oğlu"/>
    <s v="Encashment division"/>
    <x v="1"/>
    <s v="Encashment division"/>
    <s v="İnkassasiya Şöbəsi"/>
    <s v="Leading Cash Turnover Specialist"/>
    <s v="Nağd Vəsaitlərin Dövriyyəsi üzrə Aparıcı Mütəxəssis"/>
    <s v="Abbasova Nurlana Ramiz qızı"/>
    <d v="2024-02-15T00:00:00"/>
  </r>
  <r>
    <s v="Active"/>
    <s v="IDM-513"/>
    <s v="Murad Suleymanli, Alisa"/>
    <s v="Süleymanli Murad Əlisa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24-03-01T00:00:00"/>
  </r>
  <r>
    <s v="Active"/>
    <s v="IDM-519"/>
    <s v="Ilaha Asadova, Ingilab"/>
    <s v="Əsədova İlahə İnqilab qızı"/>
    <s v="Customer excellence department"/>
    <x v="4"/>
    <s v="Telesales division"/>
    <s v="Telesatış şöbəsi"/>
    <s v="Telesales Specialist"/>
    <s v="Telesatış üzrə Mütəxəssis"/>
    <s v="Məmmədli Elgiz Əziz oğlu"/>
    <d v="2024-03-04T00:00:00"/>
  </r>
  <r>
    <s v="Active"/>
    <s v="IDM-517"/>
    <s v="Bakir Bakirov, Jeyhun"/>
    <s v="Bəkirov Bəkir Ceyhun oğlu"/>
    <s v="Customer excellence department"/>
    <x v="4"/>
    <s v="Telesales division"/>
    <s v="Telesatış şöbəsi"/>
    <s v="Telesales Specialist"/>
    <s v="Telesatış üzrə Mütəxəssis"/>
    <s v="Məmmədli Elgiz Əziz oğlu"/>
    <d v="2024-03-04T00:00:00"/>
  </r>
  <r>
    <s v="Active"/>
    <s v="IDM-516"/>
    <s v="Talibkhan Novruzov, Ali"/>
    <s v="Novruzov Talıbxan Əli oğlu"/>
    <s v="Customer excellence department"/>
    <x v="4"/>
    <s v="Telesales division"/>
    <s v="Telesatış şöbəsi"/>
    <s v="Telesales Specialist"/>
    <s v="Telesatış üzrə Mütəxəssis"/>
    <s v="Məmmədli Elgiz Əziz oğlu"/>
    <d v="2024-03-04T00:00:00"/>
  </r>
  <r>
    <s v="Active"/>
    <s v="IDM-524"/>
    <s v="Sahib Seydiov, Huseyn"/>
    <s v="Seyidov Sahib Hüseyn oğlu"/>
    <s v="Encashment division"/>
    <x v="1"/>
    <s v="Encashment division"/>
    <s v="İnkassasiya Şöbəsi"/>
    <s v="Cash Collector"/>
    <s v="Kassir inkassator"/>
    <s v="Abbasova Nurlana Ramiz qızı"/>
    <d v="2024-03-18T00:00:00"/>
  </r>
  <r>
    <s v="Active"/>
    <s v="IDM-526"/>
    <s v="Javid Mammadli, Murvat"/>
    <s v="Məmmədli Cavid Mürvət oğlu"/>
    <s v="Products division"/>
    <x v="11"/>
    <s v="Products division"/>
    <s v="Məhsullar Şöbəsi"/>
    <s v="Leading Marketing Analyst"/>
    <s v="Marketinq üzrə Aparıcı Analitik"/>
    <s v="Kamran Babashov, Kanan Aliyev"/>
    <d v="2024-03-27T00:00:00"/>
  </r>
  <r>
    <s v="Active"/>
    <s v="IDM-538"/>
    <s v="Elchin Aliyev, Elbrus"/>
    <s v="Alıyev Elçin Elburus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24-04-08T00:00:00"/>
  </r>
  <r>
    <s v="Active"/>
    <s v="IDM-540"/>
    <s v="Aliya Tagiyeva, Emin"/>
    <s v="Tağıyeva Aliyə Emin qızı"/>
    <s v="Cross-border and sales tribe"/>
    <x v="12"/>
    <s v="Cross-border and sales tribe"/>
    <s v="Kross-sərhəd və satış sahəsi"/>
    <s v="Senior Treasury Specialist "/>
    <s v="Xəzinədarlıq üzrə Baş Mütəxəssis"/>
    <s v="Sevinj"/>
    <d v="2024-04-15T00:00:00"/>
  </r>
  <r>
    <s v="Active"/>
    <s v="IDM-548"/>
    <s v="Javid Hajiyev, Jabir"/>
    <s v="Hacıyev Cavid Cabir oğlu"/>
    <s v="Customer excellence department"/>
    <x v="4"/>
    <s v="-"/>
    <s v="-"/>
    <s v="Leading Business Analyst"/>
    <s v="Aparıcı Biznes Analitik"/>
    <s v="Bu komanda Yuliyaya keçməlidir, komandada olan əməkdaşların rəhbəri Həsəndir, lakin Həsənin birbaşa rəhbəri yoxdur. Yeni strukturda bu şöbə yoxdur. "/>
    <d v="2024-04-15T00:00:00"/>
  </r>
  <r>
    <s v="Active"/>
    <s v="IDM-546"/>
    <s v="Leyla Guliyeva, Aslan"/>
    <s v="Quliyeva Leyla Aslan qızı"/>
    <s v="Customer excellence department"/>
    <x v="4"/>
    <s v="Telesales division"/>
    <s v="Telesatış şöbəsi"/>
    <s v="Telesales Specialist"/>
    <s v="Telesatış üzrə Mütəxəssis"/>
    <s v="Məmmədli Elgiz Əziz oğlu"/>
    <d v="2024-04-15T00:00:00"/>
  </r>
  <r>
    <s v="Active"/>
    <s v="IDM-558"/>
    <s v="Farid Mammadli, Elchin"/>
    <s v="Məmmədli Fərid Elçin oğlu"/>
    <s v="Terminal and ATM department"/>
    <x v="0"/>
    <s v="Terminal and ATM distibution division"/>
    <s v="Terminal və ATM-lərin yerləşdirilməsi"/>
    <s v="Sales Representative"/>
    <s v="Satış Təmsilçisi"/>
    <s v="Ramazanov Rəşad Cəfər oğlu"/>
    <d v="2024-05-13T00:00:00"/>
  </r>
  <r>
    <s v="Active"/>
    <s v="IDM-559"/>
    <s v="Farid Ahmadov, Rauf"/>
    <s v="Əhmədov Fərid Rauf oğlu"/>
    <s v=" Terminal business support department"/>
    <x v="2"/>
    <s v="Terminal maintenance division"/>
    <s v="Texniki təmir şöbəsi"/>
    <s v="Technician Specialist"/>
    <s v="Texniki İşlər üzrə Mütəxəssis"/>
    <s v="Nəbiyev Namiq Şahbəddin oğlu"/>
    <d v="2024-05-13T00:00:00"/>
  </r>
  <r>
    <s v="Active"/>
    <s v="IDM-567"/>
    <s v="Farid Maharramov, Rauf"/>
    <s v="Məhərrəmov Fərid Rauf oğlu"/>
    <s v="Fraud prevention division"/>
    <x v="8"/>
    <s v="Fraud prevention division"/>
    <s v="Frauda qarşı mübarizə şöbəsi"/>
    <s v="Fraud Support Specialist"/>
    <s v="Frauda Dəstək üzrə Mütəxəssis"/>
    <s v="Ramazanov Ramis Rahim oğlu"/>
    <d v="2024-05-16T00:00:00"/>
  </r>
  <r>
    <s v="Active"/>
    <s v="IDM-561"/>
    <s v="Gunduz Bayramov, Mehman"/>
    <s v="Bayramov Gündüz Mehman oğlu"/>
    <s v="Customer excellence department"/>
    <x v="4"/>
    <s v="Customer care division"/>
    <s v="Müştəri xidmətləri şöbəsi"/>
    <s v="Leading Customer Relations Specialist"/>
    <s v="Müştəri Əlaqələri üzrə Aparıcı Mütəxəssis"/>
    <s v="Əmirov Savalan İsrəfil oğlu"/>
    <d v="2024-05-16T00:00:00"/>
  </r>
  <r>
    <s v="Active"/>
    <s v="IDM-564"/>
    <s v="Sadig Ibrahimli, Vugar"/>
    <s v="İbrahimli Sadiq Vüqar oğlu"/>
    <s v="Customer excellence department"/>
    <x v="4"/>
    <s v="Customer care division"/>
    <s v="Müştəri xidmətləri şöbəsi"/>
    <s v="Leading Customer Relations Specialist"/>
    <s v="Müştəri Əlaqələri üzrə Aparıcı Mütəxəssis"/>
    <s v="Əmirov Savalan İsrəfil oğlu"/>
    <d v="2024-05-16T00:00:00"/>
  </r>
  <r>
    <s v="Active"/>
    <s v="IDM-562"/>
    <s v="Aylin Abdullayeva, Rasim"/>
    <s v="Abdullayeva Aylin Rasim qızı"/>
    <s v="Customer excellence department"/>
    <x v="4"/>
    <s v="Customer care division"/>
    <s v="Müştəri xidmətləri şöbəsi"/>
    <s v="Leading Customer Relations Specialist"/>
    <s v="Müştəri Əlaqələri üzrə Aparıcı Mütəxəssis"/>
    <s v="Əmirov Savalan İsrəfil oğlu"/>
    <d v="2024-05-16T00:00:00"/>
  </r>
  <r>
    <s v="Active"/>
    <s v="IDM-560"/>
    <s v="Ibrahim Tajibov, Ismail"/>
    <s v="Tacıbov İbrahim İsmail oğlu"/>
    <s v="Customer excellence department"/>
    <x v="4"/>
    <s v="Customer care division"/>
    <s v="Müştəri xidmətləri şöbəsi"/>
    <s v="Leading Customer Relations Specialist"/>
    <s v="Müştəri Əlaqələri üzrə Aparıcı Mütəxəssis"/>
    <s v="Əmirov Savalan İsrəfil oğlu"/>
    <d v="2024-05-16T00:00:00"/>
  </r>
  <r>
    <s v="Active"/>
    <s v="IDM-563"/>
    <s v="Farid Namazov, Rufat"/>
    <s v="Namazov Fərid Rüfət oğlu"/>
    <s v="Customer excellence department"/>
    <x v="4"/>
    <s v="Monitoring and evaluation division"/>
    <s v="Monitorinq və qiymətləndirmə şöbəsi"/>
    <s v="Monitoring Specialist"/>
    <s v="Monitorinq üzrə Mütəxəssis"/>
    <s v="Abbaszadə Elçin Nazim oğlu"/>
    <d v="2024-05-16T00:00:00"/>
  </r>
  <r>
    <s v="Active"/>
    <s v="IDM-571"/>
    <s v="Galib Khalilov, Fikrat"/>
    <s v="Xəlilov Qalib Fikrət oğlu"/>
    <s v="IT Division"/>
    <x v="9"/>
    <s v="IT Division"/>
    <s v="İT şöbəsi"/>
    <s v="Semior Jira Engineer"/>
    <s v="Jira üzrə Baş Mühəndis"/>
    <s v="?"/>
    <d v="2024-05-20T00:00:00"/>
  </r>
  <r>
    <s v="Active"/>
    <s v="IDM-573"/>
    <s v="Rafiga Safarova, Vagif"/>
    <s v="Səfərova Rəfiqə Vaqif qızı"/>
    <s v="none structure"/>
    <x v="5"/>
    <s v="none structure"/>
    <s v="none structure"/>
    <s v="Cleaning Lady"/>
    <s v="Xidmətçi"/>
    <s v="Müddəti uzadılmayacaq"/>
    <d v="2024-05-23T00:00:00"/>
  </r>
  <r>
    <s v="Active"/>
    <s v="IDM-577"/>
    <s v="Seyidmammad Aghayev, Javad "/>
    <s v="Ağayev Seyidməmməd Cavad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24-06-03T00:00:00"/>
  </r>
  <r>
    <s v="Active"/>
    <s v="IDM-579"/>
    <s v="Adil Mammadyarov, Azer"/>
    <s v="Məmmədyarov Adil Azər oğlu"/>
    <s v=" Terminal business support department"/>
    <x v="2"/>
    <s v="Encashment processes and cash centers monitoring division"/>
    <s v="İnkassasiya prosesi və kassa mərkəzlərinin monitorinqi şöbəsi"/>
    <s v="Specialist"/>
    <s v="Mütəxəssis"/>
    <s v="Ramaldanov Şıxbala Şair oğlu"/>
    <d v="2024-06-03T00:00:00"/>
  </r>
  <r>
    <s v="Active"/>
    <s v="IDM-578"/>
    <s v="Elnur Nadirov, Hakhverdi"/>
    <s v="Nadirov Elnur Haxverdi oğlu"/>
    <s v="Encashment division"/>
    <x v="1"/>
    <s v="Encashment division"/>
    <s v="İnkassasiya Şöbəsi"/>
    <s v="Driver Incasator"/>
    <s v="Sürücü inkassator"/>
    <s v="Abbasova Nurlana Ramiz qızı"/>
    <d v="2024-06-03T00:00:00"/>
  </r>
  <r>
    <s v="Active"/>
    <s v="IDM-581"/>
    <s v="Ruslan Muradov, Yagub"/>
    <s v="Muradov Ruslan Yaqub oğlu"/>
    <s v="Encashment division"/>
    <x v="1"/>
    <s v="Encashment division"/>
    <s v="İnkassasiya Şöbəsi"/>
    <s v="Cash Collector"/>
    <s v="Kassir inkassator"/>
    <s v="Abbasova Nurlana Ramiz qızı"/>
    <d v="2024-06-03T00:00:00"/>
  </r>
  <r>
    <s v="Active"/>
    <s v="IDM-576"/>
    <s v="Gulbaniz Farzaliyeva, Aghaghul "/>
    <s v="Fərzəliyeva Gülbəniz Ağagül qızı"/>
    <s v="Financial management department"/>
    <x v="3"/>
    <s v="Budgeting &amp; financial modeling division"/>
    <s v="Büdcələşdirmə və maliyyə modelləşdirilməsi şöbəsi"/>
    <s v="Leading Financial Modelling and Budgeting Specialist"/>
    <s v="Maliyyə Modelləşdirmə və Büdcələşdirmə üzrə Aparıcı Mütəxəssis"/>
    <s v="Talıbzadə Orxan Əfqan oğlu"/>
    <d v="2024-06-03T00:00:00"/>
  </r>
  <r>
    <s v="Active"/>
    <s v="IDM-584"/>
    <s v="Narmin Isgandarova, Bahram"/>
    <s v="İsgəndərova Nərmin Bəhram qızı"/>
    <s v="Audit committee"/>
    <x v="18"/>
    <s v="-"/>
    <s v="-"/>
    <s v="Chairman of the Audit Committee"/>
    <s v="Audit Komitəsinin Sədri"/>
    <s v="-"/>
    <d v="2024-06-05T00:00:00"/>
  </r>
  <r>
    <s v="Active"/>
    <s v="IDM-586"/>
    <s v="Minaya Azizova, Sadig  "/>
    <s v="Əzizova Minayə Sadiq qızı"/>
    <s v="none structure"/>
    <x v="5"/>
    <s v="none structure"/>
    <s v="none structure"/>
    <s v="Accountant"/>
    <s v="Mühasib"/>
    <s v="Piriyev Abdulla Vaqif oğlu"/>
    <d v="2024-06-10T00:00:00"/>
  </r>
  <r>
    <s v="Active"/>
    <s v="IDM-588"/>
    <s v="Orkhan Karimov, Teymur"/>
    <s v="Kərimov Orxan Teymur oğlu"/>
    <s v="Audit committee"/>
    <x v="18"/>
    <s v="-"/>
    <s v="-"/>
    <s v="Audit Committee member"/>
    <s v="Audit Komitəsinin üzvü"/>
    <s v="İsgəndərova Nərmin Bəhram qızı"/>
    <d v="2024-06-14T00:00:00"/>
  </r>
  <r>
    <s v="Active"/>
    <s v="IDM-596"/>
    <s v="Rafail Farziyev, Jafar"/>
    <s v="Fərziyev Rəfail Cəfər oğlu"/>
    <s v="Encashment division"/>
    <x v="1"/>
    <s v="Encashment division"/>
    <s v="İnkassasiya Şöbəsi"/>
    <s v="Driver Incasator"/>
    <s v="Sürücü inkassator"/>
    <s v="Abbasova Nurlana Ramiz qızı"/>
    <d v="2024-07-01T00:00:00"/>
  </r>
  <r>
    <s v="Active"/>
    <s v="IDM-601"/>
    <s v="Afgan Alovsatli, Gabil"/>
    <s v="Əlövsətli Əfqan Qabil oğlu"/>
    <s v="Encashment division"/>
    <x v="1"/>
    <s v="Encashment division"/>
    <s v="İnkassasiya Şöbəsi"/>
    <s v="Cash Collector"/>
    <s v="Kassir inkassator"/>
    <s v="Abbasova Nurlana Ramiz qızı"/>
    <d v="2024-07-01T00:00:00"/>
  </r>
  <r>
    <s v="Active"/>
    <s v="IDM-602"/>
    <s v="Abbas Jabbarov, Khalig"/>
    <s v="Cabbarov Abbas Xaliq oğlu"/>
    <s v="Encashment division"/>
    <x v="1"/>
    <s v="Encashment division"/>
    <s v="İnkassasiya Şöbəsi"/>
    <s v="Driver Incasator"/>
    <s v="Sürücü inkassator"/>
    <s v="Abbasova Nurlana Ramiz qızı"/>
    <d v="2024-07-01T00:00:00"/>
  </r>
  <r>
    <s v="Active"/>
    <s v="IDM-604"/>
    <s v="Tural Mammadov, Sadikh"/>
    <s v="Məmmədov Tural Sadıx oğlu"/>
    <s v="Encashment division"/>
    <x v="1"/>
    <s v="Encashment division"/>
    <s v="İnkassasiya Şöbəsi"/>
    <s v="Cash Collector"/>
    <s v="Kassir inkassator"/>
    <s v="Abbasova Nurlana Ramiz qızı"/>
    <d v="2024-07-01T00:00:00"/>
  </r>
  <r>
    <s v="Active"/>
    <s v="IDM-605"/>
    <s v="Konul Aliyeva,Yusif"/>
    <s v="Əliyeva Könül Yusif qızı"/>
    <s v="none structure"/>
    <x v="5"/>
    <s v="none structure"/>
    <s v="none structure"/>
    <s v="Cleaning Lady"/>
    <s v="Xidmətçi"/>
    <s v="KB-yə Kassa və inkassasiya prosesləri departamentinə keçirilir, rəsmiləşmədədirlər. "/>
    <d v="2024-07-01T00:00:00"/>
  </r>
  <r>
    <s v="Active"/>
    <s v="IDM-590"/>
    <s v="Jeyhun Abdullazada, Gilinjkhan"/>
    <s v="Abdullazadə Ceyhun Qılıncxan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24-07-01T00:00:00"/>
  </r>
  <r>
    <s v="Active"/>
    <s v="IDM-593"/>
    <s v="Aysu Xalili, Zaur"/>
    <s v="Xəlili Aysu Zaur qızı"/>
    <s v="Financial management department"/>
    <x v="3"/>
    <s v="Budgeting &amp; financial modeling division"/>
    <s v="Büdcələşdirmə və maliyyə modelləşdirilməsi şöbəsi"/>
    <s v="Leading Analyst"/>
    <s v="Aparıcı analitik"/>
    <s v="Talıbzadə Orxan Əfqan oğlu"/>
    <d v="2024-07-01T00:00:00"/>
  </r>
  <r>
    <s v="Active"/>
    <s v="IDM-609"/>
    <s v="Nijat Nuriyev, Zamaddin"/>
    <s v="Nuriyev Nicat Zaməddin oğlu"/>
    <s v="Encashment division"/>
    <x v="1"/>
    <s v="Encashment division"/>
    <s v="İnkassasiya Şöbəsi"/>
    <s v="Cash Collector"/>
    <s v="Kassir inkassator"/>
    <s v="Abbasova Nurlana Ramiz qızı"/>
    <d v="2024-07-04T00:00:00"/>
  </r>
  <r>
    <s v="Active"/>
    <s v="IDM-610"/>
    <s v="Nazim Behbudov, Farman"/>
    <s v="Behbudov Nazim Fərman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24-07-04T00:00:00"/>
  </r>
  <r>
    <s v="Active"/>
    <s v="IDM-615"/>
    <s v="Nuray Aliyeva, Chingiz"/>
    <s v="Əliyeva Nuray Çingiz qızı"/>
    <s v="Customer excellence department"/>
    <x v="4"/>
    <s v="Customer care division"/>
    <s v="Müştəri xidmətləri şöbəsi"/>
    <s v="Customer Relations Specialist"/>
    <s v="Müştəri Əlaqələri üzrə Mütəxəssis"/>
    <s v="Əmirov Savalan İsrəfil oğlu"/>
    <d v="2024-07-15T00:00:00"/>
  </r>
  <r>
    <s v="Active"/>
    <s v="IDM-616"/>
    <s v="Saadat Afandizada, Natig"/>
    <s v="Əfəndizadə Səadət Natiq qızı"/>
    <s v="Customer excellence department"/>
    <x v="4"/>
    <s v="Customer care division"/>
    <s v="Müştəri xidmətləri şöbəsi"/>
    <s v="Junior Customer Relations Specialist"/>
    <s v="Müştəri əlaqələri üzrə kiçik mütəxəssis"/>
    <s v="Əmirov Savalan İsrəfil oğlu"/>
    <d v="2024-07-15T00:00:00"/>
  </r>
  <r>
    <s v="Active"/>
    <s v="IDM-614"/>
    <s v="Reyhana Maharramova, Eyvaz"/>
    <s v="Məhərrəmova Reyhanə Eyvaz qızı"/>
    <s v="Customer excellence department"/>
    <x v="4"/>
    <s v="Telesales division"/>
    <s v="Telesatış şöbəsi"/>
    <s v="Telesales Specialist"/>
    <s v="Telesatış üzrə Mütəxəssis"/>
    <s v="Məmmədli Elgiz Əziz oğlu"/>
    <d v="2024-07-15T00:00:00"/>
  </r>
  <r>
    <s v="Active"/>
    <s v="IDM-645"/>
    <s v="Leyla Rzayeva, Zahid "/>
    <s v="Rzayeva Leyla Zahid qızı"/>
    <s v="Customer excellence department"/>
    <x v="4"/>
    <s v="Customer care division"/>
    <s v="Müştəri xidmətləri şöbəsi"/>
    <s v="Customer Relations Specialist"/>
    <s v="Müştəri Əlaqələri üzrə Mütəxəssis"/>
    <s v="Əmirov Savalan İsrəfil oğlu"/>
    <d v="2024-08-01T00:00:00"/>
  </r>
  <r>
    <s v="Active"/>
    <s v="IDM-643"/>
    <s v="Mukhtar Sanayev, Emil "/>
    <s v="Sanayev Muxtar Emil oğlu"/>
    <s v="Customer excellence department"/>
    <x v="4"/>
    <s v="Customer care division"/>
    <s v="Müştəri xidmətləri şöbəsi"/>
    <s v="Leading Customer Relations Specialist"/>
    <s v="Müştəri Əlaqələri üzrə Aparıcı Mütəxəssis"/>
    <s v="Əmirov Savalan İsrəfil oğlu"/>
    <d v="2024-08-01T00:00:00"/>
  </r>
  <r>
    <s v="Active"/>
    <s v="IDM-642"/>
    <s v="Nigar Hasanzada, Fikrat "/>
    <s v="Həsənzadə Nigar Fikrət qızı"/>
    <s v="Customer excellence department"/>
    <x v="4"/>
    <s v="Customer care division"/>
    <s v="Müştəri xidmətləri şöbəsi"/>
    <s v="Leading Customer Relations Specialist"/>
    <s v="Müştəri Əlaqələri üzrə Aparıcı Mütəxəssis"/>
    <s v="Əmirov Savalan İsrəfil oğlu"/>
    <d v="2024-08-01T00:00:00"/>
  </r>
  <r>
    <s v="Active"/>
    <s v="IDM-644"/>
    <s v="Ali Mammadov, Akif "/>
    <s v="Məmmədov Əli Akif oğlu"/>
    <s v="Customer excellence department"/>
    <x v="4"/>
    <s v="Customer care division"/>
    <s v="Müştəri xidmətləri şöbəsi"/>
    <s v="Customer Relations Specialist"/>
    <s v="Müştəri Əlaqələri üzrə Mütəxəssis"/>
    <s v="Əmirov Savalan İsrəfil oğlu"/>
    <d v="2024-08-01T00:00:00"/>
  </r>
  <r>
    <s v="Active"/>
    <s v="IDM-638"/>
    <s v="Aytan Aliyeva, Shahin"/>
    <s v="Əliyeva Aytən Şahin qızı"/>
    <s v="Customer excellence department"/>
    <x v="4"/>
    <s v="Telesales division"/>
    <s v="Telesatış şöbəsi"/>
    <s v="Telesales Specialist"/>
    <s v="Telesatış üzrə Mütəxəssis"/>
    <s v="Məmmədli Elgiz Əziz oğlu"/>
    <d v="2024-08-01T00:00:00"/>
  </r>
  <r>
    <s v="Active"/>
    <s v="IDM-635"/>
    <s v="Elchin Abbaszada Nazim "/>
    <s v="Abbaszadə Elçin Nazim oğlu"/>
    <s v="Customer excellence department"/>
    <x v="4"/>
    <s v="Monitoring and evaluation division"/>
    <s v="Monitorinq və qiymətləndirmə şöbəsi"/>
    <s v="Monitoring and Evaluation Manager"/>
    <s v="Monitorinq və Qiymətləndirmə üzrə Menecer"/>
    <s v="Tağıyeva Əntiqə Tahir qızı"/>
    <d v="2024-08-01T00:00:00"/>
  </r>
  <r>
    <s v="Active"/>
    <s v="IDM-649"/>
    <s v="Khazay Kamilov, Ruslan"/>
    <s v="Kamilov Xazay Ruslan oğlu"/>
    <s v="Terminal and ATM department"/>
    <x v="0"/>
    <s v="Terminal and ATM distibution division"/>
    <s v="Terminal və ATM-lərin yerləşdirilməsi"/>
    <s v="Leading Specialist"/>
    <s v="Aparıcı mütəxəssis"/>
    <s v="Ramazanov Rəşad Cəfər oğlu"/>
    <d v="2024-08-08T00:00:00"/>
  </r>
  <r>
    <s v="Active"/>
    <s v="IDM-650"/>
    <s v="Buludkhan Masimov, Soybat"/>
    <s v="Məsimov Buludxan Söybət oğlu"/>
    <s v="Encashment division"/>
    <x v="1"/>
    <s v="Encashment division"/>
    <s v="İnkassasiya Şöbəsi"/>
    <s v="Driver Incasator"/>
    <s v="Sürücü inkassator"/>
    <s v="Abbasova Nurlana Ramiz qızı"/>
    <d v="2024-08-08T00:00:00"/>
  </r>
  <r>
    <s v="Active"/>
    <s v="IDM-653"/>
    <s v="Ravin Narimanov, Dakhil "/>
    <s v="Nərimanov Ravin Daxil oğlu"/>
    <s v="Encashment division"/>
    <x v="1"/>
    <s v="Encashment division"/>
    <s v="İnkassasiya Şöbəsi"/>
    <s v="Cash Collector"/>
    <s v="Kassir inkassator"/>
    <s v="Abbasova Nurlana Ramiz qızı"/>
    <d v="2024-08-12T00:00:00"/>
  </r>
  <r>
    <s v="Active"/>
    <s v="IDM-661"/>
    <s v="Aghasif Hasanli, Vugar "/>
    <s v="Həsənli Ağasif Vüqar oğlu"/>
    <s v="Customer excellence department"/>
    <x v="4"/>
    <s v="Telesales division"/>
    <s v="Telesatış şöbəsi"/>
    <s v="Telesales Specialist"/>
    <s v="Telesatış üzrə Mütəxəssis"/>
    <s v="Məmmədli Elgiz Əziz oğlu"/>
    <d v="2024-08-19T00:00:00"/>
  </r>
  <r>
    <s v="Active"/>
    <s v="IDM-663"/>
    <s v="Elchin Amirbayov, Nizami "/>
    <s v="Əmirbəyov Elçin Nizami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24-08-20T00:00:00"/>
  </r>
  <r>
    <s v="Active"/>
    <s v="IDM-670"/>
    <s v="Narmin Huseynova, Hatam"/>
    <s v="Hüseynova Nərmin Hətəm qızı"/>
    <s v="Settlements department"/>
    <x v="7"/>
    <s v="Operations division"/>
    <s v="Əməliyyatlar "/>
    <s v="Card Operations Manager"/>
    <s v="Kart Əməliyyatları üzrə Menecer"/>
    <s v="Usubova Sevinc Cəfər qızı"/>
    <d v="2024-08-22T00:00:00"/>
  </r>
  <r>
    <s v="Active"/>
    <s v="IDM-668"/>
    <s v="Farhad Aliyev, Tahir "/>
    <s v="Əliyev Fərhad Tahir oğlu"/>
    <s v="IT Division"/>
    <x v="9"/>
    <s v="IT Division"/>
    <s v="İT şöbəsi"/>
    <s v="Junior IT Specialist"/>
    <s v="İT üzrə Kiçik Mütəxəssis"/>
    <s v="Amina Aliyeva"/>
    <d v="2024-08-22T00:00:00"/>
  </r>
  <r>
    <s v="Active"/>
    <s v="IDM-667"/>
    <s v="Nijat Suleymanov, Serdar"/>
    <s v="Süleymanov Nicat Sərdar oğlu"/>
    <s v="Internal control division"/>
    <x v="14"/>
    <s v="Internal control division"/>
    <s v="Daxili nəzarət şöbəsi"/>
    <s v="Leading Internal Control Specialist"/>
    <s v="Daxili Nəzarət üzrə Aparıcı Mütəxəssis"/>
    <s v="Birbaşa rəhbəri yoxdur"/>
    <d v="2024-08-22T00:00:00"/>
  </r>
  <r>
    <s v="Active"/>
    <s v="IDM-676"/>
    <s v="Tahir Taghiyev, Elgiz "/>
    <s v="Tağıyev Tahir Elgiz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24-09-05T00:00:00"/>
  </r>
  <r>
    <s v="Active"/>
    <s v="IDM-680"/>
    <s v="Sevinj Rasulova, Vahid"/>
    <s v="Rəsulova Sevinc Vahid qızı"/>
    <s v="Cross-border and sales tribe"/>
    <x v="12"/>
    <s v="Cross-border and sales tribe"/>
    <s v="Kross-sərhəd və satış sahəsi"/>
    <s v="Financial Institutions Group Leader"/>
    <s v="Maliyyə İnstitutları üzrə Qrup Rəhbəri"/>
    <s v="Emin Niyazov"/>
    <d v="2024-09-05T00:00:00"/>
  </r>
  <r>
    <s v="Maternity"/>
    <s v="IDM-684"/>
    <s v="Khadija Abbasova, Samad"/>
    <s v="Abbasova Xədicə Səməd qızı"/>
    <s v="Customer excellence department"/>
    <x v="4"/>
    <s v="Telesales division"/>
    <s v="Telesatış şöbəsi"/>
    <s v="Junior Telesales Specialist"/>
    <s v="Telesatış üzrə Kiçik Mütəxəssis"/>
    <s v="Məmmədli Elgiz Əziz oğlu"/>
    <d v="2024-09-12T00:00:00"/>
  </r>
  <r>
    <s v="Active"/>
    <s v="IDM-688"/>
    <s v="Orkhan Majidov, Makhsud "/>
    <s v="Məcidov Orxan Maxsud oğlu"/>
    <s v="Customer excellence department"/>
    <x v="4"/>
    <s v="Customer care division"/>
    <s v="Müştəri xidmətləri şöbəsi"/>
    <s v="Customer Care Team Leader"/>
    <s v="Müştəri Əlaqələri üzrə Qrup Rəhbəri"/>
    <s v="Əmirov Savalan İsrəfil oğlu"/>
    <d v="2024-09-16T00:00:00"/>
  </r>
  <r>
    <s v="Active"/>
    <s v="IDM-692"/>
    <s v="Ilsaf Nabiullin "/>
    <s v="İlsaf Nabiullin"/>
    <s v="none structure"/>
    <x v="5"/>
    <s v="none structure"/>
    <s v="none structure"/>
    <s v="Application Security Engineer"/>
    <s v="Tətbiq təhlükəsizliyi üzrə mühəndis"/>
    <s v="Sabuhi Huseynov, Murad Rzazade"/>
    <d v="2024-09-18T00:00:00"/>
  </r>
  <r>
    <s v="Active"/>
    <s v="IDM-693"/>
    <s v="Nagi Mehdiyev, Zakir"/>
    <s v="Mehdiyev Nağı Zakir oğlu"/>
    <s v="Security department"/>
    <x v="6"/>
    <s v="-"/>
    <s v="-"/>
    <s v="Specialist"/>
    <s v="Mütəxəssis"/>
    <s v="Məmmədov Kənan Eldar oğlu"/>
    <d v="2024-09-19T00:00:00"/>
  </r>
  <r>
    <s v="Active"/>
    <s v="IDM-694"/>
    <s v="Bahman Aghazada, Zeynal "/>
    <s v="Ağazadə Bəhmən Zeynal oğli"/>
    <s v="Customer excellence department"/>
    <x v="4"/>
    <s v="Customer complaints division"/>
    <s v="Müştəri şikayətləri şöbəsi"/>
    <s v="Customer Complaints Manager"/>
    <s v="Müştəri Şikayətləri üzrə Menecer"/>
    <s v="Tağıyeva Əntiqə Tahir qızı"/>
    <d v="2024-09-19T00:00:00"/>
  </r>
  <r>
    <s v="Active"/>
    <s v="IDM-699"/>
    <s v="Jahad Hasanzada, Jeyhun "/>
    <s v="Həsənzadə Cahad Ceyhun oğlu"/>
    <s v="Encashment division"/>
    <x v="1"/>
    <s v="Encashment division"/>
    <s v="İnkassasiya Şöbəsi"/>
    <s v="Cash Collector"/>
    <s v="Kassir inkassator"/>
    <s v="Abbasova Nurlana Ramiz qızı"/>
    <d v="2024-09-23T00:00:00"/>
  </r>
  <r>
    <s v="Active"/>
    <s v="IDM-696"/>
    <s v="Yusif Shirinov, Eyvaz "/>
    <s v="Şirinov Yusif Eyvaz oğlu"/>
    <s v="Terminal and ATM department"/>
    <x v="0"/>
    <s v="Terminal and ATM distibution division"/>
    <s v="Terminal və ATM-lərin yerləşdirilməsi"/>
    <s v="Leading Specialist"/>
    <s v="Aparıcı mütəxəssis"/>
    <s v="Ramazanov Rəşad Cəfər oğlu"/>
    <d v="2024-09-23T00:00:00"/>
  </r>
  <r>
    <s v="Active"/>
    <s v="IDM-698"/>
    <s v="Rza Ismayilzada, Ilgar "/>
    <s v="İsmayılzadə Rza İlqar oğlu"/>
    <s v=" Terminal business support department"/>
    <x v="2"/>
    <s v="Terminal maintenance division"/>
    <s v="Texniki təmir şöbəsi"/>
    <s v="Technician Specialist"/>
    <s v="Texniki İşlər üzrə Mütəxəssis"/>
    <s v="Nəbiyev Namiq Şahbəddin oğlu"/>
    <d v="2024-09-23T00:00:00"/>
  </r>
  <r>
    <s v="Active"/>
    <s v="IDM-697"/>
    <s v="Elmira Adigozalli, Ilgar "/>
    <s v="Adıgözəlli Elmira İlqar qızı"/>
    <s v="Settlements department"/>
    <x v="7"/>
    <s v="Operations division"/>
    <s v="Əməliyyatlar "/>
    <s v="Settlements Specialist"/>
    <s v="Hesablaşmalar üzrə Mütəxəssis"/>
    <s v="Hüseynova Nərmin Hətəm qızı"/>
    <d v="2024-09-23T00:00:00"/>
  </r>
  <r>
    <s v="Active"/>
    <s v="IDM-695"/>
    <s v="Savalan Amirov, Israfil "/>
    <s v="Əmirov Savalan İsrəfil oğlu"/>
    <s v="Customer excellence department"/>
    <x v="4"/>
    <s v="-"/>
    <s v="-"/>
    <s v="Customer Care Manager"/>
    <s v="Müştəri Xidmətləri üzrə Menecer"/>
    <s v="Tağıyeva Əntiqə Tahir qızı"/>
    <d v="2024-09-23T00:00:00"/>
  </r>
  <r>
    <s v="Active"/>
    <s v="IDM-701"/>
    <s v="Rashad Aliyev, Farman "/>
    <s v="Əliyev Rəşad Fərman oğlu"/>
    <s v="Accounting department"/>
    <x v="13"/>
    <s v="Payroll division"/>
    <s v="Əmək haqqı hesablanması şöbəsi"/>
    <s v="Leading Payroll Specialist"/>
    <s v="Əmək Haqqı Hesablaması üzrə Aparıcı Mütəxəssis"/>
    <s v="Məmmədova Humay Arif qızı"/>
    <d v="2024-09-30T00:00:00"/>
  </r>
  <r>
    <s v="Active"/>
    <s v="IDM-711"/>
    <s v="Mehdi Ibrahimov, Rauf "/>
    <s v="İbrahimov Mehdi Rauf oğlu"/>
    <s v="IT Division"/>
    <x v="9"/>
    <s v="IT Division"/>
    <s v="İT şöbəsi"/>
    <s v="Leading IT Specialist"/>
    <s v="İT üzrə Aparıcı Mütəxəssis"/>
    <s v="Amina Aliyeva"/>
    <d v="2024-10-03T00:00:00"/>
  </r>
  <r>
    <s v="Active"/>
    <s v="IDM-718"/>
    <s v="Nihad Bayramov, Namig"/>
    <s v="Bayramov Nihad Namiq oğlu"/>
    <s v="Encashment division"/>
    <x v="1"/>
    <s v="Encashment division"/>
    <s v="İnkassasiya Şöbəsi"/>
    <s v="Cash Collector"/>
    <s v="Kassir inkassator"/>
    <s v="Abbasova Nurlana Ramiz qızı"/>
    <d v="2024-10-07T00:00:00"/>
  </r>
  <r>
    <s v="Active"/>
    <s v="IDM-715"/>
    <s v="Gullu Albandova, Ali"/>
    <s v="Əlbəndova Güllü Əli qızı"/>
    <s v="Customer excellence department"/>
    <x v="4"/>
    <s v="Customer care division"/>
    <s v="Müştəri xidmətləri şöbəsi"/>
    <s v="Leading Customer Relations Specialist"/>
    <s v="Müştəri Əlaqələri üzrə Aparıcı Mütəxəssis"/>
    <s v="Əmirov Savalan İsrəfil oğlu"/>
    <d v="2024-10-07T00:00:00"/>
  </r>
  <r>
    <s v="Active"/>
    <s v="IDM-717"/>
    <s v="Babek Hamidov, Alikram"/>
    <s v="Həmidov Babək Əlikram oğlu"/>
    <s v=" Terminal business support department"/>
    <x v="2"/>
    <s v="Terminal business support division"/>
    <s v="Terminal biznesinə dəstək şöbəsi"/>
    <s v="Leading Specialist"/>
    <s v="Aparıcı mütəxəssis"/>
    <s v="Fərzəliyev Zaur Tofiq oğlu"/>
    <d v="2024-10-07T00:00:00"/>
  </r>
  <r>
    <s v="Active"/>
    <s v="IDM-721"/>
    <s v="Tabriz Ahmadov, Mutallim "/>
    <s v="Əhmədov Təbriz Mütəllim oğlu"/>
    <s v="Encashment division"/>
    <x v="1"/>
    <s v="Encashment division"/>
    <s v="İnkassasiya Şöbəsi"/>
    <s v="Driver Incasator"/>
    <s v="Sürücü inkassator"/>
    <s v="Abbasova Nurlana Ramiz qızı"/>
    <d v="2024-10-08T00:00:00"/>
  </r>
  <r>
    <s v="Active"/>
    <s v="IDM-724"/>
    <s v="Kanan Nushravanov Asif "/>
    <s v="Nüşravanov Kənan Asif oğlu"/>
    <s v=" Terminal business support department"/>
    <x v="2"/>
    <s v="Terminal technical support division"/>
    <s v="Terminallara texniki dəstək şöbəsi "/>
    <s v="Leading Technician"/>
    <s v="Aparıcı Texnik"/>
    <s v="Əlizadə Nicat Əşrəf oğlu"/>
    <d v="2024-10-14T00:00:00"/>
  </r>
  <r>
    <s v="Active"/>
    <s v="IDM-729"/>
    <s v="Safaraliyev Rasul, Devran"/>
    <s v="Səfərəliyev Rəsul Devran oğlu"/>
    <s v=" Terminal business support department"/>
    <x v="2"/>
    <s v="Terminal technical support division"/>
    <s v="Terminallara texniki dəstək şöbəsi "/>
    <s v="Reporting Specialist"/>
    <s v="Hesabatlıq üzrə Mütəxəssis"/>
    <s v="Əlizadə Nicat Əşrəf oğlu"/>
    <d v="2024-10-24T00:00:00"/>
  </r>
  <r>
    <s v="Active"/>
    <s v="IDM-728"/>
    <s v="Sabina Hajiyeva, Muzaffar"/>
    <s v="Hacıyeva Səbinə Müzəffər qızı"/>
    <s v="Talent management department"/>
    <x v="17"/>
    <s v="Talent acquisition &amp; Business Partnership division"/>
    <s v="İstedadların cəlbi və biznes partnyorluq şöbəsi"/>
    <s v="Specialist"/>
    <s v="Mütəxəssis"/>
    <s v="Hüseynova Səidə Əsədulla qızı"/>
    <d v="2024-10-24T00:00:00"/>
  </r>
  <r>
    <s v="Active"/>
    <s v="IDM-731"/>
    <s v="Shams Shiraliyeva,Asgar "/>
    <s v="Şirəliyeva Şəms Əsgər qızı"/>
    <s v="Legal division"/>
    <x v="16"/>
    <s v="Legal division"/>
    <s v="Hüquq Şöbəsi"/>
    <s v="Specialist at Litigation and Government Relations Division"/>
    <s v="Məhkəmə və Dövlət Orqanları ilə İş Şöbəsinin Mütəxəssisi"/>
    <s v="Nəsirulla Farid Elşən oğlu"/>
    <d v="2024-10-28T00:00:00"/>
  </r>
  <r>
    <s v="Active"/>
    <s v="IDM-732"/>
    <s v="Amina Malikova, Nadir "/>
    <s v="Məlilkova Əminə Nadir qızı"/>
    <s v="none structure"/>
    <x v="5"/>
    <s v="none structure"/>
    <s v="none structure"/>
    <s v="Accountant"/>
    <s v="Mühasib"/>
    <s v="Piriyev Abdulla Vaqif oğlu"/>
    <d v="2024-10-28T00:00:00"/>
  </r>
  <r>
    <s v="Active"/>
    <s v="IDM-734"/>
    <s v="Mahammad Zeynalov,Yaver "/>
    <s v="Zeynalov Məhəmməd Yavər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24-11-04T00:00:00"/>
  </r>
  <r>
    <s v="Active"/>
    <s v="IDM-735"/>
    <s v="Punhan Tanriverdiyev, Rizvan"/>
    <s v="Tanrıverdiyev Pünhan Rizvan oğlu"/>
    <s v="Encashment division"/>
    <x v="1"/>
    <s v="Encashment division"/>
    <s v="İnkassasiya Şöbəsi"/>
    <s v="Cash Collector"/>
    <s v="Kassir inkassator"/>
    <s v="Abbasova Nurlana Ramiz qızı"/>
    <d v="2024-11-04T00:00:00"/>
  </r>
  <r>
    <s v="Active"/>
    <s v="IDM-737"/>
    <s v="Azade Huseynli, Azad"/>
    <s v="Hüseynli Azadə Azad qızı"/>
    <s v="Terminal and ATM department"/>
    <x v="0"/>
    <s v="Million partners division"/>
    <s v="Milliön partnyorları şöbəsi  "/>
    <s v="Senior Specialist "/>
    <s v="Baş mütəxəssis"/>
    <s v="Zeynalova İlahə Əflatun qızı"/>
    <d v="2024-11-05T00:00:00"/>
  </r>
  <r>
    <s v="Active"/>
    <s v="IDM-738"/>
    <s v="Kamil Aghayev Fakhrad "/>
    <s v="Ağayev Kamil Faxrad oğlu"/>
    <s v="Encashment division"/>
    <x v="1"/>
    <s v="Encashment division"/>
    <s v="İnkassasiya Şöbəsi"/>
    <s v="Cash Collector"/>
    <s v="Kassir inkassator"/>
    <s v="Abbasova Nurlana Ramiz qızı"/>
    <d v="2024-11-05T00:00:00"/>
  </r>
  <r>
    <s v="Active"/>
    <s v="IDM-739"/>
    <s v="Kanan Imanov, Shakir "/>
    <s v="İmanov Kənan Şakir oğlu"/>
    <s v="Encashment division"/>
    <x v="1"/>
    <s v="Encashment division"/>
    <s v="İnkassasiya Şöbəsi"/>
    <s v="Cash Collector"/>
    <s v="Kassir inkassator"/>
    <s v="Abbasova Nurlana Ramiz qızı"/>
    <d v="2024-11-06T00:00:00"/>
  </r>
  <r>
    <s v="Active"/>
    <s v="IDM-749"/>
    <s v="Ayhan Huseynov, Uzeyir "/>
    <s v="Hüseynov Ayhan Üzeyir oğlu"/>
    <s v=" Terminal business support department"/>
    <x v="2"/>
    <s v="Terminal technical support division"/>
    <s v="Terminallara texniki dəstək şöbəsi "/>
    <s v="Technical worker"/>
    <s v="Texniki işçi"/>
    <s v="Əlizadə Nicat Əşrəf oğlu"/>
    <d v="2024-11-25T00:00:00"/>
  </r>
  <r>
    <s v="Active"/>
    <s v="IDM-747"/>
    <s v="Sanan Jafarli, Sakhavat "/>
    <s v="Cəfərli Sənan Səxavət oğlu"/>
    <s v="Customer excellence department"/>
    <x v="4"/>
    <s v="Telesales division"/>
    <s v="Telesatış şöbəsi"/>
    <s v="Junior Telesales Specialist"/>
    <s v="Telesatış üzrə Kiçik Mütəxəssis"/>
    <s v="Məmmədli Elgiz Əziz oğlu"/>
    <d v="2024-11-25T00:00:00"/>
  </r>
  <r>
    <s v="Active"/>
    <s v="IDM-751"/>
    <s v="Rza Majidov, Namig "/>
    <s v="Məcidov Rza Namiq oğlu"/>
    <s v="Encashment division"/>
    <x v="1"/>
    <s v="Encashment division"/>
    <s v="İnkassasiya Şöbəsi"/>
    <s v="Cash Collector"/>
    <s v="Kassir inkassator"/>
    <s v="Abbasova Nurlana Ramiz qızı"/>
    <d v="2024-11-26T00:00:00"/>
  </r>
  <r>
    <s v="Active"/>
    <s v="IDM-753"/>
    <s v="Aysun Suleymanova, Shakir "/>
    <s v="Süleymanova Aysun Şakir qızı"/>
    <s v="Customer excellence department"/>
    <x v="4"/>
    <s v="Customer care division"/>
    <s v="Müştəri xidmətləri şöbəsi"/>
    <s v="Junior Specialist"/>
    <s v="Kiçik mütəxəssis"/>
    <s v="Əmirov Savalan İsrəfil oğlu"/>
    <d v="2024-12-02T00:00:00"/>
  </r>
  <r>
    <s v="Active"/>
    <s v="IDM-755"/>
    <s v="Fidan Karimova, Rovshan "/>
    <s v="Kərimova Fidan Rövşən qızı"/>
    <s v="Customer excellence department"/>
    <x v="4"/>
    <s v="Customer care division"/>
    <s v="Müştəri xidmətləri şöbəsi"/>
    <s v="Customer Relations Specialist"/>
    <s v="Müştəri Əlaqələri üzrə Mütəxəssis"/>
    <s v="Əmirov Savalan İsrəfil oğlu"/>
    <d v="2024-12-02T00:00:00"/>
  </r>
  <r>
    <s v="Active"/>
    <s v="IDM-756"/>
    <s v="Nargiz Tagizade (Abdulova), Maarif "/>
    <s v="Tağızadə (Abdulova) Nərgiz Maarif qızı"/>
    <s v="Customer excellence department"/>
    <x v="4"/>
    <s v="Customer care division"/>
    <s v="Müştəri xidmətləri şöbəsi"/>
    <s v="Customer Relations Specialist"/>
    <s v="Müştəri Əlaqələri üzrə Mütəxəssis"/>
    <s v="Əmirov Savalan İsrəfil oğlu"/>
    <d v="2024-12-02T00:00:00"/>
  </r>
  <r>
    <s v="Active"/>
    <s v="IDM-760"/>
    <s v="Elvin Binnatov, Nofəl "/>
    <s v="Binnətov Elvin Nofəl oğlu"/>
    <s v=" Terminal business support department"/>
    <x v="2"/>
    <s v="Terminal technical support division"/>
    <s v="Terminallara texniki dəstək şöbəsi "/>
    <s v="Technical worker"/>
    <s v="Texniki işçi"/>
    <s v="Əlizadə Nicat Əşrəf oğlu"/>
    <d v="2024-12-09T00:00:00"/>
  </r>
  <r>
    <s v="Active"/>
    <s v="IDM-759"/>
    <s v="Murad Abdullayev, Zahir "/>
    <s v="Abdullayev Murad Zahir oğlu"/>
    <s v="Financial management department"/>
    <x v="3"/>
    <s v="Financial reporting &amp; analysis division"/>
    <s v="Maliyyə hesabatlılığı və təhlil şöbəsi"/>
    <s v="Reporting and Financial Analyst Team Lead"/>
    <s v="Hesabatlıq və Maliyyə təhlili üzrə Qrup Rəhbəri"/>
    <s v="Ağayev Mirşahin Mircəfər oğlu"/>
    <d v="2024-12-09T00:00:00"/>
  </r>
  <r>
    <s v="Active"/>
    <s v="IDM-767"/>
    <s v="Rashad Umudov, Nizami"/>
    <s v="Umudov Rəşad Nizami oğlu"/>
    <s v="Encashment division"/>
    <x v="1"/>
    <s v="Encashment division"/>
    <s v="İnkassasiya Şöbəsi"/>
    <s v="Cash Collector"/>
    <s v="Kassir inkassator"/>
    <s v="Abbasova Nurlana Ramiz qızı"/>
    <d v="2024-12-19T00:00:00"/>
  </r>
  <r>
    <s v="Active"/>
    <s v="IDM-770"/>
    <s v="Maryam Asadova, Asad "/>
    <s v="Əsədova Məryəm Əsəd qızı"/>
    <s v="Customer excellence department"/>
    <x v="4"/>
    <s v="Customer care division"/>
    <s v="Müştəri xidmətləri şöbəsi"/>
    <s v="Customer Care Team Leader"/>
    <s v="Müştəri Əlaqələri üzrə Qrup Rəhbəri"/>
    <s v="Əmirov Savalan İsrəfil oğlu"/>
    <d v="2024-12-23T00:00:00"/>
  </r>
  <r>
    <s v="Active"/>
    <s v="IDM-769"/>
    <s v="Agshin Ahmadov, Ganimat"/>
    <s v="Əhmədov Aqşin Qənimət oğlu"/>
    <s v="Internal control division"/>
    <x v="14"/>
    <s v="Internal control division"/>
    <s v="Daxili nəzarət şöbəsi"/>
    <s v="Senior Internal Control Specialist"/>
    <s v="Daxili Nəzarət üzrə Baş Mütəxəssis"/>
    <s v="Birbaşa rəhbəri yoxdur"/>
    <d v="2024-12-23T00:00:00"/>
  </r>
  <r>
    <s v="Active"/>
    <s v="IDM-772"/>
    <s v="Ulvi Alakbarli, Arif"/>
    <s v="Ələkbərli Ülvi Arif oğlu"/>
    <s v="Encashment division"/>
    <x v="1"/>
    <s v="Encashment division"/>
    <s v="İnkassasiya Şöbəsi"/>
    <s v="Cash Collector"/>
    <s v="Kassir inkassator"/>
    <s v="Abbasova Nurlana Ramiz qızı"/>
    <d v="2024-12-26T00:00:00"/>
  </r>
  <r>
    <s v="Active"/>
    <s v="IDM-778"/>
    <s v="Yegana Bayramova, Gafur "/>
    <s v="Bayramova Yeganə Qafur qızı"/>
    <s v="Customer excellence department"/>
    <x v="4"/>
    <s v="Customer care division"/>
    <s v="Müştəri xidmətləri şöbəsi"/>
    <s v="Junior Customer Relations Specialist"/>
    <s v="Müştəri Əlaqələri üzrə Kiçik Mütəxəssis"/>
    <s v="Əmirov Savalan İsrəfil oğlu"/>
    <d v="2025-01-06T00:00:00"/>
  </r>
  <r>
    <s v="Active"/>
    <s v="IDM-784"/>
    <s v="Kamran Dashdamirov, Zahid "/>
    <s v="Daşdəmirov Kamran Zahid oğlu"/>
    <s v="Customer excellence department"/>
    <x v="4"/>
    <s v="Telesales division"/>
    <s v="Telesatış şöbəsi"/>
    <s v="Telesales Specialist"/>
    <s v="Telesatış üzrə Mütəxəssis"/>
    <s v="Məmmədli Elgiz Əziz oğlu"/>
    <d v="2025-01-06T00:00:00"/>
  </r>
  <r>
    <s v="Active"/>
    <s v="IDM-785"/>
    <s v="Narmin Ismayilova, Afgan"/>
    <s v="İsmayılova Nərmin Əfqan qızı"/>
    <s v="none structure"/>
    <x v="5"/>
    <s v="none structure"/>
    <s v="none structure"/>
    <s v="Junior Accountant "/>
    <s v="Kiçik Mühasib"/>
    <s v="Piriyev Abdulla Vaqif oğlu"/>
    <d v="2025-01-09T00:00:00"/>
  </r>
  <r>
    <s v="Active"/>
    <s v="IDM-787"/>
    <s v="Tarlan Ahmadkhanov, Rahimbay "/>
    <s v="Əhmədxanov Tərlan Rəhimbəy oğlu"/>
    <s v="Cross-border and sales tribe"/>
    <x v="12"/>
    <s v="Cross-border and sales tribe"/>
    <s v="Kross-sərhəd və satış sahəsi"/>
    <s v="Middle Back-end Developer "/>
    <s v="Back-End üzrə Middle Developer"/>
    <s v="Ilqar Mammadov, Emin Niyazov"/>
    <d v="2025-01-16T00:00:00"/>
  </r>
  <r>
    <s v="Active"/>
    <s v="IDM-790"/>
    <s v="Fuad Rahimov, Rahim"/>
    <s v="Rəhimov Fuad Rəhim oğlu"/>
    <s v="Encashment division"/>
    <x v="1"/>
    <s v="Encashment division"/>
    <s v="İnkassasiya Şöbəsi"/>
    <s v="Driver Incasator"/>
    <s v="Sürücü inkassator"/>
    <s v="Abbasova Nurlana Ramiz qızı"/>
    <d v="2025-01-21T00:00:00"/>
  </r>
  <r>
    <s v="Active"/>
    <s v="IDM-791"/>
    <s v="Shahin Mirzayev, Shakir"/>
    <s v="Mirzəyev Şahin Şakir oğlu"/>
    <s v="Customer excellence department"/>
    <x v="4"/>
    <s v="Telesales division"/>
    <s v="Telesatış şöbəsi"/>
    <s v="Telesales Specialist"/>
    <s v="Telesatış üzrə Mütəxəssis"/>
    <s v="Məmmədli Elgiz Əziz oğlu"/>
    <d v="2025-01-23T00:00:00"/>
  </r>
  <r>
    <s v="Active"/>
    <s v="IDM-793"/>
    <s v="Ruslan Mammadov, Israil"/>
    <s v="Məmmədov Ruslan İsrail oğlu"/>
    <s v="Encashment division"/>
    <x v="1"/>
    <s v="Encashment division"/>
    <s v="İnkassasiya Şöbəsi"/>
    <s v="Cash Collector"/>
    <s v="Kassir inkassator"/>
    <s v="Abbasova Nurlana Ramiz qızı"/>
    <d v="2025-01-24T00:00:00"/>
  </r>
  <r>
    <s v="Active"/>
    <s v="IDM-794"/>
    <s v="Asif Ahmadov, Shair"/>
    <s v="Əhmədov Asif Şair oğlu"/>
    <s v=" Terminal business support department"/>
    <x v="2"/>
    <s v="Terminal business support division"/>
    <s v="Terminal biznesinə dəstək şöbəsi"/>
    <s v="Labourer"/>
    <s v="Fəhlə"/>
    <s v="Fərzəliyev Zaur Tofiq oğlu"/>
    <d v="2025-01-28T00:00:00"/>
  </r>
  <r>
    <s v="Active"/>
    <s v="IDM-797"/>
    <s v="Huseynaga Umudov, Ilgar"/>
    <s v="Umudov Hüseynağa İlqar oğlu"/>
    <s v="Encashment division"/>
    <x v="1"/>
    <s v="Encashment division"/>
    <s v="İnkassasiya Şöbəsi"/>
    <s v="Cash Collector"/>
    <s v="Kassir inkassator"/>
    <s v="Abbasova Nurlana Ramiz qızı"/>
    <d v="2025-02-03T00:00:00"/>
  </r>
  <r>
    <s v="Active"/>
    <s v="IDM-796"/>
    <s v="Ravan Mammadzade, Rovshan"/>
    <s v="Məmmədzadə Rəvan Rövşən oğlu"/>
    <s v="Encashment division"/>
    <x v="1"/>
    <s v="Encashment division"/>
    <s v="İnkassasiya Şöbəsi"/>
    <s v="Cash Collector"/>
    <s v="Kassir inkassator"/>
    <s v="Abbasova Nurlana Ramiz qızı"/>
    <d v="2025-02-03T00:00:00"/>
  </r>
  <r>
    <s v="Active"/>
    <s v="IDM-798"/>
    <s v="Xalig Nazaraliyev, Rizvan"/>
    <s v="Nəzərəliyev Xaliq Rizvan oğlu"/>
    <s v=" Terminal business support department"/>
    <x v="2"/>
    <s v="Terminal business support division"/>
    <s v="Terminal biznesinə dəstək şöbəsi"/>
    <s v="Labourer"/>
    <s v="Fəhlə"/>
    <s v="Fərzəliyev Zaur Tofiq oğlu"/>
    <d v="2025-02-03T00:00:00"/>
  </r>
  <r>
    <s v="Active"/>
    <s v="IDM-799"/>
    <s v="Naila Agarahimova, Ilyasovna"/>
    <s v="Ağarəhimova Nailə İlyasovna"/>
    <s v="Settlements department"/>
    <x v="7"/>
    <s v="Operations division"/>
    <s v="Əməliyyatlar "/>
    <s v="Settlements Specialist"/>
    <s v="Hesablaşmalar üzrə mütəxəssis"/>
    <s v="Hüseynova Nərmin Hətəm qızı"/>
    <d v="2025-02-06T00:00:00"/>
  </r>
  <r>
    <s v="Maternity"/>
    <s v="IDM-802"/>
    <s v="Laman Hamidli, Elkhan "/>
    <s v="Həmidli Ləman Elxan qızı"/>
    <s v="Customer excellence department"/>
    <x v="4"/>
    <s v="Customer care division"/>
    <s v="Müştəri xidmətləri şöbəsi"/>
    <s v="Junior Specialist"/>
    <s v="Kiçik mütəxəssis"/>
    <s v="Əmirov Savalan İsrəfil oğlu"/>
    <d v="2025-02-10T00:00:00"/>
  </r>
  <r>
    <s v="Active"/>
    <s v="IDM-803"/>
    <s v="Hamishakhanim Mammadova, Eldaniz "/>
    <s v="Məmmədova Həmişəxanım Eldəniz qızı"/>
    <s v="Customer excellence department"/>
    <x v="4"/>
    <s v="Customer care division"/>
    <s v="Müştəri xidmətləri şöbəsi"/>
    <s v="Customer Relations Specialist"/>
    <s v="Müştəri Əlaqələri üzrə Mütəxəssis"/>
    <s v="Əmirov Savalan İsrəfil oğlu"/>
    <d v="2025-02-10T00:00:00"/>
  </r>
  <r>
    <s v="Active"/>
    <s v="IDM-804"/>
    <s v="Hasanova Aygun, Vugar "/>
    <s v="Həsənova Aygün Vüqar qızı"/>
    <s v="Customer excellence department"/>
    <x v="4"/>
    <s v="Customer care division"/>
    <s v="Müştəri xidmətləri şöbəsi"/>
    <s v="Junior Customer Relations Specialist"/>
    <s v="Müştəri Əlaqələri üzrə Kiçik Mütəxəssis"/>
    <s v="Əmirov Savalan İsrəfil oğlu"/>
    <d v="2025-02-10T00:00:00"/>
  </r>
  <r>
    <s v="Active"/>
    <s v="IDM-806"/>
    <s v="Emiliya Aslanova, Ruslan "/>
    <s v="Aslanova Emiliya Ruslan qızı"/>
    <s v="Customer excellence department"/>
    <x v="4"/>
    <s v="Customer care division"/>
    <s v="Müştəri xidmətləri şöbəsi"/>
    <s v="Junior Specialist"/>
    <s v="Kiçik mütəxəssis"/>
    <s v="Əmirov Savalan İsrəfil oğlu"/>
    <d v="2025-02-10T00:00:00"/>
  </r>
  <r>
    <s v="Active"/>
    <s v="IDM-808"/>
    <s v="Simuzar Mammadova, Elman"/>
    <s v="Məmmədova Simuzər Elman qızı"/>
    <s v="Customer excellence department"/>
    <x v="4"/>
    <s v="Customer care division"/>
    <s v="Müştəri xidmətləri şöbəsi"/>
    <s v="Customer Relations Specialist"/>
    <s v="Müştəri Əlaqələri üzrə Mütəxəssis"/>
    <s v="Əmirov Savalan İsrəfil oğlu"/>
    <d v="2025-02-10T00:00:00"/>
  </r>
  <r>
    <s v="Active"/>
    <s v="IDM-821"/>
    <s v="Ruhangiz Allahverdiyeva, Adalat"/>
    <s v="Allahverdiyeva Ruhəngiz Ədalət qızı"/>
    <s v="none structure"/>
    <x v="5"/>
    <s v="none structure"/>
    <s v="none structure"/>
    <s v="Leading Procurement Specialist"/>
    <s v="Satınalma üzrə Aparıcı Mütəxəssis"/>
    <s v="KB-yə keçidlə bağlı rəsmiləşmədədirlər, Procurement mərkəzləşir. "/>
    <d v="2025-03-03T00:00:00"/>
  </r>
  <r>
    <s v="Active"/>
    <s v="IDM-819"/>
    <s v="Nuru Hasanov, Nazim "/>
    <s v="Həsənov Nuru Nazim oğlu"/>
    <s v="Customer excellence department"/>
    <x v="4"/>
    <s v="Customer care division"/>
    <s v="Müştəri xidmətləri şöbəsi"/>
    <s v="Junior Customer care specialist"/>
    <s v="Müştəri Əlaqələri üzrə Kiçik Mütəxəssis"/>
    <s v="Əmirov Savalan İsrəfil oğlu"/>
    <d v="2025-03-04T00:00:00"/>
  </r>
  <r>
    <s v="Active"/>
    <s v="IDM-826"/>
    <s v="Mikail Huseynov, Vagif"/>
    <s v="Hüseynov Mikayıl Vaqif oğlu"/>
    <s v=" Terminal business support department"/>
    <x v="2"/>
    <s v="Encashment processes and cash centers monitoring division"/>
    <s v="İnkassasiya prosesi və kassa mərkəzlərinin monitorinqi şöbəsi"/>
    <s v="Security Specialist"/>
    <s v="Təhlükəsizlik üzrə Mütəxəssis"/>
    <s v="Ramaldanov Şıxbala Şair oğlu"/>
    <d v="2025-03-10T00:00:00"/>
  </r>
  <r>
    <s v="Active"/>
    <s v="IDM-827"/>
    <s v="Nail Kuzahmadov, Adilyevic"/>
    <s v="Kuzahmədov Nail Adilyeviç"/>
    <s v=" Terminal business support department"/>
    <x v="2"/>
    <s v="Encashment processes support division"/>
    <s v="İnkassasiya proseslərinə dəstək şöbəsi "/>
    <s v="Driver"/>
    <s v="Sürücü"/>
    <s v="Rüstəmzadə İlqar Vilayət oğlu"/>
    <d v="2025-03-10T00:00:00"/>
  </r>
  <r>
    <s v="Active"/>
    <s v="IDM-830"/>
    <s v="Nazrin Mammadli, Murad "/>
    <s v="Məmmədli Nəzrin Murad qızı"/>
    <s v="Products division"/>
    <x v="11"/>
    <s v="Products division"/>
    <s v="Məhsullar Şöbəsi"/>
    <s v="Junior Product Marketing Specialist"/>
    <s v="Məhsul Marketinqi üzrə kiçik mütəxəssis"/>
    <s v="Kamran Babashov, Pavel Kasatkin"/>
    <d v="2025-03-17T00:00:00"/>
  </r>
  <r>
    <s v="Active"/>
    <s v="IDM-829"/>
    <s v="Javidan Amiraliyev, Avaz "/>
    <s v="Əmirəliyev Cavidan Əvəz oğlu"/>
    <s v="IT Division"/>
    <x v="9"/>
    <s v="IT Division"/>
    <s v="İT şöbəsi"/>
    <s v="Leading Jira Engineer"/>
    <s v="Jira üzrə Aparıcı Mühəndis"/>
    <s v="?"/>
    <d v="2025-03-17T00:00:00"/>
  </r>
  <r>
    <s v="Active"/>
    <s v="IDM-835"/>
    <s v="Parviz Raziyev, Dunyamalı "/>
    <s v="Raziyev Pərviz Dünyamalı oğlu"/>
    <s v="Terminal and ATM department"/>
    <x v="0"/>
    <s v="Sales support division"/>
    <s v="Satışa dəstək"/>
    <s v="Terminal Monitoring Specialist"/>
    <s v="Terminalların Monitorinqi üzrə Mütəxəssis"/>
    <s v="Camalzadə Fuad Sabir oğlu"/>
    <d v="2025-04-03T00:00:00"/>
  </r>
  <r>
    <s v="Active"/>
    <s v="IDM-833"/>
    <s v="Aysu Huseinzada, Shafai"/>
    <s v="Hüseynzadə Aysu Şəfai qızı"/>
    <s v="Customer excellence department"/>
    <x v="4"/>
    <s v="Telesales division"/>
    <s v="Telesatış şöbəsi"/>
    <s v="Telesales Specialist"/>
    <s v="Telesatış üzrə Mütəxəssis"/>
    <s v="Məmmədli Elgiz Əziz oğlu"/>
    <d v="2025-04-03T00:00:00"/>
  </r>
  <r>
    <s v="Active"/>
    <s v="IDM-834"/>
    <s v="Tarlana Budagova, Jamaladdin "/>
    <s v="Budaqova Tərlanə Camaləddin qızı"/>
    <s v="none structure"/>
    <x v="5"/>
    <s v="none structure"/>
    <s v="none structure"/>
    <s v="Junior General Division Specialist"/>
    <s v="Ümumi Şöbə üzrə Kiçik Mütəxəssis"/>
    <s v="KB-yə keçməlidirlər Korporativ Katibliyə, funksiyaları mərkəzləşir. "/>
    <d v="2025-04-03T00:00:00"/>
  </r>
  <r>
    <s v="Active"/>
    <s v="IDM-847"/>
    <s v="Ulvi Nasirov, Vahid"/>
    <s v="Nəsirov Ülvi Vahid oğlu"/>
    <s v="Cross-border and sales tribe"/>
    <x v="12"/>
    <s v="Cross-border and sales tribe"/>
    <s v="Kross-sərhəd və satış sahəsi"/>
    <s v="Senior Treasury Specialist "/>
    <s v="Xəzinədarlıq üzrə Baş Mütəxəssis"/>
    <s v="Cavid Mansimov"/>
    <d v="2025-04-07T00:00:00"/>
  </r>
  <r>
    <s v="Active"/>
    <s v="IDM-836"/>
    <s v="Yusif Alimatov, Nazimovich "/>
    <s v="Əlimətov Yusif Nazimoviç"/>
    <s v="Customer excellence department"/>
    <x v="4"/>
    <s v="Customer care division"/>
    <s v="Müştəri xidmətləri şöbəsi"/>
    <s v="Junior Specialist"/>
    <s v="Kiçik mütəxəssis"/>
    <s v="Əmirov Savalan İsrəfil oğlu"/>
    <d v="2025-04-07T00:00:00"/>
  </r>
  <r>
    <s v="Active"/>
    <s v="IDM-837"/>
    <s v="Ruslan Guliyev, Samad "/>
    <s v="Quliyev Ruslan Səməd oğlu"/>
    <s v="Customer excellence department"/>
    <x v="4"/>
    <s v="Customer care division"/>
    <s v="Müştəri xidmətləri şöbəsi"/>
    <s v="Junior Specialist"/>
    <s v="Kiçik mütəxəssis"/>
    <s v="Əmirov Savalan İsrəfil oğlu"/>
    <d v="2025-04-07T00:00:00"/>
  </r>
  <r>
    <s v="Active"/>
    <s v="IDM-839"/>
    <s v="Aliya Ismayilzada, Rovshan "/>
    <s v="İsmayılzadə Aliyə Rövşən qızı"/>
    <s v="Customer excellence department"/>
    <x v="4"/>
    <s v="Customer care division"/>
    <s v="Müştəri xidmətləri şöbəsi"/>
    <s v="Junior Customer Relations Specialist"/>
    <s v="Müştəri əlaqələri üzrə kiçik mütəxəssis"/>
    <s v="Əmirov Savalan İsrəfil oğlu"/>
    <d v="2025-04-07T00:00:00"/>
  </r>
  <r>
    <s v="Active"/>
    <s v="IDM-840"/>
    <s v="Sultana Rasulova, Tapdig "/>
    <s v="Rəsulova Sultana Tapdıq qızı"/>
    <s v="Customer excellence department"/>
    <x v="4"/>
    <s v="Customer care division"/>
    <s v="Müştəri xidmətləri şöbəsi"/>
    <s v="Customer Relations Specialist"/>
    <s v="Müştəri Əlaqələri üzrə Mütəxəssis"/>
    <s v="Əmirov Savalan İsrəfil oğlu"/>
    <d v="2025-04-07T00:00:00"/>
  </r>
  <r>
    <s v="Active"/>
    <s v="IDM-841"/>
    <s v="Ilaha Ahmadova, Mubariz "/>
    <s v="Əhmədova İlahə Mübariz qızı"/>
    <s v="Customer excellence department"/>
    <x v="4"/>
    <s v="Customer care division"/>
    <s v="Müştəri xidmətləri şöbəsi"/>
    <s v="Junior Customer Relations Specialist"/>
    <s v="Müştəri Əlaqələri üzrə Kiçik Mütəxəssis"/>
    <s v="Əmirov Savalan İsrəfil oğlu"/>
    <d v="2025-04-07T00:00:00"/>
  </r>
  <r>
    <s v="Active"/>
    <s v="IDM-842"/>
    <s v="Aygun Farzaliyeva, Husein "/>
    <s v="Fərzəliyeva Aygün Hüseyn qızı"/>
    <s v="Customer excellence department"/>
    <x v="4"/>
    <s v="Customer care division"/>
    <s v="Müştəri xidmətləri şöbəsi"/>
    <s v="Junior Customer Relations Specialist"/>
    <s v="Müştəri Əlaqələri üzrə Kiçik Mütəxəssis"/>
    <s v="Əmirov Savalan İsrəfil oğlu"/>
    <d v="2025-04-07T00:00:00"/>
  </r>
  <r>
    <s v="Active"/>
    <s v="IDM-844"/>
    <s v="Alakbar Bafadarov, Alamdar "/>
    <s v="Bafadarov Ələkbər Ələmdar oğlu"/>
    <s v="Customer excellence department"/>
    <x v="4"/>
    <s v="Customer care division"/>
    <s v="Müştəri xidmətləri şöbəsi"/>
    <s v="Specialist"/>
    <s v="Mütəxəssis"/>
    <s v="Əmirov Savalan İsrəfil oğlu"/>
    <d v="2025-04-07T00:00:00"/>
  </r>
  <r>
    <s v="Active"/>
    <s v="IDM-846"/>
    <s v="Elvin Rajabov, Shahin "/>
    <s v="Rəcəbov Elvin Şahin oğlu"/>
    <s v="Customer excellence department"/>
    <x v="4"/>
    <s v="Customer care division"/>
    <s v="Müştəri xidmətləri şöbəsi"/>
    <s v="Junior Customer Relations Specialist"/>
    <s v="Müştəri Əlaqələri üzrə Kiçik Mütəxəssis"/>
    <s v="Əmirov Savalan İsrəfil oğlu"/>
    <d v="2025-04-07T00:00:00"/>
  </r>
  <r>
    <s v="Active"/>
    <s v="IDM-848"/>
    <s v="Chichak Mammadova, Rahib "/>
    <s v="Məmmədova Çiçək Rahib qızı"/>
    <s v="Customer excellence department"/>
    <x v="4"/>
    <s v="Customer care division"/>
    <s v="Müştəri xidmətləri şöbəsi"/>
    <s v="Junior Specialist"/>
    <s v="Kiçik mütəxəssis"/>
    <s v="Əmirov Savalan İsrəfil oğlu"/>
    <d v="2025-04-08T00:00:00"/>
  </r>
  <r>
    <s v="Active"/>
    <s v="IDM-849"/>
    <s v="Murad Mammadov, Alovsat"/>
    <s v="Məmmədov Murad Əlövsət oğlu"/>
    <s v="Encashment division"/>
    <x v="1"/>
    <s v="Encashment division"/>
    <s v="İnkassasiya Şöbəsi"/>
    <s v="Cash Collector"/>
    <s v="Kassir inkassator"/>
    <s v="Abbasova Nurlana Ramiz qızı"/>
    <d v="2025-04-14T00:00:00"/>
  </r>
  <r>
    <s v="Active"/>
    <s v="IDM-854"/>
    <s v="Nikita Tolkachev"/>
    <s v="Tolkacev Nikita"/>
    <s v="Legal division"/>
    <x v="16"/>
    <s v="Legal division"/>
    <s v="Hüquq Şöbəsi"/>
    <s v="Senior Lawyer at Corporate Law Division"/>
    <s v="Korporativ Hüquq Şöbəsinin Baş Hüquqşünası"/>
    <s v="Nəsirulla Farid Elşən oğlu"/>
    <d v="2025-04-17T00:00:00"/>
  </r>
  <r>
    <s v="Active"/>
    <s v="IDM-855"/>
    <s v="Khayal Babayev, Elyar"/>
    <s v="Babayev Xəyal Elyar oğlu"/>
    <s v="Encashment division"/>
    <x v="1"/>
    <s v="Encashment division"/>
    <s v="İnkassasiya Şöbəsi"/>
    <s v="Driver Incasator"/>
    <s v="Sürücü inkassator"/>
    <s v="Abbasova Nurlana Ramiz qızı"/>
    <d v="2025-04-22T00:00:00"/>
  </r>
  <r>
    <s v="Active"/>
    <s v="IDM-856"/>
    <s v="Kanan Agamaliyev, Agamali"/>
    <s v="Ağamalıyev Kənan Ağamalı oğlu"/>
    <s v="Security department"/>
    <x v="6"/>
    <s v="-"/>
    <s v="-"/>
    <s v="Team Lead"/>
    <s v="Qrup Rəhbəri"/>
    <s v="Məmmədov Kənan Eldar oğlu"/>
    <d v="2025-04-22T00:00:00"/>
  </r>
  <r>
    <s v="Active"/>
    <s v="IDM-857"/>
    <s v="Aysu Hajiyeva, Bahruz"/>
    <s v="Hacıyeva Aysu Bəhruz qızı"/>
    <s v="Customer excellence department"/>
    <x v="4"/>
    <s v="Telesales division"/>
    <s v="Telesatış şöbəsi"/>
    <s v="Telesales Trainee"/>
    <s v="Telesatış üzrə Təcrübəçi"/>
    <s v="Məmmədli Elgiz Əziz oğlu"/>
    <d v="2025-04-25T00:00:00"/>
  </r>
  <r>
    <s v="Active"/>
    <s v="IDM-862"/>
    <s v="Farid Ibrahimov, Ilgar "/>
    <s v="İbrahimov Fərid İlqar oğlu"/>
    <s v="none structure"/>
    <x v="5"/>
    <s v="none structure"/>
    <s v="none structure"/>
    <s v="Accountant"/>
    <s v="Mühasib"/>
    <s v="Piriyev Abdulla Vaqif oğlu"/>
    <d v="2025-05-07T00:00:00"/>
  </r>
  <r>
    <s v="Active"/>
    <s v="IDM-863"/>
    <s v="Ziya Novruzov, Kamil "/>
    <s v="Novruzov Ziya Kamil oğlu"/>
    <s v=" Terminal business support department"/>
    <x v="2"/>
    <s v="Encashment processes support division"/>
    <s v="İnkassasiya proseslərinə dəstək şöbəsi "/>
    <s v="Driver"/>
    <s v="Sürücü"/>
    <s v="Rüstəmzadə İlqar Vilayət oğlu"/>
    <d v="2025-05-12T00:00:00"/>
  </r>
  <r>
    <s v="Active"/>
    <s v="IDM-866"/>
    <s v="Toghrul Najafzada, Nazim "/>
    <s v="Nəcəfzadə Toğrul Nazim oğlu"/>
    <s v="none structure"/>
    <x v="5"/>
    <s v="none structure"/>
    <s v="none structure"/>
    <s v="Junior General Division Specialist"/>
    <s v="Ümumi Şöbə üzrə Kiçik Mütəxəssis"/>
    <s v="KB-yə keçməlidirlər Korporativ Katibliyə, funksiyaları mərkəzləşir. "/>
    <d v="2025-05-15T00:00:00"/>
  </r>
  <r>
    <s v="Active"/>
    <s v="IDM-871"/>
    <s v="Agshana Ibrahimova, Mirzabala "/>
    <s v="İbrahimova Aqşanə Mirzəbala qızı"/>
    <s v="Terminal and ATM department"/>
    <x v="0"/>
    <s v="Sales support division"/>
    <s v="Satışa dəstək"/>
    <s v="Sales Support Specialist"/>
    <s v="Satışa Dəstək üzrə Aparıcı Mütəxəssis"/>
    <s v="Camalzadə Fuad Sabir oğlu"/>
    <d v="2025-05-22T00:00:00"/>
  </r>
  <r>
    <s v="Active"/>
    <s v="IDM-870"/>
    <s v="Asmar Allahverdiyeva, Eldar "/>
    <s v="Allahverdiyeva Əsmər Eldar qızı"/>
    <s v="none structure"/>
    <x v="5"/>
    <s v="none structure"/>
    <s v="none structure"/>
    <s v="Market Research Specialist "/>
    <s v="Bazar Araşdırması üzrə Mütəxəssis"/>
    <s v="Bu komanda Yuliyaya keçməlidir, komandada olan əməkdaşların rəhbəri Həsəndir, lakin Həsənin birbaşa rəhbəri yoxdur. Yeni strukturda bu şöbə yoxdur. "/>
    <d v="2025-05-22T00:00:00"/>
  </r>
  <r>
    <s v="Active"/>
    <s v="IDM-872"/>
    <s v="Murad Muradov, Latif"/>
    <s v="Muradov Murad Lətif oğlu"/>
    <s v="Products division"/>
    <x v="11"/>
    <s v="Products division"/>
    <s v="Məhsullar Şöbəsi"/>
    <s v="System Administrator"/>
    <s v="Sistem üzrə Administrator"/>
    <s v="Kanan Mammadov"/>
    <d v="2025-05-23T00:00:00"/>
  </r>
  <r>
    <s v="Active"/>
    <s v="IDM-873"/>
    <s v="Agshin Allahverdiyev, Isa "/>
    <s v="Allahverdiyev Aqşin İsa oğlu"/>
    <s v="Terminal and ATM department"/>
    <x v="0"/>
    <s v="Terminal and ATM distibution division"/>
    <s v="Terminal və ATM-lərin yerləşdirilməsi"/>
    <s v="Senior Specialist"/>
    <s v="Baş mütəxəssis"/>
    <s v="Ramazanov Rəşad Cəfər oğlu"/>
    <d v="2025-05-26T00:00:00"/>
  </r>
  <r>
    <s v="Active"/>
    <s v="IDM-879"/>
    <s v="Mirrahman Soltanov, Ahadagha "/>
    <s v="Soltanov Mirrəhman Əhədağa oğlu"/>
    <s v="Terminal and ATM department"/>
    <x v="0"/>
    <s v="Terminal and ATM distibution division"/>
    <s v="Terminal və ATM-lərin yerləşdirilməsi"/>
    <s v="Specialist"/>
    <s v="Mütəxəssis"/>
    <s v="Ramazanov Rəşad Cəfər oğlu"/>
    <d v="2025-06-02T00:00:00"/>
  </r>
  <r>
    <s v="Active"/>
    <s v="IDM-875"/>
    <s v="Faraj Bayramov, Karam "/>
    <s v="Bayramov Fərəc Kərəm oğlu"/>
    <s v="Terminal and ATM department"/>
    <x v="0"/>
    <s v="Million partners division"/>
    <s v="Milliön partnyorları şöbəsi  "/>
    <s v="Leading Specialist"/>
    <s v="Aparıcı mütəxəssis"/>
    <s v="Zeynalova İlahə Əflatun qızı"/>
    <d v="2025-06-02T00:00:00"/>
  </r>
  <r>
    <s v="Active"/>
    <s v="IDM-878"/>
    <s v="Samaya Binnatova, Arif"/>
    <s v="Binnətova Səmayə Arif qızı"/>
    <s v="Customer excellence department"/>
    <x v="4"/>
    <s v="Customer care division"/>
    <s v="Müştəri xidmətləri şöbəsi"/>
    <s v="Junior Customer Relations Specialist"/>
    <s v="Müştəri əlaqələri üzrə kiçik mütəxəssis"/>
    <s v="Əmirov Savalan İsrəfil oğlu"/>
    <d v="2025-06-02T00:00:00"/>
  </r>
  <r>
    <s v="Active"/>
    <s v="IDM-880"/>
    <s v="Jeyhun Mammadov, Kazim "/>
    <s v="Məmmədov Ceyhun Kazım oğlu"/>
    <s v="Terminal and ATM department"/>
    <x v="0"/>
    <s v="Terminal and ATM distibution division"/>
    <s v="Terminal və ATM-lərin yerləşdirilməsi"/>
    <s v="Sales Representative"/>
    <s v="Satış Təmsilçisi"/>
    <s v="Ramazanov Rəşad Cəfər oğlu"/>
    <d v="2025-06-12T00:00:00"/>
  </r>
  <r>
    <s v="Active"/>
    <s v="IDM-883"/>
    <s v="Laman Alili, Jeyhun"/>
    <s v="Əlili Ləman Ceyhun qızı"/>
    <s v="Products division"/>
    <x v="11"/>
    <s v="Products division"/>
    <s v="Məhsullar Şöbəsi"/>
    <s v="Product Owner L2"/>
    <s v="Məhsul Sahibi"/>
    <s v="Birmarket"/>
    <d v="2025-06-17T00:00:00"/>
  </r>
  <r>
    <s v="Active"/>
    <s v="IDM-893"/>
    <s v="Eyvaz Sadigov, Valeh "/>
    <s v="Sadıqov Eyvaz Valeh oğlu"/>
    <s v=" Terminal business support department"/>
    <x v="2"/>
    <s v="Terminal maintenance division"/>
    <s v="Texniki təmir şöbəsi"/>
    <s v="Technician Specialist"/>
    <s v="Texniki İşlər üzrə Mütəxəssis"/>
    <s v="Nəbiyev Namiq Şahbəddin oğlu"/>
    <d v="2025-07-01T00:00:00"/>
  </r>
  <r>
    <s v="Active"/>
    <s v="IDM-896"/>
    <s v="Nurlan Gulmahammadov, Aladdin "/>
    <s v="Gülməmmədov Nurlan Əllədinoviç"/>
    <s v="Products division"/>
    <x v="11"/>
    <s v="Products division"/>
    <s v="Məhsullar Şöbəsi"/>
    <s v="System Analyst"/>
    <s v="Sistem üzrə Analitik"/>
    <s v="Togrul Talibzade"/>
    <d v="2025-07-01T00:00:00"/>
  </r>
  <r>
    <s v="Active"/>
    <s v="IDM-897"/>
    <s v="Turkan Jabbarova, Novruz"/>
    <s v="Cabbarova Türkan Novruz qızı"/>
    <s v="Customer excellence department"/>
    <x v="4"/>
    <s v="Telesales division"/>
    <s v="Telesatış şöbəsi"/>
    <s v="Junior Telesales Specialist"/>
    <s v="Telesatış üzrə Kiçik Mütəxəssis"/>
    <s v="Məmmədli Elgiz Əziz oğlu"/>
    <d v="2025-07-02T00:00:00"/>
  </r>
  <r>
    <s v="Active"/>
    <s v="IDM-898"/>
    <s v="Tabassum Nasirova, Fikrat"/>
    <s v="Nəsirova Təbəssüm Fikrət qızı"/>
    <s v="Customer excellence department"/>
    <x v="4"/>
    <s v="Telesales division"/>
    <s v="Telesatış şöbəsi"/>
    <s v="Junior Specialist"/>
    <s v="Kiçik mütəxəssis"/>
    <s v="Məmmədli Elgiz Əziz oğlu"/>
    <d v="2025-07-02T00:00:00"/>
  </r>
  <r>
    <s v="Active"/>
    <s v="IDM-899"/>
    <s v="Ruslan Suleymanov, Yashar"/>
    <s v="Süleymanov Ruslan Yaşar oğlu"/>
    <s v="Customer excellence department"/>
    <x v="4"/>
    <s v="Telesales division"/>
    <s v="Telesatış şöbəsi"/>
    <s v="Junior Specialist"/>
    <s v="Kiçik mütəxəssis"/>
    <s v="Məmmədli Elgiz Əziz oğlu"/>
    <d v="2025-07-02T00:00:00"/>
  </r>
  <r>
    <s v="Active"/>
    <s v="IDM-900"/>
    <s v="Nabat Namazova, Rafail"/>
    <s v="Namazova Nabat Rəfail qızı"/>
    <s v="Customer excellence department"/>
    <x v="4"/>
    <s v="Telesales division"/>
    <s v="Telesatış şöbəsi"/>
    <s v="Junior Telesales Specialist"/>
    <s v="Telesatış üzrə Kiçik Mütəxəssis"/>
    <s v="Məmmədli Elgiz Əziz oğlu"/>
    <d v="2025-07-02T00:00:00"/>
  </r>
  <r>
    <s v="Active"/>
    <s v="IDM-901"/>
    <s v="Aynura Abbasova, Hasan"/>
    <s v="Abbasova Aynurə Həsən qızı"/>
    <s v="Customer excellence department"/>
    <x v="4"/>
    <s v="Telesales division"/>
    <s v="Telesatış şöbəsi"/>
    <s v="Junior Specialist"/>
    <s v="Kiçik mütəxəssis"/>
    <s v="Məmmədli Elgiz Əziz oğlu"/>
    <d v="2025-07-02T00:00:00"/>
  </r>
  <r>
    <s v="Active"/>
    <s v="IDM-902"/>
    <s v="Narmin Ahmadzade, Vugar"/>
    <s v="Əhmədzadə Nərmin Vüqar qızı"/>
    <s v="Customer excellence department"/>
    <x v="4"/>
    <s v="Telesales division"/>
    <s v="Telesatış şöbəsi"/>
    <s v="Junior Telesales Specialist"/>
    <s v="Telesatış üzrə Kiçik Mütəxəssis"/>
    <s v="Məmmədli Elgiz Əziz oğlu"/>
    <d v="2025-07-02T00:00:00"/>
  </r>
  <r>
    <s v="Active"/>
    <s v="IDM-903"/>
    <s v="Matanat Huseynova, Samandar"/>
    <s v="Hüseynova Mətanət Səməndər qızı"/>
    <s v="Customer excellence department"/>
    <x v="4"/>
    <s v="Telesales division"/>
    <s v="Telesatış şöbəsi"/>
    <s v="Junior Telesales Specialist"/>
    <s v="Telesatış üzrə Kiçik Mütəxəssis"/>
    <s v="Məmmədli Elgiz Əziz oğlu"/>
    <d v="2025-07-02T00:00:00"/>
  </r>
  <r>
    <s v="Active"/>
    <s v="IDM-904"/>
    <s v="Lamiya Mammadova, Khanbala"/>
    <s v="Məmmədova Lamiyə Xanbala qızı"/>
    <s v="Customer excellence department"/>
    <x v="4"/>
    <s v="Telesales division"/>
    <s v="Telesatış şöbəsi"/>
    <s v="Junior Specialist"/>
    <s v="Kiçik mütəxəssis"/>
    <s v="Məmmədli Elgiz Əziz oğlu"/>
    <d v="2025-07-02T00:00:00"/>
  </r>
  <r>
    <s v="Active"/>
    <s v="IDM-906"/>
    <s v="Gulnar Jafarova, Ramil"/>
    <s v="Cəfərova Gülnar Ramil qızı"/>
    <s v="Customer excellence department"/>
    <x v="4"/>
    <s v="Telesales division"/>
    <s v="Telesatış şöbəsi"/>
    <s v="Junior Telesales Specialist"/>
    <s v="Telesatış üzrə Kiçik Mütəxəssis"/>
    <s v="Məmmədli Elgiz Əziz oğlu"/>
    <d v="2025-07-02T00:00:00"/>
  </r>
  <r>
    <s v="Active"/>
    <s v="IDM-907"/>
    <s v="Samir Mammadov, Malik"/>
    <s v="Məmmədov Samir Malik oğlu"/>
    <s v="Customer excellence department"/>
    <x v="4"/>
    <s v="Telesales division"/>
    <s v="Telesatış şöbəsi"/>
    <s v="Junior Specialist"/>
    <s v="Kiçik mütəxəssis"/>
    <s v="Məmmədli Elgiz Əziz oğlu"/>
    <d v="2025-07-02T00:00:00"/>
  </r>
  <r>
    <s v="Active"/>
    <s v="IDM-913"/>
    <s v="Narmin Valiyeva, Rashad"/>
    <s v="Vəliyeva Nərmin Rəşad qızı"/>
    <s v="Financial management department"/>
    <x v="3"/>
    <s v="Budget control division"/>
    <s v="Büdcəyə nəzarət şöbəsi"/>
    <s v="Specialist"/>
    <s v="Mütəxəssis"/>
    <s v="Mahmudova Şirinbikə Müşviq qızı"/>
    <d v="2025-07-03T00:00:00"/>
  </r>
  <r>
    <s v="Active"/>
    <s v="IDM-914"/>
    <s v="Raman Novruzov, Mahammad "/>
    <s v="Novruzov Raman Məhəmməd oğlu"/>
    <s v=" Terminal business support department"/>
    <x v="2"/>
    <s v="Terminal maintenance division"/>
    <s v="Texniki təmir şöbəsi"/>
    <s v="Technician Specialist"/>
    <s v="Texniki İşlər üzrə Mütəxəssis"/>
    <s v="Nəbiyev Namiq Şahbəddin oğlu"/>
    <d v="2025-07-03T00:00:00"/>
  </r>
  <r>
    <s v="Active"/>
    <s v="IDM-921"/>
    <s v="Zaur Zeynalov, Nadir "/>
    <s v="Zeynalov Zaur Nadir oğlu"/>
    <s v="Customer excellence department"/>
    <x v="4"/>
    <s v="Customer care division"/>
    <s v="Müştəri xidmətləri şöbəsi"/>
    <s v="Junior Customer Relations Specialist"/>
    <s v="Müştəri Əlaqələri üzrə Kiçik Mütəxəssis"/>
    <s v="Əmirov Savalan İsrəfil oğlu"/>
    <d v="2025-07-14T00:00:00"/>
  </r>
  <r>
    <s v="Active"/>
    <s v="IDM-929"/>
    <s v="Fateh Rustamzade, Ilgar"/>
    <s v="Rüstəmzadə Fateh İlqar oğlu"/>
    <s v=" Terminal business support department"/>
    <x v="2"/>
    <s v="Terminal maintenance division"/>
    <s v="Texniki təmir şöbəsi"/>
    <s v="Technician Specialist"/>
    <s v="Texniki İşlər üzrə Mütəxəssis"/>
    <s v="Nəbiyev Namiq Şahbəddin oğlu"/>
    <d v="2025-08-01T00:00:00"/>
  </r>
  <r>
    <s v="Active"/>
    <s v="IDM-930"/>
    <s v="Babak Yusifli, Muzaffar"/>
    <s v="Yusifli Babək Müzəffər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d v="2025-08-01T00:00:00"/>
  </r>
  <r>
    <s v="Active"/>
    <s v="IDM-937"/>
    <s v="Aghayar Aghayev, Azer "/>
    <s v="Ağayev Ağayar Azər oğlu"/>
    <s v=" Terminal business support department"/>
    <x v="2"/>
    <s v="Terminal technical support division"/>
    <s v="Terminallara texniki dəstək şöbəsi "/>
    <s v="Technical worker on terminal payments"/>
    <s v="Terminal ödənişləri üzrə texniki işçi"/>
    <s v="Əlizadə Nicat Əşrəf oğlu"/>
    <s v="4-Aug-25"/>
  </r>
  <r>
    <s v="Active"/>
    <s v="IDM-938"/>
    <s v="Elgiz Sadıqov Elçin "/>
    <s v="Sadıqov Elgiz Elçin oğlu"/>
    <s v="Encashment division"/>
    <x v="1"/>
    <s v="Encashment division"/>
    <s v="İnkassasiya Şöbəsi"/>
    <s v="Cash Collector"/>
    <s v="Kassir inkassator"/>
    <s v="Abbasova Nurlana Ramiz qızı"/>
    <d v="2025-08-07T00:00:00"/>
  </r>
  <r>
    <s v="Active"/>
    <s v="IDM-941"/>
    <s v="Elkhan Humbatov, Shamxal"/>
    <s v="Hümbətov Elxan Şamxal oğlu"/>
    <s v=" Terminal business support department"/>
    <x v="2"/>
    <s v="Encashment processes support division"/>
    <s v="İnkassasiya proseslərinə dəstək şöbəsi "/>
    <s v="Office Driver"/>
    <s v="Ofis üzrə Sürücü"/>
    <s v="Rüstəmzadə İlqar Vilayət oğlu"/>
    <d v="2025-08-15T00:00:00"/>
  </r>
  <r>
    <s v="Active"/>
    <s v="IDM-945"/>
    <s v="Sabina Aslanova, Suleyman "/>
    <s v="Aslanova Səbinə Süleyman qızı"/>
    <s v="Customer excellence department"/>
    <x v="4"/>
    <s v="Telesales division"/>
    <s v="Telesatış şöbəsi"/>
    <s v="Junior Telesales Specialist"/>
    <s v="Telesatış üzrə Kiçik Mütəxəssis"/>
    <s v="Məmmədli Elgiz Əziz oğlu"/>
    <d v="2025-08-18T00:00:00"/>
  </r>
  <r>
    <s v="Active"/>
    <s v="IDM-947"/>
    <s v="Seljan Jabiyeva Ajdar "/>
    <s v="Cəbiyeva Selcan Əjdər qızı"/>
    <s v="Products division"/>
    <x v="11"/>
    <s v="Products division"/>
    <s v="Məhsullar Şöbəsi"/>
    <s v="Junior Content Marketer"/>
    <s v="Kontent üzrə Kiçik Marketoloq"/>
    <s v="Kamran Babashov, Kseniya Oskolkova"/>
    <d v="2025-08-21T00:00:00"/>
  </r>
  <r>
    <s v="Active"/>
    <s v="IDM-949"/>
    <s v="Ramil Hasanov, Elbrus "/>
    <s v="Həsənov Ramil Elbrus oğlu"/>
    <s v="Encashment division"/>
    <x v="1"/>
    <s v="Encashment division"/>
    <s v="İnkassasiya Şöbəsi"/>
    <s v="Driver Incasator"/>
    <s v="Sürücü inkassator"/>
    <s v="Abbasova Nurlana Ramiz qızı"/>
    <d v="2025-08-26T00:00:00"/>
  </r>
  <r>
    <s v="Active"/>
    <s v="IDM-950"/>
    <s v="Parvin Ismayilov, Anvar"/>
    <s v="İsmayılov Pərvin Ənvər oğlu"/>
    <s v="Encashment division"/>
    <x v="1"/>
    <s v="Encashment division"/>
    <s v="İnkassasiya Şöbəsi"/>
    <s v="Cash Collector"/>
    <s v="Kassir inkassator"/>
    <s v="Abbasova Nurlana Ramiz qızı"/>
    <d v="2025-08-25T00:00:00"/>
  </r>
  <r>
    <s v="Active"/>
    <s v="IDM-951"/>
    <s v="Rustam Ibrahimov, Zakir "/>
    <s v="İbrahimov Rüstəm Zakir oğlu"/>
    <s v="Encashment division"/>
    <x v="1"/>
    <s v="Encashment division"/>
    <s v="İnkassasiya Şöbəsi"/>
    <s v="Cash Collector"/>
    <s v="Kassir inkassator"/>
    <s v="Abbasova Nurlana Ramiz qızı"/>
    <d v="2025-08-26T00:00:00"/>
  </r>
  <r>
    <s v="Active"/>
    <s v="IDM-952"/>
    <s v="Akbar Hamzaliyev, Mammadaga"/>
    <s v="Həmzəliyev Əkbər Məmmədağa oğlu"/>
    <s v="Internal audit department"/>
    <x v="19"/>
    <s v="-"/>
    <s v="-"/>
    <s v="Senior Auditor"/>
    <s v="Baş Auditor"/>
    <s v="-"/>
    <d v="2025-09-01T00:00:00"/>
  </r>
  <r>
    <s v="Active"/>
    <s v="IDM-955"/>
    <s v="Elnur Karimov, Farahim"/>
    <s v="Kərimov Elnur Fərahim oğlu"/>
    <s v="Encashment division"/>
    <x v="1"/>
    <s v="Encashment division"/>
    <s v="İnkassasiya Şöbəsi"/>
    <s v="Cash Collector"/>
    <s v="Kassir inkassator"/>
    <s v="Abbasova Nurlana Ramiz qızı"/>
    <d v="2025-09-08T00:00:00"/>
  </r>
  <r>
    <s v="Active"/>
    <s v="IDM-957"/>
    <s v="Murad Rzazade, Elchin"/>
    <s v="Rzazadə Murad Elçin oğlu"/>
    <s v="Information security division"/>
    <x v="20"/>
    <s v="Information security division"/>
    <s v="İnformasiya təhlükəsizliyi şöbəsi"/>
    <s v="Head of Information Security "/>
    <s v="İnformasiya Təhlükəsizliyi Departamentinin Rəhbəri"/>
    <s v="Chingiz Safarov, Murad Rzazade"/>
    <d v="2025-09-15T00:00:00"/>
  </r>
  <r>
    <s v="Active"/>
    <s v="IDM-958"/>
    <s v="Samir Amirov, Vagif"/>
    <s v="Əmirov Samir Vaqif oğlu"/>
    <s v="Encashment division"/>
    <x v="1"/>
    <s v="Encashment division"/>
    <s v="İnkassasiya Şöbəsi"/>
    <s v="Driver Incasator"/>
    <s v="Sürücü inkassator"/>
    <s v="Abbasova Nurlana Ramiz qızı"/>
    <d v="2025-09-22T00:00:00"/>
  </r>
  <r>
    <s v="Active"/>
    <s v="IDM-960"/>
    <s v="Ayla Mammadova, Fuad "/>
    <s v="Məmmədova Ayla Fuad qızı"/>
    <s v="Products division"/>
    <x v="11"/>
    <s v="Products division"/>
    <s v="Məhsullar şöbəsi"/>
    <s v="Middle MQA Engineer M1"/>
    <s v="Manual Keyfiyyət Təminatı üzrə Middle Mühəndis"/>
    <s v="Rauf Mirzoev,Ilqar Mammadov"/>
    <d v="2025-10-01T00:00:00"/>
  </r>
  <r>
    <s v="Active"/>
    <s v="IDM-967"/>
    <s v="Elshad Gozalov, Rashid"/>
    <s v="Gözəlov Elşad Rəşid oğlu"/>
    <s v=" Terminal business support department"/>
    <x v="2"/>
    <s v="Terminal business support division"/>
    <s v="Terminal biznesinə dəstək şöbəsi"/>
    <s v="Labourer"/>
    <s v="Fəhlə"/>
    <s v="Fərzəliyev Zaur Tofiq oğlu"/>
    <d v="2025-10-06T00:00:00"/>
  </r>
  <r>
    <s v="Active"/>
    <s v="IDM-969"/>
    <s v="Nijat Jafarov, Kamil"/>
    <s v="Cəfərov Nicat Kamil oğlu"/>
    <s v="Customer excellence department"/>
    <x v="4"/>
    <s v="Telesales division"/>
    <s v="Telesatış şöbəsi"/>
    <s v="Junior Telesales Specialist"/>
    <s v="Telesatış üzrə Kiçik Mütəxəssis"/>
    <s v="Məmmədli Elgiz Əziz oğlu"/>
    <d v="2025-10-13T00:00:00"/>
  </r>
  <r>
    <s v="Active"/>
    <s v="IDM-970"/>
    <s v="Sevda Agayeva, Adigozal"/>
    <s v="Ağayeva Sevda Adıgözəl qızı"/>
    <s v="Customer excellence department"/>
    <x v="4"/>
    <s v="Telesales division"/>
    <s v="Telesatış şöbəsi"/>
    <s v="Junior Telesales Specialist"/>
    <s v="Telesatış üzrə Kiçik Mütəxəssis"/>
    <s v="Məmmədli Elgiz Əziz oğlu"/>
    <d v="2025-10-13T00:00:00"/>
  </r>
  <r>
    <s v="Active"/>
    <s v="IDM-973"/>
    <s v="Maharram Mammadov, Huseyn"/>
    <s v="Məmmədov Məhərrəm Hüseyn oğlu"/>
    <s v="Customer excellence department"/>
    <x v="4"/>
    <s v="Customer care division"/>
    <s v="Müştəri xidmətləri şöbəsi"/>
    <s v="Junior Specialist"/>
    <s v="Kiçik mütəxəssis"/>
    <s v="Əmirov Savalan İsrəfil oğlu"/>
    <d v="2025-10-16T00:00:00"/>
  </r>
  <r>
    <s v="Active"/>
    <s v="IDM-974"/>
    <s v="Elnur Nəsirov, Abulfaz "/>
    <s v="Nəsirov Elnur Əbülfəz oğlu"/>
    <s v="Encashment division"/>
    <x v="1"/>
    <s v="Encashment division"/>
    <s v="İnkassasiya Şöbəsi"/>
    <s v="Cash Collector"/>
    <s v="Kassir inkassator"/>
    <s v="Abbasova Nurlana Ramiz qızı"/>
    <d v="2025-10-16T00:00:00"/>
  </r>
  <r>
    <s v="Active"/>
    <s v="IDM-975"/>
    <s v="Zakir Zakirli, Elshan "/>
    <s v="Zakirli Zakir Elşən oğlu"/>
    <s v=" Terminal business support department"/>
    <x v="2"/>
    <s v="Encashment processes support division"/>
    <s v="İnkassasiya proseslərinə dəstək şöbəsi "/>
    <s v="Transportation Specialist"/>
    <s v="Nəqliyyat üzrə Mütəxəssis"/>
    <s v="Rüstəmzadə İlqar Vilayət oğlu"/>
    <d v="2025-10-20T00:00:00"/>
  </r>
  <r>
    <s v="Active"/>
    <s v="IDM-977"/>
    <s v="Khayal Tagiyev, Rafaddin"/>
    <s v="Tağıyev Xəyal Rəfaddin oğlu"/>
    <s v="Encashment division"/>
    <x v="1"/>
    <s v="Encashment division"/>
    <s v="İnkassasiya Şöbəsi"/>
    <s v="Cash Collector"/>
    <s v="Kassir inkassator"/>
    <s v="Abbasova Nurlana Ramiz qızı"/>
    <d v="2025-10-23T00:00:00"/>
  </r>
  <r>
    <s v="Active"/>
    <s v="IDM-979"/>
    <s v="Khalifa Shixaliyev, Gabil"/>
    <s v="Şıxəliyev Xəlifə Qabil oğlu"/>
    <s v=" Terminal business support department"/>
    <x v="2"/>
    <s v="Terminal technical support division"/>
    <s v="Terminallara texniki dəstək şöbəsi "/>
    <s v="Technical worker on terminal payments"/>
    <s v="Texniki işçi"/>
    <s v="Əlizadə Nicat Əşrəf oğlu"/>
    <d v="2025-10-27T00:00:00"/>
  </r>
  <r>
    <s v="Active"/>
    <s v="IDM-980"/>
    <s v="Huseyn Guliyev, Elchin"/>
    <s v="Quliyev Hüseyn Elçin oğlu"/>
    <s v="none structure"/>
    <x v="5"/>
    <s v="none structure"/>
    <s v="none structure"/>
    <s v="Junior Accountant "/>
    <s v="Kiçik Mühasib"/>
    <s v="Piriyev Abdulla Vaqif oğlu"/>
    <d v="2025-10-27T00:00:00"/>
  </r>
  <r>
    <s v="Active"/>
    <s v="IDM-982"/>
    <s v="Inara Alibakhshiyeva, Ahmadagha "/>
    <s v="Əlibaxşıyeva İnarə Əhmədağa qızı"/>
    <s v="Settlements department"/>
    <x v="7"/>
    <s v="Operations division"/>
    <s v="Əməliyyatlar "/>
    <s v="Settlements Specialist "/>
    <s v="Hesablaşmalar üzrə Mütəxəssis"/>
    <s v="Hüseynova Nərmin Hətəm qızı"/>
    <d v="2025-11-03T00:00:00"/>
  </r>
  <r>
    <s v="Active"/>
    <s v="IDM-983"/>
    <s v="Nurlana Javad-zade, Javanshir "/>
    <s v="Cavad-zadə Nurlana Cavanşir qızı"/>
    <s v=" Terminal business support department"/>
    <x v="2"/>
    <s v="Terminal business support division"/>
    <s v="Terminal biznesinə dəstək şöbəsi"/>
    <s v="Office Administrator"/>
    <s v="Ofis üzrə Administrator"/>
    <s v="Fərzəliyev Zaur Tofiq oğlu"/>
    <d v="2025-11-03T00:00:00"/>
  </r>
  <r>
    <s v="Active"/>
    <s v="IDM-989"/>
    <s v="Ruhin Hajiyev, Veli"/>
    <s v="Hacıyev Ruhin Vəli oğlu"/>
    <s v="Encashment division"/>
    <x v="1"/>
    <s v="Encashment division"/>
    <s v="İnkassasiya Şöbəsi"/>
    <s v="Driver Incasator"/>
    <s v="Sürücü inkassator"/>
    <s v="Abbasova Nurlana Ramiz qızı"/>
    <d v="2025-11-24T00:00:00"/>
  </r>
  <r>
    <s v="Active"/>
    <s v="IDM-990"/>
    <s v="Elman Heydarli, Chingiz"/>
    <s v="Heydərli Elman Çingiz oğlu"/>
    <s v="Information security division"/>
    <x v="20"/>
    <s v="Information security division"/>
    <s v="İnformasiya təhlükəsizliyi şöbəsi"/>
    <s v="SOC Team Lead"/>
    <s v="SOC üzrə Qrup Rəhbəri"/>
    <s v="Murad Rzazade, Murad Rzazade"/>
    <d v="2025-11-25T00:00:00"/>
  </r>
  <r>
    <s v="Active"/>
    <s v="IDM-992"/>
    <s v="Vusala Nasirli, Anar"/>
    <s v="Nəsirli Vüsalə Anar qızı"/>
    <s v="Customer excellence department"/>
    <x v="4"/>
    <s v="Telesales division"/>
    <s v="Telesatış şöbəsi"/>
    <s v="Junior Telesales Specialist"/>
    <s v="Telesatış üzrə Kiçik Mütəxəssis"/>
    <s v="Məmmədli Elgiz Əziz oğlu"/>
    <d v="2025-12-08T00:00:00"/>
  </r>
  <r>
    <s v="Active"/>
    <s v="IDM-993"/>
    <s v="Roya Guliyeva, Ramiz "/>
    <s v="Quliyeva Röya Ramiz qızı"/>
    <s v="Customer excellence department"/>
    <x v="4"/>
    <s v="Telesales division"/>
    <s v="Telesatış şöbəsi"/>
    <s v="Junior Specialist"/>
    <s v="Kiçik mütəxəssis"/>
    <s v="Məmmədli Elgiz Əziz oğlu"/>
    <d v="2025-12-08T00:00:00"/>
  </r>
  <r>
    <s v="Active"/>
    <s v="IDM-998"/>
    <s v="Firdovsi Kazimov, Vugar"/>
    <s v="Kazımov Firdovsi Vüqar oğlu"/>
    <s v=" Terminal business support department"/>
    <x v="2"/>
    <s v="Terminal technical support division"/>
    <s v="Terminallara texniki dəstək şöbəsi "/>
    <s v="Technical worker on terminal payments"/>
    <s v="Texniki işçi"/>
    <s v="Əlizadə Nicat Əşrəf oğlu"/>
    <d v="2025-12-18T00:00:00"/>
  </r>
  <r>
    <s v="Active"/>
    <s v="IDM-1002"/>
    <s v="Nijat Huseynov, Bahadir"/>
    <s v="Hüseynov Nicat Bahadir oğlu"/>
    <s v="Customer excellence department"/>
    <x v="4"/>
    <s v="Telesales division"/>
    <s v="Telesatış şöbəsi"/>
    <s v="Junior Telesales Specialist"/>
    <s v="Telesatış üzrə Kiçik Mütəxəssis"/>
    <s v="Məmmədli Elgiz Əziz oğlu"/>
    <d v="2025-12-25T00:00:00"/>
  </r>
  <r>
    <s v="Active"/>
    <s v="IDM-1004"/>
    <s v="Kamil Azizov, Elman"/>
    <s v="Əzizov Kamil Elman oğlu"/>
    <s v=" Terminal business support department"/>
    <x v="2"/>
    <s v="Encashment processes support division"/>
    <s v="İnkassasiya proseslərinə dəstək şöbəsi "/>
    <s v="Security"/>
    <s v="Mühafizəçi"/>
    <s v="Rüstəmzadə İlqar Vilayət oğlu"/>
    <d v="2026-01-06T00:00:00"/>
  </r>
  <r>
    <s v="Active"/>
    <s v="IDM-1005"/>
    <s v="Faig Bayramov, Nizami"/>
    <s v="Bayramov Faiq Nizami oğlu"/>
    <s v="Encashment division"/>
    <x v="1"/>
    <s v="Encashment division"/>
    <s v="İnkassasiya Şöbəsi"/>
    <s v="Cash Collector"/>
    <s v="Kassir inkassator"/>
    <s v="Abbasova Nurlana Ramiz qızı"/>
    <d v="2026-01-08T00:00:00"/>
  </r>
  <r>
    <s v="Active"/>
    <s v="IDM-1008"/>
    <s v="Agshin Mammadov, Shahin"/>
    <s v="Məmmədov Aqşin Şahin oğlu"/>
    <s v="Customer excellence department"/>
    <x v="4"/>
    <s v="Customer care division"/>
    <s v="Müştəri xidmətləri şöbəsi"/>
    <s v="Junior Customer Relations Specialist"/>
    <s v="Müştəri Əlaqələri üzrə Kiçik Mütəxəssis"/>
    <s v="Əmirov Savalan İsrəfil oğlu"/>
    <d v="2026-01-26T00:00:00"/>
  </r>
  <r>
    <s v="Active"/>
    <s v="IDM-1009"/>
    <s v="Nuraya Mammadova, Kamil"/>
    <s v="Məmmədova Nurayə Kamil qızı"/>
    <s v="Customer excellence department"/>
    <x v="4"/>
    <s v="Customer care division"/>
    <s v="Müştəri xidmətləri şöbəsi"/>
    <s v="Junior Specialist"/>
    <s v="Kiçik mütəxəssis"/>
    <s v="Əmirov Savalan İsrəfil oğlu"/>
    <d v="2026-02-02T00:00:00"/>
  </r>
  <r>
    <s v="Active"/>
    <s v="IDM-1010"/>
    <s v="Nahide Novruzova, Eldar"/>
    <s v="Novruzova Nahidə Eldar qızı"/>
    <s v="none structure"/>
    <x v="5"/>
    <s v="none structure"/>
    <s v="none structure"/>
    <s v="Cleaning Lady"/>
    <s v="Xidmətçi"/>
    <s v="KB-yə Kassa və inkassasiya prosesləri departamentinə keçirilir, rəsmiləşmədədirlər. "/>
    <d v="2026-02-05T00:00:00"/>
  </r>
  <r>
    <s v="Active"/>
    <s v="IDM-1011"/>
    <s v="Elvin Guliyev, Emin"/>
    <s v="Quliyev Elvin Emin oğlu"/>
    <s v=" Terminal business support department"/>
    <x v="2"/>
    <s v="Terminal technical support division"/>
    <s v="Terminallara texniki dəstək şöbəsi "/>
    <s v="Technical worker on terminal payments"/>
    <s v="Texniki işçi"/>
    <s v="Əlizadə Nicat Əşrəf oğlu"/>
    <d v="2026-02-05T00:00:00"/>
  </r>
  <r>
    <s v="Active"/>
    <s v="IDM-1015"/>
    <s v="Saida Huseynova, Asadulla"/>
    <s v="Hüseynova Səidə Əsədulla qızı"/>
    <s v="Talent management department"/>
    <x v="17"/>
    <s v="-"/>
    <s v="-"/>
    <s v="Head of HR Department"/>
    <s v="İnsan Resurslarının İdarəedilməsi Departamentinin Direktoru"/>
    <s v="Tağıyev Camal İlham oğlu"/>
    <d v="2026-02-24T00:00:00"/>
  </r>
  <r>
    <s v="Active"/>
    <s v="IDM-1017"/>
    <s v="Gulare Mikayilova, Bahruz"/>
    <s v="Mikayılova Gülarə Bəhruz qızı"/>
    <s v="Customer excellence department"/>
    <x v="4"/>
    <s v="Telesales division"/>
    <s v="Telesatış şöbəsi"/>
    <s v="Telesales Trainee"/>
    <s v="Telesatış üzrə Təcrübəçi"/>
    <s v="Məmmədli Elgiz Əziz oğlu"/>
    <d v="2026-03-03T00:00:00"/>
  </r>
  <r>
    <s v="Active"/>
    <s v="IDM-1018"/>
    <s v="Polad Huseynov, Rafig"/>
    <s v="Hüseynov Polad Rafiq oğlu"/>
    <s v="Fraud prevention division"/>
    <x v="8"/>
    <s v="Fraud prevention division"/>
    <s v="Frauda qarşı mübarizə şöbəsi"/>
    <s v="Fraud Monitoring Consultant"/>
    <s v="Fraud Monitorinq üzrə Məsləhətçi"/>
    <s v="Ramazanov Ramis Rahim oğlu"/>
    <d v="2026-03-03T00:00:00"/>
  </r>
  <r>
    <s v="Active"/>
    <s v="IDM-1019"/>
    <s v="Ismayil Ismayilov, Shahid"/>
    <s v="İsmayılov İsmayıl Şahid oğlu"/>
    <s v="Customer excellence department"/>
    <x v="4"/>
    <s v="Customer care division"/>
    <s v="Müştəri xidmətləri şöbəsi"/>
    <s v="Junior Specialist"/>
    <s v="Kiçik mütəxəssis"/>
    <s v="Əmirov Savalan İsrəfil oğlu"/>
    <d v="2026-03-10T00:00:00"/>
  </r>
  <r>
    <s v="Active"/>
    <s v="IDM-1021"/>
    <s v="Marjan Manafova, Elmar"/>
    <s v="Manafova Mərcan Elmar qızı"/>
    <s v="Products division"/>
    <x v="11"/>
    <s v="Products division"/>
    <s v="Məhsullar şöbəsi"/>
    <s v="Product Marketing Trainee "/>
    <s v="Məhsul Marketinqi üzrə Təcrübəçi"/>
    <s v="Kamran Babashov, Pavel Kasatkin"/>
    <d v="2026-04-01T00:00:00"/>
  </r>
  <r>
    <s v="Active"/>
    <s v="IDM-1022"/>
    <s v="Elvin Ahmadzade, Ilgar"/>
    <s v="Əhmədzadə Elvin İlqar oğlu"/>
    <s v="Audit committee"/>
    <x v="18"/>
    <s v="-"/>
    <s v="-"/>
    <s v="Audit Committee member"/>
    <s v="Audit Komitəsinin üzvü"/>
    <s v="İsgəndərova Nərmin Bəhram qızı"/>
    <d v="2026-04-14T00:00:00"/>
  </r>
  <r>
    <s v="Active"/>
    <s v="IDM-1023"/>
    <s v="Jeyran Bagirova, Natig"/>
    <s v="Bağırova Ceyran Natiq qızı"/>
    <s v="Products division"/>
    <x v="11"/>
    <s v="Products division"/>
    <s v="Məhsullar şöbəsi"/>
    <s v="Data/Product analyst"/>
    <s v="Data/Məhsul üzrə analitik"/>
    <s v="Ilqar Ocaqov"/>
    <d v="2026-04-17T00:00:00"/>
  </r>
  <r>
    <s v="Active"/>
    <s v="IDM-1025"/>
    <s v="Shixbala Ramaldanov, Shair"/>
    <s v="Ramaldanov Şıxbala Şair oğlu"/>
    <s v=" Terminal business support department"/>
    <x v="2"/>
    <s v="Encashment processes and cash centers monitoring division"/>
    <s v="İnkassasiya prosesi və kassa mərkəzlərinin monitorinqi şöbəsi"/>
    <s v="Divison Head"/>
    <s v="Şöbə müdiri"/>
    <s v="Abbasov Toğrul Vaqif oğlu"/>
    <d v="2026-04-21T00:00:00"/>
  </r>
  <r>
    <s v="Active"/>
    <s v="IDM-1026"/>
    <s v="Samir Babayev, Mardan"/>
    <s v="Babayev Samir Mərdan oğlu"/>
    <s v="none structure"/>
    <x v="5"/>
    <s v="none structure"/>
    <s v="none structure"/>
    <s v="Senior Accountant"/>
    <s v="Böyük mühasib"/>
    <s v="Piriyev Abdulla Vaqif oğlu"/>
    <d v="2026-04-28T00:00:00"/>
  </r>
  <r>
    <s v="Active"/>
    <s v="IDM-1027"/>
    <s v="Elvin Mammadov, Zahid"/>
    <s v="Məmmədov Elvin Zahid oğlu"/>
    <s v="none structure"/>
    <x v="5"/>
    <s v="none structure"/>
    <s v="none structure"/>
    <s v="Senior Compliance Officer"/>
    <s v="Komplayens üzrə Baş İnzibatçı"/>
    <s v="Tağıyev Camal İlham oğlu"/>
    <d v="2026-05-01T00:00:00"/>
  </r>
  <r>
    <s v="Active"/>
    <s v="IDM-1028"/>
    <s v="Leman Nabiyeva, Nebi"/>
    <s v="Nəbiyeva Ləman Nəbi qızı"/>
    <s v="Internal audit department"/>
    <x v="19"/>
    <s v="-"/>
    <s v="-"/>
    <s v="Audit Assistant"/>
    <s v="Audit Köməkçisi"/>
    <s v="Həmzəliyev Əkbər Məmmədağa oğlu"/>
    <d v="2026-05-01T00:00:00"/>
  </r>
  <r>
    <s v="Active"/>
    <s v="IDM-1029"/>
    <s v="Esmira Isgandarova, Zakir "/>
    <s v="İsgəndərova Esmira Zakirovna"/>
    <s v="Talent management department"/>
    <x v="17"/>
    <s v="Performance management &amp; employee engagement division"/>
    <s v="Performansın idarə edilməsi və işçi bağlılığı şöbəsi"/>
    <s v="Performance Management and Employee Engagement specialist"/>
    <s v="Performansın idarə edilməsi və işçi bağlılığı şöbəsinin mütəxəssisi"/>
    <s v="Hüseynova Səidə Əsədulla qızı"/>
    <d v="2026-05-18T00:00:00"/>
  </r>
  <r>
    <s v="Active"/>
    <s v="IDM-1030"/>
    <s v="Sona Israfilova, Aftandil"/>
    <s v="İsrafilova Sona Aftandil qızı"/>
    <s v="Customer excellence department"/>
    <x v="4"/>
    <s v="Telesales division"/>
    <s v="Telesatış şöbəsi"/>
    <s v="Telesales Trainee"/>
    <s v="Telesatış üzrə Təcrübəçi"/>
    <s v="Məmmədli Elgiz Əziz oğlu"/>
    <d v="2026-06-05T00:00:00"/>
  </r>
  <r>
    <s v="Active"/>
    <s v="IDM-1031"/>
    <s v="Rahim Mirfatayev, Alibala"/>
    <s v="Mirfatayev Rahim Əlibala oğlu"/>
    <s v="Terminal business support department"/>
    <x v="2"/>
    <s v="Encashment processes support division"/>
    <s v="İnkassasiya proseslərinə dəstək şöbəsi "/>
    <s v="Office Driver"/>
    <s v="Ofis üzrə Sürücü"/>
    <s v="Rüstəmzadə İlqar Vilayət oğlu"/>
    <d v="2026-06-08T00:00:00"/>
  </r>
  <r>
    <s v="Active"/>
    <s v="IDM-1032"/>
    <s v="Jamal Tagiyev, Ilham"/>
    <s v="Tağıyev Camal İlham oğlu"/>
    <s v="none structure"/>
    <x v="5"/>
    <s v="none structure"/>
    <s v="none structure"/>
    <s v="Executive Director "/>
    <s v="İcraçı Direktor"/>
    <s v="-"/>
    <d v="2026-06-10T00:00:00"/>
  </r>
  <r>
    <s v="Active"/>
    <s v="IDM-1033"/>
    <s v="Vahid Shukurov, Adil"/>
    <s v="Şükürov Vahid Adil oğlu"/>
    <s v="Products division"/>
    <x v="11"/>
    <s v="Products division"/>
    <s v="Məhsullar şöbəsi"/>
    <s v="Area Product Lead"/>
    <s v="Məhsul üzrə Sahə Lideri"/>
    <s v="Zakir Khanmammadov"/>
    <d v="2026-06-11T00:00:00"/>
  </r>
  <r>
    <s v="Active"/>
    <s v="IDM-1034"/>
    <s v="Huseyn Iskandarov, Elshan "/>
    <s v="İskəndərov Hüseyn Elşən oğlu"/>
    <s v="Customer excellence department"/>
    <x v="4"/>
    <s v="Customer care division"/>
    <s v="Müştəri xidmətləri şöbəsi"/>
    <s v="Junior Customer Relations Specialist"/>
    <s v="Müştəri Əlaqələri üzrə Kiçik Mütəxəssis"/>
    <s v="Əmirov Savalan İsrəfil oğlu"/>
    <d v="2026-06-22T00:00:00"/>
  </r>
  <r>
    <s v="Active"/>
    <s v="IDM-1035"/>
    <s v="Aslan Sadraddinbatli, Qalib"/>
    <s v="Sədrəddinbəyli Aslan Qalib oğlu"/>
    <s v=" Terminal business support department"/>
    <x v="2"/>
    <s v="Terminal technical support division"/>
    <s v="Terminallara texniki dəstək şöbəsi "/>
    <s v="Technician Specialist"/>
    <s v="Texniki İşlər üzrə Mütəxəssis"/>
    <s v="Əlizadə Nicat Əşrəf oğlu"/>
    <d v="2026-07-01T00:00:00"/>
  </r>
  <r>
    <s v="Active"/>
    <s v="IDM-1036"/>
    <s v="Vugar Mammadov, Ilgar"/>
    <s v="Məmmədov Vüqar İlqar oğlu"/>
    <s v=" Terminal business support department"/>
    <x v="2"/>
    <s v="Terminal business support division"/>
    <s v="Terminal biznesinə dəstək şöbəsi"/>
    <s v="Labourer"/>
    <s v="Fəhlə"/>
    <s v="Əhmədov Ağali Siyasət oğlu"/>
    <d v="2026-07-11T00:00:00"/>
  </r>
  <r>
    <s v="Active"/>
    <s v="IDM-1037"/>
    <s v="Ilgar Murshudov, Murshud"/>
    <s v="Mürşüdov İlqar Mürşüd oğlu"/>
    <s v=" Terminal business support department"/>
    <x v="2"/>
    <s v="Terminal business support division"/>
    <s v="Terminal biznesinə dəstək şöbəsi"/>
    <s v="Labourer"/>
    <s v="Fəhlə"/>
    <s v="Əhmədov Ağali Siyasət oğlu"/>
    <d v="2026-07-11T00:00:00"/>
  </r>
  <r>
    <s v="Active"/>
    <s v="IDM-1038"/>
    <s v="Rashid Valiyev, Sanan"/>
    <s v="Vəliyev Rəşid Sənan oğlu"/>
    <s v=" Terminal business support department"/>
    <x v="2"/>
    <s v="Terminal business support division"/>
    <s v="Terminal biznesinə dəstək şöbəsi"/>
    <s v="Labourer"/>
    <s v="Fəhlə"/>
    <s v="Əhmədov Ağali Siyasət oğlu"/>
    <d v="2026-07-11T00:00:00"/>
  </r>
  <r>
    <s v="Active"/>
    <s v="IDM-1039"/>
    <s v="Rauf Nazarov, Valiyaddin"/>
    <s v="Nəzərov Rauf Vəliyəddin oğlu"/>
    <s v=" Terminal business support department"/>
    <x v="2"/>
    <s v="Terminal business support division"/>
    <s v="Terminal biznesinə dəstək şöbəsi"/>
    <s v="Specialist"/>
    <s v="Mütəxəssis"/>
    <s v="Fərzəliyev Zaur Tofiq oğlu"/>
    <d v="2026-07-20T00:00:00"/>
  </r>
  <r>
    <s v="Active"/>
    <s v="IDM-1040"/>
    <s v="Elvin Bilalov, Rovshan"/>
    <s v="Bilalov Elvin Rövşən oğlu"/>
    <s v="Financial management department"/>
    <x v="3"/>
    <s v="KPI Setting division"/>
    <s v="Fəaliyyət göstəricilərinin təyini və hesabatlığı şöbəsi"/>
    <s v="Senior Specialist"/>
    <s v="Baş mütəxəssis"/>
    <s v="Ağayev Mirşahin Mircəfər oğlu"/>
    <d v="2026-06-24T00:00:00"/>
  </r>
  <r>
    <s v="Active"/>
    <s v="IDM-1041"/>
    <s v="Shahmar Agayev, Zohrab"/>
    <s v="Ağayev Şahmar Zöhrab oğlu"/>
    <s v="Cross-border and sales tribe"/>
    <x v="12"/>
    <s v="Cross-border and sales tribe"/>
    <s v="Kross-sərhəd və satış sahəsi"/>
    <s v="Back-End Developer"/>
    <s v="Back-End Developer"/>
    <s v="Ilqar Mammadov, Emin Niyazov"/>
    <d v="2026-07-27T00:00:00"/>
  </r>
  <r>
    <s v="Active"/>
    <s v="IDM-1042"/>
    <s v="Eldar Alakbarov, Anar "/>
    <s v="Ələkbərov Eldar Anar oğlu"/>
    <s v="Financial management department"/>
    <x v="3"/>
    <s v="Budgeting &amp; financial modeling division"/>
    <s v="Büdcələşdirmə və maliyyə modelləşdirilməsi şöbəsi"/>
    <s v="Specialist"/>
    <s v="Mütəxəssis"/>
    <s v="Talıbzadə Orxan Əfqan oğlu"/>
    <d v="2026-08-05T00:00:00"/>
  </r>
  <r>
    <s v="Active"/>
    <s v="IDM-1043"/>
    <s v="Aghayeva Gulzar, Mazahir"/>
    <s v="Ağayeva Gülzar Məzahir qızı"/>
    <s v="Customer excellence department"/>
    <x v="4"/>
    <s v="Customer care division"/>
    <s v="Müştəri xidmətləri şöbəsi"/>
    <s v="Junior Specialist"/>
    <s v=" Kiçik Mütəxəssis (müvəqqəti)"/>
    <s v="Savalan Amirov, Israfil "/>
    <d v="2026-08-04T00:00:00"/>
  </r>
  <r>
    <s v="Active"/>
    <s v="IDM-1044"/>
    <s v="Jafarzade Aykhan, Rahman"/>
    <s v="Cəfərzadə Ayxan Rəhman oğlu"/>
    <s v=" Terminal business support department"/>
    <x v="2"/>
    <s v="Terminal business support division"/>
    <s v="Terminal biznesinə dəstək şöbəsi"/>
    <s v="Technical worker"/>
    <s v="Texniki işçi"/>
    <s v="Əlizadə Nicat Əşrəf oğlu"/>
    <d v="2026-08-10T00:00:00"/>
  </r>
  <r>
    <s v="Active"/>
    <s v="IDM-1045"/>
    <s v="Samir Bairamov, Talib"/>
    <s v="Bayramov Samir Talıb oğlu"/>
    <s v="Information security division"/>
    <x v="20"/>
    <s v="Information security division"/>
    <s v="İnformasiya təhlükəsizliyi şöbəsi"/>
    <s v="Senior Specialist"/>
    <s v="Baş mütəxəssis"/>
    <s v="Murad Rzazadə"/>
    <d v="2026-08-13T00:00:00"/>
  </r>
  <r>
    <s v="Active"/>
    <s v="IDM-1046"/>
    <s v="Farid Hasanzade, Rashad"/>
    <s v="Həsənzadə Fərid Rəşad oğlu"/>
    <s v="Customer excellence department"/>
    <x v="4"/>
    <s v="Telesales division"/>
    <s v="Telesatış şöbəsi"/>
    <s v="Telesales Trainee"/>
    <s v="Telesatış üzrə Təcrübəçi"/>
    <s v="Məmmədli Elgiz Əziz oğlu"/>
    <d v="2026-08-14T00:00:00"/>
  </r>
  <r>
    <s v="Active"/>
    <s v="IDM-1047"/>
    <s v=" Ehtiram Guliyev, Ehtimal"/>
    <s v="Quliyev Ehtiram Ehtimal oğlu"/>
    <s v=" Terminal business support department"/>
    <x v="2"/>
    <s v="Terminal maintenance division"/>
    <s v="Texniki təmir şöbəsi"/>
    <s v="Technician Specialist"/>
    <s v="Texniki İşlər üzrə Mütəxəssis"/>
    <s v="Nəbiyev Namiq Şahbəddin oğlu"/>
    <d v="2026-08-17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829F1-0EE1-49FD-A400-1EA5E2F8E48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ruktur adı">
  <location ref="A3:B25" firstHeaderRow="1" firstDataRow="1" firstDataCol="1"/>
  <pivotFields count="12">
    <pivotField showAll="0"/>
    <pivotField showAll="0"/>
    <pivotField dataField="1" showAll="0"/>
    <pivotField showAll="0"/>
    <pivotField showAll="0"/>
    <pivotField axis="axisRow" showAll="0">
      <items count="23">
        <item x="18"/>
        <item x="15"/>
        <item x="10"/>
        <item x="19"/>
        <item x="14"/>
        <item x="8"/>
        <item x="7"/>
        <item x="16"/>
        <item x="20"/>
        <item x="1"/>
        <item x="17"/>
        <item x="9"/>
        <item x="12"/>
        <item x="3"/>
        <item x="11"/>
        <item x="13"/>
        <item x="4"/>
        <item x="5"/>
        <item m="1" x="21"/>
        <item x="6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>
      <x v="21"/>
    </i>
    <i t="grand">
      <x/>
    </i>
  </rowItems>
  <colItems count="1">
    <i/>
  </colItems>
  <dataFields count="1">
    <dataField name="Staff" fld="2" subtotal="count" baseField="0" baseItem="0"/>
  </dataFields>
  <formats count="16">
    <format dxfId="28">
      <pivotArea dataOnly="0" labelOnly="1" fieldPosition="0">
        <references count="1">
          <reference field="5" count="1">
            <x v="17"/>
          </reference>
        </references>
      </pivotArea>
    </format>
    <format dxfId="27">
      <pivotArea dataOnly="0" labelOnly="1" fieldPosition="0">
        <references count="1">
          <reference field="5" count="1">
            <x v="17"/>
          </reference>
        </references>
      </pivotArea>
    </format>
    <format dxfId="26">
      <pivotArea collapsedLevelsAreSubtotals="1" fieldPosition="0">
        <references count="1">
          <reference field="5" count="1">
            <x v="17"/>
          </reference>
        </references>
      </pivotArea>
    </format>
    <format dxfId="25">
      <pivotArea collapsedLevelsAreSubtotals="1" fieldPosition="0">
        <references count="1">
          <reference field="5" count="1">
            <x v="17"/>
          </reference>
        </references>
      </pivotArea>
    </format>
    <format dxfId="24">
      <pivotArea outline="0" collapsedLevelsAreSubtotals="1" fieldPosition="0"/>
    </format>
    <format dxfId="23">
      <pivotArea dataOnly="0" labelOnly="1" outline="0" axis="axisValues" fieldPosition="0"/>
    </format>
    <format dxfId="22">
      <pivotArea grandRow="1" outline="0" collapsedLevelsAreSubtotals="1" fieldPosition="0"/>
    </format>
    <format dxfId="21">
      <pivotArea dataOnly="0" labelOnly="1" grandRow="1" outline="0" fieldPosition="0"/>
    </format>
    <format dxfId="20">
      <pivotArea collapsedLevelsAreSubtotals="1" fieldPosition="0">
        <references count="1">
          <reference field="5" count="1">
            <x v="15"/>
          </reference>
        </references>
      </pivotArea>
    </format>
    <format dxfId="19">
      <pivotArea dataOnly="0" labelOnly="1" fieldPosition="0">
        <references count="1">
          <reference field="5" count="1">
            <x v="13"/>
          </reference>
        </references>
      </pivotArea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5" type="button" dataOnly="0" labelOnly="1" outline="0" axis="axisRow" fieldPosition="0"/>
    </format>
    <format dxfId="15">
      <pivotArea dataOnly="0" labelOnly="1" fieldPosition="0">
        <references count="1">
          <reference field="5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7A1C4-56EF-4459-9BA6-CB5DD4C48937}">
  <dimension ref="A1:R96"/>
  <sheetViews>
    <sheetView tabSelected="1" zoomScale="91" workbookViewId="0">
      <selection activeCell="A4" sqref="A4"/>
    </sheetView>
  </sheetViews>
  <sheetFormatPr defaultRowHeight="14.5" x14ac:dyDescent="0.35"/>
  <cols>
    <col min="1" max="1" width="60.6328125" style="11" customWidth="1"/>
    <col min="2" max="2" width="28.36328125" style="6" customWidth="1"/>
    <col min="3" max="3" width="50.1796875" style="10" bestFit="1" customWidth="1"/>
    <col min="4" max="4" width="9.90625" style="6" bestFit="1" customWidth="1"/>
    <col min="5" max="5" width="24.81640625" style="6" bestFit="1" customWidth="1"/>
    <col min="6" max="6" width="24.81640625" style="6" customWidth="1"/>
    <col min="7" max="7" width="14.453125" customWidth="1"/>
    <col min="12" max="12" width="14.81640625" bestFit="1" customWidth="1"/>
    <col min="13" max="13" width="24.08984375" bestFit="1" customWidth="1"/>
    <col min="18" max="18" width="15.90625" customWidth="1"/>
  </cols>
  <sheetData>
    <row r="1" spans="1:18" s="6" customFormat="1" x14ac:dyDescent="0.35">
      <c r="A1" s="3" t="s">
        <v>1090</v>
      </c>
      <c r="B1" s="5" t="s">
        <v>1089</v>
      </c>
      <c r="C1" s="8" t="s">
        <v>1091</v>
      </c>
      <c r="D1" s="5" t="s">
        <v>1092</v>
      </c>
      <c r="E1" s="5" t="s">
        <v>1093</v>
      </c>
      <c r="F1" s="44" t="s">
        <v>1094</v>
      </c>
      <c r="G1" s="6" t="s">
        <v>35</v>
      </c>
      <c r="H1" s="6" t="s">
        <v>34</v>
      </c>
      <c r="I1" s="6" t="s">
        <v>1080</v>
      </c>
      <c r="J1" s="6" t="s">
        <v>250</v>
      </c>
      <c r="K1" s="4" t="s">
        <v>1081</v>
      </c>
      <c r="L1" s="7" t="s">
        <v>992</v>
      </c>
      <c r="M1" s="7" t="s">
        <v>62</v>
      </c>
      <c r="N1" s="6" t="s">
        <v>256</v>
      </c>
      <c r="R1" s="42">
        <v>46279</v>
      </c>
    </row>
    <row r="2" spans="1:18" s="4" customFormat="1" ht="116" x14ac:dyDescent="0.35">
      <c r="A2" s="9" t="s">
        <v>40</v>
      </c>
      <c r="B2" s="5">
        <v>14</v>
      </c>
      <c r="C2" s="9" t="s">
        <v>40</v>
      </c>
      <c r="D2" s="4">
        <v>8</v>
      </c>
      <c r="E2" s="4" t="s">
        <v>356</v>
      </c>
      <c r="F2" s="4">
        <v>8</v>
      </c>
      <c r="G2" s="6">
        <f>COUNTIFS(baza!B:B,'ştat sayları'!C:C,baza!H:H,"Bir Payment")</f>
        <v>0</v>
      </c>
      <c r="H2" s="6">
        <f>COUNTIFS(baza!B:B,'ştat sayları'!C:C,baza!H:H,"BirMarket")</f>
        <v>0</v>
      </c>
      <c r="I2" s="6">
        <f>COUNTIFS(baza!B:B,'ştat sayları'!C:C,baza!H:H,"Paşa Holding")</f>
        <v>0</v>
      </c>
      <c r="J2" s="6">
        <f>COUNTIFS(baza!B:B,'ştat sayları'!C:C,baza!H:H,"Future lab")</f>
        <v>0</v>
      </c>
      <c r="K2" s="4">
        <f>G2+H2+I2+J2</f>
        <v>0</v>
      </c>
      <c r="L2" s="45" t="s">
        <v>993</v>
      </c>
      <c r="M2" s="4" t="s">
        <v>253</v>
      </c>
    </row>
    <row r="3" spans="1:18" s="6" customFormat="1" ht="72.5" x14ac:dyDescent="0.35">
      <c r="A3" s="16" t="s">
        <v>66</v>
      </c>
      <c r="B3" s="6">
        <v>45</v>
      </c>
      <c r="C3" s="10" t="s">
        <v>66</v>
      </c>
      <c r="D3" s="15">
        <v>59</v>
      </c>
      <c r="E3" s="15" t="s">
        <v>1082</v>
      </c>
      <c r="F3" s="15">
        <v>63</v>
      </c>
      <c r="G3" s="6">
        <f>COUNTIFS(baza!B:B,'ştat sayları'!C:C,baza!H:H,"Bir Payment")</f>
        <v>10</v>
      </c>
      <c r="H3" s="6">
        <f>COUNTIFS(baza!B:B,'ştat sayları'!C:C,baza!H:H,"BirMarket")</f>
        <v>6</v>
      </c>
      <c r="I3" s="6">
        <f>COUNTIFS(baza!B:B,'ştat sayları'!C:C,baza!H:H,"Paşa Holding")</f>
        <v>0</v>
      </c>
      <c r="J3" s="6">
        <f>COUNTIFS(baza!B:B,'ştat sayları'!C:C,baza!H:H,"Future lab")</f>
        <v>3</v>
      </c>
      <c r="K3" s="4">
        <f t="shared" ref="K3:K66" si="0">G3+H3+I3+J3</f>
        <v>19</v>
      </c>
      <c r="L3" s="46" t="s">
        <v>994</v>
      </c>
      <c r="M3" s="4" t="s">
        <v>255</v>
      </c>
    </row>
    <row r="4" spans="1:18" x14ac:dyDescent="0.35">
      <c r="A4" s="16" t="s">
        <v>47</v>
      </c>
      <c r="B4" s="6">
        <v>141</v>
      </c>
      <c r="C4" s="10" t="s">
        <v>47</v>
      </c>
      <c r="D4" s="15">
        <v>161</v>
      </c>
      <c r="E4" s="15" t="s">
        <v>354</v>
      </c>
      <c r="F4" s="15">
        <v>162</v>
      </c>
      <c r="G4" s="63">
        <v>19</v>
      </c>
      <c r="H4" s="6">
        <f>COUNTIFS(baza!B:B,'ştat sayları'!C:C,baza!H:H,"BirMarket")</f>
        <v>2</v>
      </c>
      <c r="I4" s="6">
        <f>COUNTIFS(baza!B:B,'ştat sayları'!C:C,baza!H:H,"Paşa Holding")</f>
        <v>0</v>
      </c>
      <c r="J4" s="6">
        <f>COUNTIFS(baza!B:B,'ştat sayları'!C:C,baza!H:H,"Future lab")</f>
        <v>0</v>
      </c>
      <c r="K4" s="4">
        <f t="shared" si="0"/>
        <v>21</v>
      </c>
      <c r="M4" s="6" t="s">
        <v>255</v>
      </c>
    </row>
    <row r="5" spans="1:18" x14ac:dyDescent="0.35">
      <c r="A5" s="16" t="s">
        <v>32</v>
      </c>
      <c r="B5" s="6">
        <v>48</v>
      </c>
      <c r="C5" s="10" t="s">
        <v>32</v>
      </c>
      <c r="D5" s="15">
        <v>52</v>
      </c>
      <c r="E5" s="15" t="s">
        <v>356</v>
      </c>
      <c r="F5" s="15">
        <v>52</v>
      </c>
      <c r="G5" s="6">
        <f>COUNTIFS(baza!B:B,'ştat sayları'!C:C,baza!H:H,"Bir Payment")</f>
        <v>3</v>
      </c>
      <c r="H5" s="6">
        <f>COUNTIFS(baza!B:B,'ştat sayları'!C:C,baza!H:H,"BirMarket")</f>
        <v>1</v>
      </c>
      <c r="I5" s="6">
        <f>COUNTIFS(baza!B:B,'ştat sayları'!C:C,baza!H:H,"Paşa Holding")</f>
        <v>0</v>
      </c>
      <c r="J5" s="6">
        <f>COUNTIFS(baza!B:B,'ştat sayları'!C:C,baza!H:H,"Future lab")</f>
        <v>0</v>
      </c>
      <c r="K5" s="4">
        <f t="shared" si="0"/>
        <v>4</v>
      </c>
      <c r="M5" s="6" t="s">
        <v>255</v>
      </c>
    </row>
    <row r="6" spans="1:18" x14ac:dyDescent="0.35">
      <c r="A6" s="16" t="s">
        <v>33</v>
      </c>
      <c r="B6" s="6">
        <v>34.5</v>
      </c>
      <c r="C6" s="10" t="s">
        <v>33</v>
      </c>
      <c r="D6" s="15">
        <v>36.5</v>
      </c>
      <c r="E6" s="15" t="s">
        <v>357</v>
      </c>
      <c r="F6" s="15">
        <v>37.5</v>
      </c>
      <c r="G6" s="6">
        <v>1</v>
      </c>
      <c r="H6" s="6">
        <v>1</v>
      </c>
      <c r="I6" s="6">
        <f>COUNTIFS(baza!B:B,'ştat sayları'!C:C,baza!H:H,"Paşa Holding")</f>
        <v>0</v>
      </c>
      <c r="J6">
        <v>1</v>
      </c>
      <c r="K6" s="4">
        <f t="shared" si="0"/>
        <v>3</v>
      </c>
      <c r="M6" s="6" t="s">
        <v>255</v>
      </c>
    </row>
    <row r="7" spans="1:18" x14ac:dyDescent="0.35">
      <c r="A7" s="16" t="s">
        <v>240</v>
      </c>
      <c r="B7" s="6">
        <v>74</v>
      </c>
      <c r="C7" s="10" t="s">
        <v>12</v>
      </c>
      <c r="D7" s="15">
        <v>99</v>
      </c>
      <c r="E7" s="15" t="s">
        <v>356</v>
      </c>
      <c r="F7" s="15">
        <v>99</v>
      </c>
      <c r="G7" s="6">
        <f>COUNTIFS(baza!B:B,'ştat sayları'!C:C,baza!H:H,"Bir Payment")</f>
        <v>24</v>
      </c>
      <c r="H7" s="6">
        <f>COUNTIFS(baza!B:B,'ştat sayları'!C:C,baza!H:H,"BirMarket")</f>
        <v>1</v>
      </c>
      <c r="I7" s="6">
        <f>COUNTIFS(baza!B:B,'ştat sayları'!C:C,baza!H:H,"Paşa Holding")</f>
        <v>1</v>
      </c>
      <c r="J7" s="6">
        <f>COUNTIFS(baza!B:B,'ştat sayları'!C:C,baza!H:H,"Future lab")</f>
        <v>0</v>
      </c>
      <c r="K7" s="4">
        <f t="shared" si="0"/>
        <v>26</v>
      </c>
      <c r="L7" t="s">
        <v>995</v>
      </c>
      <c r="M7" s="4" t="s">
        <v>254</v>
      </c>
    </row>
    <row r="8" spans="1:18" x14ac:dyDescent="0.35">
      <c r="A8" s="16" t="s">
        <v>78</v>
      </c>
      <c r="B8" s="6">
        <v>13</v>
      </c>
      <c r="C8" s="10" t="s">
        <v>78</v>
      </c>
      <c r="D8" s="15">
        <v>16</v>
      </c>
      <c r="E8" s="15" t="s">
        <v>1075</v>
      </c>
      <c r="F8" s="15">
        <v>25</v>
      </c>
      <c r="G8" s="6">
        <f>COUNTIFS(baza!B:B,'ştat sayları'!C:C,baza!H:H,"Bir Payment")</f>
        <v>7</v>
      </c>
      <c r="H8" s="6">
        <f>COUNTIFS(baza!B:B,'ştat sayları'!C:C,baza!H:H,"BirMarket")</f>
        <v>0</v>
      </c>
      <c r="I8" s="6">
        <f>COUNTIFS(baza!B:B,'ştat sayları'!C:C,baza!H:H,"Paşa Holding")</f>
        <v>0</v>
      </c>
      <c r="J8" s="6">
        <f>COUNTIFS(baza!B:B,'ştat sayları'!C:C,baza!H:H,"Future lab")</f>
        <v>2</v>
      </c>
      <c r="K8" s="4">
        <f t="shared" si="0"/>
        <v>9</v>
      </c>
      <c r="L8" t="s">
        <v>996</v>
      </c>
      <c r="M8" s="6" t="s">
        <v>255</v>
      </c>
    </row>
    <row r="9" spans="1:18" x14ac:dyDescent="0.35">
      <c r="A9" s="16" t="s">
        <v>0</v>
      </c>
      <c r="B9" s="6">
        <v>0</v>
      </c>
      <c r="C9" s="10" t="s">
        <v>17</v>
      </c>
      <c r="D9" s="15">
        <v>35</v>
      </c>
      <c r="E9" s="15" t="s">
        <v>1083</v>
      </c>
      <c r="F9" s="4">
        <v>34</v>
      </c>
      <c r="G9" s="6">
        <f>COUNTIFS(baza!B:B,'ştat sayları'!C:C,baza!H:H,"Bir Payment")</f>
        <v>0</v>
      </c>
      <c r="H9" s="6">
        <f>COUNTIFS(baza!B:B,'ştat sayları'!C:C,baza!H:H,"BirMarket")</f>
        <v>0</v>
      </c>
      <c r="I9" s="6">
        <f>COUNTIFS(baza!B:B,'ştat sayları'!C:C,baza!H:H,"Paşa Holding")</f>
        <v>0</v>
      </c>
      <c r="J9" s="6">
        <f>COUNTIFS(baza!B:B,'ştat sayları'!C:C,baza!H:H,"Future lab")</f>
        <v>0</v>
      </c>
      <c r="K9" s="4">
        <f t="shared" si="0"/>
        <v>0</v>
      </c>
      <c r="L9" t="s">
        <v>997</v>
      </c>
      <c r="M9" s="4" t="s">
        <v>253</v>
      </c>
    </row>
    <row r="10" spans="1:18" x14ac:dyDescent="0.35">
      <c r="A10" s="16" t="s">
        <v>991</v>
      </c>
      <c r="B10" s="6">
        <v>0</v>
      </c>
      <c r="C10" s="10" t="s">
        <v>87</v>
      </c>
      <c r="D10" s="15">
        <v>16</v>
      </c>
      <c r="E10" s="15" t="s">
        <v>356</v>
      </c>
      <c r="F10" s="4">
        <v>16</v>
      </c>
      <c r="G10" s="6">
        <f>COUNTIFS(baza!B:B,'ştat sayları'!C:C,baza!H:H,"Bir Payment")</f>
        <v>0</v>
      </c>
      <c r="H10" s="6">
        <f>COUNTIFS(baza!B:B,'ştat sayları'!C:C,baza!H:H,"BirMarket")</f>
        <v>0</v>
      </c>
      <c r="I10" s="6">
        <f>COUNTIFS(baza!B:B,'ştat sayları'!C:C,baza!H:H,"Paşa Holding")</f>
        <v>0</v>
      </c>
      <c r="J10" s="6">
        <f>COUNTIFS(baza!B:B,'ştat sayları'!C:C,baza!H:H,"Future lab")</f>
        <v>0</v>
      </c>
      <c r="K10" s="4">
        <f t="shared" si="0"/>
        <v>0</v>
      </c>
      <c r="L10" t="s">
        <v>998</v>
      </c>
      <c r="M10" s="4" t="s">
        <v>253</v>
      </c>
    </row>
    <row r="11" spans="1:18" x14ac:dyDescent="0.35">
      <c r="A11" s="16" t="s">
        <v>36</v>
      </c>
      <c r="B11" s="6">
        <v>190</v>
      </c>
      <c r="C11" s="10" t="s">
        <v>36</v>
      </c>
      <c r="D11" s="15">
        <v>116</v>
      </c>
      <c r="E11" s="15" t="s">
        <v>356</v>
      </c>
      <c r="F11" s="4">
        <v>116</v>
      </c>
      <c r="G11" s="6">
        <f>COUNTIFS(baza!B:B,'ştat sayları'!C:C,baza!H:H,"Bir Payment")</f>
        <v>0</v>
      </c>
      <c r="H11" s="6">
        <f>COUNTIFS(baza!B:B,'ştat sayları'!C:C,baza!H:H,"BirMarket")</f>
        <v>0</v>
      </c>
      <c r="I11" s="6">
        <f>COUNTIFS(baza!B:B,'ştat sayları'!C:C,baza!H:H,"Paşa Holding")</f>
        <v>0</v>
      </c>
      <c r="J11" s="6">
        <f>COUNTIFS(baza!B:B,'ştat sayları'!C:C,baza!H:H,"Future lab")</f>
        <v>0</v>
      </c>
      <c r="K11" s="4">
        <f t="shared" si="0"/>
        <v>0</v>
      </c>
      <c r="L11" t="s">
        <v>999</v>
      </c>
      <c r="M11" s="4" t="s">
        <v>253</v>
      </c>
    </row>
    <row r="12" spans="1:18" x14ac:dyDescent="0.35">
      <c r="A12" s="16" t="s">
        <v>60</v>
      </c>
      <c r="B12" s="6">
        <v>5</v>
      </c>
      <c r="C12" s="10" t="s">
        <v>60</v>
      </c>
      <c r="D12" s="15">
        <v>5</v>
      </c>
      <c r="E12" s="15" t="s">
        <v>356</v>
      </c>
      <c r="F12" s="4">
        <v>5</v>
      </c>
      <c r="G12" s="6">
        <f>COUNTIFS(baza!B:B,'ştat sayları'!C:C,baza!H:H,"Bir Payment")</f>
        <v>0</v>
      </c>
      <c r="H12" s="6">
        <f>COUNTIFS(baza!B:B,'ştat sayları'!C:C,baza!H:H,"BirMarket")</f>
        <v>0</v>
      </c>
      <c r="I12" s="6">
        <f>COUNTIFS(baza!B:B,'ştat sayları'!C:C,baza!H:H,"Paşa Holding")</f>
        <v>0</v>
      </c>
      <c r="J12" s="6">
        <f>COUNTIFS(baza!B:B,'ştat sayları'!C:C,baza!H:H,"Future lab")</f>
        <v>0</v>
      </c>
      <c r="K12" s="4">
        <f t="shared" si="0"/>
        <v>0</v>
      </c>
      <c r="M12" s="4" t="s">
        <v>253</v>
      </c>
    </row>
    <row r="13" spans="1:18" x14ac:dyDescent="0.35">
      <c r="A13" s="16" t="s">
        <v>38</v>
      </c>
      <c r="B13" s="6">
        <v>23</v>
      </c>
      <c r="C13" s="10" t="s">
        <v>38</v>
      </c>
      <c r="D13" s="15">
        <v>12</v>
      </c>
      <c r="E13" s="15" t="s">
        <v>356</v>
      </c>
      <c r="F13" s="4">
        <v>12</v>
      </c>
      <c r="G13" s="6">
        <f>COUNTIFS(baza!B:B,'ştat sayları'!C:C,baza!H:H,"Bir Payment")</f>
        <v>0</v>
      </c>
      <c r="H13" s="6">
        <f>COUNTIFS(baza!B:B,'ştat sayları'!C:C,baza!H:H,"BirMarket")</f>
        <v>0</v>
      </c>
      <c r="I13" s="6">
        <f>COUNTIFS(baza!B:B,'ştat sayları'!C:C,baza!H:H,"Paşa Holding")</f>
        <v>0</v>
      </c>
      <c r="J13" s="6">
        <f>COUNTIFS(baza!B:B,'ştat sayları'!C:C,baza!H:H,"Future lab")</f>
        <v>0</v>
      </c>
      <c r="K13" s="4">
        <f t="shared" si="0"/>
        <v>0</v>
      </c>
      <c r="L13" t="s">
        <v>1000</v>
      </c>
      <c r="M13" s="4" t="s">
        <v>253</v>
      </c>
    </row>
    <row r="14" spans="1:18" x14ac:dyDescent="0.35">
      <c r="A14" s="16" t="s">
        <v>54</v>
      </c>
      <c r="B14" s="6">
        <v>70</v>
      </c>
      <c r="C14" s="10" t="s">
        <v>54</v>
      </c>
      <c r="D14" s="15">
        <v>79</v>
      </c>
      <c r="E14" s="15" t="s">
        <v>356</v>
      </c>
      <c r="F14" s="15">
        <v>79</v>
      </c>
      <c r="G14" s="6">
        <f>COUNTIFS(baza!B:B,'ştat sayları'!C:C,baza!H:H,"Bir Payment")</f>
        <v>3</v>
      </c>
      <c r="H14" s="6">
        <f>COUNTIFS(baza!B:B,'ştat sayları'!C:C,baza!H:H,"BirMarket")</f>
        <v>4</v>
      </c>
      <c r="I14" s="6">
        <f>COUNTIFS(baza!B:B,'ştat sayları'!C:C,baza!H:H,"Paşa Holding")</f>
        <v>0</v>
      </c>
      <c r="J14" s="6">
        <f>COUNTIFS(baza!B:B,'ştat sayları'!C:C,baza!H:H,"Future lab")</f>
        <v>0</v>
      </c>
      <c r="K14" s="4">
        <f t="shared" si="0"/>
        <v>7</v>
      </c>
      <c r="L14" t="s">
        <v>1001</v>
      </c>
      <c r="M14" s="6" t="s">
        <v>255</v>
      </c>
      <c r="N14" t="s">
        <v>257</v>
      </c>
    </row>
    <row r="15" spans="1:18" x14ac:dyDescent="0.35">
      <c r="A15" s="16" t="s">
        <v>991</v>
      </c>
      <c r="B15" s="6">
        <v>0</v>
      </c>
      <c r="C15" s="10" t="s">
        <v>41</v>
      </c>
      <c r="D15" s="15">
        <v>5</v>
      </c>
      <c r="E15" s="15" t="s">
        <v>356</v>
      </c>
      <c r="F15" s="4">
        <v>5</v>
      </c>
      <c r="G15" s="6">
        <f>COUNTIFS(baza!B:B,'ştat sayları'!C:C,baza!H:H,"Bir Payment")</f>
        <v>0</v>
      </c>
      <c r="H15" s="6">
        <f>COUNTIFS(baza!B:B,'ştat sayları'!C:C,baza!H:H,"BirMarket")</f>
        <v>0</v>
      </c>
      <c r="I15" s="6">
        <f>COUNTIFS(baza!B:B,'ştat sayları'!C:C,baza!H:H,"Paşa Holding")</f>
        <v>0</v>
      </c>
      <c r="J15" s="6">
        <f>COUNTIFS(baza!B:B,'ştat sayları'!C:C,baza!H:H,"Future lab")</f>
        <v>0</v>
      </c>
      <c r="K15" s="4">
        <f t="shared" si="0"/>
        <v>0</v>
      </c>
      <c r="L15" t="s">
        <v>1002</v>
      </c>
      <c r="M15" s="4" t="s">
        <v>253</v>
      </c>
    </row>
    <row r="16" spans="1:18" x14ac:dyDescent="0.35">
      <c r="A16" s="16" t="s">
        <v>19</v>
      </c>
      <c r="B16" s="6">
        <v>6</v>
      </c>
      <c r="C16" s="10" t="s">
        <v>20</v>
      </c>
      <c r="D16" s="15">
        <v>6</v>
      </c>
      <c r="E16" s="15" t="s">
        <v>356</v>
      </c>
      <c r="F16" s="4">
        <v>6</v>
      </c>
      <c r="G16" s="6">
        <f>COUNTIFS(baza!B:B,'ştat sayları'!C:C,baza!H:H,"Bir Payment")</f>
        <v>0</v>
      </c>
      <c r="H16" s="6">
        <f>COUNTIFS(baza!B:B,'ştat sayları'!C:C,baza!H:H,"BirMarket")</f>
        <v>0</v>
      </c>
      <c r="I16" s="6">
        <f>COUNTIFS(baza!B:B,'ştat sayları'!C:C,baza!H:H,"Paşa Holding")</f>
        <v>0</v>
      </c>
      <c r="J16" s="6">
        <f>COUNTIFS(baza!B:B,'ştat sayları'!C:C,baza!H:H,"Future lab")</f>
        <v>0</v>
      </c>
      <c r="K16" s="4">
        <f t="shared" si="0"/>
        <v>0</v>
      </c>
      <c r="M16" s="4" t="s">
        <v>253</v>
      </c>
    </row>
    <row r="17" spans="1:14" x14ac:dyDescent="0.35">
      <c r="A17" s="16" t="s">
        <v>0</v>
      </c>
      <c r="B17" s="6">
        <v>0</v>
      </c>
      <c r="C17" s="10" t="s">
        <v>48</v>
      </c>
      <c r="D17" s="15">
        <v>28</v>
      </c>
      <c r="E17" s="15" t="s">
        <v>356</v>
      </c>
      <c r="F17" s="15">
        <v>28</v>
      </c>
      <c r="G17" s="6">
        <f>COUNTIFS(baza!B:B,'ştat sayları'!C:C,baza!H:H,"Bir Payment")</f>
        <v>3</v>
      </c>
      <c r="H17" s="6">
        <f>COUNTIFS(baza!B:B,'ştat sayları'!C:C,baza!H:H,"BirMarket")</f>
        <v>0</v>
      </c>
      <c r="I17" s="6">
        <f>COUNTIFS(baza!B:B,'ştat sayları'!C:C,baza!H:H,"Paşa Holding")</f>
        <v>4</v>
      </c>
      <c r="J17" s="6">
        <f>COUNTIFS(baza!B:B,'ştat sayları'!C:C,baza!H:H,"Future lab")</f>
        <v>0</v>
      </c>
      <c r="K17" s="4">
        <f t="shared" si="0"/>
        <v>7</v>
      </c>
      <c r="L17" t="s">
        <v>1004</v>
      </c>
      <c r="M17" s="4" t="s">
        <v>262</v>
      </c>
    </row>
    <row r="18" spans="1:14" x14ac:dyDescent="0.35">
      <c r="A18" s="16" t="s">
        <v>80</v>
      </c>
      <c r="B18" s="6">
        <v>4</v>
      </c>
      <c r="C18" s="10" t="s">
        <v>80</v>
      </c>
      <c r="D18" s="15">
        <v>5</v>
      </c>
      <c r="E18" s="15" t="s">
        <v>356</v>
      </c>
      <c r="F18" s="4">
        <v>5</v>
      </c>
      <c r="G18" s="6">
        <f>COUNTIFS(baza!B:B,'ştat sayları'!C:C,baza!H:H,"Bir Payment")</f>
        <v>0</v>
      </c>
      <c r="H18" s="6">
        <f>COUNTIFS(baza!B:B,'ştat sayları'!C:C,baza!H:H,"BirMarket")</f>
        <v>0</v>
      </c>
      <c r="I18" s="6">
        <f>COUNTIFS(baza!B:B,'ştat sayları'!C:C,baza!H:H,"Paşa Holding")</f>
        <v>0</v>
      </c>
      <c r="J18" s="6">
        <f>COUNTIFS(baza!B:B,'ştat sayları'!C:C,baza!H:H,"Future lab")</f>
        <v>0</v>
      </c>
      <c r="K18" s="4">
        <f t="shared" si="0"/>
        <v>0</v>
      </c>
      <c r="L18" t="s">
        <v>1005</v>
      </c>
      <c r="M18" s="4" t="s">
        <v>259</v>
      </c>
    </row>
    <row r="19" spans="1:14" x14ac:dyDescent="0.35">
      <c r="A19" s="16" t="s">
        <v>90</v>
      </c>
      <c r="B19" s="6">
        <v>2018</v>
      </c>
      <c r="C19" s="47" t="s">
        <v>90</v>
      </c>
      <c r="D19" s="15">
        <v>2008</v>
      </c>
      <c r="E19" s="15" t="s">
        <v>1084</v>
      </c>
      <c r="F19" s="4">
        <v>1950</v>
      </c>
      <c r="G19" s="6">
        <f>COUNTIFS(baza!B:B,'ştat sayları'!C:C,baza!H:H,"Bir Payment")</f>
        <v>0</v>
      </c>
      <c r="H19" s="6">
        <f>COUNTIFS(baza!B:B,'ştat sayları'!C:C,baza!H:H,"BirMarket")</f>
        <v>0</v>
      </c>
      <c r="I19" s="6">
        <f>COUNTIFS(baza!B:B,'ştat sayları'!C:C,baza!H:H,"Paşa Holding")</f>
        <v>0</v>
      </c>
      <c r="J19" s="6">
        <f>COUNTIFS(baza!B:B,'ştat sayları'!C:C,baza!H:H,"Future lab")</f>
        <v>0</v>
      </c>
      <c r="K19" s="4">
        <f t="shared" si="0"/>
        <v>0</v>
      </c>
      <c r="L19" t="s">
        <v>1006</v>
      </c>
      <c r="M19" s="4" t="s">
        <v>259</v>
      </c>
      <c r="N19" t="s">
        <v>1029</v>
      </c>
    </row>
    <row r="20" spans="1:14" x14ac:dyDescent="0.35">
      <c r="A20" s="9" t="s">
        <v>26</v>
      </c>
      <c r="B20" s="6">
        <v>6</v>
      </c>
      <c r="C20" s="10" t="s">
        <v>27</v>
      </c>
      <c r="D20" s="15">
        <v>6</v>
      </c>
      <c r="E20" s="15" t="s">
        <v>356</v>
      </c>
      <c r="F20" s="4">
        <v>6</v>
      </c>
      <c r="G20" s="6">
        <f>COUNTIFS(baza!B:B,'ştat sayları'!C:C,baza!H:H,"Bir Payment")</f>
        <v>0</v>
      </c>
      <c r="H20" s="6">
        <f>COUNTIFS(baza!B:B,'ştat sayları'!C:C,baza!H:H,"BirMarket")</f>
        <v>0</v>
      </c>
      <c r="I20" s="6">
        <f>COUNTIFS(baza!B:B,'ştat sayları'!C:C,baza!H:H,"Paşa Holding")</f>
        <v>0</v>
      </c>
      <c r="J20" s="6">
        <f>COUNTIFS(baza!B:B,'ştat sayları'!C:C,baza!H:H,"Future lab")</f>
        <v>0</v>
      </c>
      <c r="K20" s="4">
        <f t="shared" si="0"/>
        <v>0</v>
      </c>
      <c r="M20" s="4" t="s">
        <v>253</v>
      </c>
    </row>
    <row r="21" spans="1:14" x14ac:dyDescent="0.35">
      <c r="A21" s="16" t="s">
        <v>30</v>
      </c>
      <c r="B21" s="6">
        <v>656</v>
      </c>
      <c r="C21" s="10" t="s">
        <v>30</v>
      </c>
      <c r="D21" s="15">
        <v>669</v>
      </c>
      <c r="E21" s="15" t="s">
        <v>356</v>
      </c>
      <c r="F21" s="4">
        <v>669</v>
      </c>
      <c r="G21" s="6">
        <f>COUNTIFS(baza!B:B,'ştat sayları'!C:C,baza!H:H,"Bir Payment")</f>
        <v>0</v>
      </c>
      <c r="H21" s="6">
        <f>COUNTIFS(baza!B:B,'ştat sayları'!C:C,baza!H:H,"BirMarket")</f>
        <v>0</v>
      </c>
      <c r="I21" s="6">
        <f>COUNTIFS(baza!B:B,'ştat sayları'!C:C,baza!H:H,"Paşa Holding")</f>
        <v>0</v>
      </c>
      <c r="J21" s="6">
        <f>COUNTIFS(baza!B:B,'ştat sayları'!C:C,baza!H:H,"Future lab")</f>
        <v>0</v>
      </c>
      <c r="K21" s="4">
        <f t="shared" si="0"/>
        <v>0</v>
      </c>
      <c r="L21" t="s">
        <v>1007</v>
      </c>
      <c r="M21" s="4" t="s">
        <v>259</v>
      </c>
    </row>
    <row r="22" spans="1:14" x14ac:dyDescent="0.35">
      <c r="A22" s="16" t="s">
        <v>67</v>
      </c>
      <c r="B22" s="6">
        <v>20</v>
      </c>
      <c r="C22" s="10" t="s">
        <v>67</v>
      </c>
      <c r="D22" s="15">
        <v>21</v>
      </c>
      <c r="E22" s="15" t="s">
        <v>356</v>
      </c>
      <c r="F22" s="4">
        <v>21</v>
      </c>
      <c r="G22" s="6">
        <f>COUNTIFS(baza!B:B,'ştat sayları'!C:C,baza!H:H,"Bir Payment")</f>
        <v>0</v>
      </c>
      <c r="H22" s="6">
        <f>COUNTIFS(baza!B:B,'ştat sayları'!C:C,baza!H:H,"BirMarket")</f>
        <v>0</v>
      </c>
      <c r="I22" s="6">
        <f>COUNTIFS(baza!B:B,'ştat sayları'!C:C,baza!H:H,"Paşa Holding")</f>
        <v>0</v>
      </c>
      <c r="J22" s="6">
        <f>COUNTIFS(baza!B:B,'ştat sayları'!C:C,baza!H:H,"Future lab")</f>
        <v>0</v>
      </c>
      <c r="K22" s="4">
        <f t="shared" si="0"/>
        <v>0</v>
      </c>
      <c r="L22" t="s">
        <v>1008</v>
      </c>
      <c r="M22" s="4" t="s">
        <v>259</v>
      </c>
    </row>
    <row r="23" spans="1:14" x14ac:dyDescent="0.35">
      <c r="A23" s="16" t="s">
        <v>29</v>
      </c>
      <c r="B23" s="6">
        <v>91</v>
      </c>
      <c r="C23" s="10" t="s">
        <v>29</v>
      </c>
      <c r="D23" s="15">
        <v>99</v>
      </c>
      <c r="E23" s="15" t="s">
        <v>356</v>
      </c>
      <c r="F23" s="15">
        <v>99</v>
      </c>
      <c r="G23" s="63">
        <v>5</v>
      </c>
      <c r="H23" s="6">
        <f>COUNTIFS(baza!B:B,'ştat sayları'!C:C,baza!H:H,"BirMarket")</f>
        <v>1</v>
      </c>
      <c r="I23" s="6">
        <f>COUNTIFS(baza!B:B,'ştat sayları'!C:C,baza!H:H,"Paşa Holding")</f>
        <v>0</v>
      </c>
      <c r="J23" s="6">
        <f>COUNTIFS(baza!B:B,'ştat sayları'!C:C,baza!H:H,"Future lab")</f>
        <v>0</v>
      </c>
      <c r="K23" s="4">
        <f t="shared" si="0"/>
        <v>6</v>
      </c>
      <c r="L23" t="s">
        <v>1009</v>
      </c>
      <c r="M23" s="6" t="s">
        <v>255</v>
      </c>
      <c r="N23" t="s">
        <v>358</v>
      </c>
    </row>
    <row r="24" spans="1:14" x14ac:dyDescent="0.35">
      <c r="A24" s="16" t="s">
        <v>79</v>
      </c>
      <c r="B24" s="6">
        <v>6</v>
      </c>
      <c r="C24" s="10" t="s">
        <v>79</v>
      </c>
      <c r="D24" s="15">
        <v>7</v>
      </c>
      <c r="E24" s="15" t="s">
        <v>356</v>
      </c>
      <c r="F24" s="4">
        <v>7</v>
      </c>
      <c r="G24" s="6">
        <f>COUNTIFS(baza!B:B,'ştat sayları'!C:C,baza!H:H,"Bir Payment")</f>
        <v>0</v>
      </c>
      <c r="H24" s="6">
        <f>COUNTIFS(baza!B:B,'ştat sayları'!C:C,baza!H:H,"BirMarket")</f>
        <v>0</v>
      </c>
      <c r="I24" s="6">
        <f>COUNTIFS(baza!B:B,'ştat sayları'!C:C,baza!H:H,"Paşa Holding")</f>
        <v>0</v>
      </c>
      <c r="J24" s="6">
        <f>COUNTIFS(baza!B:B,'ştat sayları'!C:C,baza!H:H,"Future lab")</f>
        <v>0</v>
      </c>
      <c r="K24" s="4">
        <f t="shared" si="0"/>
        <v>0</v>
      </c>
      <c r="L24" t="s">
        <v>1010</v>
      </c>
      <c r="M24" s="4" t="s">
        <v>259</v>
      </c>
    </row>
    <row r="25" spans="1:14" x14ac:dyDescent="0.35">
      <c r="A25" s="16" t="s">
        <v>0</v>
      </c>
      <c r="B25" s="6">
        <v>0</v>
      </c>
      <c r="C25" s="10" t="s">
        <v>58</v>
      </c>
      <c r="D25" s="15">
        <v>11</v>
      </c>
      <c r="E25" s="15" t="s">
        <v>356</v>
      </c>
      <c r="F25" s="15">
        <v>11</v>
      </c>
      <c r="G25" s="6">
        <f>COUNTIFS(baza!B:B,'ştat sayları'!C:C,baza!H:H,"Bir Payment")</f>
        <v>1</v>
      </c>
      <c r="H25" s="6">
        <f>COUNTIFS(baza!B:B,'ştat sayları'!C:C,baza!H:H,"BirMarket")</f>
        <v>0</v>
      </c>
      <c r="I25" s="6">
        <f>COUNTIFS(baza!B:B,'ştat sayları'!C:C,baza!H:H,"Paşa Holding")</f>
        <v>8</v>
      </c>
      <c r="J25" s="6">
        <f>COUNTIFS(baza!B:B,'ştat sayları'!C:C,baza!H:H,"Future lab")</f>
        <v>0</v>
      </c>
      <c r="K25" s="4">
        <f t="shared" si="0"/>
        <v>9</v>
      </c>
      <c r="L25" t="s">
        <v>1011</v>
      </c>
      <c r="M25" s="4" t="s">
        <v>262</v>
      </c>
    </row>
    <row r="26" spans="1:14" x14ac:dyDescent="0.35">
      <c r="A26" s="16" t="s">
        <v>0</v>
      </c>
      <c r="B26" s="6">
        <v>0</v>
      </c>
      <c r="C26" s="47" t="s">
        <v>86</v>
      </c>
      <c r="D26" s="15">
        <v>13</v>
      </c>
      <c r="E26" s="15" t="s">
        <v>356</v>
      </c>
      <c r="F26" s="4">
        <v>13</v>
      </c>
      <c r="G26" s="6">
        <f>COUNTIFS(baza!B:B,'ştat sayları'!C:C,baza!H:H,"Bir Payment")</f>
        <v>0</v>
      </c>
      <c r="H26" s="6">
        <f>COUNTIFS(baza!B:B,'ştat sayları'!C:C,baza!H:H,"BirMarket")</f>
        <v>0</v>
      </c>
      <c r="I26" s="6">
        <f>COUNTIFS(baza!B:B,'ştat sayları'!C:C,baza!H:H,"Paşa Holding")</f>
        <v>0</v>
      </c>
      <c r="J26" s="6">
        <f>COUNTIFS(baza!B:B,'ştat sayları'!C:C,baza!H:H,"Future lab")</f>
        <v>0</v>
      </c>
      <c r="K26" s="4">
        <f t="shared" si="0"/>
        <v>0</v>
      </c>
      <c r="L26" t="s">
        <v>1064</v>
      </c>
      <c r="M26" s="4" t="s">
        <v>258</v>
      </c>
    </row>
    <row r="27" spans="1:14" x14ac:dyDescent="0.35">
      <c r="A27" s="16" t="s">
        <v>991</v>
      </c>
      <c r="B27" s="6">
        <v>0</v>
      </c>
      <c r="C27" s="10" t="s">
        <v>88</v>
      </c>
      <c r="D27" s="15">
        <v>3</v>
      </c>
      <c r="E27" s="15" t="s">
        <v>356</v>
      </c>
      <c r="F27" s="4">
        <v>3</v>
      </c>
      <c r="G27" s="6">
        <f>COUNTIFS(baza!B:B,'ştat sayları'!C:C,baza!H:H,"Bir Payment")</f>
        <v>0</v>
      </c>
      <c r="H27" s="6">
        <f>COUNTIFS(baza!B:B,'ştat sayları'!C:C,baza!H:H,"BirMarket")</f>
        <v>0</v>
      </c>
      <c r="I27" s="6">
        <f>COUNTIFS(baza!B:B,'ştat sayları'!C:C,baza!H:H,"Paşa Holding")</f>
        <v>0</v>
      </c>
      <c r="J27" s="6">
        <f>COUNTIFS(baza!B:B,'ştat sayları'!C:C,baza!H:H,"Future lab")</f>
        <v>0</v>
      </c>
      <c r="K27" s="4">
        <f t="shared" si="0"/>
        <v>0</v>
      </c>
      <c r="L27" t="s">
        <v>1012</v>
      </c>
      <c r="M27" s="4" t="s">
        <v>258</v>
      </c>
    </row>
    <row r="28" spans="1:14" s="17" customFormat="1" x14ac:dyDescent="0.35">
      <c r="A28" s="16" t="s">
        <v>991</v>
      </c>
      <c r="B28" s="15">
        <v>0</v>
      </c>
      <c r="C28" s="16" t="s">
        <v>89</v>
      </c>
      <c r="D28" s="15">
        <v>5</v>
      </c>
      <c r="E28" s="15" t="s">
        <v>356</v>
      </c>
      <c r="F28" s="4">
        <v>5</v>
      </c>
      <c r="G28" s="6">
        <f>COUNTIFS(baza!B:B,'ştat sayları'!C:C,baza!H:H,"Bir Payment")</f>
        <v>0</v>
      </c>
      <c r="H28" s="6">
        <f>COUNTIFS(baza!B:B,'ştat sayları'!C:C,baza!H:H,"BirMarket")</f>
        <v>0</v>
      </c>
      <c r="I28" s="6">
        <f>COUNTIFS(baza!B:B,'ştat sayları'!C:C,baza!H:H,"Paşa Holding")</f>
        <v>0</v>
      </c>
      <c r="J28" s="6">
        <f>COUNTIFS(baza!B:B,'ştat sayları'!C:C,baza!H:H,"Future lab")</f>
        <v>0</v>
      </c>
      <c r="K28" s="4">
        <f t="shared" si="0"/>
        <v>0</v>
      </c>
      <c r="L28" s="17" t="s">
        <v>1013</v>
      </c>
      <c r="M28" s="4" t="s">
        <v>258</v>
      </c>
    </row>
    <row r="29" spans="1:14" x14ac:dyDescent="0.35">
      <c r="A29" s="16" t="s">
        <v>65</v>
      </c>
      <c r="B29" s="6">
        <v>55</v>
      </c>
      <c r="C29" s="11" t="s">
        <v>65</v>
      </c>
      <c r="D29" s="15">
        <v>55</v>
      </c>
      <c r="E29" s="15" t="s">
        <v>356</v>
      </c>
      <c r="F29" s="4">
        <v>55</v>
      </c>
      <c r="G29" s="6">
        <f>COUNTIFS(baza!B:B,'ştat sayları'!C:C,baza!H:H,"Bir Payment")</f>
        <v>0</v>
      </c>
      <c r="H29" s="6">
        <f>COUNTIFS(baza!B:B,'ştat sayları'!C:C,baza!H:H,"BirMarket")</f>
        <v>0</v>
      </c>
      <c r="I29" s="6">
        <f>COUNTIFS(baza!B:B,'ştat sayları'!C:C,baza!H:H,"Paşa Holding")</f>
        <v>0</v>
      </c>
      <c r="J29" s="6">
        <f>COUNTIFS(baza!B:B,'ştat sayları'!C:C,baza!H:H,"Future lab")</f>
        <v>0</v>
      </c>
      <c r="K29" s="4">
        <f t="shared" si="0"/>
        <v>0</v>
      </c>
      <c r="M29" s="4" t="s">
        <v>259</v>
      </c>
    </row>
    <row r="30" spans="1:14" x14ac:dyDescent="0.35">
      <c r="A30" s="16" t="s">
        <v>69</v>
      </c>
      <c r="B30" s="6">
        <v>30</v>
      </c>
      <c r="C30" s="11" t="s">
        <v>69</v>
      </c>
      <c r="D30" s="15">
        <v>29</v>
      </c>
      <c r="E30" s="15" t="s">
        <v>356</v>
      </c>
      <c r="F30" s="4">
        <v>29</v>
      </c>
      <c r="G30" s="6">
        <f>COUNTIFS(baza!B:B,'ştat sayları'!C:C,baza!H:H,"Bir Payment")</f>
        <v>0</v>
      </c>
      <c r="H30" s="6">
        <f>COUNTIFS(baza!B:B,'ştat sayları'!C:C,baza!H:H,"BirMarket")</f>
        <v>0</v>
      </c>
      <c r="I30" s="6">
        <f>COUNTIFS(baza!B:B,'ştat sayları'!C:C,baza!H:H,"Paşa Holding")</f>
        <v>0</v>
      </c>
      <c r="J30" s="6">
        <f>COUNTIFS(baza!B:B,'ştat sayları'!C:C,baza!H:H,"Future lab")</f>
        <v>0</v>
      </c>
      <c r="K30" s="4">
        <f t="shared" si="0"/>
        <v>0</v>
      </c>
      <c r="L30" s="17" t="s">
        <v>1014</v>
      </c>
      <c r="M30" s="4" t="s">
        <v>259</v>
      </c>
    </row>
    <row r="31" spans="1:14" x14ac:dyDescent="0.35">
      <c r="A31" s="16" t="s">
        <v>70</v>
      </c>
      <c r="B31" s="6">
        <v>133</v>
      </c>
      <c r="C31" s="11" t="s">
        <v>70</v>
      </c>
      <c r="D31" s="15">
        <v>133</v>
      </c>
      <c r="E31" s="15" t="s">
        <v>356</v>
      </c>
      <c r="F31" s="4">
        <v>133</v>
      </c>
      <c r="G31" s="6">
        <f>COUNTIFS(baza!B:B,'ştat sayları'!C:C,baza!H:H,"Bir Payment")</f>
        <v>0</v>
      </c>
      <c r="H31" s="6">
        <f>COUNTIFS(baza!B:B,'ştat sayları'!C:C,baza!H:H,"BirMarket")</f>
        <v>0</v>
      </c>
      <c r="I31" s="6">
        <f>COUNTIFS(baza!B:B,'ştat sayları'!C:C,baza!H:H,"Paşa Holding")</f>
        <v>0</v>
      </c>
      <c r="J31" s="6">
        <f>COUNTIFS(baza!B:B,'ştat sayları'!C:C,baza!H:H,"Future lab")</f>
        <v>0</v>
      </c>
      <c r="K31" s="4">
        <f t="shared" si="0"/>
        <v>0</v>
      </c>
      <c r="M31" s="4" t="s">
        <v>259</v>
      </c>
    </row>
    <row r="32" spans="1:14" x14ac:dyDescent="0.35">
      <c r="A32" s="16" t="s">
        <v>71</v>
      </c>
      <c r="B32" s="6">
        <v>58</v>
      </c>
      <c r="C32" s="11" t="s">
        <v>71</v>
      </c>
      <c r="D32" s="15">
        <v>58</v>
      </c>
      <c r="E32" s="15" t="s">
        <v>356</v>
      </c>
      <c r="F32" s="4">
        <v>58</v>
      </c>
      <c r="G32" s="6">
        <f>COUNTIFS(baza!B:B,'ştat sayları'!C:C,baza!H:H,"Bir Payment")</f>
        <v>0</v>
      </c>
      <c r="H32" s="6">
        <f>COUNTIFS(baza!B:B,'ştat sayları'!C:C,baza!H:H,"BirMarket")</f>
        <v>0</v>
      </c>
      <c r="I32" s="6">
        <f>COUNTIFS(baza!B:B,'ştat sayları'!C:C,baza!H:H,"Paşa Holding")</f>
        <v>0</v>
      </c>
      <c r="J32" s="6">
        <f>COUNTIFS(baza!B:B,'ştat sayları'!C:C,baza!H:H,"Future lab")</f>
        <v>0</v>
      </c>
      <c r="K32" s="4">
        <f t="shared" si="0"/>
        <v>0</v>
      </c>
      <c r="M32" s="4" t="s">
        <v>259</v>
      </c>
    </row>
    <row r="33" spans="1:14" x14ac:dyDescent="0.35">
      <c r="A33" s="16" t="s">
        <v>50</v>
      </c>
      <c r="B33" s="6">
        <v>33</v>
      </c>
      <c r="C33" s="11" t="s">
        <v>50</v>
      </c>
      <c r="D33" s="15">
        <v>28</v>
      </c>
      <c r="E33" s="15" t="s">
        <v>356</v>
      </c>
      <c r="F33" s="4">
        <v>28</v>
      </c>
      <c r="G33" s="6">
        <f>COUNTIFS(baza!B:B,'ştat sayları'!C:C,baza!H:H,"Bir Payment")</f>
        <v>0</v>
      </c>
      <c r="H33" s="6">
        <f>COUNTIFS(baza!B:B,'ştat sayları'!C:C,baza!H:H,"BirMarket")</f>
        <v>0</v>
      </c>
      <c r="I33" s="6">
        <f>COUNTIFS(baza!B:B,'ştat sayları'!C:C,baza!H:H,"Paşa Holding")</f>
        <v>0</v>
      </c>
      <c r="J33" s="6">
        <f>COUNTIFS(baza!B:B,'ştat sayları'!C:C,baza!H:H,"Future lab")</f>
        <v>0</v>
      </c>
      <c r="K33" s="4">
        <f t="shared" si="0"/>
        <v>0</v>
      </c>
      <c r="L33" s="17" t="s">
        <v>1015</v>
      </c>
      <c r="M33" s="4" t="s">
        <v>259</v>
      </c>
    </row>
    <row r="34" spans="1:14" x14ac:dyDescent="0.35">
      <c r="A34" s="16" t="s">
        <v>81</v>
      </c>
      <c r="B34" s="6">
        <v>12</v>
      </c>
      <c r="C34" s="11" t="s">
        <v>81</v>
      </c>
      <c r="D34" s="15">
        <v>12</v>
      </c>
      <c r="E34" s="15" t="s">
        <v>356</v>
      </c>
      <c r="F34" s="4">
        <v>12</v>
      </c>
      <c r="G34" s="6">
        <f>COUNTIFS(baza!B:B,'ştat sayları'!C:C,baza!H:H,"Bir Payment")</f>
        <v>0</v>
      </c>
      <c r="H34" s="6">
        <f>COUNTIFS(baza!B:B,'ştat sayları'!C:C,baza!H:H,"BirMarket")</f>
        <v>0</v>
      </c>
      <c r="I34" s="6">
        <f>COUNTIFS(baza!B:B,'ştat sayları'!C:C,baza!H:H,"Paşa Holding")</f>
        <v>0</v>
      </c>
      <c r="J34" s="6">
        <f>COUNTIFS(baza!B:B,'ştat sayları'!C:C,baza!H:H,"Future lab")</f>
        <v>0</v>
      </c>
      <c r="K34" s="4">
        <f t="shared" si="0"/>
        <v>0</v>
      </c>
      <c r="M34" s="4" t="s">
        <v>259</v>
      </c>
    </row>
    <row r="35" spans="1:14" x14ac:dyDescent="0.35">
      <c r="A35" s="16" t="s">
        <v>56</v>
      </c>
      <c r="B35" s="6">
        <v>72</v>
      </c>
      <c r="C35" s="11" t="s">
        <v>56</v>
      </c>
      <c r="D35" s="15">
        <v>23</v>
      </c>
      <c r="E35" s="15" t="s">
        <v>356</v>
      </c>
      <c r="F35" s="15">
        <v>23</v>
      </c>
      <c r="G35" s="6">
        <f>COUNTIFS(baza!B:B,'ştat sayları'!C:C,baza!H:H,"Bir Payment")</f>
        <v>0</v>
      </c>
      <c r="H35" s="6">
        <f>COUNTIFS(baza!B:B,'ştat sayları'!C:C,baza!H:H,"BirMarket")</f>
        <v>1</v>
      </c>
      <c r="I35" s="6">
        <f>COUNTIFS(baza!B:B,'ştat sayları'!C:C,baza!H:H,"Paşa Holding")</f>
        <v>0</v>
      </c>
      <c r="J35" s="6">
        <f>COUNTIFS(baza!B:B,'ştat sayları'!C:C,baza!H:H,"Future lab")</f>
        <v>0</v>
      </c>
      <c r="K35" s="4">
        <f t="shared" si="0"/>
        <v>1</v>
      </c>
      <c r="L35" s="17" t="s">
        <v>1016</v>
      </c>
      <c r="M35" s="6" t="s">
        <v>255</v>
      </c>
    </row>
    <row r="36" spans="1:14" x14ac:dyDescent="0.35">
      <c r="A36" s="16" t="s">
        <v>991</v>
      </c>
      <c r="B36" s="6">
        <v>0</v>
      </c>
      <c r="C36" s="11" t="s">
        <v>22</v>
      </c>
      <c r="D36" s="15">
        <v>83</v>
      </c>
      <c r="E36" s="15" t="s">
        <v>356</v>
      </c>
      <c r="F36" s="15">
        <v>83</v>
      </c>
      <c r="G36" s="6">
        <f>COUNTIFS(baza!B:B,'ştat sayları'!C:C,baza!H:H,"Bir Payment")</f>
        <v>9</v>
      </c>
      <c r="H36" s="6">
        <f>COUNTIFS(baza!B:B,'ştat sayları'!C:C,baza!H:H,"BirMarket")</f>
        <v>12</v>
      </c>
      <c r="I36" s="6">
        <f>COUNTIFS(baza!B:B,'ştat sayları'!C:C,baza!H:H,"Paşa Holding")</f>
        <v>2</v>
      </c>
      <c r="J36" s="6">
        <f>COUNTIFS(baza!B:B,'ştat sayları'!C:C,baza!H:H,"Future lab")</f>
        <v>1</v>
      </c>
      <c r="K36" s="4">
        <f t="shared" si="0"/>
        <v>24</v>
      </c>
      <c r="L36" s="17" t="s">
        <v>1017</v>
      </c>
      <c r="M36" s="4" t="s">
        <v>254</v>
      </c>
    </row>
    <row r="37" spans="1:14" x14ac:dyDescent="0.35">
      <c r="A37" s="16" t="s">
        <v>31</v>
      </c>
      <c r="B37" s="6">
        <v>53.5</v>
      </c>
      <c r="C37" s="10" t="s">
        <v>31</v>
      </c>
      <c r="D37" s="15">
        <v>71.5</v>
      </c>
      <c r="E37" s="15" t="s">
        <v>356</v>
      </c>
      <c r="F37" s="15">
        <v>71.5</v>
      </c>
      <c r="G37" s="6">
        <f>COUNTIFS(baza!B:B,'ştat sayları'!C:C,baza!H:H,"Bir Payment")</f>
        <v>7</v>
      </c>
      <c r="H37" s="6">
        <f>COUNTIFS(baza!B:B,'ştat sayları'!C:C,baza!H:H,"BirMarket")</f>
        <v>8</v>
      </c>
      <c r="I37" s="6">
        <f>COUNTIFS(baza!B:B,'ştat sayları'!C:C,baza!H:H,"Paşa Holding")</f>
        <v>0</v>
      </c>
      <c r="J37" s="6">
        <f>COUNTIFS(baza!B:B,'ştat sayları'!C:C,baza!H:H,"Future lab")</f>
        <v>0</v>
      </c>
      <c r="K37" s="4">
        <f t="shared" si="0"/>
        <v>15</v>
      </c>
      <c r="L37" s="17" t="s">
        <v>1018</v>
      </c>
      <c r="M37" s="6" t="s">
        <v>255</v>
      </c>
      <c r="N37" t="s">
        <v>359</v>
      </c>
    </row>
    <row r="38" spans="1:14" x14ac:dyDescent="0.35">
      <c r="A38" s="16" t="s">
        <v>68</v>
      </c>
      <c r="B38" s="6">
        <v>94</v>
      </c>
      <c r="C38" s="10" t="s">
        <v>68</v>
      </c>
      <c r="D38" s="15">
        <v>94</v>
      </c>
      <c r="E38" s="15" t="s">
        <v>356</v>
      </c>
      <c r="F38" s="15">
        <v>94</v>
      </c>
      <c r="G38" s="6">
        <f>COUNTIFS(baza!B:B,'ştat sayları'!C:C,baza!H:H,"Bir Payment")</f>
        <v>0</v>
      </c>
      <c r="H38" s="6">
        <f>COUNTIFS(baza!B:B,'ştat sayları'!C:C,baza!H:H,"BirMarket")</f>
        <v>0</v>
      </c>
      <c r="I38" s="6">
        <f>COUNTIFS(baza!B:B,'ştat sayları'!C:C,baza!H:H,"Paşa Holding")</f>
        <v>0</v>
      </c>
      <c r="J38" s="6">
        <f>COUNTIFS(baza!B:B,'ştat sayları'!C:C,baza!H:H,"Future lab")</f>
        <v>0</v>
      </c>
      <c r="K38" s="4">
        <f t="shared" si="0"/>
        <v>0</v>
      </c>
      <c r="M38" s="4" t="s">
        <v>259</v>
      </c>
    </row>
    <row r="39" spans="1:14" x14ac:dyDescent="0.35">
      <c r="A39" s="16" t="s">
        <v>72</v>
      </c>
      <c r="B39" s="6">
        <v>207</v>
      </c>
      <c r="C39" s="10" t="s">
        <v>72</v>
      </c>
      <c r="D39" s="15">
        <v>204</v>
      </c>
      <c r="E39" s="15" t="s">
        <v>356</v>
      </c>
      <c r="F39" s="15">
        <v>204</v>
      </c>
      <c r="G39" s="6">
        <f>COUNTIFS(baza!B:B,'ştat sayları'!C:C,baza!H:H,"Bir Payment")</f>
        <v>0</v>
      </c>
      <c r="H39" s="6">
        <f>COUNTIFS(baza!B:B,'ştat sayları'!C:C,baza!H:H,"BirMarket")</f>
        <v>0</v>
      </c>
      <c r="I39" s="6">
        <f>COUNTIFS(baza!B:B,'ştat sayları'!C:C,baza!H:H,"Paşa Holding")</f>
        <v>0</v>
      </c>
      <c r="J39" s="6">
        <f>COUNTIFS(baza!B:B,'ştat sayları'!C:C,baza!H:H,"Future lab")</f>
        <v>0</v>
      </c>
      <c r="K39" s="4">
        <f t="shared" si="0"/>
        <v>0</v>
      </c>
      <c r="L39" t="s">
        <v>1019</v>
      </c>
      <c r="M39" s="4" t="s">
        <v>259</v>
      </c>
    </row>
    <row r="40" spans="1:14" x14ac:dyDescent="0.35">
      <c r="A40" s="16" t="s">
        <v>74</v>
      </c>
      <c r="B40" s="6">
        <v>3</v>
      </c>
      <c r="C40" s="10" t="s">
        <v>74</v>
      </c>
      <c r="D40" s="15">
        <v>3</v>
      </c>
      <c r="E40" s="15" t="s">
        <v>356</v>
      </c>
      <c r="F40" s="15">
        <v>3</v>
      </c>
      <c r="G40" s="6">
        <f>COUNTIFS(baza!B:B,'ştat sayları'!C:C,baza!H:H,"Bir Payment")</f>
        <v>0</v>
      </c>
      <c r="H40" s="6">
        <f>COUNTIFS(baza!B:B,'ştat sayları'!C:C,baza!H:H,"BirMarket")</f>
        <v>0</v>
      </c>
      <c r="I40" s="6">
        <f>COUNTIFS(baza!B:B,'ştat sayları'!C:C,baza!H:H,"Paşa Holding")</f>
        <v>0</v>
      </c>
      <c r="J40" s="6">
        <f>COUNTIFS(baza!B:B,'ştat sayları'!C:C,baza!H:H,"Future lab")</f>
        <v>0</v>
      </c>
      <c r="K40" s="4">
        <f t="shared" si="0"/>
        <v>0</v>
      </c>
      <c r="M40" s="4" t="s">
        <v>259</v>
      </c>
    </row>
    <row r="41" spans="1:14" x14ac:dyDescent="0.35">
      <c r="A41" s="16" t="s">
        <v>76</v>
      </c>
      <c r="B41" s="6">
        <v>8</v>
      </c>
      <c r="C41" s="16" t="s">
        <v>76</v>
      </c>
      <c r="D41" s="15">
        <v>8</v>
      </c>
      <c r="E41" s="15" t="s">
        <v>363</v>
      </c>
      <c r="F41" s="15">
        <v>9</v>
      </c>
      <c r="G41" s="6">
        <f>COUNTIFS(baza!B:B,'ştat sayları'!C:C,baza!H:H,"Bir Payment")</f>
        <v>0</v>
      </c>
      <c r="H41" s="6">
        <f>COUNTIFS(baza!B:B,'ştat sayları'!C:C,baza!H:H,"BirMarket")</f>
        <v>0</v>
      </c>
      <c r="I41" s="6">
        <f>COUNTIFS(baza!B:B,'ştat sayları'!C:C,baza!H:H,"Paşa Holding")</f>
        <v>0</v>
      </c>
      <c r="J41" s="6">
        <f>COUNTIFS(baza!B:B,'ştat sayları'!C:C,baza!H:H,"Future lab")</f>
        <v>0</v>
      </c>
      <c r="K41" s="4">
        <f t="shared" si="0"/>
        <v>0</v>
      </c>
      <c r="L41" t="s">
        <v>1020</v>
      </c>
      <c r="M41" s="4" t="s">
        <v>259</v>
      </c>
    </row>
    <row r="42" spans="1:14" x14ac:dyDescent="0.35">
      <c r="A42" s="16" t="s">
        <v>39</v>
      </c>
      <c r="B42" s="6">
        <v>39</v>
      </c>
      <c r="C42" s="10" t="s">
        <v>39</v>
      </c>
      <c r="D42" s="15">
        <v>41</v>
      </c>
      <c r="E42" s="15" t="s">
        <v>356</v>
      </c>
      <c r="F42" s="15">
        <v>41</v>
      </c>
      <c r="G42" s="6">
        <f>COUNTIFS(baza!B:B,'ştat sayları'!C:C,baza!H:H,"Bir Payment")</f>
        <v>1</v>
      </c>
      <c r="H42" s="6">
        <f>COUNTIFS(baza!B:B,'ştat sayları'!C:C,baza!H:H,"BirMarket")</f>
        <v>0</v>
      </c>
      <c r="I42" s="6">
        <f>COUNTIFS(baza!B:B,'ştat sayları'!C:C,baza!H:H,"Paşa Holding")</f>
        <v>0</v>
      </c>
      <c r="J42" s="6">
        <f>COUNTIFS(baza!B:B,'ştat sayları'!C:C,baza!H:H,"Future lab")</f>
        <v>0</v>
      </c>
      <c r="K42" s="4">
        <f t="shared" si="0"/>
        <v>1</v>
      </c>
      <c r="L42" t="s">
        <v>1021</v>
      </c>
      <c r="M42" s="4" t="s">
        <v>255</v>
      </c>
    </row>
    <row r="43" spans="1:14" x14ac:dyDescent="0.35">
      <c r="A43" s="16" t="s">
        <v>15</v>
      </c>
      <c r="B43" s="6">
        <v>27</v>
      </c>
      <c r="C43" s="10" t="s">
        <v>16</v>
      </c>
      <c r="D43" s="15">
        <v>57</v>
      </c>
      <c r="E43" s="15" t="s">
        <v>356</v>
      </c>
      <c r="F43" s="15">
        <v>57</v>
      </c>
      <c r="G43" s="6">
        <f>COUNTIFS(baza!B:B,'ştat sayları'!C:C,baza!H:H,"Bir Payment")</f>
        <v>2</v>
      </c>
      <c r="H43" s="6">
        <f>COUNTIFS(baza!B:B,'ştat sayları'!C:C,baza!H:H,"BirMarket")</f>
        <v>0</v>
      </c>
      <c r="I43" s="6">
        <f>COUNTIFS(baza!B:B,'ştat sayları'!C:C,baza!H:H,"Paşa Holding")</f>
        <v>0</v>
      </c>
      <c r="J43" s="6">
        <f>COUNTIFS(baza!B:B,'ştat sayları'!C:C,baza!H:H,"Future lab")</f>
        <v>0</v>
      </c>
      <c r="K43" s="4">
        <f t="shared" si="0"/>
        <v>2</v>
      </c>
      <c r="L43" t="s">
        <v>1022</v>
      </c>
      <c r="M43" s="4" t="s">
        <v>254</v>
      </c>
      <c r="N43" t="s">
        <v>360</v>
      </c>
    </row>
    <row r="44" spans="1:14" x14ac:dyDescent="0.35">
      <c r="A44" s="16" t="s">
        <v>0</v>
      </c>
      <c r="B44" s="6">
        <v>0</v>
      </c>
      <c r="C44" s="10" t="s">
        <v>25</v>
      </c>
      <c r="D44" s="15">
        <v>19</v>
      </c>
      <c r="E44" s="15" t="s">
        <v>356</v>
      </c>
      <c r="F44" s="15">
        <v>19</v>
      </c>
      <c r="G44" s="6">
        <f>COUNTIFS(baza!B:B,'ştat sayları'!C:C,baza!H:H,"Bir Payment")</f>
        <v>0</v>
      </c>
      <c r="H44" s="6">
        <f>COUNTIFS(baza!B:B,'ştat sayları'!C:C,baza!H:H,"BirMarket")</f>
        <v>5</v>
      </c>
      <c r="I44" s="6">
        <f>COUNTIFS(baza!B:B,'ştat sayları'!C:C,baza!H:H,"Paşa Holding")</f>
        <v>1</v>
      </c>
      <c r="J44" s="6">
        <f>COUNTIFS(baza!B:B,'ştat sayları'!C:C,baza!H:H,"Future lab")</f>
        <v>0</v>
      </c>
      <c r="K44" s="4">
        <f t="shared" si="0"/>
        <v>6</v>
      </c>
      <c r="L44" t="s">
        <v>1023</v>
      </c>
      <c r="M44" s="4" t="s">
        <v>254</v>
      </c>
    </row>
    <row r="45" spans="1:14" x14ac:dyDescent="0.35">
      <c r="A45" s="16" t="s">
        <v>0</v>
      </c>
      <c r="B45" s="6">
        <v>0</v>
      </c>
      <c r="C45" s="16" t="s">
        <v>83</v>
      </c>
      <c r="D45" s="15">
        <v>14</v>
      </c>
      <c r="E45" s="15" t="s">
        <v>356</v>
      </c>
      <c r="F45" s="15">
        <v>14</v>
      </c>
      <c r="G45" s="6">
        <f>COUNTIFS(baza!B:B,'ştat sayları'!C:C,baza!H:H,"Bir Payment")</f>
        <v>0</v>
      </c>
      <c r="H45" s="6">
        <f>COUNTIFS(baza!B:B,'ştat sayları'!C:C,baza!H:H,"BirMarket")</f>
        <v>0</v>
      </c>
      <c r="I45" s="6">
        <f>COUNTIFS(baza!B:B,'ştat sayları'!C:C,baza!H:H,"Paşa Holding")</f>
        <v>0</v>
      </c>
      <c r="J45" s="6">
        <f>COUNTIFS(baza!B:B,'ştat sayları'!C:C,baza!H:H,"Future lab")</f>
        <v>1</v>
      </c>
      <c r="K45" s="4">
        <f t="shared" si="0"/>
        <v>1</v>
      </c>
      <c r="L45" t="s">
        <v>1024</v>
      </c>
      <c r="M45" s="4" t="s">
        <v>262</v>
      </c>
    </row>
    <row r="46" spans="1:14" x14ac:dyDescent="0.35">
      <c r="A46" s="16" t="s">
        <v>260</v>
      </c>
      <c r="B46" s="6">
        <v>12</v>
      </c>
      <c r="C46" s="10" t="s">
        <v>18</v>
      </c>
      <c r="D46" s="15">
        <v>12</v>
      </c>
      <c r="E46" s="15" t="s">
        <v>356</v>
      </c>
      <c r="F46" s="4">
        <v>12</v>
      </c>
      <c r="G46" s="6">
        <f>COUNTIFS(baza!B:B,'ştat sayları'!C:C,baza!H:H,"Bir Payment")</f>
        <v>0</v>
      </c>
      <c r="H46" s="6">
        <f>COUNTIFS(baza!B:B,'ştat sayları'!C:C,baza!H:H,"BirMarket")</f>
        <v>0</v>
      </c>
      <c r="I46" s="6">
        <f>COUNTIFS(baza!B:B,'ştat sayları'!C:C,baza!H:H,"Paşa Holding")</f>
        <v>0</v>
      </c>
      <c r="J46" s="6">
        <f>COUNTIFS(baza!B:B,'ştat sayları'!C:C,baza!H:H,"Future lab")</f>
        <v>0</v>
      </c>
      <c r="K46" s="4">
        <f t="shared" si="0"/>
        <v>0</v>
      </c>
      <c r="M46" s="4" t="s">
        <v>253</v>
      </c>
    </row>
    <row r="47" spans="1:14" x14ac:dyDescent="0.35">
      <c r="A47" s="41" t="s">
        <v>239</v>
      </c>
      <c r="B47" s="6">
        <v>4</v>
      </c>
      <c r="C47" s="10" t="s">
        <v>63</v>
      </c>
      <c r="D47" s="15">
        <v>3</v>
      </c>
      <c r="E47" s="15" t="s">
        <v>356</v>
      </c>
      <c r="F47" s="4">
        <v>3</v>
      </c>
      <c r="G47" s="6">
        <f>COUNTIFS(baza!B:B,'ştat sayları'!C:C,baza!H:H,"Bir Payment")</f>
        <v>0</v>
      </c>
      <c r="H47" s="6">
        <f>COUNTIFS(baza!B:B,'ştat sayları'!C:C,baza!H:H,"BirMarket")</f>
        <v>0</v>
      </c>
      <c r="I47" s="6">
        <f>COUNTIFS(baza!B:B,'ştat sayları'!C:C,baza!H:H,"Paşa Holding")</f>
        <v>0</v>
      </c>
      <c r="J47" s="6">
        <f>COUNTIFS(baza!B:B,'ştat sayları'!C:C,baza!H:H,"Future lab")</f>
        <v>0</v>
      </c>
      <c r="K47" s="4">
        <f t="shared" si="0"/>
        <v>0</v>
      </c>
      <c r="L47" t="s">
        <v>1026</v>
      </c>
      <c r="M47" s="4" t="s">
        <v>253</v>
      </c>
    </row>
    <row r="48" spans="1:14" x14ac:dyDescent="0.35">
      <c r="A48" s="16" t="s">
        <v>2</v>
      </c>
      <c r="B48" s="6">
        <v>5</v>
      </c>
      <c r="C48" s="10" t="s">
        <v>3</v>
      </c>
      <c r="D48" s="15">
        <v>3</v>
      </c>
      <c r="E48" s="15" t="s">
        <v>356</v>
      </c>
      <c r="F48" s="4">
        <v>3</v>
      </c>
      <c r="G48" s="6">
        <f>COUNTIFS(baza!B:B,'ştat sayları'!C:C,baza!H:H,"Bir Payment")</f>
        <v>0</v>
      </c>
      <c r="H48" s="6">
        <f>COUNTIFS(baza!B:B,'ştat sayları'!C:C,baza!H:H,"BirMarket")</f>
        <v>0</v>
      </c>
      <c r="I48" s="6">
        <f>COUNTIFS(baza!B:B,'ştat sayları'!C:C,baza!H:H,"Paşa Holding")</f>
        <v>0</v>
      </c>
      <c r="J48" s="6">
        <f>COUNTIFS(baza!B:B,'ştat sayları'!C:C,baza!H:H,"Future lab")</f>
        <v>0</v>
      </c>
      <c r="K48" s="4">
        <f t="shared" si="0"/>
        <v>0</v>
      </c>
      <c r="L48" t="s">
        <v>1027</v>
      </c>
      <c r="M48" s="4" t="s">
        <v>253</v>
      </c>
    </row>
    <row r="49" spans="1:14" x14ac:dyDescent="0.35">
      <c r="A49" s="16" t="s">
        <v>46</v>
      </c>
      <c r="B49" s="6">
        <v>376</v>
      </c>
      <c r="C49" s="16" t="s">
        <v>46</v>
      </c>
      <c r="D49" s="15">
        <v>152</v>
      </c>
      <c r="E49" s="15" t="s">
        <v>356</v>
      </c>
      <c r="F49" s="15">
        <v>152</v>
      </c>
      <c r="G49" s="6">
        <f>COUNTIFS(baza!B:B,'ştat sayları'!C:C,baza!H:H,"Bir Payment")</f>
        <v>0</v>
      </c>
      <c r="H49" s="6">
        <f>COUNTIFS(baza!B:B,'ştat sayları'!C:C,baza!H:H,"BirMarket")</f>
        <v>0</v>
      </c>
      <c r="I49" s="6">
        <f>COUNTIFS(baza!B:B,'ştat sayları'!C:C,baza!H:H,"Paşa Holding")</f>
        <v>0</v>
      </c>
      <c r="J49" s="6">
        <f>COUNTIFS(baza!B:B,'ştat sayları'!C:C,baza!H:H,"Future lab")</f>
        <v>0</v>
      </c>
      <c r="K49" s="4">
        <f t="shared" si="0"/>
        <v>0</v>
      </c>
      <c r="L49" t="s">
        <v>1030</v>
      </c>
      <c r="M49" s="4" t="s">
        <v>255</v>
      </c>
    </row>
    <row r="50" spans="1:14" s="17" customFormat="1" x14ac:dyDescent="0.35">
      <c r="A50" s="16" t="s">
        <v>77</v>
      </c>
      <c r="B50" s="15">
        <v>3</v>
      </c>
      <c r="C50" s="16" t="s">
        <v>77</v>
      </c>
      <c r="D50" s="15">
        <v>3</v>
      </c>
      <c r="E50" s="15" t="s">
        <v>356</v>
      </c>
      <c r="F50" s="4">
        <v>3</v>
      </c>
      <c r="G50" s="6">
        <f>COUNTIFS(baza!B:B,'ştat sayları'!C:C,baza!H:H,"Bir Payment")</f>
        <v>0</v>
      </c>
      <c r="H50" s="6">
        <f>COUNTIFS(baza!B:B,'ştat sayları'!C:C,baza!H:H,"BirMarket")</f>
        <v>0</v>
      </c>
      <c r="I50" s="6">
        <f>COUNTIFS(baza!B:B,'ştat sayları'!C:C,baza!H:H,"Paşa Holding")</f>
        <v>0</v>
      </c>
      <c r="J50" s="6">
        <f>COUNTIFS(baza!B:B,'ştat sayları'!C:C,baza!H:H,"Future lab")</f>
        <v>0</v>
      </c>
      <c r="K50" s="4">
        <f t="shared" si="0"/>
        <v>0</v>
      </c>
      <c r="M50" s="4" t="s">
        <v>259</v>
      </c>
    </row>
    <row r="51" spans="1:14" x14ac:dyDescent="0.35">
      <c r="A51" s="16" t="s">
        <v>991</v>
      </c>
      <c r="B51" s="6">
        <v>0</v>
      </c>
      <c r="C51" t="s">
        <v>285</v>
      </c>
      <c r="D51" s="15">
        <v>153</v>
      </c>
      <c r="E51" s="15" t="s">
        <v>364</v>
      </c>
      <c r="F51" s="15">
        <v>154</v>
      </c>
      <c r="G51" s="6">
        <f>COUNTIFS(baza!B:B,'ştat sayları'!C:C,baza!H:H,"Bir Payment")</f>
        <v>0</v>
      </c>
      <c r="H51" s="6">
        <f>COUNTIFS(baza!B:B,'ştat sayları'!C:C,baza!H:H,"BirMarket")</f>
        <v>0</v>
      </c>
      <c r="I51" s="6">
        <f>COUNTIFS(baza!B:B,'ştat sayları'!C:C,baza!H:H,"Paşa Holding")</f>
        <v>1</v>
      </c>
      <c r="J51" s="6">
        <f>COUNTIFS(baza!B:B,'ştat sayları'!C:C,baza!H:H,"Future lab")</f>
        <v>0</v>
      </c>
      <c r="K51" s="4">
        <f t="shared" si="0"/>
        <v>1</v>
      </c>
      <c r="L51" t="s">
        <v>1028</v>
      </c>
      <c r="M51" s="4" t="s">
        <v>253</v>
      </c>
    </row>
    <row r="52" spans="1:14" s="17" customFormat="1" x14ac:dyDescent="0.35">
      <c r="A52" s="16" t="s">
        <v>37</v>
      </c>
      <c r="B52" s="15">
        <v>58</v>
      </c>
      <c r="C52" s="16" t="s">
        <v>37</v>
      </c>
      <c r="D52" s="15">
        <v>19</v>
      </c>
      <c r="E52" s="15" t="s">
        <v>356</v>
      </c>
      <c r="F52" s="4">
        <v>19</v>
      </c>
      <c r="G52" s="6">
        <f>COUNTIFS(baza!B:B,'ştat sayları'!C:C,baza!H:H,"Bir Payment")</f>
        <v>0</v>
      </c>
      <c r="H52" s="6">
        <f>COUNTIFS(baza!B:B,'ştat sayları'!C:C,baza!H:H,"BirMarket")</f>
        <v>0</v>
      </c>
      <c r="I52" s="6">
        <f>COUNTIFS(baza!B:B,'ştat sayları'!C:C,baza!H:H,"Paşa Holding")</f>
        <v>0</v>
      </c>
      <c r="J52" s="6">
        <f>COUNTIFS(baza!B:B,'ştat sayları'!C:C,baza!H:H,"Future lab")</f>
        <v>0</v>
      </c>
      <c r="K52" s="4">
        <f t="shared" si="0"/>
        <v>0</v>
      </c>
      <c r="L52" s="17" t="s">
        <v>1031</v>
      </c>
      <c r="M52" s="4" t="s">
        <v>259</v>
      </c>
    </row>
    <row r="53" spans="1:14" s="17" customFormat="1" x14ac:dyDescent="0.35">
      <c r="A53" s="16" t="s">
        <v>991</v>
      </c>
      <c r="B53" s="15">
        <v>0</v>
      </c>
      <c r="C53" s="47" t="s">
        <v>44</v>
      </c>
      <c r="D53" s="15">
        <v>168</v>
      </c>
      <c r="E53" s="15" t="s">
        <v>356</v>
      </c>
      <c r="F53" s="15">
        <v>168</v>
      </c>
      <c r="G53" s="6">
        <f>COUNTIFS(baza!B:B,'ştat sayları'!C:C,baza!H:H,"Bir Payment")</f>
        <v>0</v>
      </c>
      <c r="H53" s="6">
        <f>COUNTIFS(baza!B:B,'ştat sayları'!C:C,baza!H:H,"BirMarket")</f>
        <v>2</v>
      </c>
      <c r="I53" s="6">
        <f>COUNTIFS(baza!B:B,'ştat sayları'!C:C,baza!H:H,"Paşa Holding")</f>
        <v>0</v>
      </c>
      <c r="J53" s="6">
        <f>COUNTIFS(baza!B:B,'ştat sayları'!C:C,baza!H:H,"Future lab")</f>
        <v>0</v>
      </c>
      <c r="K53" s="4">
        <f t="shared" si="0"/>
        <v>2</v>
      </c>
      <c r="L53" s="17" t="s">
        <v>1032</v>
      </c>
      <c r="M53" s="4" t="s">
        <v>262</v>
      </c>
    </row>
    <row r="54" spans="1:14" x14ac:dyDescent="0.35">
      <c r="A54" s="16" t="s">
        <v>991</v>
      </c>
      <c r="B54" s="15">
        <v>0</v>
      </c>
      <c r="C54" s="16" t="s">
        <v>13</v>
      </c>
      <c r="D54" s="15">
        <v>22</v>
      </c>
      <c r="E54" s="15" t="s">
        <v>356</v>
      </c>
      <c r="F54" s="15">
        <v>22</v>
      </c>
      <c r="G54" s="6">
        <f>COUNTIFS(baza!B:B,'ştat sayları'!C:C,baza!H:H,"Bir Payment")</f>
        <v>2</v>
      </c>
      <c r="H54" s="6">
        <f>COUNTIFS(baza!B:B,'ştat sayları'!C:C,baza!H:H,"BirMarket")</f>
        <v>0</v>
      </c>
      <c r="I54" s="6">
        <f>COUNTIFS(baza!B:B,'ştat sayları'!C:C,baza!H:H,"Paşa Holding")</f>
        <v>0</v>
      </c>
      <c r="J54" s="6">
        <f>COUNTIFS(baza!B:B,'ştat sayları'!C:C,baza!H:H,"Future lab")</f>
        <v>0</v>
      </c>
      <c r="K54" s="4">
        <f t="shared" si="0"/>
        <v>2</v>
      </c>
      <c r="L54" t="s">
        <v>1033</v>
      </c>
      <c r="M54" s="4" t="s">
        <v>262</v>
      </c>
    </row>
    <row r="55" spans="1:14" s="17" customFormat="1" x14ac:dyDescent="0.35">
      <c r="A55" s="14" t="s">
        <v>23</v>
      </c>
      <c r="B55" s="15">
        <v>23</v>
      </c>
      <c r="C55" s="16" t="s">
        <v>24</v>
      </c>
      <c r="D55" s="15">
        <v>27</v>
      </c>
      <c r="E55" s="15" t="s">
        <v>356</v>
      </c>
      <c r="F55" s="15">
        <v>27</v>
      </c>
      <c r="G55" s="6">
        <f>COUNTIFS(baza!B:B,'ştat sayları'!C:C,baza!H:H,"Bir Payment")</f>
        <v>4</v>
      </c>
      <c r="H55" s="6">
        <f>COUNTIFS(baza!B:B,'ştat sayları'!C:C,baza!H:H,"BirMarket")</f>
        <v>0</v>
      </c>
      <c r="I55" s="6">
        <f>COUNTIFS(baza!B:B,'ştat sayları'!C:C,baza!H:H,"Paşa Holding")</f>
        <v>0</v>
      </c>
      <c r="J55" s="6">
        <f>COUNTIFS(baza!B:B,'ştat sayları'!C:C,baza!H:H,"Future lab")</f>
        <v>0</v>
      </c>
      <c r="K55" s="4">
        <f t="shared" si="0"/>
        <v>4</v>
      </c>
      <c r="M55" s="4" t="s">
        <v>254</v>
      </c>
    </row>
    <row r="56" spans="1:14" x14ac:dyDescent="0.35">
      <c r="A56" s="16" t="s">
        <v>991</v>
      </c>
      <c r="B56" s="15">
        <v>0</v>
      </c>
      <c r="C56" s="16" t="s">
        <v>7</v>
      </c>
      <c r="D56" s="15">
        <v>42</v>
      </c>
      <c r="E56" s="15" t="s">
        <v>356</v>
      </c>
      <c r="F56" s="15">
        <v>42</v>
      </c>
      <c r="G56" s="6">
        <f>COUNTIFS(baza!B:B,'ştat sayları'!C:C,baza!H:H,"Bir Payment")</f>
        <v>1</v>
      </c>
      <c r="H56" s="6">
        <f>COUNTIFS(baza!B:B,'ştat sayları'!C:C,baza!H:H,"BirMarket")</f>
        <v>0</v>
      </c>
      <c r="I56" s="6">
        <f>COUNTIFS(baza!B:B,'ştat sayları'!C:C,baza!H:H,"Paşa Holding")</f>
        <v>0</v>
      </c>
      <c r="J56" s="6">
        <f>COUNTIFS(baza!B:B,'ştat sayları'!C:C,baza!H:H,"Future lab")</f>
        <v>0</v>
      </c>
      <c r="K56" s="4">
        <f t="shared" si="0"/>
        <v>1</v>
      </c>
      <c r="L56" t="s">
        <v>1034</v>
      </c>
      <c r="M56" s="4" t="s">
        <v>262</v>
      </c>
    </row>
    <row r="57" spans="1:14" s="17" customFormat="1" x14ac:dyDescent="0.35">
      <c r="A57" s="16" t="s">
        <v>991</v>
      </c>
      <c r="B57" s="15">
        <v>0</v>
      </c>
      <c r="C57" s="16" t="s">
        <v>14</v>
      </c>
      <c r="D57" s="15">
        <v>9</v>
      </c>
      <c r="E57" s="15" t="s">
        <v>356</v>
      </c>
      <c r="F57" s="4">
        <v>9</v>
      </c>
      <c r="G57" s="6">
        <f>COUNTIFS(baza!B:B,'ştat sayları'!C:C,baza!H:H,"Bir Payment")</f>
        <v>0</v>
      </c>
      <c r="H57" s="6">
        <f>COUNTIFS(baza!B:B,'ştat sayları'!C:C,baza!H:H,"BirMarket")</f>
        <v>0</v>
      </c>
      <c r="I57" s="6">
        <f>COUNTIFS(baza!B:B,'ştat sayları'!C:C,baza!H:H,"Paşa Holding")</f>
        <v>0</v>
      </c>
      <c r="J57" s="6">
        <f>COUNTIFS(baza!B:B,'ştat sayları'!C:C,baza!H:H,"Future lab")</f>
        <v>0</v>
      </c>
      <c r="K57" s="4">
        <f t="shared" si="0"/>
        <v>0</v>
      </c>
      <c r="L57" s="17" t="s">
        <v>1035</v>
      </c>
      <c r="M57" s="4" t="s">
        <v>258</v>
      </c>
    </row>
    <row r="58" spans="1:14" s="17" customFormat="1" x14ac:dyDescent="0.35">
      <c r="A58" s="16" t="s">
        <v>991</v>
      </c>
      <c r="B58" s="15">
        <v>0</v>
      </c>
      <c r="C58" s="16" t="s">
        <v>51</v>
      </c>
      <c r="D58" s="15">
        <v>366</v>
      </c>
      <c r="E58" s="15" t="s">
        <v>356</v>
      </c>
      <c r="F58" s="15">
        <v>366</v>
      </c>
      <c r="G58" s="6">
        <f>COUNTIFS(baza!B:B,'ştat sayları'!C:C,baza!H:H,"Bir Payment")</f>
        <v>1</v>
      </c>
      <c r="H58" s="6">
        <f>COUNTIFS(baza!B:B,'ştat sayları'!C:C,baza!H:H,"BirMarket")</f>
        <v>0</v>
      </c>
      <c r="I58" s="6">
        <f>COUNTIFS(baza!B:B,'ştat sayları'!C:C,baza!H:H,"Paşa Holding")</f>
        <v>0</v>
      </c>
      <c r="J58" s="6">
        <f>COUNTIFS(baza!B:B,'ştat sayları'!C:C,baza!H:H,"Future lab")</f>
        <v>0</v>
      </c>
      <c r="K58" s="4">
        <f t="shared" si="0"/>
        <v>1</v>
      </c>
      <c r="L58" s="17" t="s">
        <v>1036</v>
      </c>
      <c r="M58" s="4" t="s">
        <v>254</v>
      </c>
    </row>
    <row r="59" spans="1:14" s="17" customFormat="1" x14ac:dyDescent="0.35">
      <c r="A59" s="16" t="s">
        <v>991</v>
      </c>
      <c r="B59" s="15">
        <v>0</v>
      </c>
      <c r="C59" s="16" t="s">
        <v>5</v>
      </c>
      <c r="D59" s="15">
        <v>6</v>
      </c>
      <c r="E59" s="15" t="s">
        <v>356</v>
      </c>
      <c r="F59" s="4">
        <v>6</v>
      </c>
      <c r="G59" s="6">
        <f>COUNTIFS(baza!B:B,'ştat sayları'!C:C,baza!H:H,"Bir Payment")</f>
        <v>0</v>
      </c>
      <c r="H59" s="6">
        <f>COUNTIFS(baza!B:B,'ştat sayları'!C:C,baza!H:H,"BirMarket")</f>
        <v>0</v>
      </c>
      <c r="I59" s="6">
        <f>COUNTIFS(baza!B:B,'ştat sayları'!C:C,baza!H:H,"Paşa Holding")</f>
        <v>0</v>
      </c>
      <c r="J59" s="6">
        <f>COUNTIFS(baza!B:B,'ştat sayları'!C:C,baza!H:H,"Future lab")</f>
        <v>0</v>
      </c>
      <c r="K59" s="4">
        <f t="shared" si="0"/>
        <v>0</v>
      </c>
      <c r="L59" s="17" t="s">
        <v>1037</v>
      </c>
      <c r="M59" s="4" t="s">
        <v>253</v>
      </c>
    </row>
    <row r="60" spans="1:14" s="17" customFormat="1" x14ac:dyDescent="0.35">
      <c r="A60" s="16" t="s">
        <v>991</v>
      </c>
      <c r="B60" s="15">
        <v>0</v>
      </c>
      <c r="C60" s="16" t="s">
        <v>53</v>
      </c>
      <c r="D60" s="15">
        <v>3</v>
      </c>
      <c r="E60" s="15" t="s">
        <v>356</v>
      </c>
      <c r="F60" s="4">
        <v>3</v>
      </c>
      <c r="G60" s="15">
        <f>COUNTIFS(baza!B:B,'ştat sayları'!C:C,baza!H:H,"Bir Payment")</f>
        <v>0</v>
      </c>
      <c r="H60" s="15">
        <f>COUNTIFS(baza!B:B,'ştat sayları'!C:C,baza!H:H,"BirMarket")</f>
        <v>0</v>
      </c>
      <c r="I60" s="15">
        <f>COUNTIFS(baza!B:B,'ştat sayları'!C:C,baza!H:H,"Paşa Holding")</f>
        <v>0</v>
      </c>
      <c r="J60" s="15">
        <f>COUNTIFS(baza!B:B,'ştat sayları'!C:C,baza!H:H,"Future lab")</f>
        <v>0</v>
      </c>
      <c r="K60" s="4">
        <f t="shared" si="0"/>
        <v>0</v>
      </c>
      <c r="L60" s="17" t="s">
        <v>1038</v>
      </c>
      <c r="M60" s="4" t="s">
        <v>253</v>
      </c>
    </row>
    <row r="61" spans="1:14" x14ac:dyDescent="0.35">
      <c r="A61" s="18" t="s">
        <v>73</v>
      </c>
      <c r="B61" s="19">
        <v>56</v>
      </c>
      <c r="C61" s="47" t="s">
        <v>73</v>
      </c>
      <c r="D61" s="15">
        <v>91</v>
      </c>
      <c r="E61" s="15" t="s">
        <v>362</v>
      </c>
      <c r="F61" s="15">
        <v>92</v>
      </c>
      <c r="G61" s="6">
        <f>COUNTIFS(baza!B:B,'ştat sayları'!C:C,baza!H:H,"Bir Payment")</f>
        <v>22</v>
      </c>
      <c r="H61" s="6">
        <f>COUNTIFS(baza!B:B,'ştat sayları'!C:C,baza!H:H,"BirMarket")</f>
        <v>13</v>
      </c>
      <c r="I61" s="6">
        <f>COUNTIFS(baza!B:B,'ştat sayları'!C:C,baza!H:H,"Paşa Holding")</f>
        <v>0</v>
      </c>
      <c r="J61" s="6">
        <f>COUNTIFS(baza!B:B,'ştat sayları'!C:C,baza!H:H,"Future lab")</f>
        <v>0</v>
      </c>
      <c r="K61" s="4">
        <f t="shared" si="0"/>
        <v>35</v>
      </c>
      <c r="L61" s="17" t="s">
        <v>1039</v>
      </c>
      <c r="M61" s="4" t="s">
        <v>255</v>
      </c>
      <c r="N61" t="s">
        <v>261</v>
      </c>
    </row>
    <row r="62" spans="1:14" s="17" customFormat="1" x14ac:dyDescent="0.35">
      <c r="A62" s="14" t="s">
        <v>28</v>
      </c>
      <c r="B62" s="15">
        <v>34</v>
      </c>
      <c r="C62" s="16" t="s">
        <v>28</v>
      </c>
      <c r="D62" s="15">
        <v>70</v>
      </c>
      <c r="E62" s="15" t="s">
        <v>356</v>
      </c>
      <c r="F62" s="15">
        <v>70</v>
      </c>
      <c r="G62" s="15">
        <v>4</v>
      </c>
      <c r="H62" s="15">
        <f>COUNTIFS(baza!B:B,'ştat sayları'!C:C,baza!H:H,"BirMarket")</f>
        <v>1</v>
      </c>
      <c r="I62" s="15">
        <f>COUNTIFS(baza!B:B,'ştat sayları'!C:C,baza!H:H,"Paşa Holding")</f>
        <v>0</v>
      </c>
      <c r="J62" s="15">
        <f>COUNTIFS(baza!B:B,'ştat sayları'!C:C,baza!H:H,"Future lab")</f>
        <v>0</v>
      </c>
      <c r="K62" s="4">
        <f t="shared" si="0"/>
        <v>5</v>
      </c>
      <c r="L62" s="17" t="s">
        <v>1040</v>
      </c>
      <c r="M62" s="4" t="s">
        <v>255</v>
      </c>
      <c r="N62" s="17" t="s">
        <v>361</v>
      </c>
    </row>
    <row r="63" spans="1:14" x14ac:dyDescent="0.35">
      <c r="A63" s="20" t="s">
        <v>43</v>
      </c>
      <c r="B63" s="19">
        <v>53</v>
      </c>
      <c r="C63" s="47" t="s">
        <v>43</v>
      </c>
      <c r="D63" s="15">
        <v>48</v>
      </c>
      <c r="E63" s="15" t="s">
        <v>355</v>
      </c>
      <c r="F63" s="15">
        <v>50</v>
      </c>
      <c r="G63" s="6">
        <f>COUNTIFS(baza!B:B,'ştat sayları'!C:C,baza!H:H,"Bir Payment")</f>
        <v>3</v>
      </c>
      <c r="H63" s="6">
        <f>COUNTIFS(baza!B:B,'ştat sayları'!C:C,baza!H:H,"BirMarket")</f>
        <v>1</v>
      </c>
      <c r="I63" s="6">
        <f>COUNTIFS(baza!B:B,'ştat sayları'!C:C,baza!H:H,"Paşa Holding")</f>
        <v>0</v>
      </c>
      <c r="J63" s="6">
        <f>COUNTIFS(baza!B:B,'ştat sayları'!C:C,baza!H:H,"Future lab")</f>
        <v>0</v>
      </c>
      <c r="K63" s="4">
        <f t="shared" si="0"/>
        <v>4</v>
      </c>
      <c r="L63" t="s">
        <v>1064</v>
      </c>
      <c r="M63" s="4" t="s">
        <v>255</v>
      </c>
      <c r="N63" t="s">
        <v>1061</v>
      </c>
    </row>
    <row r="64" spans="1:14" s="17" customFormat="1" x14ac:dyDescent="0.35">
      <c r="A64" s="16" t="s">
        <v>59</v>
      </c>
      <c r="B64" s="15">
        <v>7</v>
      </c>
      <c r="C64" s="16" t="s">
        <v>59</v>
      </c>
      <c r="D64" s="15">
        <v>7</v>
      </c>
      <c r="E64" s="15" t="s">
        <v>356</v>
      </c>
      <c r="F64" s="4">
        <v>7</v>
      </c>
      <c r="G64" s="15">
        <f>COUNTIFS(baza!B:B,'ştat sayları'!C:C,baza!H:H,"Bir Payment")</f>
        <v>0</v>
      </c>
      <c r="H64" s="15">
        <f>COUNTIFS(baza!B:B,'ştat sayları'!C:C,baza!H:H,"BirMarket")</f>
        <v>0</v>
      </c>
      <c r="I64" s="15">
        <f>COUNTIFS(baza!B:B,'ştat sayları'!C:C,baza!H:H,"Paşa Holding")</f>
        <v>0</v>
      </c>
      <c r="J64" s="15">
        <f>COUNTIFS(baza!B:B,'ştat sayları'!C:C,baza!H:H,"Future lab")</f>
        <v>0</v>
      </c>
      <c r="K64" s="4">
        <f t="shared" si="0"/>
        <v>0</v>
      </c>
      <c r="M64" s="4" t="s">
        <v>259</v>
      </c>
    </row>
    <row r="65" spans="1:13" s="17" customFormat="1" x14ac:dyDescent="0.35">
      <c r="A65" s="16" t="s">
        <v>991</v>
      </c>
      <c r="B65" s="15">
        <v>0</v>
      </c>
      <c r="C65" s="16" t="s">
        <v>21</v>
      </c>
      <c r="D65" s="15">
        <v>6</v>
      </c>
      <c r="E65" s="15" t="s">
        <v>354</v>
      </c>
      <c r="F65" s="15">
        <v>7</v>
      </c>
      <c r="G65" s="15">
        <f>COUNTIFS(baza!B:B,'ştat sayları'!C:C,baza!H:H,"Bir Payment")</f>
        <v>1</v>
      </c>
      <c r="H65" s="15">
        <f>COUNTIFS(baza!B:B,'ştat sayları'!C:C,baza!H:H,"BirMarket")</f>
        <v>0</v>
      </c>
      <c r="I65" s="15">
        <f>COUNTIFS(baza!B:B,'ştat sayları'!C:C,baza!H:H,"Paşa Holding")</f>
        <v>0</v>
      </c>
      <c r="J65" s="15">
        <f>COUNTIFS(baza!B:B,'ştat sayları'!C:C,baza!H:H,"Future lab")</f>
        <v>0</v>
      </c>
      <c r="K65" s="4">
        <f t="shared" si="0"/>
        <v>1</v>
      </c>
      <c r="L65" s="17" t="s">
        <v>1041</v>
      </c>
      <c r="M65" s="4" t="s">
        <v>254</v>
      </c>
    </row>
    <row r="66" spans="1:13" s="17" customFormat="1" x14ac:dyDescent="0.35">
      <c r="A66" s="16" t="s">
        <v>0</v>
      </c>
      <c r="B66" s="15">
        <v>0</v>
      </c>
      <c r="C66" s="16" t="s">
        <v>1</v>
      </c>
      <c r="D66" s="15">
        <v>7</v>
      </c>
      <c r="E66" s="15" t="s">
        <v>356</v>
      </c>
      <c r="F66" s="4">
        <v>7</v>
      </c>
      <c r="G66" s="15">
        <f>COUNTIFS(baza!B:B,'ştat sayları'!C:C,baza!H:H,"Bir Payment")</f>
        <v>0</v>
      </c>
      <c r="H66" s="15">
        <f>COUNTIFS(baza!B:B,'ştat sayları'!C:C,baza!H:H,"BirMarket")</f>
        <v>0</v>
      </c>
      <c r="I66" s="15">
        <f>COUNTIFS(baza!B:B,'ştat sayları'!C:C,baza!H:H,"Paşa Holding")</f>
        <v>0</v>
      </c>
      <c r="J66" s="15">
        <f>COUNTIFS(baza!B:B,'ştat sayları'!C:C,baza!H:H,"Future lab")</f>
        <v>0</v>
      </c>
      <c r="K66" s="4">
        <f t="shared" si="0"/>
        <v>0</v>
      </c>
      <c r="L66" s="17" t="s">
        <v>1042</v>
      </c>
      <c r="M66" s="4" t="s">
        <v>258</v>
      </c>
    </row>
    <row r="67" spans="1:13" s="17" customFormat="1" x14ac:dyDescent="0.35">
      <c r="A67" s="14" t="s">
        <v>0</v>
      </c>
      <c r="B67" s="15">
        <v>0</v>
      </c>
      <c r="C67" s="16" t="s">
        <v>6</v>
      </c>
      <c r="D67" s="15">
        <v>2</v>
      </c>
      <c r="E67" s="15" t="s">
        <v>356</v>
      </c>
      <c r="F67" s="15">
        <v>2</v>
      </c>
      <c r="G67" s="15">
        <f>COUNTIFS(baza!B:B,'ştat sayları'!C:C,baza!H:H,"Bir Payment")</f>
        <v>1</v>
      </c>
      <c r="H67" s="15">
        <f>COUNTIFS(baza!B:B,'ştat sayları'!C:C,baza!H:H,"BirMarket")</f>
        <v>0</v>
      </c>
      <c r="I67" s="15">
        <f>COUNTIFS(baza!B:B,'ştat sayları'!C:C,baza!H:H,"Paşa Holding")</f>
        <v>0</v>
      </c>
      <c r="J67" s="15">
        <f>COUNTIFS(baza!B:B,'ştat sayları'!C:C,baza!H:H,"Future lab")</f>
        <v>0</v>
      </c>
      <c r="K67" s="4">
        <f t="shared" ref="K67:K93" si="1">G67+H67+I67+J67</f>
        <v>1</v>
      </c>
      <c r="L67" s="17" t="s">
        <v>1043</v>
      </c>
      <c r="M67" s="4" t="s">
        <v>262</v>
      </c>
    </row>
    <row r="68" spans="1:13" s="17" customFormat="1" x14ac:dyDescent="0.35">
      <c r="A68" s="16" t="s">
        <v>991</v>
      </c>
      <c r="B68" s="15">
        <v>0</v>
      </c>
      <c r="C68" s="16" t="s">
        <v>9</v>
      </c>
      <c r="D68" s="15">
        <v>444</v>
      </c>
      <c r="E68" s="15" t="s">
        <v>356</v>
      </c>
      <c r="F68" s="15">
        <v>444</v>
      </c>
      <c r="G68" s="15">
        <f>COUNTIFS(baza!B:B,'ştat sayları'!C:C,baza!H:H,"Bir Payment")</f>
        <v>202</v>
      </c>
      <c r="H68" s="15">
        <f>COUNTIFS(baza!B:B,'ştat sayları'!C:C,baza!H:H,"BirMarket")</f>
        <v>0</v>
      </c>
      <c r="I68" s="15">
        <f>COUNTIFS(baza!B:B,'ştat sayları'!C:C,baza!H:H,"Paşa Holding")</f>
        <v>0</v>
      </c>
      <c r="J68" s="15">
        <f>COUNTIFS(baza!B:B,'ştat sayları'!C:C,baza!H:H,"Future lab")</f>
        <v>0</v>
      </c>
      <c r="K68" s="4">
        <f t="shared" si="1"/>
        <v>202</v>
      </c>
      <c r="L68" s="17" t="s">
        <v>1048</v>
      </c>
      <c r="M68" s="4" t="s">
        <v>262</v>
      </c>
    </row>
    <row r="69" spans="1:13" s="17" customFormat="1" x14ac:dyDescent="0.35">
      <c r="A69" s="16" t="s">
        <v>991</v>
      </c>
      <c r="B69" s="15">
        <v>0</v>
      </c>
      <c r="C69" s="16" t="s">
        <v>8</v>
      </c>
      <c r="D69" s="15">
        <v>61</v>
      </c>
      <c r="E69" s="15" t="s">
        <v>356</v>
      </c>
      <c r="F69" s="15">
        <v>61</v>
      </c>
      <c r="G69" s="15">
        <f>COUNTIFS(baza!B:B,'ştat sayları'!C:C,baza!H:H,"Bir Payment")</f>
        <v>31</v>
      </c>
      <c r="H69" s="15">
        <f>COUNTIFS(baza!B:B,'ştat sayları'!C:C,baza!H:H,"BirMarket")</f>
        <v>0</v>
      </c>
      <c r="I69" s="15">
        <f>COUNTIFS(baza!B:B,'ştat sayları'!C:C,baza!H:H,"Paşa Holding")</f>
        <v>0</v>
      </c>
      <c r="J69" s="15">
        <f>COUNTIFS(baza!B:B,'ştat sayları'!C:C,baza!H:H,"Future lab")</f>
        <v>0</v>
      </c>
      <c r="K69" s="4">
        <f t="shared" si="1"/>
        <v>31</v>
      </c>
      <c r="L69" s="17" t="s">
        <v>1044</v>
      </c>
      <c r="M69" s="4" t="s">
        <v>262</v>
      </c>
    </row>
    <row r="70" spans="1:13" s="17" customFormat="1" x14ac:dyDescent="0.35">
      <c r="A70" s="14" t="s">
        <v>0</v>
      </c>
      <c r="B70" s="15">
        <v>0</v>
      </c>
      <c r="C70" s="16" t="s">
        <v>42</v>
      </c>
      <c r="D70" s="15">
        <v>12</v>
      </c>
      <c r="E70" s="15" t="s">
        <v>356</v>
      </c>
      <c r="F70" s="4">
        <v>12</v>
      </c>
      <c r="G70" s="15">
        <f>COUNTIFS(baza!B:B,'ştat sayları'!C:C,baza!H:H,"Bir Payment")</f>
        <v>0</v>
      </c>
      <c r="H70" s="15">
        <f>COUNTIFS(baza!B:B,'ştat sayları'!C:C,baza!H:H,"BirMarket")</f>
        <v>0</v>
      </c>
      <c r="I70" s="15">
        <f>COUNTIFS(baza!B:B,'ştat sayları'!C:C,baza!H:H,"Paşa Holding")</f>
        <v>0</v>
      </c>
      <c r="J70" s="15">
        <f>COUNTIFS(baza!B:B,'ştat sayları'!C:C,baza!H:H,"Future lab")</f>
        <v>0</v>
      </c>
      <c r="K70" s="4">
        <f t="shared" si="1"/>
        <v>0</v>
      </c>
      <c r="L70" s="17" t="s">
        <v>1045</v>
      </c>
      <c r="M70" s="4" t="s">
        <v>258</v>
      </c>
    </row>
    <row r="71" spans="1:13" s="17" customFormat="1" x14ac:dyDescent="0.35">
      <c r="A71" s="14" t="s">
        <v>10</v>
      </c>
      <c r="B71" s="15">
        <v>2</v>
      </c>
      <c r="C71" s="16" t="s">
        <v>11</v>
      </c>
      <c r="D71" s="15">
        <v>4</v>
      </c>
      <c r="E71" s="15" t="s">
        <v>356</v>
      </c>
      <c r="F71" s="4">
        <v>4</v>
      </c>
      <c r="G71" s="15">
        <f>COUNTIFS(baza!B:B,'ştat sayları'!C:C,baza!H:H,"Bir Payment")</f>
        <v>0</v>
      </c>
      <c r="H71" s="15">
        <f>COUNTIFS(baza!B:B,'ştat sayları'!C:C,baza!H:H,"BirMarket")</f>
        <v>0</v>
      </c>
      <c r="I71" s="15">
        <f>COUNTIFS(baza!B:B,'ştat sayları'!C:C,baza!H:H,"Paşa Holding")</f>
        <v>0</v>
      </c>
      <c r="J71" s="15">
        <f>COUNTIFS(baza!B:B,'ştat sayları'!C:C,baza!H:H,"Future lab")</f>
        <v>0</v>
      </c>
      <c r="K71" s="4">
        <f t="shared" si="1"/>
        <v>0</v>
      </c>
      <c r="L71" s="17" t="s">
        <v>1046</v>
      </c>
      <c r="M71" s="4" t="s">
        <v>253</v>
      </c>
    </row>
    <row r="72" spans="1:13" s="17" customFormat="1" ht="15" thickBot="1" x14ac:dyDescent="0.4">
      <c r="A72" s="16" t="s">
        <v>991</v>
      </c>
      <c r="B72" s="15">
        <v>0</v>
      </c>
      <c r="C72" s="15" t="s">
        <v>52</v>
      </c>
      <c r="D72" s="15">
        <v>270</v>
      </c>
      <c r="E72" s="15" t="s">
        <v>356</v>
      </c>
      <c r="F72" s="15">
        <v>270</v>
      </c>
      <c r="G72" s="15">
        <f>COUNTIFS(baza!B:B,'ştat sayları'!C:C,baza!H:H,"Bir Payment")</f>
        <v>15</v>
      </c>
      <c r="H72" s="15">
        <f>COUNTIFS(baza!B:B,'ştat sayları'!C:C,baza!H:H,"BirMarket")</f>
        <v>0</v>
      </c>
      <c r="I72" s="15">
        <f>COUNTIFS(baza!B:B,'ştat sayları'!C:C,baza!H:H,"Paşa Holding")</f>
        <v>0</v>
      </c>
      <c r="J72" s="15">
        <f>COUNTIFS(baza!B:B,'ştat sayları'!C:C,baza!H:H,"Future lab")</f>
        <v>0</v>
      </c>
      <c r="K72" s="4">
        <f t="shared" si="1"/>
        <v>15</v>
      </c>
      <c r="L72" s="64" t="s">
        <v>1050</v>
      </c>
      <c r="M72" s="4" t="s">
        <v>254</v>
      </c>
    </row>
    <row r="73" spans="1:13" s="17" customFormat="1" ht="15" thickTop="1" x14ac:dyDescent="0.35">
      <c r="A73" s="16" t="s">
        <v>991</v>
      </c>
      <c r="B73" s="15">
        <v>0</v>
      </c>
      <c r="C73" s="16" t="s">
        <v>45</v>
      </c>
      <c r="D73" s="15">
        <v>21</v>
      </c>
      <c r="E73" s="15" t="s">
        <v>354</v>
      </c>
      <c r="F73" s="15">
        <v>22</v>
      </c>
      <c r="G73" s="15">
        <f>COUNTIFS(baza!B:B,'ştat sayları'!C:C,baza!H:H,"Bir Payment")</f>
        <v>4</v>
      </c>
      <c r="H73" s="15">
        <f>COUNTIFS(baza!B:B,'ştat sayları'!C:C,baza!H:H,"BirMarket")</f>
        <v>0</v>
      </c>
      <c r="I73" s="15">
        <f>COUNTIFS(baza!B:B,'ştat sayları'!C:C,baza!H:H,"Paşa Holding")</f>
        <v>0</v>
      </c>
      <c r="J73" s="15">
        <f>COUNTIFS(baza!B:B,'ştat sayları'!C:C,baza!H:H,"Future lab")</f>
        <v>0</v>
      </c>
      <c r="K73" s="4">
        <f t="shared" si="1"/>
        <v>4</v>
      </c>
      <c r="L73" s="48" t="s">
        <v>1047</v>
      </c>
      <c r="M73" s="4" t="s">
        <v>262</v>
      </c>
    </row>
    <row r="74" spans="1:13" s="17" customFormat="1" x14ac:dyDescent="0.35">
      <c r="A74" s="16" t="s">
        <v>49</v>
      </c>
      <c r="B74" s="15">
        <v>27</v>
      </c>
      <c r="C74" s="15" t="s">
        <v>49</v>
      </c>
      <c r="D74" s="15">
        <v>22</v>
      </c>
      <c r="E74" s="15" t="s">
        <v>1060</v>
      </c>
      <c r="F74" s="15">
        <v>25</v>
      </c>
      <c r="G74" s="15">
        <f>COUNTIFS(baza!B:B,'ştat sayları'!C:C,baza!H:H,"Bir Payment")</f>
        <v>3</v>
      </c>
      <c r="H74" s="15">
        <f>COUNTIFS(baza!B:B,'ştat sayları'!C:C,baza!H:H,"BirMarket")</f>
        <v>0</v>
      </c>
      <c r="I74" s="15">
        <f>COUNTIFS(baza!B:B,'ştat sayları'!C:C,baza!H:H,"Paşa Holding")</f>
        <v>0</v>
      </c>
      <c r="J74" s="15">
        <f>COUNTIFS(baza!B:B,'ştat sayları'!C:C,baza!H:H,"Future lab")</f>
        <v>0</v>
      </c>
      <c r="K74" s="4">
        <f t="shared" si="1"/>
        <v>3</v>
      </c>
      <c r="L74" s="17" t="s">
        <v>1059</v>
      </c>
      <c r="M74" s="4" t="s">
        <v>255</v>
      </c>
    </row>
    <row r="75" spans="1:13" s="17" customFormat="1" x14ac:dyDescent="0.35">
      <c r="A75" s="16" t="s">
        <v>991</v>
      </c>
      <c r="B75" s="15">
        <v>0</v>
      </c>
      <c r="C75" s="17" t="s">
        <v>82</v>
      </c>
      <c r="D75" s="15">
        <v>44</v>
      </c>
      <c r="E75" s="15" t="s">
        <v>356</v>
      </c>
      <c r="F75" s="15">
        <v>44</v>
      </c>
      <c r="G75" s="15">
        <f>COUNTIFS(baza!B:B,'ştat sayları'!C:C,baza!H:H,"Bir Payment")</f>
        <v>10</v>
      </c>
      <c r="H75" s="15">
        <f>COUNTIFS(baza!B:B,'ştat sayları'!C:C,baza!H:H,"BirMarket")</f>
        <v>0</v>
      </c>
      <c r="I75" s="15">
        <f>COUNTIFS(baza!B:B,'ştat sayları'!C:C,baza!H:H,"Paşa Holding")</f>
        <v>0</v>
      </c>
      <c r="J75" s="15">
        <f>COUNTIFS(baza!B:B,'ştat sayları'!C:C,baza!H:H,"Future lab")</f>
        <v>0</v>
      </c>
      <c r="K75" s="4">
        <f t="shared" si="1"/>
        <v>10</v>
      </c>
      <c r="L75" s="17" t="s">
        <v>1050</v>
      </c>
      <c r="M75" s="4" t="s">
        <v>254</v>
      </c>
    </row>
    <row r="76" spans="1:13" x14ac:dyDescent="0.35">
      <c r="A76" s="11" t="s">
        <v>64</v>
      </c>
      <c r="B76" s="6">
        <v>2</v>
      </c>
      <c r="C76" s="10" t="s">
        <v>64</v>
      </c>
      <c r="D76" s="6">
        <v>2</v>
      </c>
      <c r="E76" s="6" t="s">
        <v>356</v>
      </c>
      <c r="F76" s="6">
        <v>2</v>
      </c>
      <c r="G76" s="6">
        <f>COUNTIFS(baza!B:B,'ştat sayları'!C:C,baza!H:H,"Bir Payment")</f>
        <v>0</v>
      </c>
      <c r="H76" s="6">
        <f>COUNTIFS(baza!B:B,'ştat sayları'!C:C,baza!H:H,"BirMarket")</f>
        <v>0</v>
      </c>
      <c r="I76" s="6">
        <f>COUNTIFS(baza!B:B,'ştat sayları'!C:C,baza!H:H,"Paşa Holding")</f>
        <v>0</v>
      </c>
      <c r="J76" s="6">
        <f>COUNTIFS(baza!B:B,'ştat sayları'!C:C,baza!H:H,"Future lab")</f>
        <v>0</v>
      </c>
      <c r="K76" s="4">
        <f t="shared" si="1"/>
        <v>0</v>
      </c>
    </row>
    <row r="77" spans="1:13" x14ac:dyDescent="0.35">
      <c r="A77" s="11" t="s">
        <v>1051</v>
      </c>
      <c r="B77" s="6">
        <v>1</v>
      </c>
      <c r="C77" s="10" t="s">
        <v>380</v>
      </c>
      <c r="D77" s="6">
        <v>1</v>
      </c>
      <c r="E77" s="6" t="s">
        <v>356</v>
      </c>
      <c r="F77" s="6">
        <v>1</v>
      </c>
      <c r="G77" s="6">
        <f>COUNTIFS(baza!B:B,'ştat sayları'!C:C,baza!H:H,"Bir Payment")</f>
        <v>0</v>
      </c>
      <c r="H77" s="6">
        <f>COUNTIFS(baza!B:B,'ştat sayları'!C:C,baza!H:H,"BirMarket")</f>
        <v>0</v>
      </c>
      <c r="I77" s="6">
        <f>COUNTIFS(baza!B:B,'ştat sayları'!C:C,baza!H:H,"Paşa Holding")</f>
        <v>0</v>
      </c>
      <c r="J77" s="6">
        <f>COUNTIFS(baza!B:B,'ştat sayları'!C:C,baza!H:H,"Future lab")</f>
        <v>0</v>
      </c>
      <c r="K77" s="4">
        <f t="shared" si="1"/>
        <v>0</v>
      </c>
    </row>
    <row r="78" spans="1:13" x14ac:dyDescent="0.35">
      <c r="A78" s="11" t="s">
        <v>378</v>
      </c>
      <c r="B78" s="6">
        <v>2</v>
      </c>
      <c r="C78" s="10" t="s">
        <v>378</v>
      </c>
      <c r="D78" s="6">
        <v>2</v>
      </c>
      <c r="E78" s="6" t="s">
        <v>356</v>
      </c>
      <c r="F78" s="6">
        <v>2</v>
      </c>
      <c r="G78" s="6">
        <f>COUNTIFS(baza!B:B,'ştat sayları'!C:C,baza!H:H,"Bir Payment")</f>
        <v>0</v>
      </c>
      <c r="H78" s="6">
        <f>COUNTIFS(baza!B:B,'ştat sayları'!C:C,baza!H:H,"BirMarket")</f>
        <v>0</v>
      </c>
      <c r="I78" s="6">
        <f>COUNTIFS(baza!B:B,'ştat sayları'!C:C,baza!H:H,"Paşa Holding")</f>
        <v>0</v>
      </c>
      <c r="J78" s="6">
        <f>COUNTIFS(baza!B:B,'ştat sayları'!C:C,baza!H:H,"Future lab")</f>
        <v>0</v>
      </c>
      <c r="K78" s="4">
        <f t="shared" si="1"/>
        <v>0</v>
      </c>
    </row>
    <row r="79" spans="1:13" x14ac:dyDescent="0.35">
      <c r="A79" s="11" t="s">
        <v>379</v>
      </c>
      <c r="B79" s="6">
        <v>2</v>
      </c>
      <c r="C79" s="10" t="s">
        <v>379</v>
      </c>
      <c r="D79" s="6">
        <v>2</v>
      </c>
      <c r="E79" s="6" t="s">
        <v>356</v>
      </c>
      <c r="F79" s="6">
        <v>2</v>
      </c>
      <c r="G79" s="6">
        <f>COUNTIFS(baza!B:B,'ştat sayları'!C:C,baza!H:H,"Bir Payment")</f>
        <v>0</v>
      </c>
      <c r="H79" s="6">
        <f>COUNTIFS(baza!B:B,'ştat sayları'!C:C,baza!H:H,"BirMarket")</f>
        <v>0</v>
      </c>
      <c r="I79" s="6">
        <f>COUNTIFS(baza!B:B,'ştat sayları'!C:C,baza!H:H,"Paşa Holding")</f>
        <v>0</v>
      </c>
      <c r="J79" s="6">
        <f>COUNTIFS(baza!B:B,'ştat sayları'!C:C,baza!H:H,"Future lab")</f>
        <v>0</v>
      </c>
      <c r="K79" s="4">
        <f t="shared" si="1"/>
        <v>0</v>
      </c>
    </row>
    <row r="80" spans="1:13" x14ac:dyDescent="0.35">
      <c r="A80" s="11" t="s">
        <v>979</v>
      </c>
      <c r="B80" s="6">
        <v>4</v>
      </c>
      <c r="C80" s="10" t="s">
        <v>979</v>
      </c>
      <c r="D80" s="6">
        <v>4</v>
      </c>
      <c r="E80" s="6" t="s">
        <v>356</v>
      </c>
      <c r="F80" s="6">
        <v>4</v>
      </c>
      <c r="G80" s="6">
        <f>COUNTIFS(baza!B:B,'ştat sayları'!C:C,baza!H:H,"Bir Payment")</f>
        <v>0</v>
      </c>
      <c r="H80" s="6">
        <f>COUNTIFS(baza!B:B,'ştat sayları'!C:C,baza!H:H,"BirMarket")</f>
        <v>0</v>
      </c>
      <c r="I80" s="6">
        <f>COUNTIFS(baza!B:B,'ştat sayları'!C:C,baza!H:H,"Paşa Holding")</f>
        <v>0</v>
      </c>
      <c r="J80" s="6">
        <f>COUNTIFS(baza!B:B,'ştat sayları'!C:C,baza!H:H,"Future lab")</f>
        <v>0</v>
      </c>
      <c r="K80" s="4">
        <f t="shared" si="1"/>
        <v>0</v>
      </c>
    </row>
    <row r="81" spans="1:12" x14ac:dyDescent="0.35">
      <c r="A81" s="11" t="s">
        <v>75</v>
      </c>
      <c r="B81" s="6">
        <v>13</v>
      </c>
      <c r="C81" s="10" t="s">
        <v>75</v>
      </c>
      <c r="D81" s="6">
        <v>15</v>
      </c>
      <c r="E81" s="6" t="s">
        <v>356</v>
      </c>
      <c r="F81" s="6">
        <v>15</v>
      </c>
      <c r="G81" s="6">
        <f>COUNTIFS(baza!B:B,'ştat sayları'!C:C,baza!H:H,"Bir Payment")</f>
        <v>1</v>
      </c>
      <c r="H81" s="6">
        <f>COUNTIFS(baza!B:B,'ştat sayları'!C:C,baza!H:H,"BirMarket")</f>
        <v>2</v>
      </c>
      <c r="I81" s="6">
        <f>COUNTIFS(baza!B:B,'ştat sayları'!C:C,baza!H:H,"Paşa Holding")</f>
        <v>0</v>
      </c>
      <c r="J81" s="6">
        <f>COUNTIFS(baza!B:B,'ştat sayları'!C:C,baza!H:H,"Future lab")</f>
        <v>0</v>
      </c>
      <c r="K81" s="4">
        <f t="shared" si="1"/>
        <v>3</v>
      </c>
      <c r="L81" t="s">
        <v>1053</v>
      </c>
    </row>
    <row r="82" spans="1:12" x14ac:dyDescent="0.35">
      <c r="A82" s="11" t="s">
        <v>386</v>
      </c>
      <c r="B82" s="6">
        <v>1</v>
      </c>
      <c r="C82" s="10" t="s">
        <v>386</v>
      </c>
      <c r="D82" s="6">
        <v>1</v>
      </c>
      <c r="E82" s="6" t="s">
        <v>356</v>
      </c>
      <c r="F82" s="6">
        <v>1</v>
      </c>
      <c r="G82" s="6">
        <f>COUNTIFS(baza!B:B,'ştat sayları'!C:C,baza!H:H,"Bir Payment")</f>
        <v>0</v>
      </c>
      <c r="H82" s="6">
        <f>COUNTIFS(baza!B:B,'ştat sayları'!C:C,baza!H:H,"BirMarket")</f>
        <v>0</v>
      </c>
      <c r="I82" s="6">
        <f>COUNTIFS(baza!B:B,'ştat sayları'!C:C,baza!H:H,"Paşa Holding")</f>
        <v>0</v>
      </c>
      <c r="J82" s="6">
        <f>COUNTIFS(baza!B:B,'ştat sayları'!C:C,baza!H:H,"Future lab")</f>
        <v>0</v>
      </c>
      <c r="K82" s="4">
        <f t="shared" si="1"/>
        <v>0</v>
      </c>
    </row>
    <row r="83" spans="1:12" x14ac:dyDescent="0.35">
      <c r="A83" s="11" t="s">
        <v>0</v>
      </c>
      <c r="B83" s="6">
        <v>0</v>
      </c>
      <c r="C83" s="10" t="s">
        <v>84</v>
      </c>
      <c r="D83" s="6">
        <v>1</v>
      </c>
      <c r="E83" s="6" t="s">
        <v>356</v>
      </c>
      <c r="F83" s="6">
        <v>1</v>
      </c>
      <c r="G83" s="6">
        <f>COUNTIFS(baza!B:B,'ştat sayları'!C:C,baza!H:H,"Bir Payment")</f>
        <v>0</v>
      </c>
      <c r="H83" s="6">
        <f>COUNTIFS(baza!B:B,'ştat sayları'!C:C,baza!H:H,"BirMarket")</f>
        <v>0</v>
      </c>
      <c r="I83" s="6">
        <f>COUNTIFS(baza!B:B,'ştat sayları'!C:C,baza!H:H,"Paşa Holding")</f>
        <v>1</v>
      </c>
      <c r="J83" s="6">
        <f>COUNTIFS(baza!B:B,'ştat sayları'!C:C,baza!H:H,"Future lab")</f>
        <v>0</v>
      </c>
      <c r="K83" s="4">
        <f t="shared" si="1"/>
        <v>1</v>
      </c>
    </row>
    <row r="84" spans="1:12" x14ac:dyDescent="0.35">
      <c r="A84" s="11" t="s">
        <v>0</v>
      </c>
      <c r="B84" s="6">
        <v>0</v>
      </c>
      <c r="C84" s="10" t="s">
        <v>85</v>
      </c>
      <c r="D84" s="6">
        <v>1</v>
      </c>
      <c r="E84" s="6" t="s">
        <v>356</v>
      </c>
      <c r="F84" s="6">
        <v>1</v>
      </c>
      <c r="G84" s="6">
        <f>COUNTIFS(baza!B:B,'ştat sayları'!C:C,baza!H:H,"Bir Payment")</f>
        <v>0</v>
      </c>
      <c r="H84" s="6">
        <f>COUNTIFS(baza!B:B,'ştat sayları'!C:C,baza!H:H,"BirMarket")</f>
        <v>0</v>
      </c>
      <c r="I84" s="6">
        <f>COUNTIFS(baza!B:B,'ştat sayları'!C:C,baza!H:H,"Paşa Holding")</f>
        <v>1</v>
      </c>
      <c r="J84" s="6">
        <f>COUNTIFS(baza!B:B,'ştat sayları'!C:C,baza!H:H,"Future lab")</f>
        <v>0</v>
      </c>
      <c r="K84" s="4">
        <f t="shared" si="1"/>
        <v>1</v>
      </c>
    </row>
    <row r="85" spans="1:12" x14ac:dyDescent="0.35">
      <c r="A85" s="11" t="s">
        <v>0</v>
      </c>
      <c r="B85" s="6">
        <v>0</v>
      </c>
      <c r="C85" s="10" t="s">
        <v>385</v>
      </c>
      <c r="D85" s="6">
        <v>1</v>
      </c>
      <c r="E85" s="6" t="s">
        <v>356</v>
      </c>
      <c r="F85" s="6">
        <v>1</v>
      </c>
      <c r="G85" s="6">
        <f>COUNTIFS(baza!B:B,'ştat sayları'!C:C,baza!H:H,"Bir Payment")</f>
        <v>0</v>
      </c>
      <c r="H85" s="6">
        <f>COUNTIFS(baza!B:B,'ştat sayları'!C:C,baza!H:H,"BirMarket")</f>
        <v>0</v>
      </c>
      <c r="I85" s="6">
        <f>COUNTIFS(baza!B:B,'ştat sayları'!C:C,baza!H:H,"Paşa Holding")</f>
        <v>0</v>
      </c>
      <c r="J85" s="6">
        <f>COUNTIFS(baza!B:B,'ştat sayları'!C:C,baza!H:H,"Future lab")</f>
        <v>0</v>
      </c>
      <c r="K85" s="4">
        <f t="shared" si="1"/>
        <v>0</v>
      </c>
      <c r="L85" t="s">
        <v>1054</v>
      </c>
    </row>
    <row r="86" spans="1:12" ht="16" x14ac:dyDescent="0.35">
      <c r="A86" s="49" t="s">
        <v>1056</v>
      </c>
      <c r="B86" s="6">
        <v>1</v>
      </c>
      <c r="C86" s="10" t="s">
        <v>980</v>
      </c>
      <c r="D86" s="6">
        <v>1</v>
      </c>
      <c r="E86" s="6" t="s">
        <v>356</v>
      </c>
      <c r="F86" s="6">
        <v>1</v>
      </c>
      <c r="G86" s="6">
        <f>COUNTIFS(baza!B:B,'ştat sayları'!C:C,baza!H:H,"Bir Payment")</f>
        <v>0</v>
      </c>
      <c r="H86" s="6">
        <f>COUNTIFS(baza!B:B,'ştat sayları'!C:C,baza!H:H,"BirMarket")</f>
        <v>0</v>
      </c>
      <c r="I86" s="6">
        <f>COUNTIFS(baza!B:B,'ştat sayları'!C:C,baza!H:H,"Paşa Holding")</f>
        <v>0</v>
      </c>
      <c r="J86" s="6">
        <f>COUNTIFS(baza!B:B,'ştat sayları'!C:C,baza!H:H,"Future lab")</f>
        <v>0</v>
      </c>
      <c r="K86" s="4">
        <f t="shared" si="1"/>
        <v>0</v>
      </c>
    </row>
    <row r="87" spans="1:12" x14ac:dyDescent="0.35">
      <c r="A87" s="11" t="s">
        <v>1057</v>
      </c>
      <c r="B87" s="6">
        <v>1</v>
      </c>
      <c r="C87" s="10" t="s">
        <v>381</v>
      </c>
      <c r="D87" s="6">
        <v>1</v>
      </c>
      <c r="E87" s="6" t="s">
        <v>356</v>
      </c>
      <c r="F87" s="6">
        <v>1</v>
      </c>
      <c r="G87" s="6">
        <f>COUNTIFS(baza!B:B,'ştat sayları'!C:C,baza!H:H,"Bir Payment")</f>
        <v>0</v>
      </c>
      <c r="H87" s="6">
        <f>COUNTIFS(baza!B:B,'ştat sayları'!C:C,baza!H:H,"BirMarket")</f>
        <v>0</v>
      </c>
      <c r="I87" s="6">
        <f>COUNTIFS(baza!B:B,'ştat sayları'!C:C,baza!H:H,"Paşa Holding")</f>
        <v>0</v>
      </c>
      <c r="J87" s="6">
        <f>COUNTIFS(baza!B:B,'ştat sayları'!C:C,baza!H:H,"Future lab")</f>
        <v>0</v>
      </c>
      <c r="K87" s="4">
        <f t="shared" si="1"/>
        <v>0</v>
      </c>
    </row>
    <row r="88" spans="1:12" x14ac:dyDescent="0.35">
      <c r="A88" s="11" t="s">
        <v>0</v>
      </c>
      <c r="B88" s="6">
        <v>0</v>
      </c>
      <c r="C88" s="16" t="s">
        <v>521</v>
      </c>
      <c r="D88" s="6">
        <v>2</v>
      </c>
      <c r="E88" s="6" t="s">
        <v>356</v>
      </c>
      <c r="F88" s="6">
        <v>2</v>
      </c>
      <c r="G88" s="6">
        <f>COUNTIFS(baza!B:B,'ştat sayları'!C:C,baza!H:H,"Bir Payment")</f>
        <v>0</v>
      </c>
      <c r="H88" s="6">
        <f>COUNTIFS(baza!B:B,'ştat sayları'!C:C,baza!H:H,"BirMarket")</f>
        <v>0</v>
      </c>
      <c r="I88" s="6">
        <f>COUNTIFS(baza!B:B,'ştat sayları'!C:C,baza!H:H,"Paşa Holding")</f>
        <v>0</v>
      </c>
      <c r="J88" s="6">
        <f>COUNTIFS(baza!B:B,'ştat sayları'!C:C,baza!H:H,"Future lab")</f>
        <v>0</v>
      </c>
      <c r="K88" s="4">
        <f t="shared" si="1"/>
        <v>0</v>
      </c>
      <c r="L88" t="s">
        <v>1062</v>
      </c>
    </row>
    <row r="89" spans="1:12" x14ac:dyDescent="0.35">
      <c r="A89" s="11" t="s">
        <v>1058</v>
      </c>
      <c r="B89" s="6">
        <v>1</v>
      </c>
      <c r="C89" s="10" t="s">
        <v>384</v>
      </c>
      <c r="D89" s="6">
        <v>1</v>
      </c>
      <c r="E89" s="6" t="s">
        <v>356</v>
      </c>
      <c r="F89" s="6">
        <v>1</v>
      </c>
      <c r="G89" s="6">
        <f>COUNTIFS(baza!B:B,'ştat sayları'!C:C,baza!H:H,"Bir Payment")</f>
        <v>0</v>
      </c>
      <c r="H89" s="6">
        <f>COUNTIFS(baza!B:B,'ştat sayları'!C:C,baza!H:H,"BirMarket")</f>
        <v>0</v>
      </c>
      <c r="I89" s="6">
        <f>COUNTIFS(baza!B:B,'ştat sayları'!C:C,baza!H:H,"Paşa Holding")</f>
        <v>0</v>
      </c>
      <c r="J89" s="6">
        <f>COUNTIFS(baza!B:B,'ştat sayları'!C:C,baza!H:H,"Future lab")</f>
        <v>0</v>
      </c>
      <c r="K89" s="4">
        <f t="shared" si="1"/>
        <v>0</v>
      </c>
    </row>
    <row r="90" spans="1:12" x14ac:dyDescent="0.35">
      <c r="A90" s="11" t="s">
        <v>589</v>
      </c>
      <c r="B90" s="6">
        <v>0</v>
      </c>
      <c r="C90" s="13" t="s">
        <v>589</v>
      </c>
      <c r="D90" s="6">
        <v>4</v>
      </c>
      <c r="E90" s="6" t="s">
        <v>356</v>
      </c>
      <c r="F90" s="6">
        <v>4</v>
      </c>
      <c r="G90" s="6">
        <f>COUNTIFS(baza!B:B,'ştat sayları'!C:C,baza!H:H,"Bir Payment")</f>
        <v>0</v>
      </c>
      <c r="H90" s="6">
        <f>COUNTIFS(baza!B:B,'ştat sayları'!C:C,baza!H:H,"BirMarket")</f>
        <v>0</v>
      </c>
      <c r="I90" s="6">
        <f>COUNTIFS(baza!B:B,'ştat sayları'!C:C,baza!H:H,"Paşa Holding")</f>
        <v>0</v>
      </c>
      <c r="J90" s="6">
        <f>COUNTIFS(baza!B:B,'ştat sayları'!C:C,baza!H:H,"Future lab")</f>
        <v>0</v>
      </c>
      <c r="K90" s="4">
        <f t="shared" si="1"/>
        <v>0</v>
      </c>
      <c r="L90" t="s">
        <v>1052</v>
      </c>
    </row>
    <row r="91" spans="1:12" x14ac:dyDescent="0.35">
      <c r="A91" s="11" t="s">
        <v>607</v>
      </c>
      <c r="B91" s="6">
        <v>0</v>
      </c>
      <c r="C91" s="13" t="s">
        <v>607</v>
      </c>
      <c r="D91" s="6">
        <v>5</v>
      </c>
      <c r="E91" s="6" t="s">
        <v>356</v>
      </c>
      <c r="F91" s="6">
        <v>5</v>
      </c>
      <c r="G91" s="6">
        <f>COUNTIFS(baza!B:B,'ştat sayları'!C:C,baza!H:H,"Bir Payment")</f>
        <v>0</v>
      </c>
      <c r="H91" s="6">
        <f>COUNTIFS(baza!B:B,'ştat sayları'!C:C,baza!H:H,"BirMarket")</f>
        <v>0</v>
      </c>
      <c r="I91" s="6">
        <f>COUNTIFS(baza!B:B,'ştat sayları'!C:C,baza!H:H,"Paşa Holding")</f>
        <v>0</v>
      </c>
      <c r="J91" s="6">
        <f>COUNTIFS(baza!B:B,'ştat sayları'!C:C,baza!H:H,"Future lab")</f>
        <v>0</v>
      </c>
      <c r="K91" s="4">
        <f t="shared" si="1"/>
        <v>0</v>
      </c>
      <c r="L91" t="s">
        <v>1052</v>
      </c>
    </row>
    <row r="92" spans="1:12" x14ac:dyDescent="0.35">
      <c r="A92" s="11" t="s">
        <v>4</v>
      </c>
      <c r="B92" s="6">
        <v>0</v>
      </c>
      <c r="C92" s="13" t="s">
        <v>4</v>
      </c>
      <c r="D92" s="6">
        <v>1</v>
      </c>
      <c r="E92" s="6" t="s">
        <v>356</v>
      </c>
      <c r="F92" s="6">
        <v>1</v>
      </c>
      <c r="G92" s="6">
        <f>COUNTIFS(baza!B:B,'ştat sayları'!C:C,baza!H:H,"Bir Payment")</f>
        <v>0</v>
      </c>
      <c r="H92" s="6">
        <f>COUNTIFS(baza!B:B,'ştat sayları'!C:C,baza!H:H,"BirMarket")</f>
        <v>0</v>
      </c>
      <c r="I92" s="6">
        <f>COUNTIFS(baza!B:B,'ştat sayları'!C:C,baza!H:H,"Paşa Holding")</f>
        <v>0</v>
      </c>
      <c r="J92" s="6">
        <f>COUNTIFS(baza!B:B,'ştat sayları'!C:C,baza!H:H,"Future lab")</f>
        <v>0</v>
      </c>
      <c r="K92" s="4">
        <f t="shared" si="1"/>
        <v>0</v>
      </c>
      <c r="L92" t="s">
        <v>1052</v>
      </c>
    </row>
    <row r="93" spans="1:12" x14ac:dyDescent="0.35">
      <c r="A93" s="11" t="s">
        <v>382</v>
      </c>
      <c r="B93" s="6">
        <v>0</v>
      </c>
      <c r="C93" s="13" t="s">
        <v>382</v>
      </c>
      <c r="D93" s="6">
        <v>1</v>
      </c>
      <c r="E93" s="6" t="s">
        <v>356</v>
      </c>
      <c r="F93" s="6">
        <v>1</v>
      </c>
      <c r="G93" s="6">
        <f>COUNTIFS(baza!B:B,'ştat sayları'!C:C,baza!H:H,"Bir Payment")</f>
        <v>0</v>
      </c>
      <c r="H93" s="6">
        <f>COUNTIFS(baza!B:B,'ştat sayları'!C:C,baza!H:H,"BirMarket")</f>
        <v>0</v>
      </c>
      <c r="I93" s="6">
        <f>COUNTIFS(baza!B:B,'ştat sayları'!C:C,baza!H:H,"Paşa Holding")</f>
        <v>0</v>
      </c>
      <c r="J93" s="6">
        <f>COUNTIFS(baza!B:B,'ştat sayları'!C:C,baza!H:H,"Future lab")</f>
        <v>0</v>
      </c>
      <c r="K93" s="4">
        <f t="shared" si="1"/>
        <v>0</v>
      </c>
      <c r="L93" t="s">
        <v>1052</v>
      </c>
    </row>
    <row r="94" spans="1:12" x14ac:dyDescent="0.35">
      <c r="B94" s="6">
        <v>4977</v>
      </c>
      <c r="F94" s="6">
        <f>SUM(F2:F93)</f>
        <v>6622</v>
      </c>
      <c r="G94" s="6">
        <f t="shared" ref="G94:J94" si="2">SUM(G2:G93)</f>
        <v>400</v>
      </c>
      <c r="H94" s="6">
        <f t="shared" si="2"/>
        <v>61</v>
      </c>
      <c r="I94" s="6">
        <f t="shared" si="2"/>
        <v>19</v>
      </c>
      <c r="J94" s="6">
        <f t="shared" si="2"/>
        <v>8</v>
      </c>
      <c r="K94" s="4">
        <f>SUM(K2:K93)</f>
        <v>488</v>
      </c>
    </row>
    <row r="96" spans="1:12" x14ac:dyDescent="0.35">
      <c r="H96">
        <f>SUM(G94:J94)</f>
        <v>488</v>
      </c>
    </row>
  </sheetData>
  <autoFilter ref="A1:N94" xr:uid="{5387A1C4-56EF-4459-9BA6-CB5DD4C48937}"/>
  <conditionalFormatting sqref="A20">
    <cfRule type="duplicateValues" dxfId="12" priority="4"/>
  </conditionalFormatting>
  <conditionalFormatting sqref="C1:C50 C52:C71 C73">
    <cfRule type="duplicateValues" dxfId="11" priority="8"/>
  </conditionalFormatting>
  <conditionalFormatting sqref="C2:C28">
    <cfRule type="duplicateValues" dxfId="10" priority="5"/>
  </conditionalFormatting>
  <conditionalFormatting sqref="C77:C1048576 C1:C50 C52:C71 C73">
    <cfRule type="duplicateValues" dxfId="9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1A39B-0E36-40EC-94D2-A2E70503ED8F}">
  <dimension ref="A1:O16"/>
  <sheetViews>
    <sheetView workbookViewId="0">
      <selection activeCell="A7" sqref="A7"/>
    </sheetView>
  </sheetViews>
  <sheetFormatPr defaultRowHeight="14.5" x14ac:dyDescent="0.35"/>
  <cols>
    <col min="1" max="1" width="37" bestFit="1" customWidth="1"/>
    <col min="2" max="2" width="8.6328125" bestFit="1" customWidth="1"/>
    <col min="3" max="3" width="10.08984375" bestFit="1" customWidth="1"/>
    <col min="4" max="4" width="13.6328125" bestFit="1" customWidth="1"/>
    <col min="12" max="12" width="39.08984375" bestFit="1" customWidth="1"/>
    <col min="13" max="13" width="18.6328125" bestFit="1" customWidth="1"/>
    <col min="14" max="14" width="26.54296875" customWidth="1"/>
    <col min="15" max="15" width="31.08984375" customWidth="1"/>
  </cols>
  <sheetData>
    <row r="1" spans="1:15" x14ac:dyDescent="0.35">
      <c r="A1" s="13" t="s">
        <v>1063</v>
      </c>
      <c r="F1">
        <v>85</v>
      </c>
      <c r="L1" s="13" t="s">
        <v>1067</v>
      </c>
      <c r="M1" t="s">
        <v>1065</v>
      </c>
      <c r="N1" t="s">
        <v>256</v>
      </c>
      <c r="O1" t="s">
        <v>1066</v>
      </c>
    </row>
    <row r="2" spans="1:15" x14ac:dyDescent="0.35">
      <c r="A2" t="s">
        <v>967</v>
      </c>
      <c r="B2" t="s">
        <v>968</v>
      </c>
      <c r="C2" t="s">
        <v>969</v>
      </c>
      <c r="D2" t="s">
        <v>970</v>
      </c>
      <c r="L2" t="s">
        <v>58</v>
      </c>
      <c r="M2">
        <v>2</v>
      </c>
      <c r="N2" t="s">
        <v>986</v>
      </c>
    </row>
    <row r="3" spans="1:15" x14ac:dyDescent="0.35">
      <c r="A3" t="s">
        <v>1087</v>
      </c>
      <c r="B3">
        <v>23</v>
      </c>
      <c r="C3" s="39">
        <v>46239</v>
      </c>
      <c r="D3" t="s">
        <v>966</v>
      </c>
      <c r="G3" s="17"/>
      <c r="L3" t="s">
        <v>31</v>
      </c>
      <c r="M3">
        <v>3</v>
      </c>
      <c r="N3" t="s">
        <v>1086</v>
      </c>
    </row>
    <row r="4" spans="1:15" x14ac:dyDescent="0.35">
      <c r="A4" t="s">
        <v>972</v>
      </c>
      <c r="B4">
        <v>17</v>
      </c>
      <c r="C4" s="39">
        <v>46157</v>
      </c>
      <c r="D4" t="s">
        <v>971</v>
      </c>
      <c r="L4" t="s">
        <v>28</v>
      </c>
      <c r="M4">
        <v>4</v>
      </c>
      <c r="N4" t="s">
        <v>985</v>
      </c>
    </row>
    <row r="5" spans="1:15" x14ac:dyDescent="0.35">
      <c r="A5" t="s">
        <v>978</v>
      </c>
      <c r="B5">
        <v>7</v>
      </c>
      <c r="C5" s="39">
        <v>46177</v>
      </c>
      <c r="D5" t="s">
        <v>973</v>
      </c>
      <c r="L5" s="10" t="s">
        <v>29</v>
      </c>
      <c r="M5">
        <v>6</v>
      </c>
      <c r="N5" t="s">
        <v>985</v>
      </c>
    </row>
    <row r="6" spans="1:15" x14ac:dyDescent="0.35">
      <c r="A6" t="s">
        <v>975</v>
      </c>
      <c r="B6">
        <v>2</v>
      </c>
      <c r="C6" s="39">
        <v>46160</v>
      </c>
      <c r="D6" t="s">
        <v>974</v>
      </c>
      <c r="L6" t="s">
        <v>78</v>
      </c>
      <c r="M6">
        <v>1</v>
      </c>
      <c r="N6" t="s">
        <v>987</v>
      </c>
      <c r="O6" t="s">
        <v>988</v>
      </c>
    </row>
    <row r="7" spans="1:15" x14ac:dyDescent="0.35">
      <c r="A7" t="s">
        <v>977</v>
      </c>
      <c r="B7">
        <v>1</v>
      </c>
      <c r="C7" s="39">
        <v>46156</v>
      </c>
      <c r="D7" t="s">
        <v>976</v>
      </c>
      <c r="L7" t="s">
        <v>7</v>
      </c>
      <c r="M7">
        <v>2</v>
      </c>
      <c r="N7" t="s">
        <v>987</v>
      </c>
      <c r="O7" t="s">
        <v>989</v>
      </c>
    </row>
    <row r="8" spans="1:15" x14ac:dyDescent="0.35">
      <c r="A8" s="50" t="s">
        <v>353</v>
      </c>
      <c r="B8" s="51">
        <v>50</v>
      </c>
      <c r="L8" t="s">
        <v>52</v>
      </c>
      <c r="M8">
        <v>6</v>
      </c>
      <c r="N8" t="s">
        <v>987</v>
      </c>
      <c r="O8" t="s">
        <v>1088</v>
      </c>
    </row>
    <row r="9" spans="1:15" x14ac:dyDescent="0.35">
      <c r="L9" t="s">
        <v>48</v>
      </c>
      <c r="M9">
        <v>3</v>
      </c>
      <c r="N9" t="s">
        <v>1003</v>
      </c>
    </row>
    <row r="10" spans="1:15" x14ac:dyDescent="0.35">
      <c r="L10" t="s">
        <v>54</v>
      </c>
      <c r="M10">
        <v>1</v>
      </c>
      <c r="N10" t="s">
        <v>34</v>
      </c>
    </row>
    <row r="11" spans="1:15" x14ac:dyDescent="0.35">
      <c r="L11" t="s">
        <v>16</v>
      </c>
      <c r="M11">
        <v>4</v>
      </c>
      <c r="N11" t="s">
        <v>985</v>
      </c>
    </row>
    <row r="12" spans="1:15" x14ac:dyDescent="0.35">
      <c r="L12" s="43" t="s">
        <v>73</v>
      </c>
      <c r="M12">
        <v>1</v>
      </c>
      <c r="N12" t="s">
        <v>990</v>
      </c>
    </row>
    <row r="13" spans="1:15" x14ac:dyDescent="0.35">
      <c r="L13" s="10" t="s">
        <v>1025</v>
      </c>
      <c r="M13">
        <v>13</v>
      </c>
      <c r="N13" t="s">
        <v>1055</v>
      </c>
    </row>
    <row r="14" spans="1:15" x14ac:dyDescent="0.35">
      <c r="L14" t="s">
        <v>984</v>
      </c>
      <c r="M14">
        <v>5</v>
      </c>
    </row>
    <row r="16" spans="1:15" x14ac:dyDescent="0.35">
      <c r="L16" s="51" t="s">
        <v>353</v>
      </c>
      <c r="M16" s="51">
        <f>SUM(M2:M14)</f>
        <v>51</v>
      </c>
    </row>
  </sheetData>
  <conditionalFormatting sqref="L5">
    <cfRule type="duplicateValues" dxfId="8" priority="5"/>
    <cfRule type="duplicateValues" dxfId="7" priority="6"/>
    <cfRule type="duplicateValues" dxfId="6" priority="7"/>
  </conditionalFormatting>
  <conditionalFormatting sqref="L13">
    <cfRule type="duplicateValues" dxfId="5" priority="14"/>
    <cfRule type="duplicateValues" dxfId="4" priority="15"/>
    <cfRule type="duplicateValues" dxfId="3" priority="1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9870A-6AB9-4496-A9EA-A62824A0137C}">
  <dimension ref="A1:L94"/>
  <sheetViews>
    <sheetView workbookViewId="0">
      <selection activeCell="I2" sqref="I2"/>
    </sheetView>
  </sheetViews>
  <sheetFormatPr defaultRowHeight="14.5" x14ac:dyDescent="0.35"/>
  <cols>
    <col min="1" max="1" width="50.1796875" style="10" bestFit="1" customWidth="1"/>
    <col min="2" max="2" width="24.81640625" style="6" customWidth="1"/>
    <col min="4" max="4" width="11.54296875" bestFit="1" customWidth="1"/>
    <col min="5" max="5" width="17.36328125" customWidth="1"/>
  </cols>
  <sheetData>
    <row r="1" spans="1:12" x14ac:dyDescent="0.35">
      <c r="A1" s="8" t="s">
        <v>61</v>
      </c>
      <c r="B1" s="4" t="s">
        <v>353</v>
      </c>
      <c r="C1" t="s">
        <v>1077</v>
      </c>
      <c r="D1" t="s">
        <v>1049</v>
      </c>
      <c r="E1" t="s">
        <v>1085</v>
      </c>
      <c r="F1" t="s">
        <v>983</v>
      </c>
    </row>
    <row r="2" spans="1:12" x14ac:dyDescent="0.35">
      <c r="A2" s="9" t="s">
        <v>40</v>
      </c>
      <c r="B2" s="4">
        <v>8</v>
      </c>
      <c r="C2">
        <v>7</v>
      </c>
      <c r="D2">
        <v>0</v>
      </c>
      <c r="E2">
        <v>1</v>
      </c>
      <c r="F2" t="s">
        <v>982</v>
      </c>
      <c r="I2" t="s">
        <v>982</v>
      </c>
      <c r="J2">
        <f>SUMIFS(E:E,F:F,"Agile")</f>
        <v>198</v>
      </c>
    </row>
    <row r="3" spans="1:12" x14ac:dyDescent="0.35">
      <c r="A3" s="10" t="s">
        <v>66</v>
      </c>
      <c r="B3" s="4">
        <v>63</v>
      </c>
      <c r="C3">
        <v>57</v>
      </c>
      <c r="D3">
        <v>0</v>
      </c>
      <c r="E3">
        <v>6</v>
      </c>
      <c r="F3" t="s">
        <v>982</v>
      </c>
      <c r="I3" t="s">
        <v>981</v>
      </c>
      <c r="J3">
        <f>SUMIFS(E:E,F:F,"Non-Agile")</f>
        <v>236</v>
      </c>
      <c r="L3">
        <f>J3+J4+J2</f>
        <v>482</v>
      </c>
    </row>
    <row r="4" spans="1:12" x14ac:dyDescent="0.35">
      <c r="A4" s="10" t="s">
        <v>47</v>
      </c>
      <c r="B4" s="4">
        <v>162</v>
      </c>
      <c r="C4">
        <v>158</v>
      </c>
      <c r="D4">
        <v>2</v>
      </c>
      <c r="E4">
        <v>6</v>
      </c>
      <c r="F4" t="s">
        <v>981</v>
      </c>
      <c r="I4" t="s">
        <v>90</v>
      </c>
      <c r="J4">
        <f>SUMIFS(E:E,F:F,"Filial")</f>
        <v>48</v>
      </c>
    </row>
    <row r="5" spans="1:12" x14ac:dyDescent="0.35">
      <c r="A5" s="10" t="s">
        <v>32</v>
      </c>
      <c r="B5" s="4">
        <v>52</v>
      </c>
      <c r="C5">
        <v>54</v>
      </c>
      <c r="D5">
        <v>2</v>
      </c>
      <c r="E5">
        <v>0</v>
      </c>
      <c r="F5" t="s">
        <v>981</v>
      </c>
    </row>
    <row r="6" spans="1:12" x14ac:dyDescent="0.35">
      <c r="A6" s="10" t="s">
        <v>33</v>
      </c>
      <c r="B6" s="4">
        <v>37.5</v>
      </c>
      <c r="C6">
        <v>30</v>
      </c>
      <c r="D6">
        <v>0</v>
      </c>
      <c r="E6">
        <v>7.5</v>
      </c>
      <c r="F6" t="s">
        <v>981</v>
      </c>
    </row>
    <row r="7" spans="1:12" x14ac:dyDescent="0.35">
      <c r="A7" s="10" t="s">
        <v>12</v>
      </c>
      <c r="B7" s="4">
        <v>99</v>
      </c>
      <c r="C7">
        <v>84</v>
      </c>
      <c r="D7">
        <v>0</v>
      </c>
      <c r="E7">
        <v>15</v>
      </c>
      <c r="F7" t="s">
        <v>981</v>
      </c>
    </row>
    <row r="8" spans="1:12" x14ac:dyDescent="0.35">
      <c r="A8" s="10" t="s">
        <v>78</v>
      </c>
      <c r="B8" s="4">
        <v>25</v>
      </c>
      <c r="C8">
        <v>23</v>
      </c>
      <c r="D8">
        <v>0</v>
      </c>
      <c r="E8">
        <v>2</v>
      </c>
      <c r="F8" t="s">
        <v>982</v>
      </c>
    </row>
    <row r="9" spans="1:12" x14ac:dyDescent="0.35">
      <c r="A9" s="10" t="s">
        <v>17</v>
      </c>
      <c r="B9" s="4">
        <v>34</v>
      </c>
      <c r="C9">
        <v>31</v>
      </c>
      <c r="D9">
        <v>0</v>
      </c>
      <c r="E9">
        <v>3</v>
      </c>
      <c r="F9" t="s">
        <v>982</v>
      </c>
    </row>
    <row r="10" spans="1:12" x14ac:dyDescent="0.35">
      <c r="A10" s="10" t="s">
        <v>87</v>
      </c>
      <c r="B10" s="4">
        <v>16</v>
      </c>
      <c r="C10">
        <v>14</v>
      </c>
      <c r="D10">
        <v>0</v>
      </c>
      <c r="E10">
        <v>2</v>
      </c>
      <c r="F10" t="s">
        <v>982</v>
      </c>
    </row>
    <row r="11" spans="1:12" x14ac:dyDescent="0.35">
      <c r="A11" s="10" t="s">
        <v>36</v>
      </c>
      <c r="B11" s="4">
        <v>116</v>
      </c>
      <c r="C11">
        <v>109</v>
      </c>
      <c r="D11">
        <v>0</v>
      </c>
      <c r="E11">
        <v>7</v>
      </c>
      <c r="F11" t="s">
        <v>981</v>
      </c>
    </row>
    <row r="12" spans="1:12" x14ac:dyDescent="0.35">
      <c r="A12" s="10" t="s">
        <v>60</v>
      </c>
      <c r="B12" s="4">
        <v>5</v>
      </c>
      <c r="C12">
        <v>4</v>
      </c>
      <c r="D12">
        <v>0</v>
      </c>
      <c r="E12">
        <v>1</v>
      </c>
      <c r="F12" t="s">
        <v>982</v>
      </c>
    </row>
    <row r="13" spans="1:12" x14ac:dyDescent="0.35">
      <c r="A13" s="10" t="s">
        <v>38</v>
      </c>
      <c r="B13" s="4">
        <v>12</v>
      </c>
      <c r="C13">
        <v>12</v>
      </c>
      <c r="D13">
        <v>0</v>
      </c>
      <c r="E13">
        <v>0</v>
      </c>
      <c r="F13" t="s">
        <v>982</v>
      </c>
    </row>
    <row r="14" spans="1:12" x14ac:dyDescent="0.35">
      <c r="A14" s="10" t="s">
        <v>54</v>
      </c>
      <c r="B14" s="4">
        <v>79</v>
      </c>
      <c r="C14">
        <v>74</v>
      </c>
      <c r="D14">
        <v>0</v>
      </c>
      <c r="E14">
        <v>5</v>
      </c>
      <c r="F14" t="s">
        <v>981</v>
      </c>
    </row>
    <row r="15" spans="1:12" x14ac:dyDescent="0.35">
      <c r="A15" s="10" t="s">
        <v>41</v>
      </c>
      <c r="B15" s="4">
        <v>5</v>
      </c>
      <c r="C15">
        <v>4</v>
      </c>
      <c r="D15">
        <v>0</v>
      </c>
      <c r="E15">
        <v>1</v>
      </c>
      <c r="F15" t="s">
        <v>982</v>
      </c>
    </row>
    <row r="16" spans="1:12" x14ac:dyDescent="0.35">
      <c r="A16" s="10" t="s">
        <v>20</v>
      </c>
      <c r="B16" s="4">
        <v>6</v>
      </c>
      <c r="C16">
        <v>6</v>
      </c>
      <c r="D16">
        <v>0</v>
      </c>
      <c r="E16">
        <v>0</v>
      </c>
      <c r="F16" t="s">
        <v>982</v>
      </c>
    </row>
    <row r="17" spans="1:6" x14ac:dyDescent="0.35">
      <c r="A17" s="10" t="s">
        <v>48</v>
      </c>
      <c r="B17" s="4">
        <v>28</v>
      </c>
      <c r="C17">
        <v>23</v>
      </c>
      <c r="D17">
        <v>0</v>
      </c>
      <c r="E17">
        <v>5</v>
      </c>
      <c r="F17" t="s">
        <v>981</v>
      </c>
    </row>
    <row r="18" spans="1:6" x14ac:dyDescent="0.35">
      <c r="A18" s="10" t="s">
        <v>80</v>
      </c>
      <c r="B18" s="4">
        <v>5</v>
      </c>
      <c r="C18">
        <v>4</v>
      </c>
      <c r="D18">
        <v>0</v>
      </c>
      <c r="E18">
        <v>1</v>
      </c>
      <c r="F18" t="s">
        <v>982</v>
      </c>
    </row>
    <row r="19" spans="1:6" x14ac:dyDescent="0.35">
      <c r="A19" s="16" t="s">
        <v>90</v>
      </c>
      <c r="B19" s="4">
        <v>1950</v>
      </c>
      <c r="C19">
        <v>1967</v>
      </c>
      <c r="D19">
        <v>65</v>
      </c>
      <c r="E19">
        <v>48</v>
      </c>
      <c r="F19" t="s">
        <v>90</v>
      </c>
    </row>
    <row r="20" spans="1:6" x14ac:dyDescent="0.35">
      <c r="A20" s="10" t="s">
        <v>27</v>
      </c>
      <c r="B20" s="4">
        <v>6</v>
      </c>
      <c r="C20">
        <v>2</v>
      </c>
      <c r="D20">
        <v>0</v>
      </c>
      <c r="E20">
        <v>4</v>
      </c>
      <c r="F20" t="s">
        <v>981</v>
      </c>
    </row>
    <row r="21" spans="1:6" x14ac:dyDescent="0.35">
      <c r="A21" s="10" t="s">
        <v>30</v>
      </c>
      <c r="B21" s="4">
        <v>669</v>
      </c>
      <c r="C21">
        <v>672</v>
      </c>
      <c r="D21">
        <v>52</v>
      </c>
      <c r="E21">
        <v>49</v>
      </c>
      <c r="F21" t="s">
        <v>981</v>
      </c>
    </row>
    <row r="22" spans="1:6" x14ac:dyDescent="0.35">
      <c r="A22" s="10" t="s">
        <v>67</v>
      </c>
      <c r="B22" s="4">
        <v>21</v>
      </c>
      <c r="C22">
        <v>20</v>
      </c>
      <c r="D22">
        <v>0</v>
      </c>
      <c r="E22">
        <v>1</v>
      </c>
      <c r="F22" t="s">
        <v>981</v>
      </c>
    </row>
    <row r="23" spans="1:6" x14ac:dyDescent="0.35">
      <c r="A23" s="10" t="s">
        <v>29</v>
      </c>
      <c r="B23" s="4">
        <v>99</v>
      </c>
      <c r="C23">
        <v>86</v>
      </c>
      <c r="D23">
        <v>0</v>
      </c>
      <c r="E23">
        <v>13</v>
      </c>
      <c r="F23" t="s">
        <v>982</v>
      </c>
    </row>
    <row r="24" spans="1:6" x14ac:dyDescent="0.35">
      <c r="A24" s="10" t="s">
        <v>79</v>
      </c>
      <c r="B24" s="4">
        <v>7</v>
      </c>
      <c r="C24">
        <v>5</v>
      </c>
      <c r="D24">
        <v>0</v>
      </c>
      <c r="E24">
        <v>2</v>
      </c>
      <c r="F24" t="s">
        <v>982</v>
      </c>
    </row>
    <row r="25" spans="1:6" x14ac:dyDescent="0.35">
      <c r="A25" s="10" t="s">
        <v>58</v>
      </c>
      <c r="B25" s="4">
        <v>11</v>
      </c>
      <c r="C25">
        <v>9</v>
      </c>
      <c r="D25">
        <v>0</v>
      </c>
      <c r="E25">
        <v>2</v>
      </c>
      <c r="F25" t="s">
        <v>981</v>
      </c>
    </row>
    <row r="26" spans="1:6" x14ac:dyDescent="0.35">
      <c r="A26" s="10" t="s">
        <v>86</v>
      </c>
      <c r="B26" s="4">
        <v>13</v>
      </c>
      <c r="C26">
        <v>14</v>
      </c>
      <c r="D26">
        <v>1</v>
      </c>
      <c r="E26">
        <v>0</v>
      </c>
      <c r="F26" t="s">
        <v>981</v>
      </c>
    </row>
    <row r="27" spans="1:6" x14ac:dyDescent="0.35">
      <c r="A27" s="10" t="s">
        <v>88</v>
      </c>
      <c r="B27" s="4">
        <v>3</v>
      </c>
      <c r="C27">
        <v>3</v>
      </c>
      <c r="D27">
        <v>0</v>
      </c>
      <c r="E27">
        <v>0</v>
      </c>
      <c r="F27" t="s">
        <v>982</v>
      </c>
    </row>
    <row r="28" spans="1:6" x14ac:dyDescent="0.35">
      <c r="A28" s="16" t="s">
        <v>89</v>
      </c>
      <c r="B28" s="4">
        <v>5</v>
      </c>
      <c r="C28">
        <v>3</v>
      </c>
      <c r="D28">
        <v>0</v>
      </c>
      <c r="E28">
        <v>2</v>
      </c>
      <c r="F28" t="s">
        <v>982</v>
      </c>
    </row>
    <row r="29" spans="1:6" x14ac:dyDescent="0.35">
      <c r="A29" s="11" t="s">
        <v>65</v>
      </c>
      <c r="B29" s="4">
        <v>55</v>
      </c>
      <c r="C29">
        <v>44</v>
      </c>
      <c r="D29">
        <v>0</v>
      </c>
      <c r="E29">
        <v>11</v>
      </c>
      <c r="F29" t="s">
        <v>981</v>
      </c>
    </row>
    <row r="30" spans="1:6" x14ac:dyDescent="0.35">
      <c r="A30" s="11" t="s">
        <v>69</v>
      </c>
      <c r="B30" s="4">
        <v>29</v>
      </c>
      <c r="C30">
        <v>26</v>
      </c>
      <c r="D30">
        <v>0</v>
      </c>
      <c r="E30">
        <v>3</v>
      </c>
      <c r="F30" t="s">
        <v>981</v>
      </c>
    </row>
    <row r="31" spans="1:6" x14ac:dyDescent="0.35">
      <c r="A31" s="11" t="s">
        <v>70</v>
      </c>
      <c r="B31" s="4">
        <v>133</v>
      </c>
      <c r="C31">
        <v>112</v>
      </c>
      <c r="D31">
        <v>0</v>
      </c>
      <c r="E31">
        <v>21</v>
      </c>
      <c r="F31" t="s">
        <v>981</v>
      </c>
    </row>
    <row r="32" spans="1:6" x14ac:dyDescent="0.35">
      <c r="A32" s="11" t="s">
        <v>71</v>
      </c>
      <c r="B32" s="4">
        <v>58</v>
      </c>
      <c r="C32">
        <v>57</v>
      </c>
      <c r="D32">
        <v>0</v>
      </c>
      <c r="E32">
        <v>1</v>
      </c>
      <c r="F32" t="s">
        <v>981</v>
      </c>
    </row>
    <row r="33" spans="1:6" x14ac:dyDescent="0.35">
      <c r="A33" s="11" t="s">
        <v>50</v>
      </c>
      <c r="B33" s="4">
        <v>28</v>
      </c>
      <c r="C33">
        <v>25</v>
      </c>
      <c r="D33">
        <v>0</v>
      </c>
      <c r="E33">
        <v>3</v>
      </c>
      <c r="F33" t="s">
        <v>981</v>
      </c>
    </row>
    <row r="34" spans="1:6" x14ac:dyDescent="0.35">
      <c r="A34" s="11" t="s">
        <v>81</v>
      </c>
      <c r="B34" s="4">
        <v>12</v>
      </c>
      <c r="C34">
        <v>11</v>
      </c>
      <c r="D34">
        <v>0</v>
      </c>
      <c r="E34">
        <v>1</v>
      </c>
      <c r="F34" t="s">
        <v>982</v>
      </c>
    </row>
    <row r="35" spans="1:6" x14ac:dyDescent="0.35">
      <c r="A35" s="11" t="s">
        <v>56</v>
      </c>
      <c r="B35" s="4">
        <v>23</v>
      </c>
      <c r="C35">
        <v>23</v>
      </c>
      <c r="D35">
        <v>2</v>
      </c>
      <c r="E35">
        <v>2</v>
      </c>
      <c r="F35" t="s">
        <v>981</v>
      </c>
    </row>
    <row r="36" spans="1:6" x14ac:dyDescent="0.35">
      <c r="A36" s="11" t="s">
        <v>22</v>
      </c>
      <c r="B36" s="4">
        <v>83</v>
      </c>
      <c r="C36">
        <v>82</v>
      </c>
      <c r="D36">
        <v>3</v>
      </c>
      <c r="E36">
        <v>4</v>
      </c>
      <c r="F36" t="s">
        <v>981</v>
      </c>
    </row>
    <row r="37" spans="1:6" x14ac:dyDescent="0.35">
      <c r="A37" s="10" t="s">
        <v>31</v>
      </c>
      <c r="B37" s="4">
        <v>71.5</v>
      </c>
      <c r="C37">
        <v>68</v>
      </c>
      <c r="D37">
        <v>2</v>
      </c>
      <c r="E37">
        <v>5.5</v>
      </c>
      <c r="F37" t="s">
        <v>981</v>
      </c>
    </row>
    <row r="38" spans="1:6" x14ac:dyDescent="0.35">
      <c r="A38" s="10" t="s">
        <v>68</v>
      </c>
      <c r="B38" s="4">
        <v>94</v>
      </c>
      <c r="C38">
        <v>89</v>
      </c>
      <c r="D38">
        <v>0</v>
      </c>
      <c r="E38">
        <v>5</v>
      </c>
      <c r="F38" t="s">
        <v>981</v>
      </c>
    </row>
    <row r="39" spans="1:6" x14ac:dyDescent="0.35">
      <c r="A39" s="10" t="s">
        <v>72</v>
      </c>
      <c r="B39" s="4">
        <v>204</v>
      </c>
      <c r="C39">
        <v>182</v>
      </c>
      <c r="D39">
        <v>0</v>
      </c>
      <c r="E39">
        <v>22</v>
      </c>
      <c r="F39" t="s">
        <v>981</v>
      </c>
    </row>
    <row r="40" spans="1:6" x14ac:dyDescent="0.35">
      <c r="A40" s="10" t="s">
        <v>74</v>
      </c>
      <c r="B40" s="4">
        <v>3</v>
      </c>
      <c r="C40">
        <v>3</v>
      </c>
      <c r="D40">
        <v>0</v>
      </c>
      <c r="E40">
        <v>0</v>
      </c>
      <c r="F40" t="s">
        <v>982</v>
      </c>
    </row>
    <row r="41" spans="1:6" x14ac:dyDescent="0.35">
      <c r="A41" s="16" t="s">
        <v>76</v>
      </c>
      <c r="B41" s="4">
        <v>9</v>
      </c>
      <c r="C41">
        <v>8</v>
      </c>
      <c r="D41">
        <v>0</v>
      </c>
      <c r="E41">
        <v>1</v>
      </c>
      <c r="F41" t="s">
        <v>981</v>
      </c>
    </row>
    <row r="42" spans="1:6" x14ac:dyDescent="0.35">
      <c r="A42" s="10" t="s">
        <v>39</v>
      </c>
      <c r="B42" s="4">
        <v>41</v>
      </c>
      <c r="C42">
        <v>38</v>
      </c>
      <c r="D42">
        <v>1</v>
      </c>
      <c r="E42">
        <v>4</v>
      </c>
      <c r="F42" t="s">
        <v>981</v>
      </c>
    </row>
    <row r="43" spans="1:6" x14ac:dyDescent="0.35">
      <c r="A43" s="10" t="s">
        <v>16</v>
      </c>
      <c r="B43" s="4">
        <v>57</v>
      </c>
      <c r="C43">
        <v>54</v>
      </c>
      <c r="D43">
        <v>0</v>
      </c>
      <c r="E43">
        <v>3</v>
      </c>
      <c r="F43" t="s">
        <v>982</v>
      </c>
    </row>
    <row r="44" spans="1:6" x14ac:dyDescent="0.35">
      <c r="A44" s="10" t="s">
        <v>25</v>
      </c>
      <c r="B44" s="4">
        <v>19</v>
      </c>
      <c r="C44">
        <v>20</v>
      </c>
      <c r="D44">
        <v>0</v>
      </c>
      <c r="E44">
        <v>-1</v>
      </c>
      <c r="F44" t="s">
        <v>982</v>
      </c>
    </row>
    <row r="45" spans="1:6" x14ac:dyDescent="0.35">
      <c r="A45" s="10" t="s">
        <v>83</v>
      </c>
      <c r="B45" s="4">
        <v>14</v>
      </c>
      <c r="C45">
        <v>16</v>
      </c>
      <c r="D45">
        <v>3</v>
      </c>
      <c r="E45">
        <v>1</v>
      </c>
      <c r="F45" t="s">
        <v>982</v>
      </c>
    </row>
    <row r="46" spans="1:6" x14ac:dyDescent="0.35">
      <c r="A46" s="10" t="s">
        <v>18</v>
      </c>
      <c r="B46" s="4">
        <v>12</v>
      </c>
      <c r="C46">
        <v>8</v>
      </c>
      <c r="D46">
        <v>0</v>
      </c>
      <c r="E46">
        <v>4</v>
      </c>
      <c r="F46" t="s">
        <v>982</v>
      </c>
    </row>
    <row r="47" spans="1:6" x14ac:dyDescent="0.35">
      <c r="A47" s="10" t="s">
        <v>63</v>
      </c>
      <c r="B47" s="4">
        <v>3</v>
      </c>
      <c r="C47">
        <v>3</v>
      </c>
      <c r="D47">
        <v>0</v>
      </c>
      <c r="E47">
        <v>0</v>
      </c>
      <c r="F47" t="s">
        <v>982</v>
      </c>
    </row>
    <row r="48" spans="1:6" x14ac:dyDescent="0.35">
      <c r="A48" s="10" t="s">
        <v>3</v>
      </c>
      <c r="B48" s="4">
        <v>3</v>
      </c>
      <c r="C48">
        <v>3</v>
      </c>
      <c r="D48">
        <v>0</v>
      </c>
      <c r="E48">
        <v>0</v>
      </c>
      <c r="F48" t="s">
        <v>982</v>
      </c>
    </row>
    <row r="49" spans="1:6" x14ac:dyDescent="0.35">
      <c r="A49" s="10" t="s">
        <v>46</v>
      </c>
      <c r="B49" s="4">
        <v>152</v>
      </c>
      <c r="C49">
        <v>148</v>
      </c>
      <c r="D49">
        <v>8</v>
      </c>
      <c r="E49">
        <v>12</v>
      </c>
      <c r="F49" t="s">
        <v>981</v>
      </c>
    </row>
    <row r="50" spans="1:6" x14ac:dyDescent="0.35">
      <c r="A50" s="16" t="s">
        <v>77</v>
      </c>
      <c r="B50" s="4">
        <v>3</v>
      </c>
      <c r="C50">
        <v>4</v>
      </c>
      <c r="D50">
        <v>0</v>
      </c>
      <c r="E50">
        <v>-1</v>
      </c>
      <c r="F50" t="s">
        <v>982</v>
      </c>
    </row>
    <row r="51" spans="1:6" x14ac:dyDescent="0.35">
      <c r="A51" t="s">
        <v>285</v>
      </c>
      <c r="B51" s="4">
        <v>154</v>
      </c>
      <c r="C51">
        <v>139</v>
      </c>
      <c r="D51">
        <v>2</v>
      </c>
      <c r="E51">
        <v>17</v>
      </c>
      <c r="F51" t="s">
        <v>982</v>
      </c>
    </row>
    <row r="52" spans="1:6" x14ac:dyDescent="0.35">
      <c r="A52" s="16" t="s">
        <v>37</v>
      </c>
      <c r="B52" s="4">
        <v>19</v>
      </c>
      <c r="C52">
        <v>18</v>
      </c>
      <c r="D52">
        <v>0</v>
      </c>
      <c r="E52">
        <v>1</v>
      </c>
      <c r="F52" t="s">
        <v>981</v>
      </c>
    </row>
    <row r="53" spans="1:6" x14ac:dyDescent="0.35">
      <c r="A53" s="16" t="s">
        <v>44</v>
      </c>
      <c r="B53" s="4">
        <v>168</v>
      </c>
      <c r="C53">
        <v>143</v>
      </c>
      <c r="D53">
        <v>1</v>
      </c>
      <c r="E53">
        <v>26</v>
      </c>
      <c r="F53" t="s">
        <v>982</v>
      </c>
    </row>
    <row r="54" spans="1:6" x14ac:dyDescent="0.35">
      <c r="A54" s="16" t="s">
        <v>13</v>
      </c>
      <c r="B54" s="4">
        <v>22</v>
      </c>
      <c r="C54">
        <v>16</v>
      </c>
      <c r="D54">
        <v>0</v>
      </c>
      <c r="E54">
        <v>6</v>
      </c>
      <c r="F54" t="s">
        <v>982</v>
      </c>
    </row>
    <row r="55" spans="1:6" x14ac:dyDescent="0.35">
      <c r="A55" s="16" t="s">
        <v>24</v>
      </c>
      <c r="B55" s="4">
        <v>27</v>
      </c>
      <c r="C55">
        <v>25</v>
      </c>
      <c r="D55">
        <v>0</v>
      </c>
      <c r="E55">
        <v>2</v>
      </c>
      <c r="F55" t="s">
        <v>982</v>
      </c>
    </row>
    <row r="56" spans="1:6" x14ac:dyDescent="0.35">
      <c r="A56" s="16" t="s">
        <v>7</v>
      </c>
      <c r="B56" s="4">
        <v>42</v>
      </c>
      <c r="C56">
        <v>39</v>
      </c>
      <c r="D56">
        <v>0</v>
      </c>
      <c r="E56">
        <v>3</v>
      </c>
      <c r="F56" t="s">
        <v>981</v>
      </c>
    </row>
    <row r="57" spans="1:6" x14ac:dyDescent="0.35">
      <c r="A57" s="16" t="s">
        <v>14</v>
      </c>
      <c r="B57" s="4">
        <v>9</v>
      </c>
      <c r="C57">
        <v>5</v>
      </c>
      <c r="D57">
        <v>0</v>
      </c>
      <c r="E57">
        <v>4</v>
      </c>
      <c r="F57" t="s">
        <v>982</v>
      </c>
    </row>
    <row r="58" spans="1:6" x14ac:dyDescent="0.35">
      <c r="A58" s="16" t="s">
        <v>51</v>
      </c>
      <c r="B58" s="4">
        <v>366</v>
      </c>
      <c r="C58">
        <v>323</v>
      </c>
      <c r="D58">
        <v>2</v>
      </c>
      <c r="E58">
        <v>45</v>
      </c>
      <c r="F58" t="s">
        <v>982</v>
      </c>
    </row>
    <row r="59" spans="1:6" x14ac:dyDescent="0.35">
      <c r="A59" s="16" t="s">
        <v>5</v>
      </c>
      <c r="B59" s="4">
        <v>6</v>
      </c>
      <c r="C59">
        <v>4</v>
      </c>
      <c r="D59">
        <v>0</v>
      </c>
      <c r="E59">
        <v>2</v>
      </c>
      <c r="F59" t="s">
        <v>982</v>
      </c>
    </row>
    <row r="60" spans="1:6" x14ac:dyDescent="0.35">
      <c r="A60" s="20" t="s">
        <v>53</v>
      </c>
      <c r="B60" s="4">
        <v>3</v>
      </c>
      <c r="C60">
        <v>2</v>
      </c>
      <c r="D60">
        <v>0</v>
      </c>
      <c r="E60">
        <v>1</v>
      </c>
      <c r="F60" t="s">
        <v>982</v>
      </c>
    </row>
    <row r="61" spans="1:6" x14ac:dyDescent="0.35">
      <c r="A61" s="20" t="s">
        <v>73</v>
      </c>
      <c r="B61" s="4">
        <v>92</v>
      </c>
      <c r="C61">
        <v>87</v>
      </c>
      <c r="D61">
        <v>0</v>
      </c>
      <c r="E61">
        <v>5</v>
      </c>
      <c r="F61" t="s">
        <v>982</v>
      </c>
    </row>
    <row r="62" spans="1:6" x14ac:dyDescent="0.35">
      <c r="A62" s="20" t="s">
        <v>28</v>
      </c>
      <c r="B62" s="4">
        <v>70</v>
      </c>
      <c r="C62">
        <v>61</v>
      </c>
      <c r="D62">
        <v>0</v>
      </c>
      <c r="E62">
        <v>9</v>
      </c>
      <c r="F62" t="s">
        <v>981</v>
      </c>
    </row>
    <row r="63" spans="1:6" x14ac:dyDescent="0.35">
      <c r="A63" s="20" t="s">
        <v>43</v>
      </c>
      <c r="B63" s="4">
        <v>50</v>
      </c>
      <c r="C63">
        <v>38</v>
      </c>
      <c r="D63">
        <v>0</v>
      </c>
      <c r="E63">
        <v>12</v>
      </c>
      <c r="F63" t="s">
        <v>981</v>
      </c>
    </row>
    <row r="64" spans="1:6" x14ac:dyDescent="0.35">
      <c r="A64" s="20" t="s">
        <v>59</v>
      </c>
      <c r="B64" s="4">
        <v>7</v>
      </c>
      <c r="C64">
        <v>5</v>
      </c>
      <c r="D64">
        <v>0</v>
      </c>
      <c r="E64">
        <v>2</v>
      </c>
      <c r="F64" t="s">
        <v>982</v>
      </c>
    </row>
    <row r="65" spans="1:6" x14ac:dyDescent="0.35">
      <c r="A65" s="20" t="s">
        <v>21</v>
      </c>
      <c r="B65" s="4">
        <v>7</v>
      </c>
      <c r="C65">
        <v>6</v>
      </c>
      <c r="D65">
        <v>0</v>
      </c>
      <c r="E65">
        <v>1</v>
      </c>
      <c r="F65" t="s">
        <v>982</v>
      </c>
    </row>
    <row r="66" spans="1:6" x14ac:dyDescent="0.35">
      <c r="A66" s="20" t="s">
        <v>1</v>
      </c>
      <c r="B66" s="4">
        <v>7</v>
      </c>
      <c r="C66">
        <v>5</v>
      </c>
      <c r="D66">
        <v>0</v>
      </c>
      <c r="E66">
        <v>2</v>
      </c>
      <c r="F66" t="s">
        <v>982</v>
      </c>
    </row>
    <row r="67" spans="1:6" x14ac:dyDescent="0.35">
      <c r="A67" s="20" t="s">
        <v>6</v>
      </c>
      <c r="B67" s="4">
        <v>2</v>
      </c>
      <c r="C67">
        <v>2</v>
      </c>
      <c r="D67">
        <v>0</v>
      </c>
      <c r="E67">
        <v>0</v>
      </c>
      <c r="F67" t="s">
        <v>982</v>
      </c>
    </row>
    <row r="68" spans="1:6" x14ac:dyDescent="0.35">
      <c r="A68" s="20" t="s">
        <v>9</v>
      </c>
      <c r="B68" s="4">
        <v>444</v>
      </c>
      <c r="C68">
        <v>436</v>
      </c>
      <c r="D68">
        <v>0</v>
      </c>
      <c r="E68">
        <v>8</v>
      </c>
      <c r="F68" t="s">
        <v>981</v>
      </c>
    </row>
    <row r="69" spans="1:6" x14ac:dyDescent="0.35">
      <c r="A69" s="20" t="s">
        <v>8</v>
      </c>
      <c r="B69" s="4">
        <v>61</v>
      </c>
      <c r="C69">
        <v>58</v>
      </c>
      <c r="D69">
        <v>0</v>
      </c>
      <c r="E69">
        <v>3</v>
      </c>
      <c r="F69" t="s">
        <v>981</v>
      </c>
    </row>
    <row r="70" spans="1:6" x14ac:dyDescent="0.35">
      <c r="A70" s="20" t="s">
        <v>42</v>
      </c>
      <c r="B70" s="4">
        <v>12</v>
      </c>
      <c r="C70">
        <v>12</v>
      </c>
      <c r="D70">
        <v>0</v>
      </c>
      <c r="E70">
        <v>0</v>
      </c>
      <c r="F70" t="s">
        <v>981</v>
      </c>
    </row>
    <row r="71" spans="1:6" x14ac:dyDescent="0.35">
      <c r="A71" s="20" t="s">
        <v>11</v>
      </c>
      <c r="B71" s="4">
        <v>4</v>
      </c>
      <c r="C71">
        <v>4</v>
      </c>
      <c r="D71">
        <v>0</v>
      </c>
      <c r="E71">
        <v>0</v>
      </c>
      <c r="F71" t="s">
        <v>982</v>
      </c>
    </row>
    <row r="72" spans="1:6" x14ac:dyDescent="0.35">
      <c r="A72" s="20" t="s">
        <v>52</v>
      </c>
      <c r="B72" s="4">
        <v>270</v>
      </c>
      <c r="C72">
        <v>244</v>
      </c>
      <c r="D72">
        <v>1</v>
      </c>
      <c r="E72">
        <v>27</v>
      </c>
      <c r="F72" t="s">
        <v>982</v>
      </c>
    </row>
    <row r="73" spans="1:6" x14ac:dyDescent="0.35">
      <c r="A73" s="20" t="s">
        <v>45</v>
      </c>
      <c r="B73" s="4">
        <v>22</v>
      </c>
      <c r="C73">
        <v>17</v>
      </c>
      <c r="D73">
        <v>0</v>
      </c>
      <c r="E73">
        <v>5</v>
      </c>
      <c r="F73" t="s">
        <v>982</v>
      </c>
    </row>
    <row r="74" spans="1:6" x14ac:dyDescent="0.35">
      <c r="A74" s="20" t="s">
        <v>49</v>
      </c>
      <c r="B74" s="4">
        <v>25</v>
      </c>
      <c r="C74">
        <v>23</v>
      </c>
      <c r="D74">
        <v>1</v>
      </c>
      <c r="E74">
        <v>3</v>
      </c>
      <c r="F74" t="s">
        <v>982</v>
      </c>
    </row>
    <row r="75" spans="1:6" x14ac:dyDescent="0.35">
      <c r="A75" s="40" t="s">
        <v>82</v>
      </c>
      <c r="B75" s="4">
        <v>44</v>
      </c>
      <c r="C75">
        <v>38</v>
      </c>
      <c r="D75">
        <v>0</v>
      </c>
      <c r="E75">
        <v>6</v>
      </c>
      <c r="F75" t="s">
        <v>982</v>
      </c>
    </row>
    <row r="76" spans="1:6" x14ac:dyDescent="0.35">
      <c r="A76" s="10" t="s">
        <v>64</v>
      </c>
      <c r="B76" s="4">
        <v>2</v>
      </c>
      <c r="C76">
        <v>0</v>
      </c>
      <c r="D76">
        <v>0</v>
      </c>
      <c r="E76">
        <v>2</v>
      </c>
      <c r="F76" t="s">
        <v>981</v>
      </c>
    </row>
    <row r="77" spans="1:6" x14ac:dyDescent="0.35">
      <c r="A77" s="10" t="s">
        <v>380</v>
      </c>
      <c r="B77" s="4">
        <v>1</v>
      </c>
      <c r="C77">
        <v>1</v>
      </c>
      <c r="D77">
        <v>0</v>
      </c>
      <c r="E77">
        <v>0</v>
      </c>
      <c r="F77" t="s">
        <v>981</v>
      </c>
    </row>
    <row r="78" spans="1:6" x14ac:dyDescent="0.35">
      <c r="A78" s="10" t="s">
        <v>378</v>
      </c>
      <c r="B78" s="4">
        <v>2</v>
      </c>
      <c r="C78">
        <v>2</v>
      </c>
      <c r="D78">
        <v>0</v>
      </c>
      <c r="E78">
        <v>0</v>
      </c>
      <c r="F78" t="s">
        <v>982</v>
      </c>
    </row>
    <row r="79" spans="1:6" x14ac:dyDescent="0.35">
      <c r="A79" s="10" t="s">
        <v>379</v>
      </c>
      <c r="B79" s="4">
        <v>2</v>
      </c>
      <c r="C79">
        <v>1</v>
      </c>
      <c r="D79">
        <v>0</v>
      </c>
      <c r="E79">
        <v>1</v>
      </c>
      <c r="F79" t="s">
        <v>982</v>
      </c>
    </row>
    <row r="80" spans="1:6" x14ac:dyDescent="0.35">
      <c r="A80" s="10" t="s">
        <v>979</v>
      </c>
      <c r="B80" s="4">
        <v>4</v>
      </c>
      <c r="C80">
        <v>2</v>
      </c>
      <c r="D80">
        <v>0</v>
      </c>
      <c r="E80">
        <v>2</v>
      </c>
      <c r="F80" t="s">
        <v>981</v>
      </c>
    </row>
    <row r="81" spans="1:6" x14ac:dyDescent="0.35">
      <c r="A81" s="10" t="s">
        <v>75</v>
      </c>
      <c r="B81" s="4">
        <v>15</v>
      </c>
      <c r="C81">
        <v>15</v>
      </c>
      <c r="D81">
        <v>0</v>
      </c>
      <c r="E81">
        <v>0</v>
      </c>
      <c r="F81" t="s">
        <v>981</v>
      </c>
    </row>
    <row r="82" spans="1:6" x14ac:dyDescent="0.35">
      <c r="A82" s="10" t="s">
        <v>386</v>
      </c>
      <c r="B82" s="4">
        <v>1</v>
      </c>
      <c r="C82">
        <v>1</v>
      </c>
      <c r="D82">
        <v>0</v>
      </c>
      <c r="E82">
        <v>0</v>
      </c>
      <c r="F82" t="s">
        <v>981</v>
      </c>
    </row>
    <row r="83" spans="1:6" x14ac:dyDescent="0.35">
      <c r="A83" s="10" t="s">
        <v>84</v>
      </c>
      <c r="B83" s="4">
        <v>1</v>
      </c>
      <c r="C83">
        <v>1</v>
      </c>
      <c r="D83">
        <v>0</v>
      </c>
      <c r="E83">
        <v>0</v>
      </c>
      <c r="F83" t="s">
        <v>981</v>
      </c>
    </row>
    <row r="84" spans="1:6" x14ac:dyDescent="0.35">
      <c r="A84" s="10" t="s">
        <v>85</v>
      </c>
      <c r="B84" s="4">
        <v>1</v>
      </c>
      <c r="C84">
        <v>1</v>
      </c>
      <c r="D84">
        <v>0</v>
      </c>
      <c r="E84">
        <v>0</v>
      </c>
      <c r="F84" t="s">
        <v>982</v>
      </c>
    </row>
    <row r="85" spans="1:6" x14ac:dyDescent="0.35">
      <c r="A85" s="10" t="s">
        <v>385</v>
      </c>
      <c r="B85" s="4">
        <v>1</v>
      </c>
      <c r="C85">
        <v>1</v>
      </c>
      <c r="D85">
        <v>0</v>
      </c>
      <c r="E85">
        <v>0</v>
      </c>
      <c r="F85" t="s">
        <v>981</v>
      </c>
    </row>
    <row r="86" spans="1:6" x14ac:dyDescent="0.35">
      <c r="A86" s="10" t="s">
        <v>980</v>
      </c>
      <c r="B86" s="4">
        <v>1</v>
      </c>
      <c r="C86">
        <v>0</v>
      </c>
      <c r="D86">
        <v>0</v>
      </c>
      <c r="E86">
        <v>1</v>
      </c>
      <c r="F86" t="s">
        <v>982</v>
      </c>
    </row>
    <row r="87" spans="1:6" x14ac:dyDescent="0.35">
      <c r="A87" s="10" t="s">
        <v>381</v>
      </c>
      <c r="B87" s="4">
        <v>1</v>
      </c>
      <c r="C87">
        <v>1</v>
      </c>
      <c r="D87">
        <v>0</v>
      </c>
      <c r="E87">
        <v>0</v>
      </c>
      <c r="F87" t="s">
        <v>982</v>
      </c>
    </row>
    <row r="88" spans="1:6" x14ac:dyDescent="0.35">
      <c r="A88" s="10" t="s">
        <v>521</v>
      </c>
      <c r="B88" s="4">
        <v>2</v>
      </c>
      <c r="C88">
        <v>1</v>
      </c>
      <c r="D88">
        <v>0</v>
      </c>
      <c r="E88">
        <v>1</v>
      </c>
      <c r="F88" t="s">
        <v>982</v>
      </c>
    </row>
    <row r="89" spans="1:6" x14ac:dyDescent="0.35">
      <c r="A89" s="10" t="s">
        <v>384</v>
      </c>
      <c r="B89" s="4">
        <v>1</v>
      </c>
      <c r="C89">
        <v>1</v>
      </c>
      <c r="D89">
        <v>0</v>
      </c>
      <c r="E89">
        <v>0</v>
      </c>
      <c r="F89" t="s">
        <v>982</v>
      </c>
    </row>
    <row r="90" spans="1:6" x14ac:dyDescent="0.35">
      <c r="A90" s="48" t="s">
        <v>589</v>
      </c>
      <c r="B90" s="4">
        <v>4</v>
      </c>
      <c r="C90">
        <v>4</v>
      </c>
      <c r="D90">
        <v>0</v>
      </c>
      <c r="E90">
        <v>0</v>
      </c>
      <c r="F90" t="s">
        <v>982</v>
      </c>
    </row>
    <row r="91" spans="1:6" x14ac:dyDescent="0.35">
      <c r="A91" s="48" t="s">
        <v>607</v>
      </c>
      <c r="B91" s="4">
        <v>5</v>
      </c>
      <c r="C91">
        <v>5</v>
      </c>
      <c r="D91">
        <v>0</v>
      </c>
      <c r="E91">
        <v>0</v>
      </c>
      <c r="F91" t="s">
        <v>982</v>
      </c>
    </row>
    <row r="92" spans="1:6" x14ac:dyDescent="0.35">
      <c r="A92" s="48" t="s">
        <v>4</v>
      </c>
      <c r="B92" s="4">
        <v>1</v>
      </c>
      <c r="C92">
        <v>1</v>
      </c>
      <c r="D92">
        <v>0</v>
      </c>
      <c r="E92">
        <v>0</v>
      </c>
      <c r="F92" t="s">
        <v>982</v>
      </c>
    </row>
    <row r="93" spans="1:6" x14ac:dyDescent="0.35">
      <c r="A93" s="48" t="s">
        <v>382</v>
      </c>
      <c r="B93" s="4">
        <v>1</v>
      </c>
      <c r="C93">
        <v>1</v>
      </c>
      <c r="D93">
        <v>0</v>
      </c>
      <c r="E93">
        <v>0</v>
      </c>
      <c r="F93" t="s">
        <v>982</v>
      </c>
    </row>
    <row r="94" spans="1:6" x14ac:dyDescent="0.35">
      <c r="B94" s="6">
        <v>6622</v>
      </c>
      <c r="C94" s="6">
        <v>6288</v>
      </c>
      <c r="D94" s="6">
        <v>148</v>
      </c>
      <c r="E94" s="6">
        <v>482</v>
      </c>
    </row>
  </sheetData>
  <autoFilter ref="A1:F94" xr:uid="{77D9870A-6AB9-4496-A9EA-A62824A0137C}"/>
  <conditionalFormatting sqref="A1:A50 A52:A74">
    <cfRule type="duplicateValues" dxfId="2" priority="3"/>
  </conditionalFormatting>
  <conditionalFormatting sqref="A2:A28">
    <cfRule type="duplicateValues" dxfId="1" priority="2"/>
  </conditionalFormatting>
  <conditionalFormatting sqref="A77:A1048576 A1:A50 A52:A74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8025-2894-4255-BD55-6CE8AF149676}">
  <dimension ref="A1:N6314"/>
  <sheetViews>
    <sheetView workbookViewId="0">
      <selection activeCell="B1" sqref="B1:B1048576"/>
    </sheetView>
  </sheetViews>
  <sheetFormatPr defaultRowHeight="14.5" x14ac:dyDescent="0.35"/>
  <cols>
    <col min="2" max="2" width="35" customWidth="1"/>
    <col min="3" max="3" width="28.08984375" customWidth="1"/>
    <col min="7" max="7" width="17.90625" style="39" customWidth="1"/>
    <col min="14" max="14" width="14.81640625" bestFit="1" customWidth="1"/>
  </cols>
  <sheetData>
    <row r="1" spans="1:14" x14ac:dyDescent="0.35">
      <c r="A1" t="s">
        <v>91</v>
      </c>
      <c r="B1" t="s">
        <v>251</v>
      </c>
      <c r="C1" t="s">
        <v>241</v>
      </c>
      <c r="D1" t="s">
        <v>242</v>
      </c>
      <c r="E1" t="s">
        <v>243</v>
      </c>
      <c r="F1" t="s">
        <v>247</v>
      </c>
      <c r="G1" s="39" t="s">
        <v>965</v>
      </c>
      <c r="H1" t="s">
        <v>1072</v>
      </c>
      <c r="I1" t="s">
        <v>256</v>
      </c>
      <c r="J1" t="s">
        <v>1076</v>
      </c>
      <c r="N1" t="s">
        <v>1072</v>
      </c>
    </row>
    <row r="2" spans="1:14" x14ac:dyDescent="0.35">
      <c r="A2">
        <v>16457</v>
      </c>
      <c r="B2" t="s">
        <v>366</v>
      </c>
      <c r="C2" t="s">
        <v>92</v>
      </c>
      <c r="D2" t="s">
        <v>92</v>
      </c>
      <c r="E2" t="s">
        <v>367</v>
      </c>
      <c r="F2" t="s">
        <v>244</v>
      </c>
      <c r="G2" s="39">
        <v>45405</v>
      </c>
      <c r="J2" t="s">
        <v>981</v>
      </c>
    </row>
    <row r="3" spans="1:14" x14ac:dyDescent="0.35">
      <c r="A3">
        <v>10843</v>
      </c>
      <c r="B3" t="s">
        <v>366</v>
      </c>
      <c r="C3" t="s">
        <v>92</v>
      </c>
      <c r="D3" t="s">
        <v>92</v>
      </c>
      <c r="E3" t="s">
        <v>368</v>
      </c>
      <c r="F3" t="s">
        <v>244</v>
      </c>
      <c r="G3" s="39">
        <v>41654</v>
      </c>
      <c r="J3" t="s">
        <v>981</v>
      </c>
      <c r="N3" t="s">
        <v>57</v>
      </c>
    </row>
    <row r="4" spans="1:14" x14ac:dyDescent="0.35">
      <c r="A4">
        <v>10925</v>
      </c>
      <c r="B4" t="s">
        <v>75</v>
      </c>
      <c r="C4" t="s">
        <v>92</v>
      </c>
      <c r="D4" t="s">
        <v>92</v>
      </c>
      <c r="E4" t="s">
        <v>369</v>
      </c>
      <c r="F4" t="s">
        <v>244</v>
      </c>
      <c r="G4" s="39">
        <v>42125</v>
      </c>
      <c r="J4" t="s">
        <v>981</v>
      </c>
      <c r="N4" t="s">
        <v>249</v>
      </c>
    </row>
    <row r="5" spans="1:14" x14ac:dyDescent="0.35">
      <c r="A5">
        <v>10722</v>
      </c>
      <c r="B5" t="s">
        <v>75</v>
      </c>
      <c r="C5" t="s">
        <v>92</v>
      </c>
      <c r="D5" t="s">
        <v>92</v>
      </c>
      <c r="E5" t="s">
        <v>370</v>
      </c>
      <c r="F5" t="s">
        <v>244</v>
      </c>
      <c r="G5" s="39">
        <v>41736</v>
      </c>
      <c r="J5" t="s">
        <v>981</v>
      </c>
      <c r="N5" t="s">
        <v>248</v>
      </c>
    </row>
    <row r="6" spans="1:14" x14ac:dyDescent="0.35">
      <c r="A6">
        <v>10610</v>
      </c>
      <c r="B6" t="s">
        <v>75</v>
      </c>
      <c r="C6" t="s">
        <v>92</v>
      </c>
      <c r="D6" t="s">
        <v>92</v>
      </c>
      <c r="E6" t="s">
        <v>371</v>
      </c>
      <c r="F6" t="s">
        <v>244</v>
      </c>
      <c r="G6" s="39">
        <v>41484</v>
      </c>
      <c r="J6" t="s">
        <v>981</v>
      </c>
      <c r="N6" t="s">
        <v>250</v>
      </c>
    </row>
    <row r="7" spans="1:14" x14ac:dyDescent="0.35">
      <c r="A7">
        <v>18167</v>
      </c>
      <c r="B7" t="s">
        <v>75</v>
      </c>
      <c r="C7" t="s">
        <v>92</v>
      </c>
      <c r="D7" t="s">
        <v>92</v>
      </c>
      <c r="E7" t="s">
        <v>372</v>
      </c>
      <c r="F7" t="s">
        <v>244</v>
      </c>
      <c r="G7" s="39">
        <v>46027</v>
      </c>
      <c r="J7" t="s">
        <v>981</v>
      </c>
    </row>
    <row r="8" spans="1:14" x14ac:dyDescent="0.35">
      <c r="A8">
        <v>10002</v>
      </c>
      <c r="B8" t="s">
        <v>75</v>
      </c>
      <c r="C8" t="s">
        <v>92</v>
      </c>
      <c r="D8" t="s">
        <v>92</v>
      </c>
      <c r="E8" t="s">
        <v>372</v>
      </c>
      <c r="F8" t="s">
        <v>244</v>
      </c>
      <c r="G8" s="39">
        <v>37893</v>
      </c>
      <c r="J8" t="s">
        <v>981</v>
      </c>
    </row>
    <row r="9" spans="1:14" x14ac:dyDescent="0.35">
      <c r="A9">
        <v>10611</v>
      </c>
      <c r="B9" t="s">
        <v>75</v>
      </c>
      <c r="C9" t="s">
        <v>92</v>
      </c>
      <c r="D9" t="s">
        <v>92</v>
      </c>
      <c r="E9" t="s">
        <v>373</v>
      </c>
      <c r="F9" t="s">
        <v>244</v>
      </c>
      <c r="G9" s="39">
        <v>41484</v>
      </c>
      <c r="J9" t="s">
        <v>981</v>
      </c>
    </row>
    <row r="10" spans="1:14" x14ac:dyDescent="0.35">
      <c r="A10">
        <v>10963</v>
      </c>
      <c r="B10" t="s">
        <v>75</v>
      </c>
      <c r="C10" t="s">
        <v>92</v>
      </c>
      <c r="D10" t="s">
        <v>92</v>
      </c>
      <c r="E10" t="s">
        <v>374</v>
      </c>
      <c r="F10" t="s">
        <v>244</v>
      </c>
      <c r="G10" s="39">
        <v>42219</v>
      </c>
      <c r="J10" t="s">
        <v>981</v>
      </c>
    </row>
    <row r="11" spans="1:14" x14ac:dyDescent="0.35">
      <c r="A11">
        <v>18369</v>
      </c>
      <c r="B11" t="s">
        <v>75</v>
      </c>
      <c r="C11" t="s">
        <v>92</v>
      </c>
      <c r="D11" t="s">
        <v>92</v>
      </c>
      <c r="E11" t="s">
        <v>375</v>
      </c>
      <c r="F11" t="s">
        <v>244</v>
      </c>
      <c r="G11" s="39">
        <v>46113</v>
      </c>
      <c r="J11" t="s">
        <v>981</v>
      </c>
    </row>
    <row r="12" spans="1:14" x14ac:dyDescent="0.35">
      <c r="A12">
        <v>10658</v>
      </c>
      <c r="B12" t="s">
        <v>75</v>
      </c>
      <c r="C12" t="s">
        <v>92</v>
      </c>
      <c r="D12" t="s">
        <v>92</v>
      </c>
      <c r="E12" t="s">
        <v>93</v>
      </c>
      <c r="F12" t="s">
        <v>244</v>
      </c>
      <c r="G12" s="39">
        <v>41611</v>
      </c>
      <c r="J12" t="s">
        <v>981</v>
      </c>
    </row>
    <row r="13" spans="1:14" x14ac:dyDescent="0.35">
      <c r="A13">
        <v>18916</v>
      </c>
      <c r="B13" t="s">
        <v>75</v>
      </c>
      <c r="C13" t="s">
        <v>92</v>
      </c>
      <c r="D13" t="s">
        <v>92</v>
      </c>
      <c r="E13" t="s">
        <v>93</v>
      </c>
      <c r="F13" t="s">
        <v>244</v>
      </c>
      <c r="G13" s="39">
        <v>46237</v>
      </c>
      <c r="J13" t="s">
        <v>981</v>
      </c>
    </row>
    <row r="14" spans="1:14" x14ac:dyDescent="0.35">
      <c r="A14">
        <v>18890</v>
      </c>
      <c r="B14" t="s">
        <v>75</v>
      </c>
      <c r="C14" t="s">
        <v>92</v>
      </c>
      <c r="D14" t="s">
        <v>92</v>
      </c>
      <c r="E14" t="s">
        <v>93</v>
      </c>
      <c r="F14" t="s">
        <v>244</v>
      </c>
      <c r="G14" s="39">
        <v>46241</v>
      </c>
      <c r="H14" t="s">
        <v>57</v>
      </c>
      <c r="J14" t="s">
        <v>981</v>
      </c>
    </row>
    <row r="15" spans="1:14" x14ac:dyDescent="0.35">
      <c r="A15">
        <v>18188</v>
      </c>
      <c r="B15" t="s">
        <v>75</v>
      </c>
      <c r="C15" t="s">
        <v>92</v>
      </c>
      <c r="D15" t="s">
        <v>92</v>
      </c>
      <c r="E15" t="s">
        <v>94</v>
      </c>
      <c r="F15" t="s">
        <v>244</v>
      </c>
      <c r="G15" s="39">
        <v>46034</v>
      </c>
      <c r="H15" t="s">
        <v>57</v>
      </c>
      <c r="J15" t="s">
        <v>981</v>
      </c>
    </row>
    <row r="16" spans="1:14" x14ac:dyDescent="0.35">
      <c r="A16">
        <v>15131</v>
      </c>
      <c r="B16" t="s">
        <v>75</v>
      </c>
      <c r="C16" t="s">
        <v>92</v>
      </c>
      <c r="D16" t="s">
        <v>92</v>
      </c>
      <c r="E16" t="s">
        <v>376</v>
      </c>
      <c r="F16" t="s">
        <v>244</v>
      </c>
      <c r="G16" s="39">
        <v>44958</v>
      </c>
      <c r="J16" t="s">
        <v>981</v>
      </c>
    </row>
    <row r="17" spans="1:10" x14ac:dyDescent="0.35">
      <c r="A17">
        <v>11584</v>
      </c>
      <c r="B17" t="s">
        <v>75</v>
      </c>
      <c r="C17" t="s">
        <v>92</v>
      </c>
      <c r="D17" t="s">
        <v>92</v>
      </c>
      <c r="E17" t="s">
        <v>377</v>
      </c>
      <c r="F17" t="s">
        <v>244</v>
      </c>
      <c r="G17" s="39">
        <v>42877</v>
      </c>
      <c r="J17" t="s">
        <v>982</v>
      </c>
    </row>
    <row r="18" spans="1:10" x14ac:dyDescent="0.35">
      <c r="A18">
        <v>19018</v>
      </c>
      <c r="B18" t="s">
        <v>75</v>
      </c>
      <c r="C18" t="s">
        <v>92</v>
      </c>
      <c r="D18" t="s">
        <v>92</v>
      </c>
      <c r="E18" t="s">
        <v>252</v>
      </c>
      <c r="F18" t="s">
        <v>244</v>
      </c>
      <c r="G18" s="39">
        <v>46254</v>
      </c>
      <c r="H18" t="s">
        <v>249</v>
      </c>
      <c r="J18" t="s">
        <v>982</v>
      </c>
    </row>
    <row r="19" spans="1:10" x14ac:dyDescent="0.35">
      <c r="A19">
        <v>15541</v>
      </c>
      <c r="B19" t="s">
        <v>378</v>
      </c>
      <c r="C19" t="s">
        <v>92</v>
      </c>
      <c r="D19" t="s">
        <v>92</v>
      </c>
      <c r="E19" t="s">
        <v>95</v>
      </c>
      <c r="F19" t="s">
        <v>244</v>
      </c>
      <c r="G19" s="39">
        <v>45114</v>
      </c>
      <c r="J19" t="s">
        <v>982</v>
      </c>
    </row>
    <row r="20" spans="1:10" x14ac:dyDescent="0.35">
      <c r="A20">
        <v>16327</v>
      </c>
      <c r="B20" t="s">
        <v>379</v>
      </c>
      <c r="C20" t="s">
        <v>92</v>
      </c>
      <c r="D20" t="s">
        <v>92</v>
      </c>
      <c r="E20" t="s">
        <v>95</v>
      </c>
      <c r="F20" t="s">
        <v>244</v>
      </c>
      <c r="G20" s="39">
        <v>45344</v>
      </c>
      <c r="J20" t="s">
        <v>982</v>
      </c>
    </row>
    <row r="21" spans="1:10" x14ac:dyDescent="0.35">
      <c r="A21">
        <v>18522</v>
      </c>
      <c r="B21" t="s">
        <v>85</v>
      </c>
      <c r="C21" t="s">
        <v>92</v>
      </c>
      <c r="D21" t="s">
        <v>92</v>
      </c>
      <c r="E21" t="s">
        <v>95</v>
      </c>
      <c r="F21" t="s">
        <v>244</v>
      </c>
      <c r="G21" s="39">
        <v>46143</v>
      </c>
      <c r="H21" t="s">
        <v>248</v>
      </c>
      <c r="J21" t="s">
        <v>982</v>
      </c>
    </row>
    <row r="22" spans="1:10" x14ac:dyDescent="0.35">
      <c r="A22">
        <v>18523</v>
      </c>
      <c r="B22" t="s">
        <v>84</v>
      </c>
      <c r="C22" t="s">
        <v>92</v>
      </c>
      <c r="D22" t="s">
        <v>92</v>
      </c>
      <c r="E22" t="s">
        <v>95</v>
      </c>
      <c r="F22" t="s">
        <v>244</v>
      </c>
      <c r="G22" s="39">
        <v>46143</v>
      </c>
      <c r="H22" t="s">
        <v>248</v>
      </c>
      <c r="J22" t="s">
        <v>981</v>
      </c>
    </row>
    <row r="23" spans="1:10" x14ac:dyDescent="0.35">
      <c r="A23">
        <v>160032</v>
      </c>
      <c r="B23" t="s">
        <v>380</v>
      </c>
      <c r="C23" t="s">
        <v>92</v>
      </c>
      <c r="D23" t="s">
        <v>92</v>
      </c>
      <c r="E23" t="s">
        <v>377</v>
      </c>
      <c r="F23" t="s">
        <v>244</v>
      </c>
      <c r="G23" s="39">
        <v>42311</v>
      </c>
      <c r="J23" t="s">
        <v>981</v>
      </c>
    </row>
    <row r="24" spans="1:10" x14ac:dyDescent="0.35">
      <c r="A24">
        <v>10431</v>
      </c>
      <c r="B24" t="s">
        <v>381</v>
      </c>
      <c r="C24" t="s">
        <v>92</v>
      </c>
      <c r="D24" t="s">
        <v>92</v>
      </c>
      <c r="E24" t="s">
        <v>377</v>
      </c>
      <c r="F24" t="s">
        <v>244</v>
      </c>
      <c r="G24" s="39">
        <v>40253</v>
      </c>
      <c r="J24" t="s">
        <v>982</v>
      </c>
    </row>
    <row r="25" spans="1:10" x14ac:dyDescent="0.35">
      <c r="A25">
        <v>13317</v>
      </c>
      <c r="B25" t="s">
        <v>382</v>
      </c>
      <c r="C25" t="s">
        <v>92</v>
      </c>
      <c r="D25" t="s">
        <v>92</v>
      </c>
      <c r="E25" t="s">
        <v>377</v>
      </c>
      <c r="F25" t="s">
        <v>244</v>
      </c>
      <c r="G25" s="39">
        <v>44382</v>
      </c>
      <c r="J25" t="s">
        <v>982</v>
      </c>
    </row>
    <row r="26" spans="1:10" x14ac:dyDescent="0.35">
      <c r="A26">
        <v>10967</v>
      </c>
      <c r="B26" t="s">
        <v>384</v>
      </c>
      <c r="C26" t="s">
        <v>92</v>
      </c>
      <c r="D26" t="s">
        <v>92</v>
      </c>
      <c r="E26" t="s">
        <v>377</v>
      </c>
      <c r="F26" t="s">
        <v>244</v>
      </c>
      <c r="G26" s="39">
        <v>42222</v>
      </c>
      <c r="J26" t="s">
        <v>982</v>
      </c>
    </row>
    <row r="27" spans="1:10" x14ac:dyDescent="0.35">
      <c r="A27">
        <v>10516</v>
      </c>
      <c r="B27" t="s">
        <v>385</v>
      </c>
      <c r="C27" t="s">
        <v>92</v>
      </c>
      <c r="D27" t="s">
        <v>92</v>
      </c>
      <c r="E27" t="s">
        <v>377</v>
      </c>
      <c r="F27" t="s">
        <v>244</v>
      </c>
      <c r="G27" s="39">
        <v>41022</v>
      </c>
      <c r="J27" t="s">
        <v>981</v>
      </c>
    </row>
    <row r="28" spans="1:10" x14ac:dyDescent="0.35">
      <c r="A28">
        <v>13059</v>
      </c>
      <c r="B28" t="s">
        <v>386</v>
      </c>
      <c r="C28" t="s">
        <v>92</v>
      </c>
      <c r="D28" t="s">
        <v>92</v>
      </c>
      <c r="E28" t="s">
        <v>377</v>
      </c>
      <c r="F28" t="s">
        <v>244</v>
      </c>
      <c r="G28" s="39">
        <v>44228</v>
      </c>
      <c r="J28" t="s">
        <v>981</v>
      </c>
    </row>
    <row r="29" spans="1:10" x14ac:dyDescent="0.35">
      <c r="A29">
        <v>16326</v>
      </c>
      <c r="B29" t="s">
        <v>378</v>
      </c>
      <c r="C29" t="s">
        <v>92</v>
      </c>
      <c r="D29" t="s">
        <v>92</v>
      </c>
      <c r="E29" t="s">
        <v>387</v>
      </c>
      <c r="F29" t="s">
        <v>244</v>
      </c>
      <c r="G29" s="39">
        <v>45344</v>
      </c>
      <c r="J29" t="s">
        <v>982</v>
      </c>
    </row>
    <row r="30" spans="1:10" x14ac:dyDescent="0.35">
      <c r="A30">
        <v>16075</v>
      </c>
      <c r="B30" t="s">
        <v>52</v>
      </c>
      <c r="C30" t="s">
        <v>92</v>
      </c>
      <c r="D30" t="s">
        <v>92</v>
      </c>
      <c r="E30" t="s">
        <v>387</v>
      </c>
      <c r="F30" t="s">
        <v>244</v>
      </c>
      <c r="G30" s="39">
        <v>45278</v>
      </c>
      <c r="J30" t="s">
        <v>982</v>
      </c>
    </row>
    <row r="31" spans="1:10" x14ac:dyDescent="0.35">
      <c r="A31">
        <v>18483</v>
      </c>
      <c r="B31" t="s">
        <v>52</v>
      </c>
      <c r="C31" t="s">
        <v>263</v>
      </c>
      <c r="D31" t="s">
        <v>92</v>
      </c>
      <c r="E31" t="s">
        <v>388</v>
      </c>
      <c r="F31" t="s">
        <v>244</v>
      </c>
      <c r="G31" s="39">
        <v>46146</v>
      </c>
      <c r="J31" t="s">
        <v>982</v>
      </c>
    </row>
    <row r="32" spans="1:10" x14ac:dyDescent="0.35">
      <c r="A32">
        <v>18815</v>
      </c>
      <c r="B32" t="s">
        <v>52</v>
      </c>
      <c r="C32" t="s">
        <v>263</v>
      </c>
      <c r="D32" t="s">
        <v>92</v>
      </c>
      <c r="E32" t="s">
        <v>97</v>
      </c>
      <c r="F32" t="s">
        <v>244</v>
      </c>
      <c r="G32" s="39">
        <v>46213</v>
      </c>
      <c r="H32" t="s">
        <v>249</v>
      </c>
      <c r="J32" t="s">
        <v>982</v>
      </c>
    </row>
    <row r="33" spans="1:10" x14ac:dyDescent="0.35">
      <c r="A33">
        <v>18182</v>
      </c>
      <c r="B33" t="s">
        <v>1</v>
      </c>
      <c r="C33" t="s">
        <v>92</v>
      </c>
      <c r="D33" t="s">
        <v>92</v>
      </c>
      <c r="E33" t="s">
        <v>387</v>
      </c>
      <c r="F33" t="s">
        <v>244</v>
      </c>
      <c r="G33" s="39">
        <v>46035</v>
      </c>
      <c r="J33" t="s">
        <v>982</v>
      </c>
    </row>
    <row r="34" spans="1:10" x14ac:dyDescent="0.35">
      <c r="A34">
        <v>11886</v>
      </c>
      <c r="B34" t="s">
        <v>51</v>
      </c>
      <c r="C34" t="s">
        <v>92</v>
      </c>
      <c r="D34" t="s">
        <v>92</v>
      </c>
      <c r="E34" t="s">
        <v>387</v>
      </c>
      <c r="F34" t="s">
        <v>244</v>
      </c>
      <c r="G34" s="39">
        <v>43242</v>
      </c>
      <c r="J34" t="s">
        <v>982</v>
      </c>
    </row>
    <row r="35" spans="1:10" x14ac:dyDescent="0.35">
      <c r="A35">
        <v>17254</v>
      </c>
      <c r="B35" t="s">
        <v>52</v>
      </c>
      <c r="C35" t="s">
        <v>92</v>
      </c>
      <c r="D35" t="s">
        <v>92</v>
      </c>
      <c r="E35" t="s">
        <v>383</v>
      </c>
      <c r="F35" t="s">
        <v>244</v>
      </c>
      <c r="G35" s="39">
        <v>45691</v>
      </c>
      <c r="J35" t="s">
        <v>982</v>
      </c>
    </row>
    <row r="36" spans="1:10" x14ac:dyDescent="0.35">
      <c r="A36">
        <v>16234</v>
      </c>
      <c r="B36" t="s">
        <v>45</v>
      </c>
      <c r="C36" t="s">
        <v>92</v>
      </c>
      <c r="D36" t="s">
        <v>92</v>
      </c>
      <c r="E36" t="s">
        <v>389</v>
      </c>
      <c r="F36" t="s">
        <v>244</v>
      </c>
      <c r="G36" s="39">
        <v>45323</v>
      </c>
      <c r="J36" t="s">
        <v>982</v>
      </c>
    </row>
    <row r="37" spans="1:10" x14ac:dyDescent="0.35">
      <c r="A37">
        <v>17485</v>
      </c>
      <c r="B37" t="s">
        <v>53</v>
      </c>
      <c r="C37" t="s">
        <v>92</v>
      </c>
      <c r="D37" t="s">
        <v>92</v>
      </c>
      <c r="E37" t="s">
        <v>387</v>
      </c>
      <c r="F37" t="s">
        <v>244</v>
      </c>
      <c r="G37" s="39">
        <v>45762</v>
      </c>
      <c r="J37" t="s">
        <v>982</v>
      </c>
    </row>
    <row r="38" spans="1:10" x14ac:dyDescent="0.35">
      <c r="A38">
        <v>11527</v>
      </c>
      <c r="B38" t="s">
        <v>53</v>
      </c>
      <c r="C38" t="s">
        <v>390</v>
      </c>
      <c r="D38" t="s">
        <v>92</v>
      </c>
      <c r="E38" t="s">
        <v>98</v>
      </c>
      <c r="F38" t="s">
        <v>244</v>
      </c>
      <c r="G38" s="39">
        <v>42797</v>
      </c>
      <c r="J38" t="s">
        <v>982</v>
      </c>
    </row>
    <row r="39" spans="1:10" x14ac:dyDescent="0.35">
      <c r="A39">
        <v>11536</v>
      </c>
      <c r="B39" t="s">
        <v>52</v>
      </c>
      <c r="C39" t="s">
        <v>92</v>
      </c>
      <c r="D39" t="s">
        <v>92</v>
      </c>
      <c r="E39" t="s">
        <v>387</v>
      </c>
      <c r="F39" t="s">
        <v>244</v>
      </c>
      <c r="G39" s="39">
        <v>42808</v>
      </c>
      <c r="J39" t="s">
        <v>982</v>
      </c>
    </row>
    <row r="40" spans="1:10" x14ac:dyDescent="0.35">
      <c r="A40">
        <v>18202</v>
      </c>
      <c r="B40" t="s">
        <v>27</v>
      </c>
      <c r="C40" t="s">
        <v>92</v>
      </c>
      <c r="D40" t="s">
        <v>92</v>
      </c>
      <c r="E40" t="s">
        <v>99</v>
      </c>
      <c r="F40" t="s">
        <v>244</v>
      </c>
      <c r="G40" s="39">
        <v>46055</v>
      </c>
      <c r="J40" t="s">
        <v>981</v>
      </c>
    </row>
    <row r="41" spans="1:10" x14ac:dyDescent="0.35">
      <c r="A41">
        <v>18268</v>
      </c>
      <c r="B41" t="s">
        <v>27</v>
      </c>
      <c r="C41" t="s">
        <v>92</v>
      </c>
      <c r="D41" t="s">
        <v>92</v>
      </c>
      <c r="E41" t="s">
        <v>100</v>
      </c>
      <c r="F41" t="s">
        <v>244</v>
      </c>
      <c r="G41" s="39">
        <v>46084</v>
      </c>
      <c r="J41" t="s">
        <v>981</v>
      </c>
    </row>
    <row r="42" spans="1:10" x14ac:dyDescent="0.35">
      <c r="A42">
        <v>10944</v>
      </c>
      <c r="B42" t="s">
        <v>92</v>
      </c>
      <c r="C42" t="s">
        <v>33</v>
      </c>
      <c r="D42" t="s">
        <v>92</v>
      </c>
      <c r="E42" t="s">
        <v>101</v>
      </c>
      <c r="F42" t="s">
        <v>244</v>
      </c>
      <c r="G42" s="39">
        <v>42171</v>
      </c>
      <c r="J42" t="s">
        <v>981</v>
      </c>
    </row>
    <row r="43" spans="1:10" x14ac:dyDescent="0.35">
      <c r="A43">
        <v>10568</v>
      </c>
      <c r="B43" t="s">
        <v>92</v>
      </c>
      <c r="C43" t="s">
        <v>33</v>
      </c>
      <c r="D43" t="s">
        <v>391</v>
      </c>
      <c r="E43" t="s">
        <v>392</v>
      </c>
      <c r="F43" t="s">
        <v>244</v>
      </c>
      <c r="G43" s="39">
        <v>41246</v>
      </c>
      <c r="J43" t="s">
        <v>981</v>
      </c>
    </row>
    <row r="44" spans="1:10" x14ac:dyDescent="0.35">
      <c r="A44">
        <v>13399</v>
      </c>
      <c r="B44" t="s">
        <v>92</v>
      </c>
      <c r="C44" t="s">
        <v>33</v>
      </c>
      <c r="D44" t="s">
        <v>391</v>
      </c>
      <c r="E44" t="s">
        <v>102</v>
      </c>
      <c r="F44" t="s">
        <v>244</v>
      </c>
      <c r="G44" s="39">
        <v>44425</v>
      </c>
      <c r="J44" t="s">
        <v>981</v>
      </c>
    </row>
    <row r="45" spans="1:10" x14ac:dyDescent="0.35">
      <c r="A45">
        <v>15266</v>
      </c>
      <c r="B45" t="s">
        <v>92</v>
      </c>
      <c r="C45" t="s">
        <v>33</v>
      </c>
      <c r="D45" t="s">
        <v>391</v>
      </c>
      <c r="E45" t="s">
        <v>102</v>
      </c>
      <c r="F45" t="s">
        <v>244</v>
      </c>
      <c r="G45" s="39">
        <v>45002</v>
      </c>
      <c r="J45" t="s">
        <v>981</v>
      </c>
    </row>
    <row r="46" spans="1:10" x14ac:dyDescent="0.35">
      <c r="A46">
        <v>16648</v>
      </c>
      <c r="B46" t="s">
        <v>92</v>
      </c>
      <c r="C46" t="s">
        <v>33</v>
      </c>
      <c r="D46" t="s">
        <v>391</v>
      </c>
      <c r="E46" t="s">
        <v>103</v>
      </c>
      <c r="F46" t="s">
        <v>244</v>
      </c>
      <c r="G46" s="39">
        <v>45513</v>
      </c>
      <c r="J46" t="s">
        <v>981</v>
      </c>
    </row>
    <row r="47" spans="1:10" x14ac:dyDescent="0.35">
      <c r="A47">
        <v>17096</v>
      </c>
      <c r="B47" t="s">
        <v>92</v>
      </c>
      <c r="C47" t="s">
        <v>33</v>
      </c>
      <c r="D47" t="s">
        <v>391</v>
      </c>
      <c r="E47" t="s">
        <v>103</v>
      </c>
      <c r="F47" t="s">
        <v>244</v>
      </c>
      <c r="G47" s="39">
        <v>45624</v>
      </c>
      <c r="J47" t="s">
        <v>981</v>
      </c>
    </row>
    <row r="48" spans="1:10" x14ac:dyDescent="0.35">
      <c r="A48">
        <v>17689</v>
      </c>
      <c r="B48" t="s">
        <v>92</v>
      </c>
      <c r="C48" t="s">
        <v>33</v>
      </c>
      <c r="D48" t="s">
        <v>393</v>
      </c>
      <c r="E48" t="s">
        <v>103</v>
      </c>
      <c r="F48" t="s">
        <v>244</v>
      </c>
      <c r="G48" s="39">
        <v>45846</v>
      </c>
      <c r="J48" t="s">
        <v>981</v>
      </c>
    </row>
    <row r="49" spans="1:10" x14ac:dyDescent="0.35">
      <c r="A49">
        <v>18368</v>
      </c>
      <c r="B49" t="s">
        <v>92</v>
      </c>
      <c r="C49" t="s">
        <v>33</v>
      </c>
      <c r="D49" t="s">
        <v>393</v>
      </c>
      <c r="E49" t="s">
        <v>103</v>
      </c>
      <c r="F49" t="s">
        <v>244</v>
      </c>
      <c r="G49" s="39">
        <v>46113</v>
      </c>
      <c r="J49" t="s">
        <v>981</v>
      </c>
    </row>
    <row r="50" spans="1:10" x14ac:dyDescent="0.35">
      <c r="A50">
        <v>10313</v>
      </c>
      <c r="B50" t="s">
        <v>92</v>
      </c>
      <c r="C50" t="s">
        <v>33</v>
      </c>
      <c r="D50" t="s">
        <v>104</v>
      </c>
      <c r="E50" t="s">
        <v>105</v>
      </c>
      <c r="F50" t="s">
        <v>244</v>
      </c>
      <c r="G50" s="39">
        <v>38735</v>
      </c>
      <c r="J50" t="s">
        <v>981</v>
      </c>
    </row>
    <row r="51" spans="1:10" x14ac:dyDescent="0.35">
      <c r="A51">
        <v>600006</v>
      </c>
      <c r="B51" t="s">
        <v>92</v>
      </c>
      <c r="C51" t="s">
        <v>33</v>
      </c>
      <c r="D51" t="s">
        <v>104</v>
      </c>
      <c r="E51" t="s">
        <v>105</v>
      </c>
      <c r="F51" t="s">
        <v>244</v>
      </c>
      <c r="G51" s="39">
        <v>38596</v>
      </c>
      <c r="J51" t="s">
        <v>981</v>
      </c>
    </row>
    <row r="52" spans="1:10" x14ac:dyDescent="0.35">
      <c r="A52">
        <v>10020</v>
      </c>
      <c r="B52" t="s">
        <v>92</v>
      </c>
      <c r="C52" t="s">
        <v>33</v>
      </c>
      <c r="D52" t="s">
        <v>104</v>
      </c>
      <c r="E52" t="s">
        <v>105</v>
      </c>
      <c r="F52" t="s">
        <v>244</v>
      </c>
      <c r="G52" s="39">
        <v>37935</v>
      </c>
      <c r="J52" t="s">
        <v>981</v>
      </c>
    </row>
    <row r="53" spans="1:10" x14ac:dyDescent="0.35">
      <c r="A53">
        <v>15310</v>
      </c>
      <c r="B53" t="s">
        <v>92</v>
      </c>
      <c r="C53" t="s">
        <v>33</v>
      </c>
      <c r="D53" t="s">
        <v>104</v>
      </c>
      <c r="E53" t="s">
        <v>105</v>
      </c>
      <c r="F53" t="s">
        <v>244</v>
      </c>
      <c r="G53" s="39">
        <v>45022</v>
      </c>
      <c r="J53" t="s">
        <v>981</v>
      </c>
    </row>
    <row r="54" spans="1:10" x14ac:dyDescent="0.35">
      <c r="A54">
        <v>16976</v>
      </c>
      <c r="B54" t="s">
        <v>92</v>
      </c>
      <c r="C54" t="s">
        <v>33</v>
      </c>
      <c r="D54" t="s">
        <v>104</v>
      </c>
      <c r="E54" t="s">
        <v>105</v>
      </c>
      <c r="F54" t="s">
        <v>244</v>
      </c>
      <c r="G54" s="39">
        <v>45586</v>
      </c>
      <c r="J54" t="s">
        <v>981</v>
      </c>
    </row>
    <row r="55" spans="1:10" x14ac:dyDescent="0.35">
      <c r="A55">
        <v>16990</v>
      </c>
      <c r="B55" t="s">
        <v>92</v>
      </c>
      <c r="C55" t="s">
        <v>33</v>
      </c>
      <c r="D55" t="s">
        <v>104</v>
      </c>
      <c r="E55" t="s">
        <v>105</v>
      </c>
      <c r="F55" t="s">
        <v>244</v>
      </c>
      <c r="G55" s="39">
        <v>45587</v>
      </c>
      <c r="J55" t="s">
        <v>981</v>
      </c>
    </row>
    <row r="56" spans="1:10" x14ac:dyDescent="0.35">
      <c r="A56">
        <v>12567</v>
      </c>
      <c r="B56" t="s">
        <v>92</v>
      </c>
      <c r="C56" t="s">
        <v>33</v>
      </c>
      <c r="D56" t="s">
        <v>104</v>
      </c>
      <c r="E56" t="s">
        <v>105</v>
      </c>
      <c r="F56" t="s">
        <v>244</v>
      </c>
      <c r="G56" s="39">
        <v>43810</v>
      </c>
      <c r="J56" t="s">
        <v>981</v>
      </c>
    </row>
    <row r="57" spans="1:10" x14ac:dyDescent="0.35">
      <c r="A57">
        <v>15659</v>
      </c>
      <c r="B57" t="s">
        <v>92</v>
      </c>
      <c r="C57" t="s">
        <v>33</v>
      </c>
      <c r="D57" t="s">
        <v>104</v>
      </c>
      <c r="E57" t="s">
        <v>105</v>
      </c>
      <c r="F57" t="s">
        <v>244</v>
      </c>
      <c r="G57" s="39">
        <v>45154</v>
      </c>
      <c r="J57" t="s">
        <v>981</v>
      </c>
    </row>
    <row r="58" spans="1:10" x14ac:dyDescent="0.35">
      <c r="A58">
        <v>19126</v>
      </c>
      <c r="B58" t="s">
        <v>92</v>
      </c>
      <c r="C58" t="s">
        <v>33</v>
      </c>
      <c r="D58" t="s">
        <v>104</v>
      </c>
      <c r="E58" t="s">
        <v>105</v>
      </c>
      <c r="F58" t="s">
        <v>244</v>
      </c>
      <c r="G58" s="39">
        <v>46268</v>
      </c>
      <c r="H58" t="s">
        <v>250</v>
      </c>
      <c r="J58" t="s">
        <v>981</v>
      </c>
    </row>
    <row r="59" spans="1:10" x14ac:dyDescent="0.35">
      <c r="A59">
        <v>17763</v>
      </c>
      <c r="B59" t="s">
        <v>92</v>
      </c>
      <c r="C59" t="s">
        <v>33</v>
      </c>
      <c r="D59" t="s">
        <v>104</v>
      </c>
      <c r="E59" t="s">
        <v>105</v>
      </c>
      <c r="F59" t="s">
        <v>244</v>
      </c>
      <c r="G59" s="39">
        <v>45873</v>
      </c>
      <c r="J59" t="s">
        <v>981</v>
      </c>
    </row>
    <row r="60" spans="1:10" x14ac:dyDescent="0.35">
      <c r="A60">
        <v>17835</v>
      </c>
      <c r="B60" t="s">
        <v>92</v>
      </c>
      <c r="C60" t="s">
        <v>33</v>
      </c>
      <c r="D60" t="s">
        <v>104</v>
      </c>
      <c r="E60" t="s">
        <v>105</v>
      </c>
      <c r="F60" t="s">
        <v>244</v>
      </c>
      <c r="G60" s="39">
        <v>45888</v>
      </c>
      <c r="J60" t="s">
        <v>981</v>
      </c>
    </row>
    <row r="61" spans="1:10" x14ac:dyDescent="0.35">
      <c r="A61">
        <v>12584</v>
      </c>
      <c r="B61" t="s">
        <v>92</v>
      </c>
      <c r="C61" t="s">
        <v>33</v>
      </c>
      <c r="D61" t="s">
        <v>104</v>
      </c>
      <c r="E61" t="s">
        <v>105</v>
      </c>
      <c r="F61" t="s">
        <v>244</v>
      </c>
      <c r="G61" s="39">
        <v>43827</v>
      </c>
      <c r="J61" t="s">
        <v>981</v>
      </c>
    </row>
    <row r="62" spans="1:10" x14ac:dyDescent="0.35">
      <c r="A62">
        <v>10603</v>
      </c>
      <c r="B62" t="s">
        <v>92</v>
      </c>
      <c r="C62" t="s">
        <v>33</v>
      </c>
      <c r="D62" t="s">
        <v>104</v>
      </c>
      <c r="E62" t="s">
        <v>394</v>
      </c>
      <c r="F62" t="s">
        <v>244</v>
      </c>
      <c r="G62" s="39">
        <v>39727</v>
      </c>
      <c r="J62" t="s">
        <v>981</v>
      </c>
    </row>
    <row r="63" spans="1:10" x14ac:dyDescent="0.35">
      <c r="A63">
        <v>10015</v>
      </c>
      <c r="B63" t="s">
        <v>92</v>
      </c>
      <c r="C63" t="s">
        <v>33</v>
      </c>
      <c r="D63" t="s">
        <v>395</v>
      </c>
      <c r="E63" t="s">
        <v>99</v>
      </c>
      <c r="F63" t="s">
        <v>244</v>
      </c>
      <c r="G63" s="39">
        <v>36714</v>
      </c>
      <c r="J63" t="s">
        <v>981</v>
      </c>
    </row>
    <row r="64" spans="1:10" x14ac:dyDescent="0.35">
      <c r="A64">
        <v>13006</v>
      </c>
      <c r="B64" t="s">
        <v>92</v>
      </c>
      <c r="C64" t="s">
        <v>33</v>
      </c>
      <c r="D64" t="s">
        <v>395</v>
      </c>
      <c r="E64" t="s">
        <v>102</v>
      </c>
      <c r="F64" t="s">
        <v>244</v>
      </c>
      <c r="G64" s="39">
        <v>44187</v>
      </c>
      <c r="J64" t="s">
        <v>981</v>
      </c>
    </row>
    <row r="65" spans="1:10" x14ac:dyDescent="0.35">
      <c r="A65">
        <v>14147</v>
      </c>
      <c r="B65" t="s">
        <v>92</v>
      </c>
      <c r="C65" t="s">
        <v>33</v>
      </c>
      <c r="D65" t="s">
        <v>395</v>
      </c>
      <c r="E65" t="s">
        <v>102</v>
      </c>
      <c r="F65" t="s">
        <v>244</v>
      </c>
      <c r="G65" s="39">
        <v>44673</v>
      </c>
      <c r="J65" t="s">
        <v>981</v>
      </c>
    </row>
    <row r="66" spans="1:10" x14ac:dyDescent="0.35">
      <c r="A66">
        <v>18467</v>
      </c>
      <c r="B66" t="s">
        <v>92</v>
      </c>
      <c r="C66" t="s">
        <v>33</v>
      </c>
      <c r="D66" t="s">
        <v>395</v>
      </c>
      <c r="E66" t="s">
        <v>102</v>
      </c>
      <c r="F66" t="s">
        <v>244</v>
      </c>
      <c r="G66" s="39">
        <v>46134</v>
      </c>
      <c r="J66" t="s">
        <v>981</v>
      </c>
    </row>
    <row r="67" spans="1:10" x14ac:dyDescent="0.35">
      <c r="A67">
        <v>13414</v>
      </c>
      <c r="B67" t="s">
        <v>92</v>
      </c>
      <c r="C67" t="s">
        <v>33</v>
      </c>
      <c r="D67" t="s">
        <v>395</v>
      </c>
      <c r="E67" t="s">
        <v>103</v>
      </c>
      <c r="F67" t="s">
        <v>244</v>
      </c>
      <c r="G67" s="39">
        <v>44431</v>
      </c>
      <c r="J67" t="s">
        <v>981</v>
      </c>
    </row>
    <row r="68" spans="1:10" x14ac:dyDescent="0.35">
      <c r="A68">
        <v>16636</v>
      </c>
      <c r="B68" t="s">
        <v>92</v>
      </c>
      <c r="C68" t="s">
        <v>33</v>
      </c>
      <c r="D68" t="s">
        <v>395</v>
      </c>
      <c r="E68" t="s">
        <v>103</v>
      </c>
      <c r="F68" t="s">
        <v>244</v>
      </c>
      <c r="G68" s="39">
        <v>45505</v>
      </c>
      <c r="J68" t="s">
        <v>981</v>
      </c>
    </row>
    <row r="69" spans="1:10" x14ac:dyDescent="0.35">
      <c r="A69">
        <v>17180</v>
      </c>
      <c r="B69" t="s">
        <v>92</v>
      </c>
      <c r="C69" t="s">
        <v>33</v>
      </c>
      <c r="D69" t="s">
        <v>395</v>
      </c>
      <c r="E69" t="s">
        <v>103</v>
      </c>
      <c r="F69" t="s">
        <v>244</v>
      </c>
      <c r="G69" s="39">
        <v>45670</v>
      </c>
      <c r="J69" t="s">
        <v>981</v>
      </c>
    </row>
    <row r="70" spans="1:10" x14ac:dyDescent="0.35">
      <c r="A70">
        <v>17316</v>
      </c>
      <c r="B70" t="s">
        <v>92</v>
      </c>
      <c r="C70" t="s">
        <v>33</v>
      </c>
      <c r="D70" t="s">
        <v>395</v>
      </c>
      <c r="E70" t="s">
        <v>103</v>
      </c>
      <c r="F70" t="s">
        <v>244</v>
      </c>
      <c r="G70" s="39">
        <v>45709</v>
      </c>
      <c r="J70" t="s">
        <v>981</v>
      </c>
    </row>
    <row r="71" spans="1:10" x14ac:dyDescent="0.35">
      <c r="A71">
        <v>18418</v>
      </c>
      <c r="B71" t="s">
        <v>92</v>
      </c>
      <c r="C71" t="s">
        <v>33</v>
      </c>
      <c r="D71" t="s">
        <v>395</v>
      </c>
      <c r="E71" t="s">
        <v>106</v>
      </c>
      <c r="F71" t="s">
        <v>244</v>
      </c>
      <c r="G71" s="39">
        <v>46120</v>
      </c>
      <c r="J71" t="s">
        <v>981</v>
      </c>
    </row>
    <row r="72" spans="1:10" x14ac:dyDescent="0.35">
      <c r="A72">
        <v>16969</v>
      </c>
      <c r="B72" t="s">
        <v>22</v>
      </c>
      <c r="C72" t="s">
        <v>107</v>
      </c>
      <c r="D72" t="s">
        <v>92</v>
      </c>
      <c r="E72" t="s">
        <v>397</v>
      </c>
      <c r="F72" t="s">
        <v>244</v>
      </c>
      <c r="G72" s="39">
        <v>45580</v>
      </c>
      <c r="J72" t="s">
        <v>981</v>
      </c>
    </row>
    <row r="73" spans="1:10" x14ac:dyDescent="0.35">
      <c r="A73">
        <v>18277</v>
      </c>
      <c r="B73" t="s">
        <v>22</v>
      </c>
      <c r="C73" t="s">
        <v>107</v>
      </c>
      <c r="D73" t="s">
        <v>92</v>
      </c>
      <c r="E73" t="s">
        <v>99</v>
      </c>
      <c r="F73" t="s">
        <v>244</v>
      </c>
      <c r="G73" s="39">
        <v>46072</v>
      </c>
      <c r="H73" t="s">
        <v>57</v>
      </c>
      <c r="J73" t="s">
        <v>981</v>
      </c>
    </row>
    <row r="74" spans="1:10" x14ac:dyDescent="0.35">
      <c r="A74">
        <v>18281</v>
      </c>
      <c r="B74" t="s">
        <v>22</v>
      </c>
      <c r="C74" t="s">
        <v>107</v>
      </c>
      <c r="D74" t="s">
        <v>108</v>
      </c>
      <c r="E74" t="s">
        <v>99</v>
      </c>
      <c r="F74" t="s">
        <v>244</v>
      </c>
      <c r="G74" s="39">
        <v>46072</v>
      </c>
      <c r="H74" t="s">
        <v>57</v>
      </c>
      <c r="J74" t="s">
        <v>981</v>
      </c>
    </row>
    <row r="75" spans="1:10" x14ac:dyDescent="0.35">
      <c r="A75">
        <v>18362</v>
      </c>
      <c r="B75" t="s">
        <v>22</v>
      </c>
      <c r="C75" t="s">
        <v>107</v>
      </c>
      <c r="D75" t="s">
        <v>92</v>
      </c>
      <c r="E75" t="s">
        <v>109</v>
      </c>
      <c r="F75" t="s">
        <v>244</v>
      </c>
      <c r="G75" s="39">
        <v>46113</v>
      </c>
      <c r="J75" t="s">
        <v>981</v>
      </c>
    </row>
    <row r="76" spans="1:10" x14ac:dyDescent="0.35">
      <c r="A76">
        <v>19206</v>
      </c>
      <c r="B76" t="s">
        <v>22</v>
      </c>
      <c r="C76" t="s">
        <v>107</v>
      </c>
      <c r="D76" t="s">
        <v>92</v>
      </c>
      <c r="E76" t="s">
        <v>109</v>
      </c>
      <c r="F76" t="s">
        <v>244</v>
      </c>
      <c r="G76" s="39">
        <v>46276</v>
      </c>
      <c r="H76" t="s">
        <v>250</v>
      </c>
      <c r="J76" t="s">
        <v>981</v>
      </c>
    </row>
    <row r="77" spans="1:10" x14ac:dyDescent="0.35">
      <c r="A77">
        <v>15580</v>
      </c>
      <c r="B77" t="s">
        <v>22</v>
      </c>
      <c r="C77" t="s">
        <v>107</v>
      </c>
      <c r="D77" t="s">
        <v>108</v>
      </c>
      <c r="E77" t="s">
        <v>102</v>
      </c>
      <c r="F77" t="s">
        <v>244</v>
      </c>
      <c r="G77" s="39">
        <v>45124</v>
      </c>
      <c r="J77" t="s">
        <v>981</v>
      </c>
    </row>
    <row r="78" spans="1:10" x14ac:dyDescent="0.35">
      <c r="A78">
        <v>18243</v>
      </c>
      <c r="B78" t="s">
        <v>22</v>
      </c>
      <c r="C78" t="s">
        <v>107</v>
      </c>
      <c r="D78" t="s">
        <v>108</v>
      </c>
      <c r="E78" t="s">
        <v>102</v>
      </c>
      <c r="F78" t="s">
        <v>244</v>
      </c>
      <c r="G78" s="39">
        <v>46069</v>
      </c>
      <c r="J78" t="s">
        <v>981</v>
      </c>
    </row>
    <row r="79" spans="1:10" x14ac:dyDescent="0.35">
      <c r="A79">
        <v>19232</v>
      </c>
      <c r="B79" t="s">
        <v>22</v>
      </c>
      <c r="C79" t="s">
        <v>107</v>
      </c>
      <c r="D79" t="s">
        <v>108</v>
      </c>
      <c r="E79" t="s">
        <v>102</v>
      </c>
      <c r="F79" t="s">
        <v>244</v>
      </c>
      <c r="G79" s="39">
        <v>46281</v>
      </c>
      <c r="J79" t="s">
        <v>981</v>
      </c>
    </row>
    <row r="80" spans="1:10" x14ac:dyDescent="0.35">
      <c r="A80">
        <v>17948</v>
      </c>
      <c r="B80" t="s">
        <v>22</v>
      </c>
      <c r="C80" t="s">
        <v>107</v>
      </c>
      <c r="D80" t="s">
        <v>92</v>
      </c>
      <c r="E80" t="s">
        <v>103</v>
      </c>
      <c r="F80" t="s">
        <v>244</v>
      </c>
      <c r="G80" s="39">
        <v>45933</v>
      </c>
      <c r="J80" t="s">
        <v>981</v>
      </c>
    </row>
    <row r="81" spans="1:10" x14ac:dyDescent="0.35">
      <c r="A81">
        <v>13116</v>
      </c>
      <c r="B81" t="s">
        <v>22</v>
      </c>
      <c r="C81" t="s">
        <v>107</v>
      </c>
      <c r="D81" t="s">
        <v>92</v>
      </c>
      <c r="E81" t="s">
        <v>109</v>
      </c>
      <c r="F81" t="s">
        <v>244</v>
      </c>
      <c r="G81" s="39">
        <v>44265</v>
      </c>
      <c r="J81" t="s">
        <v>981</v>
      </c>
    </row>
    <row r="82" spans="1:10" x14ac:dyDescent="0.35">
      <c r="A82">
        <v>17466</v>
      </c>
      <c r="B82" t="s">
        <v>22</v>
      </c>
      <c r="C82" t="s">
        <v>107</v>
      </c>
      <c r="D82" t="s">
        <v>92</v>
      </c>
      <c r="E82" t="s">
        <v>103</v>
      </c>
      <c r="F82" t="s">
        <v>244</v>
      </c>
      <c r="G82" s="39">
        <v>45758</v>
      </c>
      <c r="J82" t="s">
        <v>981</v>
      </c>
    </row>
    <row r="83" spans="1:10" x14ac:dyDescent="0.35">
      <c r="A83">
        <v>17978</v>
      </c>
      <c r="B83" t="s">
        <v>22</v>
      </c>
      <c r="C83" t="s">
        <v>107</v>
      </c>
      <c r="D83" t="s">
        <v>92</v>
      </c>
      <c r="E83" t="s">
        <v>103</v>
      </c>
      <c r="F83" t="s">
        <v>244</v>
      </c>
      <c r="G83" s="39">
        <v>45944</v>
      </c>
      <c r="J83" t="s">
        <v>981</v>
      </c>
    </row>
    <row r="84" spans="1:10" x14ac:dyDescent="0.35">
      <c r="A84">
        <v>18399</v>
      </c>
      <c r="B84" t="s">
        <v>22</v>
      </c>
      <c r="C84" t="s">
        <v>107</v>
      </c>
      <c r="D84" t="s">
        <v>92</v>
      </c>
      <c r="E84" t="s">
        <v>102</v>
      </c>
      <c r="F84" t="s">
        <v>244</v>
      </c>
      <c r="G84" s="39">
        <v>46120</v>
      </c>
      <c r="H84" t="s">
        <v>57</v>
      </c>
      <c r="J84" t="s">
        <v>981</v>
      </c>
    </row>
    <row r="85" spans="1:10" x14ac:dyDescent="0.35">
      <c r="A85">
        <v>12835</v>
      </c>
      <c r="B85" t="s">
        <v>92</v>
      </c>
      <c r="C85" t="s">
        <v>76</v>
      </c>
      <c r="D85" t="s">
        <v>92</v>
      </c>
      <c r="E85" t="s">
        <v>101</v>
      </c>
      <c r="F85" t="s">
        <v>244</v>
      </c>
      <c r="G85" s="39">
        <v>44004</v>
      </c>
      <c r="J85" t="s">
        <v>981</v>
      </c>
    </row>
    <row r="86" spans="1:10" x14ac:dyDescent="0.35">
      <c r="A86">
        <v>600034</v>
      </c>
      <c r="B86" t="s">
        <v>92</v>
      </c>
      <c r="C86" t="s">
        <v>76</v>
      </c>
      <c r="D86" t="s">
        <v>92</v>
      </c>
      <c r="E86" t="s">
        <v>99</v>
      </c>
      <c r="F86" t="s">
        <v>244</v>
      </c>
      <c r="G86" s="39">
        <v>42676</v>
      </c>
      <c r="J86" t="s">
        <v>981</v>
      </c>
    </row>
    <row r="87" spans="1:10" x14ac:dyDescent="0.35">
      <c r="A87">
        <v>770021</v>
      </c>
      <c r="B87" t="s">
        <v>92</v>
      </c>
      <c r="C87" t="s">
        <v>76</v>
      </c>
      <c r="D87" t="s">
        <v>92</v>
      </c>
      <c r="E87" t="s">
        <v>109</v>
      </c>
      <c r="F87" t="s">
        <v>244</v>
      </c>
      <c r="G87" s="39">
        <v>42731</v>
      </c>
      <c r="J87" t="s">
        <v>981</v>
      </c>
    </row>
    <row r="88" spans="1:10" x14ac:dyDescent="0.35">
      <c r="A88">
        <v>12638</v>
      </c>
      <c r="B88" t="s">
        <v>92</v>
      </c>
      <c r="C88" t="s">
        <v>76</v>
      </c>
      <c r="D88" t="s">
        <v>92</v>
      </c>
      <c r="E88" t="s">
        <v>109</v>
      </c>
      <c r="F88" t="s">
        <v>244</v>
      </c>
      <c r="G88" s="39">
        <v>43847</v>
      </c>
      <c r="J88" t="s">
        <v>981</v>
      </c>
    </row>
    <row r="89" spans="1:10" x14ac:dyDescent="0.35">
      <c r="A89">
        <v>12738</v>
      </c>
      <c r="B89" t="s">
        <v>92</v>
      </c>
      <c r="C89" t="s">
        <v>76</v>
      </c>
      <c r="D89" t="s">
        <v>92</v>
      </c>
      <c r="E89" t="s">
        <v>109</v>
      </c>
      <c r="F89" t="s">
        <v>244</v>
      </c>
      <c r="G89" s="39">
        <v>43885</v>
      </c>
      <c r="J89" t="s">
        <v>981</v>
      </c>
    </row>
    <row r="90" spans="1:10" x14ac:dyDescent="0.35">
      <c r="A90">
        <v>300223</v>
      </c>
      <c r="B90" t="s">
        <v>92</v>
      </c>
      <c r="C90" t="s">
        <v>76</v>
      </c>
      <c r="D90" t="s">
        <v>92</v>
      </c>
      <c r="E90" t="s">
        <v>102</v>
      </c>
      <c r="F90" t="s">
        <v>244</v>
      </c>
      <c r="G90" s="39">
        <v>44203</v>
      </c>
      <c r="J90" t="s">
        <v>981</v>
      </c>
    </row>
    <row r="91" spans="1:10" x14ac:dyDescent="0.35">
      <c r="A91">
        <v>13285</v>
      </c>
      <c r="B91" t="s">
        <v>92</v>
      </c>
      <c r="C91" t="s">
        <v>76</v>
      </c>
      <c r="D91" t="s">
        <v>92</v>
      </c>
      <c r="E91" t="s">
        <v>102</v>
      </c>
      <c r="F91" t="s">
        <v>244</v>
      </c>
      <c r="G91" s="39">
        <v>44368</v>
      </c>
      <c r="J91" t="s">
        <v>981</v>
      </c>
    </row>
    <row r="92" spans="1:10" x14ac:dyDescent="0.35">
      <c r="A92">
        <v>18961</v>
      </c>
      <c r="B92" t="s">
        <v>92</v>
      </c>
      <c r="C92" t="s">
        <v>76</v>
      </c>
      <c r="D92" t="s">
        <v>92</v>
      </c>
      <c r="E92" t="s">
        <v>106</v>
      </c>
      <c r="F92" t="s">
        <v>244</v>
      </c>
      <c r="G92" s="39">
        <v>46248</v>
      </c>
      <c r="J92" t="s">
        <v>981</v>
      </c>
    </row>
    <row r="93" spans="1:10" x14ac:dyDescent="0.35">
      <c r="A93">
        <v>17215</v>
      </c>
      <c r="B93" t="s">
        <v>65</v>
      </c>
      <c r="C93" t="s">
        <v>92</v>
      </c>
      <c r="D93" t="s">
        <v>92</v>
      </c>
      <c r="E93" t="s">
        <v>100</v>
      </c>
      <c r="F93" t="s">
        <v>244</v>
      </c>
      <c r="G93" s="39">
        <v>45663</v>
      </c>
      <c r="J93" t="s">
        <v>981</v>
      </c>
    </row>
    <row r="94" spans="1:10" x14ac:dyDescent="0.35">
      <c r="A94">
        <v>210029</v>
      </c>
      <c r="B94" t="s">
        <v>65</v>
      </c>
      <c r="C94" t="s">
        <v>399</v>
      </c>
      <c r="D94" t="s">
        <v>92</v>
      </c>
      <c r="E94" t="s">
        <v>400</v>
      </c>
      <c r="F94" t="s">
        <v>244</v>
      </c>
      <c r="G94" s="39">
        <v>42075</v>
      </c>
      <c r="J94" t="s">
        <v>981</v>
      </c>
    </row>
    <row r="95" spans="1:10" x14ac:dyDescent="0.35">
      <c r="A95">
        <v>10765</v>
      </c>
      <c r="B95" t="s">
        <v>65</v>
      </c>
      <c r="C95" t="s">
        <v>399</v>
      </c>
      <c r="D95" t="s">
        <v>92</v>
      </c>
      <c r="E95" t="s">
        <v>400</v>
      </c>
      <c r="F95" t="s">
        <v>244</v>
      </c>
      <c r="G95" s="39">
        <v>41841</v>
      </c>
      <c r="J95" t="s">
        <v>981</v>
      </c>
    </row>
    <row r="96" spans="1:10" x14ac:dyDescent="0.35">
      <c r="A96">
        <v>10338</v>
      </c>
      <c r="B96" t="s">
        <v>65</v>
      </c>
      <c r="C96" t="s">
        <v>399</v>
      </c>
      <c r="D96" t="s">
        <v>92</v>
      </c>
      <c r="E96" t="s">
        <v>400</v>
      </c>
      <c r="F96" t="s">
        <v>244</v>
      </c>
      <c r="G96" s="39">
        <v>38783</v>
      </c>
      <c r="J96" t="s">
        <v>981</v>
      </c>
    </row>
    <row r="97" spans="1:10" x14ac:dyDescent="0.35">
      <c r="A97">
        <v>10558</v>
      </c>
      <c r="B97" t="s">
        <v>65</v>
      </c>
      <c r="C97" t="s">
        <v>399</v>
      </c>
      <c r="D97" t="s">
        <v>92</v>
      </c>
      <c r="E97" t="s">
        <v>400</v>
      </c>
      <c r="F97" t="s">
        <v>244</v>
      </c>
      <c r="G97" s="39">
        <v>39172</v>
      </c>
      <c r="J97" t="s">
        <v>981</v>
      </c>
    </row>
    <row r="98" spans="1:10" x14ac:dyDescent="0.35">
      <c r="A98">
        <v>17848</v>
      </c>
      <c r="B98" t="s">
        <v>65</v>
      </c>
      <c r="C98" t="s">
        <v>399</v>
      </c>
      <c r="D98" t="s">
        <v>92</v>
      </c>
      <c r="E98" t="s">
        <v>401</v>
      </c>
      <c r="F98" t="s">
        <v>244</v>
      </c>
      <c r="G98" s="39">
        <v>45884</v>
      </c>
      <c r="J98" t="s">
        <v>981</v>
      </c>
    </row>
    <row r="99" spans="1:10" x14ac:dyDescent="0.35">
      <c r="A99">
        <v>18126</v>
      </c>
      <c r="B99" t="s">
        <v>65</v>
      </c>
      <c r="C99" t="s">
        <v>399</v>
      </c>
      <c r="D99" t="s">
        <v>92</v>
      </c>
      <c r="E99" t="s">
        <v>401</v>
      </c>
      <c r="F99" t="s">
        <v>244</v>
      </c>
      <c r="G99" s="39">
        <v>46002</v>
      </c>
      <c r="J99" t="s">
        <v>981</v>
      </c>
    </row>
    <row r="100" spans="1:10" x14ac:dyDescent="0.35">
      <c r="A100">
        <v>14499</v>
      </c>
      <c r="B100" t="s">
        <v>65</v>
      </c>
      <c r="C100" t="s">
        <v>399</v>
      </c>
      <c r="D100" t="s">
        <v>92</v>
      </c>
      <c r="E100" t="s">
        <v>403</v>
      </c>
      <c r="F100" t="s">
        <v>244</v>
      </c>
      <c r="G100" s="39">
        <v>44774</v>
      </c>
      <c r="J100" t="s">
        <v>981</v>
      </c>
    </row>
    <row r="101" spans="1:10" x14ac:dyDescent="0.35">
      <c r="A101">
        <v>480026</v>
      </c>
      <c r="B101" t="s">
        <v>65</v>
      </c>
      <c r="C101" t="s">
        <v>399</v>
      </c>
      <c r="D101" t="s">
        <v>92</v>
      </c>
      <c r="E101" t="s">
        <v>401</v>
      </c>
      <c r="F101" t="s">
        <v>244</v>
      </c>
      <c r="G101" s="39">
        <v>43150</v>
      </c>
      <c r="J101" t="s">
        <v>981</v>
      </c>
    </row>
    <row r="102" spans="1:10" x14ac:dyDescent="0.35">
      <c r="A102">
        <v>14554</v>
      </c>
      <c r="B102" t="s">
        <v>65</v>
      </c>
      <c r="C102" t="s">
        <v>399</v>
      </c>
      <c r="D102" t="s">
        <v>92</v>
      </c>
      <c r="E102" t="s">
        <v>404</v>
      </c>
      <c r="F102" t="s">
        <v>244</v>
      </c>
      <c r="G102" s="39">
        <v>44784</v>
      </c>
      <c r="J102" t="s">
        <v>981</v>
      </c>
    </row>
    <row r="103" spans="1:10" x14ac:dyDescent="0.35">
      <c r="A103">
        <v>300110</v>
      </c>
      <c r="B103" t="s">
        <v>65</v>
      </c>
      <c r="C103" t="s">
        <v>399</v>
      </c>
      <c r="D103" t="s">
        <v>92</v>
      </c>
      <c r="E103" t="s">
        <v>404</v>
      </c>
      <c r="F103" t="s">
        <v>244</v>
      </c>
      <c r="G103" s="39">
        <v>43075</v>
      </c>
      <c r="J103" t="s">
        <v>981</v>
      </c>
    </row>
    <row r="104" spans="1:10" x14ac:dyDescent="0.35">
      <c r="A104">
        <v>118030</v>
      </c>
      <c r="B104" t="s">
        <v>65</v>
      </c>
      <c r="C104" t="s">
        <v>399</v>
      </c>
      <c r="D104" t="s">
        <v>92</v>
      </c>
      <c r="E104" t="s">
        <v>405</v>
      </c>
      <c r="F104" t="s">
        <v>244</v>
      </c>
      <c r="G104" s="39">
        <v>43535</v>
      </c>
      <c r="J104" t="s">
        <v>981</v>
      </c>
    </row>
    <row r="105" spans="1:10" x14ac:dyDescent="0.35">
      <c r="A105">
        <v>15784</v>
      </c>
      <c r="B105" t="s">
        <v>65</v>
      </c>
      <c r="C105" t="s">
        <v>399</v>
      </c>
      <c r="D105" t="s">
        <v>92</v>
      </c>
      <c r="E105" t="s">
        <v>407</v>
      </c>
      <c r="F105" t="s">
        <v>244</v>
      </c>
      <c r="G105" s="39">
        <v>45187</v>
      </c>
      <c r="J105" t="s">
        <v>981</v>
      </c>
    </row>
    <row r="106" spans="1:10" x14ac:dyDescent="0.35">
      <c r="A106">
        <v>11164</v>
      </c>
      <c r="B106" t="s">
        <v>65</v>
      </c>
      <c r="C106" t="s">
        <v>408</v>
      </c>
      <c r="D106" t="s">
        <v>92</v>
      </c>
      <c r="E106" t="s">
        <v>400</v>
      </c>
      <c r="F106" t="s">
        <v>244</v>
      </c>
      <c r="G106" s="39">
        <v>42346</v>
      </c>
      <c r="J106" t="s">
        <v>981</v>
      </c>
    </row>
    <row r="107" spans="1:10" x14ac:dyDescent="0.35">
      <c r="A107">
        <v>18173</v>
      </c>
      <c r="B107" t="s">
        <v>65</v>
      </c>
      <c r="C107" t="s">
        <v>408</v>
      </c>
      <c r="D107" t="s">
        <v>92</v>
      </c>
      <c r="E107" t="s">
        <v>383</v>
      </c>
      <c r="F107" t="s">
        <v>244</v>
      </c>
      <c r="G107" s="39">
        <v>46027</v>
      </c>
      <c r="J107" t="s">
        <v>981</v>
      </c>
    </row>
    <row r="108" spans="1:10" x14ac:dyDescent="0.35">
      <c r="A108">
        <v>11429</v>
      </c>
      <c r="B108" t="s">
        <v>65</v>
      </c>
      <c r="C108" t="s">
        <v>408</v>
      </c>
      <c r="D108" t="s">
        <v>92</v>
      </c>
      <c r="E108" t="s">
        <v>400</v>
      </c>
      <c r="F108" t="s">
        <v>244</v>
      </c>
      <c r="G108" s="39">
        <v>42689</v>
      </c>
      <c r="J108" t="s">
        <v>981</v>
      </c>
    </row>
    <row r="109" spans="1:10" x14ac:dyDescent="0.35">
      <c r="A109">
        <v>10787</v>
      </c>
      <c r="B109" t="s">
        <v>65</v>
      </c>
      <c r="C109" t="s">
        <v>408</v>
      </c>
      <c r="D109" t="s">
        <v>92</v>
      </c>
      <c r="E109" t="s">
        <v>404</v>
      </c>
      <c r="F109" t="s">
        <v>244</v>
      </c>
      <c r="G109" s="39">
        <v>41883</v>
      </c>
      <c r="J109" t="s">
        <v>981</v>
      </c>
    </row>
    <row r="110" spans="1:10" x14ac:dyDescent="0.35">
      <c r="A110">
        <v>15053</v>
      </c>
      <c r="B110" t="s">
        <v>65</v>
      </c>
      <c r="C110" t="s">
        <v>408</v>
      </c>
      <c r="D110" t="s">
        <v>92</v>
      </c>
      <c r="E110" t="s">
        <v>401</v>
      </c>
      <c r="F110" t="s">
        <v>244</v>
      </c>
      <c r="G110" s="39">
        <v>44935</v>
      </c>
      <c r="J110" t="s">
        <v>981</v>
      </c>
    </row>
    <row r="111" spans="1:10" x14ac:dyDescent="0.35">
      <c r="A111">
        <v>10474</v>
      </c>
      <c r="B111" t="s">
        <v>65</v>
      </c>
      <c r="C111" t="s">
        <v>408</v>
      </c>
      <c r="D111" t="s">
        <v>92</v>
      </c>
      <c r="E111" t="s">
        <v>404</v>
      </c>
      <c r="F111" t="s">
        <v>244</v>
      </c>
      <c r="G111" s="39">
        <v>37826</v>
      </c>
      <c r="J111" t="s">
        <v>981</v>
      </c>
    </row>
    <row r="112" spans="1:10" x14ac:dyDescent="0.35">
      <c r="A112">
        <v>15106</v>
      </c>
      <c r="B112" t="s">
        <v>65</v>
      </c>
      <c r="C112" t="s">
        <v>408</v>
      </c>
      <c r="D112" t="s">
        <v>92</v>
      </c>
      <c r="E112" t="s">
        <v>405</v>
      </c>
      <c r="F112" t="s">
        <v>244</v>
      </c>
      <c r="G112" s="39">
        <v>44949</v>
      </c>
      <c r="J112" t="s">
        <v>981</v>
      </c>
    </row>
    <row r="113" spans="1:10" x14ac:dyDescent="0.35">
      <c r="A113">
        <v>13836</v>
      </c>
      <c r="B113" t="s">
        <v>65</v>
      </c>
      <c r="C113" t="s">
        <v>409</v>
      </c>
      <c r="D113" t="s">
        <v>92</v>
      </c>
      <c r="E113" t="s">
        <v>383</v>
      </c>
      <c r="F113" t="s">
        <v>244</v>
      </c>
      <c r="G113" s="39">
        <v>44599</v>
      </c>
      <c r="J113" t="s">
        <v>981</v>
      </c>
    </row>
    <row r="114" spans="1:10" x14ac:dyDescent="0.35">
      <c r="A114">
        <v>11428</v>
      </c>
      <c r="B114" t="s">
        <v>65</v>
      </c>
      <c r="C114" t="s">
        <v>409</v>
      </c>
      <c r="D114" t="s">
        <v>92</v>
      </c>
      <c r="E114" t="s">
        <v>400</v>
      </c>
      <c r="F114" t="s">
        <v>244</v>
      </c>
      <c r="G114" s="39">
        <v>42689</v>
      </c>
      <c r="J114" t="s">
        <v>981</v>
      </c>
    </row>
    <row r="115" spans="1:10" x14ac:dyDescent="0.35">
      <c r="A115">
        <v>11190</v>
      </c>
      <c r="B115" t="s">
        <v>65</v>
      </c>
      <c r="C115" t="s">
        <v>409</v>
      </c>
      <c r="D115" t="s">
        <v>92</v>
      </c>
      <c r="E115" t="s">
        <v>401</v>
      </c>
      <c r="F115" t="s">
        <v>244</v>
      </c>
      <c r="G115" s="39">
        <v>42394</v>
      </c>
      <c r="J115" t="s">
        <v>981</v>
      </c>
    </row>
    <row r="116" spans="1:10" x14ac:dyDescent="0.35">
      <c r="A116">
        <v>16098</v>
      </c>
      <c r="B116" t="s">
        <v>65</v>
      </c>
      <c r="C116" t="s">
        <v>409</v>
      </c>
      <c r="D116" t="s">
        <v>92</v>
      </c>
      <c r="E116" t="s">
        <v>400</v>
      </c>
      <c r="F116" t="s">
        <v>244</v>
      </c>
      <c r="G116" s="39">
        <v>45280</v>
      </c>
      <c r="J116" t="s">
        <v>981</v>
      </c>
    </row>
    <row r="117" spans="1:10" x14ac:dyDescent="0.35">
      <c r="A117">
        <v>14923</v>
      </c>
      <c r="B117" t="s">
        <v>65</v>
      </c>
      <c r="C117" t="s">
        <v>409</v>
      </c>
      <c r="D117" t="s">
        <v>92</v>
      </c>
      <c r="E117" t="s">
        <v>404</v>
      </c>
      <c r="F117" t="s">
        <v>244</v>
      </c>
      <c r="G117" s="39">
        <v>44893</v>
      </c>
      <c r="J117" t="s">
        <v>981</v>
      </c>
    </row>
    <row r="118" spans="1:10" x14ac:dyDescent="0.35">
      <c r="A118">
        <v>15350</v>
      </c>
      <c r="B118" t="s">
        <v>65</v>
      </c>
      <c r="C118" t="s">
        <v>409</v>
      </c>
      <c r="D118" t="s">
        <v>92</v>
      </c>
      <c r="E118" t="s">
        <v>404</v>
      </c>
      <c r="F118" t="s">
        <v>244</v>
      </c>
      <c r="G118" s="39">
        <v>45041</v>
      </c>
      <c r="J118" t="s">
        <v>981</v>
      </c>
    </row>
    <row r="119" spans="1:10" x14ac:dyDescent="0.35">
      <c r="A119">
        <v>14905</v>
      </c>
      <c r="B119" t="s">
        <v>65</v>
      </c>
      <c r="C119" t="s">
        <v>409</v>
      </c>
      <c r="D119" t="s">
        <v>92</v>
      </c>
      <c r="E119" t="s">
        <v>405</v>
      </c>
      <c r="F119" t="s">
        <v>244</v>
      </c>
      <c r="G119" s="39">
        <v>44887</v>
      </c>
      <c r="J119" t="s">
        <v>981</v>
      </c>
    </row>
    <row r="120" spans="1:10" x14ac:dyDescent="0.35">
      <c r="A120">
        <v>14908</v>
      </c>
      <c r="B120" t="s">
        <v>65</v>
      </c>
      <c r="C120" t="s">
        <v>409</v>
      </c>
      <c r="D120" t="s">
        <v>92</v>
      </c>
      <c r="E120" t="s">
        <v>404</v>
      </c>
      <c r="F120" t="s">
        <v>244</v>
      </c>
      <c r="G120" s="39">
        <v>44887</v>
      </c>
      <c r="J120" t="s">
        <v>981</v>
      </c>
    </row>
    <row r="121" spans="1:10" x14ac:dyDescent="0.35">
      <c r="A121">
        <v>17850</v>
      </c>
      <c r="B121" t="s">
        <v>65</v>
      </c>
      <c r="C121" t="s">
        <v>409</v>
      </c>
      <c r="D121" t="s">
        <v>92</v>
      </c>
      <c r="E121" t="s">
        <v>405</v>
      </c>
      <c r="F121" t="s">
        <v>244</v>
      </c>
      <c r="G121" s="39">
        <v>45884</v>
      </c>
      <c r="J121" t="s">
        <v>981</v>
      </c>
    </row>
    <row r="122" spans="1:10" x14ac:dyDescent="0.35">
      <c r="A122">
        <v>13758</v>
      </c>
      <c r="B122" t="s">
        <v>65</v>
      </c>
      <c r="C122" t="s">
        <v>409</v>
      </c>
      <c r="D122" t="s">
        <v>92</v>
      </c>
      <c r="E122" t="s">
        <v>405</v>
      </c>
      <c r="F122" t="s">
        <v>411</v>
      </c>
      <c r="G122" s="39">
        <v>44566</v>
      </c>
      <c r="J122" t="s">
        <v>981</v>
      </c>
    </row>
    <row r="123" spans="1:10" x14ac:dyDescent="0.35">
      <c r="A123">
        <v>17003</v>
      </c>
      <c r="B123" t="s">
        <v>65</v>
      </c>
      <c r="C123" t="s">
        <v>409</v>
      </c>
      <c r="D123" t="s">
        <v>92</v>
      </c>
      <c r="E123" t="s">
        <v>405</v>
      </c>
      <c r="F123" t="s">
        <v>244</v>
      </c>
      <c r="G123" s="39">
        <v>45593</v>
      </c>
      <c r="J123" t="s">
        <v>981</v>
      </c>
    </row>
    <row r="124" spans="1:10" x14ac:dyDescent="0.35">
      <c r="A124">
        <v>17128</v>
      </c>
      <c r="B124" t="s">
        <v>65</v>
      </c>
      <c r="C124" t="s">
        <v>409</v>
      </c>
      <c r="D124" t="s">
        <v>92</v>
      </c>
      <c r="E124" t="s">
        <v>404</v>
      </c>
      <c r="F124" t="s">
        <v>244</v>
      </c>
      <c r="G124" s="39">
        <v>45642</v>
      </c>
      <c r="J124" t="s">
        <v>981</v>
      </c>
    </row>
    <row r="125" spans="1:10" x14ac:dyDescent="0.35">
      <c r="A125">
        <v>13138</v>
      </c>
      <c r="B125" t="s">
        <v>65</v>
      </c>
      <c r="C125" t="s">
        <v>409</v>
      </c>
      <c r="D125" t="s">
        <v>92</v>
      </c>
      <c r="E125" t="s">
        <v>405</v>
      </c>
      <c r="F125" t="s">
        <v>244</v>
      </c>
      <c r="G125" s="39">
        <v>44288</v>
      </c>
      <c r="J125" t="s">
        <v>981</v>
      </c>
    </row>
    <row r="126" spans="1:10" x14ac:dyDescent="0.35">
      <c r="A126">
        <v>17929</v>
      </c>
      <c r="B126" t="s">
        <v>65</v>
      </c>
      <c r="C126" t="s">
        <v>409</v>
      </c>
      <c r="D126" t="s">
        <v>92</v>
      </c>
      <c r="E126" t="s">
        <v>405</v>
      </c>
      <c r="F126" t="s">
        <v>244</v>
      </c>
      <c r="G126" s="39">
        <v>45922</v>
      </c>
      <c r="J126" t="s">
        <v>981</v>
      </c>
    </row>
    <row r="127" spans="1:10" x14ac:dyDescent="0.35">
      <c r="A127">
        <v>12644</v>
      </c>
      <c r="B127" t="s">
        <v>65</v>
      </c>
      <c r="C127" t="s">
        <v>412</v>
      </c>
      <c r="D127" t="s">
        <v>92</v>
      </c>
      <c r="E127" t="s">
        <v>383</v>
      </c>
      <c r="F127" t="s">
        <v>244</v>
      </c>
      <c r="G127" s="39">
        <v>43852</v>
      </c>
      <c r="J127" t="s">
        <v>981</v>
      </c>
    </row>
    <row r="128" spans="1:10" x14ac:dyDescent="0.35">
      <c r="A128">
        <v>13249</v>
      </c>
      <c r="B128" t="s">
        <v>65</v>
      </c>
      <c r="C128" t="s">
        <v>412</v>
      </c>
      <c r="D128" t="s">
        <v>92</v>
      </c>
      <c r="E128" t="s">
        <v>413</v>
      </c>
      <c r="F128" t="s">
        <v>244</v>
      </c>
      <c r="G128" s="39">
        <v>44341</v>
      </c>
      <c r="J128" t="s">
        <v>981</v>
      </c>
    </row>
    <row r="129" spans="1:10" x14ac:dyDescent="0.35">
      <c r="A129">
        <v>15522</v>
      </c>
      <c r="B129" t="s">
        <v>65</v>
      </c>
      <c r="C129" t="s">
        <v>412</v>
      </c>
      <c r="D129" t="s">
        <v>92</v>
      </c>
      <c r="E129" t="s">
        <v>413</v>
      </c>
      <c r="F129" t="s">
        <v>244</v>
      </c>
      <c r="G129" s="39">
        <v>45101</v>
      </c>
      <c r="J129" t="s">
        <v>981</v>
      </c>
    </row>
    <row r="130" spans="1:10" x14ac:dyDescent="0.35">
      <c r="A130">
        <v>18169</v>
      </c>
      <c r="B130" t="s">
        <v>65</v>
      </c>
      <c r="C130" t="s">
        <v>412</v>
      </c>
      <c r="D130" t="s">
        <v>92</v>
      </c>
      <c r="E130" t="s">
        <v>413</v>
      </c>
      <c r="F130" t="s">
        <v>244</v>
      </c>
      <c r="G130" s="39">
        <v>46034</v>
      </c>
      <c r="J130" t="s">
        <v>981</v>
      </c>
    </row>
    <row r="131" spans="1:10" x14ac:dyDescent="0.35">
      <c r="A131">
        <v>18642</v>
      </c>
      <c r="B131" t="s">
        <v>65</v>
      </c>
      <c r="C131" t="s">
        <v>412</v>
      </c>
      <c r="D131" t="s">
        <v>92</v>
      </c>
      <c r="E131" t="s">
        <v>414</v>
      </c>
      <c r="F131" t="s">
        <v>244</v>
      </c>
      <c r="G131" s="39">
        <v>46178</v>
      </c>
      <c r="J131" t="s">
        <v>981</v>
      </c>
    </row>
    <row r="132" spans="1:10" x14ac:dyDescent="0.35">
      <c r="A132">
        <v>15366</v>
      </c>
      <c r="B132" t="s">
        <v>65</v>
      </c>
      <c r="C132" t="s">
        <v>412</v>
      </c>
      <c r="D132" t="s">
        <v>92</v>
      </c>
      <c r="E132" t="s">
        <v>415</v>
      </c>
      <c r="F132" t="s">
        <v>244</v>
      </c>
      <c r="G132" s="39">
        <v>45041</v>
      </c>
      <c r="J132" t="s">
        <v>981</v>
      </c>
    </row>
    <row r="133" spans="1:10" x14ac:dyDescent="0.35">
      <c r="A133">
        <v>18549</v>
      </c>
      <c r="B133" t="s">
        <v>65</v>
      </c>
      <c r="C133" t="s">
        <v>412</v>
      </c>
      <c r="D133" t="s">
        <v>92</v>
      </c>
      <c r="E133" t="s">
        <v>415</v>
      </c>
      <c r="F133" t="s">
        <v>244</v>
      </c>
      <c r="G133" s="39">
        <v>46147</v>
      </c>
      <c r="J133" t="s">
        <v>981</v>
      </c>
    </row>
    <row r="134" spans="1:10" x14ac:dyDescent="0.35">
      <c r="A134">
        <v>16157</v>
      </c>
      <c r="B134" t="s">
        <v>65</v>
      </c>
      <c r="C134" t="s">
        <v>412</v>
      </c>
      <c r="D134" t="s">
        <v>92</v>
      </c>
      <c r="E134" t="s">
        <v>416</v>
      </c>
      <c r="F134" t="s">
        <v>244</v>
      </c>
      <c r="G134" s="39">
        <v>45301</v>
      </c>
      <c r="J134" t="s">
        <v>981</v>
      </c>
    </row>
    <row r="135" spans="1:10" x14ac:dyDescent="0.35">
      <c r="A135">
        <v>16366</v>
      </c>
      <c r="B135" t="s">
        <v>65</v>
      </c>
      <c r="C135" t="s">
        <v>412</v>
      </c>
      <c r="D135" t="s">
        <v>92</v>
      </c>
      <c r="E135" t="s">
        <v>416</v>
      </c>
      <c r="F135" t="s">
        <v>244</v>
      </c>
      <c r="G135" s="39">
        <v>45356</v>
      </c>
      <c r="J135" t="s">
        <v>981</v>
      </c>
    </row>
    <row r="136" spans="1:10" x14ac:dyDescent="0.35">
      <c r="A136">
        <v>18641</v>
      </c>
      <c r="B136" t="s">
        <v>65</v>
      </c>
      <c r="C136" t="s">
        <v>412</v>
      </c>
      <c r="D136" t="s">
        <v>92</v>
      </c>
      <c r="E136" t="s">
        <v>416</v>
      </c>
      <c r="F136" t="s">
        <v>244</v>
      </c>
      <c r="G136" s="39">
        <v>46175</v>
      </c>
      <c r="J136" t="s">
        <v>981</v>
      </c>
    </row>
    <row r="137" spans="1:10" x14ac:dyDescent="0.35">
      <c r="A137">
        <v>17702</v>
      </c>
      <c r="B137" t="s">
        <v>31</v>
      </c>
      <c r="C137" t="s">
        <v>92</v>
      </c>
      <c r="D137" t="s">
        <v>92</v>
      </c>
      <c r="E137" t="s">
        <v>110</v>
      </c>
      <c r="F137" t="s">
        <v>244</v>
      </c>
      <c r="G137" s="39">
        <v>45846</v>
      </c>
      <c r="J137" t="s">
        <v>981</v>
      </c>
    </row>
    <row r="138" spans="1:10" x14ac:dyDescent="0.35">
      <c r="A138">
        <v>11872</v>
      </c>
      <c r="B138" t="s">
        <v>31</v>
      </c>
      <c r="C138" t="s">
        <v>92</v>
      </c>
      <c r="D138" t="s">
        <v>92</v>
      </c>
      <c r="E138" t="s">
        <v>100</v>
      </c>
      <c r="F138" t="s">
        <v>244</v>
      </c>
      <c r="G138" s="39">
        <v>43227</v>
      </c>
      <c r="J138" t="s">
        <v>981</v>
      </c>
    </row>
    <row r="139" spans="1:10" x14ac:dyDescent="0.35">
      <c r="A139">
        <v>12002</v>
      </c>
      <c r="B139" t="s">
        <v>31</v>
      </c>
      <c r="C139" t="s">
        <v>111</v>
      </c>
      <c r="D139" t="s">
        <v>92</v>
      </c>
      <c r="E139" t="s">
        <v>101</v>
      </c>
      <c r="F139" t="s">
        <v>244</v>
      </c>
      <c r="G139" s="39">
        <v>43369</v>
      </c>
      <c r="J139" t="s">
        <v>981</v>
      </c>
    </row>
    <row r="140" spans="1:10" x14ac:dyDescent="0.35">
      <c r="A140">
        <v>15637</v>
      </c>
      <c r="B140" t="s">
        <v>31</v>
      </c>
      <c r="C140" t="s">
        <v>111</v>
      </c>
      <c r="D140" t="s">
        <v>92</v>
      </c>
      <c r="E140" t="s">
        <v>99</v>
      </c>
      <c r="F140" t="s">
        <v>244</v>
      </c>
      <c r="G140" s="39">
        <v>45148</v>
      </c>
      <c r="J140" t="s">
        <v>981</v>
      </c>
    </row>
    <row r="141" spans="1:10" x14ac:dyDescent="0.35">
      <c r="A141">
        <v>10669</v>
      </c>
      <c r="B141" t="s">
        <v>31</v>
      </c>
      <c r="C141" t="s">
        <v>111</v>
      </c>
      <c r="D141" t="s">
        <v>92</v>
      </c>
      <c r="E141" t="s">
        <v>109</v>
      </c>
      <c r="F141" t="s">
        <v>244</v>
      </c>
      <c r="G141" s="39">
        <v>41646</v>
      </c>
      <c r="J141" t="s">
        <v>981</v>
      </c>
    </row>
    <row r="142" spans="1:10" x14ac:dyDescent="0.35">
      <c r="A142">
        <v>10570</v>
      </c>
      <c r="B142" t="s">
        <v>31</v>
      </c>
      <c r="C142" t="s">
        <v>111</v>
      </c>
      <c r="D142" t="s">
        <v>92</v>
      </c>
      <c r="E142" t="s">
        <v>109</v>
      </c>
      <c r="F142" t="s">
        <v>244</v>
      </c>
      <c r="G142" s="39">
        <v>41324</v>
      </c>
      <c r="J142" t="s">
        <v>981</v>
      </c>
    </row>
    <row r="143" spans="1:10" x14ac:dyDescent="0.35">
      <c r="A143">
        <v>14237</v>
      </c>
      <c r="B143" t="s">
        <v>31</v>
      </c>
      <c r="C143" t="s">
        <v>111</v>
      </c>
      <c r="D143" t="s">
        <v>92</v>
      </c>
      <c r="E143" t="s">
        <v>109</v>
      </c>
      <c r="F143" t="s">
        <v>244</v>
      </c>
      <c r="G143" s="39">
        <v>44701</v>
      </c>
      <c r="J143" t="s">
        <v>981</v>
      </c>
    </row>
    <row r="144" spans="1:10" x14ac:dyDescent="0.35">
      <c r="A144">
        <v>11992</v>
      </c>
      <c r="B144" t="s">
        <v>31</v>
      </c>
      <c r="C144" t="s">
        <v>111</v>
      </c>
      <c r="D144" t="s">
        <v>92</v>
      </c>
      <c r="E144" t="s">
        <v>109</v>
      </c>
      <c r="F144" t="s">
        <v>244</v>
      </c>
      <c r="G144" s="39">
        <v>43363</v>
      </c>
      <c r="J144" t="s">
        <v>981</v>
      </c>
    </row>
    <row r="145" spans="1:10" x14ac:dyDescent="0.35">
      <c r="A145">
        <v>11332</v>
      </c>
      <c r="B145" t="s">
        <v>31</v>
      </c>
      <c r="C145" t="s">
        <v>111</v>
      </c>
      <c r="D145" t="s">
        <v>92</v>
      </c>
      <c r="E145" t="s">
        <v>109</v>
      </c>
      <c r="F145" t="s">
        <v>244</v>
      </c>
      <c r="G145" s="39">
        <v>42541</v>
      </c>
      <c r="J145" t="s">
        <v>981</v>
      </c>
    </row>
    <row r="146" spans="1:10" x14ac:dyDescent="0.35">
      <c r="A146">
        <v>11994</v>
      </c>
      <c r="B146" t="s">
        <v>31</v>
      </c>
      <c r="C146" t="s">
        <v>111</v>
      </c>
      <c r="D146" t="s">
        <v>92</v>
      </c>
      <c r="E146" t="s">
        <v>102</v>
      </c>
      <c r="F146" t="s">
        <v>244</v>
      </c>
      <c r="G146" s="39">
        <v>43363</v>
      </c>
      <c r="J146" t="s">
        <v>981</v>
      </c>
    </row>
    <row r="147" spans="1:10" x14ac:dyDescent="0.35">
      <c r="A147">
        <v>15717</v>
      </c>
      <c r="B147" t="s">
        <v>31</v>
      </c>
      <c r="C147" t="s">
        <v>111</v>
      </c>
      <c r="D147" t="s">
        <v>92</v>
      </c>
      <c r="E147" t="s">
        <v>112</v>
      </c>
      <c r="F147" t="s">
        <v>244</v>
      </c>
      <c r="G147" s="39">
        <v>45176</v>
      </c>
      <c r="J147" t="s">
        <v>981</v>
      </c>
    </row>
    <row r="148" spans="1:10" x14ac:dyDescent="0.35">
      <c r="A148">
        <v>15499</v>
      </c>
      <c r="B148" t="s">
        <v>31</v>
      </c>
      <c r="C148" t="s">
        <v>111</v>
      </c>
      <c r="D148" t="s">
        <v>92</v>
      </c>
      <c r="E148" t="s">
        <v>112</v>
      </c>
      <c r="F148" t="s">
        <v>244</v>
      </c>
      <c r="G148" s="39">
        <v>45099</v>
      </c>
      <c r="J148" t="s">
        <v>981</v>
      </c>
    </row>
    <row r="149" spans="1:10" x14ac:dyDescent="0.35">
      <c r="A149">
        <v>18318</v>
      </c>
      <c r="B149" t="s">
        <v>31</v>
      </c>
      <c r="C149" t="s">
        <v>111</v>
      </c>
      <c r="D149" t="s">
        <v>92</v>
      </c>
      <c r="E149" t="s">
        <v>113</v>
      </c>
      <c r="F149" t="s">
        <v>244</v>
      </c>
      <c r="G149" s="39">
        <v>46084</v>
      </c>
      <c r="H149" t="s">
        <v>57</v>
      </c>
      <c r="J149" t="s">
        <v>981</v>
      </c>
    </row>
    <row r="150" spans="1:10" x14ac:dyDescent="0.35">
      <c r="A150">
        <v>18319</v>
      </c>
      <c r="B150" t="s">
        <v>31</v>
      </c>
      <c r="C150" t="s">
        <v>111</v>
      </c>
      <c r="D150" t="s">
        <v>92</v>
      </c>
      <c r="E150" t="s">
        <v>114</v>
      </c>
      <c r="F150" t="s">
        <v>244</v>
      </c>
      <c r="G150" s="39">
        <v>46084</v>
      </c>
      <c r="H150" t="s">
        <v>249</v>
      </c>
      <c r="J150" t="s">
        <v>981</v>
      </c>
    </row>
    <row r="151" spans="1:10" x14ac:dyDescent="0.35">
      <c r="A151">
        <v>18335</v>
      </c>
      <c r="B151" t="s">
        <v>31</v>
      </c>
      <c r="C151" t="s">
        <v>111</v>
      </c>
      <c r="D151" t="s">
        <v>92</v>
      </c>
      <c r="E151" t="s">
        <v>103</v>
      </c>
      <c r="F151" t="s">
        <v>244</v>
      </c>
      <c r="G151" s="39">
        <v>46091</v>
      </c>
      <c r="H151" t="s">
        <v>249</v>
      </c>
      <c r="J151" t="s">
        <v>981</v>
      </c>
    </row>
    <row r="152" spans="1:10" x14ac:dyDescent="0.35">
      <c r="A152">
        <v>14355</v>
      </c>
      <c r="B152" t="s">
        <v>31</v>
      </c>
      <c r="C152" t="s">
        <v>111</v>
      </c>
      <c r="D152" t="s">
        <v>92</v>
      </c>
      <c r="E152" t="s">
        <v>103</v>
      </c>
      <c r="F152" t="s">
        <v>244</v>
      </c>
      <c r="G152" s="39">
        <v>44743</v>
      </c>
      <c r="J152" t="s">
        <v>981</v>
      </c>
    </row>
    <row r="153" spans="1:10" x14ac:dyDescent="0.35">
      <c r="A153">
        <v>17456</v>
      </c>
      <c r="B153" t="s">
        <v>31</v>
      </c>
      <c r="C153" t="s">
        <v>111</v>
      </c>
      <c r="D153" t="s">
        <v>92</v>
      </c>
      <c r="E153" t="s">
        <v>112</v>
      </c>
      <c r="F153" t="s">
        <v>244</v>
      </c>
      <c r="G153" s="39">
        <v>45757</v>
      </c>
      <c r="J153" t="s">
        <v>981</v>
      </c>
    </row>
    <row r="154" spans="1:10" x14ac:dyDescent="0.35">
      <c r="A154">
        <v>18375</v>
      </c>
      <c r="B154" t="s">
        <v>31</v>
      </c>
      <c r="C154" t="s">
        <v>115</v>
      </c>
      <c r="D154" t="s">
        <v>92</v>
      </c>
      <c r="E154" t="s">
        <v>101</v>
      </c>
      <c r="F154" t="s">
        <v>244</v>
      </c>
      <c r="G154" s="39">
        <v>46113</v>
      </c>
      <c r="H154" t="s">
        <v>249</v>
      </c>
      <c r="J154" t="s">
        <v>981</v>
      </c>
    </row>
    <row r="155" spans="1:10" x14ac:dyDescent="0.35">
      <c r="A155">
        <v>18376</v>
      </c>
      <c r="B155" t="s">
        <v>31</v>
      </c>
      <c r="C155" t="s">
        <v>115</v>
      </c>
      <c r="D155" t="s">
        <v>92</v>
      </c>
      <c r="E155" t="s">
        <v>116</v>
      </c>
      <c r="F155" t="s">
        <v>244</v>
      </c>
      <c r="G155" s="39">
        <v>46113</v>
      </c>
      <c r="H155" t="s">
        <v>249</v>
      </c>
      <c r="J155" t="s">
        <v>981</v>
      </c>
    </row>
    <row r="156" spans="1:10" x14ac:dyDescent="0.35">
      <c r="A156">
        <v>18379</v>
      </c>
      <c r="B156" t="s">
        <v>31</v>
      </c>
      <c r="C156" t="s">
        <v>115</v>
      </c>
      <c r="D156" t="s">
        <v>92</v>
      </c>
      <c r="E156" t="s">
        <v>116</v>
      </c>
      <c r="F156" t="s">
        <v>244</v>
      </c>
      <c r="G156" s="39">
        <v>46113</v>
      </c>
      <c r="H156" t="s">
        <v>249</v>
      </c>
      <c r="J156" t="s">
        <v>981</v>
      </c>
    </row>
    <row r="157" spans="1:10" x14ac:dyDescent="0.35">
      <c r="A157">
        <v>18377</v>
      </c>
      <c r="B157" t="s">
        <v>31</v>
      </c>
      <c r="C157" t="s">
        <v>115</v>
      </c>
      <c r="D157" t="s">
        <v>92</v>
      </c>
      <c r="E157" t="s">
        <v>112</v>
      </c>
      <c r="F157" t="s">
        <v>244</v>
      </c>
      <c r="G157" s="39">
        <v>46113</v>
      </c>
      <c r="H157" t="s">
        <v>249</v>
      </c>
      <c r="J157" t="s">
        <v>981</v>
      </c>
    </row>
    <row r="158" spans="1:10" x14ac:dyDescent="0.35">
      <c r="A158">
        <v>18381</v>
      </c>
      <c r="B158" t="s">
        <v>31</v>
      </c>
      <c r="C158" t="s">
        <v>117</v>
      </c>
      <c r="D158" t="s">
        <v>92</v>
      </c>
      <c r="E158" t="s">
        <v>116</v>
      </c>
      <c r="F158" t="s">
        <v>244</v>
      </c>
      <c r="G158" s="39">
        <v>46113</v>
      </c>
      <c r="H158" t="s">
        <v>57</v>
      </c>
      <c r="J158" t="s">
        <v>981</v>
      </c>
    </row>
    <row r="159" spans="1:10" x14ac:dyDescent="0.35">
      <c r="A159">
        <v>18382</v>
      </c>
      <c r="B159" t="s">
        <v>31</v>
      </c>
      <c r="C159" t="s">
        <v>117</v>
      </c>
      <c r="D159" t="s">
        <v>92</v>
      </c>
      <c r="E159" t="s">
        <v>264</v>
      </c>
      <c r="F159" t="s">
        <v>244</v>
      </c>
      <c r="G159" s="39">
        <v>46113</v>
      </c>
      <c r="H159" t="s">
        <v>57</v>
      </c>
      <c r="J159" t="s">
        <v>981</v>
      </c>
    </row>
    <row r="160" spans="1:10" x14ac:dyDescent="0.35">
      <c r="A160">
        <v>18380</v>
      </c>
      <c r="B160" t="s">
        <v>31</v>
      </c>
      <c r="C160" t="s">
        <v>117</v>
      </c>
      <c r="D160" t="s">
        <v>92</v>
      </c>
      <c r="E160" t="s">
        <v>112</v>
      </c>
      <c r="F160" t="s">
        <v>244</v>
      </c>
      <c r="G160" s="39">
        <v>46113</v>
      </c>
      <c r="H160" t="s">
        <v>57</v>
      </c>
      <c r="J160" t="s">
        <v>981</v>
      </c>
    </row>
    <row r="161" spans="1:10" x14ac:dyDescent="0.35">
      <c r="A161">
        <v>18384</v>
      </c>
      <c r="B161" t="s">
        <v>31</v>
      </c>
      <c r="C161" t="s">
        <v>117</v>
      </c>
      <c r="D161" t="s">
        <v>92</v>
      </c>
      <c r="E161" t="s">
        <v>109</v>
      </c>
      <c r="F161" t="s">
        <v>245</v>
      </c>
      <c r="G161" s="39">
        <v>46113</v>
      </c>
      <c r="H161" t="s">
        <v>57</v>
      </c>
      <c r="J161" t="s">
        <v>981</v>
      </c>
    </row>
    <row r="162" spans="1:10" x14ac:dyDescent="0.35">
      <c r="A162">
        <v>18383</v>
      </c>
      <c r="B162" t="s">
        <v>31</v>
      </c>
      <c r="C162" t="s">
        <v>117</v>
      </c>
      <c r="D162" t="s">
        <v>92</v>
      </c>
      <c r="E162" t="s">
        <v>103</v>
      </c>
      <c r="F162" t="s">
        <v>244</v>
      </c>
      <c r="G162" s="39">
        <v>46113</v>
      </c>
      <c r="H162" t="s">
        <v>57</v>
      </c>
      <c r="J162" t="s">
        <v>981</v>
      </c>
    </row>
    <row r="163" spans="1:10" x14ac:dyDescent="0.35">
      <c r="A163">
        <v>18378</v>
      </c>
      <c r="B163" t="s">
        <v>31</v>
      </c>
      <c r="C163" t="s">
        <v>117</v>
      </c>
      <c r="D163" t="s">
        <v>92</v>
      </c>
      <c r="E163" t="s">
        <v>118</v>
      </c>
      <c r="F163" t="s">
        <v>244</v>
      </c>
      <c r="G163" s="39">
        <v>46113</v>
      </c>
      <c r="H163" t="s">
        <v>57</v>
      </c>
      <c r="J163" t="s">
        <v>981</v>
      </c>
    </row>
    <row r="164" spans="1:10" x14ac:dyDescent="0.35">
      <c r="A164">
        <v>12207</v>
      </c>
      <c r="B164" t="s">
        <v>31</v>
      </c>
      <c r="C164" t="s">
        <v>418</v>
      </c>
      <c r="D164" t="s">
        <v>92</v>
      </c>
      <c r="E164" t="s">
        <v>101</v>
      </c>
      <c r="F164" t="s">
        <v>244</v>
      </c>
      <c r="G164" s="39">
        <v>43587</v>
      </c>
      <c r="J164" t="s">
        <v>981</v>
      </c>
    </row>
    <row r="165" spans="1:10" x14ac:dyDescent="0.35">
      <c r="A165">
        <v>13124</v>
      </c>
      <c r="B165" t="s">
        <v>31</v>
      </c>
      <c r="C165" t="s">
        <v>418</v>
      </c>
      <c r="D165" t="s">
        <v>92</v>
      </c>
      <c r="E165" t="s">
        <v>99</v>
      </c>
      <c r="F165" t="s">
        <v>244</v>
      </c>
      <c r="G165" s="39">
        <v>44270</v>
      </c>
      <c r="J165" t="s">
        <v>981</v>
      </c>
    </row>
    <row r="166" spans="1:10" x14ac:dyDescent="0.35">
      <c r="A166">
        <v>13020</v>
      </c>
      <c r="B166" t="s">
        <v>31</v>
      </c>
      <c r="C166" t="s">
        <v>418</v>
      </c>
      <c r="D166" t="s">
        <v>92</v>
      </c>
      <c r="E166" t="s">
        <v>109</v>
      </c>
      <c r="F166" t="s">
        <v>244</v>
      </c>
      <c r="G166" s="39">
        <v>44203</v>
      </c>
      <c r="J166" t="s">
        <v>981</v>
      </c>
    </row>
    <row r="167" spans="1:10" x14ac:dyDescent="0.35">
      <c r="A167">
        <v>14699</v>
      </c>
      <c r="B167" t="s">
        <v>31</v>
      </c>
      <c r="C167" t="s">
        <v>418</v>
      </c>
      <c r="D167" t="s">
        <v>92</v>
      </c>
      <c r="E167" t="s">
        <v>102</v>
      </c>
      <c r="F167" t="s">
        <v>244</v>
      </c>
      <c r="G167" s="39">
        <v>44830</v>
      </c>
      <c r="J167" t="s">
        <v>981</v>
      </c>
    </row>
    <row r="168" spans="1:10" x14ac:dyDescent="0.35">
      <c r="A168">
        <v>12437</v>
      </c>
      <c r="B168" t="s">
        <v>31</v>
      </c>
      <c r="C168" t="s">
        <v>418</v>
      </c>
      <c r="D168" t="s">
        <v>92</v>
      </c>
      <c r="E168" t="s">
        <v>419</v>
      </c>
      <c r="F168" t="s">
        <v>244</v>
      </c>
      <c r="G168" s="39">
        <v>43755</v>
      </c>
      <c r="J168" t="s">
        <v>981</v>
      </c>
    </row>
    <row r="169" spans="1:10" x14ac:dyDescent="0.35">
      <c r="A169">
        <v>14901</v>
      </c>
      <c r="B169" t="s">
        <v>31</v>
      </c>
      <c r="C169" t="s">
        <v>418</v>
      </c>
      <c r="D169" t="s">
        <v>92</v>
      </c>
      <c r="E169" t="s">
        <v>102</v>
      </c>
      <c r="F169" t="s">
        <v>244</v>
      </c>
      <c r="G169" s="39">
        <v>44888</v>
      </c>
      <c r="J169" t="s">
        <v>981</v>
      </c>
    </row>
    <row r="170" spans="1:10" x14ac:dyDescent="0.35">
      <c r="A170">
        <v>14890</v>
      </c>
      <c r="B170" t="s">
        <v>31</v>
      </c>
      <c r="C170" t="s">
        <v>418</v>
      </c>
      <c r="D170" t="s">
        <v>92</v>
      </c>
      <c r="E170" t="s">
        <v>102</v>
      </c>
      <c r="F170" t="s">
        <v>244</v>
      </c>
      <c r="G170" s="39">
        <v>44887</v>
      </c>
      <c r="J170" t="s">
        <v>981</v>
      </c>
    </row>
    <row r="171" spans="1:10" x14ac:dyDescent="0.35">
      <c r="A171">
        <v>15650</v>
      </c>
      <c r="B171" t="s">
        <v>31</v>
      </c>
      <c r="C171" t="s">
        <v>418</v>
      </c>
      <c r="D171" t="s">
        <v>92</v>
      </c>
      <c r="E171" t="s">
        <v>102</v>
      </c>
      <c r="F171" t="s">
        <v>244</v>
      </c>
      <c r="G171" s="39">
        <v>45152</v>
      </c>
      <c r="J171" t="s">
        <v>981</v>
      </c>
    </row>
    <row r="172" spans="1:10" x14ac:dyDescent="0.35">
      <c r="A172">
        <v>17156</v>
      </c>
      <c r="B172" t="s">
        <v>31</v>
      </c>
      <c r="C172" t="s">
        <v>418</v>
      </c>
      <c r="D172" t="s">
        <v>92</v>
      </c>
      <c r="E172" t="s">
        <v>103</v>
      </c>
      <c r="F172" t="s">
        <v>244</v>
      </c>
      <c r="G172" s="39">
        <v>45663</v>
      </c>
      <c r="J172" t="s">
        <v>981</v>
      </c>
    </row>
    <row r="173" spans="1:10" x14ac:dyDescent="0.35">
      <c r="A173">
        <v>17213</v>
      </c>
      <c r="B173" t="s">
        <v>31</v>
      </c>
      <c r="C173" t="s">
        <v>418</v>
      </c>
      <c r="D173" t="s">
        <v>92</v>
      </c>
      <c r="E173" t="s">
        <v>103</v>
      </c>
      <c r="F173" t="s">
        <v>244</v>
      </c>
      <c r="G173" s="39">
        <v>45666</v>
      </c>
      <c r="J173" t="s">
        <v>981</v>
      </c>
    </row>
    <row r="174" spans="1:10" x14ac:dyDescent="0.35">
      <c r="A174">
        <v>280012</v>
      </c>
      <c r="B174" t="s">
        <v>31</v>
      </c>
      <c r="C174" t="s">
        <v>418</v>
      </c>
      <c r="D174" t="s">
        <v>92</v>
      </c>
      <c r="E174" t="s">
        <v>106</v>
      </c>
      <c r="F174" t="s">
        <v>244</v>
      </c>
      <c r="G174" s="39">
        <v>39519</v>
      </c>
      <c r="J174" t="s">
        <v>981</v>
      </c>
    </row>
    <row r="175" spans="1:10" x14ac:dyDescent="0.35">
      <c r="A175">
        <v>14430</v>
      </c>
      <c r="B175" t="s">
        <v>31</v>
      </c>
      <c r="C175" t="s">
        <v>418</v>
      </c>
      <c r="D175" t="s">
        <v>92</v>
      </c>
      <c r="E175" t="s">
        <v>420</v>
      </c>
      <c r="F175" t="s">
        <v>244</v>
      </c>
      <c r="G175" s="39">
        <v>44761</v>
      </c>
      <c r="J175" t="s">
        <v>981</v>
      </c>
    </row>
    <row r="176" spans="1:10" x14ac:dyDescent="0.35">
      <c r="A176">
        <v>11703</v>
      </c>
      <c r="B176" t="s">
        <v>31</v>
      </c>
      <c r="C176" t="s">
        <v>422</v>
      </c>
      <c r="D176" t="s">
        <v>92</v>
      </c>
      <c r="E176" t="s">
        <v>101</v>
      </c>
      <c r="F176" t="s">
        <v>244</v>
      </c>
      <c r="G176" s="39">
        <v>43040</v>
      </c>
      <c r="J176" t="s">
        <v>981</v>
      </c>
    </row>
    <row r="177" spans="1:10" x14ac:dyDescent="0.35">
      <c r="A177">
        <v>14177</v>
      </c>
      <c r="B177" t="s">
        <v>31</v>
      </c>
      <c r="C177" t="s">
        <v>422</v>
      </c>
      <c r="D177" t="s">
        <v>92</v>
      </c>
      <c r="E177" t="s">
        <v>99</v>
      </c>
      <c r="F177" t="s">
        <v>244</v>
      </c>
      <c r="G177" s="39">
        <v>44686</v>
      </c>
      <c r="J177" t="s">
        <v>981</v>
      </c>
    </row>
    <row r="178" spans="1:10" x14ac:dyDescent="0.35">
      <c r="A178">
        <v>14178</v>
      </c>
      <c r="B178" t="s">
        <v>31</v>
      </c>
      <c r="C178" t="s">
        <v>422</v>
      </c>
      <c r="D178" t="s">
        <v>92</v>
      </c>
      <c r="E178" t="s">
        <v>116</v>
      </c>
      <c r="F178" t="s">
        <v>244</v>
      </c>
      <c r="G178" s="39">
        <v>44686</v>
      </c>
      <c r="J178" t="s">
        <v>981</v>
      </c>
    </row>
    <row r="179" spans="1:10" x14ac:dyDescent="0.35">
      <c r="A179">
        <v>15081</v>
      </c>
      <c r="B179" t="s">
        <v>31</v>
      </c>
      <c r="C179" t="s">
        <v>422</v>
      </c>
      <c r="D179" t="s">
        <v>92</v>
      </c>
      <c r="E179" t="s">
        <v>116</v>
      </c>
      <c r="F179" t="s">
        <v>244</v>
      </c>
      <c r="G179" s="39">
        <v>44942</v>
      </c>
      <c r="J179" t="s">
        <v>981</v>
      </c>
    </row>
    <row r="180" spans="1:10" x14ac:dyDescent="0.35">
      <c r="A180">
        <v>16798</v>
      </c>
      <c r="B180" t="s">
        <v>31</v>
      </c>
      <c r="C180" t="s">
        <v>422</v>
      </c>
      <c r="D180" t="s">
        <v>92</v>
      </c>
      <c r="E180" t="s">
        <v>112</v>
      </c>
      <c r="F180" t="s">
        <v>244</v>
      </c>
      <c r="G180" s="39">
        <v>45552</v>
      </c>
      <c r="J180" t="s">
        <v>981</v>
      </c>
    </row>
    <row r="181" spans="1:10" x14ac:dyDescent="0.35">
      <c r="A181">
        <v>16918</v>
      </c>
      <c r="B181" t="s">
        <v>31</v>
      </c>
      <c r="C181" t="s">
        <v>422</v>
      </c>
      <c r="D181" t="s">
        <v>92</v>
      </c>
      <c r="E181" t="s">
        <v>112</v>
      </c>
      <c r="F181" t="s">
        <v>244</v>
      </c>
      <c r="G181" s="39">
        <v>45568</v>
      </c>
      <c r="J181" t="s">
        <v>981</v>
      </c>
    </row>
    <row r="182" spans="1:10" x14ac:dyDescent="0.35">
      <c r="A182">
        <v>16452</v>
      </c>
      <c r="B182" t="s">
        <v>31</v>
      </c>
      <c r="C182" t="s">
        <v>422</v>
      </c>
      <c r="D182" t="s">
        <v>92</v>
      </c>
      <c r="E182" t="s">
        <v>112</v>
      </c>
      <c r="F182" t="s">
        <v>244</v>
      </c>
      <c r="G182" s="39">
        <v>45407</v>
      </c>
      <c r="J182" t="s">
        <v>981</v>
      </c>
    </row>
    <row r="183" spans="1:10" x14ac:dyDescent="0.35">
      <c r="A183">
        <v>16159</v>
      </c>
      <c r="B183" t="s">
        <v>31</v>
      </c>
      <c r="C183" t="s">
        <v>422</v>
      </c>
      <c r="D183" t="s">
        <v>92</v>
      </c>
      <c r="E183" t="s">
        <v>112</v>
      </c>
      <c r="F183" t="s">
        <v>244</v>
      </c>
      <c r="G183" s="39">
        <v>45301</v>
      </c>
      <c r="J183" t="s">
        <v>981</v>
      </c>
    </row>
    <row r="184" spans="1:10" x14ac:dyDescent="0.35">
      <c r="A184">
        <v>17482</v>
      </c>
      <c r="B184" t="s">
        <v>31</v>
      </c>
      <c r="C184" t="s">
        <v>422</v>
      </c>
      <c r="D184" t="s">
        <v>92</v>
      </c>
      <c r="E184" t="s">
        <v>112</v>
      </c>
      <c r="F184" t="s">
        <v>244</v>
      </c>
      <c r="G184" s="39">
        <v>45778</v>
      </c>
      <c r="J184" t="s">
        <v>981</v>
      </c>
    </row>
    <row r="185" spans="1:10" x14ac:dyDescent="0.35">
      <c r="A185">
        <v>18838</v>
      </c>
      <c r="B185" t="s">
        <v>31</v>
      </c>
      <c r="C185" t="s">
        <v>422</v>
      </c>
      <c r="D185" t="s">
        <v>92</v>
      </c>
      <c r="E185" t="s">
        <v>417</v>
      </c>
      <c r="F185" t="s">
        <v>244</v>
      </c>
      <c r="G185" s="39">
        <v>46227</v>
      </c>
      <c r="J185" t="s">
        <v>981</v>
      </c>
    </row>
    <row r="186" spans="1:10" x14ac:dyDescent="0.35">
      <c r="A186">
        <v>13424</v>
      </c>
      <c r="B186" t="s">
        <v>31</v>
      </c>
      <c r="C186" t="s">
        <v>119</v>
      </c>
      <c r="D186" t="s">
        <v>92</v>
      </c>
      <c r="E186" t="s">
        <v>101</v>
      </c>
      <c r="F186" t="s">
        <v>245</v>
      </c>
      <c r="G186" s="39">
        <v>44445</v>
      </c>
      <c r="J186" t="s">
        <v>981</v>
      </c>
    </row>
    <row r="187" spans="1:10" x14ac:dyDescent="0.35">
      <c r="A187">
        <v>18320</v>
      </c>
      <c r="B187" t="s">
        <v>31</v>
      </c>
      <c r="C187" t="s">
        <v>119</v>
      </c>
      <c r="D187" t="s">
        <v>92</v>
      </c>
      <c r="E187" t="s">
        <v>120</v>
      </c>
      <c r="F187" t="s">
        <v>244</v>
      </c>
      <c r="G187" s="39">
        <v>46084</v>
      </c>
      <c r="H187" t="s">
        <v>249</v>
      </c>
      <c r="J187" t="s">
        <v>981</v>
      </c>
    </row>
    <row r="188" spans="1:10" x14ac:dyDescent="0.35">
      <c r="A188">
        <v>12274</v>
      </c>
      <c r="B188" t="s">
        <v>31</v>
      </c>
      <c r="C188" t="s">
        <v>119</v>
      </c>
      <c r="D188" t="s">
        <v>92</v>
      </c>
      <c r="E188" t="s">
        <v>99</v>
      </c>
      <c r="F188" t="s">
        <v>244</v>
      </c>
      <c r="G188" s="39">
        <v>43658</v>
      </c>
      <c r="J188" t="s">
        <v>981</v>
      </c>
    </row>
    <row r="189" spans="1:10" x14ac:dyDescent="0.35">
      <c r="A189">
        <v>15986</v>
      </c>
      <c r="B189" t="s">
        <v>31</v>
      </c>
      <c r="C189" t="s">
        <v>119</v>
      </c>
      <c r="D189" t="s">
        <v>92</v>
      </c>
      <c r="E189" t="s">
        <v>112</v>
      </c>
      <c r="F189" t="s">
        <v>244</v>
      </c>
      <c r="G189" s="39">
        <v>45257</v>
      </c>
      <c r="J189" t="s">
        <v>981</v>
      </c>
    </row>
    <row r="190" spans="1:10" x14ac:dyDescent="0.35">
      <c r="A190">
        <v>11369</v>
      </c>
      <c r="B190" t="s">
        <v>31</v>
      </c>
      <c r="C190" t="s">
        <v>119</v>
      </c>
      <c r="D190" t="s">
        <v>92</v>
      </c>
      <c r="E190" t="s">
        <v>116</v>
      </c>
      <c r="F190" t="s">
        <v>244</v>
      </c>
      <c r="G190" s="39">
        <v>42600</v>
      </c>
      <c r="J190" t="s">
        <v>981</v>
      </c>
    </row>
    <row r="191" spans="1:10" x14ac:dyDescent="0.35">
      <c r="A191">
        <v>18225</v>
      </c>
      <c r="B191" t="s">
        <v>31</v>
      </c>
      <c r="C191" t="s">
        <v>119</v>
      </c>
      <c r="D191" t="s">
        <v>92</v>
      </c>
      <c r="E191" t="s">
        <v>112</v>
      </c>
      <c r="F191" t="s">
        <v>244</v>
      </c>
      <c r="G191" s="39">
        <v>46064</v>
      </c>
      <c r="J191" t="s">
        <v>981</v>
      </c>
    </row>
    <row r="192" spans="1:10" x14ac:dyDescent="0.35">
      <c r="A192">
        <v>18237</v>
      </c>
      <c r="B192" t="s">
        <v>31</v>
      </c>
      <c r="C192" t="s">
        <v>119</v>
      </c>
      <c r="D192" t="s">
        <v>92</v>
      </c>
      <c r="E192" t="s">
        <v>112</v>
      </c>
      <c r="F192" t="s">
        <v>244</v>
      </c>
      <c r="G192" s="39">
        <v>46070</v>
      </c>
      <c r="J192" t="s">
        <v>981</v>
      </c>
    </row>
    <row r="193" spans="1:10" x14ac:dyDescent="0.35">
      <c r="A193">
        <v>17942</v>
      </c>
      <c r="B193" t="s">
        <v>31</v>
      </c>
      <c r="C193" t="s">
        <v>119</v>
      </c>
      <c r="D193" t="s">
        <v>92</v>
      </c>
      <c r="E193" t="s">
        <v>417</v>
      </c>
      <c r="F193" t="s">
        <v>244</v>
      </c>
      <c r="G193" s="39">
        <v>45932</v>
      </c>
      <c r="J193" t="s">
        <v>981</v>
      </c>
    </row>
    <row r="194" spans="1:10" x14ac:dyDescent="0.35">
      <c r="A194">
        <v>17946</v>
      </c>
      <c r="B194" t="s">
        <v>31</v>
      </c>
      <c r="C194" t="s">
        <v>119</v>
      </c>
      <c r="D194" t="s">
        <v>92</v>
      </c>
      <c r="E194" t="s">
        <v>417</v>
      </c>
      <c r="F194" t="s">
        <v>244</v>
      </c>
      <c r="G194" s="39">
        <v>45932</v>
      </c>
      <c r="J194" t="s">
        <v>981</v>
      </c>
    </row>
    <row r="195" spans="1:10" x14ac:dyDescent="0.35">
      <c r="A195">
        <v>16804</v>
      </c>
      <c r="B195" t="s">
        <v>31</v>
      </c>
      <c r="C195" t="s">
        <v>119</v>
      </c>
      <c r="D195" t="s">
        <v>92</v>
      </c>
      <c r="E195" t="s">
        <v>417</v>
      </c>
      <c r="F195" t="s">
        <v>244</v>
      </c>
      <c r="G195" s="39">
        <v>45553</v>
      </c>
      <c r="J195" t="s">
        <v>981</v>
      </c>
    </row>
    <row r="196" spans="1:10" x14ac:dyDescent="0.35">
      <c r="A196">
        <v>10508</v>
      </c>
      <c r="B196" t="s">
        <v>31</v>
      </c>
      <c r="C196" t="s">
        <v>423</v>
      </c>
      <c r="D196" t="s">
        <v>92</v>
      </c>
      <c r="E196" t="s">
        <v>101</v>
      </c>
      <c r="F196" t="s">
        <v>244</v>
      </c>
      <c r="G196" s="39">
        <v>40969</v>
      </c>
      <c r="J196" t="s">
        <v>981</v>
      </c>
    </row>
    <row r="197" spans="1:10" x14ac:dyDescent="0.35">
      <c r="A197">
        <v>20004</v>
      </c>
      <c r="B197" t="s">
        <v>31</v>
      </c>
      <c r="C197" t="s">
        <v>423</v>
      </c>
      <c r="D197" t="s">
        <v>92</v>
      </c>
      <c r="E197" t="s">
        <v>99</v>
      </c>
      <c r="F197" t="s">
        <v>244</v>
      </c>
      <c r="G197" s="39">
        <v>36697</v>
      </c>
      <c r="J197" t="s">
        <v>981</v>
      </c>
    </row>
    <row r="198" spans="1:10" x14ac:dyDescent="0.35">
      <c r="A198">
        <v>16572</v>
      </c>
      <c r="B198" t="s">
        <v>31</v>
      </c>
      <c r="C198" t="s">
        <v>423</v>
      </c>
      <c r="D198" t="s">
        <v>92</v>
      </c>
      <c r="E198" t="s">
        <v>102</v>
      </c>
      <c r="F198" t="s">
        <v>411</v>
      </c>
      <c r="G198" s="39">
        <v>45474</v>
      </c>
      <c r="J198" t="s">
        <v>981</v>
      </c>
    </row>
    <row r="199" spans="1:10" x14ac:dyDescent="0.35">
      <c r="A199">
        <v>17621</v>
      </c>
      <c r="B199" t="s">
        <v>31</v>
      </c>
      <c r="C199" t="s">
        <v>423</v>
      </c>
      <c r="D199" t="s">
        <v>92</v>
      </c>
      <c r="E199" t="s">
        <v>424</v>
      </c>
      <c r="F199" t="s">
        <v>244</v>
      </c>
      <c r="G199" s="39">
        <v>45818</v>
      </c>
      <c r="J199" t="s">
        <v>981</v>
      </c>
    </row>
    <row r="200" spans="1:10" x14ac:dyDescent="0.35">
      <c r="A200">
        <v>230032</v>
      </c>
      <c r="B200" t="s">
        <v>31</v>
      </c>
      <c r="C200" t="s">
        <v>423</v>
      </c>
      <c r="D200" t="s">
        <v>92</v>
      </c>
      <c r="E200" t="s">
        <v>102</v>
      </c>
      <c r="F200" t="s">
        <v>411</v>
      </c>
      <c r="G200" s="39">
        <v>42709</v>
      </c>
      <c r="J200" t="s">
        <v>981</v>
      </c>
    </row>
    <row r="201" spans="1:10" x14ac:dyDescent="0.35">
      <c r="A201">
        <v>16438</v>
      </c>
      <c r="B201" t="s">
        <v>31</v>
      </c>
      <c r="C201" t="s">
        <v>423</v>
      </c>
      <c r="D201" t="s">
        <v>92</v>
      </c>
      <c r="E201" t="s">
        <v>424</v>
      </c>
      <c r="F201" t="s">
        <v>244</v>
      </c>
      <c r="G201" s="39">
        <v>45399</v>
      </c>
      <c r="J201" t="s">
        <v>981</v>
      </c>
    </row>
    <row r="202" spans="1:10" x14ac:dyDescent="0.35">
      <c r="A202">
        <v>127005</v>
      </c>
      <c r="B202" t="s">
        <v>31</v>
      </c>
      <c r="C202" t="s">
        <v>423</v>
      </c>
      <c r="D202" t="s">
        <v>92</v>
      </c>
      <c r="E202" t="s">
        <v>102</v>
      </c>
      <c r="F202" t="s">
        <v>244</v>
      </c>
      <c r="G202" s="39">
        <v>43815</v>
      </c>
      <c r="J202" t="s">
        <v>981</v>
      </c>
    </row>
    <row r="203" spans="1:10" x14ac:dyDescent="0.35">
      <c r="A203">
        <v>14185</v>
      </c>
      <c r="B203" t="s">
        <v>31</v>
      </c>
      <c r="C203" t="s">
        <v>423</v>
      </c>
      <c r="D203" t="s">
        <v>92</v>
      </c>
      <c r="E203" t="s">
        <v>102</v>
      </c>
      <c r="F203" t="s">
        <v>244</v>
      </c>
      <c r="G203" s="39">
        <v>44691</v>
      </c>
      <c r="J203" t="s">
        <v>981</v>
      </c>
    </row>
    <row r="204" spans="1:10" x14ac:dyDescent="0.35">
      <c r="A204">
        <v>270029</v>
      </c>
      <c r="B204" t="s">
        <v>31</v>
      </c>
      <c r="C204" t="s">
        <v>423</v>
      </c>
      <c r="D204" t="s">
        <v>92</v>
      </c>
      <c r="E204" t="s">
        <v>103</v>
      </c>
      <c r="F204" t="s">
        <v>244</v>
      </c>
      <c r="G204" s="39">
        <v>42150</v>
      </c>
      <c r="J204" t="s">
        <v>981</v>
      </c>
    </row>
    <row r="205" spans="1:10" x14ac:dyDescent="0.35">
      <c r="A205">
        <v>17962</v>
      </c>
      <c r="B205" t="s">
        <v>67</v>
      </c>
      <c r="C205" t="s">
        <v>92</v>
      </c>
      <c r="D205" t="s">
        <v>92</v>
      </c>
      <c r="E205" t="s">
        <v>110</v>
      </c>
      <c r="F205" t="s">
        <v>244</v>
      </c>
      <c r="G205" s="39">
        <v>45936</v>
      </c>
      <c r="J205" t="s">
        <v>981</v>
      </c>
    </row>
    <row r="206" spans="1:10" x14ac:dyDescent="0.35">
      <c r="A206">
        <v>13718</v>
      </c>
      <c r="B206" t="s">
        <v>67</v>
      </c>
      <c r="C206" t="s">
        <v>92</v>
      </c>
      <c r="D206" t="s">
        <v>92</v>
      </c>
      <c r="E206" t="s">
        <v>100</v>
      </c>
      <c r="F206" t="s">
        <v>244</v>
      </c>
      <c r="G206" s="39">
        <v>44545</v>
      </c>
      <c r="J206" t="s">
        <v>981</v>
      </c>
    </row>
    <row r="207" spans="1:10" x14ac:dyDescent="0.35">
      <c r="A207">
        <v>18189</v>
      </c>
      <c r="B207" t="s">
        <v>67</v>
      </c>
      <c r="C207" t="s">
        <v>92</v>
      </c>
      <c r="D207" t="s">
        <v>92</v>
      </c>
      <c r="E207" t="s">
        <v>99</v>
      </c>
      <c r="F207" t="s">
        <v>244</v>
      </c>
      <c r="G207" s="39">
        <v>46041</v>
      </c>
      <c r="J207" t="s">
        <v>981</v>
      </c>
    </row>
    <row r="208" spans="1:10" x14ac:dyDescent="0.35">
      <c r="A208">
        <v>12008</v>
      </c>
      <c r="B208" t="s">
        <v>67</v>
      </c>
      <c r="C208" t="s">
        <v>427</v>
      </c>
      <c r="D208" t="s">
        <v>92</v>
      </c>
      <c r="E208" t="s">
        <v>98</v>
      </c>
      <c r="F208" t="s">
        <v>244</v>
      </c>
      <c r="G208" s="39">
        <v>43383</v>
      </c>
      <c r="J208" t="s">
        <v>982</v>
      </c>
    </row>
    <row r="209" spans="1:10" x14ac:dyDescent="0.35">
      <c r="A209">
        <v>12966</v>
      </c>
      <c r="B209" t="s">
        <v>67</v>
      </c>
      <c r="C209" t="s">
        <v>429</v>
      </c>
      <c r="D209" t="s">
        <v>92</v>
      </c>
      <c r="E209" t="s">
        <v>101</v>
      </c>
      <c r="F209" t="s">
        <v>244</v>
      </c>
      <c r="G209" s="39">
        <v>44152</v>
      </c>
      <c r="J209" t="s">
        <v>981</v>
      </c>
    </row>
    <row r="210" spans="1:10" x14ac:dyDescent="0.35">
      <c r="A210">
        <v>18042</v>
      </c>
      <c r="B210" t="s">
        <v>67</v>
      </c>
      <c r="C210" t="s">
        <v>429</v>
      </c>
      <c r="D210" t="s">
        <v>92</v>
      </c>
      <c r="E210" t="s">
        <v>102</v>
      </c>
      <c r="F210" t="s">
        <v>244</v>
      </c>
      <c r="G210" s="39">
        <v>45974</v>
      </c>
      <c r="J210" t="s">
        <v>981</v>
      </c>
    </row>
    <row r="211" spans="1:10" x14ac:dyDescent="0.35">
      <c r="A211">
        <v>18053</v>
      </c>
      <c r="B211" t="s">
        <v>67</v>
      </c>
      <c r="C211" t="s">
        <v>429</v>
      </c>
      <c r="D211" t="s">
        <v>92</v>
      </c>
      <c r="E211" t="s">
        <v>103</v>
      </c>
      <c r="F211" t="s">
        <v>244</v>
      </c>
      <c r="G211" s="39">
        <v>45978</v>
      </c>
      <c r="J211" t="s">
        <v>981</v>
      </c>
    </row>
    <row r="212" spans="1:10" x14ac:dyDescent="0.35">
      <c r="A212">
        <v>11449</v>
      </c>
      <c r="B212" t="s">
        <v>67</v>
      </c>
      <c r="C212" t="s">
        <v>430</v>
      </c>
      <c r="D212" t="s">
        <v>92</v>
      </c>
      <c r="E212" t="s">
        <v>101</v>
      </c>
      <c r="F212" t="s">
        <v>244</v>
      </c>
      <c r="G212" s="39">
        <v>42709</v>
      </c>
      <c r="J212" t="s">
        <v>981</v>
      </c>
    </row>
    <row r="213" spans="1:10" x14ac:dyDescent="0.35">
      <c r="A213">
        <v>10229</v>
      </c>
      <c r="B213" t="s">
        <v>67</v>
      </c>
      <c r="C213" t="s">
        <v>430</v>
      </c>
      <c r="D213" t="s">
        <v>92</v>
      </c>
      <c r="E213" t="s">
        <v>109</v>
      </c>
      <c r="F213" t="s">
        <v>244</v>
      </c>
      <c r="G213" s="39">
        <v>37146</v>
      </c>
      <c r="J213" t="s">
        <v>981</v>
      </c>
    </row>
    <row r="214" spans="1:10" x14ac:dyDescent="0.35">
      <c r="A214">
        <v>15195</v>
      </c>
      <c r="B214" t="s">
        <v>67</v>
      </c>
      <c r="C214" t="s">
        <v>430</v>
      </c>
      <c r="D214" t="s">
        <v>92</v>
      </c>
      <c r="E214" t="s">
        <v>99</v>
      </c>
      <c r="F214" t="s">
        <v>244</v>
      </c>
      <c r="G214" s="39">
        <v>44981</v>
      </c>
      <c r="J214" t="s">
        <v>981</v>
      </c>
    </row>
    <row r="215" spans="1:10" x14ac:dyDescent="0.35">
      <c r="A215">
        <v>15339</v>
      </c>
      <c r="B215" t="s">
        <v>67</v>
      </c>
      <c r="C215" t="s">
        <v>430</v>
      </c>
      <c r="D215" t="s">
        <v>92</v>
      </c>
      <c r="E215" t="s">
        <v>102</v>
      </c>
      <c r="F215" t="s">
        <v>244</v>
      </c>
      <c r="G215" s="39">
        <v>45033</v>
      </c>
      <c r="J215" t="s">
        <v>981</v>
      </c>
    </row>
    <row r="216" spans="1:10" x14ac:dyDescent="0.35">
      <c r="A216">
        <v>14186</v>
      </c>
      <c r="B216" t="s">
        <v>67</v>
      </c>
      <c r="C216" t="s">
        <v>430</v>
      </c>
      <c r="D216" t="s">
        <v>92</v>
      </c>
      <c r="E216" t="s">
        <v>102</v>
      </c>
      <c r="F216" t="s">
        <v>244</v>
      </c>
      <c r="G216" s="39">
        <v>44691</v>
      </c>
      <c r="J216" t="s">
        <v>981</v>
      </c>
    </row>
    <row r="217" spans="1:10" x14ac:dyDescent="0.35">
      <c r="A217">
        <v>12886</v>
      </c>
      <c r="B217" t="s">
        <v>67</v>
      </c>
      <c r="C217" t="s">
        <v>431</v>
      </c>
      <c r="D217" t="s">
        <v>92</v>
      </c>
      <c r="E217" t="s">
        <v>101</v>
      </c>
      <c r="F217" t="s">
        <v>244</v>
      </c>
      <c r="G217" s="39">
        <v>44075</v>
      </c>
      <c r="J217" t="s">
        <v>981</v>
      </c>
    </row>
    <row r="218" spans="1:10" x14ac:dyDescent="0.35">
      <c r="A218">
        <v>14919</v>
      </c>
      <c r="B218" t="s">
        <v>67</v>
      </c>
      <c r="C218" t="s">
        <v>431</v>
      </c>
      <c r="D218" t="s">
        <v>92</v>
      </c>
      <c r="E218" t="s">
        <v>109</v>
      </c>
      <c r="F218" t="s">
        <v>244</v>
      </c>
      <c r="G218" s="39">
        <v>44896</v>
      </c>
      <c r="J218" t="s">
        <v>981</v>
      </c>
    </row>
    <row r="219" spans="1:10" x14ac:dyDescent="0.35">
      <c r="A219">
        <v>14021</v>
      </c>
      <c r="B219" t="s">
        <v>67</v>
      </c>
      <c r="C219" t="s">
        <v>431</v>
      </c>
      <c r="D219" t="s">
        <v>92</v>
      </c>
      <c r="E219" t="s">
        <v>102</v>
      </c>
      <c r="F219" t="s">
        <v>244</v>
      </c>
      <c r="G219" s="39">
        <v>44629</v>
      </c>
      <c r="J219" t="s">
        <v>981</v>
      </c>
    </row>
    <row r="220" spans="1:10" x14ac:dyDescent="0.35">
      <c r="A220">
        <v>11818</v>
      </c>
      <c r="B220" t="s">
        <v>67</v>
      </c>
      <c r="C220" t="s">
        <v>432</v>
      </c>
      <c r="D220" t="s">
        <v>92</v>
      </c>
      <c r="E220" t="s">
        <v>101</v>
      </c>
      <c r="F220" t="s">
        <v>244</v>
      </c>
      <c r="G220" s="39">
        <v>43160</v>
      </c>
      <c r="J220" t="s">
        <v>981</v>
      </c>
    </row>
    <row r="221" spans="1:10" x14ac:dyDescent="0.35">
      <c r="A221">
        <v>12126</v>
      </c>
      <c r="B221" t="s">
        <v>67</v>
      </c>
      <c r="C221" t="s">
        <v>432</v>
      </c>
      <c r="D221" t="s">
        <v>92</v>
      </c>
      <c r="E221" t="s">
        <v>99</v>
      </c>
      <c r="F221" t="s">
        <v>244</v>
      </c>
      <c r="G221" s="39">
        <v>43501</v>
      </c>
      <c r="J221" t="s">
        <v>981</v>
      </c>
    </row>
    <row r="222" spans="1:10" x14ac:dyDescent="0.35">
      <c r="A222">
        <v>10877</v>
      </c>
      <c r="B222" t="s">
        <v>67</v>
      </c>
      <c r="C222" t="s">
        <v>432</v>
      </c>
      <c r="D222" t="s">
        <v>92</v>
      </c>
      <c r="E222" t="s">
        <v>109</v>
      </c>
      <c r="F222" t="s">
        <v>244</v>
      </c>
      <c r="G222" s="39">
        <v>42053</v>
      </c>
      <c r="J222" t="s">
        <v>981</v>
      </c>
    </row>
    <row r="223" spans="1:10" x14ac:dyDescent="0.35">
      <c r="A223">
        <v>14067</v>
      </c>
      <c r="B223" t="s">
        <v>67</v>
      </c>
      <c r="C223" t="s">
        <v>432</v>
      </c>
      <c r="D223" t="s">
        <v>92</v>
      </c>
      <c r="E223" t="s">
        <v>102</v>
      </c>
      <c r="F223" t="s">
        <v>244</v>
      </c>
      <c r="G223" s="39">
        <v>44638</v>
      </c>
      <c r="J223" t="s">
        <v>981</v>
      </c>
    </row>
    <row r="224" spans="1:10" x14ac:dyDescent="0.35">
      <c r="A224">
        <v>17339</v>
      </c>
      <c r="B224" t="s">
        <v>67</v>
      </c>
      <c r="C224" t="s">
        <v>432</v>
      </c>
      <c r="D224" t="s">
        <v>92</v>
      </c>
      <c r="E224" t="s">
        <v>103</v>
      </c>
      <c r="F224" t="s">
        <v>244</v>
      </c>
      <c r="G224" s="39">
        <v>45712</v>
      </c>
      <c r="J224" t="s">
        <v>981</v>
      </c>
    </row>
    <row r="225" spans="1:10" x14ac:dyDescent="0.35">
      <c r="A225">
        <v>10601</v>
      </c>
      <c r="B225" t="s">
        <v>47</v>
      </c>
      <c r="C225" t="s">
        <v>92</v>
      </c>
      <c r="D225" t="s">
        <v>92</v>
      </c>
      <c r="E225" t="s">
        <v>110</v>
      </c>
      <c r="F225" t="s">
        <v>244</v>
      </c>
      <c r="G225" s="39">
        <v>41463</v>
      </c>
      <c r="J225" t="s">
        <v>981</v>
      </c>
    </row>
    <row r="226" spans="1:10" x14ac:dyDescent="0.35">
      <c r="A226">
        <v>10605</v>
      </c>
      <c r="B226" t="s">
        <v>47</v>
      </c>
      <c r="C226" t="s">
        <v>92</v>
      </c>
      <c r="D226" t="s">
        <v>92</v>
      </c>
      <c r="E226" t="s">
        <v>100</v>
      </c>
      <c r="F226" t="s">
        <v>244</v>
      </c>
      <c r="G226" s="39">
        <v>41473</v>
      </c>
      <c r="J226" t="s">
        <v>981</v>
      </c>
    </row>
    <row r="227" spans="1:10" x14ac:dyDescent="0.35">
      <c r="A227">
        <v>16743</v>
      </c>
      <c r="B227" t="s">
        <v>47</v>
      </c>
      <c r="C227" t="s">
        <v>92</v>
      </c>
      <c r="D227" t="s">
        <v>92</v>
      </c>
      <c r="E227" t="s">
        <v>100</v>
      </c>
      <c r="F227" t="s">
        <v>244</v>
      </c>
      <c r="G227" s="39">
        <v>45537</v>
      </c>
      <c r="J227" t="s">
        <v>981</v>
      </c>
    </row>
    <row r="228" spans="1:10" x14ac:dyDescent="0.35">
      <c r="A228">
        <v>19122</v>
      </c>
      <c r="B228" t="s">
        <v>47</v>
      </c>
      <c r="C228" t="s">
        <v>92</v>
      </c>
      <c r="D228" t="s">
        <v>92</v>
      </c>
      <c r="E228" t="s">
        <v>100</v>
      </c>
      <c r="F228" t="s">
        <v>244</v>
      </c>
      <c r="G228" s="39">
        <v>46273</v>
      </c>
      <c r="J228" t="s">
        <v>981</v>
      </c>
    </row>
    <row r="229" spans="1:10" x14ac:dyDescent="0.35">
      <c r="A229">
        <v>15361</v>
      </c>
      <c r="B229" t="s">
        <v>47</v>
      </c>
      <c r="C229" t="s">
        <v>121</v>
      </c>
      <c r="D229" t="s">
        <v>92</v>
      </c>
      <c r="E229" t="s">
        <v>109</v>
      </c>
      <c r="F229" t="s">
        <v>244</v>
      </c>
      <c r="G229" s="39">
        <v>45048</v>
      </c>
      <c r="J229" t="s">
        <v>981</v>
      </c>
    </row>
    <row r="230" spans="1:10" x14ac:dyDescent="0.35">
      <c r="A230">
        <v>10690</v>
      </c>
      <c r="B230" t="s">
        <v>47</v>
      </c>
      <c r="C230" t="s">
        <v>121</v>
      </c>
      <c r="D230" t="s">
        <v>92</v>
      </c>
      <c r="E230" t="s">
        <v>102</v>
      </c>
      <c r="F230" t="s">
        <v>244</v>
      </c>
      <c r="G230" s="39">
        <v>41640</v>
      </c>
      <c r="J230" t="s">
        <v>981</v>
      </c>
    </row>
    <row r="231" spans="1:10" x14ac:dyDescent="0.35">
      <c r="A231">
        <v>10501</v>
      </c>
      <c r="B231" t="s">
        <v>47</v>
      </c>
      <c r="C231" t="s">
        <v>121</v>
      </c>
      <c r="D231" t="s">
        <v>92</v>
      </c>
      <c r="E231" t="s">
        <v>122</v>
      </c>
      <c r="F231" t="s">
        <v>244</v>
      </c>
      <c r="G231" s="39">
        <v>40913</v>
      </c>
      <c r="J231" t="s">
        <v>981</v>
      </c>
    </row>
    <row r="232" spans="1:10" x14ac:dyDescent="0.35">
      <c r="A232">
        <v>10059</v>
      </c>
      <c r="B232" t="s">
        <v>47</v>
      </c>
      <c r="C232" t="s">
        <v>121</v>
      </c>
      <c r="D232" t="s">
        <v>92</v>
      </c>
      <c r="E232" t="s">
        <v>122</v>
      </c>
      <c r="F232" t="s">
        <v>244</v>
      </c>
      <c r="G232" s="39">
        <v>36735</v>
      </c>
      <c r="J232" t="s">
        <v>981</v>
      </c>
    </row>
    <row r="233" spans="1:10" x14ac:dyDescent="0.35">
      <c r="A233">
        <v>10063</v>
      </c>
      <c r="B233" t="s">
        <v>47</v>
      </c>
      <c r="C233" t="s">
        <v>121</v>
      </c>
      <c r="D233" t="s">
        <v>92</v>
      </c>
      <c r="E233" t="s">
        <v>122</v>
      </c>
      <c r="F233" t="s">
        <v>244</v>
      </c>
      <c r="G233" s="39">
        <v>37971</v>
      </c>
      <c r="J233" t="s">
        <v>981</v>
      </c>
    </row>
    <row r="234" spans="1:10" x14ac:dyDescent="0.35">
      <c r="A234">
        <v>17518</v>
      </c>
      <c r="B234" t="s">
        <v>47</v>
      </c>
      <c r="C234" t="s">
        <v>121</v>
      </c>
      <c r="D234" t="s">
        <v>92</v>
      </c>
      <c r="E234" t="s">
        <v>122</v>
      </c>
      <c r="F234" t="s">
        <v>244</v>
      </c>
      <c r="G234" s="39">
        <v>45783</v>
      </c>
      <c r="J234" t="s">
        <v>981</v>
      </c>
    </row>
    <row r="235" spans="1:10" x14ac:dyDescent="0.35">
      <c r="A235">
        <v>17565</v>
      </c>
      <c r="B235" t="s">
        <v>47</v>
      </c>
      <c r="C235" t="s">
        <v>121</v>
      </c>
      <c r="D235" t="s">
        <v>92</v>
      </c>
      <c r="E235" t="s">
        <v>122</v>
      </c>
      <c r="F235" t="s">
        <v>244</v>
      </c>
      <c r="G235" s="39">
        <v>45796</v>
      </c>
      <c r="J235" t="s">
        <v>981</v>
      </c>
    </row>
    <row r="236" spans="1:10" x14ac:dyDescent="0.35">
      <c r="A236">
        <v>17580</v>
      </c>
      <c r="B236" t="s">
        <v>47</v>
      </c>
      <c r="C236" t="s">
        <v>121</v>
      </c>
      <c r="D236" t="s">
        <v>92</v>
      </c>
      <c r="E236" t="s">
        <v>122</v>
      </c>
      <c r="F236" t="s">
        <v>244</v>
      </c>
      <c r="G236" s="39">
        <v>45797</v>
      </c>
      <c r="J236" t="s">
        <v>981</v>
      </c>
    </row>
    <row r="237" spans="1:10" x14ac:dyDescent="0.35">
      <c r="A237">
        <v>17590</v>
      </c>
      <c r="B237" t="s">
        <v>47</v>
      </c>
      <c r="C237" t="s">
        <v>121</v>
      </c>
      <c r="D237" t="s">
        <v>92</v>
      </c>
      <c r="E237" t="s">
        <v>122</v>
      </c>
      <c r="F237" t="s">
        <v>244</v>
      </c>
      <c r="G237" s="39">
        <v>45803</v>
      </c>
      <c r="J237" t="s">
        <v>981</v>
      </c>
    </row>
    <row r="238" spans="1:10" x14ac:dyDescent="0.35">
      <c r="A238">
        <v>10064</v>
      </c>
      <c r="B238" t="s">
        <v>47</v>
      </c>
      <c r="C238" t="s">
        <v>121</v>
      </c>
      <c r="D238" t="s">
        <v>92</v>
      </c>
      <c r="E238" t="s">
        <v>122</v>
      </c>
      <c r="F238" t="s">
        <v>244</v>
      </c>
      <c r="G238" s="39">
        <v>37935</v>
      </c>
      <c r="J238" t="s">
        <v>981</v>
      </c>
    </row>
    <row r="239" spans="1:10" x14ac:dyDescent="0.35">
      <c r="A239">
        <v>10691</v>
      </c>
      <c r="B239" t="s">
        <v>47</v>
      </c>
      <c r="C239" t="s">
        <v>121</v>
      </c>
      <c r="D239" t="s">
        <v>92</v>
      </c>
      <c r="E239" t="s">
        <v>122</v>
      </c>
      <c r="F239" t="s">
        <v>244</v>
      </c>
      <c r="G239" s="39">
        <v>41640</v>
      </c>
      <c r="J239" t="s">
        <v>981</v>
      </c>
    </row>
    <row r="240" spans="1:10" x14ac:dyDescent="0.35">
      <c r="A240">
        <v>10692</v>
      </c>
      <c r="B240" t="s">
        <v>47</v>
      </c>
      <c r="C240" t="s">
        <v>121</v>
      </c>
      <c r="D240" t="s">
        <v>92</v>
      </c>
      <c r="E240" t="s">
        <v>122</v>
      </c>
      <c r="F240" t="s">
        <v>244</v>
      </c>
      <c r="G240" s="39">
        <v>41640</v>
      </c>
      <c r="J240" t="s">
        <v>981</v>
      </c>
    </row>
    <row r="241" spans="1:10" x14ac:dyDescent="0.35">
      <c r="A241">
        <v>17894</v>
      </c>
      <c r="B241" t="s">
        <v>47</v>
      </c>
      <c r="C241" t="s">
        <v>121</v>
      </c>
      <c r="D241" t="s">
        <v>92</v>
      </c>
      <c r="E241" t="s">
        <v>122</v>
      </c>
      <c r="F241" t="s">
        <v>244</v>
      </c>
      <c r="G241" s="39">
        <v>45905</v>
      </c>
      <c r="J241" t="s">
        <v>981</v>
      </c>
    </row>
    <row r="242" spans="1:10" x14ac:dyDescent="0.35">
      <c r="A242">
        <v>10693</v>
      </c>
      <c r="B242" t="s">
        <v>47</v>
      </c>
      <c r="C242" t="s">
        <v>121</v>
      </c>
      <c r="D242" t="s">
        <v>92</v>
      </c>
      <c r="E242" t="s">
        <v>122</v>
      </c>
      <c r="F242" t="s">
        <v>244</v>
      </c>
      <c r="G242" s="39">
        <v>41640</v>
      </c>
      <c r="J242" t="s">
        <v>981</v>
      </c>
    </row>
    <row r="243" spans="1:10" x14ac:dyDescent="0.35">
      <c r="A243">
        <v>10885</v>
      </c>
      <c r="B243" t="s">
        <v>47</v>
      </c>
      <c r="C243" t="s">
        <v>121</v>
      </c>
      <c r="D243" t="s">
        <v>92</v>
      </c>
      <c r="E243" t="s">
        <v>122</v>
      </c>
      <c r="F243" t="s">
        <v>244</v>
      </c>
      <c r="G243" s="39">
        <v>42075</v>
      </c>
      <c r="J243" t="s">
        <v>981</v>
      </c>
    </row>
    <row r="244" spans="1:10" x14ac:dyDescent="0.35">
      <c r="A244">
        <v>11144</v>
      </c>
      <c r="B244" t="s">
        <v>47</v>
      </c>
      <c r="C244" t="s">
        <v>121</v>
      </c>
      <c r="D244" t="s">
        <v>92</v>
      </c>
      <c r="E244" t="s">
        <v>122</v>
      </c>
      <c r="F244" t="s">
        <v>244</v>
      </c>
      <c r="G244" s="39">
        <v>42320</v>
      </c>
      <c r="J244" t="s">
        <v>981</v>
      </c>
    </row>
    <row r="245" spans="1:10" x14ac:dyDescent="0.35">
      <c r="A245">
        <v>11268</v>
      </c>
      <c r="B245" t="s">
        <v>47</v>
      </c>
      <c r="C245" t="s">
        <v>121</v>
      </c>
      <c r="D245" t="s">
        <v>92</v>
      </c>
      <c r="E245" t="s">
        <v>122</v>
      </c>
      <c r="F245" t="s">
        <v>244</v>
      </c>
      <c r="G245" s="39">
        <v>42471</v>
      </c>
      <c r="J245" t="s">
        <v>981</v>
      </c>
    </row>
    <row r="246" spans="1:10" x14ac:dyDescent="0.35">
      <c r="A246">
        <v>300025</v>
      </c>
      <c r="B246" t="s">
        <v>47</v>
      </c>
      <c r="C246" t="s">
        <v>121</v>
      </c>
      <c r="D246" t="s">
        <v>92</v>
      </c>
      <c r="E246" t="s">
        <v>122</v>
      </c>
      <c r="F246" t="s">
        <v>244</v>
      </c>
      <c r="G246" s="39">
        <v>41334</v>
      </c>
      <c r="J246" t="s">
        <v>981</v>
      </c>
    </row>
    <row r="247" spans="1:10" x14ac:dyDescent="0.35">
      <c r="A247">
        <v>11734</v>
      </c>
      <c r="B247" t="s">
        <v>47</v>
      </c>
      <c r="C247" t="s">
        <v>121</v>
      </c>
      <c r="D247" t="s">
        <v>92</v>
      </c>
      <c r="E247" t="s">
        <v>122</v>
      </c>
      <c r="F247" t="s">
        <v>244</v>
      </c>
      <c r="G247" s="39">
        <v>43070</v>
      </c>
      <c r="J247" t="s">
        <v>981</v>
      </c>
    </row>
    <row r="248" spans="1:10" x14ac:dyDescent="0.35">
      <c r="A248">
        <v>11883</v>
      </c>
      <c r="B248" t="s">
        <v>47</v>
      </c>
      <c r="C248" t="s">
        <v>121</v>
      </c>
      <c r="D248" t="s">
        <v>92</v>
      </c>
      <c r="E248" t="s">
        <v>122</v>
      </c>
      <c r="F248" t="s">
        <v>244</v>
      </c>
      <c r="G248" s="39">
        <v>43242</v>
      </c>
      <c r="J248" t="s">
        <v>981</v>
      </c>
    </row>
    <row r="249" spans="1:10" x14ac:dyDescent="0.35">
      <c r="A249">
        <v>11912</v>
      </c>
      <c r="B249" t="s">
        <v>47</v>
      </c>
      <c r="C249" t="s">
        <v>121</v>
      </c>
      <c r="D249" t="s">
        <v>92</v>
      </c>
      <c r="E249" t="s">
        <v>122</v>
      </c>
      <c r="F249" t="s">
        <v>244</v>
      </c>
      <c r="G249" s="39">
        <v>43265</v>
      </c>
      <c r="J249" t="s">
        <v>981</v>
      </c>
    </row>
    <row r="250" spans="1:10" x14ac:dyDescent="0.35">
      <c r="A250">
        <v>11953</v>
      </c>
      <c r="B250" t="s">
        <v>47</v>
      </c>
      <c r="C250" t="s">
        <v>121</v>
      </c>
      <c r="D250" t="s">
        <v>92</v>
      </c>
      <c r="E250" t="s">
        <v>122</v>
      </c>
      <c r="F250" t="s">
        <v>244</v>
      </c>
      <c r="G250" s="39">
        <v>43326</v>
      </c>
      <c r="J250" t="s">
        <v>981</v>
      </c>
    </row>
    <row r="251" spans="1:10" x14ac:dyDescent="0.35">
      <c r="A251">
        <v>12199</v>
      </c>
      <c r="B251" t="s">
        <v>47</v>
      </c>
      <c r="C251" t="s">
        <v>121</v>
      </c>
      <c r="D251" t="s">
        <v>92</v>
      </c>
      <c r="E251" t="s">
        <v>122</v>
      </c>
      <c r="F251" t="s">
        <v>244</v>
      </c>
      <c r="G251" s="39">
        <v>43573</v>
      </c>
      <c r="J251" t="s">
        <v>981</v>
      </c>
    </row>
    <row r="252" spans="1:10" x14ac:dyDescent="0.35">
      <c r="A252">
        <v>12688</v>
      </c>
      <c r="B252" t="s">
        <v>47</v>
      </c>
      <c r="C252" t="s">
        <v>121</v>
      </c>
      <c r="D252" t="s">
        <v>92</v>
      </c>
      <c r="E252" t="s">
        <v>122</v>
      </c>
      <c r="F252" t="s">
        <v>244</v>
      </c>
      <c r="G252" s="39">
        <v>43866</v>
      </c>
      <c r="J252" t="s">
        <v>981</v>
      </c>
    </row>
    <row r="253" spans="1:10" x14ac:dyDescent="0.35">
      <c r="A253">
        <v>12760</v>
      </c>
      <c r="B253" t="s">
        <v>47</v>
      </c>
      <c r="C253" t="s">
        <v>121</v>
      </c>
      <c r="D253" t="s">
        <v>92</v>
      </c>
      <c r="E253" t="s">
        <v>122</v>
      </c>
      <c r="F253" t="s">
        <v>244</v>
      </c>
      <c r="G253" s="39">
        <v>43900</v>
      </c>
      <c r="J253" t="s">
        <v>981</v>
      </c>
    </row>
    <row r="254" spans="1:10" x14ac:dyDescent="0.35">
      <c r="A254">
        <v>12836</v>
      </c>
      <c r="B254" t="s">
        <v>47</v>
      </c>
      <c r="C254" t="s">
        <v>121</v>
      </c>
      <c r="D254" t="s">
        <v>92</v>
      </c>
      <c r="E254" t="s">
        <v>122</v>
      </c>
      <c r="F254" t="s">
        <v>244</v>
      </c>
      <c r="G254" s="39">
        <v>44005</v>
      </c>
      <c r="J254" t="s">
        <v>981</v>
      </c>
    </row>
    <row r="255" spans="1:10" x14ac:dyDescent="0.35">
      <c r="A255">
        <v>14354</v>
      </c>
      <c r="B255" t="s">
        <v>47</v>
      </c>
      <c r="C255" t="s">
        <v>121</v>
      </c>
      <c r="D255" t="s">
        <v>92</v>
      </c>
      <c r="E255" t="s">
        <v>122</v>
      </c>
      <c r="F255" t="s">
        <v>244</v>
      </c>
      <c r="G255" s="39">
        <v>44743</v>
      </c>
      <c r="J255" t="s">
        <v>981</v>
      </c>
    </row>
    <row r="256" spans="1:10" x14ac:dyDescent="0.35">
      <c r="A256">
        <v>15813</v>
      </c>
      <c r="B256" t="s">
        <v>47</v>
      </c>
      <c r="C256" t="s">
        <v>121</v>
      </c>
      <c r="D256" t="s">
        <v>92</v>
      </c>
      <c r="E256" t="s">
        <v>122</v>
      </c>
      <c r="F256" t="s">
        <v>244</v>
      </c>
      <c r="G256" s="39">
        <v>45203</v>
      </c>
      <c r="J256" t="s">
        <v>981</v>
      </c>
    </row>
    <row r="257" spans="1:10" x14ac:dyDescent="0.35">
      <c r="A257">
        <v>15897</v>
      </c>
      <c r="B257" t="s">
        <v>47</v>
      </c>
      <c r="C257" t="s">
        <v>121</v>
      </c>
      <c r="D257" t="s">
        <v>92</v>
      </c>
      <c r="E257" t="s">
        <v>122</v>
      </c>
      <c r="F257" t="s">
        <v>244</v>
      </c>
      <c r="G257" s="39">
        <v>45233</v>
      </c>
      <c r="J257" t="s">
        <v>981</v>
      </c>
    </row>
    <row r="258" spans="1:10" x14ac:dyDescent="0.35">
      <c r="A258">
        <v>16117</v>
      </c>
      <c r="B258" t="s">
        <v>47</v>
      </c>
      <c r="C258" t="s">
        <v>121</v>
      </c>
      <c r="D258" t="s">
        <v>92</v>
      </c>
      <c r="E258" t="s">
        <v>122</v>
      </c>
      <c r="F258" t="s">
        <v>244</v>
      </c>
      <c r="G258" s="39">
        <v>45286</v>
      </c>
      <c r="J258" t="s">
        <v>981</v>
      </c>
    </row>
    <row r="259" spans="1:10" x14ac:dyDescent="0.35">
      <c r="A259">
        <v>16293</v>
      </c>
      <c r="B259" t="s">
        <v>47</v>
      </c>
      <c r="C259" t="s">
        <v>121</v>
      </c>
      <c r="D259" t="s">
        <v>92</v>
      </c>
      <c r="E259" t="s">
        <v>122</v>
      </c>
      <c r="F259" t="s">
        <v>244</v>
      </c>
      <c r="G259" s="39">
        <v>45352</v>
      </c>
      <c r="J259" t="s">
        <v>981</v>
      </c>
    </row>
    <row r="260" spans="1:10" x14ac:dyDescent="0.35">
      <c r="A260">
        <v>17349</v>
      </c>
      <c r="B260" t="s">
        <v>47</v>
      </c>
      <c r="C260" t="s">
        <v>121</v>
      </c>
      <c r="D260" t="s">
        <v>92</v>
      </c>
      <c r="E260" t="s">
        <v>122</v>
      </c>
      <c r="F260" t="s">
        <v>244</v>
      </c>
      <c r="G260" s="39">
        <v>45714</v>
      </c>
      <c r="J260" t="s">
        <v>981</v>
      </c>
    </row>
    <row r="261" spans="1:10" x14ac:dyDescent="0.35">
      <c r="A261">
        <v>17350</v>
      </c>
      <c r="B261" t="s">
        <v>47</v>
      </c>
      <c r="C261" t="s">
        <v>121</v>
      </c>
      <c r="D261" t="s">
        <v>92</v>
      </c>
      <c r="E261" t="s">
        <v>122</v>
      </c>
      <c r="F261" t="s">
        <v>244</v>
      </c>
      <c r="G261" s="39">
        <v>45714</v>
      </c>
      <c r="J261" t="s">
        <v>981</v>
      </c>
    </row>
    <row r="262" spans="1:10" x14ac:dyDescent="0.35">
      <c r="A262">
        <v>17351</v>
      </c>
      <c r="B262" t="s">
        <v>47</v>
      </c>
      <c r="C262" t="s">
        <v>121</v>
      </c>
      <c r="D262" t="s">
        <v>92</v>
      </c>
      <c r="E262" t="s">
        <v>122</v>
      </c>
      <c r="F262" t="s">
        <v>244</v>
      </c>
      <c r="G262" s="39">
        <v>45714</v>
      </c>
      <c r="J262" t="s">
        <v>981</v>
      </c>
    </row>
    <row r="263" spans="1:10" x14ac:dyDescent="0.35">
      <c r="A263">
        <v>206001</v>
      </c>
      <c r="B263" t="s">
        <v>47</v>
      </c>
      <c r="C263" t="s">
        <v>433</v>
      </c>
      <c r="D263" t="s">
        <v>92</v>
      </c>
      <c r="E263" t="s">
        <v>122</v>
      </c>
      <c r="F263" t="s">
        <v>244</v>
      </c>
      <c r="G263" s="39">
        <v>43452</v>
      </c>
      <c r="J263" t="s">
        <v>981</v>
      </c>
    </row>
    <row r="264" spans="1:10" x14ac:dyDescent="0.35">
      <c r="A264">
        <v>17375</v>
      </c>
      <c r="B264" t="s">
        <v>47</v>
      </c>
      <c r="C264" t="s">
        <v>121</v>
      </c>
      <c r="D264" t="s">
        <v>92</v>
      </c>
      <c r="E264" t="s">
        <v>122</v>
      </c>
      <c r="F264" t="s">
        <v>244</v>
      </c>
      <c r="G264" s="39">
        <v>45726</v>
      </c>
      <c r="J264" t="s">
        <v>981</v>
      </c>
    </row>
    <row r="265" spans="1:10" x14ac:dyDescent="0.35">
      <c r="A265">
        <v>17352</v>
      </c>
      <c r="B265" t="s">
        <v>47</v>
      </c>
      <c r="C265" t="s">
        <v>121</v>
      </c>
      <c r="D265" t="s">
        <v>92</v>
      </c>
      <c r="E265" t="s">
        <v>122</v>
      </c>
      <c r="F265" t="s">
        <v>244</v>
      </c>
      <c r="G265" s="39">
        <v>45748</v>
      </c>
      <c r="J265" t="s">
        <v>981</v>
      </c>
    </row>
    <row r="266" spans="1:10" x14ac:dyDescent="0.35">
      <c r="A266">
        <v>17472</v>
      </c>
      <c r="B266" t="s">
        <v>47</v>
      </c>
      <c r="C266" t="s">
        <v>121</v>
      </c>
      <c r="D266" t="s">
        <v>92</v>
      </c>
      <c r="E266" t="s">
        <v>122</v>
      </c>
      <c r="F266" t="s">
        <v>244</v>
      </c>
      <c r="G266" s="39">
        <v>45763</v>
      </c>
      <c r="J266" t="s">
        <v>981</v>
      </c>
    </row>
    <row r="267" spans="1:10" x14ac:dyDescent="0.35">
      <c r="A267">
        <v>17864</v>
      </c>
      <c r="B267" t="s">
        <v>47</v>
      </c>
      <c r="C267" t="s">
        <v>121</v>
      </c>
      <c r="D267" t="s">
        <v>92</v>
      </c>
      <c r="E267" t="s">
        <v>122</v>
      </c>
      <c r="F267" t="s">
        <v>244</v>
      </c>
      <c r="G267" s="39">
        <v>45895</v>
      </c>
      <c r="J267" t="s">
        <v>981</v>
      </c>
    </row>
    <row r="268" spans="1:10" x14ac:dyDescent="0.35">
      <c r="A268">
        <v>17945</v>
      </c>
      <c r="B268" t="s">
        <v>47</v>
      </c>
      <c r="C268" t="s">
        <v>121</v>
      </c>
      <c r="D268" t="s">
        <v>92</v>
      </c>
      <c r="E268" t="s">
        <v>122</v>
      </c>
      <c r="F268" t="s">
        <v>244</v>
      </c>
      <c r="G268" s="39">
        <v>45932</v>
      </c>
      <c r="J268" t="s">
        <v>981</v>
      </c>
    </row>
    <row r="269" spans="1:10" x14ac:dyDescent="0.35">
      <c r="A269">
        <v>18710</v>
      </c>
      <c r="B269" t="s">
        <v>47</v>
      </c>
      <c r="C269" t="s">
        <v>121</v>
      </c>
      <c r="D269" t="s">
        <v>92</v>
      </c>
      <c r="E269" t="s">
        <v>122</v>
      </c>
      <c r="F269" t="s">
        <v>244</v>
      </c>
      <c r="G269" s="39">
        <v>46195</v>
      </c>
      <c r="H269" t="s">
        <v>249</v>
      </c>
      <c r="J269" t="s">
        <v>981</v>
      </c>
    </row>
    <row r="270" spans="1:10" x14ac:dyDescent="0.35">
      <c r="A270">
        <v>18711</v>
      </c>
      <c r="B270" t="s">
        <v>47</v>
      </c>
      <c r="C270" t="s">
        <v>121</v>
      </c>
      <c r="D270" t="s">
        <v>92</v>
      </c>
      <c r="E270" t="s">
        <v>122</v>
      </c>
      <c r="F270" t="s">
        <v>244</v>
      </c>
      <c r="G270" s="39">
        <v>46195</v>
      </c>
      <c r="H270" t="s">
        <v>249</v>
      </c>
      <c r="J270" t="s">
        <v>981</v>
      </c>
    </row>
    <row r="271" spans="1:10" x14ac:dyDescent="0.35">
      <c r="A271">
        <v>18712</v>
      </c>
      <c r="B271" t="s">
        <v>47</v>
      </c>
      <c r="C271" t="s">
        <v>121</v>
      </c>
      <c r="D271" t="s">
        <v>92</v>
      </c>
      <c r="E271" t="s">
        <v>122</v>
      </c>
      <c r="F271" t="s">
        <v>244</v>
      </c>
      <c r="G271" s="39">
        <v>46195</v>
      </c>
      <c r="H271" t="s">
        <v>249</v>
      </c>
      <c r="J271" t="s">
        <v>981</v>
      </c>
    </row>
    <row r="272" spans="1:10" x14ac:dyDescent="0.35">
      <c r="A272">
        <v>18713</v>
      </c>
      <c r="B272" t="s">
        <v>47</v>
      </c>
      <c r="C272" t="s">
        <v>121</v>
      </c>
      <c r="D272" t="s">
        <v>92</v>
      </c>
      <c r="E272" t="s">
        <v>122</v>
      </c>
      <c r="F272" t="s">
        <v>244</v>
      </c>
      <c r="G272" s="39">
        <v>46195</v>
      </c>
      <c r="H272" t="s">
        <v>249</v>
      </c>
      <c r="J272" t="s">
        <v>981</v>
      </c>
    </row>
    <row r="273" spans="1:10" x14ac:dyDescent="0.35">
      <c r="A273">
        <v>18714</v>
      </c>
      <c r="B273" t="s">
        <v>47</v>
      </c>
      <c r="C273" t="s">
        <v>121</v>
      </c>
      <c r="D273" t="s">
        <v>92</v>
      </c>
      <c r="E273" t="s">
        <v>122</v>
      </c>
      <c r="F273" t="s">
        <v>244</v>
      </c>
      <c r="G273" s="39">
        <v>46195</v>
      </c>
      <c r="H273" t="s">
        <v>249</v>
      </c>
      <c r="J273" t="s">
        <v>981</v>
      </c>
    </row>
    <row r="274" spans="1:10" x14ac:dyDescent="0.35">
      <c r="A274">
        <v>18715</v>
      </c>
      <c r="B274" t="s">
        <v>47</v>
      </c>
      <c r="C274" t="s">
        <v>121</v>
      </c>
      <c r="D274" t="s">
        <v>92</v>
      </c>
      <c r="E274" t="s">
        <v>122</v>
      </c>
      <c r="F274" t="s">
        <v>244</v>
      </c>
      <c r="G274" s="39">
        <v>46195</v>
      </c>
      <c r="H274" t="s">
        <v>249</v>
      </c>
      <c r="J274" t="s">
        <v>981</v>
      </c>
    </row>
    <row r="275" spans="1:10" x14ac:dyDescent="0.35">
      <c r="A275">
        <v>18709</v>
      </c>
      <c r="B275" t="s">
        <v>47</v>
      </c>
      <c r="C275" t="s">
        <v>121</v>
      </c>
      <c r="D275" t="s">
        <v>92</v>
      </c>
      <c r="E275" t="s">
        <v>122</v>
      </c>
      <c r="F275" t="s">
        <v>244</v>
      </c>
      <c r="G275" s="39">
        <v>46195</v>
      </c>
      <c r="H275" t="s">
        <v>249</v>
      </c>
      <c r="J275" t="s">
        <v>981</v>
      </c>
    </row>
    <row r="276" spans="1:10" x14ac:dyDescent="0.35">
      <c r="A276">
        <v>18732</v>
      </c>
      <c r="B276" t="s">
        <v>47</v>
      </c>
      <c r="C276" t="s">
        <v>121</v>
      </c>
      <c r="D276" t="s">
        <v>92</v>
      </c>
      <c r="E276" t="s">
        <v>122</v>
      </c>
      <c r="F276" t="s">
        <v>244</v>
      </c>
      <c r="G276" s="39">
        <v>46195</v>
      </c>
      <c r="H276" t="s">
        <v>249</v>
      </c>
      <c r="J276" t="s">
        <v>981</v>
      </c>
    </row>
    <row r="277" spans="1:10" x14ac:dyDescent="0.35">
      <c r="A277">
        <v>14429</v>
      </c>
      <c r="B277" t="s">
        <v>47</v>
      </c>
      <c r="C277" t="s">
        <v>121</v>
      </c>
      <c r="D277" t="s">
        <v>92</v>
      </c>
      <c r="E277" t="s">
        <v>434</v>
      </c>
      <c r="F277" t="s">
        <v>244</v>
      </c>
      <c r="G277" s="39">
        <v>44761</v>
      </c>
      <c r="J277" t="s">
        <v>981</v>
      </c>
    </row>
    <row r="278" spans="1:10" x14ac:dyDescent="0.35">
      <c r="A278">
        <v>11707</v>
      </c>
      <c r="B278" t="s">
        <v>47</v>
      </c>
      <c r="C278" t="s">
        <v>121</v>
      </c>
      <c r="D278" t="s">
        <v>92</v>
      </c>
      <c r="E278" t="s">
        <v>123</v>
      </c>
      <c r="F278" t="s">
        <v>244</v>
      </c>
      <c r="G278" s="39">
        <v>43040</v>
      </c>
      <c r="J278" t="s">
        <v>981</v>
      </c>
    </row>
    <row r="279" spans="1:10" x14ac:dyDescent="0.35">
      <c r="A279">
        <v>12095</v>
      </c>
      <c r="B279" t="s">
        <v>47</v>
      </c>
      <c r="C279" t="s">
        <v>121</v>
      </c>
      <c r="D279" t="s">
        <v>92</v>
      </c>
      <c r="E279" t="s">
        <v>123</v>
      </c>
      <c r="F279" t="s">
        <v>244</v>
      </c>
      <c r="G279" s="39">
        <v>43459</v>
      </c>
      <c r="J279" t="s">
        <v>981</v>
      </c>
    </row>
    <row r="280" spans="1:10" x14ac:dyDescent="0.35">
      <c r="A280">
        <v>10798</v>
      </c>
      <c r="B280" t="s">
        <v>47</v>
      </c>
      <c r="C280" t="s">
        <v>121</v>
      </c>
      <c r="D280" t="s">
        <v>92</v>
      </c>
      <c r="E280" t="s">
        <v>123</v>
      </c>
      <c r="F280" t="s">
        <v>244</v>
      </c>
      <c r="G280" s="39">
        <v>41913</v>
      </c>
      <c r="J280" t="s">
        <v>981</v>
      </c>
    </row>
    <row r="281" spans="1:10" x14ac:dyDescent="0.35">
      <c r="A281">
        <v>11928</v>
      </c>
      <c r="B281" t="s">
        <v>47</v>
      </c>
      <c r="C281" t="s">
        <v>121</v>
      </c>
      <c r="D281" t="s">
        <v>92</v>
      </c>
      <c r="E281" t="s">
        <v>123</v>
      </c>
      <c r="F281" t="s">
        <v>244</v>
      </c>
      <c r="G281" s="39">
        <v>43294</v>
      </c>
      <c r="J281" t="s">
        <v>981</v>
      </c>
    </row>
    <row r="282" spans="1:10" x14ac:dyDescent="0.35">
      <c r="A282">
        <v>10724</v>
      </c>
      <c r="B282" t="s">
        <v>47</v>
      </c>
      <c r="C282" t="s">
        <v>121</v>
      </c>
      <c r="D282" t="s">
        <v>92</v>
      </c>
      <c r="E282" t="s">
        <v>123</v>
      </c>
      <c r="F282" t="s">
        <v>244</v>
      </c>
      <c r="G282" s="39">
        <v>41745</v>
      </c>
      <c r="J282" t="s">
        <v>981</v>
      </c>
    </row>
    <row r="283" spans="1:10" x14ac:dyDescent="0.35">
      <c r="A283">
        <v>19094</v>
      </c>
      <c r="B283" t="s">
        <v>47</v>
      </c>
      <c r="C283" t="s">
        <v>121</v>
      </c>
      <c r="D283" t="s">
        <v>92</v>
      </c>
      <c r="E283" t="s">
        <v>123</v>
      </c>
      <c r="F283" t="s">
        <v>244</v>
      </c>
      <c r="G283" s="39">
        <v>46262</v>
      </c>
      <c r="H283" t="s">
        <v>249</v>
      </c>
      <c r="J283" t="s">
        <v>981</v>
      </c>
    </row>
    <row r="284" spans="1:10" x14ac:dyDescent="0.35">
      <c r="A284">
        <v>10813</v>
      </c>
      <c r="B284" t="s">
        <v>47</v>
      </c>
      <c r="C284" t="s">
        <v>121</v>
      </c>
      <c r="D284" t="s">
        <v>92</v>
      </c>
      <c r="E284" t="s">
        <v>123</v>
      </c>
      <c r="F284" t="s">
        <v>244</v>
      </c>
      <c r="G284" s="39">
        <v>41954</v>
      </c>
      <c r="J284" t="s">
        <v>981</v>
      </c>
    </row>
    <row r="285" spans="1:10" x14ac:dyDescent="0.35">
      <c r="A285">
        <v>11890</v>
      </c>
      <c r="B285" t="s">
        <v>47</v>
      </c>
      <c r="C285" t="s">
        <v>121</v>
      </c>
      <c r="D285" t="s">
        <v>92</v>
      </c>
      <c r="E285" t="s">
        <v>123</v>
      </c>
      <c r="F285" t="s">
        <v>244</v>
      </c>
      <c r="G285" s="39">
        <v>43242</v>
      </c>
      <c r="J285" t="s">
        <v>981</v>
      </c>
    </row>
    <row r="286" spans="1:10" x14ac:dyDescent="0.35">
      <c r="A286">
        <v>12935</v>
      </c>
      <c r="B286" t="s">
        <v>47</v>
      </c>
      <c r="C286" t="s">
        <v>121</v>
      </c>
      <c r="D286" t="s">
        <v>92</v>
      </c>
      <c r="E286" t="s">
        <v>123</v>
      </c>
      <c r="F286" t="s">
        <v>244</v>
      </c>
      <c r="G286" s="39">
        <v>44120</v>
      </c>
      <c r="J286" t="s">
        <v>981</v>
      </c>
    </row>
    <row r="287" spans="1:10" x14ac:dyDescent="0.35">
      <c r="A287">
        <v>13521</v>
      </c>
      <c r="B287" t="s">
        <v>47</v>
      </c>
      <c r="C287" t="s">
        <v>121</v>
      </c>
      <c r="D287" t="s">
        <v>92</v>
      </c>
      <c r="E287" t="s">
        <v>123</v>
      </c>
      <c r="F287" t="s">
        <v>244</v>
      </c>
      <c r="G287" s="39">
        <v>44482</v>
      </c>
      <c r="J287" t="s">
        <v>981</v>
      </c>
    </row>
    <row r="288" spans="1:10" x14ac:dyDescent="0.35">
      <c r="A288">
        <v>14500</v>
      </c>
      <c r="B288" t="s">
        <v>47</v>
      </c>
      <c r="C288" t="s">
        <v>121</v>
      </c>
      <c r="D288" t="s">
        <v>92</v>
      </c>
      <c r="E288" t="s">
        <v>123</v>
      </c>
      <c r="F288" t="s">
        <v>244</v>
      </c>
      <c r="G288" s="39">
        <v>44774</v>
      </c>
      <c r="J288" t="s">
        <v>981</v>
      </c>
    </row>
    <row r="289" spans="1:10" x14ac:dyDescent="0.35">
      <c r="A289">
        <v>15349</v>
      </c>
      <c r="B289" t="s">
        <v>47</v>
      </c>
      <c r="C289" t="s">
        <v>121</v>
      </c>
      <c r="D289" t="s">
        <v>92</v>
      </c>
      <c r="E289" t="s">
        <v>123</v>
      </c>
      <c r="F289" t="s">
        <v>244</v>
      </c>
      <c r="G289" s="39">
        <v>45036</v>
      </c>
      <c r="J289" t="s">
        <v>981</v>
      </c>
    </row>
    <row r="290" spans="1:10" x14ac:dyDescent="0.35">
      <c r="A290">
        <v>15899</v>
      </c>
      <c r="B290" t="s">
        <v>47</v>
      </c>
      <c r="C290" t="s">
        <v>121</v>
      </c>
      <c r="D290" t="s">
        <v>92</v>
      </c>
      <c r="E290" t="s">
        <v>123</v>
      </c>
      <c r="F290" t="s">
        <v>244</v>
      </c>
      <c r="G290" s="39">
        <v>45232</v>
      </c>
      <c r="J290" t="s">
        <v>981</v>
      </c>
    </row>
    <row r="291" spans="1:10" x14ac:dyDescent="0.35">
      <c r="A291">
        <v>16150</v>
      </c>
      <c r="B291" t="s">
        <v>47</v>
      </c>
      <c r="C291" t="s">
        <v>121</v>
      </c>
      <c r="D291" t="s">
        <v>92</v>
      </c>
      <c r="E291" t="s">
        <v>123</v>
      </c>
      <c r="F291" t="s">
        <v>244</v>
      </c>
      <c r="G291" s="39">
        <v>45301</v>
      </c>
      <c r="J291" t="s">
        <v>981</v>
      </c>
    </row>
    <row r="292" spans="1:10" x14ac:dyDescent="0.35">
      <c r="A292">
        <v>10607</v>
      </c>
      <c r="B292" t="s">
        <v>47</v>
      </c>
      <c r="C292" t="s">
        <v>435</v>
      </c>
      <c r="D292" t="s">
        <v>92</v>
      </c>
      <c r="E292" t="s">
        <v>101</v>
      </c>
      <c r="F292" t="s">
        <v>244</v>
      </c>
      <c r="G292" s="39">
        <v>41477</v>
      </c>
      <c r="J292" t="s">
        <v>981</v>
      </c>
    </row>
    <row r="293" spans="1:10" x14ac:dyDescent="0.35">
      <c r="A293">
        <v>10820</v>
      </c>
      <c r="B293" t="s">
        <v>47</v>
      </c>
      <c r="C293" t="s">
        <v>435</v>
      </c>
      <c r="D293" t="s">
        <v>92</v>
      </c>
      <c r="E293" t="s">
        <v>109</v>
      </c>
      <c r="F293" t="s">
        <v>244</v>
      </c>
      <c r="G293" s="39">
        <v>41962</v>
      </c>
      <c r="J293" t="s">
        <v>981</v>
      </c>
    </row>
    <row r="294" spans="1:10" x14ac:dyDescent="0.35">
      <c r="A294">
        <v>11193</v>
      </c>
      <c r="B294" t="s">
        <v>47</v>
      </c>
      <c r="C294" t="s">
        <v>435</v>
      </c>
      <c r="D294" t="s">
        <v>92</v>
      </c>
      <c r="E294" t="s">
        <v>436</v>
      </c>
      <c r="F294" t="s">
        <v>244</v>
      </c>
      <c r="G294" s="39">
        <v>42402</v>
      </c>
      <c r="J294" t="s">
        <v>981</v>
      </c>
    </row>
    <row r="295" spans="1:10" x14ac:dyDescent="0.35">
      <c r="A295">
        <v>11194</v>
      </c>
      <c r="B295" t="s">
        <v>47</v>
      </c>
      <c r="C295" t="s">
        <v>435</v>
      </c>
      <c r="D295" t="s">
        <v>92</v>
      </c>
      <c r="E295" t="s">
        <v>436</v>
      </c>
      <c r="F295" t="s">
        <v>244</v>
      </c>
      <c r="G295" s="39">
        <v>42402</v>
      </c>
      <c r="J295" t="s">
        <v>981</v>
      </c>
    </row>
    <row r="296" spans="1:10" x14ac:dyDescent="0.35">
      <c r="A296">
        <v>18220</v>
      </c>
      <c r="B296" t="s">
        <v>47</v>
      </c>
      <c r="C296" t="s">
        <v>435</v>
      </c>
      <c r="D296" t="s">
        <v>92</v>
      </c>
      <c r="E296" t="s">
        <v>436</v>
      </c>
      <c r="F296" t="s">
        <v>244</v>
      </c>
      <c r="G296" s="39">
        <v>46063</v>
      </c>
      <c r="J296" t="s">
        <v>981</v>
      </c>
    </row>
    <row r="297" spans="1:10" x14ac:dyDescent="0.35">
      <c r="A297">
        <v>19055</v>
      </c>
      <c r="B297" t="s">
        <v>47</v>
      </c>
      <c r="C297" t="s">
        <v>435</v>
      </c>
      <c r="D297" t="s">
        <v>92</v>
      </c>
      <c r="E297" t="s">
        <v>436</v>
      </c>
      <c r="F297" t="s">
        <v>244</v>
      </c>
      <c r="G297" s="39">
        <v>46260</v>
      </c>
      <c r="J297" t="s">
        <v>981</v>
      </c>
    </row>
    <row r="298" spans="1:10" x14ac:dyDescent="0.35">
      <c r="A298">
        <v>18370</v>
      </c>
      <c r="B298" t="s">
        <v>47</v>
      </c>
      <c r="C298" t="s">
        <v>435</v>
      </c>
      <c r="D298" t="s">
        <v>92</v>
      </c>
      <c r="E298" t="s">
        <v>436</v>
      </c>
      <c r="F298" t="s">
        <v>244</v>
      </c>
      <c r="G298" s="39">
        <v>46113</v>
      </c>
      <c r="J298" t="s">
        <v>981</v>
      </c>
    </row>
    <row r="299" spans="1:10" x14ac:dyDescent="0.35">
      <c r="A299">
        <v>18393</v>
      </c>
      <c r="B299" t="s">
        <v>47</v>
      </c>
      <c r="C299" t="s">
        <v>435</v>
      </c>
      <c r="D299" t="s">
        <v>92</v>
      </c>
      <c r="E299" t="s">
        <v>436</v>
      </c>
      <c r="F299" t="s">
        <v>244</v>
      </c>
      <c r="G299" s="39">
        <v>46114</v>
      </c>
      <c r="J299" t="s">
        <v>981</v>
      </c>
    </row>
    <row r="300" spans="1:10" x14ac:dyDescent="0.35">
      <c r="A300">
        <v>18392</v>
      </c>
      <c r="B300" t="s">
        <v>47</v>
      </c>
      <c r="C300" t="s">
        <v>435</v>
      </c>
      <c r="D300" t="s">
        <v>92</v>
      </c>
      <c r="E300" t="s">
        <v>436</v>
      </c>
      <c r="F300" t="s">
        <v>244</v>
      </c>
      <c r="G300" s="39">
        <v>46114</v>
      </c>
      <c r="J300" t="s">
        <v>981</v>
      </c>
    </row>
    <row r="301" spans="1:10" x14ac:dyDescent="0.35">
      <c r="A301">
        <v>18528</v>
      </c>
      <c r="B301" t="s">
        <v>47</v>
      </c>
      <c r="C301" t="s">
        <v>435</v>
      </c>
      <c r="D301" t="s">
        <v>92</v>
      </c>
      <c r="E301" t="s">
        <v>436</v>
      </c>
      <c r="F301" t="s">
        <v>244</v>
      </c>
      <c r="G301" s="39">
        <v>46143</v>
      </c>
      <c r="J301" t="s">
        <v>981</v>
      </c>
    </row>
    <row r="302" spans="1:10" x14ac:dyDescent="0.35">
      <c r="A302">
        <v>12817</v>
      </c>
      <c r="B302" t="s">
        <v>47</v>
      </c>
      <c r="C302" t="s">
        <v>435</v>
      </c>
      <c r="D302" t="s">
        <v>92</v>
      </c>
      <c r="E302" t="s">
        <v>436</v>
      </c>
      <c r="F302" t="s">
        <v>244</v>
      </c>
      <c r="G302" s="39">
        <v>43959</v>
      </c>
      <c r="J302" t="s">
        <v>981</v>
      </c>
    </row>
    <row r="303" spans="1:10" x14ac:dyDescent="0.35">
      <c r="A303">
        <v>10388</v>
      </c>
      <c r="B303" t="s">
        <v>47</v>
      </c>
      <c r="C303" t="s">
        <v>435</v>
      </c>
      <c r="D303" t="s">
        <v>92</v>
      </c>
      <c r="E303" t="s">
        <v>436</v>
      </c>
      <c r="F303" t="s">
        <v>244</v>
      </c>
      <c r="G303" s="39">
        <v>40058</v>
      </c>
      <c r="J303" t="s">
        <v>981</v>
      </c>
    </row>
    <row r="304" spans="1:10" x14ac:dyDescent="0.35">
      <c r="A304">
        <v>10682</v>
      </c>
      <c r="B304" t="s">
        <v>47</v>
      </c>
      <c r="C304" t="s">
        <v>435</v>
      </c>
      <c r="D304" t="s">
        <v>92</v>
      </c>
      <c r="E304" t="s">
        <v>436</v>
      </c>
      <c r="F304" t="s">
        <v>244</v>
      </c>
      <c r="G304" s="39">
        <v>41640</v>
      </c>
      <c r="J304" t="s">
        <v>981</v>
      </c>
    </row>
    <row r="305" spans="1:10" x14ac:dyDescent="0.35">
      <c r="A305">
        <v>10726</v>
      </c>
      <c r="B305" t="s">
        <v>47</v>
      </c>
      <c r="C305" t="s">
        <v>435</v>
      </c>
      <c r="D305" t="s">
        <v>92</v>
      </c>
      <c r="E305" t="s">
        <v>436</v>
      </c>
      <c r="F305" t="s">
        <v>244</v>
      </c>
      <c r="G305" s="39">
        <v>41746</v>
      </c>
      <c r="J305" t="s">
        <v>981</v>
      </c>
    </row>
    <row r="306" spans="1:10" x14ac:dyDescent="0.35">
      <c r="A306">
        <v>11201</v>
      </c>
      <c r="B306" t="s">
        <v>47</v>
      </c>
      <c r="C306" t="s">
        <v>435</v>
      </c>
      <c r="D306" t="s">
        <v>92</v>
      </c>
      <c r="E306" t="s">
        <v>436</v>
      </c>
      <c r="F306" t="s">
        <v>244</v>
      </c>
      <c r="G306" s="39">
        <v>42415</v>
      </c>
      <c r="J306" t="s">
        <v>981</v>
      </c>
    </row>
    <row r="307" spans="1:10" x14ac:dyDescent="0.35">
      <c r="A307">
        <v>17922</v>
      </c>
      <c r="B307" t="s">
        <v>47</v>
      </c>
      <c r="C307" t="s">
        <v>435</v>
      </c>
      <c r="D307" t="s">
        <v>92</v>
      </c>
      <c r="E307" t="s">
        <v>436</v>
      </c>
      <c r="F307" t="s">
        <v>244</v>
      </c>
      <c r="G307" s="39">
        <v>45912</v>
      </c>
      <c r="J307" t="s">
        <v>981</v>
      </c>
    </row>
    <row r="308" spans="1:10" x14ac:dyDescent="0.35">
      <c r="A308">
        <v>280005</v>
      </c>
      <c r="B308" t="s">
        <v>47</v>
      </c>
      <c r="C308" t="s">
        <v>435</v>
      </c>
      <c r="D308" t="s">
        <v>92</v>
      </c>
      <c r="E308" t="s">
        <v>436</v>
      </c>
      <c r="F308" t="s">
        <v>244</v>
      </c>
      <c r="G308" s="39">
        <v>38568</v>
      </c>
      <c r="J308" t="s">
        <v>981</v>
      </c>
    </row>
    <row r="309" spans="1:10" x14ac:dyDescent="0.35">
      <c r="A309">
        <v>11225</v>
      </c>
      <c r="B309" t="s">
        <v>47</v>
      </c>
      <c r="C309" t="s">
        <v>435</v>
      </c>
      <c r="D309" t="s">
        <v>92</v>
      </c>
      <c r="E309" t="s">
        <v>436</v>
      </c>
      <c r="F309" t="s">
        <v>244</v>
      </c>
      <c r="G309" s="39">
        <v>42439</v>
      </c>
      <c r="J309" t="s">
        <v>981</v>
      </c>
    </row>
    <row r="310" spans="1:10" x14ac:dyDescent="0.35">
      <c r="A310">
        <v>11514</v>
      </c>
      <c r="B310" t="s">
        <v>47</v>
      </c>
      <c r="C310" t="s">
        <v>435</v>
      </c>
      <c r="D310" t="s">
        <v>92</v>
      </c>
      <c r="E310" t="s">
        <v>436</v>
      </c>
      <c r="F310" t="s">
        <v>244</v>
      </c>
      <c r="G310" s="39">
        <v>42783</v>
      </c>
      <c r="J310" t="s">
        <v>981</v>
      </c>
    </row>
    <row r="311" spans="1:10" x14ac:dyDescent="0.35">
      <c r="A311">
        <v>12085</v>
      </c>
      <c r="B311" t="s">
        <v>47</v>
      </c>
      <c r="C311" t="s">
        <v>435</v>
      </c>
      <c r="D311" t="s">
        <v>92</v>
      </c>
      <c r="E311" t="s">
        <v>436</v>
      </c>
      <c r="F311" t="s">
        <v>244</v>
      </c>
      <c r="G311" s="39">
        <v>43455</v>
      </c>
      <c r="J311" t="s">
        <v>981</v>
      </c>
    </row>
    <row r="312" spans="1:10" x14ac:dyDescent="0.35">
      <c r="A312">
        <v>12464</v>
      </c>
      <c r="B312" t="s">
        <v>47</v>
      </c>
      <c r="C312" t="s">
        <v>435</v>
      </c>
      <c r="D312" t="s">
        <v>92</v>
      </c>
      <c r="E312" t="s">
        <v>436</v>
      </c>
      <c r="F312" t="s">
        <v>244</v>
      </c>
      <c r="G312" s="39">
        <v>43760</v>
      </c>
      <c r="J312" t="s">
        <v>981</v>
      </c>
    </row>
    <row r="313" spans="1:10" x14ac:dyDescent="0.35">
      <c r="A313">
        <v>13413</v>
      </c>
      <c r="B313" t="s">
        <v>47</v>
      </c>
      <c r="C313" t="s">
        <v>435</v>
      </c>
      <c r="D313" t="s">
        <v>92</v>
      </c>
      <c r="E313" t="s">
        <v>436</v>
      </c>
      <c r="F313" t="s">
        <v>244</v>
      </c>
      <c r="G313" s="39">
        <v>44431</v>
      </c>
      <c r="J313" t="s">
        <v>981</v>
      </c>
    </row>
    <row r="314" spans="1:10" x14ac:dyDescent="0.35">
      <c r="A314">
        <v>14128</v>
      </c>
      <c r="B314" t="s">
        <v>47</v>
      </c>
      <c r="C314" t="s">
        <v>435</v>
      </c>
      <c r="D314" t="s">
        <v>92</v>
      </c>
      <c r="E314" t="s">
        <v>436</v>
      </c>
      <c r="F314" t="s">
        <v>244</v>
      </c>
      <c r="G314" s="39">
        <v>44670</v>
      </c>
      <c r="J314" t="s">
        <v>981</v>
      </c>
    </row>
    <row r="315" spans="1:10" x14ac:dyDescent="0.35">
      <c r="A315">
        <v>15192</v>
      </c>
      <c r="B315" t="s">
        <v>47</v>
      </c>
      <c r="C315" t="s">
        <v>435</v>
      </c>
      <c r="D315" t="s">
        <v>92</v>
      </c>
      <c r="E315" t="s">
        <v>436</v>
      </c>
      <c r="F315" t="s">
        <v>244</v>
      </c>
      <c r="G315" s="39">
        <v>44980</v>
      </c>
      <c r="J315" t="s">
        <v>981</v>
      </c>
    </row>
    <row r="316" spans="1:10" x14ac:dyDescent="0.35">
      <c r="A316">
        <v>15205</v>
      </c>
      <c r="B316" t="s">
        <v>47</v>
      </c>
      <c r="C316" t="s">
        <v>435</v>
      </c>
      <c r="D316" t="s">
        <v>92</v>
      </c>
      <c r="E316" t="s">
        <v>436</v>
      </c>
      <c r="F316" t="s">
        <v>244</v>
      </c>
      <c r="G316" s="39">
        <v>44986</v>
      </c>
      <c r="J316" t="s">
        <v>981</v>
      </c>
    </row>
    <row r="317" spans="1:10" x14ac:dyDescent="0.35">
      <c r="A317">
        <v>15303</v>
      </c>
      <c r="B317" t="s">
        <v>47</v>
      </c>
      <c r="C317" t="s">
        <v>435</v>
      </c>
      <c r="D317" t="s">
        <v>92</v>
      </c>
      <c r="E317" t="s">
        <v>436</v>
      </c>
      <c r="F317" t="s">
        <v>244</v>
      </c>
      <c r="G317" s="39">
        <v>45019</v>
      </c>
      <c r="J317" t="s">
        <v>981</v>
      </c>
    </row>
    <row r="318" spans="1:10" x14ac:dyDescent="0.35">
      <c r="A318">
        <v>15757</v>
      </c>
      <c r="B318" t="s">
        <v>47</v>
      </c>
      <c r="C318" t="s">
        <v>435</v>
      </c>
      <c r="D318" t="s">
        <v>92</v>
      </c>
      <c r="E318" t="s">
        <v>436</v>
      </c>
      <c r="F318" t="s">
        <v>244</v>
      </c>
      <c r="G318" s="39">
        <v>45183</v>
      </c>
      <c r="J318" t="s">
        <v>981</v>
      </c>
    </row>
    <row r="319" spans="1:10" x14ac:dyDescent="0.35">
      <c r="A319">
        <v>15765</v>
      </c>
      <c r="B319" t="s">
        <v>47</v>
      </c>
      <c r="C319" t="s">
        <v>435</v>
      </c>
      <c r="D319" t="s">
        <v>92</v>
      </c>
      <c r="E319" t="s">
        <v>436</v>
      </c>
      <c r="F319" t="s">
        <v>244</v>
      </c>
      <c r="G319" s="39">
        <v>45184</v>
      </c>
      <c r="J319" t="s">
        <v>981</v>
      </c>
    </row>
    <row r="320" spans="1:10" x14ac:dyDescent="0.35">
      <c r="A320">
        <v>16067</v>
      </c>
      <c r="B320" t="s">
        <v>47</v>
      </c>
      <c r="C320" t="s">
        <v>435</v>
      </c>
      <c r="D320" t="s">
        <v>92</v>
      </c>
      <c r="E320" t="s">
        <v>436</v>
      </c>
      <c r="F320" t="s">
        <v>244</v>
      </c>
      <c r="G320" s="39">
        <v>45272</v>
      </c>
      <c r="J320" t="s">
        <v>981</v>
      </c>
    </row>
    <row r="321" spans="1:10" x14ac:dyDescent="0.35">
      <c r="A321">
        <v>16081</v>
      </c>
      <c r="B321" t="s">
        <v>47</v>
      </c>
      <c r="C321" t="s">
        <v>435</v>
      </c>
      <c r="D321" t="s">
        <v>92</v>
      </c>
      <c r="E321" t="s">
        <v>436</v>
      </c>
      <c r="F321" t="s">
        <v>244</v>
      </c>
      <c r="G321" s="39">
        <v>45275</v>
      </c>
      <c r="J321" t="s">
        <v>981</v>
      </c>
    </row>
    <row r="322" spans="1:10" x14ac:dyDescent="0.35">
      <c r="A322">
        <v>16356</v>
      </c>
      <c r="B322" t="s">
        <v>47</v>
      </c>
      <c r="C322" t="s">
        <v>435</v>
      </c>
      <c r="D322" t="s">
        <v>92</v>
      </c>
      <c r="E322" t="s">
        <v>436</v>
      </c>
      <c r="F322" t="s">
        <v>244</v>
      </c>
      <c r="G322" s="39">
        <v>45358</v>
      </c>
      <c r="J322" t="s">
        <v>981</v>
      </c>
    </row>
    <row r="323" spans="1:10" x14ac:dyDescent="0.35">
      <c r="A323">
        <v>16806</v>
      </c>
      <c r="B323" t="s">
        <v>47</v>
      </c>
      <c r="C323" t="s">
        <v>435</v>
      </c>
      <c r="D323" t="s">
        <v>92</v>
      </c>
      <c r="E323" t="s">
        <v>436</v>
      </c>
      <c r="F323" t="s">
        <v>244</v>
      </c>
      <c r="G323" s="39">
        <v>45554</v>
      </c>
      <c r="J323" t="s">
        <v>981</v>
      </c>
    </row>
    <row r="324" spans="1:10" x14ac:dyDescent="0.35">
      <c r="A324">
        <v>17625</v>
      </c>
      <c r="B324" t="s">
        <v>47</v>
      </c>
      <c r="C324" t="s">
        <v>435</v>
      </c>
      <c r="D324" t="s">
        <v>92</v>
      </c>
      <c r="E324" t="s">
        <v>436</v>
      </c>
      <c r="F324" t="s">
        <v>244</v>
      </c>
      <c r="G324" s="39">
        <v>45819</v>
      </c>
      <c r="J324" t="s">
        <v>981</v>
      </c>
    </row>
    <row r="325" spans="1:10" x14ac:dyDescent="0.35">
      <c r="A325">
        <v>17641</v>
      </c>
      <c r="B325" t="s">
        <v>47</v>
      </c>
      <c r="C325" t="s">
        <v>435</v>
      </c>
      <c r="D325" t="s">
        <v>92</v>
      </c>
      <c r="E325" t="s">
        <v>436</v>
      </c>
      <c r="F325" t="s">
        <v>244</v>
      </c>
      <c r="G325" s="39">
        <v>45820</v>
      </c>
      <c r="J325" t="s">
        <v>981</v>
      </c>
    </row>
    <row r="326" spans="1:10" x14ac:dyDescent="0.35">
      <c r="A326">
        <v>18171</v>
      </c>
      <c r="B326" t="s">
        <v>47</v>
      </c>
      <c r="C326" t="s">
        <v>435</v>
      </c>
      <c r="D326" t="s">
        <v>92</v>
      </c>
      <c r="E326" t="s">
        <v>436</v>
      </c>
      <c r="F326" t="s">
        <v>244</v>
      </c>
      <c r="G326" s="39">
        <v>46027</v>
      </c>
      <c r="J326" t="s">
        <v>981</v>
      </c>
    </row>
    <row r="327" spans="1:10" x14ac:dyDescent="0.35">
      <c r="A327">
        <v>13845</v>
      </c>
      <c r="B327" t="s">
        <v>47</v>
      </c>
      <c r="C327" t="s">
        <v>435</v>
      </c>
      <c r="D327" t="s">
        <v>92</v>
      </c>
      <c r="E327" t="s">
        <v>437</v>
      </c>
      <c r="F327" t="s">
        <v>244</v>
      </c>
      <c r="G327" s="39">
        <v>44601</v>
      </c>
      <c r="J327" t="s">
        <v>981</v>
      </c>
    </row>
    <row r="328" spans="1:10" x14ac:dyDescent="0.35">
      <c r="A328">
        <v>11837</v>
      </c>
      <c r="B328" t="s">
        <v>47</v>
      </c>
      <c r="C328" t="s">
        <v>124</v>
      </c>
      <c r="D328" t="s">
        <v>92</v>
      </c>
      <c r="E328" t="s">
        <v>101</v>
      </c>
      <c r="F328" t="s">
        <v>244</v>
      </c>
      <c r="G328" s="39">
        <v>43192</v>
      </c>
      <c r="J328" t="s">
        <v>981</v>
      </c>
    </row>
    <row r="329" spans="1:10" x14ac:dyDescent="0.35">
      <c r="A329">
        <v>10732</v>
      </c>
      <c r="B329" t="s">
        <v>47</v>
      </c>
      <c r="C329" t="s">
        <v>124</v>
      </c>
      <c r="D329" t="s">
        <v>92</v>
      </c>
      <c r="E329" t="s">
        <v>99</v>
      </c>
      <c r="F329" t="s">
        <v>244</v>
      </c>
      <c r="G329" s="39">
        <v>41765</v>
      </c>
      <c r="J329" t="s">
        <v>981</v>
      </c>
    </row>
    <row r="330" spans="1:10" x14ac:dyDescent="0.35">
      <c r="A330">
        <v>12112</v>
      </c>
      <c r="B330" t="s">
        <v>47</v>
      </c>
      <c r="C330" t="s">
        <v>124</v>
      </c>
      <c r="D330" t="s">
        <v>92</v>
      </c>
      <c r="E330" t="s">
        <v>109</v>
      </c>
      <c r="F330" t="s">
        <v>244</v>
      </c>
      <c r="G330" s="39">
        <v>43482</v>
      </c>
      <c r="J330" t="s">
        <v>981</v>
      </c>
    </row>
    <row r="331" spans="1:10" x14ac:dyDescent="0.35">
      <c r="A331">
        <v>18283</v>
      </c>
      <c r="B331" t="s">
        <v>47</v>
      </c>
      <c r="C331" t="s">
        <v>124</v>
      </c>
      <c r="D331" t="s">
        <v>92</v>
      </c>
      <c r="E331" t="s">
        <v>99</v>
      </c>
      <c r="F331" t="s">
        <v>244</v>
      </c>
      <c r="G331" s="39">
        <v>46072</v>
      </c>
      <c r="H331" t="s">
        <v>249</v>
      </c>
      <c r="J331" t="s">
        <v>981</v>
      </c>
    </row>
    <row r="332" spans="1:10" x14ac:dyDescent="0.35">
      <c r="A332">
        <v>12431</v>
      </c>
      <c r="B332" t="s">
        <v>47</v>
      </c>
      <c r="C332" t="s">
        <v>124</v>
      </c>
      <c r="D332" t="s">
        <v>92</v>
      </c>
      <c r="E332" t="s">
        <v>109</v>
      </c>
      <c r="F332" t="s">
        <v>244</v>
      </c>
      <c r="G332" s="39">
        <v>43752</v>
      </c>
      <c r="J332" t="s">
        <v>981</v>
      </c>
    </row>
    <row r="333" spans="1:10" x14ac:dyDescent="0.35">
      <c r="A333">
        <v>12783</v>
      </c>
      <c r="B333" t="s">
        <v>47</v>
      </c>
      <c r="C333" t="s">
        <v>124</v>
      </c>
      <c r="D333" t="s">
        <v>92</v>
      </c>
      <c r="E333" t="s">
        <v>102</v>
      </c>
      <c r="F333" t="s">
        <v>244</v>
      </c>
      <c r="G333" s="39">
        <v>43930</v>
      </c>
      <c r="J333" t="s">
        <v>981</v>
      </c>
    </row>
    <row r="334" spans="1:10" x14ac:dyDescent="0.35">
      <c r="A334">
        <v>17545</v>
      </c>
      <c r="B334" t="s">
        <v>47</v>
      </c>
      <c r="C334" t="s">
        <v>124</v>
      </c>
      <c r="D334" t="s">
        <v>92</v>
      </c>
      <c r="E334" t="s">
        <v>425</v>
      </c>
      <c r="F334" t="s">
        <v>244</v>
      </c>
      <c r="G334" s="39">
        <v>45792</v>
      </c>
      <c r="J334" t="s">
        <v>981</v>
      </c>
    </row>
    <row r="335" spans="1:10" x14ac:dyDescent="0.35">
      <c r="A335">
        <v>14454</v>
      </c>
      <c r="B335" t="s">
        <v>47</v>
      </c>
      <c r="C335" t="s">
        <v>438</v>
      </c>
      <c r="D335" t="s">
        <v>92</v>
      </c>
      <c r="E335" t="s">
        <v>102</v>
      </c>
      <c r="F335" t="s">
        <v>244</v>
      </c>
      <c r="G335" s="39">
        <v>44763</v>
      </c>
      <c r="J335" t="s">
        <v>981</v>
      </c>
    </row>
    <row r="336" spans="1:10" x14ac:dyDescent="0.35">
      <c r="A336">
        <v>17749</v>
      </c>
      <c r="B336" t="s">
        <v>47</v>
      </c>
      <c r="C336" t="s">
        <v>124</v>
      </c>
      <c r="D336" t="s">
        <v>92</v>
      </c>
      <c r="E336" t="s">
        <v>102</v>
      </c>
      <c r="F336" t="s">
        <v>244</v>
      </c>
      <c r="G336" s="39">
        <v>45873</v>
      </c>
      <c r="J336" t="s">
        <v>981</v>
      </c>
    </row>
    <row r="337" spans="1:10" x14ac:dyDescent="0.35">
      <c r="A337">
        <v>17753</v>
      </c>
      <c r="B337" t="s">
        <v>47</v>
      </c>
      <c r="C337" t="s">
        <v>124</v>
      </c>
      <c r="D337" t="s">
        <v>92</v>
      </c>
      <c r="E337" t="s">
        <v>102</v>
      </c>
      <c r="F337" t="s">
        <v>244</v>
      </c>
      <c r="G337" s="39">
        <v>45880</v>
      </c>
      <c r="J337" t="s">
        <v>981</v>
      </c>
    </row>
    <row r="338" spans="1:10" x14ac:dyDescent="0.35">
      <c r="A338">
        <v>15639</v>
      </c>
      <c r="B338" t="s">
        <v>47</v>
      </c>
      <c r="C338" t="s">
        <v>124</v>
      </c>
      <c r="D338" t="s">
        <v>92</v>
      </c>
      <c r="E338" t="s">
        <v>102</v>
      </c>
      <c r="F338" t="s">
        <v>245</v>
      </c>
      <c r="G338" s="39">
        <v>45147</v>
      </c>
      <c r="J338" t="s">
        <v>981</v>
      </c>
    </row>
    <row r="339" spans="1:10" x14ac:dyDescent="0.35">
      <c r="A339">
        <v>11570</v>
      </c>
      <c r="B339" t="s">
        <v>47</v>
      </c>
      <c r="C339" t="s">
        <v>124</v>
      </c>
      <c r="D339" t="s">
        <v>92</v>
      </c>
      <c r="E339" t="s">
        <v>102</v>
      </c>
      <c r="F339" t="s">
        <v>244</v>
      </c>
      <c r="G339" s="39">
        <v>42858</v>
      </c>
      <c r="J339" t="s">
        <v>981</v>
      </c>
    </row>
    <row r="340" spans="1:10" x14ac:dyDescent="0.35">
      <c r="A340">
        <v>18092</v>
      </c>
      <c r="B340" t="s">
        <v>47</v>
      </c>
      <c r="C340" t="s">
        <v>124</v>
      </c>
      <c r="D340" t="s">
        <v>92</v>
      </c>
      <c r="E340" t="s">
        <v>102</v>
      </c>
      <c r="F340" t="s">
        <v>244</v>
      </c>
      <c r="G340" s="39">
        <v>45993</v>
      </c>
      <c r="J340" t="s">
        <v>981</v>
      </c>
    </row>
    <row r="341" spans="1:10" x14ac:dyDescent="0.35">
      <c r="A341">
        <v>18282</v>
      </c>
      <c r="B341" t="s">
        <v>47</v>
      </c>
      <c r="C341" t="s">
        <v>124</v>
      </c>
      <c r="D341" t="s">
        <v>92</v>
      </c>
      <c r="E341" t="s">
        <v>102</v>
      </c>
      <c r="F341" t="s">
        <v>244</v>
      </c>
      <c r="G341" s="39">
        <v>46072</v>
      </c>
      <c r="H341" t="s">
        <v>249</v>
      </c>
      <c r="J341" t="s">
        <v>981</v>
      </c>
    </row>
    <row r="342" spans="1:10" x14ac:dyDescent="0.35">
      <c r="A342">
        <v>18336</v>
      </c>
      <c r="B342" t="s">
        <v>47</v>
      </c>
      <c r="C342" t="s">
        <v>124</v>
      </c>
      <c r="D342" t="s">
        <v>92</v>
      </c>
      <c r="E342" t="s">
        <v>102</v>
      </c>
      <c r="F342" t="s">
        <v>244</v>
      </c>
      <c r="G342" s="39">
        <v>46092</v>
      </c>
      <c r="H342" t="s">
        <v>57</v>
      </c>
      <c r="J342" t="s">
        <v>981</v>
      </c>
    </row>
    <row r="343" spans="1:10" x14ac:dyDescent="0.35">
      <c r="A343">
        <v>15760</v>
      </c>
      <c r="B343" t="s">
        <v>47</v>
      </c>
      <c r="C343" t="s">
        <v>124</v>
      </c>
      <c r="D343" t="s">
        <v>92</v>
      </c>
      <c r="E343" t="s">
        <v>439</v>
      </c>
      <c r="F343" t="s">
        <v>244</v>
      </c>
      <c r="G343" s="39">
        <v>45187</v>
      </c>
      <c r="J343" t="s">
        <v>981</v>
      </c>
    </row>
    <row r="344" spans="1:10" x14ac:dyDescent="0.35">
      <c r="A344">
        <v>17207</v>
      </c>
      <c r="B344" t="s">
        <v>47</v>
      </c>
      <c r="C344" t="s">
        <v>124</v>
      </c>
      <c r="D344" t="s">
        <v>92</v>
      </c>
      <c r="E344" t="s">
        <v>439</v>
      </c>
      <c r="F344" t="s">
        <v>244</v>
      </c>
      <c r="G344" s="39">
        <v>45665</v>
      </c>
      <c r="J344" t="s">
        <v>981</v>
      </c>
    </row>
    <row r="345" spans="1:10" x14ac:dyDescent="0.35">
      <c r="A345">
        <v>16722</v>
      </c>
      <c r="B345" t="s">
        <v>47</v>
      </c>
      <c r="C345" t="s">
        <v>124</v>
      </c>
      <c r="D345" t="s">
        <v>92</v>
      </c>
      <c r="E345" t="s">
        <v>439</v>
      </c>
      <c r="F345" t="s">
        <v>245</v>
      </c>
      <c r="G345" s="39">
        <v>45545</v>
      </c>
      <c r="J345" t="s">
        <v>981</v>
      </c>
    </row>
    <row r="346" spans="1:10" x14ac:dyDescent="0.35">
      <c r="A346">
        <v>18874</v>
      </c>
      <c r="B346" t="s">
        <v>47</v>
      </c>
      <c r="C346" t="s">
        <v>124</v>
      </c>
      <c r="D346" t="s">
        <v>92</v>
      </c>
      <c r="E346" t="s">
        <v>425</v>
      </c>
      <c r="F346" t="s">
        <v>244</v>
      </c>
      <c r="G346" s="39">
        <v>46227</v>
      </c>
      <c r="J346" t="s">
        <v>981</v>
      </c>
    </row>
    <row r="347" spans="1:10" x14ac:dyDescent="0.35">
      <c r="A347">
        <v>18048</v>
      </c>
      <c r="B347" t="s">
        <v>47</v>
      </c>
      <c r="C347" t="s">
        <v>124</v>
      </c>
      <c r="D347" t="s">
        <v>92</v>
      </c>
      <c r="E347" t="s">
        <v>103</v>
      </c>
      <c r="F347" t="s">
        <v>244</v>
      </c>
      <c r="G347" s="39">
        <v>45975</v>
      </c>
      <c r="J347" t="s">
        <v>981</v>
      </c>
    </row>
    <row r="348" spans="1:10" x14ac:dyDescent="0.35">
      <c r="A348">
        <v>18799</v>
      </c>
      <c r="B348" t="s">
        <v>47</v>
      </c>
      <c r="C348" t="s">
        <v>124</v>
      </c>
      <c r="D348" t="s">
        <v>92</v>
      </c>
      <c r="E348" t="s">
        <v>103</v>
      </c>
      <c r="F348" t="s">
        <v>244</v>
      </c>
      <c r="G348" s="39">
        <v>46217</v>
      </c>
      <c r="J348" t="s">
        <v>981</v>
      </c>
    </row>
    <row r="349" spans="1:10" x14ac:dyDescent="0.35">
      <c r="A349">
        <v>18839</v>
      </c>
      <c r="B349" t="s">
        <v>47</v>
      </c>
      <c r="C349" t="s">
        <v>124</v>
      </c>
      <c r="D349" t="s">
        <v>92</v>
      </c>
      <c r="E349" t="s">
        <v>103</v>
      </c>
      <c r="F349" t="s">
        <v>244</v>
      </c>
      <c r="G349" s="39">
        <v>46223</v>
      </c>
      <c r="J349" t="s">
        <v>981</v>
      </c>
    </row>
    <row r="350" spans="1:10" x14ac:dyDescent="0.35">
      <c r="A350">
        <v>18977</v>
      </c>
      <c r="B350" t="s">
        <v>47</v>
      </c>
      <c r="C350" t="s">
        <v>124</v>
      </c>
      <c r="D350" t="s">
        <v>92</v>
      </c>
      <c r="E350" t="s">
        <v>103</v>
      </c>
      <c r="F350" t="s">
        <v>244</v>
      </c>
      <c r="G350" s="39">
        <v>46254</v>
      </c>
      <c r="J350" t="s">
        <v>981</v>
      </c>
    </row>
    <row r="351" spans="1:10" x14ac:dyDescent="0.35">
      <c r="A351">
        <v>18334</v>
      </c>
      <c r="B351" t="s">
        <v>47</v>
      </c>
      <c r="C351" t="s">
        <v>124</v>
      </c>
      <c r="D351" t="s">
        <v>92</v>
      </c>
      <c r="E351" t="s">
        <v>106</v>
      </c>
      <c r="F351" t="s">
        <v>244</v>
      </c>
      <c r="G351" s="39">
        <v>46091</v>
      </c>
      <c r="H351" t="s">
        <v>249</v>
      </c>
      <c r="J351" t="s">
        <v>981</v>
      </c>
    </row>
    <row r="352" spans="1:10" x14ac:dyDescent="0.35">
      <c r="A352">
        <v>10654</v>
      </c>
      <c r="B352" t="s">
        <v>47</v>
      </c>
      <c r="C352" t="s">
        <v>438</v>
      </c>
      <c r="D352" t="s">
        <v>92</v>
      </c>
      <c r="E352" t="s">
        <v>101</v>
      </c>
      <c r="F352" t="s">
        <v>244</v>
      </c>
      <c r="G352" s="39">
        <v>41596</v>
      </c>
      <c r="J352" t="s">
        <v>981</v>
      </c>
    </row>
    <row r="353" spans="1:10" x14ac:dyDescent="0.35">
      <c r="A353">
        <v>11361</v>
      </c>
      <c r="B353" t="s">
        <v>47</v>
      </c>
      <c r="C353" t="s">
        <v>438</v>
      </c>
      <c r="D353" t="s">
        <v>92</v>
      </c>
      <c r="E353" t="s">
        <v>99</v>
      </c>
      <c r="F353" t="s">
        <v>244</v>
      </c>
      <c r="G353" s="39">
        <v>42593</v>
      </c>
      <c r="J353" t="s">
        <v>981</v>
      </c>
    </row>
    <row r="354" spans="1:10" x14ac:dyDescent="0.35">
      <c r="A354">
        <v>11728</v>
      </c>
      <c r="B354" t="s">
        <v>47</v>
      </c>
      <c r="C354" t="s">
        <v>124</v>
      </c>
      <c r="D354" t="s">
        <v>92</v>
      </c>
      <c r="E354" t="s">
        <v>99</v>
      </c>
      <c r="F354" t="s">
        <v>244</v>
      </c>
      <c r="G354" s="39">
        <v>43066</v>
      </c>
      <c r="J354" t="s">
        <v>981</v>
      </c>
    </row>
    <row r="355" spans="1:10" x14ac:dyDescent="0.35">
      <c r="A355">
        <v>12286</v>
      </c>
      <c r="B355" t="s">
        <v>47</v>
      </c>
      <c r="C355" t="s">
        <v>124</v>
      </c>
      <c r="D355" t="s">
        <v>92</v>
      </c>
      <c r="E355" t="s">
        <v>109</v>
      </c>
      <c r="F355" t="s">
        <v>244</v>
      </c>
      <c r="G355" s="39">
        <v>43668</v>
      </c>
      <c r="J355" t="s">
        <v>981</v>
      </c>
    </row>
    <row r="356" spans="1:10" x14ac:dyDescent="0.35">
      <c r="A356">
        <v>15041</v>
      </c>
      <c r="B356" t="s">
        <v>47</v>
      </c>
      <c r="C356" t="s">
        <v>124</v>
      </c>
      <c r="D356" t="s">
        <v>92</v>
      </c>
      <c r="E356" t="s">
        <v>109</v>
      </c>
      <c r="F356" t="s">
        <v>244</v>
      </c>
      <c r="G356" s="39">
        <v>44932</v>
      </c>
      <c r="J356" t="s">
        <v>981</v>
      </c>
    </row>
    <row r="357" spans="1:10" x14ac:dyDescent="0.35">
      <c r="A357">
        <v>13042</v>
      </c>
      <c r="B357" t="s">
        <v>47</v>
      </c>
      <c r="C357" t="s">
        <v>438</v>
      </c>
      <c r="D357" t="s">
        <v>92</v>
      </c>
      <c r="E357" t="s">
        <v>109</v>
      </c>
      <c r="F357" t="s">
        <v>244</v>
      </c>
      <c r="G357" s="39">
        <v>44214</v>
      </c>
      <c r="J357" t="s">
        <v>981</v>
      </c>
    </row>
    <row r="358" spans="1:10" x14ac:dyDescent="0.35">
      <c r="A358">
        <v>11839</v>
      </c>
      <c r="B358" t="s">
        <v>47</v>
      </c>
      <c r="C358" t="s">
        <v>438</v>
      </c>
      <c r="D358" t="s">
        <v>92</v>
      </c>
      <c r="E358" t="s">
        <v>102</v>
      </c>
      <c r="F358" t="s">
        <v>244</v>
      </c>
      <c r="G358" s="39">
        <v>43192</v>
      </c>
      <c r="J358" t="s">
        <v>981</v>
      </c>
    </row>
    <row r="359" spans="1:10" x14ac:dyDescent="0.35">
      <c r="A359">
        <v>11686</v>
      </c>
      <c r="B359" t="s">
        <v>47</v>
      </c>
      <c r="C359" t="s">
        <v>438</v>
      </c>
      <c r="D359" t="s">
        <v>92</v>
      </c>
      <c r="E359" t="s">
        <v>102</v>
      </c>
      <c r="F359" t="s">
        <v>244</v>
      </c>
      <c r="G359" s="39">
        <v>43018</v>
      </c>
      <c r="J359" t="s">
        <v>981</v>
      </c>
    </row>
    <row r="360" spans="1:10" x14ac:dyDescent="0.35">
      <c r="A360">
        <v>10613</v>
      </c>
      <c r="B360" t="s">
        <v>47</v>
      </c>
      <c r="C360" t="s">
        <v>438</v>
      </c>
      <c r="D360" t="s">
        <v>92</v>
      </c>
      <c r="E360" t="s">
        <v>102</v>
      </c>
      <c r="F360" t="s">
        <v>244</v>
      </c>
      <c r="G360" s="39">
        <v>41487</v>
      </c>
      <c r="J360" t="s">
        <v>981</v>
      </c>
    </row>
    <row r="361" spans="1:10" x14ac:dyDescent="0.35">
      <c r="A361">
        <v>14538</v>
      </c>
      <c r="B361" t="s">
        <v>47</v>
      </c>
      <c r="C361" t="s">
        <v>124</v>
      </c>
      <c r="D361" t="s">
        <v>92</v>
      </c>
      <c r="E361" t="s">
        <v>102</v>
      </c>
      <c r="F361" t="s">
        <v>411</v>
      </c>
      <c r="G361" s="39">
        <v>44784</v>
      </c>
      <c r="J361" t="s">
        <v>981</v>
      </c>
    </row>
    <row r="362" spans="1:10" x14ac:dyDescent="0.35">
      <c r="A362">
        <v>12826</v>
      </c>
      <c r="B362" t="s">
        <v>47</v>
      </c>
      <c r="C362" t="s">
        <v>124</v>
      </c>
      <c r="D362" t="s">
        <v>92</v>
      </c>
      <c r="E362" t="s">
        <v>102</v>
      </c>
      <c r="F362" t="s">
        <v>244</v>
      </c>
      <c r="G362" s="39">
        <v>43990</v>
      </c>
      <c r="J362" t="s">
        <v>981</v>
      </c>
    </row>
    <row r="363" spans="1:10" x14ac:dyDescent="0.35">
      <c r="A363">
        <v>14131</v>
      </c>
      <c r="B363" t="s">
        <v>47</v>
      </c>
      <c r="C363" t="s">
        <v>438</v>
      </c>
      <c r="D363" t="s">
        <v>92</v>
      </c>
      <c r="E363" t="s">
        <v>102</v>
      </c>
      <c r="F363" t="s">
        <v>244</v>
      </c>
      <c r="G363" s="39">
        <v>44672</v>
      </c>
      <c r="J363" t="s">
        <v>981</v>
      </c>
    </row>
    <row r="364" spans="1:10" x14ac:dyDescent="0.35">
      <c r="A364">
        <v>15553</v>
      </c>
      <c r="B364" t="s">
        <v>47</v>
      </c>
      <c r="C364" t="s">
        <v>438</v>
      </c>
      <c r="D364" t="s">
        <v>92</v>
      </c>
      <c r="E364" t="s">
        <v>440</v>
      </c>
      <c r="F364" t="s">
        <v>244</v>
      </c>
      <c r="G364" s="39">
        <v>45126</v>
      </c>
      <c r="J364" t="s">
        <v>981</v>
      </c>
    </row>
    <row r="365" spans="1:10" x14ac:dyDescent="0.35">
      <c r="A365">
        <v>16128</v>
      </c>
      <c r="B365" t="s">
        <v>47</v>
      </c>
      <c r="C365" t="s">
        <v>438</v>
      </c>
      <c r="D365" t="s">
        <v>92</v>
      </c>
      <c r="E365" t="s">
        <v>102</v>
      </c>
      <c r="F365" t="s">
        <v>244</v>
      </c>
      <c r="G365" s="39">
        <v>45299</v>
      </c>
      <c r="J365" t="s">
        <v>981</v>
      </c>
    </row>
    <row r="366" spans="1:10" x14ac:dyDescent="0.35">
      <c r="A366">
        <v>10955</v>
      </c>
      <c r="B366" t="s">
        <v>47</v>
      </c>
      <c r="C366" t="s">
        <v>438</v>
      </c>
      <c r="D366" t="s">
        <v>92</v>
      </c>
      <c r="E366" t="s">
        <v>103</v>
      </c>
      <c r="F366" t="s">
        <v>244</v>
      </c>
      <c r="G366" s="39">
        <v>42193</v>
      </c>
      <c r="J366" t="s">
        <v>981</v>
      </c>
    </row>
    <row r="367" spans="1:10" x14ac:dyDescent="0.35">
      <c r="A367">
        <v>10884</v>
      </c>
      <c r="B367" t="s">
        <v>47</v>
      </c>
      <c r="C367" t="s">
        <v>438</v>
      </c>
      <c r="D367" t="s">
        <v>92</v>
      </c>
      <c r="E367" t="s">
        <v>103</v>
      </c>
      <c r="F367" t="s">
        <v>244</v>
      </c>
      <c r="G367" s="39">
        <v>42075</v>
      </c>
      <c r="J367" t="s">
        <v>981</v>
      </c>
    </row>
    <row r="368" spans="1:10" x14ac:dyDescent="0.35">
      <c r="A368">
        <v>11827</v>
      </c>
      <c r="B368" t="s">
        <v>47</v>
      </c>
      <c r="C368" t="s">
        <v>438</v>
      </c>
      <c r="D368" t="s">
        <v>92</v>
      </c>
      <c r="E368" t="s">
        <v>439</v>
      </c>
      <c r="F368" t="s">
        <v>244</v>
      </c>
      <c r="G368" s="39">
        <v>43168</v>
      </c>
      <c r="J368" t="s">
        <v>981</v>
      </c>
    </row>
    <row r="369" spans="1:10" x14ac:dyDescent="0.35">
      <c r="A369">
        <v>13722</v>
      </c>
      <c r="B369" t="s">
        <v>47</v>
      </c>
      <c r="C369" t="s">
        <v>438</v>
      </c>
      <c r="D369" t="s">
        <v>92</v>
      </c>
      <c r="E369" t="s">
        <v>103</v>
      </c>
      <c r="F369" t="s">
        <v>244</v>
      </c>
      <c r="G369" s="39">
        <v>44547</v>
      </c>
      <c r="J369" t="s">
        <v>981</v>
      </c>
    </row>
    <row r="370" spans="1:10" x14ac:dyDescent="0.35">
      <c r="A370">
        <v>16090</v>
      </c>
      <c r="B370" t="s">
        <v>47</v>
      </c>
      <c r="C370" t="s">
        <v>124</v>
      </c>
      <c r="D370" t="s">
        <v>92</v>
      </c>
      <c r="E370" t="s">
        <v>103</v>
      </c>
      <c r="F370" t="s">
        <v>244</v>
      </c>
      <c r="G370" s="39">
        <v>45282</v>
      </c>
      <c r="J370" t="s">
        <v>981</v>
      </c>
    </row>
    <row r="371" spans="1:10" x14ac:dyDescent="0.35">
      <c r="A371">
        <v>17600</v>
      </c>
      <c r="B371" t="s">
        <v>47</v>
      </c>
      <c r="C371" t="s">
        <v>438</v>
      </c>
      <c r="D371" t="s">
        <v>92</v>
      </c>
      <c r="E371" t="s">
        <v>103</v>
      </c>
      <c r="F371" t="s">
        <v>244</v>
      </c>
      <c r="G371" s="39">
        <v>45811</v>
      </c>
      <c r="J371" t="s">
        <v>981</v>
      </c>
    </row>
    <row r="372" spans="1:10" x14ac:dyDescent="0.35">
      <c r="A372">
        <v>13561</v>
      </c>
      <c r="B372" t="s">
        <v>47</v>
      </c>
      <c r="C372" t="s">
        <v>121</v>
      </c>
      <c r="D372" t="s">
        <v>92</v>
      </c>
      <c r="E372" t="s">
        <v>101</v>
      </c>
      <c r="F372" t="s">
        <v>244</v>
      </c>
      <c r="G372" s="39">
        <v>44501</v>
      </c>
      <c r="J372" t="s">
        <v>981</v>
      </c>
    </row>
    <row r="373" spans="1:10" x14ac:dyDescent="0.35">
      <c r="A373">
        <v>10799</v>
      </c>
      <c r="B373" t="s">
        <v>47</v>
      </c>
      <c r="C373" t="s">
        <v>121</v>
      </c>
      <c r="D373" t="s">
        <v>92</v>
      </c>
      <c r="E373" t="s">
        <v>99</v>
      </c>
      <c r="F373" t="s">
        <v>244</v>
      </c>
      <c r="G373" s="39">
        <v>41913</v>
      </c>
      <c r="J373" t="s">
        <v>981</v>
      </c>
    </row>
    <row r="374" spans="1:10" x14ac:dyDescent="0.35">
      <c r="A374">
        <v>10971</v>
      </c>
      <c r="B374" t="s">
        <v>47</v>
      </c>
      <c r="C374" t="s">
        <v>121</v>
      </c>
      <c r="D374" t="s">
        <v>92</v>
      </c>
      <c r="E374" t="s">
        <v>109</v>
      </c>
      <c r="F374" t="s">
        <v>244</v>
      </c>
      <c r="G374" s="39">
        <v>42226</v>
      </c>
      <c r="J374" t="s">
        <v>981</v>
      </c>
    </row>
    <row r="375" spans="1:10" x14ac:dyDescent="0.35">
      <c r="A375">
        <v>10663</v>
      </c>
      <c r="B375" t="s">
        <v>47</v>
      </c>
      <c r="C375" t="s">
        <v>121</v>
      </c>
      <c r="D375" t="s">
        <v>92</v>
      </c>
      <c r="E375" t="s">
        <v>109</v>
      </c>
      <c r="F375" t="s">
        <v>244</v>
      </c>
      <c r="G375" s="39">
        <v>41625</v>
      </c>
      <c r="J375" t="s">
        <v>981</v>
      </c>
    </row>
    <row r="376" spans="1:10" x14ac:dyDescent="0.35">
      <c r="A376">
        <v>10614</v>
      </c>
      <c r="B376" t="s">
        <v>47</v>
      </c>
      <c r="C376" t="s">
        <v>121</v>
      </c>
      <c r="D376" t="s">
        <v>92</v>
      </c>
      <c r="E376" t="s">
        <v>109</v>
      </c>
      <c r="F376" t="s">
        <v>244</v>
      </c>
      <c r="G376" s="39">
        <v>41487</v>
      </c>
      <c r="J376" t="s">
        <v>981</v>
      </c>
    </row>
    <row r="377" spans="1:10" x14ac:dyDescent="0.35">
      <c r="A377">
        <v>15724</v>
      </c>
      <c r="B377" t="s">
        <v>47</v>
      </c>
      <c r="C377" t="s">
        <v>121</v>
      </c>
      <c r="D377" t="s">
        <v>92</v>
      </c>
      <c r="E377" t="s">
        <v>103</v>
      </c>
      <c r="F377" t="s">
        <v>244</v>
      </c>
      <c r="G377" s="39">
        <v>45176</v>
      </c>
      <c r="J377" t="s">
        <v>981</v>
      </c>
    </row>
    <row r="378" spans="1:10" x14ac:dyDescent="0.35">
      <c r="A378">
        <v>10735</v>
      </c>
      <c r="B378" t="s">
        <v>47</v>
      </c>
      <c r="C378" t="s">
        <v>121</v>
      </c>
      <c r="D378" t="s">
        <v>92</v>
      </c>
      <c r="E378" t="s">
        <v>441</v>
      </c>
      <c r="F378" t="s">
        <v>244</v>
      </c>
      <c r="G378" s="39">
        <v>41779</v>
      </c>
      <c r="J378" t="s">
        <v>981</v>
      </c>
    </row>
    <row r="379" spans="1:10" x14ac:dyDescent="0.35">
      <c r="A379">
        <v>12019</v>
      </c>
      <c r="B379" t="s">
        <v>47</v>
      </c>
      <c r="C379" t="s">
        <v>438</v>
      </c>
      <c r="D379" t="s">
        <v>92</v>
      </c>
      <c r="E379" t="s">
        <v>442</v>
      </c>
      <c r="F379" t="s">
        <v>244</v>
      </c>
      <c r="G379" s="39">
        <v>43389</v>
      </c>
      <c r="J379" t="s">
        <v>981</v>
      </c>
    </row>
    <row r="380" spans="1:10" x14ac:dyDescent="0.35">
      <c r="A380">
        <v>16415</v>
      </c>
      <c r="B380" t="s">
        <v>47</v>
      </c>
      <c r="C380" t="s">
        <v>438</v>
      </c>
      <c r="D380" t="s">
        <v>92</v>
      </c>
      <c r="E380" t="s">
        <v>442</v>
      </c>
      <c r="F380" t="s">
        <v>244</v>
      </c>
      <c r="G380" s="39">
        <v>45384</v>
      </c>
      <c r="J380" t="s">
        <v>981</v>
      </c>
    </row>
    <row r="381" spans="1:10" x14ac:dyDescent="0.35">
      <c r="A381">
        <v>18052</v>
      </c>
      <c r="B381" t="s">
        <v>47</v>
      </c>
      <c r="C381" t="s">
        <v>438</v>
      </c>
      <c r="D381" t="s">
        <v>92</v>
      </c>
      <c r="E381" t="s">
        <v>442</v>
      </c>
      <c r="F381" t="s">
        <v>244</v>
      </c>
      <c r="G381" s="39">
        <v>45979</v>
      </c>
      <c r="J381" t="s">
        <v>981</v>
      </c>
    </row>
    <row r="382" spans="1:10" x14ac:dyDescent="0.35">
      <c r="A382">
        <v>18843</v>
      </c>
      <c r="B382" t="s">
        <v>47</v>
      </c>
      <c r="C382" t="s">
        <v>438</v>
      </c>
      <c r="D382" t="s">
        <v>92</v>
      </c>
      <c r="E382" t="s">
        <v>442</v>
      </c>
      <c r="F382" t="s">
        <v>244</v>
      </c>
      <c r="G382" s="39">
        <v>46224</v>
      </c>
      <c r="J382" t="s">
        <v>981</v>
      </c>
    </row>
    <row r="383" spans="1:10" x14ac:dyDescent="0.35">
      <c r="A383">
        <v>11158</v>
      </c>
      <c r="B383" t="s">
        <v>22</v>
      </c>
      <c r="C383" t="s">
        <v>92</v>
      </c>
      <c r="D383" t="s">
        <v>92</v>
      </c>
      <c r="E383" t="s">
        <v>110</v>
      </c>
      <c r="F383" t="s">
        <v>244</v>
      </c>
      <c r="G383" s="39">
        <v>42331</v>
      </c>
      <c r="J383" t="s">
        <v>981</v>
      </c>
    </row>
    <row r="384" spans="1:10" x14ac:dyDescent="0.35">
      <c r="A384">
        <v>18790</v>
      </c>
      <c r="B384" t="s">
        <v>22</v>
      </c>
      <c r="C384" t="s">
        <v>92</v>
      </c>
      <c r="D384" t="s">
        <v>92</v>
      </c>
      <c r="E384" t="s">
        <v>443</v>
      </c>
      <c r="F384" t="s">
        <v>244</v>
      </c>
      <c r="G384" s="39">
        <v>46211</v>
      </c>
      <c r="J384" t="s">
        <v>981</v>
      </c>
    </row>
    <row r="385" spans="1:10" x14ac:dyDescent="0.35">
      <c r="A385">
        <v>10770</v>
      </c>
      <c r="B385" t="s">
        <v>22</v>
      </c>
      <c r="C385" t="s">
        <v>107</v>
      </c>
      <c r="D385" t="s">
        <v>92</v>
      </c>
      <c r="E385" t="s">
        <v>126</v>
      </c>
      <c r="F385" t="s">
        <v>244</v>
      </c>
      <c r="G385" s="39">
        <v>41852</v>
      </c>
      <c r="J385" t="s">
        <v>981</v>
      </c>
    </row>
    <row r="386" spans="1:10" x14ac:dyDescent="0.35">
      <c r="A386">
        <v>18411</v>
      </c>
      <c r="B386" t="s">
        <v>22</v>
      </c>
      <c r="C386" t="s">
        <v>107</v>
      </c>
      <c r="D386" t="s">
        <v>108</v>
      </c>
      <c r="E386" t="s">
        <v>96</v>
      </c>
      <c r="F386" t="s">
        <v>244</v>
      </c>
      <c r="G386" s="39">
        <v>46127</v>
      </c>
      <c r="J386" t="s">
        <v>981</v>
      </c>
    </row>
    <row r="387" spans="1:10" x14ac:dyDescent="0.35">
      <c r="A387">
        <v>13207</v>
      </c>
      <c r="B387" t="s">
        <v>22</v>
      </c>
      <c r="C387" t="s">
        <v>127</v>
      </c>
      <c r="D387" t="s">
        <v>92</v>
      </c>
      <c r="E387" t="s">
        <v>96</v>
      </c>
      <c r="F387" t="s">
        <v>244</v>
      </c>
      <c r="G387" s="39">
        <v>44321</v>
      </c>
      <c r="J387" t="s">
        <v>981</v>
      </c>
    </row>
    <row r="388" spans="1:10" x14ac:dyDescent="0.35">
      <c r="A388">
        <v>18404</v>
      </c>
      <c r="B388" t="s">
        <v>22</v>
      </c>
      <c r="C388" t="s">
        <v>127</v>
      </c>
      <c r="D388" t="s">
        <v>92</v>
      </c>
      <c r="E388" t="s">
        <v>444</v>
      </c>
      <c r="F388" t="s">
        <v>244</v>
      </c>
      <c r="G388" s="39">
        <v>46121</v>
      </c>
      <c r="J388" t="s">
        <v>981</v>
      </c>
    </row>
    <row r="389" spans="1:10" x14ac:dyDescent="0.35">
      <c r="A389">
        <v>15505</v>
      </c>
      <c r="B389" t="s">
        <v>22</v>
      </c>
      <c r="C389" t="s">
        <v>127</v>
      </c>
      <c r="D389" t="s">
        <v>92</v>
      </c>
      <c r="E389" t="s">
        <v>128</v>
      </c>
      <c r="F389" t="s">
        <v>244</v>
      </c>
      <c r="G389" s="39">
        <v>45097</v>
      </c>
      <c r="J389" t="s">
        <v>981</v>
      </c>
    </row>
    <row r="390" spans="1:10" x14ac:dyDescent="0.35">
      <c r="A390">
        <v>17430</v>
      </c>
      <c r="B390" t="s">
        <v>22</v>
      </c>
      <c r="C390" t="s">
        <v>127</v>
      </c>
      <c r="D390" t="s">
        <v>92</v>
      </c>
      <c r="E390" t="s">
        <v>128</v>
      </c>
      <c r="F390" t="s">
        <v>244</v>
      </c>
      <c r="G390" s="39">
        <v>45749</v>
      </c>
      <c r="J390" t="s">
        <v>981</v>
      </c>
    </row>
    <row r="391" spans="1:10" x14ac:dyDescent="0.35">
      <c r="A391">
        <v>12412</v>
      </c>
      <c r="B391" t="s">
        <v>22</v>
      </c>
      <c r="C391" t="s">
        <v>127</v>
      </c>
      <c r="D391" t="s">
        <v>92</v>
      </c>
      <c r="E391" t="s">
        <v>128</v>
      </c>
      <c r="F391" t="s">
        <v>244</v>
      </c>
      <c r="G391" s="39">
        <v>43732</v>
      </c>
      <c r="J391" t="s">
        <v>981</v>
      </c>
    </row>
    <row r="392" spans="1:10" x14ac:dyDescent="0.35">
      <c r="A392">
        <v>15417</v>
      </c>
      <c r="B392" t="s">
        <v>22</v>
      </c>
      <c r="C392" t="s">
        <v>127</v>
      </c>
      <c r="D392" t="s">
        <v>92</v>
      </c>
      <c r="E392" t="s">
        <v>128</v>
      </c>
      <c r="F392" t="s">
        <v>244</v>
      </c>
      <c r="G392" s="39">
        <v>45061</v>
      </c>
      <c r="J392" t="s">
        <v>981</v>
      </c>
    </row>
    <row r="393" spans="1:10" x14ac:dyDescent="0.35">
      <c r="A393">
        <v>18287</v>
      </c>
      <c r="B393" t="s">
        <v>22</v>
      </c>
      <c r="C393" t="s">
        <v>127</v>
      </c>
      <c r="D393" t="s">
        <v>92</v>
      </c>
      <c r="E393" t="s">
        <v>128</v>
      </c>
      <c r="F393" t="s">
        <v>244</v>
      </c>
      <c r="G393" s="39">
        <v>46072</v>
      </c>
      <c r="H393" t="s">
        <v>249</v>
      </c>
      <c r="J393" t="s">
        <v>981</v>
      </c>
    </row>
    <row r="394" spans="1:10" x14ac:dyDescent="0.35">
      <c r="A394">
        <v>13011</v>
      </c>
      <c r="B394" t="s">
        <v>22</v>
      </c>
      <c r="C394" t="s">
        <v>127</v>
      </c>
      <c r="D394" t="s">
        <v>92</v>
      </c>
      <c r="E394" t="s">
        <v>128</v>
      </c>
      <c r="F394" t="s">
        <v>244</v>
      </c>
      <c r="G394" s="39">
        <v>44190</v>
      </c>
      <c r="J394" t="s">
        <v>981</v>
      </c>
    </row>
    <row r="395" spans="1:10" x14ac:dyDescent="0.35">
      <c r="A395">
        <v>140038</v>
      </c>
      <c r="B395" t="s">
        <v>22</v>
      </c>
      <c r="C395" t="s">
        <v>127</v>
      </c>
      <c r="D395" t="s">
        <v>92</v>
      </c>
      <c r="E395" t="s">
        <v>103</v>
      </c>
      <c r="F395" t="s">
        <v>244</v>
      </c>
      <c r="G395" s="39">
        <v>43136</v>
      </c>
      <c r="J395" t="s">
        <v>981</v>
      </c>
    </row>
    <row r="396" spans="1:10" x14ac:dyDescent="0.35">
      <c r="A396">
        <v>19176</v>
      </c>
      <c r="B396" t="s">
        <v>22</v>
      </c>
      <c r="C396" t="s">
        <v>127</v>
      </c>
      <c r="D396" t="s">
        <v>92</v>
      </c>
      <c r="E396" t="s">
        <v>103</v>
      </c>
      <c r="F396" t="s">
        <v>244</v>
      </c>
      <c r="G396" s="39">
        <v>46279</v>
      </c>
      <c r="J396" t="s">
        <v>981</v>
      </c>
    </row>
    <row r="397" spans="1:10" x14ac:dyDescent="0.35">
      <c r="A397">
        <v>18701</v>
      </c>
      <c r="B397" t="s">
        <v>22</v>
      </c>
      <c r="C397" t="s">
        <v>127</v>
      </c>
      <c r="D397" t="s">
        <v>92</v>
      </c>
      <c r="E397" t="s">
        <v>106</v>
      </c>
      <c r="F397" t="s">
        <v>244</v>
      </c>
      <c r="G397" s="39">
        <v>46191</v>
      </c>
      <c r="J397" t="s">
        <v>981</v>
      </c>
    </row>
    <row r="398" spans="1:10" x14ac:dyDescent="0.35">
      <c r="A398">
        <v>18290</v>
      </c>
      <c r="B398" t="s">
        <v>22</v>
      </c>
      <c r="C398" t="s">
        <v>129</v>
      </c>
      <c r="D398" t="s">
        <v>92</v>
      </c>
      <c r="E398" t="s">
        <v>109</v>
      </c>
      <c r="F398" t="s">
        <v>244</v>
      </c>
      <c r="G398" s="39">
        <v>46072</v>
      </c>
      <c r="H398" t="s">
        <v>249</v>
      </c>
      <c r="J398" t="s">
        <v>981</v>
      </c>
    </row>
    <row r="399" spans="1:10" x14ac:dyDescent="0.35">
      <c r="A399">
        <v>18284</v>
      </c>
      <c r="B399" t="s">
        <v>22</v>
      </c>
      <c r="C399" t="s">
        <v>127</v>
      </c>
      <c r="D399" t="s">
        <v>92</v>
      </c>
      <c r="E399" t="s">
        <v>102</v>
      </c>
      <c r="F399" t="s">
        <v>244</v>
      </c>
      <c r="G399" s="39">
        <v>46072</v>
      </c>
      <c r="H399" t="s">
        <v>249</v>
      </c>
      <c r="J399" t="s">
        <v>981</v>
      </c>
    </row>
    <row r="400" spans="1:10" x14ac:dyDescent="0.35">
      <c r="A400">
        <v>18276</v>
      </c>
      <c r="B400" t="s">
        <v>22</v>
      </c>
      <c r="C400" t="s">
        <v>127</v>
      </c>
      <c r="D400" t="s">
        <v>92</v>
      </c>
      <c r="E400" t="s">
        <v>102</v>
      </c>
      <c r="F400" t="s">
        <v>244</v>
      </c>
      <c r="G400" s="39">
        <v>46071</v>
      </c>
      <c r="H400" t="s">
        <v>57</v>
      </c>
      <c r="J400" t="s">
        <v>981</v>
      </c>
    </row>
    <row r="401" spans="1:10" x14ac:dyDescent="0.35">
      <c r="A401">
        <v>18279</v>
      </c>
      <c r="B401" t="s">
        <v>22</v>
      </c>
      <c r="C401" t="s">
        <v>127</v>
      </c>
      <c r="D401" t="s">
        <v>92</v>
      </c>
      <c r="E401" t="s">
        <v>102</v>
      </c>
      <c r="F401" t="s">
        <v>244</v>
      </c>
      <c r="G401" s="39">
        <v>46071</v>
      </c>
      <c r="H401" t="s">
        <v>57</v>
      </c>
      <c r="J401" t="s">
        <v>981</v>
      </c>
    </row>
    <row r="402" spans="1:10" x14ac:dyDescent="0.35">
      <c r="A402">
        <v>18246</v>
      </c>
      <c r="B402" t="s">
        <v>22</v>
      </c>
      <c r="C402" t="s">
        <v>127</v>
      </c>
      <c r="D402" t="s">
        <v>92</v>
      </c>
      <c r="E402" t="s">
        <v>102</v>
      </c>
      <c r="F402" t="s">
        <v>244</v>
      </c>
      <c r="G402" s="39">
        <v>46064</v>
      </c>
      <c r="H402" t="s">
        <v>248</v>
      </c>
      <c r="J402" t="s">
        <v>981</v>
      </c>
    </row>
    <row r="403" spans="1:10" x14ac:dyDescent="0.35">
      <c r="A403">
        <v>18021</v>
      </c>
      <c r="B403" t="s">
        <v>22</v>
      </c>
      <c r="C403" t="s">
        <v>129</v>
      </c>
      <c r="D403" t="s">
        <v>130</v>
      </c>
      <c r="E403" t="s">
        <v>96</v>
      </c>
      <c r="F403" t="s">
        <v>244</v>
      </c>
      <c r="G403" s="39">
        <v>45964</v>
      </c>
      <c r="J403" t="s">
        <v>981</v>
      </c>
    </row>
    <row r="404" spans="1:10" x14ac:dyDescent="0.35">
      <c r="A404">
        <v>120019</v>
      </c>
      <c r="B404" t="s">
        <v>22</v>
      </c>
      <c r="C404" t="s">
        <v>129</v>
      </c>
      <c r="D404" t="s">
        <v>130</v>
      </c>
      <c r="E404" t="s">
        <v>99</v>
      </c>
      <c r="F404" t="s">
        <v>244</v>
      </c>
      <c r="G404" s="39">
        <v>39003</v>
      </c>
      <c r="J404" t="s">
        <v>981</v>
      </c>
    </row>
    <row r="405" spans="1:10" x14ac:dyDescent="0.35">
      <c r="A405">
        <v>18766</v>
      </c>
      <c r="B405" t="s">
        <v>22</v>
      </c>
      <c r="C405" t="s">
        <v>129</v>
      </c>
      <c r="D405" t="s">
        <v>130</v>
      </c>
      <c r="E405" t="s">
        <v>99</v>
      </c>
      <c r="F405" t="s">
        <v>244</v>
      </c>
      <c r="G405" s="39">
        <v>46204</v>
      </c>
      <c r="H405" t="s">
        <v>57</v>
      </c>
      <c r="J405" t="s">
        <v>981</v>
      </c>
    </row>
    <row r="406" spans="1:10" x14ac:dyDescent="0.35">
      <c r="A406">
        <v>10620</v>
      </c>
      <c r="B406" t="s">
        <v>22</v>
      </c>
      <c r="C406" t="s">
        <v>129</v>
      </c>
      <c r="D406" t="s">
        <v>130</v>
      </c>
      <c r="E406" t="s">
        <v>109</v>
      </c>
      <c r="F406" t="s">
        <v>244</v>
      </c>
      <c r="G406" s="39">
        <v>36684</v>
      </c>
      <c r="J406" t="s">
        <v>981</v>
      </c>
    </row>
    <row r="407" spans="1:10" x14ac:dyDescent="0.35">
      <c r="A407">
        <v>10010</v>
      </c>
      <c r="B407" t="s">
        <v>22</v>
      </c>
      <c r="C407" t="s">
        <v>129</v>
      </c>
      <c r="D407" t="s">
        <v>130</v>
      </c>
      <c r="E407" t="s">
        <v>109</v>
      </c>
      <c r="F407" t="s">
        <v>244</v>
      </c>
      <c r="G407" s="39">
        <v>36735</v>
      </c>
      <c r="J407" t="s">
        <v>981</v>
      </c>
    </row>
    <row r="408" spans="1:10" x14ac:dyDescent="0.35">
      <c r="A408">
        <v>18725</v>
      </c>
      <c r="B408" t="s">
        <v>22</v>
      </c>
      <c r="C408" t="s">
        <v>129</v>
      </c>
      <c r="D408" t="s">
        <v>130</v>
      </c>
      <c r="E408" t="s">
        <v>109</v>
      </c>
      <c r="F408" t="s">
        <v>244</v>
      </c>
      <c r="G408" s="39">
        <v>46195</v>
      </c>
      <c r="H408" t="s">
        <v>249</v>
      </c>
      <c r="J408" t="s">
        <v>981</v>
      </c>
    </row>
    <row r="409" spans="1:10" x14ac:dyDescent="0.35">
      <c r="A409">
        <v>18726</v>
      </c>
      <c r="B409" t="s">
        <v>22</v>
      </c>
      <c r="C409" t="s">
        <v>129</v>
      </c>
      <c r="D409" t="s">
        <v>130</v>
      </c>
      <c r="E409" t="s">
        <v>109</v>
      </c>
      <c r="F409" t="s">
        <v>244</v>
      </c>
      <c r="G409" s="39">
        <v>46195</v>
      </c>
      <c r="H409" t="s">
        <v>249</v>
      </c>
      <c r="J409" t="s">
        <v>981</v>
      </c>
    </row>
    <row r="410" spans="1:10" x14ac:dyDescent="0.35">
      <c r="A410">
        <v>18753</v>
      </c>
      <c r="B410" t="s">
        <v>22</v>
      </c>
      <c r="C410" t="s">
        <v>129</v>
      </c>
      <c r="D410" t="s">
        <v>130</v>
      </c>
      <c r="E410" t="s">
        <v>109</v>
      </c>
      <c r="F410" t="s">
        <v>244</v>
      </c>
      <c r="G410" s="39">
        <v>46204</v>
      </c>
      <c r="J410" t="s">
        <v>981</v>
      </c>
    </row>
    <row r="411" spans="1:10" x14ac:dyDescent="0.35">
      <c r="A411">
        <v>13284</v>
      </c>
      <c r="B411" t="s">
        <v>22</v>
      </c>
      <c r="C411" t="s">
        <v>129</v>
      </c>
      <c r="D411" t="s">
        <v>130</v>
      </c>
      <c r="E411" t="s">
        <v>109</v>
      </c>
      <c r="F411" t="s">
        <v>244</v>
      </c>
      <c r="G411" s="39">
        <v>44365</v>
      </c>
      <c r="J411" t="s">
        <v>981</v>
      </c>
    </row>
    <row r="412" spans="1:10" x14ac:dyDescent="0.35">
      <c r="A412">
        <v>18957</v>
      </c>
      <c r="B412" t="s">
        <v>22</v>
      </c>
      <c r="C412" t="s">
        <v>129</v>
      </c>
      <c r="D412" t="s">
        <v>130</v>
      </c>
      <c r="E412" t="s">
        <v>109</v>
      </c>
      <c r="F412" t="s">
        <v>244</v>
      </c>
      <c r="G412" s="39">
        <v>46251</v>
      </c>
      <c r="J412" t="s">
        <v>981</v>
      </c>
    </row>
    <row r="413" spans="1:10" x14ac:dyDescent="0.35">
      <c r="A413">
        <v>18770</v>
      </c>
      <c r="B413" t="s">
        <v>22</v>
      </c>
      <c r="C413" t="s">
        <v>129</v>
      </c>
      <c r="D413" t="s">
        <v>130</v>
      </c>
      <c r="E413" t="s">
        <v>109</v>
      </c>
      <c r="F413" t="s">
        <v>244</v>
      </c>
      <c r="G413" s="39">
        <v>46204</v>
      </c>
      <c r="H413" t="s">
        <v>57</v>
      </c>
      <c r="J413" t="s">
        <v>981</v>
      </c>
    </row>
    <row r="414" spans="1:10" x14ac:dyDescent="0.35">
      <c r="A414">
        <v>12773</v>
      </c>
      <c r="B414" t="s">
        <v>22</v>
      </c>
      <c r="C414" t="s">
        <v>129</v>
      </c>
      <c r="D414" t="s">
        <v>130</v>
      </c>
      <c r="E414" t="s">
        <v>102</v>
      </c>
      <c r="F414" t="s">
        <v>244</v>
      </c>
      <c r="G414" s="39">
        <v>43906</v>
      </c>
      <c r="J414" t="s">
        <v>981</v>
      </c>
    </row>
    <row r="415" spans="1:10" x14ac:dyDescent="0.35">
      <c r="A415">
        <v>11745</v>
      </c>
      <c r="B415" t="s">
        <v>22</v>
      </c>
      <c r="C415" t="s">
        <v>129</v>
      </c>
      <c r="D415" t="s">
        <v>130</v>
      </c>
      <c r="E415" t="s">
        <v>102</v>
      </c>
      <c r="F415" t="s">
        <v>244</v>
      </c>
      <c r="G415" s="39">
        <v>43080</v>
      </c>
      <c r="J415" t="s">
        <v>981</v>
      </c>
    </row>
    <row r="416" spans="1:10" x14ac:dyDescent="0.35">
      <c r="A416">
        <v>14365</v>
      </c>
      <c r="B416" t="s">
        <v>22</v>
      </c>
      <c r="C416" t="s">
        <v>129</v>
      </c>
      <c r="D416" t="s">
        <v>130</v>
      </c>
      <c r="E416" t="s">
        <v>102</v>
      </c>
      <c r="F416" t="s">
        <v>244</v>
      </c>
      <c r="G416" s="39">
        <v>44740</v>
      </c>
      <c r="J416" t="s">
        <v>981</v>
      </c>
    </row>
    <row r="417" spans="1:10" x14ac:dyDescent="0.35">
      <c r="A417">
        <v>15705</v>
      </c>
      <c r="B417" t="s">
        <v>22</v>
      </c>
      <c r="C417" t="s">
        <v>129</v>
      </c>
      <c r="D417" t="s">
        <v>445</v>
      </c>
      <c r="E417" t="s">
        <v>102</v>
      </c>
      <c r="F417" t="s">
        <v>244</v>
      </c>
      <c r="G417" s="39">
        <v>45170</v>
      </c>
      <c r="J417" t="s">
        <v>981</v>
      </c>
    </row>
    <row r="418" spans="1:10" x14ac:dyDescent="0.35">
      <c r="A418">
        <v>13525</v>
      </c>
      <c r="B418" t="s">
        <v>22</v>
      </c>
      <c r="C418" t="s">
        <v>129</v>
      </c>
      <c r="D418" t="s">
        <v>130</v>
      </c>
      <c r="E418" t="s">
        <v>102</v>
      </c>
      <c r="F418" t="s">
        <v>244</v>
      </c>
      <c r="G418" s="39">
        <v>44483</v>
      </c>
      <c r="J418" t="s">
        <v>981</v>
      </c>
    </row>
    <row r="419" spans="1:10" x14ac:dyDescent="0.35">
      <c r="A419">
        <v>14793</v>
      </c>
      <c r="B419" t="s">
        <v>22</v>
      </c>
      <c r="C419" t="s">
        <v>129</v>
      </c>
      <c r="D419" t="s">
        <v>130</v>
      </c>
      <c r="E419" t="s">
        <v>102</v>
      </c>
      <c r="F419" t="s">
        <v>411</v>
      </c>
      <c r="G419" s="39">
        <v>44858</v>
      </c>
      <c r="J419" t="s">
        <v>981</v>
      </c>
    </row>
    <row r="420" spans="1:10" x14ac:dyDescent="0.35">
      <c r="A420">
        <v>18200</v>
      </c>
      <c r="B420" t="s">
        <v>22</v>
      </c>
      <c r="C420" t="s">
        <v>129</v>
      </c>
      <c r="D420" t="s">
        <v>130</v>
      </c>
      <c r="E420" t="s">
        <v>425</v>
      </c>
      <c r="F420" t="s">
        <v>244</v>
      </c>
      <c r="G420" s="39">
        <v>46048</v>
      </c>
      <c r="J420" t="s">
        <v>981</v>
      </c>
    </row>
    <row r="421" spans="1:10" x14ac:dyDescent="0.35">
      <c r="A421">
        <v>15764</v>
      </c>
      <c r="B421" t="s">
        <v>22</v>
      </c>
      <c r="C421" t="s">
        <v>129</v>
      </c>
      <c r="D421" t="s">
        <v>130</v>
      </c>
      <c r="E421" t="s">
        <v>103</v>
      </c>
      <c r="F421" t="s">
        <v>411</v>
      </c>
      <c r="G421" s="39">
        <v>45190</v>
      </c>
      <c r="J421" t="s">
        <v>981</v>
      </c>
    </row>
    <row r="422" spans="1:10" x14ac:dyDescent="0.35">
      <c r="A422">
        <v>17972</v>
      </c>
      <c r="B422" t="s">
        <v>22</v>
      </c>
      <c r="C422" t="s">
        <v>129</v>
      </c>
      <c r="D422" t="s">
        <v>130</v>
      </c>
      <c r="E422" t="s">
        <v>424</v>
      </c>
      <c r="F422" t="s">
        <v>244</v>
      </c>
      <c r="G422" s="39">
        <v>45937</v>
      </c>
      <c r="J422" t="s">
        <v>981</v>
      </c>
    </row>
    <row r="423" spans="1:10" x14ac:dyDescent="0.35">
      <c r="A423">
        <v>13442</v>
      </c>
      <c r="B423" t="s">
        <v>22</v>
      </c>
      <c r="C423" t="s">
        <v>129</v>
      </c>
      <c r="D423" t="s">
        <v>130</v>
      </c>
      <c r="E423" t="s">
        <v>103</v>
      </c>
      <c r="F423" t="s">
        <v>411</v>
      </c>
      <c r="G423" s="39">
        <v>44455</v>
      </c>
      <c r="J423" t="s">
        <v>981</v>
      </c>
    </row>
    <row r="424" spans="1:10" x14ac:dyDescent="0.35">
      <c r="A424">
        <v>18494</v>
      </c>
      <c r="B424" t="s">
        <v>22</v>
      </c>
      <c r="C424" t="s">
        <v>129</v>
      </c>
      <c r="D424" t="s">
        <v>130</v>
      </c>
      <c r="E424" t="s">
        <v>425</v>
      </c>
      <c r="F424" t="s">
        <v>244</v>
      </c>
      <c r="G424" s="39">
        <v>46139</v>
      </c>
      <c r="J424" t="s">
        <v>981</v>
      </c>
    </row>
    <row r="425" spans="1:10" x14ac:dyDescent="0.35">
      <c r="A425">
        <v>16373</v>
      </c>
      <c r="B425" t="s">
        <v>22</v>
      </c>
      <c r="C425" t="s">
        <v>129</v>
      </c>
      <c r="D425" t="s">
        <v>130</v>
      </c>
      <c r="E425" t="s">
        <v>103</v>
      </c>
      <c r="F425" t="s">
        <v>244</v>
      </c>
      <c r="G425" s="39">
        <v>45363</v>
      </c>
      <c r="J425" t="s">
        <v>981</v>
      </c>
    </row>
    <row r="426" spans="1:10" x14ac:dyDescent="0.35">
      <c r="A426">
        <v>18768</v>
      </c>
      <c r="B426" t="s">
        <v>22</v>
      </c>
      <c r="C426" t="s">
        <v>129</v>
      </c>
      <c r="D426" t="s">
        <v>130</v>
      </c>
      <c r="E426" t="s">
        <v>103</v>
      </c>
      <c r="F426" t="s">
        <v>244</v>
      </c>
      <c r="G426" s="39">
        <v>46204</v>
      </c>
      <c r="H426" t="s">
        <v>57</v>
      </c>
      <c r="J426" t="s">
        <v>981</v>
      </c>
    </row>
    <row r="427" spans="1:10" x14ac:dyDescent="0.35">
      <c r="A427">
        <v>18769</v>
      </c>
      <c r="B427" t="s">
        <v>22</v>
      </c>
      <c r="C427" t="s">
        <v>129</v>
      </c>
      <c r="D427" t="s">
        <v>130</v>
      </c>
      <c r="E427" t="s">
        <v>103</v>
      </c>
      <c r="F427" t="s">
        <v>244</v>
      </c>
      <c r="G427" s="39">
        <v>46204</v>
      </c>
      <c r="H427" t="s">
        <v>57</v>
      </c>
      <c r="J427" t="s">
        <v>981</v>
      </c>
    </row>
    <row r="428" spans="1:10" x14ac:dyDescent="0.35">
      <c r="A428">
        <v>18767</v>
      </c>
      <c r="B428" t="s">
        <v>22</v>
      </c>
      <c r="C428" t="s">
        <v>129</v>
      </c>
      <c r="D428" t="s">
        <v>130</v>
      </c>
      <c r="E428" t="s">
        <v>103</v>
      </c>
      <c r="F428" t="s">
        <v>244</v>
      </c>
      <c r="G428" s="39">
        <v>46213</v>
      </c>
      <c r="H428" t="s">
        <v>57</v>
      </c>
      <c r="J428" t="s">
        <v>981</v>
      </c>
    </row>
    <row r="429" spans="1:10" x14ac:dyDescent="0.35">
      <c r="A429">
        <v>18727</v>
      </c>
      <c r="B429" t="s">
        <v>22</v>
      </c>
      <c r="C429" t="s">
        <v>129</v>
      </c>
      <c r="D429" t="s">
        <v>130</v>
      </c>
      <c r="E429" t="s">
        <v>103</v>
      </c>
      <c r="F429" t="s">
        <v>244</v>
      </c>
      <c r="G429" s="39">
        <v>46195</v>
      </c>
      <c r="H429" t="s">
        <v>249</v>
      </c>
      <c r="J429" t="s">
        <v>981</v>
      </c>
    </row>
    <row r="430" spans="1:10" x14ac:dyDescent="0.35">
      <c r="A430">
        <v>18728</v>
      </c>
      <c r="B430" t="s">
        <v>22</v>
      </c>
      <c r="C430" t="s">
        <v>129</v>
      </c>
      <c r="D430" t="s">
        <v>130</v>
      </c>
      <c r="E430" t="s">
        <v>103</v>
      </c>
      <c r="F430" t="s">
        <v>244</v>
      </c>
      <c r="G430" s="39">
        <v>46195</v>
      </c>
      <c r="H430" t="s">
        <v>249</v>
      </c>
      <c r="J430" t="s">
        <v>981</v>
      </c>
    </row>
    <row r="431" spans="1:10" x14ac:dyDescent="0.35">
      <c r="A431">
        <v>11176</v>
      </c>
      <c r="B431" t="s">
        <v>22</v>
      </c>
      <c r="C431" t="s">
        <v>129</v>
      </c>
      <c r="D431" t="s">
        <v>92</v>
      </c>
      <c r="E431" t="s">
        <v>397</v>
      </c>
      <c r="F431" t="s">
        <v>244</v>
      </c>
      <c r="G431" s="39">
        <v>42355</v>
      </c>
      <c r="J431" t="s">
        <v>981</v>
      </c>
    </row>
    <row r="432" spans="1:10" x14ac:dyDescent="0.35">
      <c r="A432">
        <v>18579</v>
      </c>
      <c r="B432" t="s">
        <v>22</v>
      </c>
      <c r="C432" t="s">
        <v>129</v>
      </c>
      <c r="D432" t="s">
        <v>445</v>
      </c>
      <c r="E432" t="s">
        <v>102</v>
      </c>
      <c r="F432" t="s">
        <v>244</v>
      </c>
      <c r="G432" s="39">
        <v>46155</v>
      </c>
      <c r="J432" t="s">
        <v>981</v>
      </c>
    </row>
    <row r="433" spans="1:10" x14ac:dyDescent="0.35">
      <c r="A433">
        <v>15443</v>
      </c>
      <c r="B433" t="s">
        <v>56</v>
      </c>
      <c r="C433" t="s">
        <v>446</v>
      </c>
      <c r="D433" t="s">
        <v>92</v>
      </c>
      <c r="E433" t="s">
        <v>101</v>
      </c>
      <c r="F433" t="s">
        <v>244</v>
      </c>
      <c r="G433" s="39">
        <v>45068</v>
      </c>
      <c r="J433" t="s">
        <v>981</v>
      </c>
    </row>
    <row r="434" spans="1:10" x14ac:dyDescent="0.35">
      <c r="A434">
        <v>12520</v>
      </c>
      <c r="B434" t="s">
        <v>56</v>
      </c>
      <c r="C434" t="s">
        <v>446</v>
      </c>
      <c r="D434" t="s">
        <v>92</v>
      </c>
      <c r="E434" t="s">
        <v>109</v>
      </c>
      <c r="F434" t="s">
        <v>244</v>
      </c>
      <c r="G434" s="39">
        <v>43795</v>
      </c>
      <c r="J434" t="s">
        <v>981</v>
      </c>
    </row>
    <row r="435" spans="1:10" x14ac:dyDescent="0.35">
      <c r="A435">
        <v>17175</v>
      </c>
      <c r="B435" t="s">
        <v>56</v>
      </c>
      <c r="C435" t="s">
        <v>446</v>
      </c>
      <c r="D435" t="s">
        <v>92</v>
      </c>
      <c r="E435" t="s">
        <v>109</v>
      </c>
      <c r="F435" t="s">
        <v>244</v>
      </c>
      <c r="G435" s="39">
        <v>45664</v>
      </c>
      <c r="J435" t="s">
        <v>981</v>
      </c>
    </row>
    <row r="436" spans="1:10" x14ac:dyDescent="0.35">
      <c r="A436">
        <v>17833</v>
      </c>
      <c r="B436" t="s">
        <v>56</v>
      </c>
      <c r="C436" t="s">
        <v>446</v>
      </c>
      <c r="D436" t="s">
        <v>92</v>
      </c>
      <c r="E436" t="s">
        <v>102</v>
      </c>
      <c r="F436" t="s">
        <v>244</v>
      </c>
      <c r="G436" s="39">
        <v>45883</v>
      </c>
      <c r="J436" t="s">
        <v>981</v>
      </c>
    </row>
    <row r="437" spans="1:10" x14ac:dyDescent="0.35">
      <c r="A437">
        <v>15408</v>
      </c>
      <c r="B437" t="s">
        <v>56</v>
      </c>
      <c r="C437" t="s">
        <v>446</v>
      </c>
      <c r="D437" t="s">
        <v>92</v>
      </c>
      <c r="E437" t="s">
        <v>102</v>
      </c>
      <c r="F437" t="s">
        <v>244</v>
      </c>
      <c r="G437" s="39">
        <v>45058</v>
      </c>
      <c r="J437" t="s">
        <v>981</v>
      </c>
    </row>
    <row r="438" spans="1:10" x14ac:dyDescent="0.35">
      <c r="A438">
        <v>15672</v>
      </c>
      <c r="B438" t="s">
        <v>56</v>
      </c>
      <c r="C438" t="s">
        <v>446</v>
      </c>
      <c r="D438" t="s">
        <v>92</v>
      </c>
      <c r="E438" t="s">
        <v>109</v>
      </c>
      <c r="F438" t="s">
        <v>244</v>
      </c>
      <c r="G438" s="39">
        <v>45162</v>
      </c>
      <c r="J438" t="s">
        <v>981</v>
      </c>
    </row>
    <row r="439" spans="1:10" x14ac:dyDescent="0.35">
      <c r="A439">
        <v>14732</v>
      </c>
      <c r="B439" t="s">
        <v>56</v>
      </c>
      <c r="C439" t="s">
        <v>446</v>
      </c>
      <c r="D439" t="s">
        <v>92</v>
      </c>
      <c r="E439" t="s">
        <v>102</v>
      </c>
      <c r="F439" t="s">
        <v>244</v>
      </c>
      <c r="G439" s="39">
        <v>44840</v>
      </c>
      <c r="J439" t="s">
        <v>981</v>
      </c>
    </row>
    <row r="440" spans="1:10" x14ac:dyDescent="0.35">
      <c r="A440">
        <v>12912</v>
      </c>
      <c r="B440" t="s">
        <v>22</v>
      </c>
      <c r="C440" t="s">
        <v>129</v>
      </c>
      <c r="D440" t="s">
        <v>447</v>
      </c>
      <c r="E440" t="s">
        <v>99</v>
      </c>
      <c r="F440" t="s">
        <v>244</v>
      </c>
      <c r="G440" s="39">
        <v>44099</v>
      </c>
      <c r="J440" t="s">
        <v>981</v>
      </c>
    </row>
    <row r="441" spans="1:10" x14ac:dyDescent="0.35">
      <c r="A441">
        <v>17695</v>
      </c>
      <c r="B441" t="s">
        <v>22</v>
      </c>
      <c r="C441" t="s">
        <v>129</v>
      </c>
      <c r="D441" t="s">
        <v>447</v>
      </c>
      <c r="E441" t="s">
        <v>103</v>
      </c>
      <c r="F441" t="s">
        <v>244</v>
      </c>
      <c r="G441" s="39">
        <v>45840</v>
      </c>
      <c r="J441" t="s">
        <v>981</v>
      </c>
    </row>
    <row r="442" spans="1:10" x14ac:dyDescent="0.35">
      <c r="A442">
        <v>12150</v>
      </c>
      <c r="B442" t="s">
        <v>56</v>
      </c>
      <c r="C442" t="s">
        <v>131</v>
      </c>
      <c r="D442" t="s">
        <v>92</v>
      </c>
      <c r="E442" t="s">
        <v>101</v>
      </c>
      <c r="F442" t="s">
        <v>244</v>
      </c>
      <c r="G442" s="39">
        <v>43525</v>
      </c>
      <c r="J442" t="s">
        <v>981</v>
      </c>
    </row>
    <row r="443" spans="1:10" x14ac:dyDescent="0.35">
      <c r="A443">
        <v>15925</v>
      </c>
      <c r="B443" t="s">
        <v>56</v>
      </c>
      <c r="C443" t="s">
        <v>131</v>
      </c>
      <c r="D443" t="s">
        <v>92</v>
      </c>
      <c r="E443" t="s">
        <v>99</v>
      </c>
      <c r="F443" t="s">
        <v>244</v>
      </c>
      <c r="G443" s="39">
        <v>45243</v>
      </c>
      <c r="J443" t="s">
        <v>981</v>
      </c>
    </row>
    <row r="444" spans="1:10" x14ac:dyDescent="0.35">
      <c r="A444">
        <v>15786</v>
      </c>
      <c r="B444" t="s">
        <v>56</v>
      </c>
      <c r="C444" t="s">
        <v>131</v>
      </c>
      <c r="D444" t="s">
        <v>92</v>
      </c>
      <c r="E444" t="s">
        <v>99</v>
      </c>
      <c r="F444" t="s">
        <v>244</v>
      </c>
      <c r="G444" s="39">
        <v>45189</v>
      </c>
      <c r="J444" t="s">
        <v>981</v>
      </c>
    </row>
    <row r="445" spans="1:10" x14ac:dyDescent="0.35">
      <c r="A445">
        <v>13509</v>
      </c>
      <c r="B445" t="s">
        <v>56</v>
      </c>
      <c r="C445" t="s">
        <v>131</v>
      </c>
      <c r="D445" t="s">
        <v>92</v>
      </c>
      <c r="E445" t="s">
        <v>109</v>
      </c>
      <c r="F445" t="s">
        <v>244</v>
      </c>
      <c r="G445" s="39">
        <v>44480</v>
      </c>
      <c r="J445" t="s">
        <v>981</v>
      </c>
    </row>
    <row r="446" spans="1:10" x14ac:dyDescent="0.35">
      <c r="A446">
        <v>14124</v>
      </c>
      <c r="B446" t="s">
        <v>56</v>
      </c>
      <c r="C446" t="s">
        <v>131</v>
      </c>
      <c r="D446" t="s">
        <v>92</v>
      </c>
      <c r="E446" t="s">
        <v>102</v>
      </c>
      <c r="F446" t="s">
        <v>244</v>
      </c>
      <c r="G446" s="39">
        <v>44666</v>
      </c>
      <c r="J446" t="s">
        <v>981</v>
      </c>
    </row>
    <row r="447" spans="1:10" x14ac:dyDescent="0.35">
      <c r="A447">
        <v>17604</v>
      </c>
      <c r="B447" t="s">
        <v>56</v>
      </c>
      <c r="C447" t="s">
        <v>131</v>
      </c>
      <c r="D447" t="s">
        <v>92</v>
      </c>
      <c r="E447" t="s">
        <v>109</v>
      </c>
      <c r="F447" t="s">
        <v>244</v>
      </c>
      <c r="G447" s="39">
        <v>45810</v>
      </c>
      <c r="J447" t="s">
        <v>981</v>
      </c>
    </row>
    <row r="448" spans="1:10" x14ac:dyDescent="0.35">
      <c r="A448">
        <v>17999</v>
      </c>
      <c r="B448" t="s">
        <v>56</v>
      </c>
      <c r="C448" t="s">
        <v>131</v>
      </c>
      <c r="D448" t="s">
        <v>92</v>
      </c>
      <c r="E448" t="s">
        <v>102</v>
      </c>
      <c r="F448" t="s">
        <v>244</v>
      </c>
      <c r="G448" s="39">
        <v>45952</v>
      </c>
      <c r="J448" t="s">
        <v>981</v>
      </c>
    </row>
    <row r="449" spans="1:10" x14ac:dyDescent="0.35">
      <c r="A449">
        <v>14318</v>
      </c>
      <c r="B449" t="s">
        <v>56</v>
      </c>
      <c r="C449" t="s">
        <v>131</v>
      </c>
      <c r="D449" t="s">
        <v>92</v>
      </c>
      <c r="E449" t="s">
        <v>102</v>
      </c>
      <c r="F449" t="s">
        <v>411</v>
      </c>
      <c r="G449" s="39">
        <v>44728</v>
      </c>
      <c r="J449" t="s">
        <v>981</v>
      </c>
    </row>
    <row r="450" spans="1:10" x14ac:dyDescent="0.35">
      <c r="A450">
        <v>17208</v>
      </c>
      <c r="B450" t="s">
        <v>56</v>
      </c>
      <c r="C450" t="s">
        <v>131</v>
      </c>
      <c r="D450" t="s">
        <v>92</v>
      </c>
      <c r="E450" t="s">
        <v>448</v>
      </c>
      <c r="F450" t="s">
        <v>411</v>
      </c>
      <c r="G450" s="39">
        <v>45663</v>
      </c>
      <c r="J450" t="s">
        <v>981</v>
      </c>
    </row>
    <row r="451" spans="1:10" x14ac:dyDescent="0.35">
      <c r="A451">
        <v>17729</v>
      </c>
      <c r="B451" t="s">
        <v>56</v>
      </c>
      <c r="C451" t="s">
        <v>131</v>
      </c>
      <c r="D451" t="s">
        <v>92</v>
      </c>
      <c r="E451" t="s">
        <v>448</v>
      </c>
      <c r="F451" t="s">
        <v>244</v>
      </c>
      <c r="G451" s="39">
        <v>45853</v>
      </c>
      <c r="J451" t="s">
        <v>981</v>
      </c>
    </row>
    <row r="452" spans="1:10" x14ac:dyDescent="0.35">
      <c r="A452">
        <v>17620</v>
      </c>
      <c r="B452" t="s">
        <v>56</v>
      </c>
      <c r="C452" t="s">
        <v>131</v>
      </c>
      <c r="D452" t="s">
        <v>92</v>
      </c>
      <c r="E452" t="s">
        <v>102</v>
      </c>
      <c r="F452" t="s">
        <v>244</v>
      </c>
      <c r="G452" s="39">
        <v>45812</v>
      </c>
      <c r="J452" t="s">
        <v>981</v>
      </c>
    </row>
    <row r="453" spans="1:10" x14ac:dyDescent="0.35">
      <c r="A453">
        <v>11846</v>
      </c>
      <c r="B453" t="s">
        <v>22</v>
      </c>
      <c r="C453" t="s">
        <v>107</v>
      </c>
      <c r="D453" t="s">
        <v>92</v>
      </c>
      <c r="E453" t="s">
        <v>99</v>
      </c>
      <c r="F453" t="s">
        <v>244</v>
      </c>
      <c r="G453" s="39">
        <v>43193</v>
      </c>
      <c r="J453" t="s">
        <v>981</v>
      </c>
    </row>
    <row r="454" spans="1:10" x14ac:dyDescent="0.35">
      <c r="A454">
        <v>18076</v>
      </c>
      <c r="B454" t="s">
        <v>22</v>
      </c>
      <c r="C454" t="s">
        <v>107</v>
      </c>
      <c r="D454" t="s">
        <v>92</v>
      </c>
      <c r="E454" t="s">
        <v>109</v>
      </c>
      <c r="F454" t="s">
        <v>244</v>
      </c>
      <c r="G454" s="39">
        <v>45986</v>
      </c>
      <c r="J454" t="s">
        <v>981</v>
      </c>
    </row>
    <row r="455" spans="1:10" x14ac:dyDescent="0.35">
      <c r="A455">
        <v>15268</v>
      </c>
      <c r="B455" t="s">
        <v>56</v>
      </c>
      <c r="C455" t="s">
        <v>446</v>
      </c>
      <c r="D455" t="s">
        <v>92</v>
      </c>
      <c r="E455" t="s">
        <v>99</v>
      </c>
      <c r="F455" t="s">
        <v>244</v>
      </c>
      <c r="G455" s="39">
        <v>45021</v>
      </c>
      <c r="J455" t="s">
        <v>981</v>
      </c>
    </row>
    <row r="456" spans="1:10" x14ac:dyDescent="0.35">
      <c r="A456">
        <v>12996</v>
      </c>
      <c r="B456" t="s">
        <v>56</v>
      </c>
      <c r="C456" t="s">
        <v>446</v>
      </c>
      <c r="D456" t="s">
        <v>92</v>
      </c>
      <c r="E456" t="s">
        <v>103</v>
      </c>
      <c r="F456" t="s">
        <v>244</v>
      </c>
      <c r="G456" s="39">
        <v>44173</v>
      </c>
      <c r="J456" t="s">
        <v>981</v>
      </c>
    </row>
    <row r="457" spans="1:10" x14ac:dyDescent="0.35">
      <c r="A457">
        <v>11945</v>
      </c>
      <c r="B457" t="s">
        <v>56</v>
      </c>
      <c r="C457" t="s">
        <v>131</v>
      </c>
      <c r="D457" t="s">
        <v>92</v>
      </c>
      <c r="E457" t="s">
        <v>109</v>
      </c>
      <c r="F457" t="s">
        <v>244</v>
      </c>
      <c r="G457" s="39">
        <v>43304</v>
      </c>
      <c r="J457" t="s">
        <v>981</v>
      </c>
    </row>
    <row r="458" spans="1:10" x14ac:dyDescent="0.35">
      <c r="A458">
        <v>13789</v>
      </c>
      <c r="B458" t="s">
        <v>22</v>
      </c>
      <c r="C458" t="s">
        <v>129</v>
      </c>
      <c r="D458" t="s">
        <v>445</v>
      </c>
      <c r="E458" t="s">
        <v>102</v>
      </c>
      <c r="F458" t="s">
        <v>244</v>
      </c>
      <c r="G458" s="39">
        <v>44578</v>
      </c>
      <c r="J458" t="s">
        <v>981</v>
      </c>
    </row>
    <row r="459" spans="1:10" x14ac:dyDescent="0.35">
      <c r="A459">
        <v>12108</v>
      </c>
      <c r="B459" t="s">
        <v>56</v>
      </c>
      <c r="C459" t="s">
        <v>131</v>
      </c>
      <c r="D459" t="s">
        <v>92</v>
      </c>
      <c r="E459" t="s">
        <v>102</v>
      </c>
      <c r="F459" t="s">
        <v>244</v>
      </c>
      <c r="G459" s="39">
        <v>43479</v>
      </c>
      <c r="J459" t="s">
        <v>981</v>
      </c>
    </row>
    <row r="460" spans="1:10" x14ac:dyDescent="0.35">
      <c r="A460">
        <v>18552</v>
      </c>
      <c r="B460" t="s">
        <v>56</v>
      </c>
      <c r="C460" t="s">
        <v>131</v>
      </c>
      <c r="D460" t="s">
        <v>92</v>
      </c>
      <c r="E460" t="s">
        <v>103</v>
      </c>
      <c r="F460" t="s">
        <v>244</v>
      </c>
      <c r="G460" s="39">
        <v>46155</v>
      </c>
      <c r="J460" t="s">
        <v>981</v>
      </c>
    </row>
    <row r="461" spans="1:10" x14ac:dyDescent="0.35">
      <c r="A461">
        <v>11985</v>
      </c>
      <c r="B461" t="s">
        <v>22</v>
      </c>
      <c r="C461" t="s">
        <v>132</v>
      </c>
      <c r="D461" t="s">
        <v>92</v>
      </c>
      <c r="E461" t="s">
        <v>397</v>
      </c>
      <c r="F461" t="s">
        <v>244</v>
      </c>
      <c r="G461" s="39">
        <v>43362</v>
      </c>
      <c r="J461" t="s">
        <v>981</v>
      </c>
    </row>
    <row r="462" spans="1:10" x14ac:dyDescent="0.35">
      <c r="A462">
        <v>11505</v>
      </c>
      <c r="B462" t="s">
        <v>22</v>
      </c>
      <c r="C462" t="s">
        <v>132</v>
      </c>
      <c r="D462" t="s">
        <v>133</v>
      </c>
      <c r="E462" t="s">
        <v>99</v>
      </c>
      <c r="F462" t="s">
        <v>244</v>
      </c>
      <c r="G462" s="39">
        <v>42772</v>
      </c>
      <c r="J462" t="s">
        <v>981</v>
      </c>
    </row>
    <row r="463" spans="1:10" x14ac:dyDescent="0.35">
      <c r="A463">
        <v>18278</v>
      </c>
      <c r="B463" t="s">
        <v>22</v>
      </c>
      <c r="C463" t="s">
        <v>132</v>
      </c>
      <c r="D463" t="s">
        <v>133</v>
      </c>
      <c r="E463" t="s">
        <v>99</v>
      </c>
      <c r="F463" t="s">
        <v>244</v>
      </c>
      <c r="G463" s="39">
        <v>46071</v>
      </c>
      <c r="H463" t="s">
        <v>57</v>
      </c>
      <c r="J463" t="s">
        <v>981</v>
      </c>
    </row>
    <row r="464" spans="1:10" x14ac:dyDescent="0.35">
      <c r="A464">
        <v>16210</v>
      </c>
      <c r="B464" t="s">
        <v>22</v>
      </c>
      <c r="C464" t="s">
        <v>132</v>
      </c>
      <c r="D464" t="s">
        <v>449</v>
      </c>
      <c r="E464" t="s">
        <v>99</v>
      </c>
      <c r="F464" t="s">
        <v>244</v>
      </c>
      <c r="G464" s="39">
        <v>45323</v>
      </c>
      <c r="J464" t="s">
        <v>981</v>
      </c>
    </row>
    <row r="465" spans="1:10" x14ac:dyDescent="0.35">
      <c r="A465">
        <v>18285</v>
      </c>
      <c r="B465" t="s">
        <v>22</v>
      </c>
      <c r="C465" t="s">
        <v>132</v>
      </c>
      <c r="D465" t="s">
        <v>133</v>
      </c>
      <c r="E465" t="s">
        <v>102</v>
      </c>
      <c r="F465" t="s">
        <v>245</v>
      </c>
      <c r="G465" s="39">
        <v>46072</v>
      </c>
      <c r="H465" t="s">
        <v>249</v>
      </c>
      <c r="J465" t="s">
        <v>981</v>
      </c>
    </row>
    <row r="466" spans="1:10" x14ac:dyDescent="0.35">
      <c r="A466">
        <v>18280</v>
      </c>
      <c r="B466" t="s">
        <v>22</v>
      </c>
      <c r="C466" t="s">
        <v>132</v>
      </c>
      <c r="D466" t="s">
        <v>133</v>
      </c>
      <c r="E466" t="s">
        <v>103</v>
      </c>
      <c r="F466" t="s">
        <v>244</v>
      </c>
      <c r="G466" s="39">
        <v>46071</v>
      </c>
      <c r="H466" t="s">
        <v>57</v>
      </c>
      <c r="J466" t="s">
        <v>981</v>
      </c>
    </row>
    <row r="467" spans="1:10" x14ac:dyDescent="0.35">
      <c r="A467">
        <v>17794</v>
      </c>
      <c r="B467" t="s">
        <v>22</v>
      </c>
      <c r="C467" t="s">
        <v>132</v>
      </c>
      <c r="D467" t="s">
        <v>133</v>
      </c>
      <c r="E467" t="s">
        <v>102</v>
      </c>
      <c r="F467" t="s">
        <v>244</v>
      </c>
      <c r="G467" s="39">
        <v>45887</v>
      </c>
      <c r="J467" t="s">
        <v>981</v>
      </c>
    </row>
    <row r="468" spans="1:10" x14ac:dyDescent="0.35">
      <c r="A468">
        <v>14076</v>
      </c>
      <c r="B468" t="s">
        <v>22</v>
      </c>
      <c r="C468" t="s">
        <v>132</v>
      </c>
      <c r="D468" t="s">
        <v>133</v>
      </c>
      <c r="E468" t="s">
        <v>102</v>
      </c>
      <c r="F468" t="s">
        <v>244</v>
      </c>
      <c r="G468" s="39">
        <v>44652</v>
      </c>
      <c r="J468" t="s">
        <v>981</v>
      </c>
    </row>
    <row r="469" spans="1:10" x14ac:dyDescent="0.35">
      <c r="A469">
        <v>11109</v>
      </c>
      <c r="B469" t="s">
        <v>22</v>
      </c>
      <c r="C469" t="s">
        <v>132</v>
      </c>
      <c r="D469" t="s">
        <v>133</v>
      </c>
      <c r="E469" t="s">
        <v>99</v>
      </c>
      <c r="F469" t="s">
        <v>244</v>
      </c>
      <c r="G469" s="39">
        <v>42278</v>
      </c>
      <c r="J469" t="s">
        <v>981</v>
      </c>
    </row>
    <row r="470" spans="1:10" x14ac:dyDescent="0.35">
      <c r="A470">
        <v>10117</v>
      </c>
      <c r="B470" t="s">
        <v>22</v>
      </c>
      <c r="C470" t="s">
        <v>132</v>
      </c>
      <c r="D470" t="s">
        <v>133</v>
      </c>
      <c r="E470" t="s">
        <v>99</v>
      </c>
      <c r="F470" t="s">
        <v>244</v>
      </c>
      <c r="G470" s="39">
        <v>36724</v>
      </c>
      <c r="J470" t="s">
        <v>981</v>
      </c>
    </row>
    <row r="471" spans="1:10" x14ac:dyDescent="0.35">
      <c r="A471">
        <v>14020</v>
      </c>
      <c r="B471" t="s">
        <v>22</v>
      </c>
      <c r="C471" t="s">
        <v>132</v>
      </c>
      <c r="D471" t="s">
        <v>133</v>
      </c>
      <c r="E471" t="s">
        <v>109</v>
      </c>
      <c r="F471" t="s">
        <v>244</v>
      </c>
      <c r="G471" s="39">
        <v>44629</v>
      </c>
      <c r="J471" t="s">
        <v>981</v>
      </c>
    </row>
    <row r="472" spans="1:10" x14ac:dyDescent="0.35">
      <c r="A472">
        <v>17696</v>
      </c>
      <c r="B472" t="s">
        <v>22</v>
      </c>
      <c r="C472" t="s">
        <v>132</v>
      </c>
      <c r="D472" t="s">
        <v>133</v>
      </c>
      <c r="E472" t="s">
        <v>103</v>
      </c>
      <c r="F472" t="s">
        <v>244</v>
      </c>
      <c r="G472" s="39">
        <v>45842</v>
      </c>
      <c r="J472" t="s">
        <v>981</v>
      </c>
    </row>
    <row r="473" spans="1:10" x14ac:dyDescent="0.35">
      <c r="A473">
        <v>11515</v>
      </c>
      <c r="B473" t="s">
        <v>68</v>
      </c>
      <c r="C473" t="s">
        <v>92</v>
      </c>
      <c r="D473" t="s">
        <v>92</v>
      </c>
      <c r="E473" t="s">
        <v>110</v>
      </c>
      <c r="F473" t="s">
        <v>244</v>
      </c>
      <c r="G473" s="39">
        <v>42786</v>
      </c>
      <c r="J473" t="s">
        <v>981</v>
      </c>
    </row>
    <row r="474" spans="1:10" x14ac:dyDescent="0.35">
      <c r="A474">
        <v>12625</v>
      </c>
      <c r="B474" t="s">
        <v>68</v>
      </c>
      <c r="C474" t="s">
        <v>92</v>
      </c>
      <c r="D474" t="s">
        <v>92</v>
      </c>
      <c r="E474" t="s">
        <v>100</v>
      </c>
      <c r="F474" t="s">
        <v>244</v>
      </c>
      <c r="G474" s="39">
        <v>43844</v>
      </c>
      <c r="J474" t="s">
        <v>981</v>
      </c>
    </row>
    <row r="475" spans="1:10" x14ac:dyDescent="0.35">
      <c r="A475">
        <v>11571</v>
      </c>
      <c r="B475" t="s">
        <v>68</v>
      </c>
      <c r="C475" t="s">
        <v>450</v>
      </c>
      <c r="D475" t="s">
        <v>92</v>
      </c>
      <c r="E475" t="s">
        <v>101</v>
      </c>
      <c r="F475" t="s">
        <v>244</v>
      </c>
      <c r="G475" s="39">
        <v>42860</v>
      </c>
      <c r="J475" t="s">
        <v>981</v>
      </c>
    </row>
    <row r="476" spans="1:10" x14ac:dyDescent="0.35">
      <c r="A476">
        <v>11959</v>
      </c>
      <c r="B476" t="s">
        <v>68</v>
      </c>
      <c r="C476" t="s">
        <v>451</v>
      </c>
      <c r="D476" t="s">
        <v>92</v>
      </c>
      <c r="E476" t="s">
        <v>452</v>
      </c>
      <c r="F476" t="s">
        <v>244</v>
      </c>
      <c r="G476" s="39">
        <v>43329</v>
      </c>
      <c r="J476" t="s">
        <v>981</v>
      </c>
    </row>
    <row r="477" spans="1:10" x14ac:dyDescent="0.35">
      <c r="A477">
        <v>11937</v>
      </c>
      <c r="B477" t="s">
        <v>68</v>
      </c>
      <c r="C477" t="s">
        <v>450</v>
      </c>
      <c r="D477" t="s">
        <v>92</v>
      </c>
      <c r="E477" t="s">
        <v>99</v>
      </c>
      <c r="F477" t="s">
        <v>244</v>
      </c>
      <c r="G477" s="39">
        <v>43301</v>
      </c>
      <c r="J477" t="s">
        <v>981</v>
      </c>
    </row>
    <row r="478" spans="1:10" x14ac:dyDescent="0.35">
      <c r="A478">
        <v>12473</v>
      </c>
      <c r="B478" t="s">
        <v>68</v>
      </c>
      <c r="C478" t="s">
        <v>450</v>
      </c>
      <c r="D478" t="s">
        <v>92</v>
      </c>
      <c r="E478" t="s">
        <v>99</v>
      </c>
      <c r="F478" t="s">
        <v>244</v>
      </c>
      <c r="G478" s="39">
        <v>43762</v>
      </c>
      <c r="J478" t="s">
        <v>981</v>
      </c>
    </row>
    <row r="479" spans="1:10" x14ac:dyDescent="0.35">
      <c r="A479">
        <v>14787</v>
      </c>
      <c r="B479" t="s">
        <v>68</v>
      </c>
      <c r="C479" t="s">
        <v>450</v>
      </c>
      <c r="D479" t="s">
        <v>92</v>
      </c>
      <c r="E479" t="s">
        <v>109</v>
      </c>
      <c r="F479" t="s">
        <v>244</v>
      </c>
      <c r="G479" s="39">
        <v>44879</v>
      </c>
      <c r="J479" t="s">
        <v>981</v>
      </c>
    </row>
    <row r="480" spans="1:10" x14ac:dyDescent="0.35">
      <c r="A480">
        <v>13716</v>
      </c>
      <c r="B480" t="s">
        <v>68</v>
      </c>
      <c r="C480" t="s">
        <v>450</v>
      </c>
      <c r="D480" t="s">
        <v>92</v>
      </c>
      <c r="E480" t="s">
        <v>453</v>
      </c>
      <c r="F480" t="s">
        <v>244</v>
      </c>
      <c r="G480" s="39">
        <v>44543</v>
      </c>
      <c r="J480" t="s">
        <v>981</v>
      </c>
    </row>
    <row r="481" spans="1:10" x14ac:dyDescent="0.35">
      <c r="A481">
        <v>13795</v>
      </c>
      <c r="B481" t="s">
        <v>68</v>
      </c>
      <c r="C481" t="s">
        <v>450</v>
      </c>
      <c r="D481" t="s">
        <v>92</v>
      </c>
      <c r="E481" t="s">
        <v>455</v>
      </c>
      <c r="F481" t="s">
        <v>244</v>
      </c>
      <c r="G481" s="39">
        <v>44579</v>
      </c>
      <c r="J481" t="s">
        <v>981</v>
      </c>
    </row>
    <row r="482" spans="1:10" x14ac:dyDescent="0.35">
      <c r="A482">
        <v>13117</v>
      </c>
      <c r="B482" t="s">
        <v>68</v>
      </c>
      <c r="C482" t="s">
        <v>450</v>
      </c>
      <c r="D482" t="s">
        <v>92</v>
      </c>
      <c r="E482" t="s">
        <v>456</v>
      </c>
      <c r="F482" t="s">
        <v>244</v>
      </c>
      <c r="G482" s="39">
        <v>44267</v>
      </c>
      <c r="J482" t="s">
        <v>981</v>
      </c>
    </row>
    <row r="483" spans="1:10" x14ac:dyDescent="0.35">
      <c r="A483">
        <v>12657</v>
      </c>
      <c r="B483" t="s">
        <v>68</v>
      </c>
      <c r="C483" t="s">
        <v>450</v>
      </c>
      <c r="D483" t="s">
        <v>92</v>
      </c>
      <c r="E483" t="s">
        <v>102</v>
      </c>
      <c r="F483" t="s">
        <v>244</v>
      </c>
      <c r="G483" s="39">
        <v>43857</v>
      </c>
      <c r="J483" t="s">
        <v>981</v>
      </c>
    </row>
    <row r="484" spans="1:10" x14ac:dyDescent="0.35">
      <c r="A484">
        <v>15678</v>
      </c>
      <c r="B484" t="s">
        <v>68</v>
      </c>
      <c r="C484" t="s">
        <v>450</v>
      </c>
      <c r="D484" t="s">
        <v>92</v>
      </c>
      <c r="E484" t="s">
        <v>102</v>
      </c>
      <c r="F484" t="s">
        <v>244</v>
      </c>
      <c r="G484" s="39">
        <v>45162</v>
      </c>
      <c r="J484" t="s">
        <v>981</v>
      </c>
    </row>
    <row r="485" spans="1:10" x14ac:dyDescent="0.35">
      <c r="A485">
        <v>430018</v>
      </c>
      <c r="B485" t="s">
        <v>68</v>
      </c>
      <c r="C485" t="s">
        <v>450</v>
      </c>
      <c r="D485" t="s">
        <v>92</v>
      </c>
      <c r="E485" t="s">
        <v>457</v>
      </c>
      <c r="F485" t="s">
        <v>244</v>
      </c>
      <c r="G485" s="39">
        <v>43090</v>
      </c>
      <c r="J485" t="s">
        <v>981</v>
      </c>
    </row>
    <row r="486" spans="1:10" x14ac:dyDescent="0.35">
      <c r="A486">
        <v>14846</v>
      </c>
      <c r="B486" t="s">
        <v>68</v>
      </c>
      <c r="C486" t="s">
        <v>451</v>
      </c>
      <c r="D486" t="s">
        <v>92</v>
      </c>
      <c r="E486" t="s">
        <v>102</v>
      </c>
      <c r="F486" t="s">
        <v>244</v>
      </c>
      <c r="G486" s="39">
        <v>44879</v>
      </c>
      <c r="J486" t="s">
        <v>981</v>
      </c>
    </row>
    <row r="487" spans="1:10" x14ac:dyDescent="0.35">
      <c r="A487">
        <v>15878</v>
      </c>
      <c r="B487" t="s">
        <v>68</v>
      </c>
      <c r="C487" t="s">
        <v>451</v>
      </c>
      <c r="D487" t="s">
        <v>92</v>
      </c>
      <c r="E487" t="s">
        <v>103</v>
      </c>
      <c r="F487" t="s">
        <v>244</v>
      </c>
      <c r="G487" s="39">
        <v>45226</v>
      </c>
      <c r="J487" t="s">
        <v>981</v>
      </c>
    </row>
    <row r="488" spans="1:10" x14ac:dyDescent="0.35">
      <c r="A488">
        <v>19003</v>
      </c>
      <c r="B488" t="s">
        <v>68</v>
      </c>
      <c r="C488" t="s">
        <v>451</v>
      </c>
      <c r="D488" t="s">
        <v>92</v>
      </c>
      <c r="E488" t="s">
        <v>103</v>
      </c>
      <c r="F488" t="s">
        <v>244</v>
      </c>
      <c r="G488" s="39">
        <v>46260</v>
      </c>
      <c r="J488" t="s">
        <v>981</v>
      </c>
    </row>
    <row r="489" spans="1:10" x14ac:dyDescent="0.35">
      <c r="A489">
        <v>14796</v>
      </c>
      <c r="B489" t="s">
        <v>68</v>
      </c>
      <c r="C489" t="s">
        <v>450</v>
      </c>
      <c r="D489" t="s">
        <v>92</v>
      </c>
      <c r="E489" t="s">
        <v>103</v>
      </c>
      <c r="F489" t="s">
        <v>244</v>
      </c>
      <c r="G489" s="39">
        <v>44859</v>
      </c>
      <c r="J489" t="s">
        <v>981</v>
      </c>
    </row>
    <row r="490" spans="1:10" x14ac:dyDescent="0.35">
      <c r="A490">
        <v>15410</v>
      </c>
      <c r="B490" t="s">
        <v>68</v>
      </c>
      <c r="C490" t="s">
        <v>450</v>
      </c>
      <c r="D490" t="s">
        <v>92</v>
      </c>
      <c r="E490" t="s">
        <v>103</v>
      </c>
      <c r="F490" t="s">
        <v>244</v>
      </c>
      <c r="G490" s="39">
        <v>45064</v>
      </c>
      <c r="J490" t="s">
        <v>981</v>
      </c>
    </row>
    <row r="491" spans="1:10" x14ac:dyDescent="0.35">
      <c r="A491">
        <v>16701</v>
      </c>
      <c r="B491" t="s">
        <v>68</v>
      </c>
      <c r="C491" t="s">
        <v>451</v>
      </c>
      <c r="D491" t="s">
        <v>92</v>
      </c>
      <c r="E491" t="s">
        <v>103</v>
      </c>
      <c r="F491" t="s">
        <v>244</v>
      </c>
      <c r="G491" s="39">
        <v>45530</v>
      </c>
      <c r="J491" t="s">
        <v>981</v>
      </c>
    </row>
    <row r="492" spans="1:10" x14ac:dyDescent="0.35">
      <c r="A492">
        <v>16495</v>
      </c>
      <c r="B492" t="s">
        <v>68</v>
      </c>
      <c r="C492" t="s">
        <v>451</v>
      </c>
      <c r="D492" t="s">
        <v>92</v>
      </c>
      <c r="E492" t="s">
        <v>103</v>
      </c>
      <c r="F492" t="s">
        <v>244</v>
      </c>
      <c r="G492" s="39">
        <v>45439</v>
      </c>
      <c r="J492" t="s">
        <v>981</v>
      </c>
    </row>
    <row r="493" spans="1:10" x14ac:dyDescent="0.35">
      <c r="A493">
        <v>18391</v>
      </c>
      <c r="B493" t="s">
        <v>68</v>
      </c>
      <c r="C493" t="s">
        <v>451</v>
      </c>
      <c r="D493" t="s">
        <v>92</v>
      </c>
      <c r="E493" t="s">
        <v>103</v>
      </c>
      <c r="F493" t="s">
        <v>244</v>
      </c>
      <c r="G493" s="39">
        <v>46115</v>
      </c>
      <c r="J493" t="s">
        <v>981</v>
      </c>
    </row>
    <row r="494" spans="1:10" x14ac:dyDescent="0.35">
      <c r="A494">
        <v>760032</v>
      </c>
      <c r="B494" t="s">
        <v>68</v>
      </c>
      <c r="C494" t="s">
        <v>450</v>
      </c>
      <c r="D494" t="s">
        <v>92</v>
      </c>
      <c r="E494" t="s">
        <v>459</v>
      </c>
      <c r="F494" t="s">
        <v>244</v>
      </c>
      <c r="G494" s="39">
        <v>42614</v>
      </c>
      <c r="J494" t="s">
        <v>981</v>
      </c>
    </row>
    <row r="495" spans="1:10" x14ac:dyDescent="0.35">
      <c r="A495">
        <v>570034</v>
      </c>
      <c r="B495" t="s">
        <v>68</v>
      </c>
      <c r="C495" t="s">
        <v>450</v>
      </c>
      <c r="D495" t="s">
        <v>92</v>
      </c>
      <c r="E495" t="s">
        <v>461</v>
      </c>
      <c r="F495" t="s">
        <v>244</v>
      </c>
      <c r="G495" s="39">
        <v>43104</v>
      </c>
      <c r="J495" t="s">
        <v>981</v>
      </c>
    </row>
    <row r="496" spans="1:10" x14ac:dyDescent="0.35">
      <c r="A496">
        <v>17561</v>
      </c>
      <c r="B496" t="s">
        <v>68</v>
      </c>
      <c r="C496" t="s">
        <v>450</v>
      </c>
      <c r="D496" t="s">
        <v>92</v>
      </c>
      <c r="E496" t="s">
        <v>103</v>
      </c>
      <c r="F496" t="s">
        <v>244</v>
      </c>
      <c r="G496" s="39">
        <v>45792</v>
      </c>
      <c r="J496" t="s">
        <v>981</v>
      </c>
    </row>
    <row r="497" spans="1:10" x14ac:dyDescent="0.35">
      <c r="A497">
        <v>15987</v>
      </c>
      <c r="B497" t="s">
        <v>68</v>
      </c>
      <c r="C497" t="s">
        <v>450</v>
      </c>
      <c r="D497" t="s">
        <v>92</v>
      </c>
      <c r="E497" t="s">
        <v>103</v>
      </c>
      <c r="F497" t="s">
        <v>244</v>
      </c>
      <c r="G497" s="39">
        <v>45257</v>
      </c>
      <c r="J497" t="s">
        <v>981</v>
      </c>
    </row>
    <row r="498" spans="1:10" x14ac:dyDescent="0.35">
      <c r="A498">
        <v>16015</v>
      </c>
      <c r="B498" t="s">
        <v>68</v>
      </c>
      <c r="C498" t="s">
        <v>450</v>
      </c>
      <c r="D498" t="s">
        <v>92</v>
      </c>
      <c r="E498" t="s">
        <v>103</v>
      </c>
      <c r="F498" t="s">
        <v>244</v>
      </c>
      <c r="G498" s="39">
        <v>45267</v>
      </c>
      <c r="J498" t="s">
        <v>981</v>
      </c>
    </row>
    <row r="499" spans="1:10" x14ac:dyDescent="0.35">
      <c r="A499">
        <v>16018</v>
      </c>
      <c r="B499" t="s">
        <v>68</v>
      </c>
      <c r="C499" t="s">
        <v>450</v>
      </c>
      <c r="D499" t="s">
        <v>92</v>
      </c>
      <c r="E499" t="s">
        <v>103</v>
      </c>
      <c r="F499" t="s">
        <v>244</v>
      </c>
      <c r="G499" s="39">
        <v>45267</v>
      </c>
      <c r="J499" t="s">
        <v>981</v>
      </c>
    </row>
    <row r="500" spans="1:10" x14ac:dyDescent="0.35">
      <c r="A500">
        <v>17562</v>
      </c>
      <c r="B500" t="s">
        <v>68</v>
      </c>
      <c r="C500" t="s">
        <v>450</v>
      </c>
      <c r="D500" t="s">
        <v>92</v>
      </c>
      <c r="E500" t="s">
        <v>103</v>
      </c>
      <c r="F500" t="s">
        <v>244</v>
      </c>
      <c r="G500" s="39">
        <v>45792</v>
      </c>
      <c r="J500" t="s">
        <v>981</v>
      </c>
    </row>
    <row r="501" spans="1:10" x14ac:dyDescent="0.35">
      <c r="A501">
        <v>18993</v>
      </c>
      <c r="B501" t="s">
        <v>68</v>
      </c>
      <c r="C501" t="s">
        <v>450</v>
      </c>
      <c r="D501" t="s">
        <v>92</v>
      </c>
      <c r="E501" t="s">
        <v>106</v>
      </c>
      <c r="F501" t="s">
        <v>244</v>
      </c>
      <c r="G501" s="39">
        <v>46255</v>
      </c>
      <c r="J501" t="s">
        <v>981</v>
      </c>
    </row>
    <row r="502" spans="1:10" x14ac:dyDescent="0.35">
      <c r="A502">
        <v>19012</v>
      </c>
      <c r="B502" t="s">
        <v>68</v>
      </c>
      <c r="C502" t="s">
        <v>450</v>
      </c>
      <c r="D502" t="s">
        <v>92</v>
      </c>
      <c r="E502" t="s">
        <v>106</v>
      </c>
      <c r="F502" t="s">
        <v>244</v>
      </c>
      <c r="G502" s="39">
        <v>46259</v>
      </c>
      <c r="J502" t="s">
        <v>981</v>
      </c>
    </row>
    <row r="503" spans="1:10" x14ac:dyDescent="0.35">
      <c r="A503">
        <v>17631</v>
      </c>
      <c r="B503" t="s">
        <v>68</v>
      </c>
      <c r="C503" t="s">
        <v>451</v>
      </c>
      <c r="D503" t="s">
        <v>92</v>
      </c>
      <c r="E503" t="s">
        <v>103</v>
      </c>
      <c r="F503" t="s">
        <v>244</v>
      </c>
      <c r="G503" s="39">
        <v>45831</v>
      </c>
      <c r="J503" t="s">
        <v>981</v>
      </c>
    </row>
    <row r="504" spans="1:10" x14ac:dyDescent="0.35">
      <c r="A504">
        <v>17687</v>
      </c>
      <c r="B504" t="s">
        <v>68</v>
      </c>
      <c r="C504" t="s">
        <v>451</v>
      </c>
      <c r="D504" t="s">
        <v>92</v>
      </c>
      <c r="E504" t="s">
        <v>103</v>
      </c>
      <c r="F504" t="s">
        <v>244</v>
      </c>
      <c r="G504" s="39">
        <v>45842</v>
      </c>
      <c r="J504" t="s">
        <v>981</v>
      </c>
    </row>
    <row r="505" spans="1:10" x14ac:dyDescent="0.35">
      <c r="A505">
        <v>11831</v>
      </c>
      <c r="B505" t="s">
        <v>68</v>
      </c>
      <c r="C505" t="s">
        <v>463</v>
      </c>
      <c r="D505" t="s">
        <v>92</v>
      </c>
      <c r="E505" t="s">
        <v>101</v>
      </c>
      <c r="F505" t="s">
        <v>244</v>
      </c>
      <c r="G505" s="39">
        <v>43171</v>
      </c>
      <c r="J505" t="s">
        <v>981</v>
      </c>
    </row>
    <row r="506" spans="1:10" x14ac:dyDescent="0.35">
      <c r="A506">
        <v>11575</v>
      </c>
      <c r="B506" t="s">
        <v>68</v>
      </c>
      <c r="C506" t="s">
        <v>463</v>
      </c>
      <c r="D506" t="s">
        <v>92</v>
      </c>
      <c r="E506" t="s">
        <v>99</v>
      </c>
      <c r="F506" t="s">
        <v>244</v>
      </c>
      <c r="G506" s="39">
        <v>42865</v>
      </c>
      <c r="J506" t="s">
        <v>981</v>
      </c>
    </row>
    <row r="507" spans="1:10" x14ac:dyDescent="0.35">
      <c r="A507">
        <v>13674</v>
      </c>
      <c r="B507" t="s">
        <v>68</v>
      </c>
      <c r="C507" t="s">
        <v>463</v>
      </c>
      <c r="D507" t="s">
        <v>92</v>
      </c>
      <c r="E507" t="s">
        <v>99</v>
      </c>
      <c r="F507" t="s">
        <v>244</v>
      </c>
      <c r="G507" s="39">
        <v>44533</v>
      </c>
      <c r="J507" t="s">
        <v>981</v>
      </c>
    </row>
    <row r="508" spans="1:10" x14ac:dyDescent="0.35">
      <c r="A508">
        <v>11893</v>
      </c>
      <c r="B508" t="s">
        <v>68</v>
      </c>
      <c r="C508" t="s">
        <v>463</v>
      </c>
      <c r="D508" t="s">
        <v>92</v>
      </c>
      <c r="E508" t="s">
        <v>99</v>
      </c>
      <c r="F508" t="s">
        <v>244</v>
      </c>
      <c r="G508" s="39">
        <v>43245</v>
      </c>
      <c r="J508" t="s">
        <v>981</v>
      </c>
    </row>
    <row r="509" spans="1:10" x14ac:dyDescent="0.35">
      <c r="A509">
        <v>12671</v>
      </c>
      <c r="B509" t="s">
        <v>68</v>
      </c>
      <c r="C509" t="s">
        <v>463</v>
      </c>
      <c r="D509" t="s">
        <v>92</v>
      </c>
      <c r="E509" t="s">
        <v>99</v>
      </c>
      <c r="F509" t="s">
        <v>244</v>
      </c>
      <c r="G509" s="39">
        <v>43893</v>
      </c>
      <c r="J509" t="s">
        <v>981</v>
      </c>
    </row>
    <row r="510" spans="1:10" x14ac:dyDescent="0.35">
      <c r="A510">
        <v>12344</v>
      </c>
      <c r="B510" t="s">
        <v>68</v>
      </c>
      <c r="C510" t="s">
        <v>463</v>
      </c>
      <c r="D510" t="s">
        <v>92</v>
      </c>
      <c r="E510" t="s">
        <v>99</v>
      </c>
      <c r="F510" t="s">
        <v>244</v>
      </c>
      <c r="G510" s="39">
        <v>43696</v>
      </c>
      <c r="J510" t="s">
        <v>981</v>
      </c>
    </row>
    <row r="511" spans="1:10" x14ac:dyDescent="0.35">
      <c r="A511">
        <v>11402</v>
      </c>
      <c r="B511" t="s">
        <v>68</v>
      </c>
      <c r="C511" t="s">
        <v>463</v>
      </c>
      <c r="D511" t="s">
        <v>92</v>
      </c>
      <c r="E511" t="s">
        <v>99</v>
      </c>
      <c r="F511" t="s">
        <v>244</v>
      </c>
      <c r="G511" s="39">
        <v>42657</v>
      </c>
      <c r="J511" t="s">
        <v>981</v>
      </c>
    </row>
    <row r="512" spans="1:10" x14ac:dyDescent="0.35">
      <c r="A512">
        <v>12780</v>
      </c>
      <c r="B512" t="s">
        <v>68</v>
      </c>
      <c r="C512" t="s">
        <v>463</v>
      </c>
      <c r="D512" t="s">
        <v>92</v>
      </c>
      <c r="E512" t="s">
        <v>99</v>
      </c>
      <c r="F512" t="s">
        <v>244</v>
      </c>
      <c r="G512" s="39">
        <v>43929</v>
      </c>
      <c r="J512" t="s">
        <v>981</v>
      </c>
    </row>
    <row r="513" spans="1:10" x14ac:dyDescent="0.35">
      <c r="A513">
        <v>12360</v>
      </c>
      <c r="B513" t="s">
        <v>68</v>
      </c>
      <c r="C513" t="s">
        <v>463</v>
      </c>
      <c r="D513" t="s">
        <v>92</v>
      </c>
      <c r="E513" t="s">
        <v>99</v>
      </c>
      <c r="F513" t="s">
        <v>244</v>
      </c>
      <c r="G513" s="39">
        <v>43710</v>
      </c>
      <c r="J513" t="s">
        <v>981</v>
      </c>
    </row>
    <row r="514" spans="1:10" x14ac:dyDescent="0.35">
      <c r="A514">
        <v>12148</v>
      </c>
      <c r="B514" t="s">
        <v>68</v>
      </c>
      <c r="C514" t="s">
        <v>463</v>
      </c>
      <c r="D514" t="s">
        <v>92</v>
      </c>
      <c r="E514" t="s">
        <v>99</v>
      </c>
      <c r="F514" t="s">
        <v>244</v>
      </c>
      <c r="G514" s="39">
        <v>43525</v>
      </c>
      <c r="J514" t="s">
        <v>981</v>
      </c>
    </row>
    <row r="515" spans="1:10" x14ac:dyDescent="0.35">
      <c r="A515">
        <v>12433</v>
      </c>
      <c r="B515" t="s">
        <v>68</v>
      </c>
      <c r="C515" t="s">
        <v>463</v>
      </c>
      <c r="D515" t="s">
        <v>92</v>
      </c>
      <c r="E515" t="s">
        <v>109</v>
      </c>
      <c r="F515" t="s">
        <v>244</v>
      </c>
      <c r="G515" s="39">
        <v>43752</v>
      </c>
      <c r="J515" t="s">
        <v>981</v>
      </c>
    </row>
    <row r="516" spans="1:10" x14ac:dyDescent="0.35">
      <c r="A516">
        <v>12127</v>
      </c>
      <c r="B516" t="s">
        <v>68</v>
      </c>
      <c r="C516" t="s">
        <v>463</v>
      </c>
      <c r="D516" t="s">
        <v>92</v>
      </c>
      <c r="E516" t="s">
        <v>109</v>
      </c>
      <c r="F516" t="s">
        <v>244</v>
      </c>
      <c r="G516" s="39">
        <v>43501</v>
      </c>
      <c r="J516" t="s">
        <v>981</v>
      </c>
    </row>
    <row r="517" spans="1:10" x14ac:dyDescent="0.35">
      <c r="A517">
        <v>15341</v>
      </c>
      <c r="B517" t="s">
        <v>68</v>
      </c>
      <c r="C517" t="s">
        <v>463</v>
      </c>
      <c r="D517" t="s">
        <v>92</v>
      </c>
      <c r="E517" t="s">
        <v>109</v>
      </c>
      <c r="F517" t="s">
        <v>244</v>
      </c>
      <c r="G517" s="39">
        <v>45030</v>
      </c>
      <c r="J517" t="s">
        <v>981</v>
      </c>
    </row>
    <row r="518" spans="1:10" x14ac:dyDescent="0.35">
      <c r="A518">
        <v>15475</v>
      </c>
      <c r="B518" t="s">
        <v>68</v>
      </c>
      <c r="C518" t="s">
        <v>463</v>
      </c>
      <c r="D518" t="s">
        <v>92</v>
      </c>
      <c r="E518" t="s">
        <v>109</v>
      </c>
      <c r="F518" t="s">
        <v>244</v>
      </c>
      <c r="G518" s="39">
        <v>45085</v>
      </c>
      <c r="J518" t="s">
        <v>981</v>
      </c>
    </row>
    <row r="519" spans="1:10" x14ac:dyDescent="0.35">
      <c r="A519">
        <v>12052</v>
      </c>
      <c r="B519" t="s">
        <v>68</v>
      </c>
      <c r="C519" t="s">
        <v>463</v>
      </c>
      <c r="D519" t="s">
        <v>92</v>
      </c>
      <c r="E519" t="s">
        <v>109</v>
      </c>
      <c r="F519" t="s">
        <v>244</v>
      </c>
      <c r="G519" s="39">
        <v>43427</v>
      </c>
      <c r="J519" t="s">
        <v>981</v>
      </c>
    </row>
    <row r="520" spans="1:10" x14ac:dyDescent="0.35">
      <c r="A520">
        <v>12039</v>
      </c>
      <c r="B520" t="s">
        <v>68</v>
      </c>
      <c r="C520" t="s">
        <v>463</v>
      </c>
      <c r="D520" t="s">
        <v>92</v>
      </c>
      <c r="E520" t="s">
        <v>109</v>
      </c>
      <c r="F520" t="s">
        <v>244</v>
      </c>
      <c r="G520" s="39">
        <v>43405</v>
      </c>
      <c r="J520" t="s">
        <v>981</v>
      </c>
    </row>
    <row r="521" spans="1:10" x14ac:dyDescent="0.35">
      <c r="A521">
        <v>12388</v>
      </c>
      <c r="B521" t="s">
        <v>68</v>
      </c>
      <c r="C521" t="s">
        <v>463</v>
      </c>
      <c r="D521" t="s">
        <v>92</v>
      </c>
      <c r="E521" t="s">
        <v>471</v>
      </c>
      <c r="F521" t="s">
        <v>244</v>
      </c>
      <c r="G521" s="39">
        <v>43727</v>
      </c>
      <c r="J521" t="s">
        <v>981</v>
      </c>
    </row>
    <row r="522" spans="1:10" x14ac:dyDescent="0.35">
      <c r="A522">
        <v>12229</v>
      </c>
      <c r="B522" t="s">
        <v>68</v>
      </c>
      <c r="C522" t="s">
        <v>463</v>
      </c>
      <c r="D522" t="s">
        <v>92</v>
      </c>
      <c r="E522" t="s">
        <v>109</v>
      </c>
      <c r="F522" t="s">
        <v>244</v>
      </c>
      <c r="G522" s="39">
        <v>43620</v>
      </c>
      <c r="J522" t="s">
        <v>981</v>
      </c>
    </row>
    <row r="523" spans="1:10" x14ac:dyDescent="0.35">
      <c r="A523">
        <v>12633</v>
      </c>
      <c r="B523" t="s">
        <v>68</v>
      </c>
      <c r="C523" t="s">
        <v>463</v>
      </c>
      <c r="D523" t="s">
        <v>92</v>
      </c>
      <c r="E523" t="s">
        <v>426</v>
      </c>
      <c r="F523" t="s">
        <v>244</v>
      </c>
      <c r="G523" s="39">
        <v>43847</v>
      </c>
      <c r="J523" t="s">
        <v>981</v>
      </c>
    </row>
    <row r="524" spans="1:10" x14ac:dyDescent="0.35">
      <c r="A524">
        <v>13254</v>
      </c>
      <c r="B524" t="s">
        <v>68</v>
      </c>
      <c r="C524" t="s">
        <v>463</v>
      </c>
      <c r="D524" t="s">
        <v>92</v>
      </c>
      <c r="E524" t="s">
        <v>426</v>
      </c>
      <c r="F524" t="s">
        <v>244</v>
      </c>
      <c r="G524" s="39">
        <v>44351</v>
      </c>
      <c r="J524" t="s">
        <v>981</v>
      </c>
    </row>
    <row r="525" spans="1:10" x14ac:dyDescent="0.35">
      <c r="A525">
        <v>12362</v>
      </c>
      <c r="B525" t="s">
        <v>68</v>
      </c>
      <c r="C525" t="s">
        <v>463</v>
      </c>
      <c r="D525" t="s">
        <v>92</v>
      </c>
      <c r="E525" t="s">
        <v>426</v>
      </c>
      <c r="F525" t="s">
        <v>244</v>
      </c>
      <c r="G525" s="39">
        <v>43710</v>
      </c>
      <c r="J525" t="s">
        <v>981</v>
      </c>
    </row>
    <row r="526" spans="1:10" x14ac:dyDescent="0.35">
      <c r="A526">
        <v>12400</v>
      </c>
      <c r="B526" t="s">
        <v>68</v>
      </c>
      <c r="C526" t="s">
        <v>463</v>
      </c>
      <c r="D526" t="s">
        <v>92</v>
      </c>
      <c r="E526" t="s">
        <v>426</v>
      </c>
      <c r="F526" t="s">
        <v>244</v>
      </c>
      <c r="G526" s="39">
        <v>43728</v>
      </c>
      <c r="J526" t="s">
        <v>981</v>
      </c>
    </row>
    <row r="527" spans="1:10" x14ac:dyDescent="0.35">
      <c r="A527">
        <v>12345</v>
      </c>
      <c r="B527" t="s">
        <v>68</v>
      </c>
      <c r="C527" t="s">
        <v>463</v>
      </c>
      <c r="D527" t="s">
        <v>92</v>
      </c>
      <c r="E527" t="s">
        <v>426</v>
      </c>
      <c r="F527" t="s">
        <v>244</v>
      </c>
      <c r="G527" s="39">
        <v>43696</v>
      </c>
      <c r="J527" t="s">
        <v>981</v>
      </c>
    </row>
    <row r="528" spans="1:10" x14ac:dyDescent="0.35">
      <c r="A528">
        <v>600048</v>
      </c>
      <c r="B528" t="s">
        <v>68</v>
      </c>
      <c r="C528" t="s">
        <v>463</v>
      </c>
      <c r="D528" t="s">
        <v>92</v>
      </c>
      <c r="E528" t="s">
        <v>426</v>
      </c>
      <c r="F528" t="s">
        <v>244</v>
      </c>
      <c r="G528" s="39">
        <v>43699</v>
      </c>
      <c r="J528" t="s">
        <v>981</v>
      </c>
    </row>
    <row r="529" spans="1:10" x14ac:dyDescent="0.35">
      <c r="A529">
        <v>14134</v>
      </c>
      <c r="B529" t="s">
        <v>68</v>
      </c>
      <c r="C529" t="s">
        <v>463</v>
      </c>
      <c r="D529" t="s">
        <v>92</v>
      </c>
      <c r="E529" t="s">
        <v>109</v>
      </c>
      <c r="F529" t="s">
        <v>244</v>
      </c>
      <c r="G529" s="39">
        <v>44673</v>
      </c>
      <c r="J529" t="s">
        <v>981</v>
      </c>
    </row>
    <row r="530" spans="1:10" x14ac:dyDescent="0.35">
      <c r="A530">
        <v>13094</v>
      </c>
      <c r="B530" t="s">
        <v>68</v>
      </c>
      <c r="C530" t="s">
        <v>463</v>
      </c>
      <c r="D530" t="s">
        <v>92</v>
      </c>
      <c r="E530" t="s">
        <v>102</v>
      </c>
      <c r="F530" t="s">
        <v>244</v>
      </c>
      <c r="G530" s="39">
        <v>44250</v>
      </c>
      <c r="J530" t="s">
        <v>981</v>
      </c>
    </row>
    <row r="531" spans="1:10" x14ac:dyDescent="0.35">
      <c r="A531">
        <v>14133</v>
      </c>
      <c r="B531" t="s">
        <v>68</v>
      </c>
      <c r="C531" t="s">
        <v>463</v>
      </c>
      <c r="D531" t="s">
        <v>92</v>
      </c>
      <c r="E531" t="s">
        <v>109</v>
      </c>
      <c r="F531" t="s">
        <v>244</v>
      </c>
      <c r="G531" s="39">
        <v>44672</v>
      </c>
      <c r="J531" t="s">
        <v>981</v>
      </c>
    </row>
    <row r="532" spans="1:10" x14ac:dyDescent="0.35">
      <c r="A532">
        <v>760027</v>
      </c>
      <c r="B532" t="s">
        <v>68</v>
      </c>
      <c r="C532" t="s">
        <v>463</v>
      </c>
      <c r="D532" t="s">
        <v>92</v>
      </c>
      <c r="E532" t="s">
        <v>109</v>
      </c>
      <c r="F532" t="s">
        <v>244</v>
      </c>
      <c r="G532" s="39">
        <v>42289</v>
      </c>
      <c r="J532" t="s">
        <v>981</v>
      </c>
    </row>
    <row r="533" spans="1:10" x14ac:dyDescent="0.35">
      <c r="A533">
        <v>750018</v>
      </c>
      <c r="B533" t="s">
        <v>68</v>
      </c>
      <c r="C533" t="s">
        <v>463</v>
      </c>
      <c r="D533" t="s">
        <v>92</v>
      </c>
      <c r="E533" t="s">
        <v>102</v>
      </c>
      <c r="F533" t="s">
        <v>244</v>
      </c>
      <c r="G533" s="39">
        <v>41967</v>
      </c>
      <c r="J533" t="s">
        <v>981</v>
      </c>
    </row>
    <row r="534" spans="1:10" x14ac:dyDescent="0.35">
      <c r="A534">
        <v>12692</v>
      </c>
      <c r="B534" t="s">
        <v>68</v>
      </c>
      <c r="C534" t="s">
        <v>463</v>
      </c>
      <c r="D534" t="s">
        <v>92</v>
      </c>
      <c r="E534" t="s">
        <v>102</v>
      </c>
      <c r="F534" t="s">
        <v>244</v>
      </c>
      <c r="G534" s="39">
        <v>43893</v>
      </c>
      <c r="J534" t="s">
        <v>981</v>
      </c>
    </row>
    <row r="535" spans="1:10" x14ac:dyDescent="0.35">
      <c r="A535">
        <v>11493</v>
      </c>
      <c r="B535" t="s">
        <v>68</v>
      </c>
      <c r="C535" t="s">
        <v>463</v>
      </c>
      <c r="D535" t="s">
        <v>92</v>
      </c>
      <c r="E535" t="s">
        <v>102</v>
      </c>
      <c r="F535" t="s">
        <v>244</v>
      </c>
      <c r="G535" s="39">
        <v>42760</v>
      </c>
      <c r="J535" t="s">
        <v>981</v>
      </c>
    </row>
    <row r="536" spans="1:10" x14ac:dyDescent="0.35">
      <c r="A536">
        <v>12763</v>
      </c>
      <c r="B536" t="s">
        <v>68</v>
      </c>
      <c r="C536" t="s">
        <v>463</v>
      </c>
      <c r="D536" t="s">
        <v>92</v>
      </c>
      <c r="E536" t="s">
        <v>102</v>
      </c>
      <c r="F536" t="s">
        <v>244</v>
      </c>
      <c r="G536" s="39">
        <v>43903</v>
      </c>
      <c r="J536" t="s">
        <v>981</v>
      </c>
    </row>
    <row r="537" spans="1:10" x14ac:dyDescent="0.35">
      <c r="A537">
        <v>18555</v>
      </c>
      <c r="B537" t="s">
        <v>68</v>
      </c>
      <c r="C537" t="s">
        <v>463</v>
      </c>
      <c r="D537" t="s">
        <v>92</v>
      </c>
      <c r="E537" t="s">
        <v>102</v>
      </c>
      <c r="F537" t="s">
        <v>244</v>
      </c>
      <c r="G537" s="39">
        <v>46155</v>
      </c>
      <c r="J537" t="s">
        <v>981</v>
      </c>
    </row>
    <row r="538" spans="1:10" x14ac:dyDescent="0.35">
      <c r="A538">
        <v>12672</v>
      </c>
      <c r="B538" t="s">
        <v>68</v>
      </c>
      <c r="C538" t="s">
        <v>463</v>
      </c>
      <c r="D538" t="s">
        <v>92</v>
      </c>
      <c r="E538" t="s">
        <v>102</v>
      </c>
      <c r="F538" t="s">
        <v>244</v>
      </c>
      <c r="G538" s="39">
        <v>43864</v>
      </c>
      <c r="J538" t="s">
        <v>981</v>
      </c>
    </row>
    <row r="539" spans="1:10" x14ac:dyDescent="0.35">
      <c r="A539">
        <v>16662</v>
      </c>
      <c r="B539" t="s">
        <v>68</v>
      </c>
      <c r="C539" t="s">
        <v>463</v>
      </c>
      <c r="D539" t="s">
        <v>92</v>
      </c>
      <c r="E539" t="s">
        <v>102</v>
      </c>
      <c r="F539" t="s">
        <v>244</v>
      </c>
      <c r="G539" s="39">
        <v>45519</v>
      </c>
      <c r="J539" t="s">
        <v>981</v>
      </c>
    </row>
    <row r="540" spans="1:10" x14ac:dyDescent="0.35">
      <c r="A540">
        <v>12401</v>
      </c>
      <c r="B540" t="s">
        <v>68</v>
      </c>
      <c r="C540" t="s">
        <v>463</v>
      </c>
      <c r="D540" t="s">
        <v>92</v>
      </c>
      <c r="E540" t="s">
        <v>102</v>
      </c>
      <c r="F540" t="s">
        <v>244</v>
      </c>
      <c r="G540" s="39">
        <v>43728</v>
      </c>
      <c r="J540" t="s">
        <v>981</v>
      </c>
    </row>
    <row r="541" spans="1:10" x14ac:dyDescent="0.35">
      <c r="A541">
        <v>400057</v>
      </c>
      <c r="B541" t="s">
        <v>68</v>
      </c>
      <c r="C541" t="s">
        <v>463</v>
      </c>
      <c r="D541" t="s">
        <v>92</v>
      </c>
      <c r="E541" t="s">
        <v>103</v>
      </c>
      <c r="F541" t="s">
        <v>244</v>
      </c>
      <c r="G541" s="39">
        <v>44539</v>
      </c>
      <c r="J541" t="s">
        <v>981</v>
      </c>
    </row>
    <row r="542" spans="1:10" x14ac:dyDescent="0.35">
      <c r="A542">
        <v>13282</v>
      </c>
      <c r="B542" t="s">
        <v>68</v>
      </c>
      <c r="C542" t="s">
        <v>463</v>
      </c>
      <c r="D542" t="s">
        <v>92</v>
      </c>
      <c r="E542" t="s">
        <v>103</v>
      </c>
      <c r="F542" t="s">
        <v>244</v>
      </c>
      <c r="G542" s="39">
        <v>44365</v>
      </c>
      <c r="J542" t="s">
        <v>981</v>
      </c>
    </row>
    <row r="543" spans="1:10" x14ac:dyDescent="0.35">
      <c r="A543">
        <v>13440</v>
      </c>
      <c r="B543" t="s">
        <v>68</v>
      </c>
      <c r="C543" t="s">
        <v>463</v>
      </c>
      <c r="D543" t="s">
        <v>92</v>
      </c>
      <c r="E543" t="s">
        <v>398</v>
      </c>
      <c r="F543" t="s">
        <v>244</v>
      </c>
      <c r="G543" s="39">
        <v>44455</v>
      </c>
      <c r="J543" t="s">
        <v>981</v>
      </c>
    </row>
    <row r="544" spans="1:10" x14ac:dyDescent="0.35">
      <c r="A544">
        <v>13626</v>
      </c>
      <c r="B544" t="s">
        <v>68</v>
      </c>
      <c r="C544" t="s">
        <v>451</v>
      </c>
      <c r="D544" t="s">
        <v>92</v>
      </c>
      <c r="E544" t="s">
        <v>103</v>
      </c>
      <c r="F544" t="s">
        <v>244</v>
      </c>
      <c r="G544" s="39">
        <v>44519</v>
      </c>
      <c r="J544" t="s">
        <v>981</v>
      </c>
    </row>
    <row r="545" spans="1:10" x14ac:dyDescent="0.35">
      <c r="A545">
        <v>14996</v>
      </c>
      <c r="B545" t="s">
        <v>68</v>
      </c>
      <c r="C545" t="s">
        <v>451</v>
      </c>
      <c r="D545" t="s">
        <v>92</v>
      </c>
      <c r="E545" t="s">
        <v>103</v>
      </c>
      <c r="F545" t="s">
        <v>244</v>
      </c>
      <c r="G545" s="39">
        <v>44910</v>
      </c>
      <c r="J545" t="s">
        <v>981</v>
      </c>
    </row>
    <row r="546" spans="1:10" x14ac:dyDescent="0.35">
      <c r="A546">
        <v>14683</v>
      </c>
      <c r="B546" t="s">
        <v>68</v>
      </c>
      <c r="C546" t="s">
        <v>463</v>
      </c>
      <c r="D546" t="s">
        <v>92</v>
      </c>
      <c r="E546" t="s">
        <v>398</v>
      </c>
      <c r="F546" t="s">
        <v>244</v>
      </c>
      <c r="G546" s="39">
        <v>44825</v>
      </c>
      <c r="J546" t="s">
        <v>981</v>
      </c>
    </row>
    <row r="547" spans="1:10" x14ac:dyDescent="0.35">
      <c r="A547">
        <v>14737</v>
      </c>
      <c r="B547" t="s">
        <v>68</v>
      </c>
      <c r="C547" t="s">
        <v>463</v>
      </c>
      <c r="D547" t="s">
        <v>92</v>
      </c>
      <c r="E547" t="s">
        <v>398</v>
      </c>
      <c r="F547" t="s">
        <v>244</v>
      </c>
      <c r="G547" s="39">
        <v>44844</v>
      </c>
      <c r="J547" t="s">
        <v>981</v>
      </c>
    </row>
    <row r="548" spans="1:10" x14ac:dyDescent="0.35">
      <c r="A548">
        <v>13864</v>
      </c>
      <c r="B548" t="s">
        <v>68</v>
      </c>
      <c r="C548" t="s">
        <v>463</v>
      </c>
      <c r="D548" t="s">
        <v>92</v>
      </c>
      <c r="E548" t="s">
        <v>103</v>
      </c>
      <c r="F548" t="s">
        <v>244</v>
      </c>
      <c r="G548" s="39">
        <v>44610</v>
      </c>
      <c r="J548" t="s">
        <v>981</v>
      </c>
    </row>
    <row r="549" spans="1:10" x14ac:dyDescent="0.35">
      <c r="A549">
        <v>13295</v>
      </c>
      <c r="B549" t="s">
        <v>68</v>
      </c>
      <c r="C549" t="s">
        <v>451</v>
      </c>
      <c r="D549" t="s">
        <v>92</v>
      </c>
      <c r="E549" t="s">
        <v>103</v>
      </c>
      <c r="F549" t="s">
        <v>244</v>
      </c>
      <c r="G549" s="39">
        <v>44370</v>
      </c>
      <c r="J549" t="s">
        <v>981</v>
      </c>
    </row>
    <row r="550" spans="1:10" x14ac:dyDescent="0.35">
      <c r="A550">
        <v>15421</v>
      </c>
      <c r="B550" t="s">
        <v>68</v>
      </c>
      <c r="C550" t="s">
        <v>463</v>
      </c>
      <c r="D550" t="s">
        <v>92</v>
      </c>
      <c r="E550" t="s">
        <v>103</v>
      </c>
      <c r="F550" t="s">
        <v>244</v>
      </c>
      <c r="G550" s="39">
        <v>45065</v>
      </c>
      <c r="J550" t="s">
        <v>981</v>
      </c>
    </row>
    <row r="551" spans="1:10" x14ac:dyDescent="0.35">
      <c r="A551">
        <v>14205</v>
      </c>
      <c r="B551" t="s">
        <v>68</v>
      </c>
      <c r="C551" t="s">
        <v>463</v>
      </c>
      <c r="D551" t="s">
        <v>92</v>
      </c>
      <c r="E551" t="s">
        <v>103</v>
      </c>
      <c r="F551" t="s">
        <v>244</v>
      </c>
      <c r="G551" s="39">
        <v>44699</v>
      </c>
      <c r="J551" t="s">
        <v>981</v>
      </c>
    </row>
    <row r="552" spans="1:10" x14ac:dyDescent="0.35">
      <c r="A552">
        <v>14207</v>
      </c>
      <c r="B552" t="s">
        <v>68</v>
      </c>
      <c r="C552" t="s">
        <v>463</v>
      </c>
      <c r="D552" t="s">
        <v>92</v>
      </c>
      <c r="E552" t="s">
        <v>398</v>
      </c>
      <c r="F552" t="s">
        <v>244</v>
      </c>
      <c r="G552" s="39">
        <v>44699</v>
      </c>
      <c r="J552" t="s">
        <v>981</v>
      </c>
    </row>
    <row r="553" spans="1:10" x14ac:dyDescent="0.35">
      <c r="A553">
        <v>14210</v>
      </c>
      <c r="B553" t="s">
        <v>68</v>
      </c>
      <c r="C553" t="s">
        <v>463</v>
      </c>
      <c r="D553" t="s">
        <v>92</v>
      </c>
      <c r="E553" t="s">
        <v>103</v>
      </c>
      <c r="F553" t="s">
        <v>244</v>
      </c>
      <c r="G553" s="39">
        <v>44699</v>
      </c>
      <c r="J553" t="s">
        <v>981</v>
      </c>
    </row>
    <row r="554" spans="1:10" x14ac:dyDescent="0.35">
      <c r="A554">
        <v>16623</v>
      </c>
      <c r="B554" t="s">
        <v>68</v>
      </c>
      <c r="C554" t="s">
        <v>463</v>
      </c>
      <c r="D554" t="s">
        <v>92</v>
      </c>
      <c r="E554" t="s">
        <v>103</v>
      </c>
      <c r="F554" t="s">
        <v>244</v>
      </c>
      <c r="G554" s="39">
        <v>45498</v>
      </c>
      <c r="J554" t="s">
        <v>981</v>
      </c>
    </row>
    <row r="555" spans="1:10" x14ac:dyDescent="0.35">
      <c r="A555">
        <v>15258</v>
      </c>
      <c r="B555" t="s">
        <v>68</v>
      </c>
      <c r="C555" t="s">
        <v>463</v>
      </c>
      <c r="D555" t="s">
        <v>92</v>
      </c>
      <c r="E555" t="s">
        <v>103</v>
      </c>
      <c r="F555" t="s">
        <v>244</v>
      </c>
      <c r="G555" s="39">
        <v>45001</v>
      </c>
      <c r="J555" t="s">
        <v>981</v>
      </c>
    </row>
    <row r="556" spans="1:10" x14ac:dyDescent="0.35">
      <c r="A556">
        <v>16005</v>
      </c>
      <c r="B556" t="s">
        <v>68</v>
      </c>
      <c r="C556" t="s">
        <v>451</v>
      </c>
      <c r="D556" t="s">
        <v>92</v>
      </c>
      <c r="E556" t="s">
        <v>103</v>
      </c>
      <c r="F556" t="s">
        <v>244</v>
      </c>
      <c r="G556" s="39">
        <v>45264</v>
      </c>
      <c r="J556" t="s">
        <v>981</v>
      </c>
    </row>
    <row r="557" spans="1:10" x14ac:dyDescent="0.35">
      <c r="A557">
        <v>16040</v>
      </c>
      <c r="B557" t="s">
        <v>68</v>
      </c>
      <c r="C557" t="s">
        <v>463</v>
      </c>
      <c r="D557" t="s">
        <v>92</v>
      </c>
      <c r="E557" t="s">
        <v>103</v>
      </c>
      <c r="F557" t="s">
        <v>244</v>
      </c>
      <c r="G557" s="39">
        <v>45268</v>
      </c>
      <c r="J557" t="s">
        <v>981</v>
      </c>
    </row>
    <row r="558" spans="1:10" x14ac:dyDescent="0.35">
      <c r="A558">
        <v>16071</v>
      </c>
      <c r="B558" t="s">
        <v>68</v>
      </c>
      <c r="C558" t="s">
        <v>451</v>
      </c>
      <c r="D558" t="s">
        <v>92</v>
      </c>
      <c r="E558" t="s">
        <v>103</v>
      </c>
      <c r="F558" t="s">
        <v>244</v>
      </c>
      <c r="G558" s="39">
        <v>45278</v>
      </c>
      <c r="J558" t="s">
        <v>981</v>
      </c>
    </row>
    <row r="559" spans="1:10" x14ac:dyDescent="0.35">
      <c r="A559">
        <v>16249</v>
      </c>
      <c r="B559" t="s">
        <v>68</v>
      </c>
      <c r="C559" t="s">
        <v>463</v>
      </c>
      <c r="D559" t="s">
        <v>92</v>
      </c>
      <c r="E559" t="s">
        <v>103</v>
      </c>
      <c r="F559" t="s">
        <v>244</v>
      </c>
      <c r="G559" s="39">
        <v>45331</v>
      </c>
      <c r="J559" t="s">
        <v>981</v>
      </c>
    </row>
    <row r="560" spans="1:10" x14ac:dyDescent="0.35">
      <c r="A560">
        <v>17566</v>
      </c>
      <c r="B560" t="s">
        <v>68</v>
      </c>
      <c r="C560" t="s">
        <v>451</v>
      </c>
      <c r="D560" t="s">
        <v>92</v>
      </c>
      <c r="E560" t="s">
        <v>103</v>
      </c>
      <c r="F560" t="s">
        <v>244</v>
      </c>
      <c r="G560" s="39">
        <v>45793</v>
      </c>
      <c r="J560" t="s">
        <v>981</v>
      </c>
    </row>
    <row r="561" spans="1:10" x14ac:dyDescent="0.35">
      <c r="A561">
        <v>11701</v>
      </c>
      <c r="B561" t="s">
        <v>32</v>
      </c>
      <c r="C561" t="s">
        <v>92</v>
      </c>
      <c r="D561" t="s">
        <v>92</v>
      </c>
      <c r="E561" t="s">
        <v>110</v>
      </c>
      <c r="F561" t="s">
        <v>244</v>
      </c>
      <c r="G561" s="39">
        <v>43033</v>
      </c>
      <c r="J561" t="s">
        <v>981</v>
      </c>
    </row>
    <row r="562" spans="1:10" x14ac:dyDescent="0.35">
      <c r="A562">
        <v>11303</v>
      </c>
      <c r="B562" t="s">
        <v>32</v>
      </c>
      <c r="C562" t="s">
        <v>92</v>
      </c>
      <c r="D562" t="s">
        <v>92</v>
      </c>
      <c r="E562" t="s">
        <v>100</v>
      </c>
      <c r="F562" t="s">
        <v>244</v>
      </c>
      <c r="G562" s="39">
        <v>42510</v>
      </c>
      <c r="J562" t="s">
        <v>981</v>
      </c>
    </row>
    <row r="563" spans="1:10" x14ac:dyDescent="0.35">
      <c r="A563">
        <v>10443</v>
      </c>
      <c r="B563" t="s">
        <v>32</v>
      </c>
      <c r="C563" t="s">
        <v>92</v>
      </c>
      <c r="D563" t="s">
        <v>92</v>
      </c>
      <c r="E563" t="s">
        <v>99</v>
      </c>
      <c r="F563" t="s">
        <v>244</v>
      </c>
      <c r="G563" s="39">
        <v>40423</v>
      </c>
      <c r="J563" t="s">
        <v>981</v>
      </c>
    </row>
    <row r="564" spans="1:10" x14ac:dyDescent="0.35">
      <c r="A564">
        <v>12718</v>
      </c>
      <c r="B564" t="s">
        <v>32</v>
      </c>
      <c r="C564" t="s">
        <v>476</v>
      </c>
      <c r="D564" t="s">
        <v>92</v>
      </c>
      <c r="E564" t="s">
        <v>101</v>
      </c>
      <c r="F564" t="s">
        <v>244</v>
      </c>
      <c r="G564" s="39">
        <v>43878</v>
      </c>
      <c r="J564" t="s">
        <v>981</v>
      </c>
    </row>
    <row r="565" spans="1:10" x14ac:dyDescent="0.35">
      <c r="A565">
        <v>11913</v>
      </c>
      <c r="B565" t="s">
        <v>32</v>
      </c>
      <c r="C565" t="s">
        <v>476</v>
      </c>
      <c r="D565" t="s">
        <v>92</v>
      </c>
      <c r="E565" t="s">
        <v>99</v>
      </c>
      <c r="F565" t="s">
        <v>244</v>
      </c>
      <c r="G565" s="39">
        <v>43271</v>
      </c>
      <c r="J565" t="s">
        <v>981</v>
      </c>
    </row>
    <row r="566" spans="1:10" x14ac:dyDescent="0.35">
      <c r="A566">
        <v>16105</v>
      </c>
      <c r="B566" t="s">
        <v>32</v>
      </c>
      <c r="C566" t="s">
        <v>476</v>
      </c>
      <c r="D566" t="s">
        <v>92</v>
      </c>
      <c r="E566" t="s">
        <v>101</v>
      </c>
      <c r="F566" t="s">
        <v>244</v>
      </c>
      <c r="G566" s="39">
        <v>45286</v>
      </c>
      <c r="J566" t="s">
        <v>981</v>
      </c>
    </row>
    <row r="567" spans="1:10" x14ac:dyDescent="0.35">
      <c r="A567">
        <v>300138</v>
      </c>
      <c r="B567" t="s">
        <v>32</v>
      </c>
      <c r="C567" t="s">
        <v>476</v>
      </c>
      <c r="D567" t="s">
        <v>92</v>
      </c>
      <c r="E567" t="s">
        <v>99</v>
      </c>
      <c r="F567" t="s">
        <v>244</v>
      </c>
      <c r="G567" s="39">
        <v>43322</v>
      </c>
      <c r="J567" t="s">
        <v>981</v>
      </c>
    </row>
    <row r="568" spans="1:10" x14ac:dyDescent="0.35">
      <c r="A568">
        <v>160036</v>
      </c>
      <c r="B568" t="s">
        <v>32</v>
      </c>
      <c r="C568" t="s">
        <v>476</v>
      </c>
      <c r="D568" t="s">
        <v>92</v>
      </c>
      <c r="E568" t="s">
        <v>109</v>
      </c>
      <c r="F568" t="s">
        <v>244</v>
      </c>
      <c r="G568" s="39">
        <v>42541</v>
      </c>
      <c r="J568" t="s">
        <v>981</v>
      </c>
    </row>
    <row r="569" spans="1:10" x14ac:dyDescent="0.35">
      <c r="A569">
        <v>12212</v>
      </c>
      <c r="B569" t="s">
        <v>32</v>
      </c>
      <c r="C569" t="s">
        <v>476</v>
      </c>
      <c r="D569" t="s">
        <v>92</v>
      </c>
      <c r="E569" t="s">
        <v>109</v>
      </c>
      <c r="F569" t="s">
        <v>244</v>
      </c>
      <c r="G569" s="39">
        <v>43593</v>
      </c>
      <c r="J569" t="s">
        <v>981</v>
      </c>
    </row>
    <row r="570" spans="1:10" x14ac:dyDescent="0.35">
      <c r="A570">
        <v>120034</v>
      </c>
      <c r="B570" t="s">
        <v>32</v>
      </c>
      <c r="C570" t="s">
        <v>476</v>
      </c>
      <c r="D570" t="s">
        <v>92</v>
      </c>
      <c r="E570" t="s">
        <v>109</v>
      </c>
      <c r="F570" t="s">
        <v>244</v>
      </c>
      <c r="G570" s="39">
        <v>42510</v>
      </c>
      <c r="J570" t="s">
        <v>981</v>
      </c>
    </row>
    <row r="571" spans="1:10" x14ac:dyDescent="0.35">
      <c r="A571">
        <v>600036</v>
      </c>
      <c r="B571" t="s">
        <v>32</v>
      </c>
      <c r="C571" t="s">
        <v>476</v>
      </c>
      <c r="D571" t="s">
        <v>92</v>
      </c>
      <c r="E571" t="s">
        <v>102</v>
      </c>
      <c r="F571" t="s">
        <v>411</v>
      </c>
      <c r="G571" s="39">
        <v>42676</v>
      </c>
      <c r="J571" t="s">
        <v>981</v>
      </c>
    </row>
    <row r="572" spans="1:10" x14ac:dyDescent="0.35">
      <c r="A572">
        <v>700066</v>
      </c>
      <c r="B572" t="s">
        <v>32</v>
      </c>
      <c r="C572" t="s">
        <v>476</v>
      </c>
      <c r="D572" t="s">
        <v>92</v>
      </c>
      <c r="E572" t="s">
        <v>478</v>
      </c>
      <c r="F572" t="s">
        <v>244</v>
      </c>
      <c r="G572" s="39">
        <v>44582</v>
      </c>
      <c r="J572" t="s">
        <v>981</v>
      </c>
    </row>
    <row r="573" spans="1:10" x14ac:dyDescent="0.35">
      <c r="A573">
        <v>15517</v>
      </c>
      <c r="B573" t="s">
        <v>32</v>
      </c>
      <c r="C573" t="s">
        <v>476</v>
      </c>
      <c r="D573" t="s">
        <v>92</v>
      </c>
      <c r="E573" t="s">
        <v>102</v>
      </c>
      <c r="F573" t="s">
        <v>244</v>
      </c>
      <c r="G573" s="39">
        <v>45100</v>
      </c>
      <c r="J573" t="s">
        <v>981</v>
      </c>
    </row>
    <row r="574" spans="1:10" x14ac:dyDescent="0.35">
      <c r="A574">
        <v>19106</v>
      </c>
      <c r="B574" t="s">
        <v>32</v>
      </c>
      <c r="C574" t="s">
        <v>476</v>
      </c>
      <c r="D574" t="s">
        <v>92</v>
      </c>
      <c r="E574" t="s">
        <v>102</v>
      </c>
      <c r="F574" t="s">
        <v>244</v>
      </c>
      <c r="G574" s="39">
        <v>46267</v>
      </c>
      <c r="J574" t="s">
        <v>981</v>
      </c>
    </row>
    <row r="575" spans="1:10" x14ac:dyDescent="0.35">
      <c r="A575">
        <v>138002</v>
      </c>
      <c r="B575" t="s">
        <v>32</v>
      </c>
      <c r="C575" t="s">
        <v>476</v>
      </c>
      <c r="D575" t="s">
        <v>92</v>
      </c>
      <c r="E575" t="s">
        <v>102</v>
      </c>
      <c r="F575" t="s">
        <v>244</v>
      </c>
      <c r="G575" s="39">
        <v>44586</v>
      </c>
      <c r="J575" t="s">
        <v>981</v>
      </c>
    </row>
    <row r="576" spans="1:10" x14ac:dyDescent="0.35">
      <c r="A576">
        <v>15750</v>
      </c>
      <c r="B576" t="s">
        <v>32</v>
      </c>
      <c r="C576" t="s">
        <v>476</v>
      </c>
      <c r="D576" t="s">
        <v>92</v>
      </c>
      <c r="E576" t="s">
        <v>102</v>
      </c>
      <c r="F576" t="s">
        <v>244</v>
      </c>
      <c r="G576" s="39">
        <v>45184</v>
      </c>
      <c r="J576" t="s">
        <v>981</v>
      </c>
    </row>
    <row r="577" spans="1:10" x14ac:dyDescent="0.35">
      <c r="A577">
        <v>14902</v>
      </c>
      <c r="B577" t="s">
        <v>32</v>
      </c>
      <c r="C577" t="s">
        <v>476</v>
      </c>
      <c r="D577" t="s">
        <v>92</v>
      </c>
      <c r="E577" t="s">
        <v>102</v>
      </c>
      <c r="F577" t="s">
        <v>244</v>
      </c>
      <c r="G577" s="39">
        <v>44887</v>
      </c>
      <c r="J577" t="s">
        <v>981</v>
      </c>
    </row>
    <row r="578" spans="1:10" x14ac:dyDescent="0.35">
      <c r="A578">
        <v>17718</v>
      </c>
      <c r="B578" t="s">
        <v>32</v>
      </c>
      <c r="C578" t="s">
        <v>476</v>
      </c>
      <c r="D578" t="s">
        <v>92</v>
      </c>
      <c r="E578" t="s">
        <v>103</v>
      </c>
      <c r="F578" t="s">
        <v>244</v>
      </c>
      <c r="G578" s="39">
        <v>45855</v>
      </c>
      <c r="J578" t="s">
        <v>981</v>
      </c>
    </row>
    <row r="579" spans="1:10" x14ac:dyDescent="0.35">
      <c r="A579">
        <v>120045</v>
      </c>
      <c r="B579" t="s">
        <v>32</v>
      </c>
      <c r="C579" t="s">
        <v>476</v>
      </c>
      <c r="D579" t="s">
        <v>92</v>
      </c>
      <c r="E579" t="s">
        <v>103</v>
      </c>
      <c r="F579" t="s">
        <v>244</v>
      </c>
      <c r="G579" s="39">
        <v>43257</v>
      </c>
      <c r="J579" t="s">
        <v>981</v>
      </c>
    </row>
    <row r="580" spans="1:10" x14ac:dyDescent="0.35">
      <c r="A580">
        <v>250025</v>
      </c>
      <c r="B580" t="s">
        <v>32</v>
      </c>
      <c r="C580" t="s">
        <v>479</v>
      </c>
      <c r="D580" t="s">
        <v>92</v>
      </c>
      <c r="E580" t="s">
        <v>101</v>
      </c>
      <c r="F580" t="s">
        <v>244</v>
      </c>
      <c r="G580" s="39">
        <v>41913</v>
      </c>
      <c r="J580" t="s">
        <v>981</v>
      </c>
    </row>
    <row r="581" spans="1:10" x14ac:dyDescent="0.35">
      <c r="A581">
        <v>13895</v>
      </c>
      <c r="B581" t="s">
        <v>32</v>
      </c>
      <c r="C581" t="s">
        <v>479</v>
      </c>
      <c r="D581" t="s">
        <v>92</v>
      </c>
      <c r="E581" t="s">
        <v>99</v>
      </c>
      <c r="F581" t="s">
        <v>244</v>
      </c>
      <c r="G581" s="39">
        <v>44622</v>
      </c>
      <c r="J581" t="s">
        <v>981</v>
      </c>
    </row>
    <row r="582" spans="1:10" x14ac:dyDescent="0.35">
      <c r="A582">
        <v>11655</v>
      </c>
      <c r="B582" t="s">
        <v>32</v>
      </c>
      <c r="C582" t="s">
        <v>479</v>
      </c>
      <c r="D582" t="s">
        <v>92</v>
      </c>
      <c r="E582" t="s">
        <v>99</v>
      </c>
      <c r="F582" t="s">
        <v>244</v>
      </c>
      <c r="G582" s="39">
        <v>42991</v>
      </c>
      <c r="J582" t="s">
        <v>981</v>
      </c>
    </row>
    <row r="583" spans="1:10" x14ac:dyDescent="0.35">
      <c r="A583">
        <v>12373</v>
      </c>
      <c r="B583" t="s">
        <v>32</v>
      </c>
      <c r="C583" t="s">
        <v>479</v>
      </c>
      <c r="D583" t="s">
        <v>92</v>
      </c>
      <c r="E583" t="s">
        <v>109</v>
      </c>
      <c r="F583" t="s">
        <v>244</v>
      </c>
      <c r="G583" s="39">
        <v>43718</v>
      </c>
      <c r="J583" t="s">
        <v>981</v>
      </c>
    </row>
    <row r="584" spans="1:10" x14ac:dyDescent="0.35">
      <c r="A584">
        <v>13115</v>
      </c>
      <c r="B584" t="s">
        <v>32</v>
      </c>
      <c r="C584" t="s">
        <v>479</v>
      </c>
      <c r="D584" t="s">
        <v>92</v>
      </c>
      <c r="E584" t="s">
        <v>109</v>
      </c>
      <c r="F584" t="s">
        <v>244</v>
      </c>
      <c r="G584" s="39">
        <v>44265</v>
      </c>
      <c r="J584" t="s">
        <v>981</v>
      </c>
    </row>
    <row r="585" spans="1:10" x14ac:dyDescent="0.35">
      <c r="A585">
        <v>900058</v>
      </c>
      <c r="B585" t="s">
        <v>32</v>
      </c>
      <c r="C585" t="s">
        <v>479</v>
      </c>
      <c r="D585" t="s">
        <v>92</v>
      </c>
      <c r="E585" t="s">
        <v>102</v>
      </c>
      <c r="F585" t="s">
        <v>244</v>
      </c>
      <c r="G585" s="39">
        <v>44613</v>
      </c>
      <c r="J585" t="s">
        <v>981</v>
      </c>
    </row>
    <row r="586" spans="1:10" x14ac:dyDescent="0.35">
      <c r="A586">
        <v>13855</v>
      </c>
      <c r="B586" t="s">
        <v>32</v>
      </c>
      <c r="C586" t="s">
        <v>479</v>
      </c>
      <c r="D586" t="s">
        <v>92</v>
      </c>
      <c r="E586" t="s">
        <v>109</v>
      </c>
      <c r="F586" t="s">
        <v>244</v>
      </c>
      <c r="G586" s="39">
        <v>44607</v>
      </c>
      <c r="J586" t="s">
        <v>981</v>
      </c>
    </row>
    <row r="587" spans="1:10" x14ac:dyDescent="0.35">
      <c r="A587">
        <v>14183</v>
      </c>
      <c r="B587" t="s">
        <v>32</v>
      </c>
      <c r="C587" t="s">
        <v>479</v>
      </c>
      <c r="D587" t="s">
        <v>92</v>
      </c>
      <c r="E587" t="s">
        <v>102</v>
      </c>
      <c r="F587" t="s">
        <v>244</v>
      </c>
      <c r="G587" s="39">
        <v>44687</v>
      </c>
      <c r="J587" t="s">
        <v>981</v>
      </c>
    </row>
    <row r="588" spans="1:10" x14ac:dyDescent="0.35">
      <c r="A588">
        <v>15207</v>
      </c>
      <c r="B588" t="s">
        <v>32</v>
      </c>
      <c r="C588" t="s">
        <v>479</v>
      </c>
      <c r="D588" t="s">
        <v>92</v>
      </c>
      <c r="E588" t="s">
        <v>103</v>
      </c>
      <c r="F588" t="s">
        <v>244</v>
      </c>
      <c r="G588" s="39">
        <v>44987</v>
      </c>
      <c r="J588" t="s">
        <v>981</v>
      </c>
    </row>
    <row r="589" spans="1:10" x14ac:dyDescent="0.35">
      <c r="A589">
        <v>12822</v>
      </c>
      <c r="B589" t="s">
        <v>32</v>
      </c>
      <c r="C589" t="s">
        <v>479</v>
      </c>
      <c r="D589" t="s">
        <v>92</v>
      </c>
      <c r="E589" t="s">
        <v>103</v>
      </c>
      <c r="F589" t="s">
        <v>411</v>
      </c>
      <c r="G589" s="39">
        <v>43983</v>
      </c>
      <c r="J589" t="s">
        <v>981</v>
      </c>
    </row>
    <row r="590" spans="1:10" x14ac:dyDescent="0.35">
      <c r="A590">
        <v>16252</v>
      </c>
      <c r="B590" t="s">
        <v>32</v>
      </c>
      <c r="C590" t="s">
        <v>479</v>
      </c>
      <c r="D590" t="s">
        <v>92</v>
      </c>
      <c r="E590" t="s">
        <v>480</v>
      </c>
      <c r="F590" t="s">
        <v>244</v>
      </c>
      <c r="G590" s="39">
        <v>45331</v>
      </c>
      <c r="J590" t="s">
        <v>981</v>
      </c>
    </row>
    <row r="591" spans="1:10" x14ac:dyDescent="0.35">
      <c r="A591">
        <v>17019</v>
      </c>
      <c r="B591" t="s">
        <v>32</v>
      </c>
      <c r="C591" t="s">
        <v>479</v>
      </c>
      <c r="D591" t="s">
        <v>92</v>
      </c>
      <c r="E591" t="s">
        <v>103</v>
      </c>
      <c r="F591" t="s">
        <v>244</v>
      </c>
      <c r="G591" s="39">
        <v>45612</v>
      </c>
      <c r="J591" t="s">
        <v>981</v>
      </c>
    </row>
    <row r="592" spans="1:10" x14ac:dyDescent="0.35">
      <c r="A592">
        <v>12309</v>
      </c>
      <c r="B592" t="s">
        <v>32</v>
      </c>
      <c r="C592" t="s">
        <v>481</v>
      </c>
      <c r="D592" t="s">
        <v>92</v>
      </c>
      <c r="E592" t="s">
        <v>101</v>
      </c>
      <c r="F592" t="s">
        <v>244</v>
      </c>
      <c r="G592" s="39">
        <v>43675</v>
      </c>
      <c r="J592" t="s">
        <v>981</v>
      </c>
    </row>
    <row r="593" spans="1:10" x14ac:dyDescent="0.35">
      <c r="A593">
        <v>12465</v>
      </c>
      <c r="B593" t="s">
        <v>32</v>
      </c>
      <c r="C593" t="s">
        <v>481</v>
      </c>
      <c r="D593" t="s">
        <v>92</v>
      </c>
      <c r="E593" t="s">
        <v>109</v>
      </c>
      <c r="F593" t="s">
        <v>244</v>
      </c>
      <c r="G593" s="39">
        <v>43760</v>
      </c>
      <c r="J593" t="s">
        <v>981</v>
      </c>
    </row>
    <row r="594" spans="1:10" x14ac:dyDescent="0.35">
      <c r="A594">
        <v>16633</v>
      </c>
      <c r="B594" t="s">
        <v>32</v>
      </c>
      <c r="C594" t="s">
        <v>481</v>
      </c>
      <c r="D594" t="s">
        <v>92</v>
      </c>
      <c r="E594" t="s">
        <v>102</v>
      </c>
      <c r="F594" t="s">
        <v>244</v>
      </c>
      <c r="G594" s="39">
        <v>45518</v>
      </c>
      <c r="J594" t="s">
        <v>981</v>
      </c>
    </row>
    <row r="595" spans="1:10" x14ac:dyDescent="0.35">
      <c r="A595">
        <v>18181</v>
      </c>
      <c r="B595" t="s">
        <v>32</v>
      </c>
      <c r="C595" t="s">
        <v>481</v>
      </c>
      <c r="D595" t="s">
        <v>92</v>
      </c>
      <c r="E595" t="s">
        <v>103</v>
      </c>
      <c r="F595" t="s">
        <v>244</v>
      </c>
      <c r="G595" s="39">
        <v>46035</v>
      </c>
      <c r="J595" t="s">
        <v>981</v>
      </c>
    </row>
    <row r="596" spans="1:10" x14ac:dyDescent="0.35">
      <c r="A596">
        <v>18495</v>
      </c>
      <c r="B596" t="s">
        <v>32</v>
      </c>
      <c r="C596" t="s">
        <v>481</v>
      </c>
      <c r="D596" t="s">
        <v>92</v>
      </c>
      <c r="E596" t="s">
        <v>103</v>
      </c>
      <c r="F596" t="s">
        <v>244</v>
      </c>
      <c r="G596" s="39">
        <v>46143</v>
      </c>
      <c r="J596" t="s">
        <v>981</v>
      </c>
    </row>
    <row r="597" spans="1:10" x14ac:dyDescent="0.35">
      <c r="A597">
        <v>16813</v>
      </c>
      <c r="B597" t="s">
        <v>32</v>
      </c>
      <c r="C597" t="s">
        <v>481</v>
      </c>
      <c r="D597" t="s">
        <v>92</v>
      </c>
      <c r="E597" t="s">
        <v>102</v>
      </c>
      <c r="F597" t="s">
        <v>244</v>
      </c>
      <c r="G597" s="39">
        <v>45558</v>
      </c>
      <c r="J597" t="s">
        <v>981</v>
      </c>
    </row>
    <row r="598" spans="1:10" x14ac:dyDescent="0.35">
      <c r="A598">
        <v>15595</v>
      </c>
      <c r="B598" t="s">
        <v>32</v>
      </c>
      <c r="C598" t="s">
        <v>482</v>
      </c>
      <c r="D598" t="s">
        <v>92</v>
      </c>
      <c r="E598" t="s">
        <v>101</v>
      </c>
      <c r="F598" t="s">
        <v>244</v>
      </c>
      <c r="G598" s="39">
        <v>45134</v>
      </c>
      <c r="J598" t="s">
        <v>981</v>
      </c>
    </row>
    <row r="599" spans="1:10" x14ac:dyDescent="0.35">
      <c r="A599">
        <v>15346</v>
      </c>
      <c r="B599" t="s">
        <v>32</v>
      </c>
      <c r="C599" t="s">
        <v>483</v>
      </c>
      <c r="D599" t="s">
        <v>92</v>
      </c>
      <c r="E599" t="s">
        <v>99</v>
      </c>
      <c r="F599" t="s">
        <v>244</v>
      </c>
      <c r="G599" s="39">
        <v>45036</v>
      </c>
      <c r="J599" t="s">
        <v>981</v>
      </c>
    </row>
    <row r="600" spans="1:10" x14ac:dyDescent="0.35">
      <c r="A600">
        <v>10406</v>
      </c>
      <c r="B600" t="s">
        <v>32</v>
      </c>
      <c r="C600" t="s">
        <v>482</v>
      </c>
      <c r="D600" t="s">
        <v>92</v>
      </c>
      <c r="E600" t="s">
        <v>99</v>
      </c>
      <c r="F600" t="s">
        <v>244</v>
      </c>
      <c r="G600" s="39">
        <v>40080</v>
      </c>
      <c r="J600" t="s">
        <v>981</v>
      </c>
    </row>
    <row r="601" spans="1:10" x14ac:dyDescent="0.35">
      <c r="A601">
        <v>16237</v>
      </c>
      <c r="B601" t="s">
        <v>32</v>
      </c>
      <c r="C601" t="s">
        <v>482</v>
      </c>
      <c r="D601" t="s">
        <v>92</v>
      </c>
      <c r="E601" t="s">
        <v>99</v>
      </c>
      <c r="F601" t="s">
        <v>244</v>
      </c>
      <c r="G601" s="39">
        <v>45330</v>
      </c>
      <c r="J601" t="s">
        <v>981</v>
      </c>
    </row>
    <row r="602" spans="1:10" x14ac:dyDescent="0.35">
      <c r="A602">
        <v>130052</v>
      </c>
      <c r="B602" t="s">
        <v>32</v>
      </c>
      <c r="C602" t="s">
        <v>482</v>
      </c>
      <c r="D602" t="s">
        <v>92</v>
      </c>
      <c r="E602" t="s">
        <v>109</v>
      </c>
      <c r="F602" t="s">
        <v>244</v>
      </c>
      <c r="G602" s="39">
        <v>43684</v>
      </c>
      <c r="J602" t="s">
        <v>981</v>
      </c>
    </row>
    <row r="603" spans="1:10" x14ac:dyDescent="0.35">
      <c r="A603">
        <v>18398</v>
      </c>
      <c r="B603" t="s">
        <v>32</v>
      </c>
      <c r="C603" t="s">
        <v>134</v>
      </c>
      <c r="D603" t="s">
        <v>92</v>
      </c>
      <c r="E603" t="s">
        <v>102</v>
      </c>
      <c r="F603" t="s">
        <v>244</v>
      </c>
      <c r="G603" s="39">
        <v>46119</v>
      </c>
      <c r="H603" t="s">
        <v>57</v>
      </c>
      <c r="J603" t="s">
        <v>981</v>
      </c>
    </row>
    <row r="604" spans="1:10" x14ac:dyDescent="0.35">
      <c r="A604">
        <v>18763</v>
      </c>
      <c r="B604" t="s">
        <v>32</v>
      </c>
      <c r="C604" t="s">
        <v>134</v>
      </c>
      <c r="D604" t="s">
        <v>92</v>
      </c>
      <c r="E604" t="s">
        <v>109</v>
      </c>
      <c r="F604" t="s">
        <v>244</v>
      </c>
      <c r="G604" s="39">
        <v>46204</v>
      </c>
      <c r="H604" t="s">
        <v>249</v>
      </c>
      <c r="J604" t="s">
        <v>981</v>
      </c>
    </row>
    <row r="605" spans="1:10" x14ac:dyDescent="0.35">
      <c r="A605">
        <v>18802</v>
      </c>
      <c r="B605" t="s">
        <v>32</v>
      </c>
      <c r="C605" t="s">
        <v>134</v>
      </c>
      <c r="D605" t="s">
        <v>92</v>
      </c>
      <c r="E605" t="s">
        <v>109</v>
      </c>
      <c r="F605" t="s">
        <v>244</v>
      </c>
      <c r="G605" s="39">
        <v>46212</v>
      </c>
      <c r="H605" t="s">
        <v>249</v>
      </c>
      <c r="J605" t="s">
        <v>981</v>
      </c>
    </row>
    <row r="606" spans="1:10" x14ac:dyDescent="0.35">
      <c r="A606">
        <v>18765</v>
      </c>
      <c r="B606" t="s">
        <v>32</v>
      </c>
      <c r="C606" t="s">
        <v>134</v>
      </c>
      <c r="D606" t="s">
        <v>92</v>
      </c>
      <c r="E606" t="s">
        <v>109</v>
      </c>
      <c r="F606" t="s">
        <v>244</v>
      </c>
      <c r="G606" s="39">
        <v>46204</v>
      </c>
      <c r="H606" t="s">
        <v>249</v>
      </c>
      <c r="J606" t="s">
        <v>981</v>
      </c>
    </row>
    <row r="607" spans="1:10" x14ac:dyDescent="0.35">
      <c r="A607">
        <v>15847</v>
      </c>
      <c r="B607" t="s">
        <v>32</v>
      </c>
      <c r="C607" t="s">
        <v>482</v>
      </c>
      <c r="D607" t="s">
        <v>92</v>
      </c>
      <c r="E607" t="s">
        <v>102</v>
      </c>
      <c r="F607" t="s">
        <v>244</v>
      </c>
      <c r="G607" s="39">
        <v>45212</v>
      </c>
      <c r="J607" t="s">
        <v>981</v>
      </c>
    </row>
    <row r="608" spans="1:10" x14ac:dyDescent="0.35">
      <c r="A608">
        <v>18269</v>
      </c>
      <c r="B608" t="s">
        <v>32</v>
      </c>
      <c r="C608" t="s">
        <v>483</v>
      </c>
      <c r="D608" t="s">
        <v>92</v>
      </c>
      <c r="E608" t="s">
        <v>103</v>
      </c>
      <c r="F608" t="s">
        <v>244</v>
      </c>
      <c r="G608" s="39">
        <v>46073</v>
      </c>
      <c r="J608" t="s">
        <v>981</v>
      </c>
    </row>
    <row r="609" spans="1:10" x14ac:dyDescent="0.35">
      <c r="A609">
        <v>18133</v>
      </c>
      <c r="B609" t="s">
        <v>32</v>
      </c>
      <c r="C609" t="s">
        <v>482</v>
      </c>
      <c r="D609" t="s">
        <v>92</v>
      </c>
      <c r="E609" t="s">
        <v>103</v>
      </c>
      <c r="F609" t="s">
        <v>244</v>
      </c>
      <c r="G609" s="39">
        <v>46008</v>
      </c>
      <c r="J609" t="s">
        <v>981</v>
      </c>
    </row>
    <row r="610" spans="1:10" x14ac:dyDescent="0.35">
      <c r="A610">
        <v>17532</v>
      </c>
      <c r="B610" t="s">
        <v>32</v>
      </c>
      <c r="C610" t="s">
        <v>484</v>
      </c>
      <c r="D610" t="s">
        <v>92</v>
      </c>
      <c r="E610" t="s">
        <v>99</v>
      </c>
      <c r="F610" t="s">
        <v>244</v>
      </c>
      <c r="G610" s="39">
        <v>45789</v>
      </c>
      <c r="J610" t="s">
        <v>981</v>
      </c>
    </row>
    <row r="611" spans="1:10" x14ac:dyDescent="0.35">
      <c r="A611">
        <v>17509</v>
      </c>
      <c r="B611" t="s">
        <v>32</v>
      </c>
      <c r="C611" t="s">
        <v>484</v>
      </c>
      <c r="D611" t="s">
        <v>92</v>
      </c>
      <c r="E611" t="s">
        <v>99</v>
      </c>
      <c r="F611" t="s">
        <v>244</v>
      </c>
      <c r="G611" s="39">
        <v>45789</v>
      </c>
      <c r="J611" t="s">
        <v>981</v>
      </c>
    </row>
    <row r="612" spans="1:10" x14ac:dyDescent="0.35">
      <c r="A612">
        <v>17969</v>
      </c>
      <c r="B612" t="s">
        <v>32</v>
      </c>
      <c r="C612" t="s">
        <v>484</v>
      </c>
      <c r="D612" t="s">
        <v>92</v>
      </c>
      <c r="E612" t="s">
        <v>103</v>
      </c>
      <c r="F612" t="s">
        <v>244</v>
      </c>
      <c r="G612" s="39">
        <v>45940</v>
      </c>
      <c r="J612" t="s">
        <v>981</v>
      </c>
    </row>
    <row r="613" spans="1:10" x14ac:dyDescent="0.35">
      <c r="A613">
        <v>17469</v>
      </c>
      <c r="B613" t="s">
        <v>32</v>
      </c>
      <c r="C613" t="s">
        <v>484</v>
      </c>
      <c r="D613" t="s">
        <v>92</v>
      </c>
      <c r="E613" t="s">
        <v>118</v>
      </c>
      <c r="F613" t="s">
        <v>244</v>
      </c>
      <c r="G613" s="39">
        <v>45762</v>
      </c>
      <c r="J613" t="s">
        <v>981</v>
      </c>
    </row>
    <row r="614" spans="1:10" x14ac:dyDescent="0.35">
      <c r="A614">
        <v>17973</v>
      </c>
      <c r="B614" t="s">
        <v>32</v>
      </c>
      <c r="C614" t="s">
        <v>484</v>
      </c>
      <c r="D614" t="s">
        <v>92</v>
      </c>
      <c r="E614" t="s">
        <v>103</v>
      </c>
      <c r="F614" t="s">
        <v>244</v>
      </c>
      <c r="G614" s="39">
        <v>45945</v>
      </c>
      <c r="J614" t="s">
        <v>981</v>
      </c>
    </row>
    <row r="615" spans="1:10" x14ac:dyDescent="0.35">
      <c r="A615">
        <v>12376</v>
      </c>
      <c r="B615" t="s">
        <v>69</v>
      </c>
      <c r="C615" t="s">
        <v>92</v>
      </c>
      <c r="D615" t="s">
        <v>92</v>
      </c>
      <c r="E615" t="s">
        <v>110</v>
      </c>
      <c r="F615" t="s">
        <v>244</v>
      </c>
      <c r="G615" s="39">
        <v>43720</v>
      </c>
      <c r="J615" t="s">
        <v>981</v>
      </c>
    </row>
    <row r="616" spans="1:10" x14ac:dyDescent="0.35">
      <c r="A616">
        <v>11224</v>
      </c>
      <c r="B616" t="s">
        <v>69</v>
      </c>
      <c r="C616" t="s">
        <v>485</v>
      </c>
      <c r="D616" t="s">
        <v>92</v>
      </c>
      <c r="E616" t="s">
        <v>101</v>
      </c>
      <c r="F616" t="s">
        <v>244</v>
      </c>
      <c r="G616" s="39">
        <v>42439</v>
      </c>
      <c r="J616" t="s">
        <v>981</v>
      </c>
    </row>
    <row r="617" spans="1:10" x14ac:dyDescent="0.35">
      <c r="A617">
        <v>12368</v>
      </c>
      <c r="B617" t="s">
        <v>69</v>
      </c>
      <c r="C617" t="s">
        <v>485</v>
      </c>
      <c r="D617" t="s">
        <v>92</v>
      </c>
      <c r="E617" t="s">
        <v>99</v>
      </c>
      <c r="F617" t="s">
        <v>244</v>
      </c>
      <c r="G617" s="39">
        <v>43714</v>
      </c>
      <c r="J617" t="s">
        <v>981</v>
      </c>
    </row>
    <row r="618" spans="1:10" x14ac:dyDescent="0.35">
      <c r="A618">
        <v>16085</v>
      </c>
      <c r="B618" t="s">
        <v>69</v>
      </c>
      <c r="C618" t="s">
        <v>485</v>
      </c>
      <c r="D618" t="s">
        <v>92</v>
      </c>
      <c r="E618" t="s">
        <v>99</v>
      </c>
      <c r="F618" t="s">
        <v>244</v>
      </c>
      <c r="G618" s="39">
        <v>45275</v>
      </c>
      <c r="J618" t="s">
        <v>981</v>
      </c>
    </row>
    <row r="619" spans="1:10" x14ac:dyDescent="0.35">
      <c r="A619">
        <v>200123</v>
      </c>
      <c r="B619" t="s">
        <v>69</v>
      </c>
      <c r="C619" t="s">
        <v>485</v>
      </c>
      <c r="D619" t="s">
        <v>92</v>
      </c>
      <c r="E619" t="s">
        <v>99</v>
      </c>
      <c r="F619" t="s">
        <v>244</v>
      </c>
      <c r="G619" s="39">
        <v>43668</v>
      </c>
      <c r="J619" t="s">
        <v>981</v>
      </c>
    </row>
    <row r="620" spans="1:10" x14ac:dyDescent="0.35">
      <c r="A620">
        <v>13024</v>
      </c>
      <c r="B620" t="s">
        <v>69</v>
      </c>
      <c r="C620" t="s">
        <v>485</v>
      </c>
      <c r="D620" t="s">
        <v>92</v>
      </c>
      <c r="E620" t="s">
        <v>99</v>
      </c>
      <c r="F620" t="s">
        <v>244</v>
      </c>
      <c r="G620" s="39">
        <v>44204</v>
      </c>
      <c r="J620" t="s">
        <v>981</v>
      </c>
    </row>
    <row r="621" spans="1:10" x14ac:dyDescent="0.35">
      <c r="A621">
        <v>16192</v>
      </c>
      <c r="B621" t="s">
        <v>69</v>
      </c>
      <c r="C621" t="s">
        <v>485</v>
      </c>
      <c r="D621" t="s">
        <v>92</v>
      </c>
      <c r="E621" t="s">
        <v>486</v>
      </c>
      <c r="F621" t="s">
        <v>244</v>
      </c>
      <c r="G621" s="39">
        <v>45314</v>
      </c>
      <c r="J621" t="s">
        <v>981</v>
      </c>
    </row>
    <row r="622" spans="1:10" x14ac:dyDescent="0.35">
      <c r="A622">
        <v>137010</v>
      </c>
      <c r="B622" t="s">
        <v>69</v>
      </c>
      <c r="C622" t="s">
        <v>485</v>
      </c>
      <c r="D622" t="s">
        <v>92</v>
      </c>
      <c r="E622" t="s">
        <v>109</v>
      </c>
      <c r="F622" t="s">
        <v>244</v>
      </c>
      <c r="G622" s="39">
        <v>44400</v>
      </c>
      <c r="J622" t="s">
        <v>981</v>
      </c>
    </row>
    <row r="623" spans="1:10" x14ac:dyDescent="0.35">
      <c r="A623">
        <v>240048</v>
      </c>
      <c r="B623" t="s">
        <v>69</v>
      </c>
      <c r="C623" t="s">
        <v>485</v>
      </c>
      <c r="D623" t="s">
        <v>92</v>
      </c>
      <c r="E623" t="s">
        <v>102</v>
      </c>
      <c r="F623" t="s">
        <v>244</v>
      </c>
      <c r="G623" s="39">
        <v>44243</v>
      </c>
      <c r="J623" t="s">
        <v>981</v>
      </c>
    </row>
    <row r="624" spans="1:10" x14ac:dyDescent="0.35">
      <c r="A624">
        <v>18190</v>
      </c>
      <c r="B624" t="s">
        <v>69</v>
      </c>
      <c r="C624" t="s">
        <v>485</v>
      </c>
      <c r="D624" t="s">
        <v>92</v>
      </c>
      <c r="E624" t="s">
        <v>103</v>
      </c>
      <c r="F624" t="s">
        <v>244</v>
      </c>
      <c r="G624" s="39">
        <v>46041</v>
      </c>
      <c r="J624" t="s">
        <v>981</v>
      </c>
    </row>
    <row r="625" spans="1:10" x14ac:dyDescent="0.35">
      <c r="A625">
        <v>18963</v>
      </c>
      <c r="B625" t="s">
        <v>69</v>
      </c>
      <c r="C625" t="s">
        <v>485</v>
      </c>
      <c r="D625" t="s">
        <v>92</v>
      </c>
      <c r="E625" t="s">
        <v>106</v>
      </c>
      <c r="F625" t="s">
        <v>244</v>
      </c>
      <c r="G625" s="39">
        <v>46251</v>
      </c>
      <c r="J625" t="s">
        <v>981</v>
      </c>
    </row>
    <row r="626" spans="1:10" x14ac:dyDescent="0.35">
      <c r="A626">
        <v>11276</v>
      </c>
      <c r="B626" t="s">
        <v>69</v>
      </c>
      <c r="C626" t="s">
        <v>92</v>
      </c>
      <c r="D626" t="s">
        <v>92</v>
      </c>
      <c r="E626" t="s">
        <v>100</v>
      </c>
      <c r="F626" t="s">
        <v>244</v>
      </c>
      <c r="G626" s="39">
        <v>42478</v>
      </c>
      <c r="J626" t="s">
        <v>981</v>
      </c>
    </row>
    <row r="627" spans="1:10" x14ac:dyDescent="0.35">
      <c r="A627">
        <v>11240</v>
      </c>
      <c r="B627" t="s">
        <v>69</v>
      </c>
      <c r="C627" t="s">
        <v>488</v>
      </c>
      <c r="D627" t="s">
        <v>92</v>
      </c>
      <c r="E627" t="s">
        <v>99</v>
      </c>
      <c r="F627" t="s">
        <v>244</v>
      </c>
      <c r="G627" s="39">
        <v>42461</v>
      </c>
      <c r="J627" t="s">
        <v>981</v>
      </c>
    </row>
    <row r="628" spans="1:10" x14ac:dyDescent="0.35">
      <c r="A628">
        <v>11186</v>
      </c>
      <c r="B628" t="s">
        <v>69</v>
      </c>
      <c r="C628" t="s">
        <v>488</v>
      </c>
      <c r="D628" t="s">
        <v>92</v>
      </c>
      <c r="E628" t="s">
        <v>101</v>
      </c>
      <c r="F628" t="s">
        <v>244</v>
      </c>
      <c r="G628" s="39">
        <v>42381</v>
      </c>
      <c r="J628" t="s">
        <v>981</v>
      </c>
    </row>
    <row r="629" spans="1:10" x14ac:dyDescent="0.35">
      <c r="A629">
        <v>11347</v>
      </c>
      <c r="B629" t="s">
        <v>69</v>
      </c>
      <c r="C629" t="s">
        <v>488</v>
      </c>
      <c r="D629" t="s">
        <v>92</v>
      </c>
      <c r="E629" t="s">
        <v>99</v>
      </c>
      <c r="F629" t="s">
        <v>244</v>
      </c>
      <c r="G629" s="39">
        <v>42573</v>
      </c>
      <c r="J629" t="s">
        <v>981</v>
      </c>
    </row>
    <row r="630" spans="1:10" x14ac:dyDescent="0.35">
      <c r="A630">
        <v>11404</v>
      </c>
      <c r="B630" t="s">
        <v>69</v>
      </c>
      <c r="C630" t="s">
        <v>488</v>
      </c>
      <c r="D630" t="s">
        <v>92</v>
      </c>
      <c r="E630" t="s">
        <v>99</v>
      </c>
      <c r="F630" t="s">
        <v>244</v>
      </c>
      <c r="G630" s="39">
        <v>42657</v>
      </c>
      <c r="J630" t="s">
        <v>981</v>
      </c>
    </row>
    <row r="631" spans="1:10" x14ac:dyDescent="0.35">
      <c r="A631">
        <v>11296</v>
      </c>
      <c r="B631" t="s">
        <v>69</v>
      </c>
      <c r="C631" t="s">
        <v>488</v>
      </c>
      <c r="D631" t="s">
        <v>92</v>
      </c>
      <c r="E631" t="s">
        <v>99</v>
      </c>
      <c r="F631" t="s">
        <v>244</v>
      </c>
      <c r="G631" s="39">
        <v>42506</v>
      </c>
      <c r="J631" t="s">
        <v>981</v>
      </c>
    </row>
    <row r="632" spans="1:10" x14ac:dyDescent="0.35">
      <c r="A632">
        <v>14334</v>
      </c>
      <c r="B632" t="s">
        <v>69</v>
      </c>
      <c r="C632" t="s">
        <v>488</v>
      </c>
      <c r="D632" t="s">
        <v>92</v>
      </c>
      <c r="E632" t="s">
        <v>109</v>
      </c>
      <c r="F632" t="s">
        <v>244</v>
      </c>
      <c r="G632" s="39">
        <v>44735</v>
      </c>
      <c r="J632" t="s">
        <v>981</v>
      </c>
    </row>
    <row r="633" spans="1:10" x14ac:dyDescent="0.35">
      <c r="A633">
        <v>13807</v>
      </c>
      <c r="B633" t="s">
        <v>69</v>
      </c>
      <c r="C633" t="s">
        <v>488</v>
      </c>
      <c r="D633" t="s">
        <v>92</v>
      </c>
      <c r="E633" t="s">
        <v>109</v>
      </c>
      <c r="F633" t="s">
        <v>244</v>
      </c>
      <c r="G633" s="39">
        <v>44586</v>
      </c>
      <c r="J633" t="s">
        <v>981</v>
      </c>
    </row>
    <row r="634" spans="1:10" x14ac:dyDescent="0.35">
      <c r="A634">
        <v>15250</v>
      </c>
      <c r="B634" t="s">
        <v>69</v>
      </c>
      <c r="C634" t="s">
        <v>488</v>
      </c>
      <c r="D634" t="s">
        <v>92</v>
      </c>
      <c r="E634" t="s">
        <v>109</v>
      </c>
      <c r="F634" t="s">
        <v>244</v>
      </c>
      <c r="G634" s="39">
        <v>45001</v>
      </c>
      <c r="J634" t="s">
        <v>981</v>
      </c>
    </row>
    <row r="635" spans="1:10" x14ac:dyDescent="0.35">
      <c r="A635">
        <v>15599</v>
      </c>
      <c r="B635" t="s">
        <v>69</v>
      </c>
      <c r="C635" t="s">
        <v>488</v>
      </c>
      <c r="D635" t="s">
        <v>92</v>
      </c>
      <c r="E635" t="s">
        <v>102</v>
      </c>
      <c r="F635" t="s">
        <v>244</v>
      </c>
      <c r="G635" s="39">
        <v>45139</v>
      </c>
      <c r="J635" t="s">
        <v>981</v>
      </c>
    </row>
    <row r="636" spans="1:10" x14ac:dyDescent="0.35">
      <c r="A636">
        <v>15105</v>
      </c>
      <c r="B636" t="s">
        <v>69</v>
      </c>
      <c r="C636" t="s">
        <v>488</v>
      </c>
      <c r="D636" t="s">
        <v>92</v>
      </c>
      <c r="E636" t="s">
        <v>102</v>
      </c>
      <c r="F636" t="s">
        <v>244</v>
      </c>
      <c r="G636" s="39">
        <v>44952</v>
      </c>
      <c r="J636" t="s">
        <v>981</v>
      </c>
    </row>
    <row r="637" spans="1:10" x14ac:dyDescent="0.35">
      <c r="A637">
        <v>16316</v>
      </c>
      <c r="B637" t="s">
        <v>69</v>
      </c>
      <c r="C637" t="s">
        <v>488</v>
      </c>
      <c r="D637" t="s">
        <v>92</v>
      </c>
      <c r="E637" t="s">
        <v>103</v>
      </c>
      <c r="F637" t="s">
        <v>244</v>
      </c>
      <c r="G637" s="39">
        <v>45344</v>
      </c>
      <c r="J637" t="s">
        <v>981</v>
      </c>
    </row>
    <row r="638" spans="1:10" x14ac:dyDescent="0.35">
      <c r="A638">
        <v>18750</v>
      </c>
      <c r="B638" t="s">
        <v>69</v>
      </c>
      <c r="C638" t="s">
        <v>488</v>
      </c>
      <c r="D638" t="s">
        <v>92</v>
      </c>
      <c r="E638" t="s">
        <v>106</v>
      </c>
      <c r="F638" t="s">
        <v>244</v>
      </c>
      <c r="G638" s="39">
        <v>46204</v>
      </c>
      <c r="J638" t="s">
        <v>981</v>
      </c>
    </row>
    <row r="639" spans="1:10" x14ac:dyDescent="0.35">
      <c r="A639">
        <v>19141</v>
      </c>
      <c r="B639" t="s">
        <v>69</v>
      </c>
      <c r="C639" t="s">
        <v>488</v>
      </c>
      <c r="D639" t="s">
        <v>92</v>
      </c>
      <c r="E639" t="s">
        <v>106</v>
      </c>
      <c r="F639" t="s">
        <v>244</v>
      </c>
      <c r="G639" s="39">
        <v>46274</v>
      </c>
      <c r="J639" t="s">
        <v>981</v>
      </c>
    </row>
    <row r="640" spans="1:10" x14ac:dyDescent="0.35">
      <c r="A640">
        <v>19162</v>
      </c>
      <c r="B640" t="s">
        <v>69</v>
      </c>
      <c r="C640" t="s">
        <v>488</v>
      </c>
      <c r="D640" t="s">
        <v>92</v>
      </c>
      <c r="E640" t="s">
        <v>106</v>
      </c>
      <c r="F640" t="s">
        <v>244</v>
      </c>
      <c r="G640" s="39">
        <v>46275</v>
      </c>
      <c r="J640" t="s">
        <v>981</v>
      </c>
    </row>
    <row r="641" spans="1:10" x14ac:dyDescent="0.35">
      <c r="A641">
        <v>10539</v>
      </c>
      <c r="B641" t="s">
        <v>43</v>
      </c>
      <c r="C641" t="s">
        <v>92</v>
      </c>
      <c r="D641" t="s">
        <v>92</v>
      </c>
      <c r="E641" t="s">
        <v>110</v>
      </c>
      <c r="F641" t="s">
        <v>244</v>
      </c>
      <c r="G641" s="39">
        <v>41124</v>
      </c>
      <c r="J641" t="s">
        <v>981</v>
      </c>
    </row>
    <row r="642" spans="1:10" x14ac:dyDescent="0.35">
      <c r="A642">
        <v>13201</v>
      </c>
      <c r="B642" t="s">
        <v>86</v>
      </c>
      <c r="C642" t="s">
        <v>92</v>
      </c>
      <c r="D642" t="s">
        <v>92</v>
      </c>
      <c r="E642" t="s">
        <v>100</v>
      </c>
      <c r="F642" t="s">
        <v>244</v>
      </c>
      <c r="G642" s="39">
        <v>44319</v>
      </c>
      <c r="J642" t="s">
        <v>981</v>
      </c>
    </row>
    <row r="643" spans="1:10" x14ac:dyDescent="0.35">
      <c r="A643">
        <v>18756</v>
      </c>
      <c r="B643" t="s">
        <v>86</v>
      </c>
      <c r="C643" t="s">
        <v>92</v>
      </c>
      <c r="D643" t="s">
        <v>92</v>
      </c>
      <c r="E643" t="s">
        <v>99</v>
      </c>
      <c r="F643" t="s">
        <v>244</v>
      </c>
      <c r="G643" s="39">
        <v>46202</v>
      </c>
      <c r="J643" t="s">
        <v>981</v>
      </c>
    </row>
    <row r="644" spans="1:10" x14ac:dyDescent="0.35">
      <c r="A644">
        <v>17771</v>
      </c>
      <c r="B644" t="s">
        <v>43</v>
      </c>
      <c r="C644" t="s">
        <v>92</v>
      </c>
      <c r="D644" t="s">
        <v>92</v>
      </c>
      <c r="E644" t="s">
        <v>99</v>
      </c>
      <c r="F644" t="s">
        <v>244</v>
      </c>
      <c r="G644" s="39">
        <v>45867</v>
      </c>
      <c r="J644" t="s">
        <v>981</v>
      </c>
    </row>
    <row r="645" spans="1:10" x14ac:dyDescent="0.35">
      <c r="A645">
        <v>15984</v>
      </c>
      <c r="B645" t="s">
        <v>43</v>
      </c>
      <c r="C645" t="s">
        <v>92</v>
      </c>
      <c r="D645" t="s">
        <v>92</v>
      </c>
      <c r="E645" t="s">
        <v>99</v>
      </c>
      <c r="F645" t="s">
        <v>244</v>
      </c>
      <c r="G645" s="39">
        <v>45257</v>
      </c>
      <c r="J645" t="s">
        <v>981</v>
      </c>
    </row>
    <row r="646" spans="1:10" x14ac:dyDescent="0.35">
      <c r="A646">
        <v>10118</v>
      </c>
      <c r="B646" t="s">
        <v>43</v>
      </c>
      <c r="C646" t="s">
        <v>92</v>
      </c>
      <c r="D646" t="s">
        <v>92</v>
      </c>
      <c r="E646" t="s">
        <v>396</v>
      </c>
      <c r="F646" t="s">
        <v>244</v>
      </c>
      <c r="G646" s="39">
        <v>38460</v>
      </c>
      <c r="J646" t="s">
        <v>981</v>
      </c>
    </row>
    <row r="647" spans="1:10" x14ac:dyDescent="0.35">
      <c r="A647">
        <v>18741</v>
      </c>
      <c r="B647" t="s">
        <v>43</v>
      </c>
      <c r="C647" t="s">
        <v>135</v>
      </c>
      <c r="D647" t="s">
        <v>92</v>
      </c>
      <c r="E647" t="s">
        <v>101</v>
      </c>
      <c r="F647" t="s">
        <v>244</v>
      </c>
      <c r="G647" s="39">
        <v>46204</v>
      </c>
      <c r="J647" t="s">
        <v>981</v>
      </c>
    </row>
    <row r="648" spans="1:10" x14ac:dyDescent="0.35">
      <c r="A648">
        <v>10576</v>
      </c>
      <c r="B648" t="s">
        <v>43</v>
      </c>
      <c r="C648" t="s">
        <v>135</v>
      </c>
      <c r="D648" t="s">
        <v>92</v>
      </c>
      <c r="E648" t="s">
        <v>99</v>
      </c>
      <c r="F648" t="s">
        <v>244</v>
      </c>
      <c r="G648" s="39">
        <v>41337</v>
      </c>
      <c r="J648" t="s">
        <v>981</v>
      </c>
    </row>
    <row r="649" spans="1:10" x14ac:dyDescent="0.35">
      <c r="A649">
        <v>19097</v>
      </c>
      <c r="B649" t="s">
        <v>43</v>
      </c>
      <c r="C649" t="s">
        <v>135</v>
      </c>
      <c r="D649" t="s">
        <v>92</v>
      </c>
      <c r="E649" t="s">
        <v>99</v>
      </c>
      <c r="F649" t="s">
        <v>244</v>
      </c>
      <c r="G649" s="39">
        <v>46266</v>
      </c>
      <c r="H649" t="s">
        <v>249</v>
      </c>
      <c r="J649" t="s">
        <v>981</v>
      </c>
    </row>
    <row r="650" spans="1:10" x14ac:dyDescent="0.35">
      <c r="A650">
        <v>10709</v>
      </c>
      <c r="B650" t="s">
        <v>43</v>
      </c>
      <c r="C650" t="s">
        <v>135</v>
      </c>
      <c r="D650" t="s">
        <v>92</v>
      </c>
      <c r="E650" t="s">
        <v>109</v>
      </c>
      <c r="F650" t="s">
        <v>244</v>
      </c>
      <c r="G650" s="39">
        <v>41694</v>
      </c>
      <c r="J650" t="s">
        <v>981</v>
      </c>
    </row>
    <row r="651" spans="1:10" x14ac:dyDescent="0.35">
      <c r="A651">
        <v>10112</v>
      </c>
      <c r="B651" t="s">
        <v>43</v>
      </c>
      <c r="C651" t="s">
        <v>135</v>
      </c>
      <c r="D651" t="s">
        <v>92</v>
      </c>
      <c r="E651" t="s">
        <v>109</v>
      </c>
      <c r="F651" t="s">
        <v>244</v>
      </c>
      <c r="G651" s="39">
        <v>36686</v>
      </c>
      <c r="J651" t="s">
        <v>981</v>
      </c>
    </row>
    <row r="652" spans="1:10" x14ac:dyDescent="0.35">
      <c r="A652">
        <v>18731</v>
      </c>
      <c r="B652" t="s">
        <v>43</v>
      </c>
      <c r="C652" t="s">
        <v>135</v>
      </c>
      <c r="D652" t="s">
        <v>92</v>
      </c>
      <c r="E652" t="s">
        <v>109</v>
      </c>
      <c r="F652" t="s">
        <v>244</v>
      </c>
      <c r="G652" s="39">
        <v>46195</v>
      </c>
      <c r="H652" t="s">
        <v>249</v>
      </c>
      <c r="J652" t="s">
        <v>981</v>
      </c>
    </row>
    <row r="653" spans="1:10" x14ac:dyDescent="0.35">
      <c r="A653">
        <v>19098</v>
      </c>
      <c r="B653" t="s">
        <v>43</v>
      </c>
      <c r="C653" t="s">
        <v>135</v>
      </c>
      <c r="D653" t="s">
        <v>92</v>
      </c>
      <c r="E653" t="s">
        <v>265</v>
      </c>
      <c r="F653" t="s">
        <v>244</v>
      </c>
      <c r="G653" s="39">
        <v>46266</v>
      </c>
      <c r="H653" t="s">
        <v>249</v>
      </c>
      <c r="J653" t="s">
        <v>981</v>
      </c>
    </row>
    <row r="654" spans="1:10" x14ac:dyDescent="0.35">
      <c r="A654">
        <v>16919</v>
      </c>
      <c r="B654" t="s">
        <v>36</v>
      </c>
      <c r="C654" t="s">
        <v>489</v>
      </c>
      <c r="D654" t="s">
        <v>92</v>
      </c>
      <c r="E654" t="s">
        <v>109</v>
      </c>
      <c r="F654" t="s">
        <v>244</v>
      </c>
      <c r="G654" s="39">
        <v>45566</v>
      </c>
      <c r="J654" t="s">
        <v>981</v>
      </c>
    </row>
    <row r="655" spans="1:10" x14ac:dyDescent="0.35">
      <c r="A655">
        <v>10180</v>
      </c>
      <c r="B655" t="s">
        <v>36</v>
      </c>
      <c r="C655" t="s">
        <v>489</v>
      </c>
      <c r="D655" t="s">
        <v>92</v>
      </c>
      <c r="E655" t="s">
        <v>109</v>
      </c>
      <c r="F655" t="s">
        <v>244</v>
      </c>
      <c r="G655" s="39">
        <v>36679</v>
      </c>
      <c r="J655" t="s">
        <v>981</v>
      </c>
    </row>
    <row r="656" spans="1:10" x14ac:dyDescent="0.35">
      <c r="A656">
        <v>810007</v>
      </c>
      <c r="B656" t="s">
        <v>36</v>
      </c>
      <c r="C656" t="s">
        <v>489</v>
      </c>
      <c r="D656" t="s">
        <v>92</v>
      </c>
      <c r="E656" t="s">
        <v>109</v>
      </c>
      <c r="F656" t="s">
        <v>244</v>
      </c>
      <c r="G656" s="39">
        <v>40191</v>
      </c>
      <c r="J656" t="s">
        <v>981</v>
      </c>
    </row>
    <row r="657" spans="1:10" x14ac:dyDescent="0.35">
      <c r="A657">
        <v>160027</v>
      </c>
      <c r="B657" t="s">
        <v>43</v>
      </c>
      <c r="C657" t="s">
        <v>135</v>
      </c>
      <c r="D657" t="s">
        <v>92</v>
      </c>
      <c r="E657" t="s">
        <v>109</v>
      </c>
      <c r="F657" t="s">
        <v>244</v>
      </c>
      <c r="G657" s="39">
        <v>41913</v>
      </c>
      <c r="J657" t="s">
        <v>981</v>
      </c>
    </row>
    <row r="658" spans="1:10" x14ac:dyDescent="0.35">
      <c r="A658">
        <v>17484</v>
      </c>
      <c r="B658" t="s">
        <v>43</v>
      </c>
      <c r="C658" t="s">
        <v>135</v>
      </c>
      <c r="D658" t="s">
        <v>92</v>
      </c>
      <c r="E658" t="s">
        <v>102</v>
      </c>
      <c r="F658" t="s">
        <v>244</v>
      </c>
      <c r="G658" s="39">
        <v>45778</v>
      </c>
      <c r="J658" t="s">
        <v>981</v>
      </c>
    </row>
    <row r="659" spans="1:10" x14ac:dyDescent="0.35">
      <c r="A659">
        <v>17955</v>
      </c>
      <c r="B659" t="s">
        <v>43</v>
      </c>
      <c r="C659" t="s">
        <v>135</v>
      </c>
      <c r="D659" t="s">
        <v>92</v>
      </c>
      <c r="E659" t="s">
        <v>102</v>
      </c>
      <c r="F659" t="s">
        <v>244</v>
      </c>
      <c r="G659" s="39">
        <v>45937</v>
      </c>
      <c r="J659" t="s">
        <v>981</v>
      </c>
    </row>
    <row r="660" spans="1:10" x14ac:dyDescent="0.35">
      <c r="A660">
        <v>18314</v>
      </c>
      <c r="B660" t="s">
        <v>43</v>
      </c>
      <c r="C660" t="s">
        <v>135</v>
      </c>
      <c r="D660" t="s">
        <v>92</v>
      </c>
      <c r="E660" t="s">
        <v>103</v>
      </c>
      <c r="F660" t="s">
        <v>244</v>
      </c>
      <c r="G660" s="39">
        <v>46092</v>
      </c>
      <c r="J660" t="s">
        <v>981</v>
      </c>
    </row>
    <row r="661" spans="1:10" x14ac:dyDescent="0.35">
      <c r="A661">
        <v>18786</v>
      </c>
      <c r="B661" t="s">
        <v>43</v>
      </c>
      <c r="C661" t="s">
        <v>135</v>
      </c>
      <c r="D661" t="s">
        <v>92</v>
      </c>
      <c r="E661" t="s">
        <v>103</v>
      </c>
      <c r="F661" t="s">
        <v>244</v>
      </c>
      <c r="G661" s="39">
        <v>46206</v>
      </c>
      <c r="H661" t="s">
        <v>34</v>
      </c>
      <c r="J661" t="s">
        <v>981</v>
      </c>
    </row>
    <row r="662" spans="1:10" x14ac:dyDescent="0.35">
      <c r="A662">
        <v>10504</v>
      </c>
      <c r="B662" t="s">
        <v>43</v>
      </c>
      <c r="C662" t="s">
        <v>490</v>
      </c>
      <c r="D662" t="s">
        <v>92</v>
      </c>
      <c r="E662" t="s">
        <v>101</v>
      </c>
      <c r="F662" t="s">
        <v>244</v>
      </c>
      <c r="G662" s="39">
        <v>40924</v>
      </c>
      <c r="J662" t="s">
        <v>981</v>
      </c>
    </row>
    <row r="663" spans="1:10" x14ac:dyDescent="0.35">
      <c r="A663">
        <v>11544</v>
      </c>
      <c r="B663" t="s">
        <v>43</v>
      </c>
      <c r="C663" t="s">
        <v>490</v>
      </c>
      <c r="D663" t="s">
        <v>92</v>
      </c>
      <c r="E663" t="s">
        <v>99</v>
      </c>
      <c r="F663" t="s">
        <v>244</v>
      </c>
      <c r="G663" s="39">
        <v>42821</v>
      </c>
      <c r="J663" t="s">
        <v>981</v>
      </c>
    </row>
    <row r="664" spans="1:10" x14ac:dyDescent="0.35">
      <c r="A664">
        <v>10107</v>
      </c>
      <c r="B664" t="s">
        <v>43</v>
      </c>
      <c r="C664" t="s">
        <v>490</v>
      </c>
      <c r="D664" t="s">
        <v>92</v>
      </c>
      <c r="E664" t="s">
        <v>109</v>
      </c>
      <c r="F664" t="s">
        <v>244</v>
      </c>
      <c r="G664" s="39">
        <v>38414</v>
      </c>
      <c r="J664" t="s">
        <v>981</v>
      </c>
    </row>
    <row r="665" spans="1:10" x14ac:dyDescent="0.35">
      <c r="A665">
        <v>14948</v>
      </c>
      <c r="B665" t="s">
        <v>43</v>
      </c>
      <c r="C665" t="s">
        <v>490</v>
      </c>
      <c r="D665" t="s">
        <v>92</v>
      </c>
      <c r="E665" t="s">
        <v>109</v>
      </c>
      <c r="F665" t="s">
        <v>244</v>
      </c>
      <c r="G665" s="39">
        <v>44897</v>
      </c>
      <c r="J665" t="s">
        <v>981</v>
      </c>
    </row>
    <row r="666" spans="1:10" x14ac:dyDescent="0.35">
      <c r="A666">
        <v>14877</v>
      </c>
      <c r="B666" t="s">
        <v>43</v>
      </c>
      <c r="C666" t="s">
        <v>490</v>
      </c>
      <c r="D666" t="s">
        <v>92</v>
      </c>
      <c r="E666" t="s">
        <v>109</v>
      </c>
      <c r="F666" t="s">
        <v>244</v>
      </c>
      <c r="G666" s="39">
        <v>44886</v>
      </c>
      <c r="J666" t="s">
        <v>981</v>
      </c>
    </row>
    <row r="667" spans="1:10" x14ac:dyDescent="0.35">
      <c r="A667">
        <v>15133</v>
      </c>
      <c r="B667" t="s">
        <v>43</v>
      </c>
      <c r="C667" t="s">
        <v>490</v>
      </c>
      <c r="D667" t="s">
        <v>92</v>
      </c>
      <c r="E667" t="s">
        <v>102</v>
      </c>
      <c r="F667" t="s">
        <v>244</v>
      </c>
      <c r="G667" s="39">
        <v>44963</v>
      </c>
      <c r="J667" t="s">
        <v>981</v>
      </c>
    </row>
    <row r="668" spans="1:10" x14ac:dyDescent="0.35">
      <c r="A668">
        <v>16589</v>
      </c>
      <c r="B668" t="s">
        <v>43</v>
      </c>
      <c r="C668" t="s">
        <v>490</v>
      </c>
      <c r="D668" t="s">
        <v>92</v>
      </c>
      <c r="E668" t="s">
        <v>102</v>
      </c>
      <c r="F668" t="s">
        <v>244</v>
      </c>
      <c r="G668" s="39">
        <v>45490</v>
      </c>
      <c r="J668" t="s">
        <v>981</v>
      </c>
    </row>
    <row r="669" spans="1:10" x14ac:dyDescent="0.35">
      <c r="A669">
        <v>15275</v>
      </c>
      <c r="B669" t="s">
        <v>86</v>
      </c>
      <c r="C669" t="s">
        <v>492</v>
      </c>
      <c r="D669" t="s">
        <v>92</v>
      </c>
      <c r="E669" t="s">
        <v>101</v>
      </c>
      <c r="F669" t="s">
        <v>244</v>
      </c>
      <c r="G669" s="39">
        <v>45013</v>
      </c>
      <c r="J669" t="s">
        <v>981</v>
      </c>
    </row>
    <row r="670" spans="1:10" x14ac:dyDescent="0.35">
      <c r="A670">
        <v>12167</v>
      </c>
      <c r="B670" t="s">
        <v>86</v>
      </c>
      <c r="C670" t="s">
        <v>493</v>
      </c>
      <c r="D670" t="s">
        <v>92</v>
      </c>
      <c r="E670" t="s">
        <v>99</v>
      </c>
      <c r="F670" t="s">
        <v>411</v>
      </c>
      <c r="G670" s="39">
        <v>43536</v>
      </c>
      <c r="J670" t="s">
        <v>981</v>
      </c>
    </row>
    <row r="671" spans="1:10" x14ac:dyDescent="0.35">
      <c r="A671">
        <v>13488</v>
      </c>
      <c r="B671" t="s">
        <v>86</v>
      </c>
      <c r="C671" t="s">
        <v>492</v>
      </c>
      <c r="D671" t="s">
        <v>92</v>
      </c>
      <c r="E671" t="s">
        <v>99</v>
      </c>
      <c r="F671" t="s">
        <v>244</v>
      </c>
      <c r="G671" s="39">
        <v>44475</v>
      </c>
      <c r="J671" t="s">
        <v>981</v>
      </c>
    </row>
    <row r="672" spans="1:10" x14ac:dyDescent="0.35">
      <c r="A672">
        <v>11280</v>
      </c>
      <c r="B672" t="s">
        <v>86</v>
      </c>
      <c r="C672" t="s">
        <v>493</v>
      </c>
      <c r="D672" t="s">
        <v>92</v>
      </c>
      <c r="E672" t="s">
        <v>99</v>
      </c>
      <c r="F672" t="s">
        <v>244</v>
      </c>
      <c r="G672" s="39">
        <v>42485</v>
      </c>
      <c r="J672" t="s">
        <v>981</v>
      </c>
    </row>
    <row r="673" spans="1:10" x14ac:dyDescent="0.35">
      <c r="A673">
        <v>13808</v>
      </c>
      <c r="B673" t="s">
        <v>86</v>
      </c>
      <c r="C673" t="s">
        <v>494</v>
      </c>
      <c r="D673" t="s">
        <v>92</v>
      </c>
      <c r="E673" t="s">
        <v>109</v>
      </c>
      <c r="F673" t="s">
        <v>244</v>
      </c>
      <c r="G673" s="39">
        <v>44586</v>
      </c>
      <c r="J673" t="s">
        <v>981</v>
      </c>
    </row>
    <row r="674" spans="1:10" x14ac:dyDescent="0.35">
      <c r="A674">
        <v>11179</v>
      </c>
      <c r="B674" t="s">
        <v>86</v>
      </c>
      <c r="C674" t="s">
        <v>493</v>
      </c>
      <c r="D674" t="s">
        <v>92</v>
      </c>
      <c r="E674" t="s">
        <v>109</v>
      </c>
      <c r="F674" t="s">
        <v>411</v>
      </c>
      <c r="G674" s="39">
        <v>42360</v>
      </c>
      <c r="J674" t="s">
        <v>981</v>
      </c>
    </row>
    <row r="675" spans="1:10" x14ac:dyDescent="0.35">
      <c r="A675">
        <v>300104</v>
      </c>
      <c r="B675" t="s">
        <v>86</v>
      </c>
      <c r="C675" t="s">
        <v>494</v>
      </c>
      <c r="D675" t="s">
        <v>92</v>
      </c>
      <c r="E675" t="s">
        <v>102</v>
      </c>
      <c r="F675" t="s">
        <v>411</v>
      </c>
      <c r="G675" s="39">
        <v>43035</v>
      </c>
      <c r="J675" t="s">
        <v>981</v>
      </c>
    </row>
    <row r="676" spans="1:10" x14ac:dyDescent="0.35">
      <c r="A676">
        <v>18125</v>
      </c>
      <c r="B676" t="s">
        <v>86</v>
      </c>
      <c r="C676" t="s">
        <v>494</v>
      </c>
      <c r="D676" t="s">
        <v>92</v>
      </c>
      <c r="E676" t="s">
        <v>491</v>
      </c>
      <c r="F676" t="s">
        <v>244</v>
      </c>
      <c r="G676" s="39">
        <v>46006</v>
      </c>
      <c r="J676" t="s">
        <v>981</v>
      </c>
    </row>
    <row r="677" spans="1:10" x14ac:dyDescent="0.35">
      <c r="A677">
        <v>16949</v>
      </c>
      <c r="B677" t="s">
        <v>86</v>
      </c>
      <c r="C677" t="s">
        <v>494</v>
      </c>
      <c r="D677" t="s">
        <v>92</v>
      </c>
      <c r="E677" t="s">
        <v>109</v>
      </c>
      <c r="F677" t="s">
        <v>244</v>
      </c>
      <c r="G677" s="39">
        <v>45574</v>
      </c>
      <c r="J677" t="s">
        <v>981</v>
      </c>
    </row>
    <row r="678" spans="1:10" x14ac:dyDescent="0.35">
      <c r="A678">
        <v>18917</v>
      </c>
      <c r="B678" t="s">
        <v>86</v>
      </c>
      <c r="C678" t="s">
        <v>494</v>
      </c>
      <c r="D678" t="s">
        <v>92</v>
      </c>
      <c r="E678" t="s">
        <v>109</v>
      </c>
      <c r="F678" t="s">
        <v>244</v>
      </c>
      <c r="G678" s="39">
        <v>46237</v>
      </c>
      <c r="J678" t="s">
        <v>981</v>
      </c>
    </row>
    <row r="679" spans="1:10" x14ac:dyDescent="0.35">
      <c r="A679">
        <v>16770</v>
      </c>
      <c r="B679" t="s">
        <v>86</v>
      </c>
      <c r="C679" t="s">
        <v>492</v>
      </c>
      <c r="D679" t="s">
        <v>92</v>
      </c>
      <c r="E679" t="s">
        <v>102</v>
      </c>
      <c r="F679" t="s">
        <v>244</v>
      </c>
      <c r="G679" s="39">
        <v>45553</v>
      </c>
      <c r="J679" t="s">
        <v>981</v>
      </c>
    </row>
    <row r="680" spans="1:10" x14ac:dyDescent="0.35">
      <c r="A680">
        <v>17037</v>
      </c>
      <c r="B680" t="s">
        <v>86</v>
      </c>
      <c r="C680" t="s">
        <v>492</v>
      </c>
      <c r="D680" t="s">
        <v>92</v>
      </c>
      <c r="E680" t="s">
        <v>102</v>
      </c>
      <c r="F680" t="s">
        <v>244</v>
      </c>
      <c r="G680" s="39">
        <v>45610</v>
      </c>
      <c r="J680" t="s">
        <v>981</v>
      </c>
    </row>
    <row r="681" spans="1:10" x14ac:dyDescent="0.35">
      <c r="A681">
        <v>11987</v>
      </c>
      <c r="B681" t="s">
        <v>43</v>
      </c>
      <c r="C681" t="s">
        <v>495</v>
      </c>
      <c r="D681" t="s">
        <v>92</v>
      </c>
      <c r="E681" t="s">
        <v>101</v>
      </c>
      <c r="F681" t="s">
        <v>244</v>
      </c>
      <c r="G681" s="39">
        <v>43362</v>
      </c>
      <c r="J681" t="s">
        <v>981</v>
      </c>
    </row>
    <row r="682" spans="1:10" x14ac:dyDescent="0.35">
      <c r="A682">
        <v>12639</v>
      </c>
      <c r="B682" t="s">
        <v>43</v>
      </c>
      <c r="C682" t="s">
        <v>495</v>
      </c>
      <c r="D682" t="s">
        <v>92</v>
      </c>
      <c r="E682" t="s">
        <v>109</v>
      </c>
      <c r="F682" t="s">
        <v>244</v>
      </c>
      <c r="G682" s="39">
        <v>43846</v>
      </c>
      <c r="J682" t="s">
        <v>981</v>
      </c>
    </row>
    <row r="683" spans="1:10" x14ac:dyDescent="0.35">
      <c r="A683">
        <v>14666</v>
      </c>
      <c r="B683" t="s">
        <v>43</v>
      </c>
      <c r="C683" t="s">
        <v>495</v>
      </c>
      <c r="D683" t="s">
        <v>92</v>
      </c>
      <c r="E683" t="s">
        <v>102</v>
      </c>
      <c r="F683" t="s">
        <v>244</v>
      </c>
      <c r="G683" s="39">
        <v>44823</v>
      </c>
      <c r="J683" t="s">
        <v>981</v>
      </c>
    </row>
    <row r="684" spans="1:10" x14ac:dyDescent="0.35">
      <c r="A684">
        <v>15240</v>
      </c>
      <c r="B684" t="s">
        <v>43</v>
      </c>
      <c r="C684" t="s">
        <v>495</v>
      </c>
      <c r="D684" t="s">
        <v>92</v>
      </c>
      <c r="E684" t="s">
        <v>102</v>
      </c>
      <c r="F684" t="s">
        <v>244</v>
      </c>
      <c r="G684" s="39">
        <v>44998</v>
      </c>
      <c r="J684" t="s">
        <v>981</v>
      </c>
    </row>
    <row r="685" spans="1:10" x14ac:dyDescent="0.35">
      <c r="A685">
        <v>16512</v>
      </c>
      <c r="B685" t="s">
        <v>43</v>
      </c>
      <c r="C685" t="s">
        <v>495</v>
      </c>
      <c r="D685" t="s">
        <v>92</v>
      </c>
      <c r="E685" t="s">
        <v>102</v>
      </c>
      <c r="F685" t="s">
        <v>245</v>
      </c>
      <c r="G685" s="39">
        <v>45453</v>
      </c>
      <c r="J685" t="s">
        <v>981</v>
      </c>
    </row>
    <row r="686" spans="1:10" x14ac:dyDescent="0.35">
      <c r="A686">
        <v>300239</v>
      </c>
      <c r="B686" t="s">
        <v>43</v>
      </c>
      <c r="C686" t="s">
        <v>495</v>
      </c>
      <c r="D686" t="s">
        <v>92</v>
      </c>
      <c r="E686" t="s">
        <v>102</v>
      </c>
      <c r="F686" t="s">
        <v>244</v>
      </c>
      <c r="G686" s="39">
        <v>44501</v>
      </c>
      <c r="J686" t="s">
        <v>981</v>
      </c>
    </row>
    <row r="687" spans="1:10" x14ac:dyDescent="0.35">
      <c r="A687">
        <v>12589</v>
      </c>
      <c r="B687" t="s">
        <v>43</v>
      </c>
      <c r="C687" t="s">
        <v>497</v>
      </c>
      <c r="D687" t="s">
        <v>92</v>
      </c>
      <c r="E687" t="s">
        <v>101</v>
      </c>
      <c r="F687" t="s">
        <v>244</v>
      </c>
      <c r="G687" s="39">
        <v>43819</v>
      </c>
      <c r="J687" t="s">
        <v>981</v>
      </c>
    </row>
    <row r="688" spans="1:10" x14ac:dyDescent="0.35">
      <c r="A688">
        <v>20029</v>
      </c>
      <c r="B688" t="s">
        <v>43</v>
      </c>
      <c r="C688" t="s">
        <v>497</v>
      </c>
      <c r="D688" t="s">
        <v>92</v>
      </c>
      <c r="E688" t="s">
        <v>99</v>
      </c>
      <c r="F688" t="s">
        <v>244</v>
      </c>
      <c r="G688" s="39">
        <v>40066</v>
      </c>
      <c r="J688" t="s">
        <v>981</v>
      </c>
    </row>
    <row r="689" spans="1:10" x14ac:dyDescent="0.35">
      <c r="A689">
        <v>18956</v>
      </c>
      <c r="B689" t="s">
        <v>43</v>
      </c>
      <c r="C689" t="s">
        <v>497</v>
      </c>
      <c r="D689" t="s">
        <v>92</v>
      </c>
      <c r="E689" t="s">
        <v>109</v>
      </c>
      <c r="F689" t="s">
        <v>244</v>
      </c>
      <c r="G689" s="39">
        <v>46248</v>
      </c>
      <c r="J689" t="s">
        <v>981</v>
      </c>
    </row>
    <row r="690" spans="1:10" x14ac:dyDescent="0.35">
      <c r="A690">
        <v>11323</v>
      </c>
      <c r="B690" t="s">
        <v>92</v>
      </c>
      <c r="C690" t="s">
        <v>42</v>
      </c>
      <c r="D690" t="s">
        <v>92</v>
      </c>
      <c r="E690" t="s">
        <v>99</v>
      </c>
      <c r="F690" t="s">
        <v>244</v>
      </c>
      <c r="G690" s="39">
        <v>42529</v>
      </c>
      <c r="J690" t="s">
        <v>981</v>
      </c>
    </row>
    <row r="691" spans="1:10" x14ac:dyDescent="0.35">
      <c r="A691">
        <v>680002</v>
      </c>
      <c r="B691" t="s">
        <v>92</v>
      </c>
      <c r="C691" t="s">
        <v>42</v>
      </c>
      <c r="D691" t="s">
        <v>92</v>
      </c>
      <c r="E691" t="s">
        <v>109</v>
      </c>
      <c r="F691" t="s">
        <v>244</v>
      </c>
      <c r="G691" s="39">
        <v>36710</v>
      </c>
      <c r="J691" t="s">
        <v>981</v>
      </c>
    </row>
    <row r="692" spans="1:10" x14ac:dyDescent="0.35">
      <c r="A692">
        <v>220003</v>
      </c>
      <c r="B692" t="s">
        <v>36</v>
      </c>
      <c r="C692" t="s">
        <v>489</v>
      </c>
      <c r="D692" t="s">
        <v>92</v>
      </c>
      <c r="E692" t="s">
        <v>109</v>
      </c>
      <c r="F692" t="s">
        <v>244</v>
      </c>
      <c r="G692" s="39">
        <v>36689</v>
      </c>
      <c r="J692" t="s">
        <v>981</v>
      </c>
    </row>
    <row r="693" spans="1:10" x14ac:dyDescent="0.35">
      <c r="A693">
        <v>10189</v>
      </c>
      <c r="B693" t="s">
        <v>92</v>
      </c>
      <c r="C693" t="s">
        <v>42</v>
      </c>
      <c r="D693" t="s">
        <v>92</v>
      </c>
      <c r="E693" t="s">
        <v>109</v>
      </c>
      <c r="F693" t="s">
        <v>244</v>
      </c>
      <c r="G693" s="39">
        <v>37844</v>
      </c>
      <c r="J693" t="s">
        <v>981</v>
      </c>
    </row>
    <row r="694" spans="1:10" x14ac:dyDescent="0.35">
      <c r="A694">
        <v>230005</v>
      </c>
      <c r="B694" t="s">
        <v>92</v>
      </c>
      <c r="C694" t="s">
        <v>42</v>
      </c>
      <c r="D694" t="s">
        <v>92</v>
      </c>
      <c r="E694" t="s">
        <v>102</v>
      </c>
      <c r="F694" t="s">
        <v>244</v>
      </c>
      <c r="G694" s="39">
        <v>39366</v>
      </c>
      <c r="J694" t="s">
        <v>981</v>
      </c>
    </row>
    <row r="695" spans="1:10" x14ac:dyDescent="0.35">
      <c r="A695">
        <v>14836</v>
      </c>
      <c r="B695" t="s">
        <v>50</v>
      </c>
      <c r="C695" t="s">
        <v>498</v>
      </c>
      <c r="D695" t="s">
        <v>92</v>
      </c>
      <c r="E695" t="s">
        <v>109</v>
      </c>
      <c r="F695" t="s">
        <v>244</v>
      </c>
      <c r="G695" s="39">
        <v>44870</v>
      </c>
      <c r="J695" t="s">
        <v>981</v>
      </c>
    </row>
    <row r="696" spans="1:10" x14ac:dyDescent="0.35">
      <c r="A696">
        <v>300253</v>
      </c>
      <c r="B696" t="s">
        <v>36</v>
      </c>
      <c r="C696" t="s">
        <v>489</v>
      </c>
      <c r="D696" t="s">
        <v>92</v>
      </c>
      <c r="E696" t="s">
        <v>103</v>
      </c>
      <c r="F696" t="s">
        <v>244</v>
      </c>
      <c r="G696" s="39">
        <v>44603</v>
      </c>
      <c r="J696" t="s">
        <v>981</v>
      </c>
    </row>
    <row r="697" spans="1:10" x14ac:dyDescent="0.35">
      <c r="A697">
        <v>16964</v>
      </c>
      <c r="B697" t="s">
        <v>43</v>
      </c>
      <c r="C697" t="s">
        <v>497</v>
      </c>
      <c r="D697" t="s">
        <v>92</v>
      </c>
      <c r="E697" t="s">
        <v>102</v>
      </c>
      <c r="F697" t="s">
        <v>244</v>
      </c>
      <c r="G697" s="39">
        <v>45579</v>
      </c>
      <c r="J697" t="s">
        <v>981</v>
      </c>
    </row>
    <row r="698" spans="1:10" x14ac:dyDescent="0.35">
      <c r="A698">
        <v>18301</v>
      </c>
      <c r="B698" t="s">
        <v>43</v>
      </c>
      <c r="C698" t="s">
        <v>497</v>
      </c>
      <c r="D698" t="s">
        <v>92</v>
      </c>
      <c r="E698" t="s">
        <v>103</v>
      </c>
      <c r="F698" t="s">
        <v>244</v>
      </c>
      <c r="G698" s="39">
        <v>46083</v>
      </c>
      <c r="J698" t="s">
        <v>981</v>
      </c>
    </row>
    <row r="699" spans="1:10" x14ac:dyDescent="0.35">
      <c r="A699">
        <v>17073</v>
      </c>
      <c r="B699" t="s">
        <v>43</v>
      </c>
      <c r="C699" t="s">
        <v>497</v>
      </c>
      <c r="D699" t="s">
        <v>92</v>
      </c>
      <c r="E699" t="s">
        <v>102</v>
      </c>
      <c r="F699" t="s">
        <v>244</v>
      </c>
      <c r="G699" s="39">
        <v>45621</v>
      </c>
      <c r="J699" t="s">
        <v>981</v>
      </c>
    </row>
    <row r="700" spans="1:10" x14ac:dyDescent="0.35">
      <c r="A700">
        <v>17752</v>
      </c>
      <c r="B700" t="s">
        <v>43</v>
      </c>
      <c r="C700" t="s">
        <v>497</v>
      </c>
      <c r="D700" t="s">
        <v>92</v>
      </c>
      <c r="E700" t="s">
        <v>103</v>
      </c>
      <c r="F700" t="s">
        <v>244</v>
      </c>
      <c r="G700" s="39">
        <v>45874</v>
      </c>
      <c r="J700" t="s">
        <v>981</v>
      </c>
    </row>
    <row r="701" spans="1:10" x14ac:dyDescent="0.35">
      <c r="A701">
        <v>10631</v>
      </c>
      <c r="B701" t="s">
        <v>48</v>
      </c>
      <c r="C701" t="s">
        <v>92</v>
      </c>
      <c r="D701" t="s">
        <v>92</v>
      </c>
      <c r="E701" t="s">
        <v>110</v>
      </c>
      <c r="F701" t="s">
        <v>244</v>
      </c>
      <c r="G701" s="39">
        <v>41548</v>
      </c>
      <c r="J701" t="s">
        <v>981</v>
      </c>
    </row>
    <row r="702" spans="1:10" x14ac:dyDescent="0.35">
      <c r="A702">
        <v>18164</v>
      </c>
      <c r="B702" t="s">
        <v>50</v>
      </c>
      <c r="C702" t="s">
        <v>499</v>
      </c>
      <c r="D702" t="s">
        <v>92</v>
      </c>
      <c r="E702" t="s">
        <v>101</v>
      </c>
      <c r="F702" t="s">
        <v>244</v>
      </c>
      <c r="G702" s="39">
        <v>46028</v>
      </c>
      <c r="J702" t="s">
        <v>981</v>
      </c>
    </row>
    <row r="703" spans="1:10" x14ac:dyDescent="0.35">
      <c r="A703">
        <v>15684</v>
      </c>
      <c r="B703" t="s">
        <v>50</v>
      </c>
      <c r="C703" t="s">
        <v>499</v>
      </c>
      <c r="D703" t="s">
        <v>92</v>
      </c>
      <c r="E703" t="s">
        <v>102</v>
      </c>
      <c r="F703" t="s">
        <v>244</v>
      </c>
      <c r="G703" s="39">
        <v>45163</v>
      </c>
      <c r="J703" t="s">
        <v>981</v>
      </c>
    </row>
    <row r="704" spans="1:10" x14ac:dyDescent="0.35">
      <c r="A704">
        <v>15424</v>
      </c>
      <c r="B704" t="s">
        <v>50</v>
      </c>
      <c r="C704" t="s">
        <v>499</v>
      </c>
      <c r="D704" t="s">
        <v>92</v>
      </c>
      <c r="E704" t="s">
        <v>109</v>
      </c>
      <c r="F704" t="s">
        <v>244</v>
      </c>
      <c r="G704" s="39">
        <v>45068</v>
      </c>
      <c r="J704" t="s">
        <v>981</v>
      </c>
    </row>
    <row r="705" spans="1:10" x14ac:dyDescent="0.35">
      <c r="A705">
        <v>19190</v>
      </c>
      <c r="B705" t="s">
        <v>50</v>
      </c>
      <c r="C705" t="s">
        <v>499</v>
      </c>
      <c r="D705" t="s">
        <v>92</v>
      </c>
      <c r="E705" t="s">
        <v>103</v>
      </c>
      <c r="F705" t="s">
        <v>244</v>
      </c>
      <c r="G705" s="39">
        <v>46280</v>
      </c>
      <c r="J705" t="s">
        <v>981</v>
      </c>
    </row>
    <row r="706" spans="1:10" x14ac:dyDescent="0.35">
      <c r="A706">
        <v>10646</v>
      </c>
      <c r="B706" t="s">
        <v>50</v>
      </c>
      <c r="C706" t="s">
        <v>92</v>
      </c>
      <c r="D706" t="s">
        <v>92</v>
      </c>
      <c r="E706" t="s">
        <v>100</v>
      </c>
      <c r="F706" t="s">
        <v>244</v>
      </c>
      <c r="G706" s="39">
        <v>41579</v>
      </c>
      <c r="J706" t="s">
        <v>981</v>
      </c>
    </row>
    <row r="707" spans="1:10" x14ac:dyDescent="0.35">
      <c r="A707">
        <v>10109</v>
      </c>
      <c r="B707" t="s">
        <v>50</v>
      </c>
      <c r="C707" t="s">
        <v>498</v>
      </c>
      <c r="D707" t="s">
        <v>92</v>
      </c>
      <c r="E707" t="s">
        <v>99</v>
      </c>
      <c r="F707" t="s">
        <v>244</v>
      </c>
      <c r="G707" s="39">
        <v>38002</v>
      </c>
      <c r="J707" t="s">
        <v>981</v>
      </c>
    </row>
    <row r="708" spans="1:10" x14ac:dyDescent="0.35">
      <c r="A708">
        <v>13114</v>
      </c>
      <c r="B708" t="s">
        <v>50</v>
      </c>
      <c r="C708" t="s">
        <v>498</v>
      </c>
      <c r="D708" t="s">
        <v>92</v>
      </c>
      <c r="E708" t="s">
        <v>99</v>
      </c>
      <c r="F708" t="s">
        <v>244</v>
      </c>
      <c r="G708" s="39">
        <v>44260</v>
      </c>
      <c r="J708" t="s">
        <v>981</v>
      </c>
    </row>
    <row r="709" spans="1:10" x14ac:dyDescent="0.35">
      <c r="A709">
        <v>12114</v>
      </c>
      <c r="B709" t="s">
        <v>50</v>
      </c>
      <c r="C709" t="s">
        <v>498</v>
      </c>
      <c r="D709" t="s">
        <v>92</v>
      </c>
      <c r="E709" t="s">
        <v>99</v>
      </c>
      <c r="F709" t="s">
        <v>244</v>
      </c>
      <c r="G709" s="39">
        <v>43482</v>
      </c>
      <c r="J709" t="s">
        <v>981</v>
      </c>
    </row>
    <row r="710" spans="1:10" x14ac:dyDescent="0.35">
      <c r="A710">
        <v>12747</v>
      </c>
      <c r="B710" t="s">
        <v>50</v>
      </c>
      <c r="C710" t="s">
        <v>498</v>
      </c>
      <c r="D710" t="s">
        <v>92</v>
      </c>
      <c r="E710" t="s">
        <v>109</v>
      </c>
      <c r="F710" t="s">
        <v>244</v>
      </c>
      <c r="G710" s="39">
        <v>43892</v>
      </c>
      <c r="J710" t="s">
        <v>981</v>
      </c>
    </row>
    <row r="711" spans="1:10" x14ac:dyDescent="0.35">
      <c r="A711">
        <v>13454</v>
      </c>
      <c r="B711" t="s">
        <v>50</v>
      </c>
      <c r="C711" t="s">
        <v>498</v>
      </c>
      <c r="D711" t="s">
        <v>92</v>
      </c>
      <c r="E711" t="s">
        <v>109</v>
      </c>
      <c r="F711" t="s">
        <v>244</v>
      </c>
      <c r="G711" s="39">
        <v>44462</v>
      </c>
      <c r="J711" t="s">
        <v>981</v>
      </c>
    </row>
    <row r="712" spans="1:10" x14ac:dyDescent="0.35">
      <c r="A712">
        <v>14464</v>
      </c>
      <c r="B712" t="s">
        <v>48</v>
      </c>
      <c r="C712" t="s">
        <v>136</v>
      </c>
      <c r="D712" t="s">
        <v>92</v>
      </c>
      <c r="E712" t="s">
        <v>99</v>
      </c>
      <c r="F712" t="s">
        <v>244</v>
      </c>
      <c r="G712" s="39">
        <v>44767</v>
      </c>
      <c r="J712" t="s">
        <v>981</v>
      </c>
    </row>
    <row r="713" spans="1:10" x14ac:dyDescent="0.35">
      <c r="A713">
        <v>14446</v>
      </c>
      <c r="B713" t="s">
        <v>50</v>
      </c>
      <c r="C713" t="s">
        <v>498</v>
      </c>
      <c r="D713" t="s">
        <v>92</v>
      </c>
      <c r="E713" t="s">
        <v>109</v>
      </c>
      <c r="F713" t="s">
        <v>244</v>
      </c>
      <c r="G713" s="39">
        <v>44762</v>
      </c>
      <c r="J713" t="s">
        <v>981</v>
      </c>
    </row>
    <row r="714" spans="1:10" x14ac:dyDescent="0.35">
      <c r="A714">
        <v>17825</v>
      </c>
      <c r="B714" t="s">
        <v>50</v>
      </c>
      <c r="C714" t="s">
        <v>498</v>
      </c>
      <c r="D714" t="s">
        <v>92</v>
      </c>
      <c r="E714" t="s">
        <v>109</v>
      </c>
      <c r="F714" t="s">
        <v>244</v>
      </c>
      <c r="G714" s="39">
        <v>45884</v>
      </c>
      <c r="J714" t="s">
        <v>981</v>
      </c>
    </row>
    <row r="715" spans="1:10" x14ac:dyDescent="0.35">
      <c r="A715">
        <v>15578</v>
      </c>
      <c r="B715" t="s">
        <v>50</v>
      </c>
      <c r="C715" t="s">
        <v>498</v>
      </c>
      <c r="D715" t="s">
        <v>92</v>
      </c>
      <c r="E715" t="s">
        <v>102</v>
      </c>
      <c r="F715" t="s">
        <v>244</v>
      </c>
      <c r="G715" s="39">
        <v>45128</v>
      </c>
      <c r="J715" t="s">
        <v>981</v>
      </c>
    </row>
    <row r="716" spans="1:10" x14ac:dyDescent="0.35">
      <c r="A716">
        <v>160055</v>
      </c>
      <c r="B716" t="s">
        <v>50</v>
      </c>
      <c r="C716" t="s">
        <v>498</v>
      </c>
      <c r="D716" t="s">
        <v>92</v>
      </c>
      <c r="E716" t="s">
        <v>102</v>
      </c>
      <c r="F716" t="s">
        <v>244</v>
      </c>
      <c r="G716" s="39">
        <v>44384</v>
      </c>
      <c r="J716" t="s">
        <v>981</v>
      </c>
    </row>
    <row r="717" spans="1:10" x14ac:dyDescent="0.35">
      <c r="A717">
        <v>17690</v>
      </c>
      <c r="B717" t="s">
        <v>50</v>
      </c>
      <c r="C717" t="s">
        <v>498</v>
      </c>
      <c r="D717" t="s">
        <v>92</v>
      </c>
      <c r="E717" t="s">
        <v>103</v>
      </c>
      <c r="F717" t="s">
        <v>244</v>
      </c>
      <c r="G717" s="39">
        <v>45842</v>
      </c>
      <c r="J717" t="s">
        <v>981</v>
      </c>
    </row>
    <row r="718" spans="1:10" x14ac:dyDescent="0.35">
      <c r="A718">
        <v>12308</v>
      </c>
      <c r="B718" t="s">
        <v>50</v>
      </c>
      <c r="C718" t="s">
        <v>500</v>
      </c>
      <c r="D718" t="s">
        <v>92</v>
      </c>
      <c r="E718" t="s">
        <v>101</v>
      </c>
      <c r="F718" t="s">
        <v>244</v>
      </c>
      <c r="G718" s="39">
        <v>43672</v>
      </c>
      <c r="J718" t="s">
        <v>981</v>
      </c>
    </row>
    <row r="719" spans="1:10" x14ac:dyDescent="0.35">
      <c r="A719">
        <v>17747</v>
      </c>
      <c r="B719" t="s">
        <v>50</v>
      </c>
      <c r="C719" t="s">
        <v>500</v>
      </c>
      <c r="D719" t="s">
        <v>92</v>
      </c>
      <c r="E719" t="s">
        <v>109</v>
      </c>
      <c r="F719" t="s">
        <v>244</v>
      </c>
      <c r="G719" s="39">
        <v>45870</v>
      </c>
      <c r="J719" t="s">
        <v>981</v>
      </c>
    </row>
    <row r="720" spans="1:10" x14ac:dyDescent="0.35">
      <c r="A720">
        <v>11326</v>
      </c>
      <c r="B720" t="s">
        <v>50</v>
      </c>
      <c r="C720" t="s">
        <v>500</v>
      </c>
      <c r="D720" t="s">
        <v>92</v>
      </c>
      <c r="E720" t="s">
        <v>109</v>
      </c>
      <c r="F720" t="s">
        <v>244</v>
      </c>
      <c r="G720" s="39">
        <v>42534</v>
      </c>
      <c r="J720" t="s">
        <v>981</v>
      </c>
    </row>
    <row r="721" spans="1:10" x14ac:dyDescent="0.35">
      <c r="A721">
        <v>15606</v>
      </c>
      <c r="B721" t="s">
        <v>50</v>
      </c>
      <c r="C721" t="s">
        <v>500</v>
      </c>
      <c r="D721" t="s">
        <v>92</v>
      </c>
      <c r="E721" t="s">
        <v>102</v>
      </c>
      <c r="F721" t="s">
        <v>244</v>
      </c>
      <c r="G721" s="39">
        <v>45139</v>
      </c>
      <c r="J721" t="s">
        <v>981</v>
      </c>
    </row>
    <row r="722" spans="1:10" x14ac:dyDescent="0.35">
      <c r="A722">
        <v>16587</v>
      </c>
      <c r="B722" t="s">
        <v>50</v>
      </c>
      <c r="C722" t="s">
        <v>500</v>
      </c>
      <c r="D722" t="s">
        <v>92</v>
      </c>
      <c r="E722" t="s">
        <v>102</v>
      </c>
      <c r="F722" t="s">
        <v>244</v>
      </c>
      <c r="G722" s="39">
        <v>45490</v>
      </c>
      <c r="J722" t="s">
        <v>981</v>
      </c>
    </row>
    <row r="723" spans="1:10" x14ac:dyDescent="0.35">
      <c r="A723">
        <v>17194</v>
      </c>
      <c r="B723" t="s">
        <v>50</v>
      </c>
      <c r="C723" t="s">
        <v>500</v>
      </c>
      <c r="D723" t="s">
        <v>92</v>
      </c>
      <c r="E723" t="s">
        <v>102</v>
      </c>
      <c r="F723" t="s">
        <v>244</v>
      </c>
      <c r="G723" s="39">
        <v>45663</v>
      </c>
      <c r="J723" t="s">
        <v>981</v>
      </c>
    </row>
    <row r="724" spans="1:10" x14ac:dyDescent="0.35">
      <c r="A724">
        <v>17764</v>
      </c>
      <c r="B724" t="s">
        <v>50</v>
      </c>
      <c r="C724" t="s">
        <v>500</v>
      </c>
      <c r="D724" t="s">
        <v>92</v>
      </c>
      <c r="E724" t="s">
        <v>103</v>
      </c>
      <c r="F724" t="s">
        <v>244</v>
      </c>
      <c r="G724" s="39">
        <v>45870</v>
      </c>
      <c r="J724" t="s">
        <v>981</v>
      </c>
    </row>
    <row r="725" spans="1:10" x14ac:dyDescent="0.35">
      <c r="A725">
        <v>13211</v>
      </c>
      <c r="B725" t="s">
        <v>48</v>
      </c>
      <c r="C725" t="s">
        <v>136</v>
      </c>
      <c r="D725" t="s">
        <v>92</v>
      </c>
      <c r="E725" t="s">
        <v>101</v>
      </c>
      <c r="F725" t="s">
        <v>244</v>
      </c>
      <c r="G725" s="39">
        <v>44322</v>
      </c>
      <c r="J725" t="s">
        <v>981</v>
      </c>
    </row>
    <row r="726" spans="1:10" x14ac:dyDescent="0.35">
      <c r="A726">
        <v>16663</v>
      </c>
      <c r="B726" t="s">
        <v>48</v>
      </c>
      <c r="C726" t="s">
        <v>136</v>
      </c>
      <c r="D726" t="s">
        <v>92</v>
      </c>
      <c r="E726" t="s">
        <v>102</v>
      </c>
      <c r="F726" t="s">
        <v>244</v>
      </c>
      <c r="G726" s="39">
        <v>45513</v>
      </c>
      <c r="J726" t="s">
        <v>981</v>
      </c>
    </row>
    <row r="727" spans="1:10" x14ac:dyDescent="0.35">
      <c r="A727">
        <v>18520</v>
      </c>
      <c r="B727" t="s">
        <v>58</v>
      </c>
      <c r="C727" t="s">
        <v>92</v>
      </c>
      <c r="D727" t="s">
        <v>92</v>
      </c>
      <c r="E727" t="s">
        <v>110</v>
      </c>
      <c r="F727" t="s">
        <v>244</v>
      </c>
      <c r="G727" s="39">
        <v>46143</v>
      </c>
      <c r="H727" t="s">
        <v>248</v>
      </c>
      <c r="J727" t="s">
        <v>981</v>
      </c>
    </row>
    <row r="728" spans="1:10" x14ac:dyDescent="0.35">
      <c r="A728">
        <v>18512</v>
      </c>
      <c r="B728" t="s">
        <v>58</v>
      </c>
      <c r="C728" t="s">
        <v>137</v>
      </c>
      <c r="D728" t="s">
        <v>92</v>
      </c>
      <c r="E728" t="s">
        <v>138</v>
      </c>
      <c r="F728" t="s">
        <v>244</v>
      </c>
      <c r="G728" s="39">
        <v>46143</v>
      </c>
      <c r="H728" t="s">
        <v>248</v>
      </c>
      <c r="J728" t="s">
        <v>981</v>
      </c>
    </row>
    <row r="729" spans="1:10" x14ac:dyDescent="0.35">
      <c r="A729">
        <v>18521</v>
      </c>
      <c r="B729" t="s">
        <v>58</v>
      </c>
      <c r="C729" t="s">
        <v>137</v>
      </c>
      <c r="D729" t="s">
        <v>92</v>
      </c>
      <c r="E729" t="s">
        <v>138</v>
      </c>
      <c r="F729" t="s">
        <v>244</v>
      </c>
      <c r="G729" s="39">
        <v>46143</v>
      </c>
      <c r="H729" t="s">
        <v>248</v>
      </c>
      <c r="J729" t="s">
        <v>981</v>
      </c>
    </row>
    <row r="730" spans="1:10" x14ac:dyDescent="0.35">
      <c r="A730">
        <v>18513</v>
      </c>
      <c r="B730" t="s">
        <v>58</v>
      </c>
      <c r="C730" t="s">
        <v>137</v>
      </c>
      <c r="D730" t="s">
        <v>92</v>
      </c>
      <c r="E730" t="s">
        <v>139</v>
      </c>
      <c r="F730" t="s">
        <v>244</v>
      </c>
      <c r="G730" s="39">
        <v>46143</v>
      </c>
      <c r="H730" t="s">
        <v>248</v>
      </c>
      <c r="J730" t="s">
        <v>981</v>
      </c>
    </row>
    <row r="731" spans="1:10" x14ac:dyDescent="0.35">
      <c r="A731">
        <v>18516</v>
      </c>
      <c r="B731" t="s">
        <v>58</v>
      </c>
      <c r="C731" t="s">
        <v>140</v>
      </c>
      <c r="D731" t="s">
        <v>92</v>
      </c>
      <c r="E731" t="s">
        <v>99</v>
      </c>
      <c r="F731" t="s">
        <v>244</v>
      </c>
      <c r="G731" s="39">
        <v>46143</v>
      </c>
      <c r="H731" t="s">
        <v>248</v>
      </c>
      <c r="J731" t="s">
        <v>981</v>
      </c>
    </row>
    <row r="732" spans="1:10" x14ac:dyDescent="0.35">
      <c r="A732">
        <v>18519</v>
      </c>
      <c r="B732" t="s">
        <v>58</v>
      </c>
      <c r="C732" t="s">
        <v>140</v>
      </c>
      <c r="D732" t="s">
        <v>92</v>
      </c>
      <c r="E732" t="s">
        <v>141</v>
      </c>
      <c r="F732" t="s">
        <v>244</v>
      </c>
      <c r="G732" s="39">
        <v>46143</v>
      </c>
      <c r="H732" t="s">
        <v>249</v>
      </c>
      <c r="J732" t="s">
        <v>981</v>
      </c>
    </row>
    <row r="733" spans="1:10" x14ac:dyDescent="0.35">
      <c r="A733">
        <v>19123</v>
      </c>
      <c r="B733" t="s">
        <v>58</v>
      </c>
      <c r="C733" t="s">
        <v>140</v>
      </c>
      <c r="D733" t="s">
        <v>92</v>
      </c>
      <c r="E733" t="s">
        <v>141</v>
      </c>
      <c r="F733" t="s">
        <v>244</v>
      </c>
      <c r="G733" s="39">
        <v>46274</v>
      </c>
      <c r="J733" t="s">
        <v>981</v>
      </c>
    </row>
    <row r="734" spans="1:10" x14ac:dyDescent="0.35">
      <c r="A734">
        <v>18518</v>
      </c>
      <c r="B734" t="s">
        <v>58</v>
      </c>
      <c r="C734" t="s">
        <v>140</v>
      </c>
      <c r="D734" t="s">
        <v>92</v>
      </c>
      <c r="E734" t="s">
        <v>144</v>
      </c>
      <c r="F734" t="s">
        <v>244</v>
      </c>
      <c r="G734" s="39">
        <v>46143</v>
      </c>
      <c r="H734" t="s">
        <v>248</v>
      </c>
      <c r="J734" t="s">
        <v>981</v>
      </c>
    </row>
    <row r="735" spans="1:10" x14ac:dyDescent="0.35">
      <c r="A735">
        <v>18524</v>
      </c>
      <c r="B735" t="s">
        <v>48</v>
      </c>
      <c r="C735" t="s">
        <v>145</v>
      </c>
      <c r="D735" t="s">
        <v>92</v>
      </c>
      <c r="E735" t="s">
        <v>99</v>
      </c>
      <c r="F735" t="s">
        <v>244</v>
      </c>
      <c r="G735" s="39">
        <v>46143</v>
      </c>
      <c r="H735" t="s">
        <v>248</v>
      </c>
      <c r="J735" t="s">
        <v>981</v>
      </c>
    </row>
    <row r="736" spans="1:10" x14ac:dyDescent="0.35">
      <c r="A736">
        <v>18527</v>
      </c>
      <c r="B736" t="s">
        <v>48</v>
      </c>
      <c r="C736" t="s">
        <v>136</v>
      </c>
      <c r="D736" t="s">
        <v>92</v>
      </c>
      <c r="E736" t="s">
        <v>103</v>
      </c>
      <c r="F736" t="s">
        <v>245</v>
      </c>
      <c r="G736" s="39">
        <v>46143</v>
      </c>
      <c r="H736" t="s">
        <v>248</v>
      </c>
      <c r="J736" t="s">
        <v>981</v>
      </c>
    </row>
    <row r="737" spans="1:10" x14ac:dyDescent="0.35">
      <c r="A737">
        <v>18525</v>
      </c>
      <c r="B737" t="s">
        <v>48</v>
      </c>
      <c r="C737" t="s">
        <v>145</v>
      </c>
      <c r="D737" t="s">
        <v>92</v>
      </c>
      <c r="E737" t="s">
        <v>99</v>
      </c>
      <c r="F737" t="s">
        <v>244</v>
      </c>
      <c r="G737" s="39">
        <v>46149</v>
      </c>
      <c r="H737" t="s">
        <v>248</v>
      </c>
      <c r="J737" t="s">
        <v>981</v>
      </c>
    </row>
    <row r="738" spans="1:10" x14ac:dyDescent="0.35">
      <c r="A738">
        <v>18517</v>
      </c>
      <c r="B738" t="s">
        <v>48</v>
      </c>
      <c r="C738" t="s">
        <v>145</v>
      </c>
      <c r="D738" t="s">
        <v>92</v>
      </c>
      <c r="E738" t="s">
        <v>146</v>
      </c>
      <c r="F738" t="s">
        <v>244</v>
      </c>
      <c r="G738" s="39">
        <v>46143</v>
      </c>
      <c r="H738" t="s">
        <v>248</v>
      </c>
      <c r="J738" t="s">
        <v>981</v>
      </c>
    </row>
    <row r="739" spans="1:10" x14ac:dyDescent="0.35">
      <c r="A739">
        <v>10946</v>
      </c>
      <c r="B739" t="s">
        <v>48</v>
      </c>
      <c r="C739" t="s">
        <v>147</v>
      </c>
      <c r="D739" t="s">
        <v>92</v>
      </c>
      <c r="E739" t="s">
        <v>109</v>
      </c>
      <c r="F739" t="s">
        <v>245</v>
      </c>
      <c r="G739" s="39">
        <v>42180</v>
      </c>
      <c r="J739" t="s">
        <v>981</v>
      </c>
    </row>
    <row r="740" spans="1:10" x14ac:dyDescent="0.35">
      <c r="A740">
        <v>17866</v>
      </c>
      <c r="B740" t="s">
        <v>50</v>
      </c>
      <c r="C740" t="s">
        <v>498</v>
      </c>
      <c r="D740" t="s">
        <v>92</v>
      </c>
      <c r="E740" t="s">
        <v>109</v>
      </c>
      <c r="F740" t="s">
        <v>244</v>
      </c>
      <c r="G740" s="39">
        <v>45901</v>
      </c>
      <c r="J740" t="s">
        <v>981</v>
      </c>
    </row>
    <row r="741" spans="1:10" x14ac:dyDescent="0.35">
      <c r="A741">
        <v>15089</v>
      </c>
      <c r="B741" t="s">
        <v>48</v>
      </c>
      <c r="C741" t="s">
        <v>136</v>
      </c>
      <c r="D741" t="s">
        <v>92</v>
      </c>
      <c r="E741" t="s">
        <v>109</v>
      </c>
      <c r="F741" t="s">
        <v>244</v>
      </c>
      <c r="G741" s="39">
        <v>44945</v>
      </c>
      <c r="J741" t="s">
        <v>981</v>
      </c>
    </row>
    <row r="742" spans="1:10" x14ac:dyDescent="0.35">
      <c r="A742">
        <v>18134</v>
      </c>
      <c r="B742" t="s">
        <v>50</v>
      </c>
      <c r="C742" t="s">
        <v>498</v>
      </c>
      <c r="D742" t="s">
        <v>92</v>
      </c>
      <c r="E742" t="s">
        <v>501</v>
      </c>
      <c r="F742" t="s">
        <v>244</v>
      </c>
      <c r="G742" s="39">
        <v>46008</v>
      </c>
      <c r="J742" t="s">
        <v>981</v>
      </c>
    </row>
    <row r="743" spans="1:10" x14ac:dyDescent="0.35">
      <c r="A743">
        <v>11531</v>
      </c>
      <c r="B743" t="s">
        <v>37</v>
      </c>
      <c r="C743" t="s">
        <v>92</v>
      </c>
      <c r="D743" t="s">
        <v>92</v>
      </c>
      <c r="E743" t="s">
        <v>110</v>
      </c>
      <c r="F743" t="s">
        <v>244</v>
      </c>
      <c r="G743" s="39">
        <v>42807</v>
      </c>
      <c r="J743" t="s">
        <v>981</v>
      </c>
    </row>
    <row r="744" spans="1:10" x14ac:dyDescent="0.35">
      <c r="A744">
        <v>13302</v>
      </c>
      <c r="B744" t="s">
        <v>30</v>
      </c>
      <c r="C744" t="s">
        <v>502</v>
      </c>
      <c r="D744" t="s">
        <v>92</v>
      </c>
      <c r="E744" t="s">
        <v>101</v>
      </c>
      <c r="F744" t="s">
        <v>244</v>
      </c>
      <c r="G744" s="39">
        <v>44378</v>
      </c>
      <c r="J744" t="s">
        <v>981</v>
      </c>
    </row>
    <row r="745" spans="1:10" x14ac:dyDescent="0.35">
      <c r="A745">
        <v>11763</v>
      </c>
      <c r="B745" t="s">
        <v>30</v>
      </c>
      <c r="C745" t="s">
        <v>502</v>
      </c>
      <c r="D745" t="s">
        <v>92</v>
      </c>
      <c r="E745" t="s">
        <v>99</v>
      </c>
      <c r="F745" t="s">
        <v>244</v>
      </c>
      <c r="G745" s="39">
        <v>43090</v>
      </c>
      <c r="J745" t="s">
        <v>981</v>
      </c>
    </row>
    <row r="746" spans="1:10" x14ac:dyDescent="0.35">
      <c r="A746">
        <v>14827</v>
      </c>
      <c r="B746" t="s">
        <v>30</v>
      </c>
      <c r="C746" t="s">
        <v>502</v>
      </c>
      <c r="D746" t="s">
        <v>92</v>
      </c>
      <c r="E746" t="s">
        <v>109</v>
      </c>
      <c r="F746" t="s">
        <v>244</v>
      </c>
      <c r="G746" s="39">
        <v>44869</v>
      </c>
      <c r="J746" t="s">
        <v>981</v>
      </c>
    </row>
    <row r="747" spans="1:10" x14ac:dyDescent="0.35">
      <c r="A747">
        <v>15785</v>
      </c>
      <c r="B747" t="s">
        <v>30</v>
      </c>
      <c r="C747" t="s">
        <v>502</v>
      </c>
      <c r="D747" t="s">
        <v>92</v>
      </c>
      <c r="E747" t="s">
        <v>102</v>
      </c>
      <c r="F747" t="s">
        <v>244</v>
      </c>
      <c r="G747" s="39">
        <v>45191</v>
      </c>
      <c r="J747" t="s">
        <v>981</v>
      </c>
    </row>
    <row r="748" spans="1:10" x14ac:dyDescent="0.35">
      <c r="A748">
        <v>15300</v>
      </c>
      <c r="B748" t="s">
        <v>30</v>
      </c>
      <c r="C748" t="s">
        <v>502</v>
      </c>
      <c r="D748" t="s">
        <v>92</v>
      </c>
      <c r="E748" t="s">
        <v>102</v>
      </c>
      <c r="F748" t="s">
        <v>503</v>
      </c>
      <c r="G748" s="39">
        <v>45019</v>
      </c>
      <c r="J748" t="s">
        <v>981</v>
      </c>
    </row>
    <row r="749" spans="1:10" x14ac:dyDescent="0.35">
      <c r="A749">
        <v>18610</v>
      </c>
      <c r="B749" t="s">
        <v>30</v>
      </c>
      <c r="C749" t="s">
        <v>502</v>
      </c>
      <c r="D749" t="s">
        <v>92</v>
      </c>
      <c r="E749" t="s">
        <v>425</v>
      </c>
      <c r="F749" t="s">
        <v>244</v>
      </c>
      <c r="G749" s="39">
        <v>46164</v>
      </c>
      <c r="J749" t="s">
        <v>981</v>
      </c>
    </row>
    <row r="750" spans="1:10" x14ac:dyDescent="0.35">
      <c r="A750">
        <v>137019</v>
      </c>
      <c r="B750" t="s">
        <v>30</v>
      </c>
      <c r="C750" t="s">
        <v>502</v>
      </c>
      <c r="D750" t="s">
        <v>92</v>
      </c>
      <c r="E750" t="s">
        <v>102</v>
      </c>
      <c r="F750" t="s">
        <v>244</v>
      </c>
      <c r="G750" s="39">
        <v>44623</v>
      </c>
      <c r="J750" t="s">
        <v>981</v>
      </c>
    </row>
    <row r="751" spans="1:10" x14ac:dyDescent="0.35">
      <c r="A751">
        <v>15185</v>
      </c>
      <c r="B751" t="s">
        <v>30</v>
      </c>
      <c r="C751" t="s">
        <v>502</v>
      </c>
      <c r="D751" t="s">
        <v>92</v>
      </c>
      <c r="E751" t="s">
        <v>102</v>
      </c>
      <c r="F751" t="s">
        <v>244</v>
      </c>
      <c r="G751" s="39">
        <v>44978</v>
      </c>
      <c r="J751" t="s">
        <v>981</v>
      </c>
    </row>
    <row r="752" spans="1:10" x14ac:dyDescent="0.35">
      <c r="A752">
        <v>15217</v>
      </c>
      <c r="B752" t="s">
        <v>30</v>
      </c>
      <c r="C752" t="s">
        <v>502</v>
      </c>
      <c r="D752" t="s">
        <v>92</v>
      </c>
      <c r="E752" t="s">
        <v>102</v>
      </c>
      <c r="F752" t="s">
        <v>244</v>
      </c>
      <c r="G752" s="39">
        <v>44992</v>
      </c>
      <c r="J752" t="s">
        <v>981</v>
      </c>
    </row>
    <row r="753" spans="1:10" x14ac:dyDescent="0.35">
      <c r="A753">
        <v>15216</v>
      </c>
      <c r="B753" t="s">
        <v>30</v>
      </c>
      <c r="C753" t="s">
        <v>502</v>
      </c>
      <c r="D753" t="s">
        <v>92</v>
      </c>
      <c r="E753" t="s">
        <v>102</v>
      </c>
      <c r="F753" t="s">
        <v>244</v>
      </c>
      <c r="G753" s="39">
        <v>44992</v>
      </c>
      <c r="J753" t="s">
        <v>981</v>
      </c>
    </row>
    <row r="754" spans="1:10" x14ac:dyDescent="0.35">
      <c r="A754">
        <v>15270</v>
      </c>
      <c r="B754" t="s">
        <v>30</v>
      </c>
      <c r="C754" t="s">
        <v>502</v>
      </c>
      <c r="D754" t="s">
        <v>92</v>
      </c>
      <c r="E754" t="s">
        <v>102</v>
      </c>
      <c r="F754" t="s">
        <v>244</v>
      </c>
      <c r="G754" s="39">
        <v>45047</v>
      </c>
      <c r="J754" t="s">
        <v>981</v>
      </c>
    </row>
    <row r="755" spans="1:10" x14ac:dyDescent="0.35">
      <c r="A755">
        <v>15434</v>
      </c>
      <c r="B755" t="s">
        <v>37</v>
      </c>
      <c r="C755" t="s">
        <v>504</v>
      </c>
      <c r="D755" t="s">
        <v>92</v>
      </c>
      <c r="E755" t="s">
        <v>102</v>
      </c>
      <c r="F755" t="s">
        <v>244</v>
      </c>
      <c r="G755" s="39">
        <v>45070</v>
      </c>
      <c r="J755" t="s">
        <v>981</v>
      </c>
    </row>
    <row r="756" spans="1:10" x14ac:dyDescent="0.35">
      <c r="A756">
        <v>15435</v>
      </c>
      <c r="B756" t="s">
        <v>37</v>
      </c>
      <c r="C756" t="s">
        <v>504</v>
      </c>
      <c r="D756" t="s">
        <v>92</v>
      </c>
      <c r="E756" t="s">
        <v>102</v>
      </c>
      <c r="F756" t="s">
        <v>244</v>
      </c>
      <c r="G756" s="39">
        <v>45070</v>
      </c>
      <c r="J756" t="s">
        <v>981</v>
      </c>
    </row>
    <row r="757" spans="1:10" x14ac:dyDescent="0.35">
      <c r="A757">
        <v>15440</v>
      </c>
      <c r="B757" t="s">
        <v>30</v>
      </c>
      <c r="C757" t="s">
        <v>502</v>
      </c>
      <c r="D757" t="s">
        <v>92</v>
      </c>
      <c r="E757" t="s">
        <v>102</v>
      </c>
      <c r="F757" t="s">
        <v>244</v>
      </c>
      <c r="G757" s="39">
        <v>45071</v>
      </c>
      <c r="J757" t="s">
        <v>981</v>
      </c>
    </row>
    <row r="758" spans="1:10" x14ac:dyDescent="0.35">
      <c r="A758">
        <v>15441</v>
      </c>
      <c r="B758" t="s">
        <v>30</v>
      </c>
      <c r="C758" t="s">
        <v>502</v>
      </c>
      <c r="D758" t="s">
        <v>92</v>
      </c>
      <c r="E758" t="s">
        <v>102</v>
      </c>
      <c r="F758" t="s">
        <v>244</v>
      </c>
      <c r="G758" s="39">
        <v>45071</v>
      </c>
      <c r="J758" t="s">
        <v>981</v>
      </c>
    </row>
    <row r="759" spans="1:10" x14ac:dyDescent="0.35">
      <c r="A759">
        <v>15433</v>
      </c>
      <c r="B759" t="s">
        <v>30</v>
      </c>
      <c r="C759" t="s">
        <v>502</v>
      </c>
      <c r="D759" t="s">
        <v>92</v>
      </c>
      <c r="E759" t="s">
        <v>103</v>
      </c>
      <c r="F759" t="s">
        <v>244</v>
      </c>
      <c r="G759" s="39">
        <v>45070</v>
      </c>
      <c r="J759" t="s">
        <v>981</v>
      </c>
    </row>
    <row r="760" spans="1:10" x14ac:dyDescent="0.35">
      <c r="A760">
        <v>16021</v>
      </c>
      <c r="B760" t="s">
        <v>30</v>
      </c>
      <c r="C760" t="s">
        <v>502</v>
      </c>
      <c r="D760" t="s">
        <v>92</v>
      </c>
      <c r="E760" t="s">
        <v>103</v>
      </c>
      <c r="F760" t="s">
        <v>244</v>
      </c>
      <c r="G760" s="39">
        <v>45265</v>
      </c>
      <c r="J760" t="s">
        <v>981</v>
      </c>
    </row>
    <row r="761" spans="1:10" x14ac:dyDescent="0.35">
      <c r="A761">
        <v>16022</v>
      </c>
      <c r="B761" t="s">
        <v>30</v>
      </c>
      <c r="C761" t="s">
        <v>502</v>
      </c>
      <c r="D761" t="s">
        <v>92</v>
      </c>
      <c r="E761" t="s">
        <v>103</v>
      </c>
      <c r="F761" t="s">
        <v>244</v>
      </c>
      <c r="G761" s="39">
        <v>45265</v>
      </c>
      <c r="J761" t="s">
        <v>981</v>
      </c>
    </row>
    <row r="762" spans="1:10" x14ac:dyDescent="0.35">
      <c r="A762">
        <v>16043</v>
      </c>
      <c r="B762" t="s">
        <v>30</v>
      </c>
      <c r="C762" t="s">
        <v>502</v>
      </c>
      <c r="D762" t="s">
        <v>92</v>
      </c>
      <c r="E762" t="s">
        <v>103</v>
      </c>
      <c r="F762" t="s">
        <v>244</v>
      </c>
      <c r="G762" s="39">
        <v>45271</v>
      </c>
      <c r="J762" t="s">
        <v>981</v>
      </c>
    </row>
    <row r="763" spans="1:10" x14ac:dyDescent="0.35">
      <c r="A763">
        <v>16044</v>
      </c>
      <c r="B763" t="s">
        <v>37</v>
      </c>
      <c r="C763" t="s">
        <v>504</v>
      </c>
      <c r="D763" t="s">
        <v>92</v>
      </c>
      <c r="E763" t="s">
        <v>103</v>
      </c>
      <c r="F763" t="s">
        <v>244</v>
      </c>
      <c r="G763" s="39">
        <v>45271</v>
      </c>
      <c r="J763" t="s">
        <v>981</v>
      </c>
    </row>
    <row r="764" spans="1:10" x14ac:dyDescent="0.35">
      <c r="A764">
        <v>16386</v>
      </c>
      <c r="B764" t="s">
        <v>30</v>
      </c>
      <c r="C764" t="s">
        <v>502</v>
      </c>
      <c r="D764" t="s">
        <v>92</v>
      </c>
      <c r="E764" t="s">
        <v>103</v>
      </c>
      <c r="F764" t="s">
        <v>244</v>
      </c>
      <c r="G764" s="39">
        <v>45366</v>
      </c>
      <c r="J764" t="s">
        <v>981</v>
      </c>
    </row>
    <row r="765" spans="1:10" x14ac:dyDescent="0.35">
      <c r="A765">
        <v>16398</v>
      </c>
      <c r="B765" t="s">
        <v>30</v>
      </c>
      <c r="C765" t="s">
        <v>502</v>
      </c>
      <c r="D765" t="s">
        <v>92</v>
      </c>
      <c r="E765" t="s">
        <v>103</v>
      </c>
      <c r="F765" t="s">
        <v>244</v>
      </c>
      <c r="G765" s="39">
        <v>45370</v>
      </c>
      <c r="J765" t="s">
        <v>981</v>
      </c>
    </row>
    <row r="766" spans="1:10" x14ac:dyDescent="0.35">
      <c r="A766">
        <v>16401</v>
      </c>
      <c r="B766" t="s">
        <v>30</v>
      </c>
      <c r="C766" t="s">
        <v>502</v>
      </c>
      <c r="D766" t="s">
        <v>92</v>
      </c>
      <c r="E766" t="s">
        <v>103</v>
      </c>
      <c r="F766" t="s">
        <v>244</v>
      </c>
      <c r="G766" s="39">
        <v>45370</v>
      </c>
      <c r="J766" t="s">
        <v>981</v>
      </c>
    </row>
    <row r="767" spans="1:10" x14ac:dyDescent="0.35">
      <c r="A767">
        <v>16020</v>
      </c>
      <c r="B767" t="s">
        <v>30</v>
      </c>
      <c r="C767" t="s">
        <v>502</v>
      </c>
      <c r="D767" t="s">
        <v>92</v>
      </c>
      <c r="E767" t="s">
        <v>103</v>
      </c>
      <c r="F767" t="s">
        <v>244</v>
      </c>
      <c r="G767" s="39">
        <v>45265</v>
      </c>
      <c r="J767" t="s">
        <v>981</v>
      </c>
    </row>
    <row r="768" spans="1:10" x14ac:dyDescent="0.35">
      <c r="A768">
        <v>16449</v>
      </c>
      <c r="B768" t="s">
        <v>30</v>
      </c>
      <c r="C768" t="s">
        <v>502</v>
      </c>
      <c r="D768" t="s">
        <v>92</v>
      </c>
      <c r="E768" t="s">
        <v>103</v>
      </c>
      <c r="F768" t="s">
        <v>244</v>
      </c>
      <c r="G768" s="39">
        <v>45406</v>
      </c>
      <c r="J768" t="s">
        <v>981</v>
      </c>
    </row>
    <row r="769" spans="1:10" x14ac:dyDescent="0.35">
      <c r="A769">
        <v>16754</v>
      </c>
      <c r="B769" t="s">
        <v>30</v>
      </c>
      <c r="C769" t="s">
        <v>502</v>
      </c>
      <c r="D769" t="s">
        <v>92</v>
      </c>
      <c r="E769" t="s">
        <v>103</v>
      </c>
      <c r="F769" t="s">
        <v>244</v>
      </c>
      <c r="G769" s="39">
        <v>45539</v>
      </c>
      <c r="J769" t="s">
        <v>981</v>
      </c>
    </row>
    <row r="770" spans="1:10" x14ac:dyDescent="0.35">
      <c r="A770">
        <v>16041</v>
      </c>
      <c r="B770" t="s">
        <v>30</v>
      </c>
      <c r="C770" t="s">
        <v>502</v>
      </c>
      <c r="D770" t="s">
        <v>92</v>
      </c>
      <c r="E770" t="s">
        <v>106</v>
      </c>
      <c r="F770" t="s">
        <v>411</v>
      </c>
      <c r="G770" s="39">
        <v>45271</v>
      </c>
      <c r="J770" t="s">
        <v>981</v>
      </c>
    </row>
    <row r="771" spans="1:10" x14ac:dyDescent="0.35">
      <c r="A771">
        <v>18222</v>
      </c>
      <c r="B771" t="s">
        <v>30</v>
      </c>
      <c r="C771" t="s">
        <v>502</v>
      </c>
      <c r="D771" t="s">
        <v>92</v>
      </c>
      <c r="E771" t="s">
        <v>425</v>
      </c>
      <c r="F771" t="s">
        <v>244</v>
      </c>
      <c r="G771" s="39">
        <v>46063</v>
      </c>
      <c r="J771" t="s">
        <v>981</v>
      </c>
    </row>
    <row r="772" spans="1:10" x14ac:dyDescent="0.35">
      <c r="A772">
        <v>17360</v>
      </c>
      <c r="B772" t="s">
        <v>30</v>
      </c>
      <c r="C772" t="s">
        <v>502</v>
      </c>
      <c r="D772" t="s">
        <v>92</v>
      </c>
      <c r="E772" t="s">
        <v>103</v>
      </c>
      <c r="F772" t="s">
        <v>244</v>
      </c>
      <c r="G772" s="39">
        <v>45721</v>
      </c>
      <c r="J772" t="s">
        <v>981</v>
      </c>
    </row>
    <row r="773" spans="1:10" x14ac:dyDescent="0.35">
      <c r="A773">
        <v>16578</v>
      </c>
      <c r="B773" t="s">
        <v>37</v>
      </c>
      <c r="C773" t="s">
        <v>504</v>
      </c>
      <c r="D773" t="s">
        <v>92</v>
      </c>
      <c r="E773" t="s">
        <v>103</v>
      </c>
      <c r="F773" t="s">
        <v>244</v>
      </c>
      <c r="G773" s="39">
        <v>45475</v>
      </c>
      <c r="J773" t="s">
        <v>981</v>
      </c>
    </row>
    <row r="774" spans="1:10" x14ac:dyDescent="0.35">
      <c r="A774">
        <v>16580</v>
      </c>
      <c r="B774" t="s">
        <v>30</v>
      </c>
      <c r="C774" t="s">
        <v>502</v>
      </c>
      <c r="D774" t="s">
        <v>92</v>
      </c>
      <c r="E774" t="s">
        <v>103</v>
      </c>
      <c r="F774" t="s">
        <v>244</v>
      </c>
      <c r="G774" s="39">
        <v>45475</v>
      </c>
      <c r="J774" t="s">
        <v>981</v>
      </c>
    </row>
    <row r="775" spans="1:10" x14ac:dyDescent="0.35">
      <c r="A775">
        <v>16539</v>
      </c>
      <c r="B775" t="s">
        <v>30</v>
      </c>
      <c r="C775" t="s">
        <v>502</v>
      </c>
      <c r="D775" t="s">
        <v>92</v>
      </c>
      <c r="E775" t="s">
        <v>106</v>
      </c>
      <c r="F775" t="s">
        <v>411</v>
      </c>
      <c r="G775" s="39">
        <v>45478</v>
      </c>
      <c r="J775" t="s">
        <v>981</v>
      </c>
    </row>
    <row r="776" spans="1:10" x14ac:dyDescent="0.35">
      <c r="A776">
        <v>18325</v>
      </c>
      <c r="B776" t="s">
        <v>30</v>
      </c>
      <c r="C776" t="s">
        <v>502</v>
      </c>
      <c r="D776" t="s">
        <v>92</v>
      </c>
      <c r="E776" t="s">
        <v>425</v>
      </c>
      <c r="F776" t="s">
        <v>244</v>
      </c>
      <c r="G776" s="39">
        <v>46091</v>
      </c>
      <c r="J776" t="s">
        <v>981</v>
      </c>
    </row>
    <row r="777" spans="1:10" x14ac:dyDescent="0.35">
      <c r="A777">
        <v>17905</v>
      </c>
      <c r="B777" t="s">
        <v>37</v>
      </c>
      <c r="C777" t="s">
        <v>504</v>
      </c>
      <c r="D777" t="s">
        <v>92</v>
      </c>
      <c r="E777" t="s">
        <v>106</v>
      </c>
      <c r="F777" t="s">
        <v>244</v>
      </c>
      <c r="G777" s="39">
        <v>45910</v>
      </c>
      <c r="J777" t="s">
        <v>981</v>
      </c>
    </row>
    <row r="778" spans="1:10" x14ac:dyDescent="0.35">
      <c r="A778">
        <v>16616</v>
      </c>
      <c r="B778" t="s">
        <v>30</v>
      </c>
      <c r="C778" t="s">
        <v>502</v>
      </c>
      <c r="D778" t="s">
        <v>92</v>
      </c>
      <c r="E778" t="s">
        <v>103</v>
      </c>
      <c r="F778" t="s">
        <v>244</v>
      </c>
      <c r="G778" s="39">
        <v>45497</v>
      </c>
      <c r="J778" t="s">
        <v>981</v>
      </c>
    </row>
    <row r="779" spans="1:10" x14ac:dyDescent="0.35">
      <c r="A779">
        <v>16744</v>
      </c>
      <c r="B779" t="s">
        <v>30</v>
      </c>
      <c r="C779" t="s">
        <v>502</v>
      </c>
      <c r="D779" t="s">
        <v>92</v>
      </c>
      <c r="E779" t="s">
        <v>103</v>
      </c>
      <c r="F779" t="s">
        <v>244</v>
      </c>
      <c r="G779" s="39">
        <v>45538</v>
      </c>
      <c r="J779" t="s">
        <v>981</v>
      </c>
    </row>
    <row r="780" spans="1:10" x14ac:dyDescent="0.35">
      <c r="A780">
        <v>16745</v>
      </c>
      <c r="B780" t="s">
        <v>30</v>
      </c>
      <c r="C780" t="s">
        <v>502</v>
      </c>
      <c r="D780" t="s">
        <v>92</v>
      </c>
      <c r="E780" t="s">
        <v>103</v>
      </c>
      <c r="F780" t="s">
        <v>244</v>
      </c>
      <c r="G780" s="39">
        <v>45538</v>
      </c>
      <c r="J780" t="s">
        <v>981</v>
      </c>
    </row>
    <row r="781" spans="1:10" x14ac:dyDescent="0.35">
      <c r="A781">
        <v>16746</v>
      </c>
      <c r="B781" t="s">
        <v>30</v>
      </c>
      <c r="C781" t="s">
        <v>502</v>
      </c>
      <c r="D781" t="s">
        <v>92</v>
      </c>
      <c r="E781" t="s">
        <v>103</v>
      </c>
      <c r="F781" t="s">
        <v>244</v>
      </c>
      <c r="G781" s="39">
        <v>45538</v>
      </c>
      <c r="J781" t="s">
        <v>981</v>
      </c>
    </row>
    <row r="782" spans="1:10" x14ac:dyDescent="0.35">
      <c r="A782">
        <v>11779</v>
      </c>
      <c r="B782" t="s">
        <v>37</v>
      </c>
      <c r="C782" t="s">
        <v>504</v>
      </c>
      <c r="D782" t="s">
        <v>92</v>
      </c>
      <c r="E782" t="s">
        <v>106</v>
      </c>
      <c r="F782" t="s">
        <v>244</v>
      </c>
      <c r="G782" s="39">
        <v>43116</v>
      </c>
      <c r="J782" t="s">
        <v>981</v>
      </c>
    </row>
    <row r="783" spans="1:10" x14ac:dyDescent="0.35">
      <c r="A783">
        <v>18223</v>
      </c>
      <c r="B783" t="s">
        <v>30</v>
      </c>
      <c r="C783" t="s">
        <v>502</v>
      </c>
      <c r="D783" t="s">
        <v>92</v>
      </c>
      <c r="E783" t="s">
        <v>106</v>
      </c>
      <c r="F783" t="s">
        <v>244</v>
      </c>
      <c r="G783" s="39">
        <v>46063</v>
      </c>
      <c r="J783" t="s">
        <v>981</v>
      </c>
    </row>
    <row r="784" spans="1:10" x14ac:dyDescent="0.35">
      <c r="A784">
        <v>18594</v>
      </c>
      <c r="B784" t="s">
        <v>30</v>
      </c>
      <c r="C784" t="s">
        <v>502</v>
      </c>
      <c r="D784" t="s">
        <v>92</v>
      </c>
      <c r="E784" t="s">
        <v>106</v>
      </c>
      <c r="F784" t="s">
        <v>244</v>
      </c>
      <c r="G784" s="39">
        <v>46163</v>
      </c>
      <c r="J784" t="s">
        <v>981</v>
      </c>
    </row>
    <row r="785" spans="1:10" x14ac:dyDescent="0.35">
      <c r="A785">
        <v>16747</v>
      </c>
      <c r="B785" t="s">
        <v>30</v>
      </c>
      <c r="C785" t="s">
        <v>502</v>
      </c>
      <c r="D785" t="s">
        <v>92</v>
      </c>
      <c r="E785" t="s">
        <v>103</v>
      </c>
      <c r="F785" t="s">
        <v>244</v>
      </c>
      <c r="G785" s="39">
        <v>45538</v>
      </c>
      <c r="J785" t="s">
        <v>981</v>
      </c>
    </row>
    <row r="786" spans="1:10" x14ac:dyDescent="0.35">
      <c r="A786">
        <v>18221</v>
      </c>
      <c r="B786" t="s">
        <v>30</v>
      </c>
      <c r="C786" t="s">
        <v>502</v>
      </c>
      <c r="D786" t="s">
        <v>92</v>
      </c>
      <c r="E786" t="s">
        <v>106</v>
      </c>
      <c r="F786" t="s">
        <v>244</v>
      </c>
      <c r="G786" s="39">
        <v>46063</v>
      </c>
      <c r="J786" t="s">
        <v>981</v>
      </c>
    </row>
    <row r="787" spans="1:10" x14ac:dyDescent="0.35">
      <c r="A787">
        <v>16748</v>
      </c>
      <c r="B787" t="s">
        <v>30</v>
      </c>
      <c r="C787" t="s">
        <v>502</v>
      </c>
      <c r="D787" t="s">
        <v>92</v>
      </c>
      <c r="E787" t="s">
        <v>103</v>
      </c>
      <c r="F787" t="s">
        <v>244</v>
      </c>
      <c r="G787" s="39">
        <v>45538</v>
      </c>
      <c r="J787" t="s">
        <v>981</v>
      </c>
    </row>
    <row r="788" spans="1:10" x14ac:dyDescent="0.35">
      <c r="A788">
        <v>16926</v>
      </c>
      <c r="B788" t="s">
        <v>37</v>
      </c>
      <c r="C788" t="s">
        <v>504</v>
      </c>
      <c r="D788" t="s">
        <v>92</v>
      </c>
      <c r="E788" t="s">
        <v>103</v>
      </c>
      <c r="F788" t="s">
        <v>244</v>
      </c>
      <c r="G788" s="39">
        <v>45568</v>
      </c>
      <c r="J788" t="s">
        <v>981</v>
      </c>
    </row>
    <row r="789" spans="1:10" x14ac:dyDescent="0.35">
      <c r="A789">
        <v>17452</v>
      </c>
      <c r="B789" t="s">
        <v>30</v>
      </c>
      <c r="C789" t="s">
        <v>502</v>
      </c>
      <c r="D789" t="s">
        <v>92</v>
      </c>
      <c r="E789" t="s">
        <v>103</v>
      </c>
      <c r="F789" t="s">
        <v>244</v>
      </c>
      <c r="G789" s="39">
        <v>45756</v>
      </c>
      <c r="J789" t="s">
        <v>981</v>
      </c>
    </row>
    <row r="790" spans="1:10" x14ac:dyDescent="0.35">
      <c r="A790">
        <v>17506</v>
      </c>
      <c r="B790" t="s">
        <v>30</v>
      </c>
      <c r="C790" t="s">
        <v>502</v>
      </c>
      <c r="D790" t="s">
        <v>92</v>
      </c>
      <c r="E790" t="s">
        <v>103</v>
      </c>
      <c r="F790" t="s">
        <v>244</v>
      </c>
      <c r="G790" s="39">
        <v>45778</v>
      </c>
      <c r="J790" t="s">
        <v>981</v>
      </c>
    </row>
    <row r="791" spans="1:10" x14ac:dyDescent="0.35">
      <c r="A791">
        <v>17739</v>
      </c>
      <c r="B791" t="s">
        <v>37</v>
      </c>
      <c r="C791" t="s">
        <v>504</v>
      </c>
      <c r="D791" t="s">
        <v>92</v>
      </c>
      <c r="E791" t="s">
        <v>103</v>
      </c>
      <c r="F791" t="s">
        <v>244</v>
      </c>
      <c r="G791" s="39">
        <v>45860</v>
      </c>
      <c r="J791" t="s">
        <v>981</v>
      </c>
    </row>
    <row r="792" spans="1:10" x14ac:dyDescent="0.35">
      <c r="A792">
        <v>17746</v>
      </c>
      <c r="B792" t="s">
        <v>30</v>
      </c>
      <c r="C792" t="s">
        <v>502</v>
      </c>
      <c r="D792" t="s">
        <v>92</v>
      </c>
      <c r="E792" t="s">
        <v>103</v>
      </c>
      <c r="F792" t="s">
        <v>244</v>
      </c>
      <c r="G792" s="39">
        <v>45861</v>
      </c>
      <c r="J792" t="s">
        <v>981</v>
      </c>
    </row>
    <row r="793" spans="1:10" x14ac:dyDescent="0.35">
      <c r="A793">
        <v>17926</v>
      </c>
      <c r="B793" t="s">
        <v>37</v>
      </c>
      <c r="C793" t="s">
        <v>504</v>
      </c>
      <c r="D793" t="s">
        <v>92</v>
      </c>
      <c r="E793" t="s">
        <v>106</v>
      </c>
      <c r="F793" t="s">
        <v>244</v>
      </c>
      <c r="G793" s="39">
        <v>45919</v>
      </c>
      <c r="J793" t="s">
        <v>981</v>
      </c>
    </row>
    <row r="794" spans="1:10" x14ac:dyDescent="0.35">
      <c r="A794">
        <v>12285</v>
      </c>
      <c r="B794" t="s">
        <v>37</v>
      </c>
      <c r="C794" t="s">
        <v>504</v>
      </c>
      <c r="D794" t="s">
        <v>92</v>
      </c>
      <c r="E794" t="s">
        <v>101</v>
      </c>
      <c r="F794" t="s">
        <v>244</v>
      </c>
      <c r="G794" s="39">
        <v>43668</v>
      </c>
      <c r="J794" t="s">
        <v>981</v>
      </c>
    </row>
    <row r="795" spans="1:10" x14ac:dyDescent="0.35">
      <c r="A795">
        <v>137007</v>
      </c>
      <c r="B795" t="s">
        <v>37</v>
      </c>
      <c r="C795" t="s">
        <v>504</v>
      </c>
      <c r="D795" t="s">
        <v>92</v>
      </c>
      <c r="E795" t="s">
        <v>99</v>
      </c>
      <c r="F795" t="s">
        <v>244</v>
      </c>
      <c r="G795" s="39">
        <v>44324</v>
      </c>
      <c r="J795" t="s">
        <v>981</v>
      </c>
    </row>
    <row r="796" spans="1:10" x14ac:dyDescent="0.35">
      <c r="A796">
        <v>900050</v>
      </c>
      <c r="B796" t="s">
        <v>37</v>
      </c>
      <c r="C796" t="s">
        <v>504</v>
      </c>
      <c r="D796" t="s">
        <v>92</v>
      </c>
      <c r="E796" t="s">
        <v>99</v>
      </c>
      <c r="F796" t="s">
        <v>244</v>
      </c>
      <c r="G796" s="39">
        <v>44389</v>
      </c>
      <c r="J796" t="s">
        <v>981</v>
      </c>
    </row>
    <row r="797" spans="1:10" x14ac:dyDescent="0.35">
      <c r="A797">
        <v>140048</v>
      </c>
      <c r="B797" t="s">
        <v>37</v>
      </c>
      <c r="C797" t="s">
        <v>504</v>
      </c>
      <c r="D797" t="s">
        <v>92</v>
      </c>
      <c r="E797" t="s">
        <v>109</v>
      </c>
      <c r="F797" t="s">
        <v>244</v>
      </c>
      <c r="G797" s="39">
        <v>44324</v>
      </c>
      <c r="J797" t="s">
        <v>981</v>
      </c>
    </row>
    <row r="798" spans="1:10" x14ac:dyDescent="0.35">
      <c r="A798">
        <v>14479</v>
      </c>
      <c r="B798" t="s">
        <v>37</v>
      </c>
      <c r="C798" t="s">
        <v>504</v>
      </c>
      <c r="D798" t="s">
        <v>92</v>
      </c>
      <c r="E798" t="s">
        <v>103</v>
      </c>
      <c r="F798" t="s">
        <v>244</v>
      </c>
      <c r="G798" s="39">
        <v>44767</v>
      </c>
      <c r="J798" t="s">
        <v>981</v>
      </c>
    </row>
    <row r="799" spans="1:10" x14ac:dyDescent="0.35">
      <c r="A799">
        <v>18487</v>
      </c>
      <c r="B799" t="s">
        <v>37</v>
      </c>
      <c r="C799" t="s">
        <v>504</v>
      </c>
      <c r="D799" t="s">
        <v>92</v>
      </c>
      <c r="E799" t="s">
        <v>106</v>
      </c>
      <c r="F799" t="s">
        <v>244</v>
      </c>
      <c r="G799" s="39">
        <v>46140</v>
      </c>
      <c r="J799" t="s">
        <v>981</v>
      </c>
    </row>
    <row r="800" spans="1:10" x14ac:dyDescent="0.35">
      <c r="A800">
        <v>10254</v>
      </c>
      <c r="B800" t="s">
        <v>54</v>
      </c>
      <c r="C800" t="s">
        <v>92</v>
      </c>
      <c r="D800" t="s">
        <v>92</v>
      </c>
      <c r="E800" t="s">
        <v>110</v>
      </c>
      <c r="F800" t="s">
        <v>244</v>
      </c>
      <c r="G800" s="39">
        <v>39049</v>
      </c>
      <c r="J800" t="s">
        <v>981</v>
      </c>
    </row>
    <row r="801" spans="1:10" x14ac:dyDescent="0.35">
      <c r="A801">
        <v>10791</v>
      </c>
      <c r="B801" t="s">
        <v>54</v>
      </c>
      <c r="C801" t="s">
        <v>92</v>
      </c>
      <c r="D801" t="s">
        <v>92</v>
      </c>
      <c r="E801" t="s">
        <v>100</v>
      </c>
      <c r="F801" t="s">
        <v>244</v>
      </c>
      <c r="G801" s="39">
        <v>41890</v>
      </c>
      <c r="J801" t="s">
        <v>981</v>
      </c>
    </row>
    <row r="802" spans="1:10" x14ac:dyDescent="0.35">
      <c r="A802">
        <v>17190</v>
      </c>
      <c r="B802" t="s">
        <v>54</v>
      </c>
      <c r="C802" t="s">
        <v>505</v>
      </c>
      <c r="D802" t="s">
        <v>92</v>
      </c>
      <c r="E802" t="s">
        <v>99</v>
      </c>
      <c r="F802" t="s">
        <v>244</v>
      </c>
      <c r="G802" s="39">
        <v>45663</v>
      </c>
      <c r="J802" t="s">
        <v>981</v>
      </c>
    </row>
    <row r="803" spans="1:10" x14ac:dyDescent="0.35">
      <c r="A803">
        <v>10515</v>
      </c>
      <c r="B803" t="s">
        <v>54</v>
      </c>
      <c r="C803" t="s">
        <v>505</v>
      </c>
      <c r="D803" t="s">
        <v>92</v>
      </c>
      <c r="E803" t="s">
        <v>109</v>
      </c>
      <c r="F803" t="s">
        <v>244</v>
      </c>
      <c r="G803" s="39">
        <v>41015</v>
      </c>
      <c r="J803" t="s">
        <v>981</v>
      </c>
    </row>
    <row r="804" spans="1:10" x14ac:dyDescent="0.35">
      <c r="A804">
        <v>400018</v>
      </c>
      <c r="B804" t="s">
        <v>54</v>
      </c>
      <c r="C804" t="s">
        <v>505</v>
      </c>
      <c r="D804" t="s">
        <v>92</v>
      </c>
      <c r="E804" t="s">
        <v>99</v>
      </c>
      <c r="F804" t="s">
        <v>244</v>
      </c>
      <c r="G804" s="39">
        <v>38405</v>
      </c>
      <c r="J804" t="s">
        <v>981</v>
      </c>
    </row>
    <row r="805" spans="1:10" x14ac:dyDescent="0.35">
      <c r="A805">
        <v>12659</v>
      </c>
      <c r="B805" t="s">
        <v>54</v>
      </c>
      <c r="C805" t="s">
        <v>505</v>
      </c>
      <c r="D805" t="s">
        <v>92</v>
      </c>
      <c r="E805" t="s">
        <v>109</v>
      </c>
      <c r="F805" t="s">
        <v>244</v>
      </c>
      <c r="G805" s="39">
        <v>43857</v>
      </c>
      <c r="J805" t="s">
        <v>981</v>
      </c>
    </row>
    <row r="806" spans="1:10" x14ac:dyDescent="0.35">
      <c r="A806">
        <v>12425</v>
      </c>
      <c r="B806" t="s">
        <v>54</v>
      </c>
      <c r="C806" t="s">
        <v>505</v>
      </c>
      <c r="D806" t="s">
        <v>92</v>
      </c>
      <c r="E806" t="s">
        <v>102</v>
      </c>
      <c r="F806" t="s">
        <v>244</v>
      </c>
      <c r="G806" s="39">
        <v>43742</v>
      </c>
      <c r="J806" t="s">
        <v>981</v>
      </c>
    </row>
    <row r="807" spans="1:10" x14ac:dyDescent="0.35">
      <c r="A807">
        <v>14883</v>
      </c>
      <c r="B807" t="s">
        <v>54</v>
      </c>
      <c r="C807" t="s">
        <v>505</v>
      </c>
      <c r="D807" t="s">
        <v>92</v>
      </c>
      <c r="E807" t="s">
        <v>102</v>
      </c>
      <c r="F807" t="s">
        <v>244</v>
      </c>
      <c r="G807" s="39">
        <v>44888</v>
      </c>
      <c r="J807" t="s">
        <v>981</v>
      </c>
    </row>
    <row r="808" spans="1:10" x14ac:dyDescent="0.35">
      <c r="A808">
        <v>14015</v>
      </c>
      <c r="B808" t="s">
        <v>54</v>
      </c>
      <c r="C808" t="s">
        <v>505</v>
      </c>
      <c r="D808" t="s">
        <v>92</v>
      </c>
      <c r="E808" t="s">
        <v>103</v>
      </c>
      <c r="F808" t="s">
        <v>244</v>
      </c>
      <c r="G808" s="39">
        <v>44624</v>
      </c>
      <c r="J808" t="s">
        <v>981</v>
      </c>
    </row>
    <row r="809" spans="1:10" x14ac:dyDescent="0.35">
      <c r="A809">
        <v>18686</v>
      </c>
      <c r="B809" t="s">
        <v>54</v>
      </c>
      <c r="C809" t="s">
        <v>505</v>
      </c>
      <c r="D809" t="s">
        <v>92</v>
      </c>
      <c r="E809" t="s">
        <v>103</v>
      </c>
      <c r="F809" t="s">
        <v>244</v>
      </c>
      <c r="G809" s="39">
        <v>46191</v>
      </c>
      <c r="J809" t="s">
        <v>981</v>
      </c>
    </row>
    <row r="810" spans="1:10" x14ac:dyDescent="0.35">
      <c r="A810">
        <v>15876</v>
      </c>
      <c r="B810" t="s">
        <v>54</v>
      </c>
      <c r="C810" t="s">
        <v>505</v>
      </c>
      <c r="D810" t="s">
        <v>92</v>
      </c>
      <c r="E810" t="s">
        <v>102</v>
      </c>
      <c r="F810" t="s">
        <v>244</v>
      </c>
      <c r="G810" s="39">
        <v>45226</v>
      </c>
      <c r="J810" t="s">
        <v>981</v>
      </c>
    </row>
    <row r="811" spans="1:10" x14ac:dyDescent="0.35">
      <c r="A811">
        <v>17210</v>
      </c>
      <c r="B811" t="s">
        <v>54</v>
      </c>
      <c r="C811" t="s">
        <v>505</v>
      </c>
      <c r="D811" t="s">
        <v>92</v>
      </c>
      <c r="E811" t="s">
        <v>102</v>
      </c>
      <c r="F811" t="s">
        <v>244</v>
      </c>
      <c r="G811" s="39">
        <v>45663</v>
      </c>
      <c r="J811" t="s">
        <v>981</v>
      </c>
    </row>
    <row r="812" spans="1:10" x14ac:dyDescent="0.35">
      <c r="A812">
        <v>11244</v>
      </c>
      <c r="B812" t="s">
        <v>54</v>
      </c>
      <c r="C812" t="s">
        <v>148</v>
      </c>
      <c r="D812" t="s">
        <v>92</v>
      </c>
      <c r="E812" t="s">
        <v>101</v>
      </c>
      <c r="F812" t="s">
        <v>244</v>
      </c>
      <c r="G812" s="39">
        <v>42464</v>
      </c>
      <c r="J812" t="s">
        <v>981</v>
      </c>
    </row>
    <row r="813" spans="1:10" x14ac:dyDescent="0.35">
      <c r="A813">
        <v>12139</v>
      </c>
      <c r="B813" t="s">
        <v>54</v>
      </c>
      <c r="C813" t="s">
        <v>148</v>
      </c>
      <c r="D813" t="s">
        <v>92</v>
      </c>
      <c r="E813" t="s">
        <v>99</v>
      </c>
      <c r="F813" t="s">
        <v>244</v>
      </c>
      <c r="G813" s="39">
        <v>43515</v>
      </c>
      <c r="J813" t="s">
        <v>981</v>
      </c>
    </row>
    <row r="814" spans="1:10" x14ac:dyDescent="0.35">
      <c r="A814">
        <v>18647</v>
      </c>
      <c r="B814" t="s">
        <v>54</v>
      </c>
      <c r="C814" t="s">
        <v>148</v>
      </c>
      <c r="D814" t="s">
        <v>92</v>
      </c>
      <c r="E814" t="s">
        <v>103</v>
      </c>
      <c r="F814" t="s">
        <v>244</v>
      </c>
      <c r="G814" s="39">
        <v>46176</v>
      </c>
      <c r="H814" t="s">
        <v>57</v>
      </c>
      <c r="J814" t="s">
        <v>981</v>
      </c>
    </row>
    <row r="815" spans="1:10" x14ac:dyDescent="0.35">
      <c r="A815">
        <v>18646</v>
      </c>
      <c r="B815" t="s">
        <v>54</v>
      </c>
      <c r="C815" t="s">
        <v>148</v>
      </c>
      <c r="D815" t="s">
        <v>92</v>
      </c>
      <c r="E815" t="s">
        <v>103</v>
      </c>
      <c r="F815" t="s">
        <v>244</v>
      </c>
      <c r="G815" s="39">
        <v>46176</v>
      </c>
      <c r="H815" t="s">
        <v>57</v>
      </c>
      <c r="J815" t="s">
        <v>981</v>
      </c>
    </row>
    <row r="816" spans="1:10" x14ac:dyDescent="0.35">
      <c r="A816">
        <v>190004</v>
      </c>
      <c r="B816" t="s">
        <v>54</v>
      </c>
      <c r="C816" t="s">
        <v>149</v>
      </c>
      <c r="D816" t="s">
        <v>92</v>
      </c>
      <c r="E816" t="s">
        <v>101</v>
      </c>
      <c r="F816" t="s">
        <v>244</v>
      </c>
      <c r="G816" s="39">
        <v>38775</v>
      </c>
      <c r="J816" t="s">
        <v>981</v>
      </c>
    </row>
    <row r="817" spans="1:10" x14ac:dyDescent="0.35">
      <c r="A817">
        <v>12163</v>
      </c>
      <c r="B817" t="s">
        <v>54</v>
      </c>
      <c r="C817" t="s">
        <v>149</v>
      </c>
      <c r="D817" t="s">
        <v>92</v>
      </c>
      <c r="E817" t="s">
        <v>109</v>
      </c>
      <c r="F817" t="s">
        <v>244</v>
      </c>
      <c r="G817" s="39">
        <v>43535</v>
      </c>
      <c r="J817" t="s">
        <v>981</v>
      </c>
    </row>
    <row r="818" spans="1:10" x14ac:dyDescent="0.35">
      <c r="A818">
        <v>13556</v>
      </c>
      <c r="B818" t="s">
        <v>54</v>
      </c>
      <c r="C818" t="s">
        <v>149</v>
      </c>
      <c r="D818" t="s">
        <v>92</v>
      </c>
      <c r="E818" t="s">
        <v>102</v>
      </c>
      <c r="F818" t="s">
        <v>244</v>
      </c>
      <c r="G818" s="39">
        <v>44494</v>
      </c>
      <c r="J818" t="s">
        <v>981</v>
      </c>
    </row>
    <row r="819" spans="1:10" x14ac:dyDescent="0.35">
      <c r="A819">
        <v>133011</v>
      </c>
      <c r="B819" t="s">
        <v>54</v>
      </c>
      <c r="C819" t="s">
        <v>149</v>
      </c>
      <c r="D819" t="s">
        <v>92</v>
      </c>
      <c r="E819" t="s">
        <v>102</v>
      </c>
      <c r="F819" t="s">
        <v>244</v>
      </c>
      <c r="G819" s="39">
        <v>43222</v>
      </c>
      <c r="J819" t="s">
        <v>981</v>
      </c>
    </row>
    <row r="820" spans="1:10" x14ac:dyDescent="0.35">
      <c r="A820">
        <v>18904</v>
      </c>
      <c r="B820" t="s">
        <v>54</v>
      </c>
      <c r="C820" t="s">
        <v>149</v>
      </c>
      <c r="D820" t="s">
        <v>92</v>
      </c>
      <c r="E820" t="s">
        <v>102</v>
      </c>
      <c r="F820" t="s">
        <v>244</v>
      </c>
      <c r="G820" s="39">
        <v>46239</v>
      </c>
      <c r="J820" t="s">
        <v>981</v>
      </c>
    </row>
    <row r="821" spans="1:10" x14ac:dyDescent="0.35">
      <c r="A821">
        <v>700067</v>
      </c>
      <c r="B821" t="s">
        <v>54</v>
      </c>
      <c r="C821" t="s">
        <v>149</v>
      </c>
      <c r="D821" t="s">
        <v>92</v>
      </c>
      <c r="E821" t="s">
        <v>109</v>
      </c>
      <c r="F821" t="s">
        <v>244</v>
      </c>
      <c r="G821" s="39">
        <v>44614</v>
      </c>
      <c r="J821" t="s">
        <v>981</v>
      </c>
    </row>
    <row r="822" spans="1:10" x14ac:dyDescent="0.35">
      <c r="A822">
        <v>13107</v>
      </c>
      <c r="B822" t="s">
        <v>54</v>
      </c>
      <c r="C822" t="s">
        <v>149</v>
      </c>
      <c r="D822" t="s">
        <v>92</v>
      </c>
      <c r="E822" t="s">
        <v>507</v>
      </c>
      <c r="F822" t="s">
        <v>244</v>
      </c>
      <c r="G822" s="39">
        <v>44258</v>
      </c>
      <c r="J822" t="s">
        <v>981</v>
      </c>
    </row>
    <row r="823" spans="1:10" x14ac:dyDescent="0.35">
      <c r="A823">
        <v>400053</v>
      </c>
      <c r="B823" t="s">
        <v>54</v>
      </c>
      <c r="C823" t="s">
        <v>149</v>
      </c>
      <c r="D823" t="s">
        <v>92</v>
      </c>
      <c r="E823" t="s">
        <v>102</v>
      </c>
      <c r="F823" t="s">
        <v>244</v>
      </c>
      <c r="G823" s="39">
        <v>43781</v>
      </c>
      <c r="J823" t="s">
        <v>981</v>
      </c>
    </row>
    <row r="824" spans="1:10" x14ac:dyDescent="0.35">
      <c r="A824">
        <v>16584</v>
      </c>
      <c r="B824" t="s">
        <v>54</v>
      </c>
      <c r="C824" t="s">
        <v>149</v>
      </c>
      <c r="D824" t="s">
        <v>92</v>
      </c>
      <c r="E824" t="s">
        <v>103</v>
      </c>
      <c r="F824" t="s">
        <v>244</v>
      </c>
      <c r="G824" s="39">
        <v>45476</v>
      </c>
      <c r="J824" t="s">
        <v>981</v>
      </c>
    </row>
    <row r="825" spans="1:10" x14ac:dyDescent="0.35">
      <c r="A825">
        <v>11919</v>
      </c>
      <c r="B825" t="s">
        <v>54</v>
      </c>
      <c r="C825" t="s">
        <v>149</v>
      </c>
      <c r="D825" t="s">
        <v>150</v>
      </c>
      <c r="E825" t="s">
        <v>151</v>
      </c>
      <c r="F825" t="s">
        <v>244</v>
      </c>
      <c r="G825" s="39">
        <v>43283</v>
      </c>
      <c r="J825" t="s">
        <v>981</v>
      </c>
    </row>
    <row r="826" spans="1:10" x14ac:dyDescent="0.35">
      <c r="A826">
        <v>18427</v>
      </c>
      <c r="B826" t="s">
        <v>54</v>
      </c>
      <c r="C826" t="s">
        <v>149</v>
      </c>
      <c r="D826" t="s">
        <v>150</v>
      </c>
      <c r="E826" t="s">
        <v>99</v>
      </c>
      <c r="F826" t="s">
        <v>244</v>
      </c>
      <c r="G826" s="39">
        <v>46126</v>
      </c>
      <c r="J826" t="s">
        <v>981</v>
      </c>
    </row>
    <row r="827" spans="1:10" x14ac:dyDescent="0.35">
      <c r="A827">
        <v>530020</v>
      </c>
      <c r="B827" t="s">
        <v>54</v>
      </c>
      <c r="C827" t="s">
        <v>149</v>
      </c>
      <c r="D827" t="s">
        <v>150</v>
      </c>
      <c r="E827" t="s">
        <v>109</v>
      </c>
      <c r="F827" t="s">
        <v>244</v>
      </c>
      <c r="G827" s="39">
        <v>43318</v>
      </c>
      <c r="J827" t="s">
        <v>981</v>
      </c>
    </row>
    <row r="828" spans="1:10" x14ac:dyDescent="0.35">
      <c r="A828">
        <v>14644</v>
      </c>
      <c r="B828" t="s">
        <v>54</v>
      </c>
      <c r="C828" t="s">
        <v>149</v>
      </c>
      <c r="D828" t="s">
        <v>150</v>
      </c>
      <c r="E828" t="s">
        <v>102</v>
      </c>
      <c r="F828" t="s">
        <v>244</v>
      </c>
      <c r="G828" s="39">
        <v>44811</v>
      </c>
      <c r="J828" t="s">
        <v>981</v>
      </c>
    </row>
    <row r="829" spans="1:10" x14ac:dyDescent="0.35">
      <c r="A829">
        <v>18425</v>
      </c>
      <c r="B829" t="s">
        <v>54</v>
      </c>
      <c r="C829" t="s">
        <v>149</v>
      </c>
      <c r="D829" t="s">
        <v>150</v>
      </c>
      <c r="E829" t="s">
        <v>103</v>
      </c>
      <c r="F829" t="s">
        <v>244</v>
      </c>
      <c r="G829" s="39">
        <v>46122</v>
      </c>
      <c r="H829" t="s">
        <v>57</v>
      </c>
      <c r="J829" t="s">
        <v>981</v>
      </c>
    </row>
    <row r="830" spans="1:10" x14ac:dyDescent="0.35">
      <c r="A830">
        <v>18426</v>
      </c>
      <c r="B830" t="s">
        <v>54</v>
      </c>
      <c r="C830" t="s">
        <v>149</v>
      </c>
      <c r="D830" t="s">
        <v>150</v>
      </c>
      <c r="E830" t="s">
        <v>103</v>
      </c>
      <c r="F830" t="s">
        <v>244</v>
      </c>
      <c r="G830" s="39">
        <v>46122</v>
      </c>
      <c r="H830" t="s">
        <v>57</v>
      </c>
      <c r="J830" t="s">
        <v>981</v>
      </c>
    </row>
    <row r="831" spans="1:10" x14ac:dyDescent="0.35">
      <c r="A831">
        <v>18240</v>
      </c>
      <c r="B831" t="s">
        <v>54</v>
      </c>
      <c r="C831" t="s">
        <v>149</v>
      </c>
      <c r="D831" t="s">
        <v>150</v>
      </c>
      <c r="E831" t="s">
        <v>102</v>
      </c>
      <c r="F831" t="s">
        <v>244</v>
      </c>
      <c r="G831" s="39">
        <v>46070</v>
      </c>
      <c r="J831" t="s">
        <v>981</v>
      </c>
    </row>
    <row r="832" spans="1:10" x14ac:dyDescent="0.35">
      <c r="A832">
        <v>11219</v>
      </c>
      <c r="B832" t="s">
        <v>54</v>
      </c>
      <c r="C832" t="s">
        <v>508</v>
      </c>
      <c r="D832" t="s">
        <v>92</v>
      </c>
      <c r="E832" t="s">
        <v>101</v>
      </c>
      <c r="F832" t="s">
        <v>244</v>
      </c>
      <c r="G832" s="39">
        <v>42430</v>
      </c>
      <c r="J832" t="s">
        <v>981</v>
      </c>
    </row>
    <row r="833" spans="1:10" x14ac:dyDescent="0.35">
      <c r="A833">
        <v>18044</v>
      </c>
      <c r="B833" t="s">
        <v>54</v>
      </c>
      <c r="C833" t="s">
        <v>508</v>
      </c>
      <c r="D833" t="s">
        <v>92</v>
      </c>
      <c r="E833" t="s">
        <v>109</v>
      </c>
      <c r="F833" t="s">
        <v>244</v>
      </c>
      <c r="G833" s="39">
        <v>45974</v>
      </c>
      <c r="J833" t="s">
        <v>981</v>
      </c>
    </row>
    <row r="834" spans="1:10" x14ac:dyDescent="0.35">
      <c r="A834">
        <v>18159</v>
      </c>
      <c r="B834" t="s">
        <v>54</v>
      </c>
      <c r="C834" t="s">
        <v>508</v>
      </c>
      <c r="D834" t="s">
        <v>92</v>
      </c>
      <c r="E834" t="s">
        <v>102</v>
      </c>
      <c r="F834" t="s">
        <v>244</v>
      </c>
      <c r="G834" s="39">
        <v>46028</v>
      </c>
      <c r="J834" t="s">
        <v>981</v>
      </c>
    </row>
    <row r="835" spans="1:10" x14ac:dyDescent="0.35">
      <c r="A835">
        <v>13635</v>
      </c>
      <c r="B835" t="s">
        <v>54</v>
      </c>
      <c r="C835" t="s">
        <v>508</v>
      </c>
      <c r="D835" t="s">
        <v>92</v>
      </c>
      <c r="E835" t="s">
        <v>102</v>
      </c>
      <c r="F835" t="s">
        <v>244</v>
      </c>
      <c r="G835" s="39">
        <v>44522</v>
      </c>
      <c r="J835" t="s">
        <v>981</v>
      </c>
    </row>
    <row r="836" spans="1:10" x14ac:dyDescent="0.35">
      <c r="A836">
        <v>16063</v>
      </c>
      <c r="B836" t="s">
        <v>54</v>
      </c>
      <c r="C836" t="s">
        <v>508</v>
      </c>
      <c r="D836" t="s">
        <v>92</v>
      </c>
      <c r="E836" t="s">
        <v>102</v>
      </c>
      <c r="F836" t="s">
        <v>244</v>
      </c>
      <c r="G836" s="39">
        <v>45275</v>
      </c>
      <c r="J836" t="s">
        <v>981</v>
      </c>
    </row>
    <row r="837" spans="1:10" x14ac:dyDescent="0.35">
      <c r="A837">
        <v>10095</v>
      </c>
      <c r="B837" t="s">
        <v>54</v>
      </c>
      <c r="C837" t="s">
        <v>509</v>
      </c>
      <c r="D837" t="s">
        <v>92</v>
      </c>
      <c r="E837" t="s">
        <v>101</v>
      </c>
      <c r="F837" t="s">
        <v>244</v>
      </c>
      <c r="G837" s="39">
        <v>38378</v>
      </c>
      <c r="J837" t="s">
        <v>981</v>
      </c>
    </row>
    <row r="838" spans="1:10" x14ac:dyDescent="0.35">
      <c r="A838">
        <v>11660</v>
      </c>
      <c r="B838" t="s">
        <v>54</v>
      </c>
      <c r="C838" t="s">
        <v>509</v>
      </c>
      <c r="D838" t="s">
        <v>92</v>
      </c>
      <c r="E838" t="s">
        <v>109</v>
      </c>
      <c r="F838" t="s">
        <v>244</v>
      </c>
      <c r="G838" s="39">
        <v>42998</v>
      </c>
      <c r="J838" t="s">
        <v>981</v>
      </c>
    </row>
    <row r="839" spans="1:10" x14ac:dyDescent="0.35">
      <c r="A839">
        <v>17720</v>
      </c>
      <c r="B839" t="s">
        <v>54</v>
      </c>
      <c r="C839" t="s">
        <v>509</v>
      </c>
      <c r="D839" t="s">
        <v>92</v>
      </c>
      <c r="E839" t="s">
        <v>99</v>
      </c>
      <c r="F839" t="s">
        <v>244</v>
      </c>
      <c r="G839" s="39">
        <v>45853</v>
      </c>
      <c r="J839" t="s">
        <v>981</v>
      </c>
    </row>
    <row r="840" spans="1:10" x14ac:dyDescent="0.35">
      <c r="A840">
        <v>10595</v>
      </c>
      <c r="B840" t="s">
        <v>54</v>
      </c>
      <c r="C840" t="s">
        <v>152</v>
      </c>
      <c r="D840" t="s">
        <v>510</v>
      </c>
      <c r="E840" t="s">
        <v>109</v>
      </c>
      <c r="F840" t="s">
        <v>244</v>
      </c>
      <c r="G840" s="39">
        <v>41421</v>
      </c>
      <c r="J840" t="s">
        <v>981</v>
      </c>
    </row>
    <row r="841" spans="1:10" x14ac:dyDescent="0.35">
      <c r="A841">
        <v>10521</v>
      </c>
      <c r="B841" t="s">
        <v>54</v>
      </c>
      <c r="C841" t="s">
        <v>511</v>
      </c>
      <c r="D841" t="s">
        <v>92</v>
      </c>
      <c r="E841" t="s">
        <v>109</v>
      </c>
      <c r="F841" t="s">
        <v>244</v>
      </c>
      <c r="G841" s="39">
        <v>41043</v>
      </c>
      <c r="J841" t="s">
        <v>981</v>
      </c>
    </row>
    <row r="842" spans="1:10" x14ac:dyDescent="0.35">
      <c r="A842">
        <v>10417</v>
      </c>
      <c r="B842" t="s">
        <v>54</v>
      </c>
      <c r="C842" t="s">
        <v>511</v>
      </c>
      <c r="D842" t="s">
        <v>92</v>
      </c>
      <c r="E842" t="s">
        <v>109</v>
      </c>
      <c r="F842" t="s">
        <v>244</v>
      </c>
      <c r="G842" s="39">
        <v>40129</v>
      </c>
      <c r="J842" t="s">
        <v>981</v>
      </c>
    </row>
    <row r="843" spans="1:10" x14ac:dyDescent="0.35">
      <c r="A843">
        <v>10220</v>
      </c>
      <c r="B843" t="s">
        <v>54</v>
      </c>
      <c r="C843" t="s">
        <v>509</v>
      </c>
      <c r="D843" t="s">
        <v>92</v>
      </c>
      <c r="E843" t="s">
        <v>102</v>
      </c>
      <c r="F843" t="s">
        <v>244</v>
      </c>
      <c r="G843" s="39">
        <v>36713</v>
      </c>
      <c r="J843" t="s">
        <v>981</v>
      </c>
    </row>
    <row r="844" spans="1:10" x14ac:dyDescent="0.35">
      <c r="A844">
        <v>11377</v>
      </c>
      <c r="B844" t="s">
        <v>54</v>
      </c>
      <c r="C844" t="s">
        <v>509</v>
      </c>
      <c r="D844" t="s">
        <v>92</v>
      </c>
      <c r="E844" t="s">
        <v>109</v>
      </c>
      <c r="F844" t="s">
        <v>244</v>
      </c>
      <c r="G844" s="39">
        <v>42607</v>
      </c>
      <c r="J844" t="s">
        <v>981</v>
      </c>
    </row>
    <row r="845" spans="1:10" x14ac:dyDescent="0.35">
      <c r="A845">
        <v>390020</v>
      </c>
      <c r="B845" t="s">
        <v>54</v>
      </c>
      <c r="C845" t="s">
        <v>511</v>
      </c>
      <c r="D845" t="s">
        <v>92</v>
      </c>
      <c r="E845" t="s">
        <v>102</v>
      </c>
      <c r="F845" t="s">
        <v>244</v>
      </c>
      <c r="G845" s="39">
        <v>42716</v>
      </c>
      <c r="J845" t="s">
        <v>981</v>
      </c>
    </row>
    <row r="846" spans="1:10" x14ac:dyDescent="0.35">
      <c r="A846">
        <v>13067</v>
      </c>
      <c r="B846" t="s">
        <v>54</v>
      </c>
      <c r="C846" t="s">
        <v>511</v>
      </c>
      <c r="D846" t="s">
        <v>92</v>
      </c>
      <c r="E846" t="s">
        <v>102</v>
      </c>
      <c r="F846" t="s">
        <v>244</v>
      </c>
      <c r="G846" s="39">
        <v>44236</v>
      </c>
      <c r="J846" t="s">
        <v>981</v>
      </c>
    </row>
    <row r="847" spans="1:10" x14ac:dyDescent="0.35">
      <c r="A847">
        <v>10425</v>
      </c>
      <c r="B847" t="s">
        <v>54</v>
      </c>
      <c r="C847" t="s">
        <v>92</v>
      </c>
      <c r="D847" t="s">
        <v>92</v>
      </c>
      <c r="E847" t="s">
        <v>100</v>
      </c>
      <c r="F847" t="s">
        <v>244</v>
      </c>
      <c r="G847" s="39">
        <v>40210</v>
      </c>
      <c r="J847" t="s">
        <v>981</v>
      </c>
    </row>
    <row r="848" spans="1:10" x14ac:dyDescent="0.35">
      <c r="A848">
        <v>13325</v>
      </c>
      <c r="B848" t="s">
        <v>54</v>
      </c>
      <c r="C848" t="s">
        <v>153</v>
      </c>
      <c r="D848" t="s">
        <v>92</v>
      </c>
      <c r="E848" t="s">
        <v>99</v>
      </c>
      <c r="F848" t="s">
        <v>244</v>
      </c>
      <c r="G848" s="39">
        <v>44385</v>
      </c>
      <c r="J848" t="s">
        <v>981</v>
      </c>
    </row>
    <row r="849" spans="1:10" x14ac:dyDescent="0.35">
      <c r="A849">
        <v>11433</v>
      </c>
      <c r="B849" t="s">
        <v>54</v>
      </c>
      <c r="C849" t="s">
        <v>153</v>
      </c>
      <c r="D849" t="s">
        <v>92</v>
      </c>
      <c r="E849" t="s">
        <v>99</v>
      </c>
      <c r="F849" t="s">
        <v>244</v>
      </c>
      <c r="G849" s="39">
        <v>42695</v>
      </c>
      <c r="J849" t="s">
        <v>981</v>
      </c>
    </row>
    <row r="850" spans="1:10" x14ac:dyDescent="0.35">
      <c r="A850">
        <v>10882</v>
      </c>
      <c r="B850" t="s">
        <v>54</v>
      </c>
      <c r="C850" t="s">
        <v>153</v>
      </c>
      <c r="D850" t="s">
        <v>92</v>
      </c>
      <c r="E850" t="s">
        <v>109</v>
      </c>
      <c r="F850" t="s">
        <v>244</v>
      </c>
      <c r="G850" s="39">
        <v>42069</v>
      </c>
      <c r="J850" t="s">
        <v>981</v>
      </c>
    </row>
    <row r="851" spans="1:10" x14ac:dyDescent="0.35">
      <c r="A851">
        <v>18912</v>
      </c>
      <c r="B851" t="s">
        <v>54</v>
      </c>
      <c r="C851" t="s">
        <v>153</v>
      </c>
      <c r="D851" t="s">
        <v>92</v>
      </c>
      <c r="E851" t="s">
        <v>109</v>
      </c>
      <c r="F851" t="s">
        <v>244</v>
      </c>
      <c r="G851" s="39">
        <v>46237</v>
      </c>
      <c r="H851" t="s">
        <v>249</v>
      </c>
      <c r="J851" t="s">
        <v>981</v>
      </c>
    </row>
    <row r="852" spans="1:10" x14ac:dyDescent="0.35">
      <c r="A852">
        <v>12338</v>
      </c>
      <c r="B852" t="s">
        <v>54</v>
      </c>
      <c r="C852" t="s">
        <v>153</v>
      </c>
      <c r="D852" t="s">
        <v>92</v>
      </c>
      <c r="E852" t="s">
        <v>102</v>
      </c>
      <c r="F852" t="s">
        <v>244</v>
      </c>
      <c r="G852" s="39">
        <v>43692</v>
      </c>
      <c r="J852" t="s">
        <v>981</v>
      </c>
    </row>
    <row r="853" spans="1:10" x14ac:dyDescent="0.35">
      <c r="A853">
        <v>14306</v>
      </c>
      <c r="B853" t="s">
        <v>54</v>
      </c>
      <c r="C853" t="s">
        <v>153</v>
      </c>
      <c r="D853" t="s">
        <v>92</v>
      </c>
      <c r="E853" t="s">
        <v>102</v>
      </c>
      <c r="F853" t="s">
        <v>244</v>
      </c>
      <c r="G853" s="39">
        <v>44726</v>
      </c>
      <c r="J853" t="s">
        <v>981</v>
      </c>
    </row>
    <row r="854" spans="1:10" x14ac:dyDescent="0.35">
      <c r="A854">
        <v>11687</v>
      </c>
      <c r="B854" t="s">
        <v>54</v>
      </c>
      <c r="C854" t="s">
        <v>153</v>
      </c>
      <c r="D854" t="s">
        <v>92</v>
      </c>
      <c r="E854" t="s">
        <v>102</v>
      </c>
      <c r="F854" t="s">
        <v>244</v>
      </c>
      <c r="G854" s="39">
        <v>43019</v>
      </c>
      <c r="J854" t="s">
        <v>981</v>
      </c>
    </row>
    <row r="855" spans="1:10" x14ac:dyDescent="0.35">
      <c r="A855">
        <v>12239</v>
      </c>
      <c r="B855" t="s">
        <v>54</v>
      </c>
      <c r="C855" t="s">
        <v>153</v>
      </c>
      <c r="D855" t="s">
        <v>92</v>
      </c>
      <c r="E855" t="s">
        <v>102</v>
      </c>
      <c r="F855" t="s">
        <v>244</v>
      </c>
      <c r="G855" s="39">
        <v>43630</v>
      </c>
      <c r="J855" t="s">
        <v>981</v>
      </c>
    </row>
    <row r="856" spans="1:10" x14ac:dyDescent="0.35">
      <c r="A856">
        <v>15832</v>
      </c>
      <c r="B856" t="s">
        <v>54</v>
      </c>
      <c r="C856" t="s">
        <v>153</v>
      </c>
      <c r="D856" t="s">
        <v>92</v>
      </c>
      <c r="E856" t="s">
        <v>102</v>
      </c>
      <c r="F856" t="s">
        <v>244</v>
      </c>
      <c r="G856" s="39">
        <v>45210</v>
      </c>
      <c r="J856" t="s">
        <v>981</v>
      </c>
    </row>
    <row r="857" spans="1:10" x14ac:dyDescent="0.35">
      <c r="A857">
        <v>10696</v>
      </c>
      <c r="B857" t="s">
        <v>54</v>
      </c>
      <c r="C857" t="s">
        <v>152</v>
      </c>
      <c r="D857" t="s">
        <v>92</v>
      </c>
      <c r="E857" t="s">
        <v>99</v>
      </c>
      <c r="F857" t="s">
        <v>244</v>
      </c>
      <c r="G857" s="39">
        <v>41673</v>
      </c>
      <c r="J857" t="s">
        <v>981</v>
      </c>
    </row>
    <row r="858" spans="1:10" x14ac:dyDescent="0.35">
      <c r="A858">
        <v>18913</v>
      </c>
      <c r="B858" t="s">
        <v>54</v>
      </c>
      <c r="C858" t="s">
        <v>152</v>
      </c>
      <c r="D858" t="s">
        <v>92</v>
      </c>
      <c r="E858" t="s">
        <v>103</v>
      </c>
      <c r="F858" t="s">
        <v>244</v>
      </c>
      <c r="G858" s="39">
        <v>46237</v>
      </c>
      <c r="H858" t="s">
        <v>249</v>
      </c>
      <c r="J858" t="s">
        <v>981</v>
      </c>
    </row>
    <row r="859" spans="1:10" x14ac:dyDescent="0.35">
      <c r="A859">
        <v>10329</v>
      </c>
      <c r="B859" t="s">
        <v>54</v>
      </c>
      <c r="C859" t="s">
        <v>505</v>
      </c>
      <c r="D859" t="s">
        <v>92</v>
      </c>
      <c r="E859" t="s">
        <v>99</v>
      </c>
      <c r="F859" t="s">
        <v>244</v>
      </c>
      <c r="G859" s="39">
        <v>39819</v>
      </c>
      <c r="J859" t="s">
        <v>981</v>
      </c>
    </row>
    <row r="860" spans="1:10" x14ac:dyDescent="0.35">
      <c r="A860">
        <v>18435</v>
      </c>
      <c r="B860" t="s">
        <v>54</v>
      </c>
      <c r="C860" t="s">
        <v>152</v>
      </c>
      <c r="D860" t="s">
        <v>92</v>
      </c>
      <c r="E860" t="s">
        <v>109</v>
      </c>
      <c r="F860" t="s">
        <v>244</v>
      </c>
      <c r="G860" s="39">
        <v>46125</v>
      </c>
      <c r="H860" t="s">
        <v>249</v>
      </c>
      <c r="J860" t="s">
        <v>981</v>
      </c>
    </row>
    <row r="861" spans="1:10" x14ac:dyDescent="0.35">
      <c r="A861">
        <v>11637</v>
      </c>
      <c r="B861" t="s">
        <v>54</v>
      </c>
      <c r="C861" t="s">
        <v>152</v>
      </c>
      <c r="D861" t="s">
        <v>510</v>
      </c>
      <c r="E861" t="s">
        <v>151</v>
      </c>
      <c r="F861" t="s">
        <v>244</v>
      </c>
      <c r="G861" s="39">
        <v>42962</v>
      </c>
      <c r="J861" t="s">
        <v>981</v>
      </c>
    </row>
    <row r="862" spans="1:10" x14ac:dyDescent="0.35">
      <c r="A862">
        <v>16281</v>
      </c>
      <c r="B862" t="s">
        <v>54</v>
      </c>
      <c r="C862" t="s">
        <v>152</v>
      </c>
      <c r="D862" t="s">
        <v>92</v>
      </c>
      <c r="E862" t="s">
        <v>99</v>
      </c>
      <c r="F862" t="s">
        <v>244</v>
      </c>
      <c r="G862" s="39">
        <v>45341</v>
      </c>
      <c r="J862" t="s">
        <v>981</v>
      </c>
    </row>
    <row r="863" spans="1:10" x14ac:dyDescent="0.35">
      <c r="A863">
        <v>15811</v>
      </c>
      <c r="B863" t="s">
        <v>54</v>
      </c>
      <c r="C863" t="s">
        <v>152</v>
      </c>
      <c r="D863" t="s">
        <v>92</v>
      </c>
      <c r="E863" t="s">
        <v>109</v>
      </c>
      <c r="F863" t="s">
        <v>244</v>
      </c>
      <c r="G863" s="39">
        <v>45215</v>
      </c>
      <c r="J863" t="s">
        <v>981</v>
      </c>
    </row>
    <row r="864" spans="1:10" x14ac:dyDescent="0.35">
      <c r="A864">
        <v>10538</v>
      </c>
      <c r="B864" t="s">
        <v>54</v>
      </c>
      <c r="C864" t="s">
        <v>152</v>
      </c>
      <c r="D864" t="s">
        <v>510</v>
      </c>
      <c r="E864" t="s">
        <v>102</v>
      </c>
      <c r="F864" t="s">
        <v>244</v>
      </c>
      <c r="G864" s="39">
        <v>41108</v>
      </c>
      <c r="J864" t="s">
        <v>981</v>
      </c>
    </row>
    <row r="865" spans="1:10" x14ac:dyDescent="0.35">
      <c r="A865">
        <v>10932</v>
      </c>
      <c r="B865" t="s">
        <v>54</v>
      </c>
      <c r="C865" t="s">
        <v>152</v>
      </c>
      <c r="D865" t="s">
        <v>510</v>
      </c>
      <c r="E865" t="s">
        <v>102</v>
      </c>
      <c r="F865" t="s">
        <v>244</v>
      </c>
      <c r="G865" s="39">
        <v>42144</v>
      </c>
      <c r="J865" t="s">
        <v>981</v>
      </c>
    </row>
    <row r="866" spans="1:10" x14ac:dyDescent="0.35">
      <c r="A866">
        <v>15656</v>
      </c>
      <c r="B866" t="s">
        <v>54</v>
      </c>
      <c r="C866" t="s">
        <v>152</v>
      </c>
      <c r="D866" t="s">
        <v>510</v>
      </c>
      <c r="E866" t="s">
        <v>102</v>
      </c>
      <c r="F866" t="s">
        <v>244</v>
      </c>
      <c r="G866" s="39">
        <v>45153</v>
      </c>
      <c r="J866" t="s">
        <v>981</v>
      </c>
    </row>
    <row r="867" spans="1:10" x14ac:dyDescent="0.35">
      <c r="A867">
        <v>13088</v>
      </c>
      <c r="B867" t="s">
        <v>54</v>
      </c>
      <c r="C867" t="s">
        <v>152</v>
      </c>
      <c r="D867" t="s">
        <v>510</v>
      </c>
      <c r="E867" t="s">
        <v>102</v>
      </c>
      <c r="F867" t="s">
        <v>244</v>
      </c>
      <c r="G867" s="39">
        <v>44246</v>
      </c>
      <c r="J867" t="s">
        <v>981</v>
      </c>
    </row>
    <row r="868" spans="1:10" x14ac:dyDescent="0.35">
      <c r="A868">
        <v>16628</v>
      </c>
      <c r="B868" t="s">
        <v>54</v>
      </c>
      <c r="C868" t="s">
        <v>152</v>
      </c>
      <c r="D868" t="s">
        <v>92</v>
      </c>
      <c r="E868" t="s">
        <v>103</v>
      </c>
      <c r="F868" t="s">
        <v>244</v>
      </c>
      <c r="G868" s="39">
        <v>45502</v>
      </c>
      <c r="J868" t="s">
        <v>981</v>
      </c>
    </row>
    <row r="869" spans="1:10" x14ac:dyDescent="0.35">
      <c r="A869">
        <v>10835</v>
      </c>
      <c r="B869" t="s">
        <v>54</v>
      </c>
      <c r="C869" t="s">
        <v>511</v>
      </c>
      <c r="D869" t="s">
        <v>92</v>
      </c>
      <c r="E869" t="s">
        <v>101</v>
      </c>
      <c r="F869" t="s">
        <v>244</v>
      </c>
      <c r="G869" s="39">
        <v>41989</v>
      </c>
      <c r="J869" t="s">
        <v>981</v>
      </c>
    </row>
    <row r="870" spans="1:10" x14ac:dyDescent="0.35">
      <c r="A870">
        <v>13038</v>
      </c>
      <c r="B870" t="s">
        <v>54</v>
      </c>
      <c r="C870" t="s">
        <v>511</v>
      </c>
      <c r="D870" t="s">
        <v>92</v>
      </c>
      <c r="E870" t="s">
        <v>109</v>
      </c>
      <c r="F870" t="s">
        <v>244</v>
      </c>
      <c r="G870" s="39">
        <v>44209</v>
      </c>
      <c r="J870" t="s">
        <v>981</v>
      </c>
    </row>
    <row r="871" spans="1:10" x14ac:dyDescent="0.35">
      <c r="A871">
        <v>14567</v>
      </c>
      <c r="B871" t="s">
        <v>54</v>
      </c>
      <c r="C871" t="s">
        <v>511</v>
      </c>
      <c r="D871" t="s">
        <v>92</v>
      </c>
      <c r="E871" t="s">
        <v>102</v>
      </c>
      <c r="F871" t="s">
        <v>244</v>
      </c>
      <c r="G871" s="39">
        <v>44789</v>
      </c>
      <c r="J871" t="s">
        <v>981</v>
      </c>
    </row>
    <row r="872" spans="1:10" x14ac:dyDescent="0.35">
      <c r="A872">
        <v>16119</v>
      </c>
      <c r="B872" t="s">
        <v>54</v>
      </c>
      <c r="C872" t="s">
        <v>511</v>
      </c>
      <c r="D872" t="s">
        <v>92</v>
      </c>
      <c r="E872" t="s">
        <v>102</v>
      </c>
      <c r="F872" t="s">
        <v>244</v>
      </c>
      <c r="G872" s="39">
        <v>45287</v>
      </c>
      <c r="J872" t="s">
        <v>981</v>
      </c>
    </row>
    <row r="873" spans="1:10" x14ac:dyDescent="0.35">
      <c r="A873">
        <v>15850</v>
      </c>
      <c r="B873" t="s">
        <v>54</v>
      </c>
      <c r="C873" t="s">
        <v>511</v>
      </c>
      <c r="D873" t="s">
        <v>92</v>
      </c>
      <c r="E873" t="s">
        <v>103</v>
      </c>
      <c r="F873" t="s">
        <v>244</v>
      </c>
      <c r="G873" s="39">
        <v>45212</v>
      </c>
      <c r="J873" t="s">
        <v>981</v>
      </c>
    </row>
    <row r="874" spans="1:10" x14ac:dyDescent="0.35">
      <c r="A874">
        <v>10763</v>
      </c>
      <c r="B874" t="s">
        <v>49</v>
      </c>
      <c r="C874" t="s">
        <v>92</v>
      </c>
      <c r="D874" t="s">
        <v>92</v>
      </c>
      <c r="E874" t="s">
        <v>397</v>
      </c>
      <c r="F874" t="s">
        <v>244</v>
      </c>
      <c r="G874" s="39">
        <v>41835</v>
      </c>
      <c r="I874" t="s">
        <v>1078</v>
      </c>
      <c r="J874" t="s">
        <v>982</v>
      </c>
    </row>
    <row r="875" spans="1:10" x14ac:dyDescent="0.35">
      <c r="A875">
        <v>11277</v>
      </c>
      <c r="B875" t="s">
        <v>49</v>
      </c>
      <c r="C875" t="s">
        <v>92</v>
      </c>
      <c r="D875" t="s">
        <v>92</v>
      </c>
      <c r="E875" t="s">
        <v>96</v>
      </c>
      <c r="F875" t="s">
        <v>244</v>
      </c>
      <c r="G875" s="39">
        <v>42478</v>
      </c>
      <c r="I875" t="s">
        <v>1078</v>
      </c>
      <c r="J875" t="s">
        <v>982</v>
      </c>
    </row>
    <row r="876" spans="1:10" x14ac:dyDescent="0.35">
      <c r="A876">
        <v>16446</v>
      </c>
      <c r="B876" t="s">
        <v>49</v>
      </c>
      <c r="C876" t="s">
        <v>92</v>
      </c>
      <c r="D876" t="s">
        <v>92</v>
      </c>
      <c r="E876" t="s">
        <v>512</v>
      </c>
      <c r="F876" t="s">
        <v>244</v>
      </c>
      <c r="G876" s="39">
        <v>45404</v>
      </c>
      <c r="I876" t="s">
        <v>1078</v>
      </c>
      <c r="J876" t="s">
        <v>982</v>
      </c>
    </row>
    <row r="877" spans="1:10" x14ac:dyDescent="0.35">
      <c r="A877">
        <v>18898</v>
      </c>
      <c r="B877" t="s">
        <v>49</v>
      </c>
      <c r="C877" t="s">
        <v>154</v>
      </c>
      <c r="D877" t="s">
        <v>92</v>
      </c>
      <c r="E877" t="s">
        <v>155</v>
      </c>
      <c r="F877" t="s">
        <v>244</v>
      </c>
      <c r="G877" s="39">
        <v>46232</v>
      </c>
      <c r="H877" t="s">
        <v>249</v>
      </c>
      <c r="I877" t="s">
        <v>1078</v>
      </c>
      <c r="J877" t="s">
        <v>982</v>
      </c>
    </row>
    <row r="878" spans="1:10" x14ac:dyDescent="0.35">
      <c r="A878">
        <v>18324</v>
      </c>
      <c r="B878" t="s">
        <v>49</v>
      </c>
      <c r="C878" t="s">
        <v>92</v>
      </c>
      <c r="D878" t="s">
        <v>92</v>
      </c>
      <c r="E878" t="s">
        <v>156</v>
      </c>
      <c r="F878" t="s">
        <v>244</v>
      </c>
      <c r="G878" s="39">
        <v>46091</v>
      </c>
      <c r="I878" t="s">
        <v>1078</v>
      </c>
      <c r="J878" t="s">
        <v>982</v>
      </c>
    </row>
    <row r="879" spans="1:10" x14ac:dyDescent="0.35">
      <c r="A879">
        <v>18996</v>
      </c>
      <c r="B879" t="s">
        <v>49</v>
      </c>
      <c r="C879" t="s">
        <v>92</v>
      </c>
      <c r="D879" t="s">
        <v>92</v>
      </c>
      <c r="E879" t="s">
        <v>156</v>
      </c>
      <c r="F879" t="s">
        <v>244</v>
      </c>
      <c r="G879" s="39">
        <v>46252</v>
      </c>
      <c r="H879" t="s">
        <v>249</v>
      </c>
      <c r="I879" t="s">
        <v>1078</v>
      </c>
      <c r="J879" t="s">
        <v>982</v>
      </c>
    </row>
    <row r="880" spans="1:10" x14ac:dyDescent="0.35">
      <c r="A880">
        <v>19013</v>
      </c>
      <c r="B880" t="s">
        <v>49</v>
      </c>
      <c r="C880" t="s">
        <v>92</v>
      </c>
      <c r="D880" t="s">
        <v>92</v>
      </c>
      <c r="E880" t="s">
        <v>155</v>
      </c>
      <c r="F880" t="s">
        <v>244</v>
      </c>
      <c r="G880" s="39">
        <v>46254</v>
      </c>
      <c r="H880" t="s">
        <v>249</v>
      </c>
      <c r="I880" t="s">
        <v>1078</v>
      </c>
      <c r="J880" t="s">
        <v>982</v>
      </c>
    </row>
    <row r="881" spans="1:10" x14ac:dyDescent="0.35">
      <c r="A881">
        <v>18506</v>
      </c>
      <c r="B881" t="s">
        <v>49</v>
      </c>
      <c r="C881" t="s">
        <v>92</v>
      </c>
      <c r="D881" t="s">
        <v>92</v>
      </c>
      <c r="E881" t="s">
        <v>156</v>
      </c>
      <c r="F881" t="s">
        <v>244</v>
      </c>
      <c r="G881" s="39">
        <v>46148</v>
      </c>
      <c r="I881" t="s">
        <v>1078</v>
      </c>
      <c r="J881" t="s">
        <v>982</v>
      </c>
    </row>
    <row r="882" spans="1:10" x14ac:dyDescent="0.35">
      <c r="A882">
        <v>16602</v>
      </c>
      <c r="B882" t="s">
        <v>49</v>
      </c>
      <c r="C882" t="s">
        <v>92</v>
      </c>
      <c r="D882" t="s">
        <v>92</v>
      </c>
      <c r="E882" t="s">
        <v>512</v>
      </c>
      <c r="F882" t="s">
        <v>244</v>
      </c>
      <c r="G882" s="39">
        <v>45505</v>
      </c>
      <c r="I882" t="s">
        <v>1078</v>
      </c>
      <c r="J882" t="s">
        <v>982</v>
      </c>
    </row>
    <row r="883" spans="1:10" x14ac:dyDescent="0.35">
      <c r="A883">
        <v>16848</v>
      </c>
      <c r="B883" t="s">
        <v>48</v>
      </c>
      <c r="C883" t="s">
        <v>147</v>
      </c>
      <c r="D883" t="s">
        <v>92</v>
      </c>
      <c r="E883" t="s">
        <v>513</v>
      </c>
      <c r="F883" t="s">
        <v>244</v>
      </c>
      <c r="G883" s="39">
        <v>45566</v>
      </c>
      <c r="J883" t="s">
        <v>982</v>
      </c>
    </row>
    <row r="884" spans="1:10" x14ac:dyDescent="0.35">
      <c r="A884">
        <v>17431</v>
      </c>
      <c r="B884" t="s">
        <v>48</v>
      </c>
      <c r="C884" t="s">
        <v>147</v>
      </c>
      <c r="D884" t="s">
        <v>92</v>
      </c>
      <c r="E884" t="s">
        <v>513</v>
      </c>
      <c r="F884" t="s">
        <v>244</v>
      </c>
      <c r="G884" s="39">
        <v>45764</v>
      </c>
      <c r="J884" t="s">
        <v>982</v>
      </c>
    </row>
    <row r="885" spans="1:10" x14ac:dyDescent="0.35">
      <c r="A885">
        <v>13465</v>
      </c>
      <c r="B885" t="s">
        <v>49</v>
      </c>
      <c r="C885" t="s">
        <v>92</v>
      </c>
      <c r="D885" t="s">
        <v>92</v>
      </c>
      <c r="E885" t="s">
        <v>155</v>
      </c>
      <c r="F885" t="s">
        <v>411</v>
      </c>
      <c r="G885" s="39">
        <v>44463</v>
      </c>
      <c r="I885" t="s">
        <v>1078</v>
      </c>
      <c r="J885" t="s">
        <v>982</v>
      </c>
    </row>
    <row r="886" spans="1:10" x14ac:dyDescent="0.35">
      <c r="A886">
        <v>16561</v>
      </c>
      <c r="B886" t="s">
        <v>49</v>
      </c>
      <c r="C886" t="s">
        <v>92</v>
      </c>
      <c r="D886" t="s">
        <v>92</v>
      </c>
      <c r="E886" t="s">
        <v>514</v>
      </c>
      <c r="F886" t="s">
        <v>244</v>
      </c>
      <c r="G886" s="39">
        <v>45495</v>
      </c>
      <c r="I886" t="s">
        <v>1078</v>
      </c>
      <c r="J886" t="s">
        <v>982</v>
      </c>
    </row>
    <row r="887" spans="1:10" x14ac:dyDescent="0.35">
      <c r="A887">
        <v>13464</v>
      </c>
      <c r="B887" t="s">
        <v>49</v>
      </c>
      <c r="C887" t="s">
        <v>92</v>
      </c>
      <c r="D887" t="s">
        <v>92</v>
      </c>
      <c r="E887" t="s">
        <v>155</v>
      </c>
      <c r="F887" t="s">
        <v>411</v>
      </c>
      <c r="G887" s="39">
        <v>44463</v>
      </c>
      <c r="I887" t="s">
        <v>1078</v>
      </c>
      <c r="J887" t="s">
        <v>982</v>
      </c>
    </row>
    <row r="888" spans="1:10" x14ac:dyDescent="0.35">
      <c r="A888">
        <v>17405</v>
      </c>
      <c r="B888" t="s">
        <v>49</v>
      </c>
      <c r="C888" t="s">
        <v>92</v>
      </c>
      <c r="D888" t="s">
        <v>92</v>
      </c>
      <c r="E888" t="s">
        <v>155</v>
      </c>
      <c r="F888" t="s">
        <v>244</v>
      </c>
      <c r="G888" s="39">
        <v>45728</v>
      </c>
      <c r="I888" t="s">
        <v>1078</v>
      </c>
      <c r="J888" t="s">
        <v>982</v>
      </c>
    </row>
    <row r="889" spans="1:10" x14ac:dyDescent="0.35">
      <c r="A889">
        <v>17036</v>
      </c>
      <c r="B889" t="s">
        <v>49</v>
      </c>
      <c r="C889" t="s">
        <v>92</v>
      </c>
      <c r="D889" t="s">
        <v>92</v>
      </c>
      <c r="E889" t="s">
        <v>155</v>
      </c>
      <c r="F889" t="s">
        <v>244</v>
      </c>
      <c r="G889" s="39">
        <v>45597</v>
      </c>
      <c r="I889" t="s">
        <v>1078</v>
      </c>
      <c r="J889" t="s">
        <v>982</v>
      </c>
    </row>
    <row r="890" spans="1:10" x14ac:dyDescent="0.35">
      <c r="A890">
        <v>18218</v>
      </c>
      <c r="B890" t="s">
        <v>49</v>
      </c>
      <c r="C890" t="s">
        <v>92</v>
      </c>
      <c r="D890" t="s">
        <v>92</v>
      </c>
      <c r="E890" t="s">
        <v>155</v>
      </c>
      <c r="F890" t="s">
        <v>244</v>
      </c>
      <c r="G890" s="39">
        <v>46063</v>
      </c>
      <c r="I890" t="s">
        <v>1078</v>
      </c>
      <c r="J890" t="s">
        <v>982</v>
      </c>
    </row>
    <row r="891" spans="1:10" x14ac:dyDescent="0.35">
      <c r="A891">
        <v>18072</v>
      </c>
      <c r="B891" t="s">
        <v>49</v>
      </c>
      <c r="C891" t="s">
        <v>92</v>
      </c>
      <c r="D891" t="s">
        <v>92</v>
      </c>
      <c r="E891" t="s">
        <v>155</v>
      </c>
      <c r="F891" t="s">
        <v>244</v>
      </c>
      <c r="G891" s="39">
        <v>45982</v>
      </c>
      <c r="I891" t="s">
        <v>1078</v>
      </c>
      <c r="J891" t="s">
        <v>982</v>
      </c>
    </row>
    <row r="892" spans="1:10" x14ac:dyDescent="0.35">
      <c r="A892">
        <v>16238</v>
      </c>
      <c r="B892" t="s">
        <v>49</v>
      </c>
      <c r="C892" t="s">
        <v>92</v>
      </c>
      <c r="D892" t="s">
        <v>92</v>
      </c>
      <c r="E892" t="s">
        <v>155</v>
      </c>
      <c r="F892" t="s">
        <v>411</v>
      </c>
      <c r="G892" s="39">
        <v>45330</v>
      </c>
      <c r="I892" t="s">
        <v>1078</v>
      </c>
      <c r="J892" t="s">
        <v>982</v>
      </c>
    </row>
    <row r="893" spans="1:10" x14ac:dyDescent="0.35">
      <c r="A893">
        <v>18360</v>
      </c>
      <c r="B893" t="s">
        <v>49</v>
      </c>
      <c r="C893" t="s">
        <v>92</v>
      </c>
      <c r="D893" t="s">
        <v>92</v>
      </c>
      <c r="E893" t="s">
        <v>156</v>
      </c>
      <c r="F893" t="s">
        <v>244</v>
      </c>
      <c r="G893" s="39">
        <v>46113</v>
      </c>
      <c r="I893" t="s">
        <v>1078</v>
      </c>
      <c r="J893" t="s">
        <v>982</v>
      </c>
    </row>
    <row r="894" spans="1:10" x14ac:dyDescent="0.35">
      <c r="A894">
        <v>15560</v>
      </c>
      <c r="B894" t="s">
        <v>49</v>
      </c>
      <c r="C894" t="s">
        <v>92</v>
      </c>
      <c r="D894" t="s">
        <v>92</v>
      </c>
      <c r="E894" t="s">
        <v>156</v>
      </c>
      <c r="F894" t="s">
        <v>244</v>
      </c>
      <c r="G894" s="39">
        <v>45121</v>
      </c>
      <c r="I894" t="s">
        <v>1078</v>
      </c>
      <c r="J894" t="s">
        <v>982</v>
      </c>
    </row>
    <row r="895" spans="1:10" x14ac:dyDescent="0.35">
      <c r="A895">
        <v>18312</v>
      </c>
      <c r="B895" t="s">
        <v>49</v>
      </c>
      <c r="C895" t="s">
        <v>92</v>
      </c>
      <c r="D895" t="s">
        <v>92</v>
      </c>
      <c r="E895" t="s">
        <v>156</v>
      </c>
      <c r="F895" t="s">
        <v>244</v>
      </c>
      <c r="G895" s="39">
        <v>46084</v>
      </c>
      <c r="I895" t="s">
        <v>1078</v>
      </c>
      <c r="J895" t="s">
        <v>982</v>
      </c>
    </row>
    <row r="896" spans="1:10" x14ac:dyDescent="0.35">
      <c r="A896">
        <v>17364</v>
      </c>
      <c r="B896" t="s">
        <v>49</v>
      </c>
      <c r="C896" t="s">
        <v>92</v>
      </c>
      <c r="D896" t="s">
        <v>92</v>
      </c>
      <c r="E896" t="s">
        <v>156</v>
      </c>
      <c r="F896" t="s">
        <v>244</v>
      </c>
      <c r="G896" s="39">
        <v>45720</v>
      </c>
      <c r="I896" t="s">
        <v>1078</v>
      </c>
      <c r="J896" t="s">
        <v>982</v>
      </c>
    </row>
    <row r="897" spans="1:10" x14ac:dyDescent="0.35">
      <c r="A897">
        <v>170034</v>
      </c>
      <c r="B897" t="s">
        <v>49</v>
      </c>
      <c r="C897" t="s">
        <v>92</v>
      </c>
      <c r="D897" t="s">
        <v>92</v>
      </c>
      <c r="E897" t="s">
        <v>155</v>
      </c>
      <c r="F897" t="s">
        <v>244</v>
      </c>
      <c r="G897" s="39">
        <v>42949</v>
      </c>
      <c r="I897" t="s">
        <v>1078</v>
      </c>
      <c r="J897" t="s">
        <v>982</v>
      </c>
    </row>
    <row r="898" spans="1:10" x14ac:dyDescent="0.35">
      <c r="A898">
        <v>17242</v>
      </c>
      <c r="B898" t="s">
        <v>49</v>
      </c>
      <c r="C898" t="s">
        <v>92</v>
      </c>
      <c r="D898" t="s">
        <v>92</v>
      </c>
      <c r="E898" t="s">
        <v>156</v>
      </c>
      <c r="F898" t="s">
        <v>503</v>
      </c>
      <c r="G898" s="39">
        <v>45684</v>
      </c>
      <c r="I898" t="s">
        <v>1078</v>
      </c>
      <c r="J898" t="s">
        <v>982</v>
      </c>
    </row>
    <row r="899" spans="1:10" x14ac:dyDescent="0.35">
      <c r="A899">
        <v>12971</v>
      </c>
      <c r="B899" t="s">
        <v>18</v>
      </c>
      <c r="C899" t="s">
        <v>92</v>
      </c>
      <c r="D899" t="s">
        <v>92</v>
      </c>
      <c r="E899" t="s">
        <v>157</v>
      </c>
      <c r="F899" t="s">
        <v>244</v>
      </c>
      <c r="G899" s="39">
        <v>44153</v>
      </c>
      <c r="J899" t="s">
        <v>982</v>
      </c>
    </row>
    <row r="900" spans="1:10" x14ac:dyDescent="0.35">
      <c r="A900">
        <v>13085</v>
      </c>
      <c r="B900" t="s">
        <v>37</v>
      </c>
      <c r="C900" t="s">
        <v>92</v>
      </c>
      <c r="D900" t="s">
        <v>92</v>
      </c>
      <c r="E900" t="s">
        <v>98</v>
      </c>
      <c r="F900" t="s">
        <v>244</v>
      </c>
      <c r="G900" s="39">
        <v>44243</v>
      </c>
      <c r="J900" t="s">
        <v>982</v>
      </c>
    </row>
    <row r="901" spans="1:10" x14ac:dyDescent="0.35">
      <c r="A901">
        <v>11370</v>
      </c>
      <c r="B901" t="s">
        <v>18</v>
      </c>
      <c r="C901" t="s">
        <v>515</v>
      </c>
      <c r="D901" t="s">
        <v>92</v>
      </c>
      <c r="E901" t="s">
        <v>98</v>
      </c>
      <c r="F901" t="s">
        <v>244</v>
      </c>
      <c r="G901" s="39">
        <v>42600</v>
      </c>
      <c r="J901" t="s">
        <v>982</v>
      </c>
    </row>
    <row r="902" spans="1:10" x14ac:dyDescent="0.35">
      <c r="A902">
        <v>500014</v>
      </c>
      <c r="B902" t="s">
        <v>18</v>
      </c>
      <c r="C902" t="s">
        <v>516</v>
      </c>
      <c r="D902" t="s">
        <v>92</v>
      </c>
      <c r="E902" t="s">
        <v>98</v>
      </c>
      <c r="F902" t="s">
        <v>244</v>
      </c>
      <c r="G902" s="39">
        <v>40569</v>
      </c>
      <c r="J902" t="s">
        <v>982</v>
      </c>
    </row>
    <row r="903" spans="1:10" x14ac:dyDescent="0.35">
      <c r="A903">
        <v>18851</v>
      </c>
      <c r="B903" t="s">
        <v>18</v>
      </c>
      <c r="C903" t="s">
        <v>517</v>
      </c>
      <c r="D903" t="s">
        <v>92</v>
      </c>
      <c r="E903" t="s">
        <v>98</v>
      </c>
      <c r="F903" t="s">
        <v>244</v>
      </c>
      <c r="G903" s="39">
        <v>46224</v>
      </c>
      <c r="J903" t="s">
        <v>982</v>
      </c>
    </row>
    <row r="904" spans="1:10" x14ac:dyDescent="0.35">
      <c r="A904">
        <v>11770</v>
      </c>
      <c r="B904" t="s">
        <v>18</v>
      </c>
      <c r="C904" t="s">
        <v>518</v>
      </c>
      <c r="D904" t="s">
        <v>92</v>
      </c>
      <c r="E904" t="s">
        <v>98</v>
      </c>
      <c r="F904" t="s">
        <v>244</v>
      </c>
      <c r="G904" s="39">
        <v>43094</v>
      </c>
      <c r="J904" t="s">
        <v>982</v>
      </c>
    </row>
    <row r="905" spans="1:10" x14ac:dyDescent="0.35">
      <c r="A905">
        <v>11215</v>
      </c>
      <c r="B905" t="s">
        <v>36</v>
      </c>
      <c r="C905" t="s">
        <v>92</v>
      </c>
      <c r="D905" t="s">
        <v>92</v>
      </c>
      <c r="E905" t="s">
        <v>100</v>
      </c>
      <c r="F905" t="s">
        <v>244</v>
      </c>
      <c r="G905" s="39">
        <v>42426</v>
      </c>
      <c r="J905" t="s">
        <v>981</v>
      </c>
    </row>
    <row r="906" spans="1:10" x14ac:dyDescent="0.35">
      <c r="A906">
        <v>190039</v>
      </c>
      <c r="B906" t="s">
        <v>36</v>
      </c>
      <c r="C906" t="s">
        <v>489</v>
      </c>
      <c r="D906" t="s">
        <v>92</v>
      </c>
      <c r="E906" t="s">
        <v>101</v>
      </c>
      <c r="F906" t="s">
        <v>244</v>
      </c>
      <c r="G906" s="39">
        <v>42684</v>
      </c>
      <c r="J906" t="s">
        <v>981</v>
      </c>
    </row>
    <row r="907" spans="1:10" x14ac:dyDescent="0.35">
      <c r="A907">
        <v>10480</v>
      </c>
      <c r="B907" t="s">
        <v>36</v>
      </c>
      <c r="C907" t="s">
        <v>489</v>
      </c>
      <c r="D907" t="s">
        <v>92</v>
      </c>
      <c r="E907" t="s">
        <v>99</v>
      </c>
      <c r="F907" t="s">
        <v>244</v>
      </c>
      <c r="G907" s="39">
        <v>40787</v>
      </c>
      <c r="J907" t="s">
        <v>981</v>
      </c>
    </row>
    <row r="908" spans="1:10" x14ac:dyDescent="0.35">
      <c r="A908">
        <v>700003</v>
      </c>
      <c r="B908" t="s">
        <v>36</v>
      </c>
      <c r="C908" t="s">
        <v>489</v>
      </c>
      <c r="D908" t="s">
        <v>92</v>
      </c>
      <c r="E908" t="s">
        <v>109</v>
      </c>
      <c r="F908" t="s">
        <v>244</v>
      </c>
      <c r="G908" s="39">
        <v>37642</v>
      </c>
      <c r="J908" t="s">
        <v>981</v>
      </c>
    </row>
    <row r="909" spans="1:10" x14ac:dyDescent="0.35">
      <c r="A909">
        <v>920002</v>
      </c>
      <c r="B909" t="s">
        <v>36</v>
      </c>
      <c r="C909" t="s">
        <v>489</v>
      </c>
      <c r="D909" t="s">
        <v>92</v>
      </c>
      <c r="E909" t="s">
        <v>109</v>
      </c>
      <c r="F909" t="s">
        <v>244</v>
      </c>
      <c r="G909" s="39">
        <v>40168</v>
      </c>
      <c r="J909" t="s">
        <v>981</v>
      </c>
    </row>
    <row r="910" spans="1:10" x14ac:dyDescent="0.35">
      <c r="A910">
        <v>11319</v>
      </c>
      <c r="B910" t="s">
        <v>36</v>
      </c>
      <c r="C910" t="s">
        <v>519</v>
      </c>
      <c r="D910" t="s">
        <v>92</v>
      </c>
      <c r="E910" t="s">
        <v>109</v>
      </c>
      <c r="F910" t="s">
        <v>244</v>
      </c>
      <c r="G910" s="39">
        <v>42527</v>
      </c>
      <c r="J910" t="s">
        <v>981</v>
      </c>
    </row>
    <row r="911" spans="1:10" x14ac:dyDescent="0.35">
      <c r="A911">
        <v>10548</v>
      </c>
      <c r="B911" t="s">
        <v>36</v>
      </c>
      <c r="C911" t="s">
        <v>489</v>
      </c>
      <c r="D911" t="s">
        <v>92</v>
      </c>
      <c r="E911" t="s">
        <v>109</v>
      </c>
      <c r="F911" t="s">
        <v>244</v>
      </c>
      <c r="G911" s="39">
        <v>41176</v>
      </c>
      <c r="J911" t="s">
        <v>981</v>
      </c>
    </row>
    <row r="912" spans="1:10" x14ac:dyDescent="0.35">
      <c r="A912">
        <v>11287</v>
      </c>
      <c r="B912" t="s">
        <v>36</v>
      </c>
      <c r="C912" t="s">
        <v>489</v>
      </c>
      <c r="D912" t="s">
        <v>92</v>
      </c>
      <c r="E912" t="s">
        <v>109</v>
      </c>
      <c r="F912" t="s">
        <v>411</v>
      </c>
      <c r="G912" s="39">
        <v>42493</v>
      </c>
      <c r="J912" t="s">
        <v>981</v>
      </c>
    </row>
    <row r="913" spans="1:10" x14ac:dyDescent="0.35">
      <c r="A913">
        <v>10215</v>
      </c>
      <c r="B913" t="s">
        <v>36</v>
      </c>
      <c r="C913" t="s">
        <v>489</v>
      </c>
      <c r="D913" t="s">
        <v>92</v>
      </c>
      <c r="E913" t="s">
        <v>102</v>
      </c>
      <c r="F913" t="s">
        <v>244</v>
      </c>
      <c r="G913" s="39">
        <v>38790</v>
      </c>
      <c r="J913" t="s">
        <v>981</v>
      </c>
    </row>
    <row r="914" spans="1:10" x14ac:dyDescent="0.35">
      <c r="A914">
        <v>250022</v>
      </c>
      <c r="B914" t="s">
        <v>36</v>
      </c>
      <c r="C914" t="s">
        <v>489</v>
      </c>
      <c r="D914" t="s">
        <v>92</v>
      </c>
      <c r="E914" t="s">
        <v>102</v>
      </c>
      <c r="F914" t="s">
        <v>244</v>
      </c>
      <c r="G914" s="39">
        <v>41610</v>
      </c>
      <c r="J914" t="s">
        <v>981</v>
      </c>
    </row>
    <row r="915" spans="1:10" x14ac:dyDescent="0.35">
      <c r="A915">
        <v>12493</v>
      </c>
      <c r="B915" t="s">
        <v>36</v>
      </c>
      <c r="C915" t="s">
        <v>489</v>
      </c>
      <c r="D915" t="s">
        <v>92</v>
      </c>
      <c r="E915" t="s">
        <v>102</v>
      </c>
      <c r="F915" t="s">
        <v>244</v>
      </c>
      <c r="G915" s="39">
        <v>43775</v>
      </c>
      <c r="J915" t="s">
        <v>981</v>
      </c>
    </row>
    <row r="916" spans="1:10" x14ac:dyDescent="0.35">
      <c r="A916">
        <v>680001</v>
      </c>
      <c r="B916" t="s">
        <v>36</v>
      </c>
      <c r="C916" t="s">
        <v>489</v>
      </c>
      <c r="D916" t="s">
        <v>92</v>
      </c>
      <c r="E916" t="s">
        <v>102</v>
      </c>
      <c r="F916" t="s">
        <v>244</v>
      </c>
      <c r="G916" s="39">
        <v>38328</v>
      </c>
      <c r="J916" t="s">
        <v>981</v>
      </c>
    </row>
    <row r="917" spans="1:10" x14ac:dyDescent="0.35">
      <c r="A917">
        <v>120005</v>
      </c>
      <c r="B917" t="s">
        <v>36</v>
      </c>
      <c r="C917" t="s">
        <v>489</v>
      </c>
      <c r="D917" t="s">
        <v>92</v>
      </c>
      <c r="E917" t="s">
        <v>102</v>
      </c>
      <c r="F917" t="s">
        <v>244</v>
      </c>
      <c r="G917" s="39">
        <v>36693</v>
      </c>
      <c r="J917" t="s">
        <v>981</v>
      </c>
    </row>
    <row r="918" spans="1:10" x14ac:dyDescent="0.35">
      <c r="A918">
        <v>130029</v>
      </c>
      <c r="B918" t="s">
        <v>36</v>
      </c>
      <c r="C918" t="s">
        <v>489</v>
      </c>
      <c r="D918" t="s">
        <v>92</v>
      </c>
      <c r="E918" t="s">
        <v>102</v>
      </c>
      <c r="F918" t="s">
        <v>411</v>
      </c>
      <c r="G918" s="39">
        <v>39654</v>
      </c>
      <c r="J918" t="s">
        <v>981</v>
      </c>
    </row>
    <row r="919" spans="1:10" x14ac:dyDescent="0.35">
      <c r="A919">
        <v>300004</v>
      </c>
      <c r="B919" t="s">
        <v>36</v>
      </c>
      <c r="C919" t="s">
        <v>489</v>
      </c>
      <c r="D919" t="s">
        <v>92</v>
      </c>
      <c r="E919" t="s">
        <v>102</v>
      </c>
      <c r="F919" t="s">
        <v>244</v>
      </c>
      <c r="G919" s="39">
        <v>37015</v>
      </c>
      <c r="J919" t="s">
        <v>981</v>
      </c>
    </row>
    <row r="920" spans="1:10" x14ac:dyDescent="0.35">
      <c r="A920">
        <v>140004</v>
      </c>
      <c r="B920" t="s">
        <v>36</v>
      </c>
      <c r="C920" t="s">
        <v>489</v>
      </c>
      <c r="D920" t="s">
        <v>92</v>
      </c>
      <c r="E920" t="s">
        <v>102</v>
      </c>
      <c r="F920" t="s">
        <v>244</v>
      </c>
      <c r="G920" s="39">
        <v>36686</v>
      </c>
      <c r="J920" t="s">
        <v>981</v>
      </c>
    </row>
    <row r="921" spans="1:10" x14ac:dyDescent="0.35">
      <c r="A921">
        <v>11307</v>
      </c>
      <c r="B921" t="s">
        <v>36</v>
      </c>
      <c r="C921" t="s">
        <v>489</v>
      </c>
      <c r="D921" t="s">
        <v>92</v>
      </c>
      <c r="E921" t="s">
        <v>109</v>
      </c>
      <c r="F921" t="s">
        <v>244</v>
      </c>
      <c r="G921" s="39">
        <v>42510</v>
      </c>
      <c r="J921" t="s">
        <v>981</v>
      </c>
    </row>
    <row r="922" spans="1:10" x14ac:dyDescent="0.35">
      <c r="A922">
        <v>120006</v>
      </c>
      <c r="B922" t="s">
        <v>36</v>
      </c>
      <c r="C922" t="s">
        <v>489</v>
      </c>
      <c r="D922" t="s">
        <v>92</v>
      </c>
      <c r="E922" t="s">
        <v>103</v>
      </c>
      <c r="F922" t="s">
        <v>244</v>
      </c>
      <c r="G922" s="39">
        <v>36990</v>
      </c>
      <c r="J922" t="s">
        <v>981</v>
      </c>
    </row>
    <row r="923" spans="1:10" x14ac:dyDescent="0.35">
      <c r="A923">
        <v>13365</v>
      </c>
      <c r="B923" t="s">
        <v>36</v>
      </c>
      <c r="C923" t="s">
        <v>489</v>
      </c>
      <c r="D923" t="s">
        <v>92</v>
      </c>
      <c r="E923" t="s">
        <v>102</v>
      </c>
      <c r="F923" t="s">
        <v>244</v>
      </c>
      <c r="G923" s="39">
        <v>44410</v>
      </c>
      <c r="J923" t="s">
        <v>981</v>
      </c>
    </row>
    <row r="924" spans="1:10" x14ac:dyDescent="0.35">
      <c r="A924">
        <v>250012</v>
      </c>
      <c r="B924" t="s">
        <v>36</v>
      </c>
      <c r="C924" t="s">
        <v>489</v>
      </c>
      <c r="D924" t="s">
        <v>92</v>
      </c>
      <c r="E924" t="s">
        <v>103</v>
      </c>
      <c r="F924" t="s">
        <v>244</v>
      </c>
      <c r="G924" s="39">
        <v>36691</v>
      </c>
      <c r="J924" t="s">
        <v>981</v>
      </c>
    </row>
    <row r="925" spans="1:10" x14ac:dyDescent="0.35">
      <c r="A925">
        <v>16160</v>
      </c>
      <c r="B925" t="s">
        <v>36</v>
      </c>
      <c r="C925" t="s">
        <v>489</v>
      </c>
      <c r="D925" t="s">
        <v>92</v>
      </c>
      <c r="E925" t="s">
        <v>102</v>
      </c>
      <c r="F925" t="s">
        <v>244</v>
      </c>
      <c r="G925" s="39">
        <v>45303</v>
      </c>
      <c r="J925" t="s">
        <v>981</v>
      </c>
    </row>
    <row r="926" spans="1:10" x14ac:dyDescent="0.35">
      <c r="A926">
        <v>12855</v>
      </c>
      <c r="B926" t="s">
        <v>36</v>
      </c>
      <c r="C926" t="s">
        <v>489</v>
      </c>
      <c r="D926" t="s">
        <v>92</v>
      </c>
      <c r="E926" t="s">
        <v>520</v>
      </c>
      <c r="F926" t="s">
        <v>411</v>
      </c>
      <c r="G926" s="39">
        <v>44049</v>
      </c>
      <c r="J926" t="s">
        <v>981</v>
      </c>
    </row>
    <row r="927" spans="1:10" x14ac:dyDescent="0.35">
      <c r="A927">
        <v>210017</v>
      </c>
      <c r="B927" t="s">
        <v>7</v>
      </c>
      <c r="C927" t="s">
        <v>522</v>
      </c>
      <c r="D927" t="s">
        <v>92</v>
      </c>
      <c r="E927" t="s">
        <v>101</v>
      </c>
      <c r="F927" t="s">
        <v>244</v>
      </c>
      <c r="G927" s="39">
        <v>39483</v>
      </c>
      <c r="J927" t="s">
        <v>981</v>
      </c>
    </row>
    <row r="928" spans="1:10" x14ac:dyDescent="0.35">
      <c r="A928">
        <v>270005</v>
      </c>
      <c r="B928" t="s">
        <v>92</v>
      </c>
      <c r="C928" t="s">
        <v>42</v>
      </c>
      <c r="D928" t="s">
        <v>92</v>
      </c>
      <c r="E928" t="s">
        <v>99</v>
      </c>
      <c r="F928" t="s">
        <v>244</v>
      </c>
      <c r="G928" s="39">
        <v>39336</v>
      </c>
      <c r="J928" t="s">
        <v>981</v>
      </c>
    </row>
    <row r="929" spans="1:10" x14ac:dyDescent="0.35">
      <c r="A929">
        <v>900011</v>
      </c>
      <c r="B929" t="s">
        <v>92</v>
      </c>
      <c r="C929" t="s">
        <v>42</v>
      </c>
      <c r="D929" t="s">
        <v>92</v>
      </c>
      <c r="E929" t="s">
        <v>109</v>
      </c>
      <c r="F929" t="s">
        <v>244</v>
      </c>
      <c r="G929" s="39">
        <v>39213</v>
      </c>
      <c r="J929" t="s">
        <v>981</v>
      </c>
    </row>
    <row r="930" spans="1:10" x14ac:dyDescent="0.35">
      <c r="A930">
        <v>11274</v>
      </c>
      <c r="B930" t="s">
        <v>92</v>
      </c>
      <c r="C930" t="s">
        <v>42</v>
      </c>
      <c r="D930" t="s">
        <v>92</v>
      </c>
      <c r="E930" t="s">
        <v>109</v>
      </c>
      <c r="F930" t="s">
        <v>244</v>
      </c>
      <c r="G930" s="39">
        <v>42478</v>
      </c>
      <c r="J930" t="s">
        <v>981</v>
      </c>
    </row>
    <row r="931" spans="1:10" x14ac:dyDescent="0.35">
      <c r="A931">
        <v>18960</v>
      </c>
      <c r="B931" t="s">
        <v>92</v>
      </c>
      <c r="C931" t="s">
        <v>42</v>
      </c>
      <c r="D931" t="s">
        <v>92</v>
      </c>
      <c r="E931" t="s">
        <v>103</v>
      </c>
      <c r="F931" t="s">
        <v>244</v>
      </c>
      <c r="G931" s="39">
        <v>46248</v>
      </c>
      <c r="J931" t="s">
        <v>981</v>
      </c>
    </row>
    <row r="932" spans="1:10" x14ac:dyDescent="0.35">
      <c r="A932">
        <v>10321</v>
      </c>
      <c r="B932" t="s">
        <v>7</v>
      </c>
      <c r="C932" t="s">
        <v>522</v>
      </c>
      <c r="D932" t="s">
        <v>92</v>
      </c>
      <c r="E932" t="s">
        <v>109</v>
      </c>
      <c r="F932" t="s">
        <v>244</v>
      </c>
      <c r="G932" s="39">
        <v>39755</v>
      </c>
      <c r="J932" t="s">
        <v>981</v>
      </c>
    </row>
    <row r="933" spans="1:10" x14ac:dyDescent="0.35">
      <c r="A933">
        <v>16323</v>
      </c>
      <c r="B933" t="s">
        <v>7</v>
      </c>
      <c r="C933" t="s">
        <v>522</v>
      </c>
      <c r="D933" t="s">
        <v>92</v>
      </c>
      <c r="E933" t="s">
        <v>102</v>
      </c>
      <c r="F933" t="s">
        <v>244</v>
      </c>
      <c r="G933" s="39">
        <v>45362</v>
      </c>
      <c r="J933" t="s">
        <v>981</v>
      </c>
    </row>
    <row r="934" spans="1:10" x14ac:dyDescent="0.35">
      <c r="A934">
        <v>12063</v>
      </c>
      <c r="B934" t="s">
        <v>7</v>
      </c>
      <c r="C934" t="s">
        <v>522</v>
      </c>
      <c r="D934" t="s">
        <v>92</v>
      </c>
      <c r="E934" t="s">
        <v>102</v>
      </c>
      <c r="F934" t="s">
        <v>244</v>
      </c>
      <c r="G934" s="39">
        <v>43438</v>
      </c>
      <c r="J934" t="s">
        <v>981</v>
      </c>
    </row>
    <row r="935" spans="1:10" x14ac:dyDescent="0.35">
      <c r="A935">
        <v>13588</v>
      </c>
      <c r="B935" t="s">
        <v>7</v>
      </c>
      <c r="C935" t="s">
        <v>522</v>
      </c>
      <c r="D935" t="s">
        <v>92</v>
      </c>
      <c r="E935" t="s">
        <v>109</v>
      </c>
      <c r="F935" t="s">
        <v>244</v>
      </c>
      <c r="G935" s="39">
        <v>44503</v>
      </c>
      <c r="J935" t="s">
        <v>981</v>
      </c>
    </row>
    <row r="936" spans="1:10" x14ac:dyDescent="0.35">
      <c r="A936">
        <v>220033</v>
      </c>
      <c r="B936" t="s">
        <v>7</v>
      </c>
      <c r="C936" t="s">
        <v>522</v>
      </c>
      <c r="D936" t="s">
        <v>92</v>
      </c>
      <c r="E936" t="s">
        <v>102</v>
      </c>
      <c r="F936" t="s">
        <v>244</v>
      </c>
      <c r="G936" s="39">
        <v>44580</v>
      </c>
      <c r="J936" t="s">
        <v>981</v>
      </c>
    </row>
    <row r="937" spans="1:10" x14ac:dyDescent="0.35">
      <c r="A937">
        <v>12391</v>
      </c>
      <c r="B937" t="s">
        <v>7</v>
      </c>
      <c r="C937" t="s">
        <v>522</v>
      </c>
      <c r="D937" t="s">
        <v>92</v>
      </c>
      <c r="E937" t="s">
        <v>102</v>
      </c>
      <c r="F937" t="s">
        <v>244</v>
      </c>
      <c r="G937" s="39">
        <v>43727</v>
      </c>
      <c r="J937" t="s">
        <v>981</v>
      </c>
    </row>
    <row r="938" spans="1:10" x14ac:dyDescent="0.35">
      <c r="A938">
        <v>10807</v>
      </c>
      <c r="B938" t="s">
        <v>7</v>
      </c>
      <c r="C938" t="s">
        <v>522</v>
      </c>
      <c r="D938" t="s">
        <v>92</v>
      </c>
      <c r="E938" t="s">
        <v>102</v>
      </c>
      <c r="F938" t="s">
        <v>244</v>
      </c>
      <c r="G938" s="39">
        <v>41946</v>
      </c>
      <c r="J938" t="s">
        <v>981</v>
      </c>
    </row>
    <row r="939" spans="1:10" x14ac:dyDescent="0.35">
      <c r="A939">
        <v>13628</v>
      </c>
      <c r="B939" t="s">
        <v>12</v>
      </c>
      <c r="C939" t="s">
        <v>158</v>
      </c>
      <c r="D939" t="s">
        <v>159</v>
      </c>
      <c r="E939" t="s">
        <v>102</v>
      </c>
      <c r="F939" t="s">
        <v>244</v>
      </c>
      <c r="G939" s="39">
        <v>44519</v>
      </c>
      <c r="J939" t="s">
        <v>981</v>
      </c>
    </row>
    <row r="940" spans="1:10" x14ac:dyDescent="0.35">
      <c r="A940">
        <v>14358</v>
      </c>
      <c r="B940" t="s">
        <v>7</v>
      </c>
      <c r="C940" t="s">
        <v>522</v>
      </c>
      <c r="D940" t="s">
        <v>92</v>
      </c>
      <c r="E940" t="s">
        <v>102</v>
      </c>
      <c r="F940" t="s">
        <v>244</v>
      </c>
      <c r="G940" s="39">
        <v>44743</v>
      </c>
      <c r="J940" t="s">
        <v>981</v>
      </c>
    </row>
    <row r="941" spans="1:10" x14ac:dyDescent="0.35">
      <c r="A941">
        <v>13669</v>
      </c>
      <c r="B941" t="s">
        <v>92</v>
      </c>
      <c r="C941" t="s">
        <v>42</v>
      </c>
      <c r="D941" t="s">
        <v>92</v>
      </c>
      <c r="E941" t="s">
        <v>103</v>
      </c>
      <c r="F941" t="s">
        <v>244</v>
      </c>
      <c r="G941" s="39">
        <v>44532</v>
      </c>
      <c r="J941" t="s">
        <v>981</v>
      </c>
    </row>
    <row r="942" spans="1:10" x14ac:dyDescent="0.35">
      <c r="A942">
        <v>14546</v>
      </c>
      <c r="B942" t="s">
        <v>12</v>
      </c>
      <c r="C942" t="s">
        <v>158</v>
      </c>
      <c r="D942" t="s">
        <v>160</v>
      </c>
      <c r="E942" t="s">
        <v>103</v>
      </c>
      <c r="F942" t="s">
        <v>244</v>
      </c>
      <c r="G942" s="39">
        <v>44783</v>
      </c>
      <c r="J942" t="s">
        <v>981</v>
      </c>
    </row>
    <row r="943" spans="1:10" x14ac:dyDescent="0.35">
      <c r="A943">
        <v>13627</v>
      </c>
      <c r="B943" t="s">
        <v>7</v>
      </c>
      <c r="C943" t="s">
        <v>522</v>
      </c>
      <c r="D943" t="s">
        <v>92</v>
      </c>
      <c r="E943" t="s">
        <v>103</v>
      </c>
      <c r="F943" t="s">
        <v>244</v>
      </c>
      <c r="G943" s="39">
        <v>44519</v>
      </c>
      <c r="J943" t="s">
        <v>981</v>
      </c>
    </row>
    <row r="944" spans="1:10" x14ac:dyDescent="0.35">
      <c r="A944">
        <v>16487</v>
      </c>
      <c r="B944" t="s">
        <v>8</v>
      </c>
      <c r="C944" t="s">
        <v>523</v>
      </c>
      <c r="D944" t="s">
        <v>92</v>
      </c>
      <c r="E944" t="s">
        <v>103</v>
      </c>
      <c r="F944" t="s">
        <v>244</v>
      </c>
      <c r="G944" s="39">
        <v>45434</v>
      </c>
      <c r="J944" t="s">
        <v>981</v>
      </c>
    </row>
    <row r="945" spans="1:10" x14ac:dyDescent="0.35">
      <c r="A945">
        <v>17230</v>
      </c>
      <c r="B945" t="s">
        <v>7</v>
      </c>
      <c r="C945" t="s">
        <v>522</v>
      </c>
      <c r="D945" t="s">
        <v>92</v>
      </c>
      <c r="E945" t="s">
        <v>103</v>
      </c>
      <c r="F945" t="s">
        <v>244</v>
      </c>
      <c r="G945" s="39">
        <v>45678</v>
      </c>
      <c r="J945" t="s">
        <v>981</v>
      </c>
    </row>
    <row r="946" spans="1:10" x14ac:dyDescent="0.35">
      <c r="A946">
        <v>17668</v>
      </c>
      <c r="B946" t="s">
        <v>8</v>
      </c>
      <c r="C946" t="s">
        <v>523</v>
      </c>
      <c r="D946" t="s">
        <v>92</v>
      </c>
      <c r="E946" t="s">
        <v>103</v>
      </c>
      <c r="F946" t="s">
        <v>244</v>
      </c>
      <c r="G946" s="39">
        <v>45839</v>
      </c>
      <c r="J946" t="s">
        <v>981</v>
      </c>
    </row>
    <row r="947" spans="1:10" x14ac:dyDescent="0.35">
      <c r="A947">
        <v>18466</v>
      </c>
      <c r="B947" t="s">
        <v>8</v>
      </c>
      <c r="C947" t="s">
        <v>523</v>
      </c>
      <c r="D947" t="s">
        <v>92</v>
      </c>
      <c r="E947" t="s">
        <v>106</v>
      </c>
      <c r="F947" t="s">
        <v>244</v>
      </c>
      <c r="G947" s="39">
        <v>46133</v>
      </c>
      <c r="J947" t="s">
        <v>981</v>
      </c>
    </row>
    <row r="948" spans="1:10" x14ac:dyDescent="0.35">
      <c r="A948">
        <v>17439</v>
      </c>
      <c r="B948" t="s">
        <v>36</v>
      </c>
      <c r="C948" t="s">
        <v>92</v>
      </c>
      <c r="D948" t="s">
        <v>92</v>
      </c>
      <c r="E948" t="s">
        <v>100</v>
      </c>
      <c r="F948" t="s">
        <v>244</v>
      </c>
      <c r="G948" s="39">
        <v>45750</v>
      </c>
      <c r="J948" t="s">
        <v>981</v>
      </c>
    </row>
    <row r="949" spans="1:10" x14ac:dyDescent="0.35">
      <c r="A949">
        <v>11453</v>
      </c>
      <c r="B949" t="s">
        <v>36</v>
      </c>
      <c r="C949" t="s">
        <v>524</v>
      </c>
      <c r="D949" t="s">
        <v>92</v>
      </c>
      <c r="E949" t="s">
        <v>101</v>
      </c>
      <c r="F949" t="s">
        <v>244</v>
      </c>
      <c r="G949" s="39">
        <v>42711</v>
      </c>
      <c r="J949" t="s">
        <v>981</v>
      </c>
    </row>
    <row r="950" spans="1:10" x14ac:dyDescent="0.35">
      <c r="A950">
        <v>280011</v>
      </c>
      <c r="B950" t="s">
        <v>36</v>
      </c>
      <c r="C950" t="s">
        <v>524</v>
      </c>
      <c r="D950" t="s">
        <v>92</v>
      </c>
      <c r="E950" t="s">
        <v>99</v>
      </c>
      <c r="F950" t="s">
        <v>244</v>
      </c>
      <c r="G950" s="39">
        <v>40387</v>
      </c>
      <c r="J950" t="s">
        <v>981</v>
      </c>
    </row>
    <row r="951" spans="1:10" x14ac:dyDescent="0.35">
      <c r="A951">
        <v>11343</v>
      </c>
      <c r="B951" t="s">
        <v>36</v>
      </c>
      <c r="C951" t="s">
        <v>524</v>
      </c>
      <c r="D951" t="s">
        <v>92</v>
      </c>
      <c r="E951" t="s">
        <v>99</v>
      </c>
      <c r="F951" t="s">
        <v>244</v>
      </c>
      <c r="G951" s="39">
        <v>42562</v>
      </c>
      <c r="J951" t="s">
        <v>981</v>
      </c>
    </row>
    <row r="952" spans="1:10" x14ac:dyDescent="0.35">
      <c r="A952">
        <v>11466</v>
      </c>
      <c r="B952" t="s">
        <v>36</v>
      </c>
      <c r="C952" t="s">
        <v>524</v>
      </c>
      <c r="D952" t="s">
        <v>92</v>
      </c>
      <c r="E952" t="s">
        <v>109</v>
      </c>
      <c r="F952" t="s">
        <v>244</v>
      </c>
      <c r="G952" s="39">
        <v>42723</v>
      </c>
      <c r="J952" t="s">
        <v>981</v>
      </c>
    </row>
    <row r="953" spans="1:10" x14ac:dyDescent="0.35">
      <c r="A953">
        <v>11374</v>
      </c>
      <c r="B953" t="s">
        <v>36</v>
      </c>
      <c r="C953" t="s">
        <v>524</v>
      </c>
      <c r="D953" t="s">
        <v>92</v>
      </c>
      <c r="E953" t="s">
        <v>109</v>
      </c>
      <c r="F953" t="s">
        <v>244</v>
      </c>
      <c r="G953" s="39">
        <v>42607</v>
      </c>
      <c r="J953" t="s">
        <v>981</v>
      </c>
    </row>
    <row r="954" spans="1:10" x14ac:dyDescent="0.35">
      <c r="A954">
        <v>17802</v>
      </c>
      <c r="B954" t="s">
        <v>92</v>
      </c>
      <c r="C954" t="s">
        <v>42</v>
      </c>
      <c r="D954" t="s">
        <v>92</v>
      </c>
      <c r="E954" t="s">
        <v>109</v>
      </c>
      <c r="F954" t="s">
        <v>244</v>
      </c>
      <c r="G954" s="39">
        <v>45887</v>
      </c>
      <c r="J954" t="s">
        <v>981</v>
      </c>
    </row>
    <row r="955" spans="1:10" x14ac:dyDescent="0.35">
      <c r="A955">
        <v>980008</v>
      </c>
      <c r="B955" t="s">
        <v>36</v>
      </c>
      <c r="C955" t="s">
        <v>524</v>
      </c>
      <c r="D955" t="s">
        <v>92</v>
      </c>
      <c r="E955" t="s">
        <v>109</v>
      </c>
      <c r="F955" t="s">
        <v>244</v>
      </c>
      <c r="G955" s="39">
        <v>42474</v>
      </c>
      <c r="J955" t="s">
        <v>981</v>
      </c>
    </row>
    <row r="956" spans="1:10" x14ac:dyDescent="0.35">
      <c r="A956">
        <v>600050</v>
      </c>
      <c r="B956" t="s">
        <v>36</v>
      </c>
      <c r="C956" t="s">
        <v>524</v>
      </c>
      <c r="D956" t="s">
        <v>92</v>
      </c>
      <c r="E956" t="s">
        <v>109</v>
      </c>
      <c r="F956" t="s">
        <v>244</v>
      </c>
      <c r="G956" s="39">
        <v>44006</v>
      </c>
      <c r="J956" t="s">
        <v>981</v>
      </c>
    </row>
    <row r="957" spans="1:10" x14ac:dyDescent="0.35">
      <c r="A957">
        <v>11549</v>
      </c>
      <c r="B957" t="s">
        <v>36</v>
      </c>
      <c r="C957" t="s">
        <v>524</v>
      </c>
      <c r="D957" t="s">
        <v>92</v>
      </c>
      <c r="E957" t="s">
        <v>109</v>
      </c>
      <c r="F957" t="s">
        <v>244</v>
      </c>
      <c r="G957" s="39">
        <v>42829</v>
      </c>
      <c r="J957" t="s">
        <v>981</v>
      </c>
    </row>
    <row r="958" spans="1:10" x14ac:dyDescent="0.35">
      <c r="A958">
        <v>300199</v>
      </c>
      <c r="B958" t="s">
        <v>36</v>
      </c>
      <c r="C958" t="s">
        <v>524</v>
      </c>
      <c r="D958" t="s">
        <v>92</v>
      </c>
      <c r="E958" t="s">
        <v>109</v>
      </c>
      <c r="F958" t="s">
        <v>244</v>
      </c>
      <c r="G958" s="39">
        <v>43852</v>
      </c>
      <c r="J958" t="s">
        <v>981</v>
      </c>
    </row>
    <row r="959" spans="1:10" x14ac:dyDescent="0.35">
      <c r="A959">
        <v>400052</v>
      </c>
      <c r="B959" t="s">
        <v>36</v>
      </c>
      <c r="C959" t="s">
        <v>524</v>
      </c>
      <c r="D959" t="s">
        <v>92</v>
      </c>
      <c r="E959" t="s">
        <v>109</v>
      </c>
      <c r="F959" t="s">
        <v>244</v>
      </c>
      <c r="G959" s="39">
        <v>43866</v>
      </c>
      <c r="J959" t="s">
        <v>981</v>
      </c>
    </row>
    <row r="960" spans="1:10" x14ac:dyDescent="0.35">
      <c r="A960">
        <v>400054</v>
      </c>
      <c r="B960" t="s">
        <v>36</v>
      </c>
      <c r="C960" t="s">
        <v>524</v>
      </c>
      <c r="D960" t="s">
        <v>92</v>
      </c>
      <c r="E960" t="s">
        <v>109</v>
      </c>
      <c r="F960" t="s">
        <v>244</v>
      </c>
      <c r="G960" s="39">
        <v>43985</v>
      </c>
      <c r="J960" t="s">
        <v>981</v>
      </c>
    </row>
    <row r="961" spans="1:10" x14ac:dyDescent="0.35">
      <c r="A961">
        <v>190037</v>
      </c>
      <c r="B961" t="s">
        <v>36</v>
      </c>
      <c r="C961" t="s">
        <v>524</v>
      </c>
      <c r="D961" t="s">
        <v>92</v>
      </c>
      <c r="E961" t="s">
        <v>102</v>
      </c>
      <c r="F961" t="s">
        <v>244</v>
      </c>
      <c r="G961" s="39">
        <v>42545</v>
      </c>
      <c r="J961" t="s">
        <v>981</v>
      </c>
    </row>
    <row r="962" spans="1:10" x14ac:dyDescent="0.35">
      <c r="A962">
        <v>13810</v>
      </c>
      <c r="B962" t="s">
        <v>92</v>
      </c>
      <c r="C962" t="s">
        <v>42</v>
      </c>
      <c r="D962" t="s">
        <v>92</v>
      </c>
      <c r="E962" t="s">
        <v>109</v>
      </c>
      <c r="F962" t="s">
        <v>244</v>
      </c>
      <c r="G962" s="39">
        <v>44593</v>
      </c>
      <c r="J962" t="s">
        <v>981</v>
      </c>
    </row>
    <row r="963" spans="1:10" x14ac:dyDescent="0.35">
      <c r="A963">
        <v>10166</v>
      </c>
      <c r="B963" t="s">
        <v>36</v>
      </c>
      <c r="C963" t="s">
        <v>524</v>
      </c>
      <c r="D963" t="s">
        <v>92</v>
      </c>
      <c r="E963" t="s">
        <v>102</v>
      </c>
      <c r="F963" t="s">
        <v>244</v>
      </c>
      <c r="G963" s="39">
        <v>36931</v>
      </c>
      <c r="J963" t="s">
        <v>981</v>
      </c>
    </row>
    <row r="964" spans="1:10" x14ac:dyDescent="0.35">
      <c r="A964">
        <v>11553</v>
      </c>
      <c r="B964" t="s">
        <v>36</v>
      </c>
      <c r="C964" t="s">
        <v>524</v>
      </c>
      <c r="D964" t="s">
        <v>92</v>
      </c>
      <c r="E964" t="s">
        <v>102</v>
      </c>
      <c r="F964" t="s">
        <v>411</v>
      </c>
      <c r="G964" s="39">
        <v>42832</v>
      </c>
      <c r="J964" t="s">
        <v>981</v>
      </c>
    </row>
    <row r="965" spans="1:10" x14ac:dyDescent="0.35">
      <c r="A965">
        <v>300154</v>
      </c>
      <c r="B965" t="s">
        <v>36</v>
      </c>
      <c r="C965" t="s">
        <v>524</v>
      </c>
      <c r="D965" t="s">
        <v>92</v>
      </c>
      <c r="E965" t="s">
        <v>102</v>
      </c>
      <c r="F965" t="s">
        <v>244</v>
      </c>
      <c r="G965" s="39">
        <v>43497</v>
      </c>
      <c r="J965" t="s">
        <v>981</v>
      </c>
    </row>
    <row r="966" spans="1:10" x14ac:dyDescent="0.35">
      <c r="A966">
        <v>160016</v>
      </c>
      <c r="B966" t="s">
        <v>36</v>
      </c>
      <c r="C966" t="s">
        <v>524</v>
      </c>
      <c r="D966" t="s">
        <v>92</v>
      </c>
      <c r="E966" t="s">
        <v>102</v>
      </c>
      <c r="F966" t="s">
        <v>244</v>
      </c>
      <c r="G966" s="39">
        <v>39807</v>
      </c>
      <c r="J966" t="s">
        <v>981</v>
      </c>
    </row>
    <row r="967" spans="1:10" x14ac:dyDescent="0.35">
      <c r="A967">
        <v>800004</v>
      </c>
      <c r="B967" t="s">
        <v>36</v>
      </c>
      <c r="C967" t="s">
        <v>524</v>
      </c>
      <c r="D967" t="s">
        <v>92</v>
      </c>
      <c r="E967" t="s">
        <v>103</v>
      </c>
      <c r="F967" t="s">
        <v>244</v>
      </c>
      <c r="G967" s="39">
        <v>36696</v>
      </c>
      <c r="J967" t="s">
        <v>981</v>
      </c>
    </row>
    <row r="968" spans="1:10" x14ac:dyDescent="0.35">
      <c r="A968">
        <v>15892</v>
      </c>
      <c r="B968" t="s">
        <v>36</v>
      </c>
      <c r="C968" t="s">
        <v>524</v>
      </c>
      <c r="D968" t="s">
        <v>92</v>
      </c>
      <c r="E968" t="s">
        <v>102</v>
      </c>
      <c r="F968" t="s">
        <v>244</v>
      </c>
      <c r="G968" s="39">
        <v>45231</v>
      </c>
      <c r="J968" t="s">
        <v>981</v>
      </c>
    </row>
    <row r="969" spans="1:10" x14ac:dyDescent="0.35">
      <c r="A969">
        <v>16671</v>
      </c>
      <c r="B969" t="s">
        <v>36</v>
      </c>
      <c r="C969" t="s">
        <v>524</v>
      </c>
      <c r="D969" t="s">
        <v>92</v>
      </c>
      <c r="E969" t="s">
        <v>103</v>
      </c>
      <c r="F969" t="s">
        <v>244</v>
      </c>
      <c r="G969" s="39">
        <v>45516</v>
      </c>
      <c r="J969" t="s">
        <v>981</v>
      </c>
    </row>
    <row r="970" spans="1:10" x14ac:dyDescent="0.35">
      <c r="A970">
        <v>15181</v>
      </c>
      <c r="B970" t="s">
        <v>36</v>
      </c>
      <c r="C970" t="s">
        <v>524</v>
      </c>
      <c r="D970" t="s">
        <v>92</v>
      </c>
      <c r="E970" t="s">
        <v>102</v>
      </c>
      <c r="F970" t="s">
        <v>244</v>
      </c>
      <c r="G970" s="39">
        <v>44974</v>
      </c>
      <c r="J970" t="s">
        <v>981</v>
      </c>
    </row>
    <row r="971" spans="1:10" x14ac:dyDescent="0.35">
      <c r="A971">
        <v>14066</v>
      </c>
      <c r="B971" t="s">
        <v>36</v>
      </c>
      <c r="C971" t="s">
        <v>524</v>
      </c>
      <c r="D971" t="s">
        <v>92</v>
      </c>
      <c r="E971" t="s">
        <v>102</v>
      </c>
      <c r="F971" t="s">
        <v>244</v>
      </c>
      <c r="G971" s="39">
        <v>44638</v>
      </c>
      <c r="J971" t="s">
        <v>981</v>
      </c>
    </row>
    <row r="972" spans="1:10" x14ac:dyDescent="0.35">
      <c r="A972">
        <v>11338</v>
      </c>
      <c r="B972" t="s">
        <v>7</v>
      </c>
      <c r="C972" t="s">
        <v>161</v>
      </c>
      <c r="D972" t="s">
        <v>92</v>
      </c>
      <c r="E972" t="s">
        <v>101</v>
      </c>
      <c r="F972" t="s">
        <v>244</v>
      </c>
      <c r="G972" s="39">
        <v>42543</v>
      </c>
      <c r="J972" t="s">
        <v>981</v>
      </c>
    </row>
    <row r="973" spans="1:10" x14ac:dyDescent="0.35">
      <c r="A973">
        <v>18633</v>
      </c>
      <c r="B973" t="s">
        <v>7</v>
      </c>
      <c r="C973" t="s">
        <v>161</v>
      </c>
      <c r="D973" t="s">
        <v>92</v>
      </c>
      <c r="E973" t="s">
        <v>109</v>
      </c>
      <c r="F973" t="s">
        <v>244</v>
      </c>
      <c r="G973" s="39">
        <v>46174</v>
      </c>
      <c r="H973" t="s">
        <v>249</v>
      </c>
      <c r="J973" t="s">
        <v>981</v>
      </c>
    </row>
    <row r="974" spans="1:10" x14ac:dyDescent="0.35">
      <c r="A974">
        <v>11337</v>
      </c>
      <c r="B974" t="s">
        <v>36</v>
      </c>
      <c r="C974" t="s">
        <v>489</v>
      </c>
      <c r="D974" t="s">
        <v>92</v>
      </c>
      <c r="E974" t="s">
        <v>99</v>
      </c>
      <c r="F974" t="s">
        <v>244</v>
      </c>
      <c r="G974" s="39">
        <v>42543</v>
      </c>
      <c r="J974" t="s">
        <v>981</v>
      </c>
    </row>
    <row r="975" spans="1:10" x14ac:dyDescent="0.35">
      <c r="A975">
        <v>11457</v>
      </c>
      <c r="B975" t="s">
        <v>36</v>
      </c>
      <c r="C975" t="s">
        <v>489</v>
      </c>
      <c r="D975" t="s">
        <v>92</v>
      </c>
      <c r="E975" t="s">
        <v>109</v>
      </c>
      <c r="F975" t="s">
        <v>244</v>
      </c>
      <c r="G975" s="39">
        <v>42713</v>
      </c>
      <c r="J975" t="s">
        <v>981</v>
      </c>
    </row>
    <row r="976" spans="1:10" x14ac:dyDescent="0.35">
      <c r="A976">
        <v>10342</v>
      </c>
      <c r="B976" t="s">
        <v>92</v>
      </c>
      <c r="C976" t="s">
        <v>42</v>
      </c>
      <c r="D976" t="s">
        <v>92</v>
      </c>
      <c r="E976" t="s">
        <v>102</v>
      </c>
      <c r="F976" t="s">
        <v>244</v>
      </c>
      <c r="G976" s="39">
        <v>39882</v>
      </c>
      <c r="J976" t="s">
        <v>981</v>
      </c>
    </row>
    <row r="977" spans="1:10" x14ac:dyDescent="0.35">
      <c r="A977">
        <v>11355</v>
      </c>
      <c r="B977" t="s">
        <v>36</v>
      </c>
      <c r="C977" t="s">
        <v>489</v>
      </c>
      <c r="D977" t="s">
        <v>92</v>
      </c>
      <c r="E977" t="s">
        <v>102</v>
      </c>
      <c r="F977" t="s">
        <v>411</v>
      </c>
      <c r="G977" s="39">
        <v>42586</v>
      </c>
      <c r="J977" t="s">
        <v>981</v>
      </c>
    </row>
    <row r="978" spans="1:10" x14ac:dyDescent="0.35">
      <c r="A978">
        <v>13461</v>
      </c>
      <c r="B978" t="s">
        <v>36</v>
      </c>
      <c r="C978" t="s">
        <v>489</v>
      </c>
      <c r="D978" t="s">
        <v>92</v>
      </c>
      <c r="E978" t="s">
        <v>109</v>
      </c>
      <c r="F978" t="s">
        <v>244</v>
      </c>
      <c r="G978" s="39">
        <v>44462</v>
      </c>
      <c r="J978" t="s">
        <v>981</v>
      </c>
    </row>
    <row r="979" spans="1:10" x14ac:dyDescent="0.35">
      <c r="A979">
        <v>11198</v>
      </c>
      <c r="B979" t="s">
        <v>36</v>
      </c>
      <c r="C979" t="s">
        <v>489</v>
      </c>
      <c r="D979" t="s">
        <v>92</v>
      </c>
      <c r="E979" t="s">
        <v>103</v>
      </c>
      <c r="F979" t="s">
        <v>244</v>
      </c>
      <c r="G979" s="39">
        <v>42412</v>
      </c>
      <c r="J979" t="s">
        <v>981</v>
      </c>
    </row>
    <row r="980" spans="1:10" x14ac:dyDescent="0.35">
      <c r="A980">
        <v>16121</v>
      </c>
      <c r="B980" t="s">
        <v>7</v>
      </c>
      <c r="C980" t="s">
        <v>161</v>
      </c>
      <c r="D980" t="s">
        <v>92</v>
      </c>
      <c r="E980" t="s">
        <v>102</v>
      </c>
      <c r="F980" t="s">
        <v>244</v>
      </c>
      <c r="G980" s="39">
        <v>45287</v>
      </c>
      <c r="J980" t="s">
        <v>981</v>
      </c>
    </row>
    <row r="981" spans="1:10" x14ac:dyDescent="0.35">
      <c r="A981">
        <v>16226</v>
      </c>
      <c r="B981" t="s">
        <v>7</v>
      </c>
      <c r="C981" t="s">
        <v>161</v>
      </c>
      <c r="D981" t="s">
        <v>92</v>
      </c>
      <c r="E981" t="s">
        <v>103</v>
      </c>
      <c r="F981" t="s">
        <v>244</v>
      </c>
      <c r="G981" s="39">
        <v>45327</v>
      </c>
      <c r="J981" t="s">
        <v>981</v>
      </c>
    </row>
    <row r="982" spans="1:10" x14ac:dyDescent="0.35">
      <c r="A982">
        <v>11318</v>
      </c>
      <c r="B982" t="s">
        <v>7</v>
      </c>
      <c r="C982" t="s">
        <v>161</v>
      </c>
      <c r="D982" t="s">
        <v>92</v>
      </c>
      <c r="E982" t="s">
        <v>103</v>
      </c>
      <c r="F982" t="s">
        <v>244</v>
      </c>
      <c r="G982" s="39">
        <v>42524</v>
      </c>
      <c r="J982" t="s">
        <v>981</v>
      </c>
    </row>
    <row r="983" spans="1:10" x14ac:dyDescent="0.35">
      <c r="A983">
        <v>16227</v>
      </c>
      <c r="B983" t="s">
        <v>36</v>
      </c>
      <c r="C983" t="s">
        <v>489</v>
      </c>
      <c r="D983" t="s">
        <v>92</v>
      </c>
      <c r="E983" t="s">
        <v>103</v>
      </c>
      <c r="F983" t="s">
        <v>244</v>
      </c>
      <c r="G983" s="39">
        <v>45327</v>
      </c>
      <c r="J983" t="s">
        <v>981</v>
      </c>
    </row>
    <row r="984" spans="1:10" x14ac:dyDescent="0.35">
      <c r="A984">
        <v>11260</v>
      </c>
      <c r="B984" t="s">
        <v>46</v>
      </c>
      <c r="C984" t="s">
        <v>526</v>
      </c>
      <c r="D984" t="s">
        <v>92</v>
      </c>
      <c r="E984" t="s">
        <v>102</v>
      </c>
      <c r="F984" t="s">
        <v>244</v>
      </c>
      <c r="G984" s="39">
        <v>42471</v>
      </c>
      <c r="J984" t="s">
        <v>981</v>
      </c>
    </row>
    <row r="985" spans="1:10" x14ac:dyDescent="0.35">
      <c r="A985">
        <v>18087</v>
      </c>
      <c r="B985" t="s">
        <v>51</v>
      </c>
      <c r="C985" t="s">
        <v>162</v>
      </c>
      <c r="D985" t="s">
        <v>92</v>
      </c>
      <c r="E985" t="s">
        <v>428</v>
      </c>
      <c r="F985" t="s">
        <v>244</v>
      </c>
      <c r="G985" s="39">
        <v>45992</v>
      </c>
      <c r="J985" t="s">
        <v>981</v>
      </c>
    </row>
    <row r="986" spans="1:10" x14ac:dyDescent="0.35">
      <c r="A986">
        <v>18755</v>
      </c>
      <c r="B986" t="s">
        <v>51</v>
      </c>
      <c r="C986" t="s">
        <v>162</v>
      </c>
      <c r="D986" t="s">
        <v>92</v>
      </c>
      <c r="E986" t="s">
        <v>428</v>
      </c>
      <c r="F986" t="s">
        <v>244</v>
      </c>
      <c r="G986" s="39">
        <v>46204</v>
      </c>
      <c r="J986" t="s">
        <v>981</v>
      </c>
    </row>
    <row r="987" spans="1:10" x14ac:dyDescent="0.35">
      <c r="A987">
        <v>12810</v>
      </c>
      <c r="B987" t="s">
        <v>51</v>
      </c>
      <c r="C987" t="s">
        <v>162</v>
      </c>
      <c r="D987" t="s">
        <v>92</v>
      </c>
      <c r="E987" t="s">
        <v>428</v>
      </c>
      <c r="F987" t="s">
        <v>244</v>
      </c>
      <c r="G987" s="39">
        <v>43945</v>
      </c>
      <c r="J987" t="s">
        <v>981</v>
      </c>
    </row>
    <row r="988" spans="1:10" x14ac:dyDescent="0.35">
      <c r="A988">
        <v>18764</v>
      </c>
      <c r="B988" t="s">
        <v>51</v>
      </c>
      <c r="C988" t="s">
        <v>162</v>
      </c>
      <c r="D988" t="s">
        <v>92</v>
      </c>
      <c r="E988" t="s">
        <v>428</v>
      </c>
      <c r="F988" t="s">
        <v>244</v>
      </c>
      <c r="G988" s="39">
        <v>46209</v>
      </c>
      <c r="J988" t="s">
        <v>981</v>
      </c>
    </row>
    <row r="989" spans="1:10" x14ac:dyDescent="0.35">
      <c r="A989">
        <v>18708</v>
      </c>
      <c r="B989" t="s">
        <v>51</v>
      </c>
      <c r="C989" t="s">
        <v>162</v>
      </c>
      <c r="D989" t="s">
        <v>92</v>
      </c>
      <c r="E989" t="s">
        <v>428</v>
      </c>
      <c r="F989" t="s">
        <v>244</v>
      </c>
      <c r="G989" s="39">
        <v>46197</v>
      </c>
      <c r="J989" t="s">
        <v>981</v>
      </c>
    </row>
    <row r="990" spans="1:10" x14ac:dyDescent="0.35">
      <c r="A990">
        <v>11306</v>
      </c>
      <c r="B990" t="s">
        <v>36</v>
      </c>
      <c r="C990" t="s">
        <v>528</v>
      </c>
      <c r="D990" t="s">
        <v>92</v>
      </c>
      <c r="E990" t="s">
        <v>101</v>
      </c>
      <c r="F990" t="s">
        <v>244</v>
      </c>
      <c r="G990" s="39">
        <v>42510</v>
      </c>
      <c r="J990" t="s">
        <v>981</v>
      </c>
    </row>
    <row r="991" spans="1:10" x14ac:dyDescent="0.35">
      <c r="A991">
        <v>11475</v>
      </c>
      <c r="B991" t="s">
        <v>36</v>
      </c>
      <c r="C991" t="s">
        <v>528</v>
      </c>
      <c r="D991" t="s">
        <v>92</v>
      </c>
      <c r="E991" t="s">
        <v>99</v>
      </c>
      <c r="F991" t="s">
        <v>244</v>
      </c>
      <c r="G991" s="39">
        <v>42744</v>
      </c>
      <c r="J991" t="s">
        <v>981</v>
      </c>
    </row>
    <row r="992" spans="1:10" x14ac:dyDescent="0.35">
      <c r="A992">
        <v>12616</v>
      </c>
      <c r="B992" t="s">
        <v>52</v>
      </c>
      <c r="C992" t="s">
        <v>162</v>
      </c>
      <c r="D992" t="s">
        <v>92</v>
      </c>
      <c r="E992" t="s">
        <v>428</v>
      </c>
      <c r="F992" t="s">
        <v>244</v>
      </c>
      <c r="G992" s="39">
        <v>43839</v>
      </c>
      <c r="J992" t="s">
        <v>981</v>
      </c>
    </row>
    <row r="993" spans="1:10" x14ac:dyDescent="0.35">
      <c r="A993">
        <v>18804</v>
      </c>
      <c r="B993" t="s">
        <v>52</v>
      </c>
      <c r="C993" t="s">
        <v>162</v>
      </c>
      <c r="D993" t="s">
        <v>92</v>
      </c>
      <c r="E993" t="s">
        <v>428</v>
      </c>
      <c r="F993" t="s">
        <v>244</v>
      </c>
      <c r="G993" s="39">
        <v>46218</v>
      </c>
      <c r="J993" t="s">
        <v>981</v>
      </c>
    </row>
    <row r="994" spans="1:10" x14ac:dyDescent="0.35">
      <c r="A994">
        <v>11472</v>
      </c>
      <c r="B994" t="s">
        <v>36</v>
      </c>
      <c r="C994" t="s">
        <v>528</v>
      </c>
      <c r="D994" t="s">
        <v>92</v>
      </c>
      <c r="E994" t="s">
        <v>109</v>
      </c>
      <c r="F994" t="s">
        <v>244</v>
      </c>
      <c r="G994" s="39">
        <v>42741</v>
      </c>
      <c r="J994" t="s">
        <v>981</v>
      </c>
    </row>
    <row r="995" spans="1:10" x14ac:dyDescent="0.35">
      <c r="A995">
        <v>12021</v>
      </c>
      <c r="B995" t="s">
        <v>36</v>
      </c>
      <c r="C995" t="s">
        <v>528</v>
      </c>
      <c r="D995" t="s">
        <v>92</v>
      </c>
      <c r="E995" t="s">
        <v>102</v>
      </c>
      <c r="F995" t="s">
        <v>244</v>
      </c>
      <c r="G995" s="39">
        <v>43391</v>
      </c>
      <c r="J995" t="s">
        <v>981</v>
      </c>
    </row>
    <row r="996" spans="1:10" x14ac:dyDescent="0.35">
      <c r="A996">
        <v>300118</v>
      </c>
      <c r="B996" t="s">
        <v>36</v>
      </c>
      <c r="C996" t="s">
        <v>528</v>
      </c>
      <c r="D996" t="s">
        <v>92</v>
      </c>
      <c r="E996" t="s">
        <v>102</v>
      </c>
      <c r="F996" t="s">
        <v>244</v>
      </c>
      <c r="G996" s="39">
        <v>43124</v>
      </c>
      <c r="J996" t="s">
        <v>981</v>
      </c>
    </row>
    <row r="997" spans="1:10" x14ac:dyDescent="0.35">
      <c r="A997">
        <v>13503</v>
      </c>
      <c r="B997" t="s">
        <v>36</v>
      </c>
      <c r="C997" t="s">
        <v>528</v>
      </c>
      <c r="D997" t="s">
        <v>92</v>
      </c>
      <c r="E997" t="s">
        <v>102</v>
      </c>
      <c r="F997" t="s">
        <v>244</v>
      </c>
      <c r="G997" s="39">
        <v>44477</v>
      </c>
      <c r="J997" t="s">
        <v>981</v>
      </c>
    </row>
    <row r="998" spans="1:10" x14ac:dyDescent="0.35">
      <c r="A998">
        <v>13474</v>
      </c>
      <c r="B998" t="s">
        <v>36</v>
      </c>
      <c r="C998" t="s">
        <v>528</v>
      </c>
      <c r="D998" t="s">
        <v>92</v>
      </c>
      <c r="E998" t="s">
        <v>103</v>
      </c>
      <c r="F998" t="s">
        <v>411</v>
      </c>
      <c r="G998" s="39">
        <v>44474</v>
      </c>
      <c r="J998" t="s">
        <v>981</v>
      </c>
    </row>
    <row r="999" spans="1:10" x14ac:dyDescent="0.35">
      <c r="A999">
        <v>16463</v>
      </c>
      <c r="B999" t="s">
        <v>36</v>
      </c>
      <c r="C999" t="s">
        <v>528</v>
      </c>
      <c r="D999" t="s">
        <v>92</v>
      </c>
      <c r="E999" t="s">
        <v>103</v>
      </c>
      <c r="F999" t="s">
        <v>244</v>
      </c>
      <c r="G999" s="39">
        <v>45414</v>
      </c>
      <c r="J999" t="s">
        <v>981</v>
      </c>
    </row>
    <row r="1000" spans="1:10" x14ac:dyDescent="0.35">
      <c r="A1000">
        <v>15291</v>
      </c>
      <c r="B1000" t="s">
        <v>36</v>
      </c>
      <c r="C1000" t="s">
        <v>528</v>
      </c>
      <c r="D1000" t="s">
        <v>92</v>
      </c>
      <c r="E1000" t="s">
        <v>103</v>
      </c>
      <c r="F1000" t="s">
        <v>411</v>
      </c>
      <c r="G1000" s="39">
        <v>45012</v>
      </c>
      <c r="J1000" t="s">
        <v>981</v>
      </c>
    </row>
    <row r="1001" spans="1:10" x14ac:dyDescent="0.35">
      <c r="A1001">
        <v>15997</v>
      </c>
      <c r="B1001" t="s">
        <v>36</v>
      </c>
      <c r="C1001" t="s">
        <v>528</v>
      </c>
      <c r="D1001" t="s">
        <v>92</v>
      </c>
      <c r="E1001" t="s">
        <v>103</v>
      </c>
      <c r="F1001" t="s">
        <v>244</v>
      </c>
      <c r="G1001" s="39">
        <v>45257</v>
      </c>
      <c r="J1001" t="s">
        <v>981</v>
      </c>
    </row>
    <row r="1002" spans="1:10" x14ac:dyDescent="0.35">
      <c r="A1002">
        <v>15528</v>
      </c>
      <c r="B1002" t="s">
        <v>36</v>
      </c>
      <c r="C1002" t="s">
        <v>528</v>
      </c>
      <c r="D1002" t="s">
        <v>92</v>
      </c>
      <c r="E1002" t="s">
        <v>103</v>
      </c>
      <c r="F1002" t="s">
        <v>244</v>
      </c>
      <c r="G1002" s="39">
        <v>45101</v>
      </c>
      <c r="J1002" t="s">
        <v>981</v>
      </c>
    </row>
    <row r="1003" spans="1:10" x14ac:dyDescent="0.35">
      <c r="A1003">
        <v>16669</v>
      </c>
      <c r="B1003" t="s">
        <v>36</v>
      </c>
      <c r="C1003" t="s">
        <v>528</v>
      </c>
      <c r="D1003" t="s">
        <v>92</v>
      </c>
      <c r="E1003" t="s">
        <v>103</v>
      </c>
      <c r="F1003" t="s">
        <v>244</v>
      </c>
      <c r="G1003" s="39">
        <v>45516</v>
      </c>
      <c r="J1003" t="s">
        <v>981</v>
      </c>
    </row>
    <row r="1004" spans="1:10" x14ac:dyDescent="0.35">
      <c r="A1004">
        <v>20034</v>
      </c>
      <c r="B1004" t="s">
        <v>46</v>
      </c>
      <c r="C1004" t="s">
        <v>529</v>
      </c>
      <c r="D1004" t="s">
        <v>92</v>
      </c>
      <c r="E1004" t="s">
        <v>101</v>
      </c>
      <c r="F1004" t="s">
        <v>244</v>
      </c>
      <c r="G1004" s="39">
        <v>42405</v>
      </c>
      <c r="J1004" t="s">
        <v>981</v>
      </c>
    </row>
    <row r="1005" spans="1:10" x14ac:dyDescent="0.35">
      <c r="A1005">
        <v>300145</v>
      </c>
      <c r="B1005" t="s">
        <v>46</v>
      </c>
      <c r="C1005" t="s">
        <v>529</v>
      </c>
      <c r="D1005" t="s">
        <v>92</v>
      </c>
      <c r="E1005" t="s">
        <v>99</v>
      </c>
      <c r="F1005" t="s">
        <v>411</v>
      </c>
      <c r="G1005" s="39">
        <v>43374</v>
      </c>
      <c r="J1005" t="s">
        <v>981</v>
      </c>
    </row>
    <row r="1006" spans="1:10" x14ac:dyDescent="0.35">
      <c r="A1006">
        <v>580016</v>
      </c>
      <c r="B1006" t="s">
        <v>46</v>
      </c>
      <c r="C1006" t="s">
        <v>529</v>
      </c>
      <c r="D1006" t="s">
        <v>92</v>
      </c>
      <c r="E1006" t="s">
        <v>109</v>
      </c>
      <c r="F1006" t="s">
        <v>244</v>
      </c>
      <c r="G1006" s="39">
        <v>42745</v>
      </c>
      <c r="J1006" t="s">
        <v>981</v>
      </c>
    </row>
    <row r="1007" spans="1:10" x14ac:dyDescent="0.35">
      <c r="A1007">
        <v>150026</v>
      </c>
      <c r="B1007" t="s">
        <v>46</v>
      </c>
      <c r="C1007" t="s">
        <v>529</v>
      </c>
      <c r="D1007" t="s">
        <v>92</v>
      </c>
      <c r="E1007" t="s">
        <v>102</v>
      </c>
      <c r="F1007" t="s">
        <v>411</v>
      </c>
      <c r="G1007" s="39">
        <v>42186</v>
      </c>
      <c r="J1007" t="s">
        <v>981</v>
      </c>
    </row>
    <row r="1008" spans="1:10" x14ac:dyDescent="0.35">
      <c r="A1008">
        <v>450004</v>
      </c>
      <c r="B1008" t="s">
        <v>46</v>
      </c>
      <c r="C1008" t="s">
        <v>529</v>
      </c>
      <c r="D1008" t="s">
        <v>92</v>
      </c>
      <c r="E1008" t="s">
        <v>109</v>
      </c>
      <c r="F1008" t="s">
        <v>244</v>
      </c>
      <c r="G1008" s="39">
        <v>40023</v>
      </c>
      <c r="J1008" t="s">
        <v>981</v>
      </c>
    </row>
    <row r="1009" spans="1:10" x14ac:dyDescent="0.35">
      <c r="A1009">
        <v>550038</v>
      </c>
      <c r="B1009" t="s">
        <v>36</v>
      </c>
      <c r="C1009" t="s">
        <v>489</v>
      </c>
      <c r="D1009" t="s">
        <v>92</v>
      </c>
      <c r="E1009" t="s">
        <v>109</v>
      </c>
      <c r="F1009" t="s">
        <v>244</v>
      </c>
      <c r="G1009" s="39">
        <v>43623</v>
      </c>
      <c r="J1009" t="s">
        <v>981</v>
      </c>
    </row>
    <row r="1010" spans="1:10" x14ac:dyDescent="0.35">
      <c r="A1010">
        <v>800033</v>
      </c>
      <c r="B1010" t="s">
        <v>46</v>
      </c>
      <c r="C1010" t="s">
        <v>529</v>
      </c>
      <c r="D1010" t="s">
        <v>92</v>
      </c>
      <c r="E1010" t="s">
        <v>102</v>
      </c>
      <c r="F1010" t="s">
        <v>244</v>
      </c>
      <c r="G1010" s="39">
        <v>42678</v>
      </c>
      <c r="J1010" t="s">
        <v>981</v>
      </c>
    </row>
    <row r="1011" spans="1:10" x14ac:dyDescent="0.35">
      <c r="A1011">
        <v>410049</v>
      </c>
      <c r="B1011" t="s">
        <v>46</v>
      </c>
      <c r="C1011" t="s">
        <v>529</v>
      </c>
      <c r="D1011" t="s">
        <v>92</v>
      </c>
      <c r="E1011" t="s">
        <v>102</v>
      </c>
      <c r="F1011" t="s">
        <v>244</v>
      </c>
      <c r="G1011" s="39">
        <v>42811</v>
      </c>
      <c r="J1011" t="s">
        <v>981</v>
      </c>
    </row>
    <row r="1012" spans="1:10" x14ac:dyDescent="0.35">
      <c r="A1012">
        <v>12132</v>
      </c>
      <c r="B1012" t="s">
        <v>46</v>
      </c>
      <c r="C1012" t="s">
        <v>529</v>
      </c>
      <c r="D1012" t="s">
        <v>92</v>
      </c>
      <c r="E1012" t="s">
        <v>109</v>
      </c>
      <c r="F1012" t="s">
        <v>244</v>
      </c>
      <c r="G1012" s="39">
        <v>43508</v>
      </c>
      <c r="J1012" t="s">
        <v>981</v>
      </c>
    </row>
    <row r="1013" spans="1:10" x14ac:dyDescent="0.35">
      <c r="A1013">
        <v>13298</v>
      </c>
      <c r="B1013" t="s">
        <v>46</v>
      </c>
      <c r="C1013" t="s">
        <v>529</v>
      </c>
      <c r="D1013" t="s">
        <v>92</v>
      </c>
      <c r="E1013" t="s">
        <v>102</v>
      </c>
      <c r="F1013" t="s">
        <v>244</v>
      </c>
      <c r="G1013" s="39">
        <v>44378</v>
      </c>
      <c r="J1013" t="s">
        <v>981</v>
      </c>
    </row>
    <row r="1014" spans="1:10" x14ac:dyDescent="0.35">
      <c r="A1014">
        <v>400050</v>
      </c>
      <c r="B1014" t="s">
        <v>36</v>
      </c>
      <c r="C1014" t="s">
        <v>489</v>
      </c>
      <c r="D1014" t="s">
        <v>92</v>
      </c>
      <c r="E1014" t="s">
        <v>102</v>
      </c>
      <c r="F1014" t="s">
        <v>244</v>
      </c>
      <c r="G1014" s="39">
        <v>43607</v>
      </c>
      <c r="J1014" t="s">
        <v>981</v>
      </c>
    </row>
    <row r="1015" spans="1:10" x14ac:dyDescent="0.35">
      <c r="A1015">
        <v>15727</v>
      </c>
      <c r="B1015" t="s">
        <v>46</v>
      </c>
      <c r="C1015" t="s">
        <v>529</v>
      </c>
      <c r="D1015" t="s">
        <v>92</v>
      </c>
      <c r="E1015" t="s">
        <v>103</v>
      </c>
      <c r="F1015" t="s">
        <v>244</v>
      </c>
      <c r="G1015" s="39">
        <v>45177</v>
      </c>
      <c r="J1015" t="s">
        <v>981</v>
      </c>
    </row>
    <row r="1016" spans="1:10" x14ac:dyDescent="0.35">
      <c r="A1016">
        <v>730056</v>
      </c>
      <c r="B1016" t="s">
        <v>46</v>
      </c>
      <c r="C1016" t="s">
        <v>529</v>
      </c>
      <c r="D1016" t="s">
        <v>92</v>
      </c>
      <c r="E1016" t="s">
        <v>102</v>
      </c>
      <c r="F1016" t="s">
        <v>244</v>
      </c>
      <c r="G1016" s="39">
        <v>44600</v>
      </c>
      <c r="J1016" t="s">
        <v>981</v>
      </c>
    </row>
    <row r="1017" spans="1:10" x14ac:dyDescent="0.35">
      <c r="A1017">
        <v>660051</v>
      </c>
      <c r="B1017" t="s">
        <v>46</v>
      </c>
      <c r="C1017" t="s">
        <v>529</v>
      </c>
      <c r="D1017" t="s">
        <v>92</v>
      </c>
      <c r="E1017" t="s">
        <v>102</v>
      </c>
      <c r="F1017" t="s">
        <v>244</v>
      </c>
      <c r="G1017" s="39">
        <v>44609</v>
      </c>
      <c r="J1017" t="s">
        <v>981</v>
      </c>
    </row>
    <row r="1018" spans="1:10" x14ac:dyDescent="0.35">
      <c r="A1018">
        <v>14253</v>
      </c>
      <c r="B1018" t="s">
        <v>46</v>
      </c>
      <c r="C1018" t="s">
        <v>529</v>
      </c>
      <c r="D1018" t="s">
        <v>92</v>
      </c>
      <c r="E1018" t="s">
        <v>102</v>
      </c>
      <c r="F1018" t="s">
        <v>244</v>
      </c>
      <c r="G1018" s="39">
        <v>44705</v>
      </c>
      <c r="J1018" t="s">
        <v>981</v>
      </c>
    </row>
    <row r="1019" spans="1:10" x14ac:dyDescent="0.35">
      <c r="A1019">
        <v>15546</v>
      </c>
      <c r="B1019" t="s">
        <v>36</v>
      </c>
      <c r="C1019" t="s">
        <v>489</v>
      </c>
      <c r="D1019" t="s">
        <v>92</v>
      </c>
      <c r="E1019" t="s">
        <v>103</v>
      </c>
      <c r="F1019" t="s">
        <v>244</v>
      </c>
      <c r="G1019" s="39">
        <v>45121</v>
      </c>
      <c r="J1019" t="s">
        <v>981</v>
      </c>
    </row>
    <row r="1020" spans="1:10" x14ac:dyDescent="0.35">
      <c r="A1020">
        <v>12765</v>
      </c>
      <c r="B1020" t="s">
        <v>7</v>
      </c>
      <c r="C1020" t="s">
        <v>161</v>
      </c>
      <c r="D1020" t="s">
        <v>92</v>
      </c>
      <c r="E1020" t="s">
        <v>102</v>
      </c>
      <c r="F1020" t="s">
        <v>244</v>
      </c>
      <c r="G1020" s="39">
        <v>43902</v>
      </c>
      <c r="J1020" t="s">
        <v>981</v>
      </c>
    </row>
    <row r="1021" spans="1:10" x14ac:dyDescent="0.35">
      <c r="A1021">
        <v>16494</v>
      </c>
      <c r="B1021" t="s">
        <v>46</v>
      </c>
      <c r="C1021" t="s">
        <v>529</v>
      </c>
      <c r="D1021" t="s">
        <v>92</v>
      </c>
      <c r="E1021" t="s">
        <v>102</v>
      </c>
      <c r="F1021" t="s">
        <v>244</v>
      </c>
      <c r="G1021" s="39">
        <v>45439</v>
      </c>
      <c r="J1021" t="s">
        <v>981</v>
      </c>
    </row>
    <row r="1022" spans="1:10" x14ac:dyDescent="0.35">
      <c r="A1022">
        <v>11556</v>
      </c>
      <c r="B1022" t="s">
        <v>36</v>
      </c>
      <c r="C1022" t="s">
        <v>489</v>
      </c>
      <c r="D1022" t="s">
        <v>92</v>
      </c>
      <c r="E1022" t="s">
        <v>99</v>
      </c>
      <c r="F1022" t="s">
        <v>244</v>
      </c>
      <c r="G1022" s="39">
        <v>42832</v>
      </c>
      <c r="J1022" t="s">
        <v>981</v>
      </c>
    </row>
    <row r="1023" spans="1:10" x14ac:dyDescent="0.35">
      <c r="A1023">
        <v>10178</v>
      </c>
      <c r="B1023" t="s">
        <v>36</v>
      </c>
      <c r="C1023" t="s">
        <v>489</v>
      </c>
      <c r="D1023" t="s">
        <v>92</v>
      </c>
      <c r="E1023" t="s">
        <v>99</v>
      </c>
      <c r="F1023" t="s">
        <v>244</v>
      </c>
      <c r="G1023" s="39">
        <v>36713</v>
      </c>
      <c r="J1023" t="s">
        <v>981</v>
      </c>
    </row>
    <row r="1024" spans="1:10" x14ac:dyDescent="0.35">
      <c r="A1024">
        <v>700016</v>
      </c>
      <c r="B1024" t="s">
        <v>36</v>
      </c>
      <c r="C1024" t="s">
        <v>489</v>
      </c>
      <c r="D1024" t="s">
        <v>92</v>
      </c>
      <c r="E1024" t="s">
        <v>99</v>
      </c>
      <c r="F1024" t="s">
        <v>244</v>
      </c>
      <c r="G1024" s="39">
        <v>36687</v>
      </c>
      <c r="J1024" t="s">
        <v>981</v>
      </c>
    </row>
    <row r="1025" spans="1:10" x14ac:dyDescent="0.35">
      <c r="A1025">
        <v>600041</v>
      </c>
      <c r="B1025" t="s">
        <v>36</v>
      </c>
      <c r="C1025" t="s">
        <v>489</v>
      </c>
      <c r="D1025" t="s">
        <v>92</v>
      </c>
      <c r="E1025" t="s">
        <v>99</v>
      </c>
      <c r="F1025" t="s">
        <v>244</v>
      </c>
      <c r="G1025" s="39">
        <v>43328</v>
      </c>
      <c r="J1025" t="s">
        <v>981</v>
      </c>
    </row>
    <row r="1026" spans="1:10" x14ac:dyDescent="0.35">
      <c r="A1026">
        <v>700055</v>
      </c>
      <c r="B1026" t="s">
        <v>36</v>
      </c>
      <c r="C1026" t="s">
        <v>528</v>
      </c>
      <c r="D1026" t="s">
        <v>92</v>
      </c>
      <c r="E1026" t="s">
        <v>99</v>
      </c>
      <c r="F1026" t="s">
        <v>244</v>
      </c>
      <c r="G1026" s="39">
        <v>43028</v>
      </c>
      <c r="J1026" t="s">
        <v>981</v>
      </c>
    </row>
    <row r="1027" spans="1:10" x14ac:dyDescent="0.35">
      <c r="A1027">
        <v>600020</v>
      </c>
      <c r="B1027" t="s">
        <v>36</v>
      </c>
      <c r="C1027" t="s">
        <v>489</v>
      </c>
      <c r="D1027" t="s">
        <v>92</v>
      </c>
      <c r="E1027" t="s">
        <v>99</v>
      </c>
      <c r="F1027" t="s">
        <v>244</v>
      </c>
      <c r="G1027" s="39">
        <v>40046</v>
      </c>
      <c r="J1027" t="s">
        <v>981</v>
      </c>
    </row>
    <row r="1028" spans="1:10" x14ac:dyDescent="0.35">
      <c r="A1028">
        <v>12558</v>
      </c>
      <c r="B1028" t="s">
        <v>36</v>
      </c>
      <c r="C1028" t="s">
        <v>524</v>
      </c>
      <c r="D1028" t="s">
        <v>92</v>
      </c>
      <c r="E1028" t="s">
        <v>99</v>
      </c>
      <c r="F1028" t="s">
        <v>244</v>
      </c>
      <c r="G1028" s="39">
        <v>43815</v>
      </c>
      <c r="J1028" t="s">
        <v>981</v>
      </c>
    </row>
    <row r="1029" spans="1:10" x14ac:dyDescent="0.35">
      <c r="A1029">
        <v>10298</v>
      </c>
      <c r="B1029" t="s">
        <v>36</v>
      </c>
      <c r="C1029" t="s">
        <v>489</v>
      </c>
      <c r="D1029" t="s">
        <v>92</v>
      </c>
      <c r="E1029" t="s">
        <v>109</v>
      </c>
      <c r="F1029" t="s">
        <v>244</v>
      </c>
      <c r="G1029" s="39">
        <v>39559</v>
      </c>
      <c r="J1029" t="s">
        <v>981</v>
      </c>
    </row>
    <row r="1030" spans="1:10" x14ac:dyDescent="0.35">
      <c r="A1030">
        <v>13381</v>
      </c>
      <c r="B1030" t="s">
        <v>36</v>
      </c>
      <c r="C1030" t="s">
        <v>489</v>
      </c>
      <c r="D1030" t="s">
        <v>92</v>
      </c>
      <c r="E1030" t="s">
        <v>109</v>
      </c>
      <c r="F1030" t="s">
        <v>244</v>
      </c>
      <c r="G1030" s="39">
        <v>44414</v>
      </c>
      <c r="J1030" t="s">
        <v>981</v>
      </c>
    </row>
    <row r="1031" spans="1:10" x14ac:dyDescent="0.35">
      <c r="A1031">
        <v>300018</v>
      </c>
      <c r="B1031" t="s">
        <v>36</v>
      </c>
      <c r="C1031" t="s">
        <v>528</v>
      </c>
      <c r="D1031" t="s">
        <v>92</v>
      </c>
      <c r="E1031" t="s">
        <v>102</v>
      </c>
      <c r="F1031" t="s">
        <v>244</v>
      </c>
      <c r="G1031" s="39">
        <v>36697</v>
      </c>
      <c r="J1031" t="s">
        <v>981</v>
      </c>
    </row>
    <row r="1032" spans="1:10" x14ac:dyDescent="0.35">
      <c r="A1032">
        <v>10181</v>
      </c>
      <c r="B1032" t="s">
        <v>36</v>
      </c>
      <c r="C1032" t="s">
        <v>489</v>
      </c>
      <c r="D1032" t="s">
        <v>92</v>
      </c>
      <c r="E1032" t="s">
        <v>102</v>
      </c>
      <c r="F1032" t="s">
        <v>244</v>
      </c>
      <c r="G1032" s="39">
        <v>36931</v>
      </c>
      <c r="J1032" t="s">
        <v>981</v>
      </c>
    </row>
    <row r="1033" spans="1:10" x14ac:dyDescent="0.35">
      <c r="A1033">
        <v>10179</v>
      </c>
      <c r="B1033" t="s">
        <v>36</v>
      </c>
      <c r="C1033" t="s">
        <v>489</v>
      </c>
      <c r="D1033" t="s">
        <v>92</v>
      </c>
      <c r="E1033" t="s">
        <v>102</v>
      </c>
      <c r="F1033" t="s">
        <v>244</v>
      </c>
      <c r="G1033" s="39">
        <v>36679</v>
      </c>
      <c r="J1033" t="s">
        <v>981</v>
      </c>
    </row>
    <row r="1034" spans="1:10" x14ac:dyDescent="0.35">
      <c r="A1034">
        <v>300130</v>
      </c>
      <c r="B1034" t="s">
        <v>36</v>
      </c>
      <c r="C1034" t="s">
        <v>524</v>
      </c>
      <c r="D1034" t="s">
        <v>92</v>
      </c>
      <c r="E1034" t="s">
        <v>102</v>
      </c>
      <c r="F1034" t="s">
        <v>244</v>
      </c>
      <c r="G1034" s="39">
        <v>43234</v>
      </c>
      <c r="J1034" t="s">
        <v>981</v>
      </c>
    </row>
    <row r="1035" spans="1:10" x14ac:dyDescent="0.35">
      <c r="A1035">
        <v>700063</v>
      </c>
      <c r="B1035" t="s">
        <v>36</v>
      </c>
      <c r="C1035" t="s">
        <v>489</v>
      </c>
      <c r="D1035" t="s">
        <v>92</v>
      </c>
      <c r="E1035" t="s">
        <v>102</v>
      </c>
      <c r="F1035" t="s">
        <v>244</v>
      </c>
      <c r="G1035" s="39">
        <v>43808</v>
      </c>
      <c r="J1035" t="s">
        <v>981</v>
      </c>
    </row>
    <row r="1036" spans="1:10" x14ac:dyDescent="0.35">
      <c r="A1036">
        <v>400033</v>
      </c>
      <c r="B1036" t="s">
        <v>36</v>
      </c>
      <c r="C1036" t="s">
        <v>524</v>
      </c>
      <c r="D1036" t="s">
        <v>92</v>
      </c>
      <c r="E1036" t="s">
        <v>109</v>
      </c>
      <c r="F1036" t="s">
        <v>244</v>
      </c>
      <c r="G1036" s="39">
        <v>42009</v>
      </c>
      <c r="J1036" t="s">
        <v>981</v>
      </c>
    </row>
    <row r="1037" spans="1:10" x14ac:dyDescent="0.35">
      <c r="A1037">
        <v>13673</v>
      </c>
      <c r="B1037" t="s">
        <v>36</v>
      </c>
      <c r="C1037" t="s">
        <v>528</v>
      </c>
      <c r="D1037" t="s">
        <v>92</v>
      </c>
      <c r="E1037" t="s">
        <v>109</v>
      </c>
      <c r="F1037" t="s">
        <v>244</v>
      </c>
      <c r="G1037" s="39">
        <v>44537</v>
      </c>
      <c r="J1037" t="s">
        <v>981</v>
      </c>
    </row>
    <row r="1038" spans="1:10" x14ac:dyDescent="0.35">
      <c r="A1038">
        <v>127006</v>
      </c>
      <c r="B1038" t="s">
        <v>36</v>
      </c>
      <c r="C1038" t="s">
        <v>524</v>
      </c>
      <c r="D1038" t="s">
        <v>92</v>
      </c>
      <c r="E1038" t="s">
        <v>102</v>
      </c>
      <c r="F1038" t="s">
        <v>244</v>
      </c>
      <c r="G1038" s="39">
        <v>44425</v>
      </c>
      <c r="J1038" t="s">
        <v>981</v>
      </c>
    </row>
    <row r="1039" spans="1:10" x14ac:dyDescent="0.35">
      <c r="A1039">
        <v>120047</v>
      </c>
      <c r="B1039" t="s">
        <v>36</v>
      </c>
      <c r="C1039" t="s">
        <v>489</v>
      </c>
      <c r="D1039" t="s">
        <v>92</v>
      </c>
      <c r="E1039" t="s">
        <v>103</v>
      </c>
      <c r="F1039" t="s">
        <v>411</v>
      </c>
      <c r="G1039" s="39">
        <v>43542</v>
      </c>
      <c r="J1039" t="s">
        <v>981</v>
      </c>
    </row>
    <row r="1040" spans="1:10" x14ac:dyDescent="0.35">
      <c r="A1040">
        <v>16649</v>
      </c>
      <c r="B1040" t="s">
        <v>36</v>
      </c>
      <c r="C1040" t="s">
        <v>524</v>
      </c>
      <c r="D1040" t="s">
        <v>92</v>
      </c>
      <c r="E1040" t="s">
        <v>103</v>
      </c>
      <c r="F1040" t="s">
        <v>244</v>
      </c>
      <c r="G1040" s="39">
        <v>45510</v>
      </c>
      <c r="J1040" t="s">
        <v>981</v>
      </c>
    </row>
    <row r="1041" spans="1:10" x14ac:dyDescent="0.35">
      <c r="A1041">
        <v>18232</v>
      </c>
      <c r="B1041" t="s">
        <v>36</v>
      </c>
      <c r="C1041" t="s">
        <v>528</v>
      </c>
      <c r="D1041" t="s">
        <v>92</v>
      </c>
      <c r="E1041" t="s">
        <v>106</v>
      </c>
      <c r="F1041" t="s">
        <v>244</v>
      </c>
      <c r="G1041" s="39">
        <v>46066</v>
      </c>
      <c r="J1041" t="s">
        <v>981</v>
      </c>
    </row>
    <row r="1042" spans="1:10" x14ac:dyDescent="0.35">
      <c r="A1042">
        <v>300245</v>
      </c>
      <c r="B1042" t="s">
        <v>36</v>
      </c>
      <c r="C1042" t="s">
        <v>528</v>
      </c>
      <c r="D1042" t="s">
        <v>92</v>
      </c>
      <c r="E1042" t="s">
        <v>102</v>
      </c>
      <c r="F1042" t="s">
        <v>244</v>
      </c>
      <c r="G1042" s="39">
        <v>44551</v>
      </c>
      <c r="J1042" t="s">
        <v>981</v>
      </c>
    </row>
    <row r="1043" spans="1:10" x14ac:dyDescent="0.35">
      <c r="A1043">
        <v>13709</v>
      </c>
      <c r="B1043" t="s">
        <v>36</v>
      </c>
      <c r="C1043" t="s">
        <v>524</v>
      </c>
      <c r="D1043" t="s">
        <v>92</v>
      </c>
      <c r="E1043" t="s">
        <v>102</v>
      </c>
      <c r="F1043" t="s">
        <v>244</v>
      </c>
      <c r="G1043" s="39">
        <v>44539</v>
      </c>
      <c r="J1043" t="s">
        <v>981</v>
      </c>
    </row>
    <row r="1044" spans="1:10" x14ac:dyDescent="0.35">
      <c r="A1044">
        <v>13591</v>
      </c>
      <c r="B1044" t="s">
        <v>36</v>
      </c>
      <c r="C1044" t="s">
        <v>528</v>
      </c>
      <c r="D1044" t="s">
        <v>92</v>
      </c>
      <c r="E1044" t="s">
        <v>103</v>
      </c>
      <c r="F1044" t="s">
        <v>244</v>
      </c>
      <c r="G1044" s="39">
        <v>44503</v>
      </c>
      <c r="J1044" t="s">
        <v>981</v>
      </c>
    </row>
    <row r="1045" spans="1:10" x14ac:dyDescent="0.35">
      <c r="A1045">
        <v>204007</v>
      </c>
      <c r="B1045" t="s">
        <v>36</v>
      </c>
      <c r="C1045" t="s">
        <v>489</v>
      </c>
      <c r="D1045" t="s">
        <v>92</v>
      </c>
      <c r="E1045" t="s">
        <v>102</v>
      </c>
      <c r="F1045" t="s">
        <v>244</v>
      </c>
      <c r="G1045" s="39">
        <v>44155</v>
      </c>
      <c r="J1045" t="s">
        <v>981</v>
      </c>
    </row>
    <row r="1046" spans="1:10" x14ac:dyDescent="0.35">
      <c r="A1046">
        <v>160006</v>
      </c>
      <c r="B1046" t="s">
        <v>36</v>
      </c>
      <c r="C1046" t="s">
        <v>489</v>
      </c>
      <c r="D1046" t="s">
        <v>92</v>
      </c>
      <c r="E1046" t="s">
        <v>103</v>
      </c>
      <c r="F1046" t="s">
        <v>244</v>
      </c>
      <c r="G1046" s="39">
        <v>37152</v>
      </c>
      <c r="J1046" t="s">
        <v>981</v>
      </c>
    </row>
    <row r="1047" spans="1:10" x14ac:dyDescent="0.35">
      <c r="A1047">
        <v>16470</v>
      </c>
      <c r="B1047" t="s">
        <v>36</v>
      </c>
      <c r="C1047" t="s">
        <v>528</v>
      </c>
      <c r="D1047" t="s">
        <v>92</v>
      </c>
      <c r="E1047" t="s">
        <v>103</v>
      </c>
      <c r="F1047" t="s">
        <v>244</v>
      </c>
      <c r="G1047" s="39">
        <v>45439</v>
      </c>
      <c r="J1047" t="s">
        <v>981</v>
      </c>
    </row>
    <row r="1048" spans="1:10" x14ac:dyDescent="0.35">
      <c r="A1048">
        <v>18296</v>
      </c>
      <c r="B1048" t="s">
        <v>36</v>
      </c>
      <c r="C1048" t="s">
        <v>528</v>
      </c>
      <c r="D1048" t="s">
        <v>92</v>
      </c>
      <c r="E1048" t="s">
        <v>106</v>
      </c>
      <c r="F1048" t="s">
        <v>244</v>
      </c>
      <c r="G1048" s="39">
        <v>46083</v>
      </c>
      <c r="J1048" t="s">
        <v>981</v>
      </c>
    </row>
    <row r="1049" spans="1:10" x14ac:dyDescent="0.35">
      <c r="A1049">
        <v>11533</v>
      </c>
      <c r="B1049" t="s">
        <v>46</v>
      </c>
      <c r="C1049" t="s">
        <v>92</v>
      </c>
      <c r="D1049" t="s">
        <v>92</v>
      </c>
      <c r="E1049" t="s">
        <v>110</v>
      </c>
      <c r="F1049" t="s">
        <v>244</v>
      </c>
      <c r="G1049" s="39">
        <v>42807</v>
      </c>
      <c r="J1049" t="s">
        <v>981</v>
      </c>
    </row>
    <row r="1050" spans="1:10" x14ac:dyDescent="0.35">
      <c r="A1050">
        <v>17020</v>
      </c>
      <c r="B1050" t="s">
        <v>46</v>
      </c>
      <c r="C1050" t="s">
        <v>92</v>
      </c>
      <c r="D1050" t="s">
        <v>92</v>
      </c>
      <c r="E1050" t="s">
        <v>100</v>
      </c>
      <c r="F1050" t="s">
        <v>244</v>
      </c>
      <c r="G1050" s="39">
        <v>45610</v>
      </c>
      <c r="J1050" t="s">
        <v>981</v>
      </c>
    </row>
    <row r="1051" spans="1:10" x14ac:dyDescent="0.35">
      <c r="A1051">
        <v>120002</v>
      </c>
      <c r="B1051" t="s">
        <v>46</v>
      </c>
      <c r="C1051" t="s">
        <v>92</v>
      </c>
      <c r="D1051" t="s">
        <v>92</v>
      </c>
      <c r="E1051" t="s">
        <v>100</v>
      </c>
      <c r="F1051" t="s">
        <v>244</v>
      </c>
      <c r="G1051" s="39">
        <v>40134</v>
      </c>
      <c r="J1051" t="s">
        <v>981</v>
      </c>
    </row>
    <row r="1052" spans="1:10" x14ac:dyDescent="0.35">
      <c r="A1052">
        <v>770017</v>
      </c>
      <c r="B1052" t="s">
        <v>46</v>
      </c>
      <c r="C1052" t="s">
        <v>532</v>
      </c>
      <c r="D1052" t="s">
        <v>92</v>
      </c>
      <c r="E1052" t="s">
        <v>101</v>
      </c>
      <c r="F1052" t="s">
        <v>244</v>
      </c>
      <c r="G1052" s="39">
        <v>42354</v>
      </c>
      <c r="J1052" t="s">
        <v>981</v>
      </c>
    </row>
    <row r="1053" spans="1:10" x14ac:dyDescent="0.35">
      <c r="A1053">
        <v>133003</v>
      </c>
      <c r="B1053" t="s">
        <v>46</v>
      </c>
      <c r="C1053" t="s">
        <v>532</v>
      </c>
      <c r="D1053" t="s">
        <v>92</v>
      </c>
      <c r="E1053" t="s">
        <v>99</v>
      </c>
      <c r="F1053" t="s">
        <v>244</v>
      </c>
      <c r="G1053" s="39">
        <v>42501</v>
      </c>
      <c r="J1053" t="s">
        <v>981</v>
      </c>
    </row>
    <row r="1054" spans="1:10" x14ac:dyDescent="0.35">
      <c r="A1054">
        <v>11901</v>
      </c>
      <c r="B1054" t="s">
        <v>46</v>
      </c>
      <c r="C1054" t="s">
        <v>532</v>
      </c>
      <c r="D1054" t="s">
        <v>92</v>
      </c>
      <c r="E1054" t="s">
        <v>99</v>
      </c>
      <c r="F1054" t="s">
        <v>244</v>
      </c>
      <c r="G1054" s="39">
        <v>43249</v>
      </c>
      <c r="J1054" t="s">
        <v>981</v>
      </c>
    </row>
    <row r="1055" spans="1:10" x14ac:dyDescent="0.35">
      <c r="A1055">
        <v>780013</v>
      </c>
      <c r="B1055" t="s">
        <v>46</v>
      </c>
      <c r="C1055" t="s">
        <v>532</v>
      </c>
      <c r="D1055" t="s">
        <v>92</v>
      </c>
      <c r="E1055" t="s">
        <v>99</v>
      </c>
      <c r="F1055" t="s">
        <v>244</v>
      </c>
      <c r="G1055" s="39">
        <v>42342</v>
      </c>
      <c r="J1055" t="s">
        <v>981</v>
      </c>
    </row>
    <row r="1056" spans="1:10" x14ac:dyDescent="0.35">
      <c r="A1056">
        <v>115003</v>
      </c>
      <c r="B1056" t="s">
        <v>46</v>
      </c>
      <c r="C1056" t="s">
        <v>532</v>
      </c>
      <c r="D1056" t="s">
        <v>92</v>
      </c>
      <c r="E1056" t="s">
        <v>99</v>
      </c>
      <c r="F1056" t="s">
        <v>244</v>
      </c>
      <c r="G1056" s="39">
        <v>38593</v>
      </c>
      <c r="J1056" t="s">
        <v>981</v>
      </c>
    </row>
    <row r="1057" spans="1:10" x14ac:dyDescent="0.35">
      <c r="A1057">
        <v>11322</v>
      </c>
      <c r="B1057" t="s">
        <v>46</v>
      </c>
      <c r="C1057" t="s">
        <v>532</v>
      </c>
      <c r="D1057" t="s">
        <v>92</v>
      </c>
      <c r="E1057" t="s">
        <v>99</v>
      </c>
      <c r="F1057" t="s">
        <v>244</v>
      </c>
      <c r="G1057" s="39">
        <v>42528</v>
      </c>
      <c r="J1057" t="s">
        <v>981</v>
      </c>
    </row>
    <row r="1058" spans="1:10" x14ac:dyDescent="0.35">
      <c r="A1058">
        <v>130049</v>
      </c>
      <c r="B1058" t="s">
        <v>46</v>
      </c>
      <c r="C1058" t="s">
        <v>532</v>
      </c>
      <c r="D1058" t="s">
        <v>92</v>
      </c>
      <c r="E1058" t="s">
        <v>99</v>
      </c>
      <c r="F1058" t="s">
        <v>244</v>
      </c>
      <c r="G1058" s="39">
        <v>43020</v>
      </c>
      <c r="J1058" t="s">
        <v>981</v>
      </c>
    </row>
    <row r="1059" spans="1:10" x14ac:dyDescent="0.35">
      <c r="A1059">
        <v>14482</v>
      </c>
      <c r="B1059" t="s">
        <v>46</v>
      </c>
      <c r="C1059" t="s">
        <v>532</v>
      </c>
      <c r="D1059" t="s">
        <v>92</v>
      </c>
      <c r="E1059" t="s">
        <v>99</v>
      </c>
      <c r="F1059" t="s">
        <v>244</v>
      </c>
      <c r="G1059" s="39">
        <v>44774</v>
      </c>
      <c r="J1059" t="s">
        <v>981</v>
      </c>
    </row>
    <row r="1060" spans="1:10" x14ac:dyDescent="0.35">
      <c r="A1060">
        <v>300089</v>
      </c>
      <c r="B1060" t="s">
        <v>46</v>
      </c>
      <c r="C1060" t="s">
        <v>532</v>
      </c>
      <c r="D1060" t="s">
        <v>92</v>
      </c>
      <c r="E1060" t="s">
        <v>109</v>
      </c>
      <c r="F1060" t="s">
        <v>244</v>
      </c>
      <c r="G1060" s="39">
        <v>42900</v>
      </c>
      <c r="J1060" t="s">
        <v>981</v>
      </c>
    </row>
    <row r="1061" spans="1:10" x14ac:dyDescent="0.35">
      <c r="A1061">
        <v>300139</v>
      </c>
      <c r="B1061" t="s">
        <v>46</v>
      </c>
      <c r="C1061" t="s">
        <v>532</v>
      </c>
      <c r="D1061" t="s">
        <v>92</v>
      </c>
      <c r="E1061" t="s">
        <v>109</v>
      </c>
      <c r="F1061" t="s">
        <v>244</v>
      </c>
      <c r="G1061" s="39">
        <v>43325</v>
      </c>
      <c r="J1061" t="s">
        <v>981</v>
      </c>
    </row>
    <row r="1062" spans="1:10" x14ac:dyDescent="0.35">
      <c r="A1062">
        <v>240040</v>
      </c>
      <c r="B1062" t="s">
        <v>46</v>
      </c>
      <c r="C1062" t="s">
        <v>532</v>
      </c>
      <c r="D1062" t="s">
        <v>92</v>
      </c>
      <c r="E1062" t="s">
        <v>109</v>
      </c>
      <c r="F1062" t="s">
        <v>244</v>
      </c>
      <c r="G1062" s="39">
        <v>42933</v>
      </c>
      <c r="J1062" t="s">
        <v>981</v>
      </c>
    </row>
    <row r="1063" spans="1:10" x14ac:dyDescent="0.35">
      <c r="A1063">
        <v>118026</v>
      </c>
      <c r="B1063" t="s">
        <v>46</v>
      </c>
      <c r="C1063" t="s">
        <v>532</v>
      </c>
      <c r="D1063" t="s">
        <v>92</v>
      </c>
      <c r="E1063" t="s">
        <v>109</v>
      </c>
      <c r="F1063" t="s">
        <v>244</v>
      </c>
      <c r="G1063" s="39">
        <v>43080</v>
      </c>
      <c r="J1063" t="s">
        <v>981</v>
      </c>
    </row>
    <row r="1064" spans="1:10" x14ac:dyDescent="0.35">
      <c r="A1064">
        <v>133009</v>
      </c>
      <c r="B1064" t="s">
        <v>46</v>
      </c>
      <c r="C1064" t="s">
        <v>532</v>
      </c>
      <c r="D1064" t="s">
        <v>92</v>
      </c>
      <c r="E1064" t="s">
        <v>109</v>
      </c>
      <c r="F1064" t="s">
        <v>244</v>
      </c>
      <c r="G1064" s="39">
        <v>43075</v>
      </c>
      <c r="J1064" t="s">
        <v>981</v>
      </c>
    </row>
    <row r="1065" spans="1:10" x14ac:dyDescent="0.35">
      <c r="A1065">
        <v>130054</v>
      </c>
      <c r="B1065" t="s">
        <v>46</v>
      </c>
      <c r="C1065" t="s">
        <v>532</v>
      </c>
      <c r="D1065" t="s">
        <v>92</v>
      </c>
      <c r="E1065" t="s">
        <v>109</v>
      </c>
      <c r="F1065" t="s">
        <v>244</v>
      </c>
      <c r="G1065" s="39">
        <v>44096</v>
      </c>
      <c r="J1065" t="s">
        <v>981</v>
      </c>
    </row>
    <row r="1066" spans="1:10" x14ac:dyDescent="0.35">
      <c r="A1066">
        <v>11594</v>
      </c>
      <c r="B1066" t="s">
        <v>46</v>
      </c>
      <c r="C1066" t="s">
        <v>532</v>
      </c>
      <c r="D1066" t="s">
        <v>92</v>
      </c>
      <c r="E1066" t="s">
        <v>109</v>
      </c>
      <c r="F1066" t="s">
        <v>411</v>
      </c>
      <c r="G1066" s="39">
        <v>42894</v>
      </c>
      <c r="J1066" t="s">
        <v>981</v>
      </c>
    </row>
    <row r="1067" spans="1:10" x14ac:dyDescent="0.35">
      <c r="A1067">
        <v>300187</v>
      </c>
      <c r="B1067" t="s">
        <v>46</v>
      </c>
      <c r="C1067" t="s">
        <v>532</v>
      </c>
      <c r="D1067" t="s">
        <v>92</v>
      </c>
      <c r="E1067" t="s">
        <v>109</v>
      </c>
      <c r="F1067" t="s">
        <v>244</v>
      </c>
      <c r="G1067" s="39">
        <v>43740</v>
      </c>
      <c r="J1067" t="s">
        <v>981</v>
      </c>
    </row>
    <row r="1068" spans="1:10" x14ac:dyDescent="0.35">
      <c r="A1068">
        <v>206005</v>
      </c>
      <c r="B1068" t="s">
        <v>46</v>
      </c>
      <c r="C1068" t="s">
        <v>532</v>
      </c>
      <c r="D1068" t="s">
        <v>92</v>
      </c>
      <c r="E1068" t="s">
        <v>109</v>
      </c>
      <c r="F1068" t="s">
        <v>244</v>
      </c>
      <c r="G1068" s="39">
        <v>44123</v>
      </c>
      <c r="J1068" t="s">
        <v>981</v>
      </c>
    </row>
    <row r="1069" spans="1:10" x14ac:dyDescent="0.35">
      <c r="A1069">
        <v>11539</v>
      </c>
      <c r="B1069" t="s">
        <v>46</v>
      </c>
      <c r="C1069" t="s">
        <v>532</v>
      </c>
      <c r="D1069" t="s">
        <v>92</v>
      </c>
      <c r="E1069" t="s">
        <v>109</v>
      </c>
      <c r="F1069" t="s">
        <v>244</v>
      </c>
      <c r="G1069" s="39">
        <v>42811</v>
      </c>
      <c r="J1069" t="s">
        <v>981</v>
      </c>
    </row>
    <row r="1070" spans="1:10" x14ac:dyDescent="0.35">
      <c r="A1070">
        <v>250043</v>
      </c>
      <c r="B1070" t="s">
        <v>46</v>
      </c>
      <c r="C1070" t="s">
        <v>532</v>
      </c>
      <c r="D1070" t="s">
        <v>92</v>
      </c>
      <c r="E1070" t="s">
        <v>109</v>
      </c>
      <c r="F1070" t="s">
        <v>244</v>
      </c>
      <c r="G1070" s="39">
        <v>43710</v>
      </c>
      <c r="J1070" t="s">
        <v>981</v>
      </c>
    </row>
    <row r="1071" spans="1:10" x14ac:dyDescent="0.35">
      <c r="A1071">
        <v>14517</v>
      </c>
      <c r="B1071" t="s">
        <v>46</v>
      </c>
      <c r="C1071" t="s">
        <v>532</v>
      </c>
      <c r="D1071" t="s">
        <v>92</v>
      </c>
      <c r="E1071" t="s">
        <v>102</v>
      </c>
      <c r="F1071" t="s">
        <v>244</v>
      </c>
      <c r="G1071" s="39">
        <v>44777</v>
      </c>
      <c r="J1071" t="s">
        <v>981</v>
      </c>
    </row>
    <row r="1072" spans="1:10" x14ac:dyDescent="0.35">
      <c r="A1072">
        <v>600043</v>
      </c>
      <c r="B1072" t="s">
        <v>46</v>
      </c>
      <c r="C1072" t="s">
        <v>532</v>
      </c>
      <c r="D1072" t="s">
        <v>92</v>
      </c>
      <c r="E1072" t="s">
        <v>102</v>
      </c>
      <c r="F1072" t="s">
        <v>244</v>
      </c>
      <c r="G1072" s="39">
        <v>43367</v>
      </c>
      <c r="J1072" t="s">
        <v>981</v>
      </c>
    </row>
    <row r="1073" spans="1:10" x14ac:dyDescent="0.35">
      <c r="A1073">
        <v>16277</v>
      </c>
      <c r="B1073" t="s">
        <v>46</v>
      </c>
      <c r="C1073" t="s">
        <v>532</v>
      </c>
      <c r="D1073" t="s">
        <v>92</v>
      </c>
      <c r="E1073" t="s">
        <v>102</v>
      </c>
      <c r="F1073" t="s">
        <v>244</v>
      </c>
      <c r="G1073" s="39">
        <v>45337</v>
      </c>
      <c r="J1073" t="s">
        <v>981</v>
      </c>
    </row>
    <row r="1074" spans="1:10" x14ac:dyDescent="0.35">
      <c r="A1074">
        <v>160054</v>
      </c>
      <c r="B1074" t="s">
        <v>46</v>
      </c>
      <c r="C1074" t="s">
        <v>532</v>
      </c>
      <c r="D1074" t="s">
        <v>92</v>
      </c>
      <c r="E1074" t="s">
        <v>102</v>
      </c>
      <c r="F1074" t="s">
        <v>244</v>
      </c>
      <c r="G1074" s="39">
        <v>44048</v>
      </c>
      <c r="J1074" t="s">
        <v>981</v>
      </c>
    </row>
    <row r="1075" spans="1:10" x14ac:dyDescent="0.35">
      <c r="A1075">
        <v>18128</v>
      </c>
      <c r="B1075" t="s">
        <v>46</v>
      </c>
      <c r="C1075" t="s">
        <v>532</v>
      </c>
      <c r="D1075" t="s">
        <v>92</v>
      </c>
      <c r="E1075" t="s">
        <v>102</v>
      </c>
      <c r="F1075" t="s">
        <v>244</v>
      </c>
      <c r="G1075" s="39">
        <v>46007</v>
      </c>
      <c r="J1075" t="s">
        <v>981</v>
      </c>
    </row>
    <row r="1076" spans="1:10" x14ac:dyDescent="0.35">
      <c r="A1076">
        <v>110018</v>
      </c>
      <c r="B1076" t="s">
        <v>46</v>
      </c>
      <c r="C1076" t="s">
        <v>534</v>
      </c>
      <c r="D1076" t="s">
        <v>92</v>
      </c>
      <c r="E1076" t="s">
        <v>101</v>
      </c>
      <c r="F1076" t="s">
        <v>244</v>
      </c>
      <c r="G1076" s="39">
        <v>42331</v>
      </c>
      <c r="J1076" t="s">
        <v>981</v>
      </c>
    </row>
    <row r="1077" spans="1:10" x14ac:dyDescent="0.35">
      <c r="A1077">
        <v>120044</v>
      </c>
      <c r="B1077" t="s">
        <v>46</v>
      </c>
      <c r="C1077" t="s">
        <v>534</v>
      </c>
      <c r="D1077" t="s">
        <v>92</v>
      </c>
      <c r="E1077" t="s">
        <v>99</v>
      </c>
      <c r="F1077" t="s">
        <v>244</v>
      </c>
      <c r="G1077" s="39">
        <v>43257</v>
      </c>
      <c r="J1077" t="s">
        <v>981</v>
      </c>
    </row>
    <row r="1078" spans="1:10" x14ac:dyDescent="0.35">
      <c r="A1078">
        <v>12669</v>
      </c>
      <c r="B1078" t="s">
        <v>46</v>
      </c>
      <c r="C1078" t="s">
        <v>534</v>
      </c>
      <c r="D1078" t="s">
        <v>92</v>
      </c>
      <c r="E1078" t="s">
        <v>109</v>
      </c>
      <c r="F1078" t="s">
        <v>244</v>
      </c>
      <c r="G1078" s="39">
        <v>43864</v>
      </c>
      <c r="J1078" t="s">
        <v>981</v>
      </c>
    </row>
    <row r="1079" spans="1:10" x14ac:dyDescent="0.35">
      <c r="A1079">
        <v>980021</v>
      </c>
      <c r="B1079" t="s">
        <v>46</v>
      </c>
      <c r="C1079" t="s">
        <v>534</v>
      </c>
      <c r="D1079" t="s">
        <v>92</v>
      </c>
      <c r="E1079" t="s">
        <v>109</v>
      </c>
      <c r="F1079" t="s">
        <v>244</v>
      </c>
      <c r="G1079" s="39">
        <v>43304</v>
      </c>
      <c r="J1079" t="s">
        <v>981</v>
      </c>
    </row>
    <row r="1080" spans="1:10" x14ac:dyDescent="0.35">
      <c r="A1080">
        <v>127004</v>
      </c>
      <c r="B1080" t="s">
        <v>46</v>
      </c>
      <c r="C1080" t="s">
        <v>534</v>
      </c>
      <c r="D1080" t="s">
        <v>92</v>
      </c>
      <c r="E1080" t="s">
        <v>109</v>
      </c>
      <c r="F1080" t="s">
        <v>244</v>
      </c>
      <c r="G1080" s="39">
        <v>43430</v>
      </c>
      <c r="J1080" t="s">
        <v>981</v>
      </c>
    </row>
    <row r="1081" spans="1:10" x14ac:dyDescent="0.35">
      <c r="A1081">
        <v>12742</v>
      </c>
      <c r="B1081" t="s">
        <v>46</v>
      </c>
      <c r="C1081" t="s">
        <v>534</v>
      </c>
      <c r="D1081" t="s">
        <v>92</v>
      </c>
      <c r="E1081" t="s">
        <v>102</v>
      </c>
      <c r="F1081" t="s">
        <v>244</v>
      </c>
      <c r="G1081" s="39">
        <v>43885</v>
      </c>
      <c r="J1081" t="s">
        <v>981</v>
      </c>
    </row>
    <row r="1082" spans="1:10" x14ac:dyDescent="0.35">
      <c r="A1082">
        <v>133015</v>
      </c>
      <c r="B1082" t="s">
        <v>46</v>
      </c>
      <c r="C1082" t="s">
        <v>534</v>
      </c>
      <c r="D1082" t="s">
        <v>92</v>
      </c>
      <c r="E1082" t="s">
        <v>102</v>
      </c>
      <c r="F1082" t="s">
        <v>244</v>
      </c>
      <c r="G1082" s="39">
        <v>44621</v>
      </c>
      <c r="J1082" t="s">
        <v>981</v>
      </c>
    </row>
    <row r="1083" spans="1:10" x14ac:dyDescent="0.35">
      <c r="A1083">
        <v>12787</v>
      </c>
      <c r="B1083" t="s">
        <v>46</v>
      </c>
      <c r="C1083" t="s">
        <v>534</v>
      </c>
      <c r="D1083" t="s">
        <v>92</v>
      </c>
      <c r="E1083" t="s">
        <v>102</v>
      </c>
      <c r="F1083" t="s">
        <v>244</v>
      </c>
      <c r="G1083" s="39">
        <v>43931</v>
      </c>
      <c r="J1083" t="s">
        <v>981</v>
      </c>
    </row>
    <row r="1084" spans="1:10" x14ac:dyDescent="0.35">
      <c r="A1084">
        <v>150038</v>
      </c>
      <c r="B1084" t="s">
        <v>46</v>
      </c>
      <c r="C1084" t="s">
        <v>534</v>
      </c>
      <c r="D1084" t="s">
        <v>92</v>
      </c>
      <c r="E1084" t="s">
        <v>102</v>
      </c>
      <c r="F1084" t="s">
        <v>244</v>
      </c>
      <c r="G1084" s="39">
        <v>43811</v>
      </c>
      <c r="J1084" t="s">
        <v>981</v>
      </c>
    </row>
    <row r="1085" spans="1:10" x14ac:dyDescent="0.35">
      <c r="A1085">
        <v>160041</v>
      </c>
      <c r="B1085" t="s">
        <v>46</v>
      </c>
      <c r="C1085" t="s">
        <v>534</v>
      </c>
      <c r="D1085" t="s">
        <v>92</v>
      </c>
      <c r="E1085" t="s">
        <v>102</v>
      </c>
      <c r="F1085" t="s">
        <v>244</v>
      </c>
      <c r="G1085" s="39">
        <v>42745</v>
      </c>
      <c r="J1085" t="s">
        <v>981</v>
      </c>
    </row>
    <row r="1086" spans="1:10" x14ac:dyDescent="0.35">
      <c r="A1086">
        <v>14741</v>
      </c>
      <c r="B1086" t="s">
        <v>46</v>
      </c>
      <c r="C1086" t="s">
        <v>534</v>
      </c>
      <c r="D1086" t="s">
        <v>92</v>
      </c>
      <c r="E1086" t="s">
        <v>102</v>
      </c>
      <c r="F1086" t="s">
        <v>244</v>
      </c>
      <c r="G1086" s="39">
        <v>44840</v>
      </c>
      <c r="J1086" t="s">
        <v>981</v>
      </c>
    </row>
    <row r="1087" spans="1:10" x14ac:dyDescent="0.35">
      <c r="A1087">
        <v>590021</v>
      </c>
      <c r="B1087" t="s">
        <v>46</v>
      </c>
      <c r="C1087" t="s">
        <v>534</v>
      </c>
      <c r="D1087" t="s">
        <v>92</v>
      </c>
      <c r="E1087" t="s">
        <v>109</v>
      </c>
      <c r="F1087" t="s">
        <v>244</v>
      </c>
      <c r="G1087" s="39">
        <v>43710</v>
      </c>
      <c r="J1087" t="s">
        <v>981</v>
      </c>
    </row>
    <row r="1088" spans="1:10" x14ac:dyDescent="0.35">
      <c r="A1088">
        <v>15114</v>
      </c>
      <c r="B1088" t="s">
        <v>46</v>
      </c>
      <c r="C1088" t="s">
        <v>534</v>
      </c>
      <c r="D1088" t="s">
        <v>92</v>
      </c>
      <c r="E1088" t="s">
        <v>102</v>
      </c>
      <c r="F1088" t="s">
        <v>244</v>
      </c>
      <c r="G1088" s="39">
        <v>44950</v>
      </c>
      <c r="J1088" t="s">
        <v>981</v>
      </c>
    </row>
    <row r="1089" spans="1:10" x14ac:dyDescent="0.35">
      <c r="A1089">
        <v>201005</v>
      </c>
      <c r="B1089" t="s">
        <v>46</v>
      </c>
      <c r="C1089" t="s">
        <v>534</v>
      </c>
      <c r="D1089" t="s">
        <v>92</v>
      </c>
      <c r="E1089" t="s">
        <v>102</v>
      </c>
      <c r="F1089" t="s">
        <v>244</v>
      </c>
      <c r="G1089" s="39">
        <v>44357</v>
      </c>
      <c r="J1089" t="s">
        <v>981</v>
      </c>
    </row>
    <row r="1090" spans="1:10" x14ac:dyDescent="0.35">
      <c r="A1090">
        <v>12080</v>
      </c>
      <c r="B1090" t="s">
        <v>46</v>
      </c>
      <c r="C1090" t="s">
        <v>534</v>
      </c>
      <c r="D1090" t="s">
        <v>92</v>
      </c>
      <c r="E1090" t="s">
        <v>103</v>
      </c>
      <c r="F1090" t="s">
        <v>244</v>
      </c>
      <c r="G1090" s="39">
        <v>43455</v>
      </c>
      <c r="J1090" t="s">
        <v>981</v>
      </c>
    </row>
    <row r="1091" spans="1:10" x14ac:dyDescent="0.35">
      <c r="A1091">
        <v>14040</v>
      </c>
      <c r="B1091" t="s">
        <v>46</v>
      </c>
      <c r="C1091" t="s">
        <v>534</v>
      </c>
      <c r="D1091" t="s">
        <v>92</v>
      </c>
      <c r="E1091" t="s">
        <v>102</v>
      </c>
      <c r="F1091" t="s">
        <v>244</v>
      </c>
      <c r="G1091" s="39">
        <v>44631</v>
      </c>
      <c r="J1091" t="s">
        <v>981</v>
      </c>
    </row>
    <row r="1092" spans="1:10" x14ac:dyDescent="0.35">
      <c r="A1092">
        <v>15494</v>
      </c>
      <c r="B1092" t="s">
        <v>46</v>
      </c>
      <c r="C1092" t="s">
        <v>534</v>
      </c>
      <c r="D1092" t="s">
        <v>92</v>
      </c>
      <c r="E1092" t="s">
        <v>103</v>
      </c>
      <c r="F1092" t="s">
        <v>244</v>
      </c>
      <c r="G1092" s="39">
        <v>45096</v>
      </c>
      <c r="J1092" t="s">
        <v>981</v>
      </c>
    </row>
    <row r="1093" spans="1:10" x14ac:dyDescent="0.35">
      <c r="A1093">
        <v>13448</v>
      </c>
      <c r="B1093" t="s">
        <v>46</v>
      </c>
      <c r="C1093" t="s">
        <v>534</v>
      </c>
      <c r="D1093" t="s">
        <v>92</v>
      </c>
      <c r="E1093" t="s">
        <v>103</v>
      </c>
      <c r="F1093" t="s">
        <v>244</v>
      </c>
      <c r="G1093" s="39">
        <v>44460</v>
      </c>
      <c r="J1093" t="s">
        <v>981</v>
      </c>
    </row>
    <row r="1094" spans="1:10" x14ac:dyDescent="0.35">
      <c r="A1094">
        <v>12847</v>
      </c>
      <c r="B1094" t="s">
        <v>46</v>
      </c>
      <c r="C1094" t="s">
        <v>535</v>
      </c>
      <c r="D1094" t="s">
        <v>92</v>
      </c>
      <c r="E1094" t="s">
        <v>101</v>
      </c>
      <c r="F1094" t="s">
        <v>244</v>
      </c>
      <c r="G1094" s="39">
        <v>44034</v>
      </c>
      <c r="J1094" t="s">
        <v>981</v>
      </c>
    </row>
    <row r="1095" spans="1:10" x14ac:dyDescent="0.35">
      <c r="A1095">
        <v>15797</v>
      </c>
      <c r="B1095" t="s">
        <v>46</v>
      </c>
      <c r="C1095" t="s">
        <v>535</v>
      </c>
      <c r="D1095" t="s">
        <v>92</v>
      </c>
      <c r="E1095" t="s">
        <v>99</v>
      </c>
      <c r="F1095" t="s">
        <v>244</v>
      </c>
      <c r="G1095" s="39">
        <v>45201</v>
      </c>
      <c r="J1095" t="s">
        <v>981</v>
      </c>
    </row>
    <row r="1096" spans="1:10" x14ac:dyDescent="0.35">
      <c r="A1096">
        <v>10900</v>
      </c>
      <c r="B1096" t="s">
        <v>46</v>
      </c>
      <c r="C1096" t="s">
        <v>535</v>
      </c>
      <c r="D1096" t="s">
        <v>92</v>
      </c>
      <c r="E1096" t="s">
        <v>109</v>
      </c>
      <c r="F1096" t="s">
        <v>411</v>
      </c>
      <c r="G1096" s="39">
        <v>42101</v>
      </c>
      <c r="J1096" t="s">
        <v>981</v>
      </c>
    </row>
    <row r="1097" spans="1:10" x14ac:dyDescent="0.35">
      <c r="A1097">
        <v>14578</v>
      </c>
      <c r="B1097" t="s">
        <v>46</v>
      </c>
      <c r="C1097" t="s">
        <v>535</v>
      </c>
      <c r="D1097" t="s">
        <v>92</v>
      </c>
      <c r="E1097" t="s">
        <v>424</v>
      </c>
      <c r="F1097" t="s">
        <v>244</v>
      </c>
      <c r="G1097" s="39">
        <v>44791</v>
      </c>
      <c r="J1097" t="s">
        <v>981</v>
      </c>
    </row>
    <row r="1098" spans="1:10" x14ac:dyDescent="0.35">
      <c r="A1098">
        <v>430020</v>
      </c>
      <c r="B1098" t="s">
        <v>46</v>
      </c>
      <c r="C1098" t="s">
        <v>535</v>
      </c>
      <c r="D1098" t="s">
        <v>92</v>
      </c>
      <c r="E1098" t="s">
        <v>402</v>
      </c>
      <c r="F1098" t="s">
        <v>244</v>
      </c>
      <c r="G1098" s="39">
        <v>43551</v>
      </c>
      <c r="J1098" t="s">
        <v>981</v>
      </c>
    </row>
    <row r="1099" spans="1:10" x14ac:dyDescent="0.35">
      <c r="A1099">
        <v>12626</v>
      </c>
      <c r="B1099" t="s">
        <v>46</v>
      </c>
      <c r="C1099" t="s">
        <v>535</v>
      </c>
      <c r="D1099" t="s">
        <v>92</v>
      </c>
      <c r="E1099" t="s">
        <v>109</v>
      </c>
      <c r="F1099" t="s">
        <v>411</v>
      </c>
      <c r="G1099" s="39">
        <v>43844</v>
      </c>
      <c r="J1099" t="s">
        <v>981</v>
      </c>
    </row>
    <row r="1100" spans="1:10" x14ac:dyDescent="0.35">
      <c r="A1100">
        <v>700023</v>
      </c>
      <c r="B1100" t="s">
        <v>46</v>
      </c>
      <c r="C1100" t="s">
        <v>535</v>
      </c>
      <c r="D1100" t="s">
        <v>92</v>
      </c>
      <c r="E1100" t="s">
        <v>102</v>
      </c>
      <c r="F1100" t="s">
        <v>244</v>
      </c>
      <c r="G1100" s="39">
        <v>41148</v>
      </c>
      <c r="J1100" t="s">
        <v>981</v>
      </c>
    </row>
    <row r="1101" spans="1:10" x14ac:dyDescent="0.35">
      <c r="A1101">
        <v>11764</v>
      </c>
      <c r="B1101" t="s">
        <v>46</v>
      </c>
      <c r="C1101" t="s">
        <v>535</v>
      </c>
      <c r="D1101" t="s">
        <v>92</v>
      </c>
      <c r="E1101" t="s">
        <v>102</v>
      </c>
      <c r="F1101" t="s">
        <v>244</v>
      </c>
      <c r="G1101" s="39">
        <v>43090</v>
      </c>
      <c r="J1101" t="s">
        <v>981</v>
      </c>
    </row>
    <row r="1102" spans="1:10" x14ac:dyDescent="0.35">
      <c r="A1102">
        <v>11396</v>
      </c>
      <c r="B1102" t="s">
        <v>46</v>
      </c>
      <c r="C1102" t="s">
        <v>535</v>
      </c>
      <c r="D1102" t="s">
        <v>92</v>
      </c>
      <c r="E1102" t="s">
        <v>102</v>
      </c>
      <c r="F1102" t="s">
        <v>244</v>
      </c>
      <c r="G1102" s="39">
        <v>42653</v>
      </c>
      <c r="J1102" t="s">
        <v>981</v>
      </c>
    </row>
    <row r="1103" spans="1:10" x14ac:dyDescent="0.35">
      <c r="A1103">
        <v>12168</v>
      </c>
      <c r="B1103" t="s">
        <v>46</v>
      </c>
      <c r="C1103" t="s">
        <v>535</v>
      </c>
      <c r="D1103" t="s">
        <v>92</v>
      </c>
      <c r="E1103" t="s">
        <v>102</v>
      </c>
      <c r="F1103" t="s">
        <v>411</v>
      </c>
      <c r="G1103" s="39">
        <v>43538</v>
      </c>
      <c r="J1103" t="s">
        <v>981</v>
      </c>
    </row>
    <row r="1104" spans="1:10" x14ac:dyDescent="0.35">
      <c r="A1104">
        <v>16781</v>
      </c>
      <c r="B1104" t="s">
        <v>46</v>
      </c>
      <c r="C1104" t="s">
        <v>535</v>
      </c>
      <c r="D1104" t="s">
        <v>92</v>
      </c>
      <c r="E1104" t="s">
        <v>424</v>
      </c>
      <c r="F1104" t="s">
        <v>244</v>
      </c>
      <c r="G1104" s="39">
        <v>45547</v>
      </c>
      <c r="J1104" t="s">
        <v>981</v>
      </c>
    </row>
    <row r="1105" spans="1:10" x14ac:dyDescent="0.35">
      <c r="A1105">
        <v>300180</v>
      </c>
      <c r="B1105" t="s">
        <v>46</v>
      </c>
      <c r="C1105" t="s">
        <v>535</v>
      </c>
      <c r="D1105" t="s">
        <v>92</v>
      </c>
      <c r="E1105" t="s">
        <v>102</v>
      </c>
      <c r="F1105" t="s">
        <v>244</v>
      </c>
      <c r="G1105" s="39">
        <v>43864</v>
      </c>
      <c r="J1105" t="s">
        <v>981</v>
      </c>
    </row>
    <row r="1106" spans="1:10" x14ac:dyDescent="0.35">
      <c r="A1106">
        <v>205003</v>
      </c>
      <c r="B1106" t="s">
        <v>46</v>
      </c>
      <c r="C1106" t="s">
        <v>535</v>
      </c>
      <c r="D1106" t="s">
        <v>92</v>
      </c>
      <c r="E1106" t="s">
        <v>102</v>
      </c>
      <c r="F1106" t="s">
        <v>411</v>
      </c>
      <c r="G1106" s="39">
        <v>43747</v>
      </c>
      <c r="J1106" t="s">
        <v>981</v>
      </c>
    </row>
    <row r="1107" spans="1:10" x14ac:dyDescent="0.35">
      <c r="A1107">
        <v>12744</v>
      </c>
      <c r="B1107" t="s">
        <v>46</v>
      </c>
      <c r="C1107" t="s">
        <v>535</v>
      </c>
      <c r="D1107" t="s">
        <v>92</v>
      </c>
      <c r="E1107" t="s">
        <v>109</v>
      </c>
      <c r="F1107" t="s">
        <v>244</v>
      </c>
      <c r="G1107" s="39">
        <v>43885</v>
      </c>
      <c r="J1107" t="s">
        <v>981</v>
      </c>
    </row>
    <row r="1108" spans="1:10" x14ac:dyDescent="0.35">
      <c r="A1108">
        <v>800043</v>
      </c>
      <c r="B1108" t="s">
        <v>46</v>
      </c>
      <c r="C1108" t="s">
        <v>535</v>
      </c>
      <c r="D1108" t="s">
        <v>92</v>
      </c>
      <c r="E1108" t="s">
        <v>102</v>
      </c>
      <c r="F1108" t="s">
        <v>411</v>
      </c>
      <c r="G1108" s="39">
        <v>43672</v>
      </c>
      <c r="J1108" t="s">
        <v>981</v>
      </c>
    </row>
    <row r="1109" spans="1:10" x14ac:dyDescent="0.35">
      <c r="A1109">
        <v>16857</v>
      </c>
      <c r="B1109" t="s">
        <v>46</v>
      </c>
      <c r="C1109" t="s">
        <v>535</v>
      </c>
      <c r="D1109" t="s">
        <v>92</v>
      </c>
      <c r="E1109" t="s">
        <v>424</v>
      </c>
      <c r="F1109" t="s">
        <v>244</v>
      </c>
      <c r="G1109" s="39">
        <v>45568</v>
      </c>
      <c r="J1109" t="s">
        <v>981</v>
      </c>
    </row>
    <row r="1110" spans="1:10" x14ac:dyDescent="0.35">
      <c r="A1110">
        <v>12513</v>
      </c>
      <c r="B1110" t="s">
        <v>46</v>
      </c>
      <c r="C1110" t="s">
        <v>535</v>
      </c>
      <c r="D1110" t="s">
        <v>92</v>
      </c>
      <c r="E1110" t="s">
        <v>102</v>
      </c>
      <c r="F1110" t="s">
        <v>244</v>
      </c>
      <c r="G1110" s="39">
        <v>43790</v>
      </c>
      <c r="J1110" t="s">
        <v>981</v>
      </c>
    </row>
    <row r="1111" spans="1:10" x14ac:dyDescent="0.35">
      <c r="A1111">
        <v>13831</v>
      </c>
      <c r="B1111" t="s">
        <v>46</v>
      </c>
      <c r="C1111" t="s">
        <v>535</v>
      </c>
      <c r="D1111" t="s">
        <v>92</v>
      </c>
      <c r="E1111" t="s">
        <v>102</v>
      </c>
      <c r="F1111" t="s">
        <v>244</v>
      </c>
      <c r="G1111" s="39">
        <v>44596</v>
      </c>
      <c r="J1111" t="s">
        <v>981</v>
      </c>
    </row>
    <row r="1112" spans="1:10" x14ac:dyDescent="0.35">
      <c r="A1112">
        <v>133010</v>
      </c>
      <c r="B1112" t="s">
        <v>46</v>
      </c>
      <c r="C1112" t="s">
        <v>535</v>
      </c>
      <c r="D1112" t="s">
        <v>92</v>
      </c>
      <c r="E1112" t="s">
        <v>102</v>
      </c>
      <c r="F1112" t="s">
        <v>245</v>
      </c>
      <c r="G1112" s="39">
        <v>43199</v>
      </c>
      <c r="J1112" t="s">
        <v>981</v>
      </c>
    </row>
    <row r="1113" spans="1:10" x14ac:dyDescent="0.35">
      <c r="A1113">
        <v>18918</v>
      </c>
      <c r="B1113" t="s">
        <v>46</v>
      </c>
      <c r="C1113" t="s">
        <v>535</v>
      </c>
      <c r="D1113" t="s">
        <v>92</v>
      </c>
      <c r="E1113" t="s">
        <v>424</v>
      </c>
      <c r="F1113" t="s">
        <v>244</v>
      </c>
      <c r="G1113" s="39">
        <v>46241</v>
      </c>
      <c r="J1113" t="s">
        <v>981</v>
      </c>
    </row>
    <row r="1114" spans="1:10" x14ac:dyDescent="0.35">
      <c r="A1114">
        <v>12978</v>
      </c>
      <c r="B1114" t="s">
        <v>46</v>
      </c>
      <c r="C1114" t="s">
        <v>535</v>
      </c>
      <c r="D1114" t="s">
        <v>92</v>
      </c>
      <c r="E1114" t="s">
        <v>102</v>
      </c>
      <c r="F1114" t="s">
        <v>244</v>
      </c>
      <c r="G1114" s="39">
        <v>44160</v>
      </c>
      <c r="J1114" t="s">
        <v>981</v>
      </c>
    </row>
    <row r="1115" spans="1:10" x14ac:dyDescent="0.35">
      <c r="A1115">
        <v>12642</v>
      </c>
      <c r="B1115" t="s">
        <v>46</v>
      </c>
      <c r="C1115" t="s">
        <v>535</v>
      </c>
      <c r="D1115" t="s">
        <v>92</v>
      </c>
      <c r="E1115" t="s">
        <v>102</v>
      </c>
      <c r="F1115" t="s">
        <v>244</v>
      </c>
      <c r="G1115" s="39">
        <v>43851</v>
      </c>
      <c r="J1115" t="s">
        <v>981</v>
      </c>
    </row>
    <row r="1116" spans="1:10" x14ac:dyDescent="0.35">
      <c r="A1116">
        <v>140046</v>
      </c>
      <c r="B1116" t="s">
        <v>46</v>
      </c>
      <c r="C1116" t="s">
        <v>535</v>
      </c>
      <c r="D1116" t="s">
        <v>92</v>
      </c>
      <c r="E1116" t="s">
        <v>103</v>
      </c>
      <c r="F1116" t="s">
        <v>244</v>
      </c>
      <c r="G1116" s="39">
        <v>44228</v>
      </c>
      <c r="J1116" t="s">
        <v>981</v>
      </c>
    </row>
    <row r="1117" spans="1:10" x14ac:dyDescent="0.35">
      <c r="A1117">
        <v>13733</v>
      </c>
      <c r="B1117" t="s">
        <v>46</v>
      </c>
      <c r="C1117" t="s">
        <v>535</v>
      </c>
      <c r="D1117" t="s">
        <v>92</v>
      </c>
      <c r="E1117" t="s">
        <v>102</v>
      </c>
      <c r="F1117" t="s">
        <v>411</v>
      </c>
      <c r="G1117" s="39">
        <v>44551</v>
      </c>
      <c r="J1117" t="s">
        <v>981</v>
      </c>
    </row>
    <row r="1118" spans="1:10" x14ac:dyDescent="0.35">
      <c r="A1118">
        <v>11786</v>
      </c>
      <c r="B1118" t="s">
        <v>46</v>
      </c>
      <c r="C1118" t="s">
        <v>535</v>
      </c>
      <c r="D1118" t="s">
        <v>92</v>
      </c>
      <c r="E1118" t="s">
        <v>103</v>
      </c>
      <c r="F1118" t="s">
        <v>411</v>
      </c>
      <c r="G1118" s="39">
        <v>43122</v>
      </c>
      <c r="J1118" t="s">
        <v>981</v>
      </c>
    </row>
    <row r="1119" spans="1:10" x14ac:dyDescent="0.35">
      <c r="A1119">
        <v>17038</v>
      </c>
      <c r="B1119" t="s">
        <v>46</v>
      </c>
      <c r="C1119" t="s">
        <v>535</v>
      </c>
      <c r="D1119" t="s">
        <v>92</v>
      </c>
      <c r="E1119" t="s">
        <v>424</v>
      </c>
      <c r="F1119" t="s">
        <v>244</v>
      </c>
      <c r="G1119" s="39">
        <v>45600</v>
      </c>
      <c r="J1119" t="s">
        <v>981</v>
      </c>
    </row>
    <row r="1120" spans="1:10" x14ac:dyDescent="0.35">
      <c r="A1120">
        <v>15503</v>
      </c>
      <c r="B1120" t="s">
        <v>46</v>
      </c>
      <c r="C1120" t="s">
        <v>535</v>
      </c>
      <c r="D1120" t="s">
        <v>92</v>
      </c>
      <c r="E1120" t="s">
        <v>102</v>
      </c>
      <c r="F1120" t="s">
        <v>244</v>
      </c>
      <c r="G1120" s="39">
        <v>45097</v>
      </c>
      <c r="J1120" t="s">
        <v>981</v>
      </c>
    </row>
    <row r="1121" spans="1:10" x14ac:dyDescent="0.35">
      <c r="A1121">
        <v>300238</v>
      </c>
      <c r="B1121" t="s">
        <v>46</v>
      </c>
      <c r="C1121" t="s">
        <v>535</v>
      </c>
      <c r="D1121" t="s">
        <v>92</v>
      </c>
      <c r="E1121" t="s">
        <v>102</v>
      </c>
      <c r="F1121" t="s">
        <v>244</v>
      </c>
      <c r="G1121" s="39">
        <v>44463</v>
      </c>
      <c r="J1121" t="s">
        <v>981</v>
      </c>
    </row>
    <row r="1122" spans="1:10" x14ac:dyDescent="0.35">
      <c r="A1122">
        <v>14961</v>
      </c>
      <c r="B1122" t="s">
        <v>46</v>
      </c>
      <c r="C1122" t="s">
        <v>535</v>
      </c>
      <c r="D1122" t="s">
        <v>92</v>
      </c>
      <c r="E1122" t="s">
        <v>103</v>
      </c>
      <c r="F1122" t="s">
        <v>244</v>
      </c>
      <c r="G1122" s="39">
        <v>44901</v>
      </c>
      <c r="J1122" t="s">
        <v>981</v>
      </c>
    </row>
    <row r="1123" spans="1:10" x14ac:dyDescent="0.35">
      <c r="A1123">
        <v>15138</v>
      </c>
      <c r="B1123" t="s">
        <v>46</v>
      </c>
      <c r="C1123" t="s">
        <v>535</v>
      </c>
      <c r="D1123" t="s">
        <v>92</v>
      </c>
      <c r="E1123" t="s">
        <v>103</v>
      </c>
      <c r="F1123" t="s">
        <v>244</v>
      </c>
      <c r="G1123" s="39">
        <v>45000</v>
      </c>
      <c r="J1123" t="s">
        <v>981</v>
      </c>
    </row>
    <row r="1124" spans="1:10" x14ac:dyDescent="0.35">
      <c r="A1124">
        <v>11738</v>
      </c>
      <c r="B1124" t="s">
        <v>46</v>
      </c>
      <c r="C1124" t="s">
        <v>535</v>
      </c>
      <c r="D1124" t="s">
        <v>92</v>
      </c>
      <c r="E1124" t="s">
        <v>102</v>
      </c>
      <c r="F1124" t="s">
        <v>244</v>
      </c>
      <c r="G1124" s="39">
        <v>43074</v>
      </c>
      <c r="J1124" t="s">
        <v>981</v>
      </c>
    </row>
    <row r="1125" spans="1:10" x14ac:dyDescent="0.35">
      <c r="A1125">
        <v>15305</v>
      </c>
      <c r="B1125" t="s">
        <v>46</v>
      </c>
      <c r="C1125" t="s">
        <v>535</v>
      </c>
      <c r="D1125" t="s">
        <v>92</v>
      </c>
      <c r="E1125" t="s">
        <v>103</v>
      </c>
      <c r="F1125" t="s">
        <v>244</v>
      </c>
      <c r="G1125" s="39">
        <v>45021</v>
      </c>
      <c r="J1125" t="s">
        <v>981</v>
      </c>
    </row>
    <row r="1126" spans="1:10" x14ac:dyDescent="0.35">
      <c r="A1126">
        <v>16750</v>
      </c>
      <c r="B1126" t="s">
        <v>46</v>
      </c>
      <c r="C1126" t="s">
        <v>535</v>
      </c>
      <c r="D1126" t="s">
        <v>92</v>
      </c>
      <c r="E1126" t="s">
        <v>103</v>
      </c>
      <c r="F1126" t="s">
        <v>244</v>
      </c>
      <c r="G1126" s="39">
        <v>45539</v>
      </c>
      <c r="J1126" t="s">
        <v>981</v>
      </c>
    </row>
    <row r="1127" spans="1:10" x14ac:dyDescent="0.35">
      <c r="A1127">
        <v>14970</v>
      </c>
      <c r="B1127" t="s">
        <v>46</v>
      </c>
      <c r="C1127" t="s">
        <v>535</v>
      </c>
      <c r="D1127" t="s">
        <v>92</v>
      </c>
      <c r="E1127" t="s">
        <v>103</v>
      </c>
      <c r="F1127" t="s">
        <v>244</v>
      </c>
      <c r="G1127" s="39">
        <v>44902</v>
      </c>
      <c r="J1127" t="s">
        <v>981</v>
      </c>
    </row>
    <row r="1128" spans="1:10" x14ac:dyDescent="0.35">
      <c r="A1128">
        <v>15317</v>
      </c>
      <c r="B1128" t="s">
        <v>46</v>
      </c>
      <c r="C1128" t="s">
        <v>535</v>
      </c>
      <c r="D1128" t="s">
        <v>92</v>
      </c>
      <c r="E1128" t="s">
        <v>102</v>
      </c>
      <c r="F1128" t="s">
        <v>244</v>
      </c>
      <c r="G1128" s="39">
        <v>45026</v>
      </c>
      <c r="J1128" t="s">
        <v>981</v>
      </c>
    </row>
    <row r="1129" spans="1:10" x14ac:dyDescent="0.35">
      <c r="A1129">
        <v>14404</v>
      </c>
      <c r="B1129" t="s">
        <v>46</v>
      </c>
      <c r="C1129" t="s">
        <v>535</v>
      </c>
      <c r="D1129" t="s">
        <v>92</v>
      </c>
      <c r="E1129" t="s">
        <v>102</v>
      </c>
      <c r="F1129" t="s">
        <v>244</v>
      </c>
      <c r="G1129" s="39">
        <v>44749</v>
      </c>
      <c r="J1129" t="s">
        <v>981</v>
      </c>
    </row>
    <row r="1130" spans="1:10" x14ac:dyDescent="0.35">
      <c r="A1130">
        <v>12297</v>
      </c>
      <c r="B1130" t="s">
        <v>46</v>
      </c>
      <c r="C1130" t="s">
        <v>535</v>
      </c>
      <c r="D1130" t="s">
        <v>92</v>
      </c>
      <c r="E1130" t="s">
        <v>103</v>
      </c>
      <c r="F1130" t="s">
        <v>411</v>
      </c>
      <c r="G1130" s="39">
        <v>43671</v>
      </c>
      <c r="J1130" t="s">
        <v>981</v>
      </c>
    </row>
    <row r="1131" spans="1:10" x14ac:dyDescent="0.35">
      <c r="A1131">
        <v>12367</v>
      </c>
      <c r="B1131" t="s">
        <v>46</v>
      </c>
      <c r="C1131" t="s">
        <v>535</v>
      </c>
      <c r="D1131" t="s">
        <v>92</v>
      </c>
      <c r="E1131" t="s">
        <v>103</v>
      </c>
      <c r="F1131" t="s">
        <v>244</v>
      </c>
      <c r="G1131" s="39">
        <v>43712</v>
      </c>
      <c r="J1131" t="s">
        <v>981</v>
      </c>
    </row>
    <row r="1132" spans="1:10" x14ac:dyDescent="0.35">
      <c r="A1132">
        <v>14231</v>
      </c>
      <c r="B1132" t="s">
        <v>46</v>
      </c>
      <c r="C1132" t="s">
        <v>535</v>
      </c>
      <c r="D1132" t="s">
        <v>92</v>
      </c>
      <c r="E1132" t="s">
        <v>102</v>
      </c>
      <c r="F1132" t="s">
        <v>244</v>
      </c>
      <c r="G1132" s="39">
        <v>44700</v>
      </c>
      <c r="J1132" t="s">
        <v>981</v>
      </c>
    </row>
    <row r="1133" spans="1:10" x14ac:dyDescent="0.35">
      <c r="A1133">
        <v>14123</v>
      </c>
      <c r="B1133" t="s">
        <v>46</v>
      </c>
      <c r="C1133" t="s">
        <v>535</v>
      </c>
      <c r="D1133" t="s">
        <v>92</v>
      </c>
      <c r="E1133" t="s">
        <v>102</v>
      </c>
      <c r="F1133" t="s">
        <v>244</v>
      </c>
      <c r="G1133" s="39">
        <v>44666</v>
      </c>
      <c r="J1133" t="s">
        <v>981</v>
      </c>
    </row>
    <row r="1134" spans="1:10" x14ac:dyDescent="0.35">
      <c r="A1134">
        <v>12982</v>
      </c>
      <c r="B1134" t="s">
        <v>46</v>
      </c>
      <c r="C1134" t="s">
        <v>535</v>
      </c>
      <c r="D1134" t="s">
        <v>92</v>
      </c>
      <c r="E1134" t="s">
        <v>103</v>
      </c>
      <c r="F1134" t="s">
        <v>244</v>
      </c>
      <c r="G1134" s="39">
        <v>44160</v>
      </c>
      <c r="J1134" t="s">
        <v>981</v>
      </c>
    </row>
    <row r="1135" spans="1:10" x14ac:dyDescent="0.35">
      <c r="A1135">
        <v>12636</v>
      </c>
      <c r="B1135" t="s">
        <v>46</v>
      </c>
      <c r="C1135" t="s">
        <v>535</v>
      </c>
      <c r="D1135" t="s">
        <v>92</v>
      </c>
      <c r="E1135" t="s">
        <v>102</v>
      </c>
      <c r="F1135" t="s">
        <v>244</v>
      </c>
      <c r="G1135" s="39">
        <v>43847</v>
      </c>
      <c r="J1135" t="s">
        <v>981</v>
      </c>
    </row>
    <row r="1136" spans="1:10" x14ac:dyDescent="0.35">
      <c r="A1136">
        <v>12693</v>
      </c>
      <c r="B1136" t="s">
        <v>46</v>
      </c>
      <c r="C1136" t="s">
        <v>535</v>
      </c>
      <c r="D1136" t="s">
        <v>92</v>
      </c>
      <c r="E1136" t="s">
        <v>102</v>
      </c>
      <c r="F1136" t="s">
        <v>244</v>
      </c>
      <c r="G1136" s="39">
        <v>43867</v>
      </c>
      <c r="J1136" t="s">
        <v>981</v>
      </c>
    </row>
    <row r="1137" spans="1:10" x14ac:dyDescent="0.35">
      <c r="A1137">
        <v>14640</v>
      </c>
      <c r="B1137" t="s">
        <v>46</v>
      </c>
      <c r="C1137" t="s">
        <v>535</v>
      </c>
      <c r="D1137" t="s">
        <v>92</v>
      </c>
      <c r="E1137" t="s">
        <v>102</v>
      </c>
      <c r="F1137" t="s">
        <v>244</v>
      </c>
      <c r="G1137" s="39">
        <v>44812</v>
      </c>
      <c r="J1137" t="s">
        <v>981</v>
      </c>
    </row>
    <row r="1138" spans="1:10" x14ac:dyDescent="0.35">
      <c r="A1138">
        <v>11616</v>
      </c>
      <c r="B1138" t="s">
        <v>46</v>
      </c>
      <c r="C1138" t="s">
        <v>535</v>
      </c>
      <c r="D1138" t="s">
        <v>92</v>
      </c>
      <c r="E1138" t="s">
        <v>103</v>
      </c>
      <c r="F1138" t="s">
        <v>411</v>
      </c>
      <c r="G1138" s="39">
        <v>42933</v>
      </c>
      <c r="J1138" t="s">
        <v>981</v>
      </c>
    </row>
    <row r="1139" spans="1:10" x14ac:dyDescent="0.35">
      <c r="A1139">
        <v>15849</v>
      </c>
      <c r="B1139" t="s">
        <v>46</v>
      </c>
      <c r="C1139" t="s">
        <v>535</v>
      </c>
      <c r="D1139" t="s">
        <v>92</v>
      </c>
      <c r="E1139" t="s">
        <v>424</v>
      </c>
      <c r="F1139" t="s">
        <v>244</v>
      </c>
      <c r="G1139" s="39">
        <v>45212</v>
      </c>
      <c r="J1139" t="s">
        <v>981</v>
      </c>
    </row>
    <row r="1140" spans="1:10" x14ac:dyDescent="0.35">
      <c r="A1140">
        <v>120050</v>
      </c>
      <c r="B1140" t="s">
        <v>46</v>
      </c>
      <c r="C1140" t="s">
        <v>535</v>
      </c>
      <c r="D1140" t="s">
        <v>92</v>
      </c>
      <c r="E1140" t="s">
        <v>102</v>
      </c>
      <c r="F1140" t="s">
        <v>244</v>
      </c>
      <c r="G1140" s="39">
        <v>43732</v>
      </c>
      <c r="J1140" t="s">
        <v>981</v>
      </c>
    </row>
    <row r="1141" spans="1:10" x14ac:dyDescent="0.35">
      <c r="A1141">
        <v>760042</v>
      </c>
      <c r="B1141" t="s">
        <v>46</v>
      </c>
      <c r="C1141" t="s">
        <v>535</v>
      </c>
      <c r="D1141" t="s">
        <v>92</v>
      </c>
      <c r="E1141" t="s">
        <v>103</v>
      </c>
      <c r="F1141" t="s">
        <v>244</v>
      </c>
      <c r="G1141" s="39">
        <v>43515</v>
      </c>
      <c r="J1141" t="s">
        <v>981</v>
      </c>
    </row>
    <row r="1142" spans="1:10" x14ac:dyDescent="0.35">
      <c r="A1142">
        <v>16125</v>
      </c>
      <c r="B1142" t="s">
        <v>46</v>
      </c>
      <c r="C1142" t="s">
        <v>526</v>
      </c>
      <c r="D1142" t="s">
        <v>92</v>
      </c>
      <c r="E1142" t="s">
        <v>99</v>
      </c>
      <c r="F1142" t="s">
        <v>244</v>
      </c>
      <c r="G1142" s="39">
        <v>45288</v>
      </c>
      <c r="J1142" t="s">
        <v>981</v>
      </c>
    </row>
    <row r="1143" spans="1:10" x14ac:dyDescent="0.35">
      <c r="A1143">
        <v>12713</v>
      </c>
      <c r="B1143" t="s">
        <v>46</v>
      </c>
      <c r="C1143" t="s">
        <v>526</v>
      </c>
      <c r="D1143" t="s">
        <v>92</v>
      </c>
      <c r="E1143" t="s">
        <v>402</v>
      </c>
      <c r="F1143" t="s">
        <v>244</v>
      </c>
      <c r="G1143" s="39">
        <v>43875</v>
      </c>
      <c r="J1143" t="s">
        <v>981</v>
      </c>
    </row>
    <row r="1144" spans="1:10" x14ac:dyDescent="0.35">
      <c r="A1144">
        <v>470044</v>
      </c>
      <c r="B1144" t="s">
        <v>46</v>
      </c>
      <c r="C1144" t="s">
        <v>526</v>
      </c>
      <c r="D1144" t="s">
        <v>92</v>
      </c>
      <c r="E1144" t="s">
        <v>402</v>
      </c>
      <c r="F1144" t="s">
        <v>244</v>
      </c>
      <c r="G1144" s="39">
        <v>44421</v>
      </c>
      <c r="J1144" t="s">
        <v>981</v>
      </c>
    </row>
    <row r="1145" spans="1:10" x14ac:dyDescent="0.35">
      <c r="A1145">
        <v>10670</v>
      </c>
      <c r="B1145" t="s">
        <v>46</v>
      </c>
      <c r="C1145" t="s">
        <v>526</v>
      </c>
      <c r="D1145" t="s">
        <v>92</v>
      </c>
      <c r="E1145" t="s">
        <v>109</v>
      </c>
      <c r="F1145" t="s">
        <v>244</v>
      </c>
      <c r="G1145" s="39">
        <v>41646</v>
      </c>
      <c r="J1145" t="s">
        <v>981</v>
      </c>
    </row>
    <row r="1146" spans="1:10" x14ac:dyDescent="0.35">
      <c r="A1146">
        <v>12643</v>
      </c>
      <c r="B1146" t="s">
        <v>46</v>
      </c>
      <c r="C1146" t="s">
        <v>526</v>
      </c>
      <c r="D1146" t="s">
        <v>92</v>
      </c>
      <c r="E1146" t="s">
        <v>402</v>
      </c>
      <c r="F1146" t="s">
        <v>244</v>
      </c>
      <c r="G1146" s="39">
        <v>43851</v>
      </c>
      <c r="J1146" t="s">
        <v>981</v>
      </c>
    </row>
    <row r="1147" spans="1:10" x14ac:dyDescent="0.35">
      <c r="A1147">
        <v>12788</v>
      </c>
      <c r="B1147" t="s">
        <v>46</v>
      </c>
      <c r="C1147" t="s">
        <v>526</v>
      </c>
      <c r="D1147" t="s">
        <v>92</v>
      </c>
      <c r="E1147" t="s">
        <v>102</v>
      </c>
      <c r="F1147" t="s">
        <v>244</v>
      </c>
      <c r="G1147" s="39">
        <v>43931</v>
      </c>
      <c r="J1147" t="s">
        <v>981</v>
      </c>
    </row>
    <row r="1148" spans="1:10" x14ac:dyDescent="0.35">
      <c r="A1148">
        <v>14719</v>
      </c>
      <c r="B1148" t="s">
        <v>46</v>
      </c>
      <c r="C1148" t="s">
        <v>526</v>
      </c>
      <c r="D1148" t="s">
        <v>92</v>
      </c>
      <c r="E1148" t="s">
        <v>102</v>
      </c>
      <c r="F1148" t="s">
        <v>244</v>
      </c>
      <c r="G1148" s="39">
        <v>44840</v>
      </c>
      <c r="J1148" t="s">
        <v>981</v>
      </c>
    </row>
    <row r="1149" spans="1:10" x14ac:dyDescent="0.35">
      <c r="A1149">
        <v>13798</v>
      </c>
      <c r="B1149" t="s">
        <v>46</v>
      </c>
      <c r="C1149" t="s">
        <v>526</v>
      </c>
      <c r="D1149" t="s">
        <v>92</v>
      </c>
      <c r="E1149" t="s">
        <v>103</v>
      </c>
      <c r="F1149" t="s">
        <v>244</v>
      </c>
      <c r="G1149" s="39">
        <v>44582</v>
      </c>
      <c r="J1149" t="s">
        <v>981</v>
      </c>
    </row>
    <row r="1150" spans="1:10" x14ac:dyDescent="0.35">
      <c r="A1150">
        <v>13482</v>
      </c>
      <c r="B1150" t="s">
        <v>46</v>
      </c>
      <c r="C1150" t="s">
        <v>526</v>
      </c>
      <c r="D1150" t="s">
        <v>92</v>
      </c>
      <c r="E1150" t="s">
        <v>103</v>
      </c>
      <c r="F1150" t="s">
        <v>244</v>
      </c>
      <c r="G1150" s="39">
        <v>44474</v>
      </c>
      <c r="J1150" t="s">
        <v>981</v>
      </c>
    </row>
    <row r="1151" spans="1:10" x14ac:dyDescent="0.35">
      <c r="A1151">
        <v>15937</v>
      </c>
      <c r="B1151" t="s">
        <v>46</v>
      </c>
      <c r="C1151" t="s">
        <v>526</v>
      </c>
      <c r="D1151" t="s">
        <v>92</v>
      </c>
      <c r="E1151" t="s">
        <v>103</v>
      </c>
      <c r="F1151" t="s">
        <v>244</v>
      </c>
      <c r="G1151" s="39">
        <v>45245</v>
      </c>
      <c r="J1151" t="s">
        <v>981</v>
      </c>
    </row>
    <row r="1152" spans="1:10" x14ac:dyDescent="0.35">
      <c r="A1152">
        <v>15934</v>
      </c>
      <c r="B1152" t="s">
        <v>46</v>
      </c>
      <c r="C1152" t="s">
        <v>526</v>
      </c>
      <c r="D1152" t="s">
        <v>92</v>
      </c>
      <c r="E1152" t="s">
        <v>103</v>
      </c>
      <c r="F1152" t="s">
        <v>244</v>
      </c>
      <c r="G1152" s="39">
        <v>45244</v>
      </c>
      <c r="J1152" t="s">
        <v>981</v>
      </c>
    </row>
    <row r="1153" spans="1:10" x14ac:dyDescent="0.35">
      <c r="A1153">
        <v>14844</v>
      </c>
      <c r="B1153" t="s">
        <v>46</v>
      </c>
      <c r="C1153" t="s">
        <v>526</v>
      </c>
      <c r="D1153" t="s">
        <v>92</v>
      </c>
      <c r="E1153" t="s">
        <v>102</v>
      </c>
      <c r="F1153" t="s">
        <v>244</v>
      </c>
      <c r="G1153" s="39">
        <v>44875</v>
      </c>
      <c r="J1153" t="s">
        <v>981</v>
      </c>
    </row>
    <row r="1154" spans="1:10" x14ac:dyDescent="0.35">
      <c r="A1154">
        <v>13735</v>
      </c>
      <c r="B1154" t="s">
        <v>46</v>
      </c>
      <c r="C1154" t="s">
        <v>526</v>
      </c>
      <c r="D1154" t="s">
        <v>92</v>
      </c>
      <c r="E1154" t="s">
        <v>102</v>
      </c>
      <c r="F1154" t="s">
        <v>244</v>
      </c>
      <c r="G1154" s="39">
        <v>44551</v>
      </c>
      <c r="J1154" t="s">
        <v>981</v>
      </c>
    </row>
    <row r="1155" spans="1:10" x14ac:dyDescent="0.35">
      <c r="A1155">
        <v>13728</v>
      </c>
      <c r="B1155" t="s">
        <v>46</v>
      </c>
      <c r="C1155" t="s">
        <v>526</v>
      </c>
      <c r="D1155" t="s">
        <v>92</v>
      </c>
      <c r="E1155" t="s">
        <v>103</v>
      </c>
      <c r="F1155" t="s">
        <v>244</v>
      </c>
      <c r="G1155" s="39">
        <v>44551</v>
      </c>
      <c r="J1155" t="s">
        <v>981</v>
      </c>
    </row>
    <row r="1156" spans="1:10" x14ac:dyDescent="0.35">
      <c r="A1156">
        <v>14405</v>
      </c>
      <c r="B1156" t="s">
        <v>46</v>
      </c>
      <c r="C1156" t="s">
        <v>526</v>
      </c>
      <c r="D1156" t="s">
        <v>92</v>
      </c>
      <c r="E1156" t="s">
        <v>103</v>
      </c>
      <c r="F1156" t="s">
        <v>244</v>
      </c>
      <c r="G1156" s="39">
        <v>44749</v>
      </c>
      <c r="J1156" t="s">
        <v>981</v>
      </c>
    </row>
    <row r="1157" spans="1:10" x14ac:dyDescent="0.35">
      <c r="A1157">
        <v>15208</v>
      </c>
      <c r="B1157" t="s">
        <v>46</v>
      </c>
      <c r="C1157" t="s">
        <v>526</v>
      </c>
      <c r="D1157" t="s">
        <v>92</v>
      </c>
      <c r="E1157" t="s">
        <v>103</v>
      </c>
      <c r="F1157" t="s">
        <v>244</v>
      </c>
      <c r="G1157" s="39">
        <v>44987</v>
      </c>
      <c r="J1157" t="s">
        <v>981</v>
      </c>
    </row>
    <row r="1158" spans="1:10" x14ac:dyDescent="0.35">
      <c r="A1158">
        <v>410056</v>
      </c>
      <c r="B1158" t="s">
        <v>46</v>
      </c>
      <c r="C1158" t="s">
        <v>526</v>
      </c>
      <c r="D1158" t="s">
        <v>92</v>
      </c>
      <c r="E1158" t="s">
        <v>103</v>
      </c>
      <c r="F1158" t="s">
        <v>244</v>
      </c>
      <c r="G1158" s="39">
        <v>43361</v>
      </c>
      <c r="J1158" t="s">
        <v>981</v>
      </c>
    </row>
    <row r="1159" spans="1:10" x14ac:dyDescent="0.35">
      <c r="A1159">
        <v>13727</v>
      </c>
      <c r="B1159" t="s">
        <v>46</v>
      </c>
      <c r="C1159" t="s">
        <v>526</v>
      </c>
      <c r="D1159" t="s">
        <v>92</v>
      </c>
      <c r="E1159" t="s">
        <v>103</v>
      </c>
      <c r="F1159" t="s">
        <v>244</v>
      </c>
      <c r="G1159" s="39">
        <v>44551</v>
      </c>
      <c r="J1159" t="s">
        <v>981</v>
      </c>
    </row>
    <row r="1160" spans="1:10" x14ac:dyDescent="0.35">
      <c r="A1160">
        <v>13552</v>
      </c>
      <c r="B1160" t="s">
        <v>46</v>
      </c>
      <c r="C1160" t="s">
        <v>526</v>
      </c>
      <c r="D1160" t="s">
        <v>92</v>
      </c>
      <c r="E1160" t="s">
        <v>103</v>
      </c>
      <c r="F1160" t="s">
        <v>244</v>
      </c>
      <c r="G1160" s="39">
        <v>44494</v>
      </c>
      <c r="J1160" t="s">
        <v>981</v>
      </c>
    </row>
    <row r="1161" spans="1:10" x14ac:dyDescent="0.35">
      <c r="A1161">
        <v>13586</v>
      </c>
      <c r="B1161" t="s">
        <v>46</v>
      </c>
      <c r="C1161" t="s">
        <v>526</v>
      </c>
      <c r="D1161" t="s">
        <v>92</v>
      </c>
      <c r="E1161" t="s">
        <v>103</v>
      </c>
      <c r="F1161" t="s">
        <v>244</v>
      </c>
      <c r="G1161" s="39">
        <v>44503</v>
      </c>
      <c r="J1161" t="s">
        <v>981</v>
      </c>
    </row>
    <row r="1162" spans="1:10" x14ac:dyDescent="0.35">
      <c r="A1162">
        <v>14440</v>
      </c>
      <c r="B1162" t="s">
        <v>46</v>
      </c>
      <c r="C1162" t="s">
        <v>526</v>
      </c>
      <c r="D1162" t="s">
        <v>92</v>
      </c>
      <c r="E1162" t="s">
        <v>102</v>
      </c>
      <c r="F1162" t="s">
        <v>244</v>
      </c>
      <c r="G1162" s="39">
        <v>44760</v>
      </c>
      <c r="J1162" t="s">
        <v>981</v>
      </c>
    </row>
    <row r="1163" spans="1:10" x14ac:dyDescent="0.35">
      <c r="A1163">
        <v>15297</v>
      </c>
      <c r="B1163" t="s">
        <v>46</v>
      </c>
      <c r="C1163" t="s">
        <v>526</v>
      </c>
      <c r="D1163" t="s">
        <v>92</v>
      </c>
      <c r="E1163" t="s">
        <v>103</v>
      </c>
      <c r="F1163" t="s">
        <v>244</v>
      </c>
      <c r="G1163" s="39">
        <v>45019</v>
      </c>
      <c r="J1163" t="s">
        <v>981</v>
      </c>
    </row>
    <row r="1164" spans="1:10" x14ac:dyDescent="0.35">
      <c r="A1164">
        <v>12767</v>
      </c>
      <c r="B1164" t="s">
        <v>46</v>
      </c>
      <c r="C1164" t="s">
        <v>526</v>
      </c>
      <c r="D1164" t="s">
        <v>92</v>
      </c>
      <c r="E1164" t="s">
        <v>102</v>
      </c>
      <c r="F1164" t="s">
        <v>244</v>
      </c>
      <c r="G1164" s="39">
        <v>43902</v>
      </c>
      <c r="J1164" t="s">
        <v>981</v>
      </c>
    </row>
    <row r="1165" spans="1:10" x14ac:dyDescent="0.35">
      <c r="A1165">
        <v>11261</v>
      </c>
      <c r="B1165" t="s">
        <v>46</v>
      </c>
      <c r="C1165" t="s">
        <v>526</v>
      </c>
      <c r="D1165" t="s">
        <v>92</v>
      </c>
      <c r="E1165" t="s">
        <v>103</v>
      </c>
      <c r="F1165" t="s">
        <v>244</v>
      </c>
      <c r="G1165" s="39">
        <v>42471</v>
      </c>
      <c r="J1165" t="s">
        <v>981</v>
      </c>
    </row>
    <row r="1166" spans="1:10" x14ac:dyDescent="0.35">
      <c r="A1166">
        <v>14927</v>
      </c>
      <c r="B1166" t="s">
        <v>46</v>
      </c>
      <c r="C1166" t="s">
        <v>526</v>
      </c>
      <c r="D1166" t="s">
        <v>92</v>
      </c>
      <c r="E1166" t="s">
        <v>103</v>
      </c>
      <c r="F1166" t="s">
        <v>244</v>
      </c>
      <c r="G1166" s="39">
        <v>44896</v>
      </c>
      <c r="J1166" t="s">
        <v>981</v>
      </c>
    </row>
    <row r="1167" spans="1:10" x14ac:dyDescent="0.35">
      <c r="A1167">
        <v>14221</v>
      </c>
      <c r="B1167" t="s">
        <v>46</v>
      </c>
      <c r="C1167" t="s">
        <v>526</v>
      </c>
      <c r="D1167" t="s">
        <v>92</v>
      </c>
      <c r="E1167" t="s">
        <v>103</v>
      </c>
      <c r="F1167" t="s">
        <v>244</v>
      </c>
      <c r="G1167" s="39">
        <v>44699</v>
      </c>
      <c r="J1167" t="s">
        <v>981</v>
      </c>
    </row>
    <row r="1168" spans="1:10" x14ac:dyDescent="0.35">
      <c r="A1168">
        <v>300248</v>
      </c>
      <c r="B1168" t="s">
        <v>46</v>
      </c>
      <c r="C1168" t="s">
        <v>526</v>
      </c>
      <c r="D1168" t="s">
        <v>92</v>
      </c>
      <c r="E1168" t="s">
        <v>103</v>
      </c>
      <c r="F1168" t="s">
        <v>244</v>
      </c>
      <c r="G1168" s="39">
        <v>44558</v>
      </c>
      <c r="J1168" t="s">
        <v>981</v>
      </c>
    </row>
    <row r="1169" spans="1:10" x14ac:dyDescent="0.35">
      <c r="A1169">
        <v>600047</v>
      </c>
      <c r="B1169" t="s">
        <v>46</v>
      </c>
      <c r="C1169" t="s">
        <v>526</v>
      </c>
      <c r="D1169" t="s">
        <v>92</v>
      </c>
      <c r="E1169" t="s">
        <v>103</v>
      </c>
      <c r="F1169" t="s">
        <v>244</v>
      </c>
      <c r="G1169" s="39">
        <v>43672</v>
      </c>
      <c r="J1169" t="s">
        <v>981</v>
      </c>
    </row>
    <row r="1170" spans="1:10" x14ac:dyDescent="0.35">
      <c r="A1170">
        <v>14213</v>
      </c>
      <c r="B1170" t="s">
        <v>46</v>
      </c>
      <c r="C1170" t="s">
        <v>526</v>
      </c>
      <c r="D1170" t="s">
        <v>92</v>
      </c>
      <c r="E1170" t="s">
        <v>103</v>
      </c>
      <c r="F1170" t="s">
        <v>411</v>
      </c>
      <c r="G1170" s="39">
        <v>44698</v>
      </c>
      <c r="J1170" t="s">
        <v>981</v>
      </c>
    </row>
    <row r="1171" spans="1:10" x14ac:dyDescent="0.35">
      <c r="A1171">
        <v>16038</v>
      </c>
      <c r="B1171" t="s">
        <v>46</v>
      </c>
      <c r="C1171" t="s">
        <v>526</v>
      </c>
      <c r="D1171" t="s">
        <v>92</v>
      </c>
      <c r="E1171" t="s">
        <v>424</v>
      </c>
      <c r="F1171" t="s">
        <v>244</v>
      </c>
      <c r="G1171" s="39">
        <v>45271</v>
      </c>
      <c r="J1171" t="s">
        <v>981</v>
      </c>
    </row>
    <row r="1172" spans="1:10" x14ac:dyDescent="0.35">
      <c r="A1172">
        <v>270044</v>
      </c>
      <c r="B1172" t="s">
        <v>46</v>
      </c>
      <c r="C1172" t="s">
        <v>526</v>
      </c>
      <c r="D1172" t="s">
        <v>92</v>
      </c>
      <c r="E1172" t="s">
        <v>103</v>
      </c>
      <c r="F1172" t="s">
        <v>411</v>
      </c>
      <c r="G1172" s="39">
        <v>43514</v>
      </c>
      <c r="J1172" t="s">
        <v>981</v>
      </c>
    </row>
    <row r="1173" spans="1:10" x14ac:dyDescent="0.35">
      <c r="A1173">
        <v>15353</v>
      </c>
      <c r="B1173" t="s">
        <v>46</v>
      </c>
      <c r="C1173" t="s">
        <v>526</v>
      </c>
      <c r="D1173" t="s">
        <v>92</v>
      </c>
      <c r="E1173" t="s">
        <v>424</v>
      </c>
      <c r="F1173" t="s">
        <v>244</v>
      </c>
      <c r="G1173" s="39">
        <v>45042</v>
      </c>
      <c r="J1173" t="s">
        <v>981</v>
      </c>
    </row>
    <row r="1174" spans="1:10" x14ac:dyDescent="0.35">
      <c r="A1174">
        <v>12369</v>
      </c>
      <c r="B1174" t="s">
        <v>46</v>
      </c>
      <c r="C1174" t="s">
        <v>526</v>
      </c>
      <c r="D1174" t="s">
        <v>92</v>
      </c>
      <c r="E1174" t="s">
        <v>103</v>
      </c>
      <c r="F1174" t="s">
        <v>411</v>
      </c>
      <c r="G1174" s="39">
        <v>43714</v>
      </c>
      <c r="J1174" t="s">
        <v>981</v>
      </c>
    </row>
    <row r="1175" spans="1:10" x14ac:dyDescent="0.35">
      <c r="A1175">
        <v>12668</v>
      </c>
      <c r="B1175" t="s">
        <v>46</v>
      </c>
      <c r="C1175" t="s">
        <v>526</v>
      </c>
      <c r="D1175" t="s">
        <v>92</v>
      </c>
      <c r="E1175" t="s">
        <v>103</v>
      </c>
      <c r="F1175" t="s">
        <v>244</v>
      </c>
      <c r="G1175" s="39">
        <v>43864</v>
      </c>
      <c r="J1175" t="s">
        <v>981</v>
      </c>
    </row>
    <row r="1176" spans="1:10" x14ac:dyDescent="0.35">
      <c r="A1176">
        <v>13265</v>
      </c>
      <c r="B1176" t="s">
        <v>46</v>
      </c>
      <c r="C1176" t="s">
        <v>526</v>
      </c>
      <c r="D1176" t="s">
        <v>92</v>
      </c>
      <c r="E1176" t="s">
        <v>103</v>
      </c>
      <c r="F1176" t="s">
        <v>244</v>
      </c>
      <c r="G1176" s="39">
        <v>44355</v>
      </c>
      <c r="J1176" t="s">
        <v>981</v>
      </c>
    </row>
    <row r="1177" spans="1:10" x14ac:dyDescent="0.35">
      <c r="A1177">
        <v>12807</v>
      </c>
      <c r="B1177" t="s">
        <v>46</v>
      </c>
      <c r="C1177" t="s">
        <v>526</v>
      </c>
      <c r="D1177" t="s">
        <v>92</v>
      </c>
      <c r="E1177" t="s">
        <v>103</v>
      </c>
      <c r="F1177" t="s">
        <v>244</v>
      </c>
      <c r="G1177" s="39">
        <v>43942</v>
      </c>
      <c r="J1177" t="s">
        <v>981</v>
      </c>
    </row>
    <row r="1178" spans="1:10" x14ac:dyDescent="0.35">
      <c r="A1178">
        <v>18835</v>
      </c>
      <c r="B1178" t="s">
        <v>46</v>
      </c>
      <c r="C1178" t="s">
        <v>526</v>
      </c>
      <c r="D1178" t="s">
        <v>92</v>
      </c>
      <c r="E1178" t="s">
        <v>106</v>
      </c>
      <c r="F1178" t="s">
        <v>244</v>
      </c>
      <c r="G1178" s="39">
        <v>46217</v>
      </c>
      <c r="J1178" t="s">
        <v>981</v>
      </c>
    </row>
    <row r="1179" spans="1:10" x14ac:dyDescent="0.35">
      <c r="A1179">
        <v>11146</v>
      </c>
      <c r="B1179" t="s">
        <v>7</v>
      </c>
      <c r="C1179" t="s">
        <v>92</v>
      </c>
      <c r="D1179" t="s">
        <v>92</v>
      </c>
      <c r="E1179" t="s">
        <v>100</v>
      </c>
      <c r="F1179" t="s">
        <v>244</v>
      </c>
      <c r="G1179" s="39">
        <v>42321</v>
      </c>
      <c r="J1179" t="s">
        <v>981</v>
      </c>
    </row>
    <row r="1180" spans="1:10" x14ac:dyDescent="0.35">
      <c r="A1180">
        <v>10205</v>
      </c>
      <c r="B1180" t="s">
        <v>9</v>
      </c>
      <c r="C1180" t="s">
        <v>92</v>
      </c>
      <c r="D1180" t="s">
        <v>92</v>
      </c>
      <c r="E1180" t="s">
        <v>99</v>
      </c>
      <c r="F1180" t="s">
        <v>244</v>
      </c>
      <c r="G1180" s="39">
        <v>37568</v>
      </c>
      <c r="J1180" t="s">
        <v>981</v>
      </c>
    </row>
    <row r="1181" spans="1:10" x14ac:dyDescent="0.35">
      <c r="A1181">
        <v>10336</v>
      </c>
      <c r="B1181" t="s">
        <v>9</v>
      </c>
      <c r="C1181" t="s">
        <v>92</v>
      </c>
      <c r="D1181" t="s">
        <v>92</v>
      </c>
      <c r="E1181" t="s">
        <v>99</v>
      </c>
      <c r="F1181" t="s">
        <v>244</v>
      </c>
      <c r="G1181" s="39">
        <v>39854</v>
      </c>
      <c r="J1181" t="s">
        <v>981</v>
      </c>
    </row>
    <row r="1182" spans="1:10" x14ac:dyDescent="0.35">
      <c r="A1182">
        <v>18577</v>
      </c>
      <c r="B1182" t="s">
        <v>9</v>
      </c>
      <c r="C1182" t="s">
        <v>92</v>
      </c>
      <c r="D1182" t="s">
        <v>92</v>
      </c>
      <c r="E1182" t="s">
        <v>110</v>
      </c>
      <c r="F1182" t="s">
        <v>244</v>
      </c>
      <c r="G1182" s="39">
        <v>46154</v>
      </c>
      <c r="H1182" t="s">
        <v>249</v>
      </c>
      <c r="J1182" t="s">
        <v>981</v>
      </c>
    </row>
    <row r="1183" spans="1:10" x14ac:dyDescent="0.35">
      <c r="A1183">
        <v>18609</v>
      </c>
      <c r="B1183" t="s">
        <v>9</v>
      </c>
      <c r="C1183" t="s">
        <v>92</v>
      </c>
      <c r="D1183" t="s">
        <v>92</v>
      </c>
      <c r="E1183" t="s">
        <v>100</v>
      </c>
      <c r="F1183" t="s">
        <v>244</v>
      </c>
      <c r="G1183" s="39">
        <v>46162</v>
      </c>
      <c r="H1183" t="s">
        <v>249</v>
      </c>
      <c r="J1183" t="s">
        <v>981</v>
      </c>
    </row>
    <row r="1184" spans="1:10" x14ac:dyDescent="0.35">
      <c r="A1184">
        <v>10573</v>
      </c>
      <c r="B1184" t="s">
        <v>9</v>
      </c>
      <c r="C1184" t="s">
        <v>163</v>
      </c>
      <c r="D1184" t="s">
        <v>92</v>
      </c>
      <c r="E1184" t="s">
        <v>101</v>
      </c>
      <c r="F1184" t="s">
        <v>244</v>
      </c>
      <c r="G1184" s="39">
        <v>41334</v>
      </c>
      <c r="J1184" t="s">
        <v>981</v>
      </c>
    </row>
    <row r="1185" spans="1:10" x14ac:dyDescent="0.35">
      <c r="A1185">
        <v>11206</v>
      </c>
      <c r="B1185" t="s">
        <v>9</v>
      </c>
      <c r="C1185" t="s">
        <v>164</v>
      </c>
      <c r="D1185" t="s">
        <v>92</v>
      </c>
      <c r="E1185" t="s">
        <v>99</v>
      </c>
      <c r="F1185" t="s">
        <v>244</v>
      </c>
      <c r="G1185" s="39">
        <v>42422</v>
      </c>
      <c r="J1185" t="s">
        <v>981</v>
      </c>
    </row>
    <row r="1186" spans="1:10" x14ac:dyDescent="0.35">
      <c r="A1186">
        <v>11820</v>
      </c>
      <c r="B1186" t="s">
        <v>9</v>
      </c>
      <c r="C1186" t="s">
        <v>92</v>
      </c>
      <c r="D1186" t="s">
        <v>92</v>
      </c>
      <c r="E1186" t="s">
        <v>99</v>
      </c>
      <c r="F1186" t="s">
        <v>244</v>
      </c>
      <c r="G1186" s="39">
        <v>43164</v>
      </c>
      <c r="J1186" t="s">
        <v>981</v>
      </c>
    </row>
    <row r="1187" spans="1:10" x14ac:dyDescent="0.35">
      <c r="A1187">
        <v>10129</v>
      </c>
      <c r="B1187" t="s">
        <v>9</v>
      </c>
      <c r="C1187" t="s">
        <v>163</v>
      </c>
      <c r="D1187" t="s">
        <v>92</v>
      </c>
      <c r="E1187" t="s">
        <v>109</v>
      </c>
      <c r="F1187" t="s">
        <v>244</v>
      </c>
      <c r="G1187" s="39">
        <v>36697</v>
      </c>
      <c r="J1187" t="s">
        <v>981</v>
      </c>
    </row>
    <row r="1188" spans="1:10" x14ac:dyDescent="0.35">
      <c r="A1188">
        <v>10286</v>
      </c>
      <c r="B1188" t="s">
        <v>7</v>
      </c>
      <c r="C1188" t="s">
        <v>161</v>
      </c>
      <c r="D1188" t="s">
        <v>92</v>
      </c>
      <c r="E1188" t="s">
        <v>109</v>
      </c>
      <c r="F1188" t="s">
        <v>244</v>
      </c>
      <c r="G1188" s="39">
        <v>39457</v>
      </c>
      <c r="J1188" t="s">
        <v>981</v>
      </c>
    </row>
    <row r="1189" spans="1:10" x14ac:dyDescent="0.35">
      <c r="A1189">
        <v>10632</v>
      </c>
      <c r="B1189" t="s">
        <v>7</v>
      </c>
      <c r="C1189" t="s">
        <v>161</v>
      </c>
      <c r="D1189" t="s">
        <v>92</v>
      </c>
      <c r="E1189" t="s">
        <v>109</v>
      </c>
      <c r="F1189" t="s">
        <v>245</v>
      </c>
      <c r="G1189" s="39">
        <v>41548</v>
      </c>
      <c r="J1189" t="s">
        <v>981</v>
      </c>
    </row>
    <row r="1190" spans="1:10" x14ac:dyDescent="0.35">
      <c r="A1190">
        <v>10561</v>
      </c>
      <c r="B1190" t="s">
        <v>9</v>
      </c>
      <c r="C1190" t="s">
        <v>165</v>
      </c>
      <c r="D1190" t="s">
        <v>92</v>
      </c>
      <c r="E1190" t="s">
        <v>109</v>
      </c>
      <c r="F1190" t="s">
        <v>244</v>
      </c>
      <c r="G1190" s="39">
        <v>41281</v>
      </c>
      <c r="J1190" t="s">
        <v>981</v>
      </c>
    </row>
    <row r="1191" spans="1:10" x14ac:dyDescent="0.35">
      <c r="A1191">
        <v>11150</v>
      </c>
      <c r="B1191" t="s">
        <v>9</v>
      </c>
      <c r="C1191" t="s">
        <v>163</v>
      </c>
      <c r="D1191" t="s">
        <v>92</v>
      </c>
      <c r="E1191" t="s">
        <v>102</v>
      </c>
      <c r="F1191" t="s">
        <v>244</v>
      </c>
      <c r="G1191" s="39">
        <v>42311</v>
      </c>
      <c r="J1191" t="s">
        <v>981</v>
      </c>
    </row>
    <row r="1192" spans="1:10" x14ac:dyDescent="0.35">
      <c r="A1192">
        <v>12136</v>
      </c>
      <c r="B1192" t="s">
        <v>9</v>
      </c>
      <c r="C1192" t="s">
        <v>163</v>
      </c>
      <c r="D1192" t="s">
        <v>92</v>
      </c>
      <c r="E1192" t="s">
        <v>102</v>
      </c>
      <c r="F1192" t="s">
        <v>244</v>
      </c>
      <c r="G1192" s="39">
        <v>43511</v>
      </c>
      <c r="J1192" t="s">
        <v>981</v>
      </c>
    </row>
    <row r="1193" spans="1:10" x14ac:dyDescent="0.35">
      <c r="A1193">
        <v>900032</v>
      </c>
      <c r="B1193" t="s">
        <v>9</v>
      </c>
      <c r="C1193" t="s">
        <v>163</v>
      </c>
      <c r="D1193" t="s">
        <v>92</v>
      </c>
      <c r="E1193" t="s">
        <v>102</v>
      </c>
      <c r="F1193" t="s">
        <v>244</v>
      </c>
      <c r="G1193" s="39">
        <v>41772</v>
      </c>
      <c r="J1193" t="s">
        <v>981</v>
      </c>
    </row>
    <row r="1194" spans="1:10" x14ac:dyDescent="0.35">
      <c r="A1194">
        <v>10988</v>
      </c>
      <c r="B1194" t="s">
        <v>9</v>
      </c>
      <c r="C1194" t="s">
        <v>164</v>
      </c>
      <c r="D1194" t="s">
        <v>92</v>
      </c>
      <c r="E1194" t="s">
        <v>102</v>
      </c>
      <c r="F1194" t="s">
        <v>244</v>
      </c>
      <c r="G1194" s="39">
        <v>42248</v>
      </c>
      <c r="J1194" t="s">
        <v>981</v>
      </c>
    </row>
    <row r="1195" spans="1:10" x14ac:dyDescent="0.35">
      <c r="A1195">
        <v>10837</v>
      </c>
      <c r="B1195" t="s">
        <v>9</v>
      </c>
      <c r="C1195" t="s">
        <v>165</v>
      </c>
      <c r="D1195" t="s">
        <v>92</v>
      </c>
      <c r="E1195" t="s">
        <v>102</v>
      </c>
      <c r="F1195" t="s">
        <v>244</v>
      </c>
      <c r="G1195" s="39">
        <v>41991</v>
      </c>
      <c r="J1195" t="s">
        <v>981</v>
      </c>
    </row>
    <row r="1196" spans="1:10" x14ac:dyDescent="0.35">
      <c r="A1196">
        <v>18578</v>
      </c>
      <c r="B1196" t="s">
        <v>8</v>
      </c>
      <c r="C1196" t="s">
        <v>92</v>
      </c>
      <c r="D1196" t="s">
        <v>92</v>
      </c>
      <c r="E1196" t="s">
        <v>110</v>
      </c>
      <c r="F1196" t="s">
        <v>244</v>
      </c>
      <c r="G1196" s="39">
        <v>46154</v>
      </c>
      <c r="H1196" t="s">
        <v>249</v>
      </c>
      <c r="J1196" t="s">
        <v>981</v>
      </c>
    </row>
    <row r="1197" spans="1:10" x14ac:dyDescent="0.35">
      <c r="A1197">
        <v>11165</v>
      </c>
      <c r="B1197" t="s">
        <v>8</v>
      </c>
      <c r="C1197" t="s">
        <v>537</v>
      </c>
      <c r="D1197" t="s">
        <v>92</v>
      </c>
      <c r="E1197" t="s">
        <v>99</v>
      </c>
      <c r="F1197" t="s">
        <v>244</v>
      </c>
      <c r="G1197" s="39">
        <v>42346</v>
      </c>
      <c r="J1197" t="s">
        <v>981</v>
      </c>
    </row>
    <row r="1198" spans="1:10" x14ac:dyDescent="0.35">
      <c r="A1198">
        <v>10616</v>
      </c>
      <c r="B1198" t="s">
        <v>8</v>
      </c>
      <c r="C1198" t="s">
        <v>537</v>
      </c>
      <c r="D1198" t="s">
        <v>92</v>
      </c>
      <c r="E1198" t="s">
        <v>109</v>
      </c>
      <c r="F1198" t="s">
        <v>244</v>
      </c>
      <c r="G1198" s="39">
        <v>41500</v>
      </c>
      <c r="J1198" t="s">
        <v>981</v>
      </c>
    </row>
    <row r="1199" spans="1:10" x14ac:dyDescent="0.35">
      <c r="A1199">
        <v>700005</v>
      </c>
      <c r="B1199" t="s">
        <v>8</v>
      </c>
      <c r="C1199" t="s">
        <v>537</v>
      </c>
      <c r="D1199" t="s">
        <v>92</v>
      </c>
      <c r="E1199" t="s">
        <v>109</v>
      </c>
      <c r="F1199" t="s">
        <v>244</v>
      </c>
      <c r="G1199" s="39">
        <v>40375</v>
      </c>
      <c r="J1199" t="s">
        <v>981</v>
      </c>
    </row>
    <row r="1200" spans="1:10" x14ac:dyDescent="0.35">
      <c r="A1200">
        <v>10537</v>
      </c>
      <c r="B1200" t="s">
        <v>8</v>
      </c>
      <c r="C1200" t="s">
        <v>537</v>
      </c>
      <c r="D1200" t="s">
        <v>92</v>
      </c>
      <c r="E1200" t="s">
        <v>109</v>
      </c>
      <c r="F1200" t="s">
        <v>244</v>
      </c>
      <c r="G1200" s="39">
        <v>41108</v>
      </c>
      <c r="J1200" t="s">
        <v>981</v>
      </c>
    </row>
    <row r="1201" spans="1:10" x14ac:dyDescent="0.35">
      <c r="A1201">
        <v>11435</v>
      </c>
      <c r="B1201" t="s">
        <v>8</v>
      </c>
      <c r="C1201" t="s">
        <v>537</v>
      </c>
      <c r="D1201" t="s">
        <v>92</v>
      </c>
      <c r="E1201" t="s">
        <v>102</v>
      </c>
      <c r="F1201" t="s">
        <v>244</v>
      </c>
      <c r="G1201" s="39">
        <v>42695</v>
      </c>
      <c r="J1201" t="s">
        <v>981</v>
      </c>
    </row>
    <row r="1202" spans="1:10" x14ac:dyDescent="0.35">
      <c r="A1202">
        <v>240022</v>
      </c>
      <c r="B1202" t="s">
        <v>8</v>
      </c>
      <c r="C1202" t="s">
        <v>537</v>
      </c>
      <c r="D1202" t="s">
        <v>92</v>
      </c>
      <c r="E1202" t="s">
        <v>102</v>
      </c>
      <c r="F1202" t="s">
        <v>244</v>
      </c>
      <c r="G1202" s="39">
        <v>41416</v>
      </c>
      <c r="J1202" t="s">
        <v>981</v>
      </c>
    </row>
    <row r="1203" spans="1:10" x14ac:dyDescent="0.35">
      <c r="A1203">
        <v>12550</v>
      </c>
      <c r="B1203" t="s">
        <v>8</v>
      </c>
      <c r="C1203" t="s">
        <v>537</v>
      </c>
      <c r="D1203" t="s">
        <v>92</v>
      </c>
      <c r="E1203" t="s">
        <v>102</v>
      </c>
      <c r="F1203" t="s">
        <v>244</v>
      </c>
      <c r="G1203" s="39">
        <v>43808</v>
      </c>
      <c r="J1203" t="s">
        <v>981</v>
      </c>
    </row>
    <row r="1204" spans="1:10" x14ac:dyDescent="0.35">
      <c r="A1204">
        <v>12987</v>
      </c>
      <c r="B1204" t="s">
        <v>8</v>
      </c>
      <c r="C1204" t="s">
        <v>537</v>
      </c>
      <c r="D1204" t="s">
        <v>92</v>
      </c>
      <c r="E1204" t="s">
        <v>102</v>
      </c>
      <c r="F1204" t="s">
        <v>244</v>
      </c>
      <c r="G1204" s="39">
        <v>44168</v>
      </c>
      <c r="J1204" t="s">
        <v>981</v>
      </c>
    </row>
    <row r="1205" spans="1:10" x14ac:dyDescent="0.35">
      <c r="A1205">
        <v>13232</v>
      </c>
      <c r="B1205" t="s">
        <v>8</v>
      </c>
      <c r="C1205" t="s">
        <v>537</v>
      </c>
      <c r="D1205" t="s">
        <v>92</v>
      </c>
      <c r="E1205" t="s">
        <v>103</v>
      </c>
      <c r="F1205" t="s">
        <v>244</v>
      </c>
      <c r="G1205" s="39">
        <v>44333</v>
      </c>
      <c r="J1205" t="s">
        <v>981</v>
      </c>
    </row>
    <row r="1206" spans="1:10" x14ac:dyDescent="0.35">
      <c r="A1206">
        <v>13624</v>
      </c>
      <c r="B1206" t="s">
        <v>8</v>
      </c>
      <c r="C1206" t="s">
        <v>537</v>
      </c>
      <c r="D1206" t="s">
        <v>92</v>
      </c>
      <c r="E1206" t="s">
        <v>103</v>
      </c>
      <c r="F1206" t="s">
        <v>244</v>
      </c>
      <c r="G1206" s="39">
        <v>44519</v>
      </c>
      <c r="J1206" t="s">
        <v>981</v>
      </c>
    </row>
    <row r="1207" spans="1:10" x14ac:dyDescent="0.35">
      <c r="A1207">
        <v>14896</v>
      </c>
      <c r="B1207" t="s">
        <v>8</v>
      </c>
      <c r="C1207" t="s">
        <v>537</v>
      </c>
      <c r="D1207" t="s">
        <v>92</v>
      </c>
      <c r="E1207" t="s">
        <v>103</v>
      </c>
      <c r="F1207" t="s">
        <v>244</v>
      </c>
      <c r="G1207" s="39">
        <v>44890</v>
      </c>
      <c r="J1207" t="s">
        <v>981</v>
      </c>
    </row>
    <row r="1208" spans="1:10" x14ac:dyDescent="0.35">
      <c r="A1208">
        <v>14899</v>
      </c>
      <c r="B1208" t="s">
        <v>8</v>
      </c>
      <c r="C1208" t="s">
        <v>537</v>
      </c>
      <c r="D1208" t="s">
        <v>92</v>
      </c>
      <c r="E1208" t="s">
        <v>102</v>
      </c>
      <c r="F1208" t="s">
        <v>244</v>
      </c>
      <c r="G1208" s="39">
        <v>44890</v>
      </c>
      <c r="J1208" t="s">
        <v>981</v>
      </c>
    </row>
    <row r="1209" spans="1:10" x14ac:dyDescent="0.35">
      <c r="A1209">
        <v>14988</v>
      </c>
      <c r="B1209" t="s">
        <v>8</v>
      </c>
      <c r="C1209" t="s">
        <v>537</v>
      </c>
      <c r="D1209" t="s">
        <v>92</v>
      </c>
      <c r="E1209" t="s">
        <v>103</v>
      </c>
      <c r="F1209" t="s">
        <v>244</v>
      </c>
      <c r="G1209" s="39">
        <v>44910</v>
      </c>
      <c r="J1209" t="s">
        <v>981</v>
      </c>
    </row>
    <row r="1210" spans="1:10" x14ac:dyDescent="0.35">
      <c r="A1210">
        <v>15322</v>
      </c>
      <c r="B1210" t="s">
        <v>8</v>
      </c>
      <c r="C1210" t="s">
        <v>537</v>
      </c>
      <c r="D1210" t="s">
        <v>92</v>
      </c>
      <c r="E1210" t="s">
        <v>103</v>
      </c>
      <c r="F1210" t="s">
        <v>244</v>
      </c>
      <c r="G1210" s="39">
        <v>45028</v>
      </c>
      <c r="J1210" t="s">
        <v>981</v>
      </c>
    </row>
    <row r="1211" spans="1:10" x14ac:dyDescent="0.35">
      <c r="A1211">
        <v>15428</v>
      </c>
      <c r="B1211" t="s">
        <v>8</v>
      </c>
      <c r="C1211" t="s">
        <v>537</v>
      </c>
      <c r="D1211" t="s">
        <v>92</v>
      </c>
      <c r="E1211" t="s">
        <v>102</v>
      </c>
      <c r="F1211" t="s">
        <v>244</v>
      </c>
      <c r="G1211" s="39">
        <v>45068</v>
      </c>
      <c r="J1211" t="s">
        <v>981</v>
      </c>
    </row>
    <row r="1212" spans="1:10" x14ac:dyDescent="0.35">
      <c r="A1212">
        <v>15616</v>
      </c>
      <c r="B1212" t="s">
        <v>8</v>
      </c>
      <c r="C1212" t="s">
        <v>537</v>
      </c>
      <c r="D1212" t="s">
        <v>92</v>
      </c>
      <c r="E1212" t="s">
        <v>103</v>
      </c>
      <c r="F1212" t="s">
        <v>244</v>
      </c>
      <c r="G1212" s="39">
        <v>45140</v>
      </c>
      <c r="J1212" t="s">
        <v>981</v>
      </c>
    </row>
    <row r="1213" spans="1:10" x14ac:dyDescent="0.35">
      <c r="A1213">
        <v>16074</v>
      </c>
      <c r="B1213" t="s">
        <v>8</v>
      </c>
      <c r="C1213" t="s">
        <v>537</v>
      </c>
      <c r="D1213" t="s">
        <v>92</v>
      </c>
      <c r="E1213" t="s">
        <v>538</v>
      </c>
      <c r="F1213" t="s">
        <v>244</v>
      </c>
      <c r="G1213" s="39">
        <v>45275</v>
      </c>
      <c r="J1213" t="s">
        <v>981</v>
      </c>
    </row>
    <row r="1214" spans="1:10" x14ac:dyDescent="0.35">
      <c r="A1214">
        <v>15814</v>
      </c>
      <c r="B1214" t="s">
        <v>8</v>
      </c>
      <c r="C1214" t="s">
        <v>537</v>
      </c>
      <c r="D1214" t="s">
        <v>92</v>
      </c>
      <c r="E1214" t="s">
        <v>538</v>
      </c>
      <c r="F1214" t="s">
        <v>244</v>
      </c>
      <c r="G1214" s="39">
        <v>45203</v>
      </c>
      <c r="J1214" t="s">
        <v>981</v>
      </c>
    </row>
    <row r="1215" spans="1:10" x14ac:dyDescent="0.35">
      <c r="A1215">
        <v>14308</v>
      </c>
      <c r="B1215" t="s">
        <v>8</v>
      </c>
      <c r="C1215" t="s">
        <v>537</v>
      </c>
      <c r="D1215" t="s">
        <v>92</v>
      </c>
      <c r="E1215" t="s">
        <v>538</v>
      </c>
      <c r="F1215" t="s">
        <v>244</v>
      </c>
      <c r="G1215" s="39">
        <v>44728</v>
      </c>
      <c r="J1215" t="s">
        <v>981</v>
      </c>
    </row>
    <row r="1216" spans="1:10" x14ac:dyDescent="0.35">
      <c r="A1216">
        <v>14921</v>
      </c>
      <c r="B1216" t="s">
        <v>8</v>
      </c>
      <c r="C1216" t="s">
        <v>537</v>
      </c>
      <c r="D1216" t="s">
        <v>92</v>
      </c>
      <c r="E1216" t="s">
        <v>538</v>
      </c>
      <c r="F1216" t="s">
        <v>244</v>
      </c>
      <c r="G1216" s="39">
        <v>44896</v>
      </c>
      <c r="J1216" t="s">
        <v>981</v>
      </c>
    </row>
    <row r="1217" spans="1:10" x14ac:dyDescent="0.35">
      <c r="A1217">
        <v>13540</v>
      </c>
      <c r="B1217" t="s">
        <v>8</v>
      </c>
      <c r="C1217" t="s">
        <v>537</v>
      </c>
      <c r="D1217" t="s">
        <v>92</v>
      </c>
      <c r="E1217" t="s">
        <v>538</v>
      </c>
      <c r="F1217" t="s">
        <v>244</v>
      </c>
      <c r="G1217" s="39">
        <v>44497</v>
      </c>
      <c r="J1217" t="s">
        <v>981</v>
      </c>
    </row>
    <row r="1218" spans="1:10" x14ac:dyDescent="0.35">
      <c r="A1218">
        <v>14537</v>
      </c>
      <c r="B1218" t="s">
        <v>8</v>
      </c>
      <c r="C1218" t="s">
        <v>537</v>
      </c>
      <c r="D1218" t="s">
        <v>92</v>
      </c>
      <c r="E1218" t="s">
        <v>538</v>
      </c>
      <c r="F1218" t="s">
        <v>244</v>
      </c>
      <c r="G1218" s="39">
        <v>44784</v>
      </c>
      <c r="J1218" t="s">
        <v>981</v>
      </c>
    </row>
    <row r="1219" spans="1:10" x14ac:dyDescent="0.35">
      <c r="A1219">
        <v>18104</v>
      </c>
      <c r="B1219" t="s">
        <v>8</v>
      </c>
      <c r="C1219" t="s">
        <v>537</v>
      </c>
      <c r="D1219" t="s">
        <v>92</v>
      </c>
      <c r="E1219" t="s">
        <v>538</v>
      </c>
      <c r="F1219" t="s">
        <v>244</v>
      </c>
      <c r="G1219" s="39">
        <v>45996</v>
      </c>
      <c r="J1219" t="s">
        <v>981</v>
      </c>
    </row>
    <row r="1220" spans="1:10" x14ac:dyDescent="0.35">
      <c r="A1220">
        <v>17199</v>
      </c>
      <c r="B1220" t="s">
        <v>8</v>
      </c>
      <c r="C1220" t="s">
        <v>537</v>
      </c>
      <c r="D1220" t="s">
        <v>92</v>
      </c>
      <c r="E1220" t="s">
        <v>436</v>
      </c>
      <c r="F1220" t="s">
        <v>244</v>
      </c>
      <c r="G1220" s="39">
        <v>45663</v>
      </c>
      <c r="J1220" t="s">
        <v>981</v>
      </c>
    </row>
    <row r="1221" spans="1:10" x14ac:dyDescent="0.35">
      <c r="A1221">
        <v>17200</v>
      </c>
      <c r="B1221" t="s">
        <v>8</v>
      </c>
      <c r="C1221" t="s">
        <v>537</v>
      </c>
      <c r="D1221" t="s">
        <v>92</v>
      </c>
      <c r="E1221" t="s">
        <v>436</v>
      </c>
      <c r="F1221" t="s">
        <v>244</v>
      </c>
      <c r="G1221" s="39">
        <v>45663</v>
      </c>
      <c r="J1221" t="s">
        <v>981</v>
      </c>
    </row>
    <row r="1222" spans="1:10" x14ac:dyDescent="0.35">
      <c r="A1222">
        <v>18680</v>
      </c>
      <c r="B1222" t="s">
        <v>8</v>
      </c>
      <c r="C1222" t="s">
        <v>166</v>
      </c>
      <c r="D1222" t="s">
        <v>92</v>
      </c>
      <c r="E1222" t="s">
        <v>109</v>
      </c>
      <c r="F1222" t="s">
        <v>244</v>
      </c>
      <c r="G1222" s="39">
        <v>46184</v>
      </c>
      <c r="H1222" t="s">
        <v>249</v>
      </c>
      <c r="J1222" t="s">
        <v>981</v>
      </c>
    </row>
    <row r="1223" spans="1:10" x14ac:dyDescent="0.35">
      <c r="A1223">
        <v>18682</v>
      </c>
      <c r="B1223" t="s">
        <v>8</v>
      </c>
      <c r="C1223" t="s">
        <v>166</v>
      </c>
      <c r="D1223" t="s">
        <v>92</v>
      </c>
      <c r="E1223" t="s">
        <v>109</v>
      </c>
      <c r="F1223" t="s">
        <v>244</v>
      </c>
      <c r="G1223" s="39">
        <v>46184</v>
      </c>
      <c r="H1223" t="s">
        <v>249</v>
      </c>
      <c r="J1223" t="s">
        <v>981</v>
      </c>
    </row>
    <row r="1224" spans="1:10" x14ac:dyDescent="0.35">
      <c r="A1224">
        <v>18685</v>
      </c>
      <c r="B1224" t="s">
        <v>8</v>
      </c>
      <c r="C1224" t="s">
        <v>166</v>
      </c>
      <c r="D1224" t="s">
        <v>92</v>
      </c>
      <c r="E1224" t="s">
        <v>109</v>
      </c>
      <c r="F1224" t="s">
        <v>244</v>
      </c>
      <c r="G1224" s="39">
        <v>46184</v>
      </c>
      <c r="H1224" t="s">
        <v>249</v>
      </c>
      <c r="J1224" t="s">
        <v>981</v>
      </c>
    </row>
    <row r="1225" spans="1:10" x14ac:dyDescent="0.35">
      <c r="A1225">
        <v>18676</v>
      </c>
      <c r="B1225" t="s">
        <v>8</v>
      </c>
      <c r="C1225" t="s">
        <v>166</v>
      </c>
      <c r="D1225" t="s">
        <v>92</v>
      </c>
      <c r="E1225" t="s">
        <v>109</v>
      </c>
      <c r="F1225" t="s">
        <v>244</v>
      </c>
      <c r="G1225" s="39">
        <v>46184</v>
      </c>
      <c r="H1225" t="s">
        <v>249</v>
      </c>
      <c r="J1225" t="s">
        <v>981</v>
      </c>
    </row>
    <row r="1226" spans="1:10" x14ac:dyDescent="0.35">
      <c r="A1226">
        <v>18684</v>
      </c>
      <c r="B1226" t="s">
        <v>8</v>
      </c>
      <c r="C1226" t="s">
        <v>166</v>
      </c>
      <c r="D1226" t="s">
        <v>92</v>
      </c>
      <c r="E1226" t="s">
        <v>109</v>
      </c>
      <c r="F1226" t="s">
        <v>244</v>
      </c>
      <c r="G1226" s="39">
        <v>46184</v>
      </c>
      <c r="H1226" t="s">
        <v>249</v>
      </c>
      <c r="J1226" t="s">
        <v>981</v>
      </c>
    </row>
    <row r="1227" spans="1:10" x14ac:dyDescent="0.35">
      <c r="A1227">
        <v>18679</v>
      </c>
      <c r="B1227" t="s">
        <v>8</v>
      </c>
      <c r="C1227" t="s">
        <v>166</v>
      </c>
      <c r="D1227" t="s">
        <v>92</v>
      </c>
      <c r="E1227" t="s">
        <v>109</v>
      </c>
      <c r="F1227" t="s">
        <v>244</v>
      </c>
      <c r="G1227" s="39">
        <v>46184</v>
      </c>
      <c r="H1227" t="s">
        <v>249</v>
      </c>
      <c r="J1227" t="s">
        <v>981</v>
      </c>
    </row>
    <row r="1228" spans="1:10" x14ac:dyDescent="0.35">
      <c r="A1228">
        <v>18689</v>
      </c>
      <c r="B1228" t="s">
        <v>8</v>
      </c>
      <c r="C1228" t="s">
        <v>166</v>
      </c>
      <c r="D1228" t="s">
        <v>92</v>
      </c>
      <c r="E1228" t="s">
        <v>109</v>
      </c>
      <c r="F1228" t="s">
        <v>244</v>
      </c>
      <c r="G1228" s="39">
        <v>46185</v>
      </c>
      <c r="H1228" t="s">
        <v>249</v>
      </c>
      <c r="J1228" t="s">
        <v>981</v>
      </c>
    </row>
    <row r="1229" spans="1:10" x14ac:dyDescent="0.35">
      <c r="A1229">
        <v>18673</v>
      </c>
      <c r="B1229" t="s">
        <v>8</v>
      </c>
      <c r="C1229" t="s">
        <v>166</v>
      </c>
      <c r="D1229" t="s">
        <v>92</v>
      </c>
      <c r="E1229" t="s">
        <v>102</v>
      </c>
      <c r="F1229" t="s">
        <v>244</v>
      </c>
      <c r="G1229" s="39">
        <v>46184</v>
      </c>
      <c r="H1229" t="s">
        <v>249</v>
      </c>
      <c r="J1229" t="s">
        <v>981</v>
      </c>
    </row>
    <row r="1230" spans="1:10" x14ac:dyDescent="0.35">
      <c r="A1230">
        <v>18681</v>
      </c>
      <c r="B1230" t="s">
        <v>8</v>
      </c>
      <c r="C1230" t="s">
        <v>166</v>
      </c>
      <c r="D1230" t="s">
        <v>92</v>
      </c>
      <c r="E1230" t="s">
        <v>102</v>
      </c>
      <c r="F1230" t="s">
        <v>244</v>
      </c>
      <c r="G1230" s="39">
        <v>46184</v>
      </c>
      <c r="H1230" t="s">
        <v>249</v>
      </c>
      <c r="J1230" t="s">
        <v>981</v>
      </c>
    </row>
    <row r="1231" spans="1:10" x14ac:dyDescent="0.35">
      <c r="A1231">
        <v>18677</v>
      </c>
      <c r="B1231" t="s">
        <v>8</v>
      </c>
      <c r="C1231" t="s">
        <v>166</v>
      </c>
      <c r="D1231" t="s">
        <v>92</v>
      </c>
      <c r="E1231" t="s">
        <v>102</v>
      </c>
      <c r="F1231" t="s">
        <v>244</v>
      </c>
      <c r="G1231" s="39">
        <v>46184</v>
      </c>
      <c r="H1231" t="s">
        <v>249</v>
      </c>
      <c r="J1231" t="s">
        <v>981</v>
      </c>
    </row>
    <row r="1232" spans="1:10" x14ac:dyDescent="0.35">
      <c r="A1232">
        <v>18694</v>
      </c>
      <c r="B1232" t="s">
        <v>8</v>
      </c>
      <c r="C1232" t="s">
        <v>166</v>
      </c>
      <c r="D1232" t="s">
        <v>92</v>
      </c>
      <c r="E1232" t="s">
        <v>102</v>
      </c>
      <c r="F1232" t="s">
        <v>244</v>
      </c>
      <c r="G1232" s="39">
        <v>46185</v>
      </c>
      <c r="H1232" t="s">
        <v>249</v>
      </c>
      <c r="J1232" t="s">
        <v>981</v>
      </c>
    </row>
    <row r="1233" spans="1:10" x14ac:dyDescent="0.35">
      <c r="A1233">
        <v>18678</v>
      </c>
      <c r="B1233" t="s">
        <v>8</v>
      </c>
      <c r="C1233" t="s">
        <v>166</v>
      </c>
      <c r="D1233" t="s">
        <v>92</v>
      </c>
      <c r="E1233" t="s">
        <v>102</v>
      </c>
      <c r="F1233" t="s">
        <v>244</v>
      </c>
      <c r="G1233" s="39">
        <v>46184</v>
      </c>
      <c r="H1233" t="s">
        <v>249</v>
      </c>
      <c r="J1233" t="s">
        <v>981</v>
      </c>
    </row>
    <row r="1234" spans="1:10" x14ac:dyDescent="0.35">
      <c r="A1234">
        <v>18674</v>
      </c>
      <c r="B1234" t="s">
        <v>8</v>
      </c>
      <c r="C1234" t="s">
        <v>166</v>
      </c>
      <c r="D1234" t="s">
        <v>92</v>
      </c>
      <c r="E1234" t="s">
        <v>102</v>
      </c>
      <c r="F1234" t="s">
        <v>244</v>
      </c>
      <c r="G1234" s="39">
        <v>46184</v>
      </c>
      <c r="H1234" t="s">
        <v>249</v>
      </c>
      <c r="J1234" t="s">
        <v>981</v>
      </c>
    </row>
    <row r="1235" spans="1:10" x14ac:dyDescent="0.35">
      <c r="A1235">
        <v>18683</v>
      </c>
      <c r="B1235" t="s">
        <v>8</v>
      </c>
      <c r="C1235" t="s">
        <v>166</v>
      </c>
      <c r="D1235" t="s">
        <v>92</v>
      </c>
      <c r="E1235" t="s">
        <v>102</v>
      </c>
      <c r="F1235" t="s">
        <v>244</v>
      </c>
      <c r="G1235" s="39">
        <v>46184</v>
      </c>
      <c r="H1235" t="s">
        <v>249</v>
      </c>
      <c r="J1235" t="s">
        <v>981</v>
      </c>
    </row>
    <row r="1236" spans="1:10" x14ac:dyDescent="0.35">
      <c r="A1236">
        <v>18688</v>
      </c>
      <c r="B1236" t="s">
        <v>8</v>
      </c>
      <c r="C1236" t="s">
        <v>166</v>
      </c>
      <c r="D1236" t="s">
        <v>92</v>
      </c>
      <c r="E1236" t="s">
        <v>102</v>
      </c>
      <c r="F1236" t="s">
        <v>244</v>
      </c>
      <c r="G1236" s="39">
        <v>46185</v>
      </c>
      <c r="H1236" t="s">
        <v>249</v>
      </c>
      <c r="J1236" t="s">
        <v>981</v>
      </c>
    </row>
    <row r="1237" spans="1:10" x14ac:dyDescent="0.35">
      <c r="A1237">
        <v>18695</v>
      </c>
      <c r="B1237" t="s">
        <v>8</v>
      </c>
      <c r="C1237" t="s">
        <v>166</v>
      </c>
      <c r="D1237" t="s">
        <v>92</v>
      </c>
      <c r="E1237" t="s">
        <v>102</v>
      </c>
      <c r="F1237" t="s">
        <v>244</v>
      </c>
      <c r="G1237" s="39">
        <v>46185</v>
      </c>
      <c r="H1237" t="s">
        <v>249</v>
      </c>
      <c r="J1237" t="s">
        <v>981</v>
      </c>
    </row>
    <row r="1238" spans="1:10" x14ac:dyDescent="0.35">
      <c r="A1238">
        <v>18692</v>
      </c>
      <c r="B1238" t="s">
        <v>8</v>
      </c>
      <c r="C1238" t="s">
        <v>166</v>
      </c>
      <c r="D1238" t="s">
        <v>92</v>
      </c>
      <c r="E1238" t="s">
        <v>102</v>
      </c>
      <c r="F1238" t="s">
        <v>244</v>
      </c>
      <c r="G1238" s="39">
        <v>46185</v>
      </c>
      <c r="H1238" t="s">
        <v>249</v>
      </c>
      <c r="J1238" t="s">
        <v>981</v>
      </c>
    </row>
    <row r="1239" spans="1:10" x14ac:dyDescent="0.35">
      <c r="A1239">
        <v>18693</v>
      </c>
      <c r="B1239" t="s">
        <v>8</v>
      </c>
      <c r="C1239" t="s">
        <v>166</v>
      </c>
      <c r="D1239" t="s">
        <v>92</v>
      </c>
      <c r="E1239" t="s">
        <v>102</v>
      </c>
      <c r="F1239" t="s">
        <v>244</v>
      </c>
      <c r="G1239" s="39">
        <v>46185</v>
      </c>
      <c r="H1239" t="s">
        <v>249</v>
      </c>
      <c r="J1239" t="s">
        <v>981</v>
      </c>
    </row>
    <row r="1240" spans="1:10" x14ac:dyDescent="0.35">
      <c r="A1240">
        <v>18707</v>
      </c>
      <c r="B1240" t="s">
        <v>8</v>
      </c>
      <c r="C1240" t="s">
        <v>166</v>
      </c>
      <c r="D1240" t="s">
        <v>92</v>
      </c>
      <c r="E1240" t="s">
        <v>102</v>
      </c>
      <c r="F1240" t="s">
        <v>244</v>
      </c>
      <c r="G1240" s="39">
        <v>46190</v>
      </c>
      <c r="H1240" t="s">
        <v>249</v>
      </c>
      <c r="J1240" t="s">
        <v>981</v>
      </c>
    </row>
    <row r="1241" spans="1:10" x14ac:dyDescent="0.35">
      <c r="A1241">
        <v>18675</v>
      </c>
      <c r="B1241" t="s">
        <v>8</v>
      </c>
      <c r="C1241" t="s">
        <v>166</v>
      </c>
      <c r="D1241" t="s">
        <v>92</v>
      </c>
      <c r="E1241" t="s">
        <v>103</v>
      </c>
      <c r="F1241" t="s">
        <v>244</v>
      </c>
      <c r="G1241" s="39">
        <v>46184</v>
      </c>
      <c r="H1241" t="s">
        <v>249</v>
      </c>
      <c r="J1241" t="s">
        <v>981</v>
      </c>
    </row>
    <row r="1242" spans="1:10" x14ac:dyDescent="0.35">
      <c r="A1242">
        <v>18697</v>
      </c>
      <c r="B1242" t="s">
        <v>8</v>
      </c>
      <c r="C1242" t="s">
        <v>166</v>
      </c>
      <c r="D1242" t="s">
        <v>92</v>
      </c>
      <c r="E1242" t="s">
        <v>102</v>
      </c>
      <c r="F1242" t="s">
        <v>244</v>
      </c>
      <c r="G1242" s="39">
        <v>46185</v>
      </c>
      <c r="H1242" t="s">
        <v>249</v>
      </c>
      <c r="J1242" t="s">
        <v>981</v>
      </c>
    </row>
    <row r="1243" spans="1:10" x14ac:dyDescent="0.35">
      <c r="A1243">
        <v>18698</v>
      </c>
      <c r="B1243" t="s">
        <v>8</v>
      </c>
      <c r="C1243" t="s">
        <v>166</v>
      </c>
      <c r="D1243" t="s">
        <v>92</v>
      </c>
      <c r="E1243" t="s">
        <v>103</v>
      </c>
      <c r="F1243" t="s">
        <v>244</v>
      </c>
      <c r="G1243" s="39">
        <v>46185</v>
      </c>
      <c r="H1243" t="s">
        <v>249</v>
      </c>
      <c r="J1243" t="s">
        <v>981</v>
      </c>
    </row>
    <row r="1244" spans="1:10" x14ac:dyDescent="0.35">
      <c r="A1244">
        <v>18691</v>
      </c>
      <c r="B1244" t="s">
        <v>8</v>
      </c>
      <c r="C1244" t="s">
        <v>166</v>
      </c>
      <c r="D1244" t="s">
        <v>92</v>
      </c>
      <c r="E1244" t="s">
        <v>103</v>
      </c>
      <c r="F1244" t="s">
        <v>244</v>
      </c>
      <c r="G1244" s="39">
        <v>46185</v>
      </c>
      <c r="H1244" t="s">
        <v>249</v>
      </c>
      <c r="J1244" t="s">
        <v>981</v>
      </c>
    </row>
    <row r="1245" spans="1:10" x14ac:dyDescent="0.35">
      <c r="A1245">
        <v>18696</v>
      </c>
      <c r="B1245" t="s">
        <v>8</v>
      </c>
      <c r="C1245" t="s">
        <v>166</v>
      </c>
      <c r="D1245" t="s">
        <v>92</v>
      </c>
      <c r="E1245" t="s">
        <v>103</v>
      </c>
      <c r="F1245" t="s">
        <v>244</v>
      </c>
      <c r="G1245" s="39">
        <v>46185</v>
      </c>
      <c r="H1245" t="s">
        <v>249</v>
      </c>
      <c r="J1245" t="s">
        <v>981</v>
      </c>
    </row>
    <row r="1246" spans="1:10" x14ac:dyDescent="0.35">
      <c r="A1246">
        <v>18699</v>
      </c>
      <c r="B1246" t="s">
        <v>8</v>
      </c>
      <c r="C1246" t="s">
        <v>166</v>
      </c>
      <c r="D1246" t="s">
        <v>92</v>
      </c>
      <c r="E1246" t="s">
        <v>103</v>
      </c>
      <c r="F1246" t="s">
        <v>244</v>
      </c>
      <c r="G1246" s="39">
        <v>46185</v>
      </c>
      <c r="H1246" t="s">
        <v>249</v>
      </c>
      <c r="J1246" t="s">
        <v>981</v>
      </c>
    </row>
    <row r="1247" spans="1:10" x14ac:dyDescent="0.35">
      <c r="A1247">
        <v>18706</v>
      </c>
      <c r="B1247" t="s">
        <v>8</v>
      </c>
      <c r="C1247" t="s">
        <v>166</v>
      </c>
      <c r="D1247" t="s">
        <v>92</v>
      </c>
      <c r="E1247" t="s">
        <v>103</v>
      </c>
      <c r="F1247" t="s">
        <v>244</v>
      </c>
      <c r="G1247" s="39">
        <v>46190</v>
      </c>
      <c r="H1247" t="s">
        <v>249</v>
      </c>
      <c r="J1247" t="s">
        <v>981</v>
      </c>
    </row>
    <row r="1248" spans="1:10" x14ac:dyDescent="0.35">
      <c r="A1248">
        <v>18737</v>
      </c>
      <c r="B1248" t="s">
        <v>8</v>
      </c>
      <c r="C1248" t="s">
        <v>166</v>
      </c>
      <c r="D1248" t="s">
        <v>92</v>
      </c>
      <c r="E1248" t="s">
        <v>125</v>
      </c>
      <c r="F1248" t="s">
        <v>244</v>
      </c>
      <c r="G1248" s="39">
        <v>46197</v>
      </c>
      <c r="H1248" t="s">
        <v>249</v>
      </c>
      <c r="I1248" t="s">
        <v>1073</v>
      </c>
      <c r="J1248" t="s">
        <v>981</v>
      </c>
    </row>
    <row r="1249" spans="1:10" x14ac:dyDescent="0.35">
      <c r="A1249">
        <v>18738</v>
      </c>
      <c r="B1249" t="s">
        <v>8</v>
      </c>
      <c r="C1249" t="s">
        <v>166</v>
      </c>
      <c r="D1249" t="s">
        <v>92</v>
      </c>
      <c r="E1249" t="s">
        <v>125</v>
      </c>
      <c r="F1249" t="s">
        <v>244</v>
      </c>
      <c r="G1249" s="39">
        <v>46197</v>
      </c>
      <c r="H1249" t="s">
        <v>249</v>
      </c>
      <c r="I1249" t="s">
        <v>1073</v>
      </c>
      <c r="J1249" t="s">
        <v>981</v>
      </c>
    </row>
    <row r="1250" spans="1:10" x14ac:dyDescent="0.35">
      <c r="A1250">
        <v>18739</v>
      </c>
      <c r="B1250" t="s">
        <v>8</v>
      </c>
      <c r="C1250" t="s">
        <v>166</v>
      </c>
      <c r="D1250" t="s">
        <v>92</v>
      </c>
      <c r="E1250" t="s">
        <v>125</v>
      </c>
      <c r="F1250" t="s">
        <v>244</v>
      </c>
      <c r="G1250" s="39">
        <v>46197</v>
      </c>
      <c r="H1250" t="s">
        <v>249</v>
      </c>
      <c r="I1250" t="s">
        <v>1073</v>
      </c>
      <c r="J1250" t="s">
        <v>981</v>
      </c>
    </row>
    <row r="1251" spans="1:10" x14ac:dyDescent="0.35">
      <c r="A1251">
        <v>10473</v>
      </c>
      <c r="B1251" t="s">
        <v>9</v>
      </c>
      <c r="C1251" t="s">
        <v>164</v>
      </c>
      <c r="D1251" t="s">
        <v>92</v>
      </c>
      <c r="E1251" t="s">
        <v>101</v>
      </c>
      <c r="F1251" t="s">
        <v>244</v>
      </c>
      <c r="G1251" s="39">
        <v>40191</v>
      </c>
      <c r="J1251" t="s">
        <v>981</v>
      </c>
    </row>
    <row r="1252" spans="1:10" x14ac:dyDescent="0.35">
      <c r="A1252">
        <v>810014</v>
      </c>
      <c r="B1252" t="s">
        <v>9</v>
      </c>
      <c r="C1252" t="s">
        <v>165</v>
      </c>
      <c r="D1252" t="s">
        <v>92</v>
      </c>
      <c r="E1252" t="s">
        <v>99</v>
      </c>
      <c r="F1252" t="s">
        <v>244</v>
      </c>
      <c r="G1252" s="39">
        <v>42254</v>
      </c>
      <c r="J1252" t="s">
        <v>981</v>
      </c>
    </row>
    <row r="1253" spans="1:10" x14ac:dyDescent="0.35">
      <c r="A1253">
        <v>11168</v>
      </c>
      <c r="B1253" t="s">
        <v>9</v>
      </c>
      <c r="C1253" t="s">
        <v>163</v>
      </c>
      <c r="D1253" t="s">
        <v>92</v>
      </c>
      <c r="E1253" t="s">
        <v>99</v>
      </c>
      <c r="F1253" t="s">
        <v>244</v>
      </c>
      <c r="G1253" s="39">
        <v>42348</v>
      </c>
      <c r="J1253" t="s">
        <v>981</v>
      </c>
    </row>
    <row r="1254" spans="1:10" x14ac:dyDescent="0.35">
      <c r="A1254">
        <v>11841</v>
      </c>
      <c r="B1254" t="s">
        <v>9</v>
      </c>
      <c r="C1254" t="s">
        <v>163</v>
      </c>
      <c r="D1254" t="s">
        <v>92</v>
      </c>
      <c r="E1254" t="s">
        <v>99</v>
      </c>
      <c r="F1254" t="s">
        <v>244</v>
      </c>
      <c r="G1254" s="39">
        <v>43192</v>
      </c>
      <c r="J1254" t="s">
        <v>981</v>
      </c>
    </row>
    <row r="1255" spans="1:10" x14ac:dyDescent="0.35">
      <c r="A1255">
        <v>18568</v>
      </c>
      <c r="B1255" t="s">
        <v>9</v>
      </c>
      <c r="C1255" t="s">
        <v>163</v>
      </c>
      <c r="D1255" t="s">
        <v>92</v>
      </c>
      <c r="E1255" t="s">
        <v>99</v>
      </c>
      <c r="F1255" t="s">
        <v>244</v>
      </c>
      <c r="G1255" s="39">
        <v>46154</v>
      </c>
      <c r="H1255" t="s">
        <v>249</v>
      </c>
      <c r="J1255" t="s">
        <v>981</v>
      </c>
    </row>
    <row r="1256" spans="1:10" x14ac:dyDescent="0.35">
      <c r="A1256">
        <v>240003</v>
      </c>
      <c r="B1256" t="s">
        <v>9</v>
      </c>
      <c r="C1256" t="s">
        <v>163</v>
      </c>
      <c r="D1256" t="s">
        <v>92</v>
      </c>
      <c r="E1256" t="s">
        <v>99</v>
      </c>
      <c r="F1256" t="s">
        <v>244</v>
      </c>
      <c r="G1256" s="39">
        <v>39966</v>
      </c>
      <c r="J1256" t="s">
        <v>981</v>
      </c>
    </row>
    <row r="1257" spans="1:10" x14ac:dyDescent="0.35">
      <c r="A1257">
        <v>10393</v>
      </c>
      <c r="B1257" t="s">
        <v>9</v>
      </c>
      <c r="C1257" t="s">
        <v>164</v>
      </c>
      <c r="D1257" t="s">
        <v>92</v>
      </c>
      <c r="E1257" t="s">
        <v>99</v>
      </c>
      <c r="F1257" t="s">
        <v>244</v>
      </c>
      <c r="G1257" s="39">
        <v>40010</v>
      </c>
      <c r="J1257" t="s">
        <v>981</v>
      </c>
    </row>
    <row r="1258" spans="1:10" x14ac:dyDescent="0.35">
      <c r="A1258">
        <v>10712</v>
      </c>
      <c r="B1258" t="s">
        <v>9</v>
      </c>
      <c r="C1258" t="s">
        <v>165</v>
      </c>
      <c r="D1258" t="s">
        <v>92</v>
      </c>
      <c r="E1258" t="s">
        <v>109</v>
      </c>
      <c r="F1258" t="s">
        <v>244</v>
      </c>
      <c r="G1258" s="39">
        <v>41703</v>
      </c>
      <c r="J1258" t="s">
        <v>981</v>
      </c>
    </row>
    <row r="1259" spans="1:10" x14ac:dyDescent="0.35">
      <c r="A1259">
        <v>19109</v>
      </c>
      <c r="B1259" t="s">
        <v>9</v>
      </c>
      <c r="C1259" t="s">
        <v>165</v>
      </c>
      <c r="D1259" t="s">
        <v>92</v>
      </c>
      <c r="E1259" t="s">
        <v>266</v>
      </c>
      <c r="F1259" t="s">
        <v>244</v>
      </c>
      <c r="G1259" s="39">
        <v>46267</v>
      </c>
      <c r="H1259" t="s">
        <v>249</v>
      </c>
      <c r="J1259" t="s">
        <v>981</v>
      </c>
    </row>
    <row r="1260" spans="1:10" x14ac:dyDescent="0.35">
      <c r="A1260">
        <v>19113</v>
      </c>
      <c r="B1260" t="s">
        <v>9</v>
      </c>
      <c r="C1260" t="s">
        <v>165</v>
      </c>
      <c r="D1260" t="s">
        <v>92</v>
      </c>
      <c r="E1260" t="s">
        <v>266</v>
      </c>
      <c r="F1260" t="s">
        <v>244</v>
      </c>
      <c r="G1260" s="39">
        <v>46267</v>
      </c>
      <c r="H1260" t="s">
        <v>249</v>
      </c>
      <c r="J1260" t="s">
        <v>981</v>
      </c>
    </row>
    <row r="1261" spans="1:10" x14ac:dyDescent="0.35">
      <c r="A1261">
        <v>19110</v>
      </c>
      <c r="B1261" t="s">
        <v>9</v>
      </c>
      <c r="C1261" t="s">
        <v>165</v>
      </c>
      <c r="D1261" t="s">
        <v>92</v>
      </c>
      <c r="E1261" t="s">
        <v>266</v>
      </c>
      <c r="F1261" t="s">
        <v>244</v>
      </c>
      <c r="G1261" s="39">
        <v>46267</v>
      </c>
      <c r="H1261" t="s">
        <v>249</v>
      </c>
      <c r="J1261" t="s">
        <v>981</v>
      </c>
    </row>
    <row r="1262" spans="1:10" x14ac:dyDescent="0.35">
      <c r="A1262">
        <v>19111</v>
      </c>
      <c r="B1262" t="s">
        <v>9</v>
      </c>
      <c r="C1262" t="s">
        <v>165</v>
      </c>
      <c r="D1262" t="s">
        <v>92</v>
      </c>
      <c r="E1262" t="s">
        <v>266</v>
      </c>
      <c r="F1262" t="s">
        <v>244</v>
      </c>
      <c r="G1262" s="39">
        <v>46267</v>
      </c>
      <c r="H1262" t="s">
        <v>249</v>
      </c>
      <c r="J1262" t="s">
        <v>981</v>
      </c>
    </row>
    <row r="1263" spans="1:10" x14ac:dyDescent="0.35">
      <c r="A1263">
        <v>19112</v>
      </c>
      <c r="B1263" t="s">
        <v>9</v>
      </c>
      <c r="C1263" t="s">
        <v>165</v>
      </c>
      <c r="D1263" t="s">
        <v>92</v>
      </c>
      <c r="E1263" t="s">
        <v>266</v>
      </c>
      <c r="F1263" t="s">
        <v>244</v>
      </c>
      <c r="G1263" s="39">
        <v>46267</v>
      </c>
      <c r="H1263" t="s">
        <v>249</v>
      </c>
      <c r="J1263" t="s">
        <v>981</v>
      </c>
    </row>
    <row r="1264" spans="1:10" x14ac:dyDescent="0.35">
      <c r="A1264">
        <v>19114</v>
      </c>
      <c r="B1264" t="s">
        <v>9</v>
      </c>
      <c r="C1264" t="s">
        <v>165</v>
      </c>
      <c r="D1264" t="s">
        <v>92</v>
      </c>
      <c r="E1264" t="s">
        <v>266</v>
      </c>
      <c r="F1264" t="s">
        <v>244</v>
      </c>
      <c r="G1264" s="39">
        <v>46267</v>
      </c>
      <c r="H1264" t="s">
        <v>249</v>
      </c>
      <c r="J1264" t="s">
        <v>981</v>
      </c>
    </row>
    <row r="1265" spans="1:10" x14ac:dyDescent="0.35">
      <c r="A1265">
        <v>19115</v>
      </c>
      <c r="B1265" t="s">
        <v>9</v>
      </c>
      <c r="C1265" t="s">
        <v>165</v>
      </c>
      <c r="D1265" t="s">
        <v>92</v>
      </c>
      <c r="E1265" t="s">
        <v>266</v>
      </c>
      <c r="F1265" t="s">
        <v>244</v>
      </c>
      <c r="G1265" s="39">
        <v>46267</v>
      </c>
      <c r="H1265" t="s">
        <v>249</v>
      </c>
      <c r="J1265" t="s">
        <v>981</v>
      </c>
    </row>
    <row r="1266" spans="1:10" x14ac:dyDescent="0.35">
      <c r="A1266">
        <v>19188</v>
      </c>
      <c r="B1266" t="s">
        <v>9</v>
      </c>
      <c r="C1266" t="s">
        <v>165</v>
      </c>
      <c r="D1266" t="s">
        <v>92</v>
      </c>
      <c r="E1266" t="s">
        <v>266</v>
      </c>
      <c r="F1266" t="s">
        <v>244</v>
      </c>
      <c r="G1266" s="39">
        <v>46274</v>
      </c>
      <c r="H1266" t="s">
        <v>249</v>
      </c>
      <c r="J1266" t="s">
        <v>981</v>
      </c>
    </row>
    <row r="1267" spans="1:10" x14ac:dyDescent="0.35">
      <c r="A1267">
        <v>18927</v>
      </c>
      <c r="B1267" t="s">
        <v>9</v>
      </c>
      <c r="C1267" t="s">
        <v>165</v>
      </c>
      <c r="D1267" t="s">
        <v>92</v>
      </c>
      <c r="E1267" t="s">
        <v>267</v>
      </c>
      <c r="F1267" t="s">
        <v>244</v>
      </c>
      <c r="G1267" s="39">
        <v>46239</v>
      </c>
      <c r="H1267" t="s">
        <v>249</v>
      </c>
      <c r="J1267" t="s">
        <v>981</v>
      </c>
    </row>
    <row r="1268" spans="1:10" x14ac:dyDescent="0.35">
      <c r="A1268">
        <v>18926</v>
      </c>
      <c r="B1268" t="s">
        <v>9</v>
      </c>
      <c r="C1268" t="s">
        <v>165</v>
      </c>
      <c r="D1268" t="s">
        <v>92</v>
      </c>
      <c r="E1268" t="s">
        <v>167</v>
      </c>
      <c r="F1268" t="s">
        <v>244</v>
      </c>
      <c r="G1268" s="39">
        <v>46239</v>
      </c>
      <c r="H1268" t="s">
        <v>249</v>
      </c>
      <c r="J1268" t="s">
        <v>981</v>
      </c>
    </row>
    <row r="1269" spans="1:10" x14ac:dyDescent="0.35">
      <c r="A1269">
        <v>19117</v>
      </c>
      <c r="B1269" t="s">
        <v>9</v>
      </c>
      <c r="C1269" t="s">
        <v>165</v>
      </c>
      <c r="D1269" t="s">
        <v>92</v>
      </c>
      <c r="E1269" t="s">
        <v>268</v>
      </c>
      <c r="F1269" t="s">
        <v>244</v>
      </c>
      <c r="G1269" s="39">
        <v>46267</v>
      </c>
      <c r="H1269" t="s">
        <v>249</v>
      </c>
      <c r="J1269" t="s">
        <v>981</v>
      </c>
    </row>
    <row r="1270" spans="1:10" x14ac:dyDescent="0.35">
      <c r="A1270">
        <v>19116</v>
      </c>
      <c r="B1270" t="s">
        <v>9</v>
      </c>
      <c r="C1270" t="s">
        <v>165</v>
      </c>
      <c r="D1270" t="s">
        <v>92</v>
      </c>
      <c r="E1270" t="s">
        <v>268</v>
      </c>
      <c r="F1270" t="s">
        <v>244</v>
      </c>
      <c r="G1270" s="39">
        <v>46267</v>
      </c>
      <c r="H1270" t="s">
        <v>249</v>
      </c>
      <c r="J1270" t="s">
        <v>981</v>
      </c>
    </row>
    <row r="1271" spans="1:10" x14ac:dyDescent="0.35">
      <c r="A1271">
        <v>19118</v>
      </c>
      <c r="B1271" t="s">
        <v>9</v>
      </c>
      <c r="C1271" t="s">
        <v>165</v>
      </c>
      <c r="D1271" t="s">
        <v>92</v>
      </c>
      <c r="E1271" t="s">
        <v>268</v>
      </c>
      <c r="F1271" t="s">
        <v>244</v>
      </c>
      <c r="G1271" s="39">
        <v>46267</v>
      </c>
      <c r="H1271" t="s">
        <v>249</v>
      </c>
      <c r="J1271" t="s">
        <v>981</v>
      </c>
    </row>
    <row r="1272" spans="1:10" x14ac:dyDescent="0.35">
      <c r="A1272">
        <v>19119</v>
      </c>
      <c r="B1272" t="s">
        <v>9</v>
      </c>
      <c r="C1272" t="s">
        <v>165</v>
      </c>
      <c r="D1272" t="s">
        <v>92</v>
      </c>
      <c r="E1272" t="s">
        <v>268</v>
      </c>
      <c r="F1272" t="s">
        <v>244</v>
      </c>
      <c r="G1272" s="39">
        <v>46267</v>
      </c>
      <c r="H1272" t="s">
        <v>249</v>
      </c>
      <c r="J1272" t="s">
        <v>981</v>
      </c>
    </row>
    <row r="1273" spans="1:10" x14ac:dyDescent="0.35">
      <c r="A1273">
        <v>19120</v>
      </c>
      <c r="B1273" t="s">
        <v>9</v>
      </c>
      <c r="C1273" t="s">
        <v>165</v>
      </c>
      <c r="D1273" t="s">
        <v>92</v>
      </c>
      <c r="E1273" t="s">
        <v>268</v>
      </c>
      <c r="F1273" t="s">
        <v>244</v>
      </c>
      <c r="G1273" s="39">
        <v>46267</v>
      </c>
      <c r="H1273" t="s">
        <v>249</v>
      </c>
      <c r="J1273" t="s">
        <v>981</v>
      </c>
    </row>
    <row r="1274" spans="1:10" x14ac:dyDescent="0.35">
      <c r="A1274">
        <v>18966</v>
      </c>
      <c r="B1274" t="s">
        <v>9</v>
      </c>
      <c r="C1274" t="s">
        <v>165</v>
      </c>
      <c r="D1274" t="s">
        <v>92</v>
      </c>
      <c r="E1274" t="s">
        <v>168</v>
      </c>
      <c r="F1274" t="s">
        <v>244</v>
      </c>
      <c r="G1274" s="39">
        <v>46246</v>
      </c>
      <c r="H1274" t="s">
        <v>249</v>
      </c>
      <c r="J1274" t="s">
        <v>981</v>
      </c>
    </row>
    <row r="1275" spans="1:10" x14ac:dyDescent="0.35">
      <c r="A1275">
        <v>18998</v>
      </c>
      <c r="B1275" t="s">
        <v>9</v>
      </c>
      <c r="C1275" t="s">
        <v>165</v>
      </c>
      <c r="D1275" t="s">
        <v>92</v>
      </c>
      <c r="E1275" t="s">
        <v>169</v>
      </c>
      <c r="F1275" t="s">
        <v>244</v>
      </c>
      <c r="G1275" s="39">
        <v>46252</v>
      </c>
      <c r="H1275" t="s">
        <v>249</v>
      </c>
      <c r="J1275" t="s">
        <v>981</v>
      </c>
    </row>
    <row r="1276" spans="1:10" x14ac:dyDescent="0.35">
      <c r="A1276">
        <v>19024</v>
      </c>
      <c r="B1276" t="s">
        <v>9</v>
      </c>
      <c r="C1276" t="s">
        <v>165</v>
      </c>
      <c r="D1276" t="s">
        <v>92</v>
      </c>
      <c r="E1276" t="s">
        <v>269</v>
      </c>
      <c r="F1276" t="s">
        <v>244</v>
      </c>
      <c r="G1276" s="39">
        <v>46258</v>
      </c>
      <c r="H1276" t="s">
        <v>249</v>
      </c>
      <c r="J1276" t="s">
        <v>981</v>
      </c>
    </row>
    <row r="1277" spans="1:10" x14ac:dyDescent="0.35">
      <c r="A1277">
        <v>19025</v>
      </c>
      <c r="B1277" t="s">
        <v>9</v>
      </c>
      <c r="C1277" t="s">
        <v>165</v>
      </c>
      <c r="D1277" t="s">
        <v>92</v>
      </c>
      <c r="E1277" t="s">
        <v>270</v>
      </c>
      <c r="F1277" t="s">
        <v>244</v>
      </c>
      <c r="G1277" s="39">
        <v>46258</v>
      </c>
      <c r="H1277" t="s">
        <v>249</v>
      </c>
      <c r="J1277" t="s">
        <v>981</v>
      </c>
    </row>
    <row r="1278" spans="1:10" x14ac:dyDescent="0.35">
      <c r="A1278">
        <v>19027</v>
      </c>
      <c r="B1278" t="s">
        <v>9</v>
      </c>
      <c r="C1278" t="s">
        <v>165</v>
      </c>
      <c r="D1278" t="s">
        <v>92</v>
      </c>
      <c r="E1278" t="s">
        <v>270</v>
      </c>
      <c r="F1278" t="s">
        <v>244</v>
      </c>
      <c r="G1278" s="39">
        <v>46258</v>
      </c>
      <c r="H1278" t="s">
        <v>249</v>
      </c>
      <c r="J1278" t="s">
        <v>981</v>
      </c>
    </row>
    <row r="1279" spans="1:10" x14ac:dyDescent="0.35">
      <c r="A1279">
        <v>19028</v>
      </c>
      <c r="B1279" t="s">
        <v>9</v>
      </c>
      <c r="C1279" t="s">
        <v>165</v>
      </c>
      <c r="D1279" t="s">
        <v>92</v>
      </c>
      <c r="E1279" t="s">
        <v>270</v>
      </c>
      <c r="F1279" t="s">
        <v>244</v>
      </c>
      <c r="G1279" s="39">
        <v>46258</v>
      </c>
      <c r="H1279" t="s">
        <v>249</v>
      </c>
      <c r="J1279" t="s">
        <v>981</v>
      </c>
    </row>
    <row r="1280" spans="1:10" x14ac:dyDescent="0.35">
      <c r="A1280">
        <v>19026</v>
      </c>
      <c r="B1280" t="s">
        <v>9</v>
      </c>
      <c r="C1280" t="s">
        <v>165</v>
      </c>
      <c r="D1280" t="s">
        <v>92</v>
      </c>
      <c r="E1280" t="s">
        <v>271</v>
      </c>
      <c r="F1280" t="s">
        <v>244</v>
      </c>
      <c r="G1280" s="39">
        <v>46258</v>
      </c>
      <c r="H1280" t="s">
        <v>249</v>
      </c>
      <c r="J1280" t="s">
        <v>981</v>
      </c>
    </row>
    <row r="1281" spans="1:10" x14ac:dyDescent="0.35">
      <c r="A1281">
        <v>19187</v>
      </c>
      <c r="B1281" t="s">
        <v>9</v>
      </c>
      <c r="C1281" t="s">
        <v>165</v>
      </c>
      <c r="D1281" t="s">
        <v>92</v>
      </c>
      <c r="E1281" t="s">
        <v>271</v>
      </c>
      <c r="F1281" t="s">
        <v>244</v>
      </c>
      <c r="G1281" s="39">
        <v>46274</v>
      </c>
      <c r="H1281" t="s">
        <v>249</v>
      </c>
      <c r="J1281" t="s">
        <v>981</v>
      </c>
    </row>
    <row r="1282" spans="1:10" x14ac:dyDescent="0.35">
      <c r="A1282">
        <v>14016</v>
      </c>
      <c r="B1282" t="s">
        <v>9</v>
      </c>
      <c r="C1282" t="s">
        <v>163</v>
      </c>
      <c r="D1282" t="s">
        <v>92</v>
      </c>
      <c r="E1282" t="s">
        <v>102</v>
      </c>
      <c r="F1282" t="s">
        <v>244</v>
      </c>
      <c r="G1282" s="39">
        <v>44624</v>
      </c>
      <c r="J1282" t="s">
        <v>981</v>
      </c>
    </row>
    <row r="1283" spans="1:10" x14ac:dyDescent="0.35">
      <c r="A1283">
        <v>10852</v>
      </c>
      <c r="B1283" t="s">
        <v>9</v>
      </c>
      <c r="C1283" t="s">
        <v>163</v>
      </c>
      <c r="D1283" t="s">
        <v>92</v>
      </c>
      <c r="E1283" t="s">
        <v>102</v>
      </c>
      <c r="F1283" t="s">
        <v>244</v>
      </c>
      <c r="G1283" s="39">
        <v>41997</v>
      </c>
      <c r="J1283" t="s">
        <v>981</v>
      </c>
    </row>
    <row r="1284" spans="1:10" x14ac:dyDescent="0.35">
      <c r="A1284">
        <v>18558</v>
      </c>
      <c r="B1284" t="s">
        <v>9</v>
      </c>
      <c r="C1284" t="s">
        <v>163</v>
      </c>
      <c r="D1284" t="s">
        <v>92</v>
      </c>
      <c r="E1284" t="s">
        <v>102</v>
      </c>
      <c r="F1284" t="s">
        <v>244</v>
      </c>
      <c r="G1284" s="39">
        <v>46150</v>
      </c>
      <c r="H1284" t="s">
        <v>249</v>
      </c>
      <c r="J1284" t="s">
        <v>981</v>
      </c>
    </row>
    <row r="1285" spans="1:10" x14ac:dyDescent="0.35">
      <c r="A1285">
        <v>200004</v>
      </c>
      <c r="B1285" t="s">
        <v>9</v>
      </c>
      <c r="C1285" t="s">
        <v>163</v>
      </c>
      <c r="D1285" t="s">
        <v>92</v>
      </c>
      <c r="E1285" t="s">
        <v>103</v>
      </c>
      <c r="F1285" t="s">
        <v>244</v>
      </c>
      <c r="G1285" s="39">
        <v>43210</v>
      </c>
      <c r="J1285" t="s">
        <v>981</v>
      </c>
    </row>
    <row r="1286" spans="1:10" x14ac:dyDescent="0.35">
      <c r="A1286">
        <v>10221</v>
      </c>
      <c r="B1286" t="s">
        <v>9</v>
      </c>
      <c r="C1286" t="s">
        <v>163</v>
      </c>
      <c r="D1286" t="s">
        <v>92</v>
      </c>
      <c r="E1286" t="s">
        <v>170</v>
      </c>
      <c r="F1286" t="s">
        <v>244</v>
      </c>
      <c r="G1286" s="39">
        <v>36713</v>
      </c>
      <c r="J1286" t="s">
        <v>981</v>
      </c>
    </row>
    <row r="1287" spans="1:10" x14ac:dyDescent="0.35">
      <c r="A1287">
        <v>900036</v>
      </c>
      <c r="B1287" t="s">
        <v>9</v>
      </c>
      <c r="C1287" t="s">
        <v>165</v>
      </c>
      <c r="D1287" t="s">
        <v>92</v>
      </c>
      <c r="E1287" t="s">
        <v>170</v>
      </c>
      <c r="F1287" t="s">
        <v>244</v>
      </c>
      <c r="G1287" s="39">
        <v>41823</v>
      </c>
      <c r="J1287" t="s">
        <v>981</v>
      </c>
    </row>
    <row r="1288" spans="1:10" x14ac:dyDescent="0.35">
      <c r="A1288">
        <v>11128</v>
      </c>
      <c r="B1288" t="s">
        <v>9</v>
      </c>
      <c r="C1288" t="s">
        <v>164</v>
      </c>
      <c r="D1288" t="s">
        <v>92</v>
      </c>
      <c r="E1288" t="s">
        <v>170</v>
      </c>
      <c r="F1288" t="s">
        <v>244</v>
      </c>
      <c r="G1288" s="39">
        <v>42299</v>
      </c>
      <c r="J1288" t="s">
        <v>981</v>
      </c>
    </row>
    <row r="1289" spans="1:10" x14ac:dyDescent="0.35">
      <c r="A1289">
        <v>16360</v>
      </c>
      <c r="B1289" t="s">
        <v>9</v>
      </c>
      <c r="C1289" t="s">
        <v>163</v>
      </c>
      <c r="D1289" t="s">
        <v>92</v>
      </c>
      <c r="E1289" t="s">
        <v>170</v>
      </c>
      <c r="F1289" t="s">
        <v>244</v>
      </c>
      <c r="G1289" s="39">
        <v>45357</v>
      </c>
      <c r="J1289" t="s">
        <v>981</v>
      </c>
    </row>
    <row r="1290" spans="1:10" x14ac:dyDescent="0.35">
      <c r="A1290">
        <v>16361</v>
      </c>
      <c r="B1290" t="s">
        <v>9</v>
      </c>
      <c r="C1290" t="s">
        <v>163</v>
      </c>
      <c r="D1290" t="s">
        <v>92</v>
      </c>
      <c r="E1290" t="s">
        <v>170</v>
      </c>
      <c r="F1290" t="s">
        <v>244</v>
      </c>
      <c r="G1290" s="39">
        <v>45357</v>
      </c>
      <c r="J1290" t="s">
        <v>981</v>
      </c>
    </row>
    <row r="1291" spans="1:10" x14ac:dyDescent="0.35">
      <c r="A1291">
        <v>16362</v>
      </c>
      <c r="B1291" t="s">
        <v>9</v>
      </c>
      <c r="C1291" t="s">
        <v>163</v>
      </c>
      <c r="D1291" t="s">
        <v>92</v>
      </c>
      <c r="E1291" t="s">
        <v>170</v>
      </c>
      <c r="F1291" t="s">
        <v>244</v>
      </c>
      <c r="G1291" s="39">
        <v>45357</v>
      </c>
      <c r="J1291" t="s">
        <v>981</v>
      </c>
    </row>
    <row r="1292" spans="1:10" x14ac:dyDescent="0.35">
      <c r="A1292">
        <v>16364</v>
      </c>
      <c r="B1292" t="s">
        <v>9</v>
      </c>
      <c r="C1292" t="s">
        <v>163</v>
      </c>
      <c r="D1292" t="s">
        <v>92</v>
      </c>
      <c r="E1292" t="s">
        <v>170</v>
      </c>
      <c r="F1292" t="s">
        <v>244</v>
      </c>
      <c r="G1292" s="39">
        <v>45357</v>
      </c>
      <c r="J1292" t="s">
        <v>981</v>
      </c>
    </row>
    <row r="1293" spans="1:10" x14ac:dyDescent="0.35">
      <c r="A1293">
        <v>11690</v>
      </c>
      <c r="B1293" t="s">
        <v>9</v>
      </c>
      <c r="C1293" t="s">
        <v>165</v>
      </c>
      <c r="D1293" t="s">
        <v>92</v>
      </c>
      <c r="E1293" t="s">
        <v>170</v>
      </c>
      <c r="F1293" t="s">
        <v>244</v>
      </c>
      <c r="G1293" s="39">
        <v>43024</v>
      </c>
      <c r="J1293" t="s">
        <v>981</v>
      </c>
    </row>
    <row r="1294" spans="1:10" x14ac:dyDescent="0.35">
      <c r="A1294">
        <v>18559</v>
      </c>
      <c r="B1294" t="s">
        <v>9</v>
      </c>
      <c r="C1294" t="s">
        <v>165</v>
      </c>
      <c r="D1294" t="s">
        <v>92</v>
      </c>
      <c r="E1294" t="s">
        <v>170</v>
      </c>
      <c r="F1294" t="s">
        <v>244</v>
      </c>
      <c r="G1294" s="39">
        <v>46154</v>
      </c>
      <c r="H1294" t="s">
        <v>249</v>
      </c>
      <c r="J1294" t="s">
        <v>981</v>
      </c>
    </row>
    <row r="1295" spans="1:10" x14ac:dyDescent="0.35">
      <c r="A1295">
        <v>18566</v>
      </c>
      <c r="B1295" t="s">
        <v>9</v>
      </c>
      <c r="C1295" t="s">
        <v>165</v>
      </c>
      <c r="D1295" t="s">
        <v>92</v>
      </c>
      <c r="E1295" t="s">
        <v>170</v>
      </c>
      <c r="F1295" t="s">
        <v>244</v>
      </c>
      <c r="G1295" s="39">
        <v>46154</v>
      </c>
      <c r="H1295" t="s">
        <v>249</v>
      </c>
      <c r="J1295" t="s">
        <v>981</v>
      </c>
    </row>
    <row r="1296" spans="1:10" x14ac:dyDescent="0.35">
      <c r="A1296">
        <v>18560</v>
      </c>
      <c r="B1296" t="s">
        <v>9</v>
      </c>
      <c r="C1296" t="s">
        <v>165</v>
      </c>
      <c r="D1296" t="s">
        <v>92</v>
      </c>
      <c r="E1296" t="s">
        <v>170</v>
      </c>
      <c r="F1296" t="s">
        <v>244</v>
      </c>
      <c r="G1296" s="39">
        <v>46154</v>
      </c>
      <c r="H1296" t="s">
        <v>249</v>
      </c>
      <c r="J1296" t="s">
        <v>981</v>
      </c>
    </row>
    <row r="1297" spans="1:10" x14ac:dyDescent="0.35">
      <c r="A1297">
        <v>15206</v>
      </c>
      <c r="B1297" t="s">
        <v>9</v>
      </c>
      <c r="C1297" t="s">
        <v>164</v>
      </c>
      <c r="D1297" t="s">
        <v>92</v>
      </c>
      <c r="E1297" t="s">
        <v>170</v>
      </c>
      <c r="F1297" t="s">
        <v>244</v>
      </c>
      <c r="G1297" s="39">
        <v>44987</v>
      </c>
      <c r="J1297" t="s">
        <v>981</v>
      </c>
    </row>
    <row r="1298" spans="1:10" x14ac:dyDescent="0.35">
      <c r="A1298">
        <v>14802</v>
      </c>
      <c r="B1298" t="s">
        <v>9</v>
      </c>
      <c r="C1298" t="s">
        <v>165</v>
      </c>
      <c r="D1298" t="s">
        <v>92</v>
      </c>
      <c r="E1298" t="s">
        <v>170</v>
      </c>
      <c r="F1298" t="s">
        <v>244</v>
      </c>
      <c r="G1298" s="39">
        <v>44860</v>
      </c>
      <c r="J1298" t="s">
        <v>981</v>
      </c>
    </row>
    <row r="1299" spans="1:10" x14ac:dyDescent="0.35">
      <c r="A1299">
        <v>15451</v>
      </c>
      <c r="B1299" t="s">
        <v>9</v>
      </c>
      <c r="C1299" t="s">
        <v>163</v>
      </c>
      <c r="D1299" t="s">
        <v>92</v>
      </c>
      <c r="E1299" t="s">
        <v>170</v>
      </c>
      <c r="F1299" t="s">
        <v>244</v>
      </c>
      <c r="G1299" s="39">
        <v>45079</v>
      </c>
      <c r="J1299" t="s">
        <v>981</v>
      </c>
    </row>
    <row r="1300" spans="1:10" x14ac:dyDescent="0.35">
      <c r="A1300">
        <v>18561</v>
      </c>
      <c r="B1300" t="s">
        <v>9</v>
      </c>
      <c r="C1300" t="s">
        <v>163</v>
      </c>
      <c r="D1300" t="s">
        <v>92</v>
      </c>
      <c r="E1300" t="s">
        <v>171</v>
      </c>
      <c r="F1300" t="s">
        <v>244</v>
      </c>
      <c r="G1300" s="39">
        <v>46154</v>
      </c>
      <c r="H1300" t="s">
        <v>249</v>
      </c>
      <c r="J1300" t="s">
        <v>981</v>
      </c>
    </row>
    <row r="1301" spans="1:10" x14ac:dyDescent="0.35">
      <c r="A1301">
        <v>18562</v>
      </c>
      <c r="B1301" t="s">
        <v>9</v>
      </c>
      <c r="C1301" t="s">
        <v>163</v>
      </c>
      <c r="D1301" t="s">
        <v>92</v>
      </c>
      <c r="E1301" t="s">
        <v>171</v>
      </c>
      <c r="F1301" t="s">
        <v>244</v>
      </c>
      <c r="G1301" s="39">
        <v>46154</v>
      </c>
      <c r="H1301" t="s">
        <v>249</v>
      </c>
      <c r="J1301" t="s">
        <v>981</v>
      </c>
    </row>
    <row r="1302" spans="1:10" x14ac:dyDescent="0.35">
      <c r="A1302">
        <v>18563</v>
      </c>
      <c r="B1302" t="s">
        <v>9</v>
      </c>
      <c r="C1302" t="s">
        <v>163</v>
      </c>
      <c r="D1302" t="s">
        <v>92</v>
      </c>
      <c r="E1302" t="s">
        <v>171</v>
      </c>
      <c r="F1302" t="s">
        <v>244</v>
      </c>
      <c r="G1302" s="39">
        <v>46154</v>
      </c>
      <c r="H1302" t="s">
        <v>249</v>
      </c>
      <c r="J1302" t="s">
        <v>981</v>
      </c>
    </row>
    <row r="1303" spans="1:10" x14ac:dyDescent="0.35">
      <c r="A1303">
        <v>18564</v>
      </c>
      <c r="B1303" t="s">
        <v>9</v>
      </c>
      <c r="C1303" t="s">
        <v>163</v>
      </c>
      <c r="D1303" t="s">
        <v>92</v>
      </c>
      <c r="E1303" t="s">
        <v>171</v>
      </c>
      <c r="F1303" t="s">
        <v>244</v>
      </c>
      <c r="G1303" s="39">
        <v>46154</v>
      </c>
      <c r="H1303" t="s">
        <v>249</v>
      </c>
      <c r="J1303" t="s">
        <v>981</v>
      </c>
    </row>
    <row r="1304" spans="1:10" x14ac:dyDescent="0.35">
      <c r="A1304">
        <v>18565</v>
      </c>
      <c r="B1304" t="s">
        <v>9</v>
      </c>
      <c r="C1304" t="s">
        <v>163</v>
      </c>
      <c r="D1304" t="s">
        <v>92</v>
      </c>
      <c r="E1304" t="s">
        <v>171</v>
      </c>
      <c r="F1304" t="s">
        <v>244</v>
      </c>
      <c r="G1304" s="39">
        <v>46154</v>
      </c>
      <c r="H1304" t="s">
        <v>249</v>
      </c>
      <c r="J1304" t="s">
        <v>981</v>
      </c>
    </row>
    <row r="1305" spans="1:10" x14ac:dyDescent="0.35">
      <c r="A1305">
        <v>18567</v>
      </c>
      <c r="B1305" t="s">
        <v>9</v>
      </c>
      <c r="C1305" t="s">
        <v>163</v>
      </c>
      <c r="D1305" t="s">
        <v>92</v>
      </c>
      <c r="E1305" t="s">
        <v>171</v>
      </c>
      <c r="F1305" t="s">
        <v>244</v>
      </c>
      <c r="G1305" s="39">
        <v>46154</v>
      </c>
      <c r="H1305" t="s">
        <v>249</v>
      </c>
      <c r="J1305" t="s">
        <v>981</v>
      </c>
    </row>
    <row r="1306" spans="1:10" x14ac:dyDescent="0.35">
      <c r="A1306">
        <v>18569</v>
      </c>
      <c r="B1306" t="s">
        <v>9</v>
      </c>
      <c r="C1306" t="s">
        <v>163</v>
      </c>
      <c r="D1306" t="s">
        <v>92</v>
      </c>
      <c r="E1306" t="s">
        <v>171</v>
      </c>
      <c r="F1306" t="s">
        <v>244</v>
      </c>
      <c r="G1306" s="39">
        <v>46154</v>
      </c>
      <c r="H1306" t="s">
        <v>249</v>
      </c>
      <c r="J1306" t="s">
        <v>981</v>
      </c>
    </row>
    <row r="1307" spans="1:10" x14ac:dyDescent="0.35">
      <c r="A1307">
        <v>18603</v>
      </c>
      <c r="B1307" t="s">
        <v>9</v>
      </c>
      <c r="C1307" t="s">
        <v>163</v>
      </c>
      <c r="D1307" t="s">
        <v>92</v>
      </c>
      <c r="E1307" t="s">
        <v>171</v>
      </c>
      <c r="F1307" t="s">
        <v>244</v>
      </c>
      <c r="G1307" s="39">
        <v>46161</v>
      </c>
      <c r="H1307" t="s">
        <v>249</v>
      </c>
      <c r="J1307" t="s">
        <v>981</v>
      </c>
    </row>
    <row r="1308" spans="1:10" x14ac:dyDescent="0.35">
      <c r="A1308">
        <v>18570</v>
      </c>
      <c r="B1308" t="s">
        <v>9</v>
      </c>
      <c r="C1308" t="s">
        <v>163</v>
      </c>
      <c r="D1308" t="s">
        <v>92</v>
      </c>
      <c r="E1308" t="s">
        <v>171</v>
      </c>
      <c r="F1308" t="s">
        <v>244</v>
      </c>
      <c r="G1308" s="39">
        <v>46154</v>
      </c>
      <c r="H1308" t="s">
        <v>249</v>
      </c>
      <c r="J1308" t="s">
        <v>981</v>
      </c>
    </row>
    <row r="1309" spans="1:10" x14ac:dyDescent="0.35">
      <c r="A1309">
        <v>18571</v>
      </c>
      <c r="B1309" t="s">
        <v>9</v>
      </c>
      <c r="C1309" t="s">
        <v>163</v>
      </c>
      <c r="D1309" t="s">
        <v>92</v>
      </c>
      <c r="E1309" t="s">
        <v>171</v>
      </c>
      <c r="F1309" t="s">
        <v>244</v>
      </c>
      <c r="G1309" s="39">
        <v>46154</v>
      </c>
      <c r="H1309" t="s">
        <v>249</v>
      </c>
      <c r="J1309" t="s">
        <v>981</v>
      </c>
    </row>
    <row r="1310" spans="1:10" x14ac:dyDescent="0.35">
      <c r="A1310">
        <v>18576</v>
      </c>
      <c r="B1310" t="s">
        <v>9</v>
      </c>
      <c r="C1310" t="s">
        <v>163</v>
      </c>
      <c r="D1310" t="s">
        <v>92</v>
      </c>
      <c r="E1310" t="s">
        <v>171</v>
      </c>
      <c r="F1310" t="s">
        <v>244</v>
      </c>
      <c r="G1310" s="39">
        <v>46154</v>
      </c>
      <c r="H1310" t="s">
        <v>249</v>
      </c>
      <c r="J1310" t="s">
        <v>981</v>
      </c>
    </row>
    <row r="1311" spans="1:10" x14ac:dyDescent="0.35">
      <c r="A1311">
        <v>18572</v>
      </c>
      <c r="B1311" t="s">
        <v>9</v>
      </c>
      <c r="C1311" t="s">
        <v>163</v>
      </c>
      <c r="D1311" t="s">
        <v>92</v>
      </c>
      <c r="E1311" t="s">
        <v>171</v>
      </c>
      <c r="F1311" t="s">
        <v>244</v>
      </c>
      <c r="G1311" s="39">
        <v>46154</v>
      </c>
      <c r="H1311" t="s">
        <v>249</v>
      </c>
      <c r="J1311" t="s">
        <v>981</v>
      </c>
    </row>
    <row r="1312" spans="1:10" x14ac:dyDescent="0.35">
      <c r="A1312">
        <v>18573</v>
      </c>
      <c r="B1312" t="s">
        <v>9</v>
      </c>
      <c r="C1312" t="s">
        <v>163</v>
      </c>
      <c r="D1312" t="s">
        <v>92</v>
      </c>
      <c r="E1312" t="s">
        <v>171</v>
      </c>
      <c r="F1312" t="s">
        <v>244</v>
      </c>
      <c r="G1312" s="39">
        <v>46154</v>
      </c>
      <c r="H1312" t="s">
        <v>249</v>
      </c>
      <c r="J1312" t="s">
        <v>981</v>
      </c>
    </row>
    <row r="1313" spans="1:10" x14ac:dyDescent="0.35">
      <c r="A1313">
        <v>18574</v>
      </c>
      <c r="B1313" t="s">
        <v>9</v>
      </c>
      <c r="C1313" t="s">
        <v>163</v>
      </c>
      <c r="D1313" t="s">
        <v>92</v>
      </c>
      <c r="E1313" t="s">
        <v>171</v>
      </c>
      <c r="F1313" t="s">
        <v>244</v>
      </c>
      <c r="G1313" s="39">
        <v>46154</v>
      </c>
      <c r="H1313" t="s">
        <v>249</v>
      </c>
      <c r="J1313" t="s">
        <v>981</v>
      </c>
    </row>
    <row r="1314" spans="1:10" x14ac:dyDescent="0.35">
      <c r="A1314">
        <v>18575</v>
      </c>
      <c r="B1314" t="s">
        <v>9</v>
      </c>
      <c r="C1314" t="s">
        <v>163</v>
      </c>
      <c r="D1314" t="s">
        <v>92</v>
      </c>
      <c r="E1314" t="s">
        <v>170</v>
      </c>
      <c r="F1314" t="s">
        <v>244</v>
      </c>
      <c r="G1314" s="39">
        <v>46154</v>
      </c>
      <c r="H1314" t="s">
        <v>249</v>
      </c>
      <c r="J1314" t="s">
        <v>981</v>
      </c>
    </row>
    <row r="1315" spans="1:10" x14ac:dyDescent="0.35">
      <c r="A1315">
        <v>18602</v>
      </c>
      <c r="B1315" t="s">
        <v>9</v>
      </c>
      <c r="C1315" t="s">
        <v>163</v>
      </c>
      <c r="D1315" t="s">
        <v>92</v>
      </c>
      <c r="E1315" t="s">
        <v>170</v>
      </c>
      <c r="F1315" t="s">
        <v>244</v>
      </c>
      <c r="G1315" s="39">
        <v>46161</v>
      </c>
      <c r="H1315" t="s">
        <v>249</v>
      </c>
      <c r="J1315" t="s">
        <v>981</v>
      </c>
    </row>
    <row r="1316" spans="1:10" x14ac:dyDescent="0.35">
      <c r="A1316">
        <v>15319</v>
      </c>
      <c r="B1316" t="s">
        <v>9</v>
      </c>
      <c r="C1316" t="s">
        <v>163</v>
      </c>
      <c r="D1316" t="s">
        <v>92</v>
      </c>
      <c r="E1316" t="s">
        <v>170</v>
      </c>
      <c r="F1316" t="s">
        <v>244</v>
      </c>
      <c r="G1316" s="39">
        <v>45028</v>
      </c>
      <c r="J1316" t="s">
        <v>981</v>
      </c>
    </row>
    <row r="1317" spans="1:10" x14ac:dyDescent="0.35">
      <c r="A1317">
        <v>18652</v>
      </c>
      <c r="B1317" t="s">
        <v>9</v>
      </c>
      <c r="C1317" t="s">
        <v>165</v>
      </c>
      <c r="D1317" t="s">
        <v>92</v>
      </c>
      <c r="E1317" t="s">
        <v>99</v>
      </c>
      <c r="F1317" t="s">
        <v>244</v>
      </c>
      <c r="G1317" s="39">
        <v>46181</v>
      </c>
      <c r="H1317" t="s">
        <v>249</v>
      </c>
      <c r="J1317" t="s">
        <v>981</v>
      </c>
    </row>
    <row r="1318" spans="1:10" x14ac:dyDescent="0.35">
      <c r="A1318">
        <v>15125</v>
      </c>
      <c r="B1318" t="s">
        <v>9</v>
      </c>
      <c r="C1318" t="s">
        <v>165</v>
      </c>
      <c r="D1318" t="s">
        <v>92</v>
      </c>
      <c r="E1318" t="s">
        <v>170</v>
      </c>
      <c r="F1318" t="s">
        <v>244</v>
      </c>
      <c r="G1318" s="39">
        <v>44959</v>
      </c>
      <c r="J1318" t="s">
        <v>981</v>
      </c>
    </row>
    <row r="1319" spans="1:10" x14ac:dyDescent="0.35">
      <c r="A1319">
        <v>11148</v>
      </c>
      <c r="B1319" t="s">
        <v>9</v>
      </c>
      <c r="C1319" t="s">
        <v>165</v>
      </c>
      <c r="D1319" t="s">
        <v>92</v>
      </c>
      <c r="E1319" t="s">
        <v>170</v>
      </c>
      <c r="F1319" t="s">
        <v>244</v>
      </c>
      <c r="G1319" s="39">
        <v>42311</v>
      </c>
      <c r="J1319" t="s">
        <v>981</v>
      </c>
    </row>
    <row r="1320" spans="1:10" x14ac:dyDescent="0.35">
      <c r="A1320">
        <v>12234</v>
      </c>
      <c r="B1320" t="s">
        <v>9</v>
      </c>
      <c r="C1320" t="s">
        <v>164</v>
      </c>
      <c r="D1320" t="s">
        <v>92</v>
      </c>
      <c r="E1320" t="s">
        <v>170</v>
      </c>
      <c r="F1320" t="s">
        <v>244</v>
      </c>
      <c r="G1320" s="39">
        <v>43620</v>
      </c>
      <c r="J1320" t="s">
        <v>981</v>
      </c>
    </row>
    <row r="1321" spans="1:10" x14ac:dyDescent="0.35">
      <c r="A1321">
        <v>10635</v>
      </c>
      <c r="B1321" t="s">
        <v>9</v>
      </c>
      <c r="C1321" t="s">
        <v>163</v>
      </c>
      <c r="D1321" t="s">
        <v>92</v>
      </c>
      <c r="E1321" t="s">
        <v>170</v>
      </c>
      <c r="F1321" t="s">
        <v>244</v>
      </c>
      <c r="G1321" s="39">
        <v>39766</v>
      </c>
      <c r="J1321" t="s">
        <v>981</v>
      </c>
    </row>
    <row r="1322" spans="1:10" x14ac:dyDescent="0.35">
      <c r="A1322">
        <v>17782</v>
      </c>
      <c r="B1322" t="s">
        <v>9</v>
      </c>
      <c r="C1322" t="s">
        <v>164</v>
      </c>
      <c r="D1322" t="s">
        <v>92</v>
      </c>
      <c r="E1322" t="s">
        <v>170</v>
      </c>
      <c r="F1322" t="s">
        <v>244</v>
      </c>
      <c r="G1322" s="39">
        <v>45881</v>
      </c>
      <c r="J1322" t="s">
        <v>981</v>
      </c>
    </row>
    <row r="1323" spans="1:10" x14ac:dyDescent="0.35">
      <c r="A1323">
        <v>10468</v>
      </c>
      <c r="B1323" t="s">
        <v>9</v>
      </c>
      <c r="C1323" t="s">
        <v>163</v>
      </c>
      <c r="D1323" t="s">
        <v>92</v>
      </c>
      <c r="E1323" t="s">
        <v>170</v>
      </c>
      <c r="F1323" t="s">
        <v>244</v>
      </c>
      <c r="G1323" s="39">
        <v>40155</v>
      </c>
      <c r="J1323" t="s">
        <v>981</v>
      </c>
    </row>
    <row r="1324" spans="1:10" x14ac:dyDescent="0.35">
      <c r="A1324">
        <v>12185</v>
      </c>
      <c r="B1324" t="s">
        <v>9</v>
      </c>
      <c r="C1324" t="s">
        <v>164</v>
      </c>
      <c r="D1324" t="s">
        <v>92</v>
      </c>
      <c r="E1324" t="s">
        <v>170</v>
      </c>
      <c r="F1324" t="s">
        <v>244</v>
      </c>
      <c r="G1324" s="39">
        <v>43566</v>
      </c>
      <c r="J1324" t="s">
        <v>981</v>
      </c>
    </row>
    <row r="1325" spans="1:10" x14ac:dyDescent="0.35">
      <c r="A1325">
        <v>12281</v>
      </c>
      <c r="B1325" t="s">
        <v>9</v>
      </c>
      <c r="C1325" t="s">
        <v>163</v>
      </c>
      <c r="D1325" t="s">
        <v>92</v>
      </c>
      <c r="E1325" t="s">
        <v>170</v>
      </c>
      <c r="F1325" t="s">
        <v>244</v>
      </c>
      <c r="G1325" s="39">
        <v>43662</v>
      </c>
      <c r="J1325" t="s">
        <v>981</v>
      </c>
    </row>
    <row r="1326" spans="1:10" x14ac:dyDescent="0.35">
      <c r="A1326">
        <v>11169</v>
      </c>
      <c r="B1326" t="s">
        <v>9</v>
      </c>
      <c r="C1326" t="s">
        <v>163</v>
      </c>
      <c r="D1326" t="s">
        <v>92</v>
      </c>
      <c r="E1326" t="s">
        <v>170</v>
      </c>
      <c r="F1326" t="s">
        <v>244</v>
      </c>
      <c r="G1326" s="39">
        <v>42348</v>
      </c>
      <c r="J1326" t="s">
        <v>981</v>
      </c>
    </row>
    <row r="1327" spans="1:10" x14ac:dyDescent="0.35">
      <c r="A1327">
        <v>11328</v>
      </c>
      <c r="B1327" t="s">
        <v>9</v>
      </c>
      <c r="C1327" t="s">
        <v>163</v>
      </c>
      <c r="D1327" t="s">
        <v>92</v>
      </c>
      <c r="E1327" t="s">
        <v>170</v>
      </c>
      <c r="F1327" t="s">
        <v>244</v>
      </c>
      <c r="G1327" s="39">
        <v>42530</v>
      </c>
      <c r="J1327" t="s">
        <v>981</v>
      </c>
    </row>
    <row r="1328" spans="1:10" x14ac:dyDescent="0.35">
      <c r="A1328">
        <v>12042</v>
      </c>
      <c r="B1328" t="s">
        <v>9</v>
      </c>
      <c r="C1328" t="s">
        <v>164</v>
      </c>
      <c r="D1328" t="s">
        <v>92</v>
      </c>
      <c r="E1328" t="s">
        <v>170</v>
      </c>
      <c r="F1328" t="s">
        <v>244</v>
      </c>
      <c r="G1328" s="39">
        <v>43409</v>
      </c>
      <c r="J1328" t="s">
        <v>981</v>
      </c>
    </row>
    <row r="1329" spans="1:10" x14ac:dyDescent="0.35">
      <c r="A1329">
        <v>206002</v>
      </c>
      <c r="B1329" t="s">
        <v>9</v>
      </c>
      <c r="C1329" t="s">
        <v>163</v>
      </c>
      <c r="D1329" t="s">
        <v>92</v>
      </c>
      <c r="E1329" t="s">
        <v>170</v>
      </c>
      <c r="F1329" t="s">
        <v>244</v>
      </c>
      <c r="G1329" s="39">
        <v>43602</v>
      </c>
      <c r="J1329" t="s">
        <v>981</v>
      </c>
    </row>
    <row r="1330" spans="1:10" x14ac:dyDescent="0.35">
      <c r="A1330">
        <v>19237</v>
      </c>
      <c r="B1330" t="s">
        <v>9</v>
      </c>
      <c r="C1330" t="s">
        <v>163</v>
      </c>
      <c r="D1330" t="s">
        <v>92</v>
      </c>
      <c r="E1330" t="s">
        <v>272</v>
      </c>
      <c r="F1330" t="s">
        <v>244</v>
      </c>
      <c r="G1330" s="39">
        <v>46280</v>
      </c>
      <c r="H1330" t="s">
        <v>249</v>
      </c>
      <c r="J1330" t="s">
        <v>981</v>
      </c>
    </row>
    <row r="1331" spans="1:10" x14ac:dyDescent="0.35">
      <c r="A1331">
        <v>12044</v>
      </c>
      <c r="B1331" t="s">
        <v>9</v>
      </c>
      <c r="C1331" t="s">
        <v>164</v>
      </c>
      <c r="D1331" t="s">
        <v>92</v>
      </c>
      <c r="E1331" t="s">
        <v>170</v>
      </c>
      <c r="F1331" t="s">
        <v>244</v>
      </c>
      <c r="G1331" s="39">
        <v>43416</v>
      </c>
      <c r="J1331" t="s">
        <v>981</v>
      </c>
    </row>
    <row r="1332" spans="1:10" x14ac:dyDescent="0.35">
      <c r="A1332">
        <v>12204</v>
      </c>
      <c r="B1332" t="s">
        <v>9</v>
      </c>
      <c r="C1332" t="s">
        <v>164</v>
      </c>
      <c r="D1332" t="s">
        <v>92</v>
      </c>
      <c r="E1332" t="s">
        <v>170</v>
      </c>
      <c r="F1332" t="s">
        <v>244</v>
      </c>
      <c r="G1332" s="39">
        <v>43580</v>
      </c>
      <c r="J1332" t="s">
        <v>981</v>
      </c>
    </row>
    <row r="1333" spans="1:10" x14ac:dyDescent="0.35">
      <c r="A1333">
        <v>12472</v>
      </c>
      <c r="B1333" t="s">
        <v>9</v>
      </c>
      <c r="C1333" t="s">
        <v>163</v>
      </c>
      <c r="D1333" t="s">
        <v>92</v>
      </c>
      <c r="E1333" t="s">
        <v>102</v>
      </c>
      <c r="F1333" t="s">
        <v>244</v>
      </c>
      <c r="G1333" s="39">
        <v>43762</v>
      </c>
      <c r="J1333" t="s">
        <v>981</v>
      </c>
    </row>
    <row r="1334" spans="1:10" x14ac:dyDescent="0.35">
      <c r="A1334">
        <v>11863</v>
      </c>
      <c r="B1334" t="s">
        <v>9</v>
      </c>
      <c r="C1334" t="s">
        <v>165</v>
      </c>
      <c r="D1334" t="s">
        <v>92</v>
      </c>
      <c r="E1334" t="s">
        <v>170</v>
      </c>
      <c r="F1334" t="s">
        <v>244</v>
      </c>
      <c r="G1334" s="39">
        <v>43210</v>
      </c>
      <c r="J1334" t="s">
        <v>981</v>
      </c>
    </row>
    <row r="1335" spans="1:10" x14ac:dyDescent="0.35">
      <c r="A1335">
        <v>880020</v>
      </c>
      <c r="B1335" t="s">
        <v>9</v>
      </c>
      <c r="C1335" t="s">
        <v>163</v>
      </c>
      <c r="D1335" t="s">
        <v>92</v>
      </c>
      <c r="E1335" t="s">
        <v>170</v>
      </c>
      <c r="F1335" t="s">
        <v>244</v>
      </c>
      <c r="G1335" s="39">
        <v>38757</v>
      </c>
      <c r="J1335" t="s">
        <v>981</v>
      </c>
    </row>
    <row r="1336" spans="1:10" x14ac:dyDescent="0.35">
      <c r="A1336">
        <v>150039</v>
      </c>
      <c r="B1336" t="s">
        <v>9</v>
      </c>
      <c r="C1336" t="s">
        <v>163</v>
      </c>
      <c r="D1336" t="s">
        <v>92</v>
      </c>
      <c r="E1336" t="s">
        <v>102</v>
      </c>
      <c r="F1336" t="s">
        <v>244</v>
      </c>
      <c r="G1336" s="39">
        <v>44090</v>
      </c>
      <c r="J1336" t="s">
        <v>981</v>
      </c>
    </row>
    <row r="1337" spans="1:10" x14ac:dyDescent="0.35">
      <c r="A1337">
        <v>180013</v>
      </c>
      <c r="B1337" t="s">
        <v>9</v>
      </c>
      <c r="C1337" t="s">
        <v>164</v>
      </c>
      <c r="D1337" t="s">
        <v>92</v>
      </c>
      <c r="E1337" t="s">
        <v>170</v>
      </c>
      <c r="F1337" t="s">
        <v>244</v>
      </c>
      <c r="G1337" s="39">
        <v>41137</v>
      </c>
      <c r="J1337" t="s">
        <v>981</v>
      </c>
    </row>
    <row r="1338" spans="1:10" x14ac:dyDescent="0.35">
      <c r="A1338">
        <v>13326</v>
      </c>
      <c r="B1338" t="s">
        <v>9</v>
      </c>
      <c r="C1338" t="s">
        <v>165</v>
      </c>
      <c r="D1338" t="s">
        <v>92</v>
      </c>
      <c r="E1338" t="s">
        <v>170</v>
      </c>
      <c r="F1338" t="s">
        <v>244</v>
      </c>
      <c r="G1338" s="39">
        <v>44386</v>
      </c>
      <c r="J1338" t="s">
        <v>981</v>
      </c>
    </row>
    <row r="1339" spans="1:10" x14ac:dyDescent="0.35">
      <c r="A1339">
        <v>10399</v>
      </c>
      <c r="B1339" t="s">
        <v>9</v>
      </c>
      <c r="C1339" t="s">
        <v>165</v>
      </c>
      <c r="D1339" t="s">
        <v>92</v>
      </c>
      <c r="E1339" t="s">
        <v>170</v>
      </c>
      <c r="F1339" t="s">
        <v>244</v>
      </c>
      <c r="G1339" s="39">
        <v>40063</v>
      </c>
      <c r="J1339" t="s">
        <v>981</v>
      </c>
    </row>
    <row r="1340" spans="1:10" x14ac:dyDescent="0.35">
      <c r="A1340">
        <v>10447</v>
      </c>
      <c r="B1340" t="s">
        <v>9</v>
      </c>
      <c r="C1340" t="s">
        <v>164</v>
      </c>
      <c r="D1340" t="s">
        <v>92</v>
      </c>
      <c r="E1340" t="s">
        <v>170</v>
      </c>
      <c r="F1340" t="s">
        <v>244</v>
      </c>
      <c r="G1340" s="39">
        <v>40462</v>
      </c>
      <c r="J1340" t="s">
        <v>981</v>
      </c>
    </row>
    <row r="1341" spans="1:10" x14ac:dyDescent="0.35">
      <c r="A1341">
        <v>10623</v>
      </c>
      <c r="B1341" t="s">
        <v>9</v>
      </c>
      <c r="C1341" t="s">
        <v>165</v>
      </c>
      <c r="D1341" t="s">
        <v>92</v>
      </c>
      <c r="E1341" t="s">
        <v>170</v>
      </c>
      <c r="F1341" t="s">
        <v>244</v>
      </c>
      <c r="G1341" s="39">
        <v>41521</v>
      </c>
      <c r="J1341" t="s">
        <v>981</v>
      </c>
    </row>
    <row r="1342" spans="1:10" x14ac:dyDescent="0.35">
      <c r="A1342">
        <v>10624</v>
      </c>
      <c r="B1342" t="s">
        <v>9</v>
      </c>
      <c r="C1342" t="s">
        <v>164</v>
      </c>
      <c r="D1342" t="s">
        <v>92</v>
      </c>
      <c r="E1342" t="s">
        <v>170</v>
      </c>
      <c r="F1342" t="s">
        <v>244</v>
      </c>
      <c r="G1342" s="39">
        <v>41521</v>
      </c>
      <c r="J1342" t="s">
        <v>981</v>
      </c>
    </row>
    <row r="1343" spans="1:10" x14ac:dyDescent="0.35">
      <c r="A1343">
        <v>10838</v>
      </c>
      <c r="B1343" t="s">
        <v>9</v>
      </c>
      <c r="C1343" t="s">
        <v>165</v>
      </c>
      <c r="D1343" t="s">
        <v>92</v>
      </c>
      <c r="E1343" t="s">
        <v>170</v>
      </c>
      <c r="F1343" t="s">
        <v>244</v>
      </c>
      <c r="G1343" s="39">
        <v>41991</v>
      </c>
      <c r="J1343" t="s">
        <v>981</v>
      </c>
    </row>
    <row r="1344" spans="1:10" x14ac:dyDescent="0.35">
      <c r="A1344">
        <v>190025</v>
      </c>
      <c r="B1344" t="s">
        <v>9</v>
      </c>
      <c r="C1344" t="s">
        <v>164</v>
      </c>
      <c r="D1344" t="s">
        <v>92</v>
      </c>
      <c r="E1344" t="s">
        <v>170</v>
      </c>
      <c r="F1344" t="s">
        <v>244</v>
      </c>
      <c r="G1344" s="39">
        <v>40210</v>
      </c>
      <c r="J1344" t="s">
        <v>981</v>
      </c>
    </row>
    <row r="1345" spans="1:10" x14ac:dyDescent="0.35">
      <c r="A1345">
        <v>11459</v>
      </c>
      <c r="B1345" t="s">
        <v>9</v>
      </c>
      <c r="C1345" t="s">
        <v>164</v>
      </c>
      <c r="D1345" t="s">
        <v>92</v>
      </c>
      <c r="E1345" t="s">
        <v>170</v>
      </c>
      <c r="F1345" t="s">
        <v>244</v>
      </c>
      <c r="G1345" s="39">
        <v>42716</v>
      </c>
      <c r="J1345" t="s">
        <v>981</v>
      </c>
    </row>
    <row r="1346" spans="1:10" x14ac:dyDescent="0.35">
      <c r="A1346">
        <v>10209</v>
      </c>
      <c r="B1346" t="s">
        <v>9</v>
      </c>
      <c r="C1346" t="s">
        <v>163</v>
      </c>
      <c r="D1346" t="s">
        <v>92</v>
      </c>
      <c r="E1346" t="s">
        <v>170</v>
      </c>
      <c r="F1346" t="s">
        <v>244</v>
      </c>
      <c r="G1346" s="39">
        <v>38460</v>
      </c>
      <c r="J1346" t="s">
        <v>981</v>
      </c>
    </row>
    <row r="1347" spans="1:10" x14ac:dyDescent="0.35">
      <c r="A1347">
        <v>11750</v>
      </c>
      <c r="B1347" t="s">
        <v>9</v>
      </c>
      <c r="C1347" t="s">
        <v>164</v>
      </c>
      <c r="D1347" t="s">
        <v>92</v>
      </c>
      <c r="E1347" t="s">
        <v>170</v>
      </c>
      <c r="F1347" t="s">
        <v>244</v>
      </c>
      <c r="G1347" s="39">
        <v>43080</v>
      </c>
      <c r="J1347" t="s">
        <v>981</v>
      </c>
    </row>
    <row r="1348" spans="1:10" x14ac:dyDescent="0.35">
      <c r="A1348">
        <v>11661</v>
      </c>
      <c r="B1348" t="s">
        <v>9</v>
      </c>
      <c r="C1348" t="s">
        <v>164</v>
      </c>
      <c r="D1348" t="s">
        <v>92</v>
      </c>
      <c r="E1348" t="s">
        <v>170</v>
      </c>
      <c r="F1348" t="s">
        <v>244</v>
      </c>
      <c r="G1348" s="39">
        <v>42998</v>
      </c>
      <c r="J1348" t="s">
        <v>981</v>
      </c>
    </row>
    <row r="1349" spans="1:10" x14ac:dyDescent="0.35">
      <c r="A1349">
        <v>11804</v>
      </c>
      <c r="B1349" t="s">
        <v>9</v>
      </c>
      <c r="C1349" t="s">
        <v>164</v>
      </c>
      <c r="D1349" t="s">
        <v>92</v>
      </c>
      <c r="E1349" t="s">
        <v>170</v>
      </c>
      <c r="F1349" t="s">
        <v>244</v>
      </c>
      <c r="G1349" s="39">
        <v>43143</v>
      </c>
      <c r="J1349" t="s">
        <v>981</v>
      </c>
    </row>
    <row r="1350" spans="1:10" x14ac:dyDescent="0.35">
      <c r="A1350">
        <v>12024</v>
      </c>
      <c r="B1350" t="s">
        <v>9</v>
      </c>
      <c r="C1350" t="s">
        <v>164</v>
      </c>
      <c r="D1350" t="s">
        <v>92</v>
      </c>
      <c r="E1350" t="s">
        <v>170</v>
      </c>
      <c r="F1350" t="s">
        <v>244</v>
      </c>
      <c r="G1350" s="39">
        <v>43391</v>
      </c>
      <c r="J1350" t="s">
        <v>981</v>
      </c>
    </row>
    <row r="1351" spans="1:10" x14ac:dyDescent="0.35">
      <c r="A1351">
        <v>12025</v>
      </c>
      <c r="B1351" t="s">
        <v>9</v>
      </c>
      <c r="C1351" t="s">
        <v>164</v>
      </c>
      <c r="D1351" t="s">
        <v>92</v>
      </c>
      <c r="E1351" t="s">
        <v>170</v>
      </c>
      <c r="F1351" t="s">
        <v>244</v>
      </c>
      <c r="G1351" s="39">
        <v>43391</v>
      </c>
      <c r="J1351" t="s">
        <v>981</v>
      </c>
    </row>
    <row r="1352" spans="1:10" x14ac:dyDescent="0.35">
      <c r="A1352">
        <v>12026</v>
      </c>
      <c r="B1352" t="s">
        <v>9</v>
      </c>
      <c r="C1352" t="s">
        <v>164</v>
      </c>
      <c r="D1352" t="s">
        <v>92</v>
      </c>
      <c r="E1352" t="s">
        <v>170</v>
      </c>
      <c r="F1352" t="s">
        <v>244</v>
      </c>
      <c r="G1352" s="39">
        <v>43391</v>
      </c>
      <c r="J1352" t="s">
        <v>981</v>
      </c>
    </row>
    <row r="1353" spans="1:10" x14ac:dyDescent="0.35">
      <c r="A1353">
        <v>12187</v>
      </c>
      <c r="B1353" t="s">
        <v>9</v>
      </c>
      <c r="C1353" t="s">
        <v>164</v>
      </c>
      <c r="D1353" t="s">
        <v>92</v>
      </c>
      <c r="E1353" t="s">
        <v>170</v>
      </c>
      <c r="F1353" t="s">
        <v>244</v>
      </c>
      <c r="G1353" s="39">
        <v>43567</v>
      </c>
      <c r="J1353" t="s">
        <v>981</v>
      </c>
    </row>
    <row r="1354" spans="1:10" x14ac:dyDescent="0.35">
      <c r="A1354">
        <v>12195</v>
      </c>
      <c r="B1354" t="s">
        <v>9</v>
      </c>
      <c r="C1354" t="s">
        <v>164</v>
      </c>
      <c r="D1354" t="s">
        <v>92</v>
      </c>
      <c r="E1354" t="s">
        <v>170</v>
      </c>
      <c r="F1354" t="s">
        <v>244</v>
      </c>
      <c r="G1354" s="39">
        <v>43572</v>
      </c>
      <c r="J1354" t="s">
        <v>981</v>
      </c>
    </row>
    <row r="1355" spans="1:10" x14ac:dyDescent="0.35">
      <c r="A1355">
        <v>12202</v>
      </c>
      <c r="B1355" t="s">
        <v>9</v>
      </c>
      <c r="C1355" t="s">
        <v>164</v>
      </c>
      <c r="D1355" t="s">
        <v>92</v>
      </c>
      <c r="E1355" t="s">
        <v>170</v>
      </c>
      <c r="F1355" t="s">
        <v>244</v>
      </c>
      <c r="G1355" s="39">
        <v>43579</v>
      </c>
      <c r="J1355" t="s">
        <v>981</v>
      </c>
    </row>
    <row r="1356" spans="1:10" x14ac:dyDescent="0.35">
      <c r="A1356">
        <v>12475</v>
      </c>
      <c r="B1356" t="s">
        <v>9</v>
      </c>
      <c r="C1356" t="s">
        <v>164</v>
      </c>
      <c r="D1356" t="s">
        <v>92</v>
      </c>
      <c r="E1356" t="s">
        <v>170</v>
      </c>
      <c r="F1356" t="s">
        <v>244</v>
      </c>
      <c r="G1356" s="39">
        <v>43763</v>
      </c>
      <c r="J1356" t="s">
        <v>981</v>
      </c>
    </row>
    <row r="1357" spans="1:10" x14ac:dyDescent="0.35">
      <c r="A1357">
        <v>12541</v>
      </c>
      <c r="B1357" t="s">
        <v>9</v>
      </c>
      <c r="C1357" t="s">
        <v>164</v>
      </c>
      <c r="D1357" t="s">
        <v>92</v>
      </c>
      <c r="E1357" t="s">
        <v>170</v>
      </c>
      <c r="F1357" t="s">
        <v>244</v>
      </c>
      <c r="G1357" s="39">
        <v>43803</v>
      </c>
      <c r="J1357" t="s">
        <v>981</v>
      </c>
    </row>
    <row r="1358" spans="1:10" x14ac:dyDescent="0.35">
      <c r="A1358">
        <v>10238</v>
      </c>
      <c r="B1358" t="s">
        <v>9</v>
      </c>
      <c r="C1358" t="s">
        <v>164</v>
      </c>
      <c r="D1358" t="s">
        <v>92</v>
      </c>
      <c r="E1358" t="s">
        <v>170</v>
      </c>
      <c r="F1358" t="s">
        <v>244</v>
      </c>
      <c r="G1358" s="39">
        <v>38840</v>
      </c>
      <c r="J1358" t="s">
        <v>981</v>
      </c>
    </row>
    <row r="1359" spans="1:10" x14ac:dyDescent="0.35">
      <c r="A1359">
        <v>10278</v>
      </c>
      <c r="B1359" t="s">
        <v>9</v>
      </c>
      <c r="C1359" t="s">
        <v>164</v>
      </c>
      <c r="D1359" t="s">
        <v>92</v>
      </c>
      <c r="E1359" t="s">
        <v>170</v>
      </c>
      <c r="F1359" t="s">
        <v>244</v>
      </c>
      <c r="G1359" s="39">
        <v>39377</v>
      </c>
      <c r="J1359" t="s">
        <v>981</v>
      </c>
    </row>
    <row r="1360" spans="1:10" x14ac:dyDescent="0.35">
      <c r="A1360">
        <v>10476</v>
      </c>
      <c r="B1360" t="s">
        <v>9</v>
      </c>
      <c r="C1360" t="s">
        <v>165</v>
      </c>
      <c r="D1360" t="s">
        <v>92</v>
      </c>
      <c r="E1360" t="s">
        <v>170</v>
      </c>
      <c r="F1360" t="s">
        <v>244</v>
      </c>
      <c r="G1360" s="39">
        <v>40777</v>
      </c>
      <c r="J1360" t="s">
        <v>981</v>
      </c>
    </row>
    <row r="1361" spans="1:10" x14ac:dyDescent="0.35">
      <c r="A1361">
        <v>10625</v>
      </c>
      <c r="B1361" t="s">
        <v>9</v>
      </c>
      <c r="C1361" t="s">
        <v>164</v>
      </c>
      <c r="D1361" t="s">
        <v>92</v>
      </c>
      <c r="E1361" t="s">
        <v>170</v>
      </c>
      <c r="F1361" t="s">
        <v>244</v>
      </c>
      <c r="G1361" s="39">
        <v>41521</v>
      </c>
      <c r="J1361" t="s">
        <v>981</v>
      </c>
    </row>
    <row r="1362" spans="1:10" x14ac:dyDescent="0.35">
      <c r="A1362">
        <v>10627</v>
      </c>
      <c r="B1362" t="s">
        <v>9</v>
      </c>
      <c r="C1362" t="s">
        <v>164</v>
      </c>
      <c r="D1362" t="s">
        <v>92</v>
      </c>
      <c r="E1362" t="s">
        <v>170</v>
      </c>
      <c r="F1362" t="s">
        <v>244</v>
      </c>
      <c r="G1362" s="39">
        <v>41537</v>
      </c>
      <c r="J1362" t="s">
        <v>981</v>
      </c>
    </row>
    <row r="1363" spans="1:10" x14ac:dyDescent="0.35">
      <c r="A1363">
        <v>10727</v>
      </c>
      <c r="B1363" t="s">
        <v>9</v>
      </c>
      <c r="C1363" t="s">
        <v>164</v>
      </c>
      <c r="D1363" t="s">
        <v>92</v>
      </c>
      <c r="E1363" t="s">
        <v>170</v>
      </c>
      <c r="F1363" t="s">
        <v>244</v>
      </c>
      <c r="G1363" s="39">
        <v>41747</v>
      </c>
      <c r="J1363" t="s">
        <v>981</v>
      </c>
    </row>
    <row r="1364" spans="1:10" x14ac:dyDescent="0.35">
      <c r="A1364">
        <v>10839</v>
      </c>
      <c r="B1364" t="s">
        <v>9</v>
      </c>
      <c r="C1364" t="s">
        <v>163</v>
      </c>
      <c r="D1364" t="s">
        <v>92</v>
      </c>
      <c r="E1364" t="s">
        <v>170</v>
      </c>
      <c r="F1364" t="s">
        <v>244</v>
      </c>
      <c r="G1364" s="39">
        <v>41991</v>
      </c>
      <c r="J1364" t="s">
        <v>981</v>
      </c>
    </row>
    <row r="1365" spans="1:10" x14ac:dyDescent="0.35">
      <c r="A1365">
        <v>180011</v>
      </c>
      <c r="B1365" t="s">
        <v>9</v>
      </c>
      <c r="C1365" t="s">
        <v>164</v>
      </c>
      <c r="D1365" t="s">
        <v>92</v>
      </c>
      <c r="E1365" t="s">
        <v>170</v>
      </c>
      <c r="F1365" t="s">
        <v>244</v>
      </c>
      <c r="G1365" s="39">
        <v>40049</v>
      </c>
      <c r="J1365" t="s">
        <v>981</v>
      </c>
    </row>
    <row r="1366" spans="1:10" x14ac:dyDescent="0.35">
      <c r="A1366">
        <v>10986</v>
      </c>
      <c r="B1366" t="s">
        <v>9</v>
      </c>
      <c r="C1366" t="s">
        <v>165</v>
      </c>
      <c r="D1366" t="s">
        <v>92</v>
      </c>
      <c r="E1366" t="s">
        <v>170</v>
      </c>
      <c r="F1366" t="s">
        <v>244</v>
      </c>
      <c r="G1366" s="39">
        <v>42248</v>
      </c>
      <c r="J1366" t="s">
        <v>981</v>
      </c>
    </row>
    <row r="1367" spans="1:10" x14ac:dyDescent="0.35">
      <c r="A1367">
        <v>280006</v>
      </c>
      <c r="B1367" t="s">
        <v>9</v>
      </c>
      <c r="C1367" t="s">
        <v>165</v>
      </c>
      <c r="D1367" t="s">
        <v>92</v>
      </c>
      <c r="E1367" t="s">
        <v>170</v>
      </c>
      <c r="F1367" t="s">
        <v>244</v>
      </c>
      <c r="G1367" s="39">
        <v>40660</v>
      </c>
      <c r="J1367" t="s">
        <v>981</v>
      </c>
    </row>
    <row r="1368" spans="1:10" x14ac:dyDescent="0.35">
      <c r="A1368">
        <v>11151</v>
      </c>
      <c r="B1368" t="s">
        <v>9</v>
      </c>
      <c r="C1368" t="s">
        <v>164</v>
      </c>
      <c r="D1368" t="s">
        <v>92</v>
      </c>
      <c r="E1368" t="s">
        <v>170</v>
      </c>
      <c r="F1368" t="s">
        <v>244</v>
      </c>
      <c r="G1368" s="39">
        <v>42311</v>
      </c>
      <c r="J1368" t="s">
        <v>981</v>
      </c>
    </row>
    <row r="1369" spans="1:10" x14ac:dyDescent="0.35">
      <c r="A1369">
        <v>11152</v>
      </c>
      <c r="B1369" t="s">
        <v>9</v>
      </c>
      <c r="C1369" t="s">
        <v>165</v>
      </c>
      <c r="D1369" t="s">
        <v>92</v>
      </c>
      <c r="E1369" t="s">
        <v>170</v>
      </c>
      <c r="F1369" t="s">
        <v>244</v>
      </c>
      <c r="G1369" s="39">
        <v>42311</v>
      </c>
      <c r="J1369" t="s">
        <v>981</v>
      </c>
    </row>
    <row r="1370" spans="1:10" x14ac:dyDescent="0.35">
      <c r="A1370">
        <v>11547</v>
      </c>
      <c r="B1370" t="s">
        <v>9</v>
      </c>
      <c r="C1370" t="s">
        <v>164</v>
      </c>
      <c r="D1370" t="s">
        <v>92</v>
      </c>
      <c r="E1370" t="s">
        <v>170</v>
      </c>
      <c r="F1370" t="s">
        <v>244</v>
      </c>
      <c r="G1370" s="39">
        <v>42828</v>
      </c>
      <c r="J1370" t="s">
        <v>981</v>
      </c>
    </row>
    <row r="1371" spans="1:10" x14ac:dyDescent="0.35">
      <c r="A1371">
        <v>11537</v>
      </c>
      <c r="B1371" t="s">
        <v>9</v>
      </c>
      <c r="C1371" t="s">
        <v>165</v>
      </c>
      <c r="D1371" t="s">
        <v>92</v>
      </c>
      <c r="E1371" t="s">
        <v>170</v>
      </c>
      <c r="F1371" t="s">
        <v>244</v>
      </c>
      <c r="G1371" s="39">
        <v>42810</v>
      </c>
      <c r="J1371" t="s">
        <v>981</v>
      </c>
    </row>
    <row r="1372" spans="1:10" x14ac:dyDescent="0.35">
      <c r="A1372">
        <v>12534</v>
      </c>
      <c r="B1372" t="s">
        <v>9</v>
      </c>
      <c r="C1372" t="s">
        <v>165</v>
      </c>
      <c r="D1372" t="s">
        <v>92</v>
      </c>
      <c r="E1372" t="s">
        <v>170</v>
      </c>
      <c r="F1372" t="s">
        <v>244</v>
      </c>
      <c r="G1372" s="39">
        <v>43801</v>
      </c>
      <c r="J1372" t="s">
        <v>981</v>
      </c>
    </row>
    <row r="1373" spans="1:10" x14ac:dyDescent="0.35">
      <c r="A1373">
        <v>12009</v>
      </c>
      <c r="B1373" t="s">
        <v>9</v>
      </c>
      <c r="C1373" t="s">
        <v>164</v>
      </c>
      <c r="D1373" t="s">
        <v>92</v>
      </c>
      <c r="E1373" t="s">
        <v>170</v>
      </c>
      <c r="F1373" t="s">
        <v>244</v>
      </c>
      <c r="G1373" s="39">
        <v>43383</v>
      </c>
      <c r="J1373" t="s">
        <v>981</v>
      </c>
    </row>
    <row r="1374" spans="1:10" x14ac:dyDescent="0.35">
      <c r="A1374">
        <v>470023</v>
      </c>
      <c r="B1374" t="s">
        <v>9</v>
      </c>
      <c r="C1374" t="s">
        <v>163</v>
      </c>
      <c r="D1374" t="s">
        <v>92</v>
      </c>
      <c r="E1374" t="s">
        <v>170</v>
      </c>
      <c r="F1374" t="s">
        <v>244</v>
      </c>
      <c r="G1374" s="39">
        <v>41702</v>
      </c>
      <c r="J1374" t="s">
        <v>981</v>
      </c>
    </row>
    <row r="1375" spans="1:10" x14ac:dyDescent="0.35">
      <c r="A1375">
        <v>12210</v>
      </c>
      <c r="B1375" t="s">
        <v>9</v>
      </c>
      <c r="C1375" t="s">
        <v>164</v>
      </c>
      <c r="D1375" t="s">
        <v>92</v>
      </c>
      <c r="E1375" t="s">
        <v>170</v>
      </c>
      <c r="F1375" t="s">
        <v>244</v>
      </c>
      <c r="G1375" s="39">
        <v>43593</v>
      </c>
      <c r="J1375" t="s">
        <v>981</v>
      </c>
    </row>
    <row r="1376" spans="1:10" x14ac:dyDescent="0.35">
      <c r="A1376">
        <v>12280</v>
      </c>
      <c r="B1376" t="s">
        <v>9</v>
      </c>
      <c r="C1376" t="s">
        <v>164</v>
      </c>
      <c r="D1376" t="s">
        <v>92</v>
      </c>
      <c r="E1376" t="s">
        <v>170</v>
      </c>
      <c r="F1376" t="s">
        <v>244</v>
      </c>
      <c r="G1376" s="39">
        <v>43662</v>
      </c>
      <c r="J1376" t="s">
        <v>981</v>
      </c>
    </row>
    <row r="1377" spans="1:10" x14ac:dyDescent="0.35">
      <c r="A1377">
        <v>12535</v>
      </c>
      <c r="B1377" t="s">
        <v>46</v>
      </c>
      <c r="C1377" t="s">
        <v>172</v>
      </c>
      <c r="D1377" t="s">
        <v>92</v>
      </c>
      <c r="E1377" t="s">
        <v>170</v>
      </c>
      <c r="F1377" t="s">
        <v>244</v>
      </c>
      <c r="G1377" s="39">
        <v>43801</v>
      </c>
      <c r="J1377" t="s">
        <v>981</v>
      </c>
    </row>
    <row r="1378" spans="1:10" x14ac:dyDescent="0.35">
      <c r="A1378">
        <v>13542</v>
      </c>
      <c r="B1378" t="s">
        <v>9</v>
      </c>
      <c r="C1378" t="s">
        <v>163</v>
      </c>
      <c r="D1378" t="s">
        <v>92</v>
      </c>
      <c r="E1378" t="s">
        <v>170</v>
      </c>
      <c r="F1378" t="s">
        <v>244</v>
      </c>
      <c r="G1378" s="39">
        <v>44491</v>
      </c>
      <c r="J1378" t="s">
        <v>981</v>
      </c>
    </row>
    <row r="1379" spans="1:10" x14ac:dyDescent="0.35">
      <c r="A1379">
        <v>12305</v>
      </c>
      <c r="B1379" t="s">
        <v>9</v>
      </c>
      <c r="C1379" t="s">
        <v>164</v>
      </c>
      <c r="D1379" t="s">
        <v>92</v>
      </c>
      <c r="E1379" t="s">
        <v>170</v>
      </c>
      <c r="F1379" t="s">
        <v>244</v>
      </c>
      <c r="G1379" s="39">
        <v>43672</v>
      </c>
      <c r="J1379" t="s">
        <v>981</v>
      </c>
    </row>
    <row r="1380" spans="1:10" x14ac:dyDescent="0.35">
      <c r="A1380">
        <v>140042</v>
      </c>
      <c r="B1380" t="s">
        <v>9</v>
      </c>
      <c r="C1380" t="s">
        <v>163</v>
      </c>
      <c r="D1380" t="s">
        <v>92</v>
      </c>
      <c r="E1380" t="s">
        <v>170</v>
      </c>
      <c r="F1380" t="s">
        <v>244</v>
      </c>
      <c r="G1380" s="39">
        <v>43511</v>
      </c>
      <c r="J1380" t="s">
        <v>981</v>
      </c>
    </row>
    <row r="1381" spans="1:10" x14ac:dyDescent="0.35">
      <c r="A1381">
        <v>10218</v>
      </c>
      <c r="B1381" t="s">
        <v>9</v>
      </c>
      <c r="C1381" t="s">
        <v>165</v>
      </c>
      <c r="D1381" t="s">
        <v>92</v>
      </c>
      <c r="E1381" t="s">
        <v>170</v>
      </c>
      <c r="F1381" t="s">
        <v>244</v>
      </c>
      <c r="G1381" s="39">
        <v>38565</v>
      </c>
      <c r="J1381" t="s">
        <v>981</v>
      </c>
    </row>
    <row r="1382" spans="1:10" x14ac:dyDescent="0.35">
      <c r="A1382">
        <v>14674</v>
      </c>
      <c r="B1382" t="s">
        <v>9</v>
      </c>
      <c r="C1382" t="s">
        <v>164</v>
      </c>
      <c r="D1382" t="s">
        <v>92</v>
      </c>
      <c r="E1382" t="s">
        <v>170</v>
      </c>
      <c r="F1382" t="s">
        <v>244</v>
      </c>
      <c r="G1382" s="39">
        <v>44824</v>
      </c>
      <c r="J1382" t="s">
        <v>981</v>
      </c>
    </row>
    <row r="1383" spans="1:10" x14ac:dyDescent="0.35">
      <c r="A1383">
        <v>14718</v>
      </c>
      <c r="B1383" t="s">
        <v>9</v>
      </c>
      <c r="C1383" t="s">
        <v>164</v>
      </c>
      <c r="D1383" t="s">
        <v>92</v>
      </c>
      <c r="E1383" t="s">
        <v>170</v>
      </c>
      <c r="F1383" t="s">
        <v>244</v>
      </c>
      <c r="G1383" s="39">
        <v>44841</v>
      </c>
      <c r="J1383" t="s">
        <v>981</v>
      </c>
    </row>
    <row r="1384" spans="1:10" x14ac:dyDescent="0.35">
      <c r="A1384">
        <v>14798</v>
      </c>
      <c r="B1384" t="s">
        <v>9</v>
      </c>
      <c r="C1384" t="s">
        <v>165</v>
      </c>
      <c r="D1384" t="s">
        <v>92</v>
      </c>
      <c r="E1384" t="s">
        <v>170</v>
      </c>
      <c r="F1384" t="s">
        <v>244</v>
      </c>
      <c r="G1384" s="39">
        <v>44870</v>
      </c>
      <c r="J1384" t="s">
        <v>981</v>
      </c>
    </row>
    <row r="1385" spans="1:10" x14ac:dyDescent="0.35">
      <c r="A1385">
        <v>12752</v>
      </c>
      <c r="B1385" t="s">
        <v>9</v>
      </c>
      <c r="C1385" t="s">
        <v>165</v>
      </c>
      <c r="D1385" t="s">
        <v>92</v>
      </c>
      <c r="E1385" t="s">
        <v>170</v>
      </c>
      <c r="F1385" t="s">
        <v>244</v>
      </c>
      <c r="G1385" s="39">
        <v>43893</v>
      </c>
      <c r="J1385" t="s">
        <v>981</v>
      </c>
    </row>
    <row r="1386" spans="1:10" x14ac:dyDescent="0.35">
      <c r="A1386">
        <v>730017</v>
      </c>
      <c r="B1386" t="s">
        <v>9</v>
      </c>
      <c r="C1386" t="s">
        <v>164</v>
      </c>
      <c r="D1386" t="s">
        <v>92</v>
      </c>
      <c r="E1386" t="s">
        <v>170</v>
      </c>
      <c r="F1386" t="s">
        <v>244</v>
      </c>
      <c r="G1386" s="39">
        <v>37104</v>
      </c>
      <c r="J1386" t="s">
        <v>981</v>
      </c>
    </row>
    <row r="1387" spans="1:10" x14ac:dyDescent="0.35">
      <c r="A1387">
        <v>15808</v>
      </c>
      <c r="B1387" t="s">
        <v>9</v>
      </c>
      <c r="C1387" t="s">
        <v>165</v>
      </c>
      <c r="D1387" t="s">
        <v>92</v>
      </c>
      <c r="E1387" t="s">
        <v>170</v>
      </c>
      <c r="F1387" t="s">
        <v>244</v>
      </c>
      <c r="G1387" s="39">
        <v>45201</v>
      </c>
      <c r="J1387" t="s">
        <v>981</v>
      </c>
    </row>
    <row r="1388" spans="1:10" x14ac:dyDescent="0.35">
      <c r="A1388">
        <v>15851</v>
      </c>
      <c r="B1388" t="s">
        <v>9</v>
      </c>
      <c r="C1388" t="s">
        <v>165</v>
      </c>
      <c r="D1388" t="s">
        <v>92</v>
      </c>
      <c r="E1388" t="s">
        <v>170</v>
      </c>
      <c r="F1388" t="s">
        <v>244</v>
      </c>
      <c r="G1388" s="39">
        <v>45215</v>
      </c>
      <c r="J1388" t="s">
        <v>981</v>
      </c>
    </row>
    <row r="1389" spans="1:10" x14ac:dyDescent="0.35">
      <c r="A1389">
        <v>290037</v>
      </c>
      <c r="B1389" t="s">
        <v>9</v>
      </c>
      <c r="C1389" t="s">
        <v>164</v>
      </c>
      <c r="D1389" t="s">
        <v>92</v>
      </c>
      <c r="E1389" t="s">
        <v>170</v>
      </c>
      <c r="F1389" t="s">
        <v>244</v>
      </c>
      <c r="G1389" s="39">
        <v>42186</v>
      </c>
      <c r="J1389" t="s">
        <v>981</v>
      </c>
    </row>
    <row r="1390" spans="1:10" x14ac:dyDescent="0.35">
      <c r="A1390">
        <v>15479</v>
      </c>
      <c r="B1390" t="s">
        <v>9</v>
      </c>
      <c r="C1390" t="s">
        <v>164</v>
      </c>
      <c r="D1390" t="s">
        <v>92</v>
      </c>
      <c r="E1390" t="s">
        <v>170</v>
      </c>
      <c r="F1390" t="s">
        <v>244</v>
      </c>
      <c r="G1390" s="39">
        <v>45084</v>
      </c>
      <c r="J1390" t="s">
        <v>981</v>
      </c>
    </row>
    <row r="1391" spans="1:10" x14ac:dyDescent="0.35">
      <c r="A1391">
        <v>19137</v>
      </c>
      <c r="B1391" t="s">
        <v>9</v>
      </c>
      <c r="C1391" t="s">
        <v>164</v>
      </c>
      <c r="D1391" t="s">
        <v>92</v>
      </c>
      <c r="E1391" t="s">
        <v>272</v>
      </c>
      <c r="F1391" t="s">
        <v>244</v>
      </c>
      <c r="G1391" s="39">
        <v>46268</v>
      </c>
      <c r="H1391" t="s">
        <v>249</v>
      </c>
      <c r="J1391" t="s">
        <v>981</v>
      </c>
    </row>
    <row r="1392" spans="1:10" x14ac:dyDescent="0.35">
      <c r="A1392">
        <v>19138</v>
      </c>
      <c r="B1392" t="s">
        <v>9</v>
      </c>
      <c r="C1392" t="s">
        <v>164</v>
      </c>
      <c r="D1392" t="s">
        <v>92</v>
      </c>
      <c r="E1392" t="s">
        <v>272</v>
      </c>
      <c r="F1392" t="s">
        <v>244</v>
      </c>
      <c r="G1392" s="39">
        <v>46268</v>
      </c>
      <c r="H1392" t="s">
        <v>249</v>
      </c>
      <c r="J1392" t="s">
        <v>981</v>
      </c>
    </row>
    <row r="1393" spans="1:10" x14ac:dyDescent="0.35">
      <c r="A1393">
        <v>19139</v>
      </c>
      <c r="B1393" t="s">
        <v>9</v>
      </c>
      <c r="C1393" t="s">
        <v>164</v>
      </c>
      <c r="D1393" t="s">
        <v>92</v>
      </c>
      <c r="E1393" t="s">
        <v>272</v>
      </c>
      <c r="F1393" t="s">
        <v>244</v>
      </c>
      <c r="G1393" s="39">
        <v>46268</v>
      </c>
      <c r="H1393" t="s">
        <v>249</v>
      </c>
      <c r="J1393" t="s">
        <v>981</v>
      </c>
    </row>
    <row r="1394" spans="1:10" x14ac:dyDescent="0.35">
      <c r="A1394">
        <v>19134</v>
      </c>
      <c r="B1394" t="s">
        <v>9</v>
      </c>
      <c r="C1394" t="s">
        <v>164</v>
      </c>
      <c r="D1394" t="s">
        <v>92</v>
      </c>
      <c r="E1394" t="s">
        <v>272</v>
      </c>
      <c r="F1394" t="s">
        <v>244</v>
      </c>
      <c r="G1394" s="39">
        <v>46268</v>
      </c>
      <c r="H1394" t="s">
        <v>249</v>
      </c>
      <c r="J1394" t="s">
        <v>981</v>
      </c>
    </row>
    <row r="1395" spans="1:10" x14ac:dyDescent="0.35">
      <c r="A1395">
        <v>19146</v>
      </c>
      <c r="B1395" t="s">
        <v>9</v>
      </c>
      <c r="C1395" t="s">
        <v>164</v>
      </c>
      <c r="D1395" t="s">
        <v>92</v>
      </c>
      <c r="E1395" t="s">
        <v>272</v>
      </c>
      <c r="F1395" t="s">
        <v>244</v>
      </c>
      <c r="G1395" s="39">
        <v>46269</v>
      </c>
      <c r="H1395" t="s">
        <v>249</v>
      </c>
      <c r="J1395" t="s">
        <v>981</v>
      </c>
    </row>
    <row r="1396" spans="1:10" x14ac:dyDescent="0.35">
      <c r="A1396">
        <v>19147</v>
      </c>
      <c r="B1396" t="s">
        <v>9</v>
      </c>
      <c r="C1396" t="s">
        <v>164</v>
      </c>
      <c r="D1396" t="s">
        <v>92</v>
      </c>
      <c r="E1396" t="s">
        <v>272</v>
      </c>
      <c r="F1396" t="s">
        <v>244</v>
      </c>
      <c r="G1396" s="39">
        <v>46269</v>
      </c>
      <c r="H1396" t="s">
        <v>249</v>
      </c>
      <c r="J1396" t="s">
        <v>981</v>
      </c>
    </row>
    <row r="1397" spans="1:10" x14ac:dyDescent="0.35">
      <c r="A1397">
        <v>19148</v>
      </c>
      <c r="B1397" t="s">
        <v>9</v>
      </c>
      <c r="C1397" t="s">
        <v>164</v>
      </c>
      <c r="D1397" t="s">
        <v>92</v>
      </c>
      <c r="E1397" t="s">
        <v>272</v>
      </c>
      <c r="F1397" t="s">
        <v>244</v>
      </c>
      <c r="G1397" s="39">
        <v>46269</v>
      </c>
      <c r="H1397" t="s">
        <v>249</v>
      </c>
      <c r="J1397" t="s">
        <v>981</v>
      </c>
    </row>
    <row r="1398" spans="1:10" x14ac:dyDescent="0.35">
      <c r="A1398">
        <v>19149</v>
      </c>
      <c r="B1398" t="s">
        <v>9</v>
      </c>
      <c r="C1398" t="s">
        <v>164</v>
      </c>
      <c r="D1398" t="s">
        <v>92</v>
      </c>
      <c r="E1398" t="s">
        <v>272</v>
      </c>
      <c r="F1398" t="s">
        <v>244</v>
      </c>
      <c r="G1398" s="39">
        <v>46269</v>
      </c>
      <c r="H1398" t="s">
        <v>249</v>
      </c>
      <c r="J1398" t="s">
        <v>981</v>
      </c>
    </row>
    <row r="1399" spans="1:10" x14ac:dyDescent="0.35">
      <c r="A1399">
        <v>19150</v>
      </c>
      <c r="B1399" t="s">
        <v>9</v>
      </c>
      <c r="C1399" t="s">
        <v>164</v>
      </c>
      <c r="D1399" t="s">
        <v>92</v>
      </c>
      <c r="E1399" t="s">
        <v>272</v>
      </c>
      <c r="F1399" t="s">
        <v>244</v>
      </c>
      <c r="G1399" s="39">
        <v>46269</v>
      </c>
      <c r="H1399" t="s">
        <v>249</v>
      </c>
      <c r="J1399" t="s">
        <v>981</v>
      </c>
    </row>
    <row r="1400" spans="1:10" x14ac:dyDescent="0.35">
      <c r="A1400">
        <v>19154</v>
      </c>
      <c r="B1400" t="s">
        <v>9</v>
      </c>
      <c r="C1400" t="s">
        <v>164</v>
      </c>
      <c r="D1400" t="s">
        <v>92</v>
      </c>
      <c r="E1400" t="s">
        <v>272</v>
      </c>
      <c r="F1400" t="s">
        <v>244</v>
      </c>
      <c r="G1400" s="39">
        <v>46269</v>
      </c>
      <c r="H1400" t="s">
        <v>249</v>
      </c>
      <c r="J1400" t="s">
        <v>981</v>
      </c>
    </row>
    <row r="1401" spans="1:10" x14ac:dyDescent="0.35">
      <c r="A1401">
        <v>19157</v>
      </c>
      <c r="B1401" t="s">
        <v>9</v>
      </c>
      <c r="C1401" t="s">
        <v>164</v>
      </c>
      <c r="D1401" t="s">
        <v>92</v>
      </c>
      <c r="E1401" t="s">
        <v>272</v>
      </c>
      <c r="F1401" t="s">
        <v>244</v>
      </c>
      <c r="G1401" s="39">
        <v>46269</v>
      </c>
      <c r="H1401" t="s">
        <v>249</v>
      </c>
      <c r="J1401" t="s">
        <v>981</v>
      </c>
    </row>
    <row r="1402" spans="1:10" x14ac:dyDescent="0.35">
      <c r="A1402">
        <v>19158</v>
      </c>
      <c r="B1402" t="s">
        <v>9</v>
      </c>
      <c r="C1402" t="s">
        <v>164</v>
      </c>
      <c r="D1402" t="s">
        <v>92</v>
      </c>
      <c r="E1402" t="s">
        <v>272</v>
      </c>
      <c r="F1402" t="s">
        <v>244</v>
      </c>
      <c r="G1402" s="39">
        <v>46269</v>
      </c>
      <c r="H1402" t="s">
        <v>249</v>
      </c>
      <c r="J1402" t="s">
        <v>981</v>
      </c>
    </row>
    <row r="1403" spans="1:10" x14ac:dyDescent="0.35">
      <c r="A1403">
        <v>19159</v>
      </c>
      <c r="B1403" t="s">
        <v>9</v>
      </c>
      <c r="C1403" t="s">
        <v>164</v>
      </c>
      <c r="D1403" t="s">
        <v>92</v>
      </c>
      <c r="E1403" t="s">
        <v>272</v>
      </c>
      <c r="F1403" t="s">
        <v>244</v>
      </c>
      <c r="G1403" s="39">
        <v>46269</v>
      </c>
      <c r="H1403" t="s">
        <v>249</v>
      </c>
      <c r="J1403" t="s">
        <v>981</v>
      </c>
    </row>
    <row r="1404" spans="1:10" x14ac:dyDescent="0.35">
      <c r="A1404">
        <v>19160</v>
      </c>
      <c r="B1404" t="s">
        <v>9</v>
      </c>
      <c r="C1404" t="s">
        <v>164</v>
      </c>
      <c r="D1404" t="s">
        <v>92</v>
      </c>
      <c r="E1404" t="s">
        <v>272</v>
      </c>
      <c r="F1404" t="s">
        <v>244</v>
      </c>
      <c r="G1404" s="39">
        <v>46269</v>
      </c>
      <c r="H1404" t="s">
        <v>249</v>
      </c>
      <c r="J1404" t="s">
        <v>981</v>
      </c>
    </row>
    <row r="1405" spans="1:10" x14ac:dyDescent="0.35">
      <c r="A1405">
        <v>19194</v>
      </c>
      <c r="B1405" t="s">
        <v>9</v>
      </c>
      <c r="C1405" t="s">
        <v>164</v>
      </c>
      <c r="D1405" t="s">
        <v>92</v>
      </c>
      <c r="E1405" t="s">
        <v>272</v>
      </c>
      <c r="F1405" t="s">
        <v>244</v>
      </c>
      <c r="G1405" s="39">
        <v>46275</v>
      </c>
      <c r="H1405" t="s">
        <v>249</v>
      </c>
      <c r="J1405" t="s">
        <v>981</v>
      </c>
    </row>
    <row r="1406" spans="1:10" x14ac:dyDescent="0.35">
      <c r="A1406">
        <v>19202</v>
      </c>
      <c r="B1406" t="s">
        <v>9</v>
      </c>
      <c r="C1406" t="s">
        <v>164</v>
      </c>
      <c r="D1406" t="s">
        <v>92</v>
      </c>
      <c r="E1406" t="s">
        <v>272</v>
      </c>
      <c r="F1406" t="s">
        <v>244</v>
      </c>
      <c r="G1406" s="39">
        <v>46275</v>
      </c>
      <c r="H1406" t="s">
        <v>249</v>
      </c>
      <c r="J1406" t="s">
        <v>981</v>
      </c>
    </row>
    <row r="1407" spans="1:10" x14ac:dyDescent="0.35">
      <c r="A1407">
        <v>15502</v>
      </c>
      <c r="B1407" t="s">
        <v>9</v>
      </c>
      <c r="C1407" t="s">
        <v>165</v>
      </c>
      <c r="D1407" t="s">
        <v>92</v>
      </c>
      <c r="E1407" t="s">
        <v>170</v>
      </c>
      <c r="F1407" t="s">
        <v>244</v>
      </c>
      <c r="G1407" s="39">
        <v>45099</v>
      </c>
      <c r="J1407" t="s">
        <v>981</v>
      </c>
    </row>
    <row r="1408" spans="1:10" x14ac:dyDescent="0.35">
      <c r="A1408">
        <v>15510</v>
      </c>
      <c r="B1408" t="s">
        <v>9</v>
      </c>
      <c r="C1408" t="s">
        <v>165</v>
      </c>
      <c r="D1408" t="s">
        <v>92</v>
      </c>
      <c r="E1408" t="s">
        <v>170</v>
      </c>
      <c r="F1408" t="s">
        <v>244</v>
      </c>
      <c r="G1408" s="39">
        <v>45100</v>
      </c>
      <c r="J1408" t="s">
        <v>981</v>
      </c>
    </row>
    <row r="1409" spans="1:10" x14ac:dyDescent="0.35">
      <c r="A1409">
        <v>15703</v>
      </c>
      <c r="B1409" t="s">
        <v>9</v>
      </c>
      <c r="C1409" t="s">
        <v>163</v>
      </c>
      <c r="D1409" t="s">
        <v>92</v>
      </c>
      <c r="E1409" t="s">
        <v>170</v>
      </c>
      <c r="F1409" t="s">
        <v>244</v>
      </c>
      <c r="G1409" s="39">
        <v>45170</v>
      </c>
      <c r="J1409" t="s">
        <v>981</v>
      </c>
    </row>
    <row r="1410" spans="1:10" x14ac:dyDescent="0.35">
      <c r="A1410">
        <v>15704</v>
      </c>
      <c r="B1410" t="s">
        <v>9</v>
      </c>
      <c r="C1410" t="s">
        <v>165</v>
      </c>
      <c r="D1410" t="s">
        <v>92</v>
      </c>
      <c r="E1410" t="s">
        <v>170</v>
      </c>
      <c r="F1410" t="s">
        <v>244</v>
      </c>
      <c r="G1410" s="39">
        <v>45170</v>
      </c>
      <c r="J1410" t="s">
        <v>981</v>
      </c>
    </row>
    <row r="1411" spans="1:10" x14ac:dyDescent="0.35">
      <c r="A1411">
        <v>15758</v>
      </c>
      <c r="B1411" t="s">
        <v>9</v>
      </c>
      <c r="C1411" t="s">
        <v>164</v>
      </c>
      <c r="D1411" t="s">
        <v>92</v>
      </c>
      <c r="E1411" t="s">
        <v>170</v>
      </c>
      <c r="F1411" t="s">
        <v>244</v>
      </c>
      <c r="G1411" s="39">
        <v>45187</v>
      </c>
      <c r="J1411" t="s">
        <v>981</v>
      </c>
    </row>
    <row r="1412" spans="1:10" x14ac:dyDescent="0.35">
      <c r="A1412">
        <v>15787</v>
      </c>
      <c r="B1412" t="s">
        <v>9</v>
      </c>
      <c r="C1412" t="s">
        <v>164</v>
      </c>
      <c r="D1412" t="s">
        <v>92</v>
      </c>
      <c r="E1412" t="s">
        <v>170</v>
      </c>
      <c r="F1412" t="s">
        <v>244</v>
      </c>
      <c r="G1412" s="39">
        <v>45191</v>
      </c>
      <c r="J1412" t="s">
        <v>981</v>
      </c>
    </row>
    <row r="1413" spans="1:10" x14ac:dyDescent="0.35">
      <c r="A1413">
        <v>810008</v>
      </c>
      <c r="B1413" t="s">
        <v>9</v>
      </c>
      <c r="C1413" t="s">
        <v>164</v>
      </c>
      <c r="D1413" t="s">
        <v>92</v>
      </c>
      <c r="E1413" t="s">
        <v>170</v>
      </c>
      <c r="F1413" t="s">
        <v>244</v>
      </c>
      <c r="G1413" s="39">
        <v>39440</v>
      </c>
      <c r="J1413" t="s">
        <v>981</v>
      </c>
    </row>
    <row r="1414" spans="1:10" x14ac:dyDescent="0.35">
      <c r="A1414">
        <v>16065</v>
      </c>
      <c r="B1414" t="s">
        <v>9</v>
      </c>
      <c r="C1414" t="s">
        <v>164</v>
      </c>
      <c r="D1414" t="s">
        <v>92</v>
      </c>
      <c r="E1414" t="s">
        <v>170</v>
      </c>
      <c r="F1414" t="s">
        <v>244</v>
      </c>
      <c r="G1414" s="39">
        <v>45278</v>
      </c>
      <c r="J1414" t="s">
        <v>981</v>
      </c>
    </row>
    <row r="1415" spans="1:10" x14ac:dyDescent="0.35">
      <c r="A1415">
        <v>16840</v>
      </c>
      <c r="B1415" t="s">
        <v>9</v>
      </c>
      <c r="C1415" t="s">
        <v>164</v>
      </c>
      <c r="D1415" t="s">
        <v>92</v>
      </c>
      <c r="E1415" t="s">
        <v>170</v>
      </c>
      <c r="F1415" t="s">
        <v>244</v>
      </c>
      <c r="G1415" s="39">
        <v>45568</v>
      </c>
      <c r="J1415" t="s">
        <v>981</v>
      </c>
    </row>
    <row r="1416" spans="1:10" x14ac:dyDescent="0.35">
      <c r="A1416">
        <v>16843</v>
      </c>
      <c r="B1416" t="s">
        <v>9</v>
      </c>
      <c r="C1416" t="s">
        <v>165</v>
      </c>
      <c r="D1416" t="s">
        <v>92</v>
      </c>
      <c r="E1416" t="s">
        <v>170</v>
      </c>
      <c r="F1416" t="s">
        <v>244</v>
      </c>
      <c r="G1416" s="39">
        <v>45568</v>
      </c>
      <c r="J1416" t="s">
        <v>981</v>
      </c>
    </row>
    <row r="1417" spans="1:10" x14ac:dyDescent="0.35">
      <c r="A1417">
        <v>16864</v>
      </c>
      <c r="B1417" t="s">
        <v>9</v>
      </c>
      <c r="C1417" t="s">
        <v>165</v>
      </c>
      <c r="D1417" t="s">
        <v>92</v>
      </c>
      <c r="E1417" t="s">
        <v>170</v>
      </c>
      <c r="F1417" t="s">
        <v>244</v>
      </c>
      <c r="G1417" s="39">
        <v>45569</v>
      </c>
      <c r="J1417" t="s">
        <v>981</v>
      </c>
    </row>
    <row r="1418" spans="1:10" x14ac:dyDescent="0.35">
      <c r="A1418">
        <v>16955</v>
      </c>
      <c r="B1418" t="s">
        <v>9</v>
      </c>
      <c r="C1418" t="s">
        <v>163</v>
      </c>
      <c r="D1418" t="s">
        <v>92</v>
      </c>
      <c r="E1418" t="s">
        <v>170</v>
      </c>
      <c r="F1418" t="s">
        <v>244</v>
      </c>
      <c r="G1418" s="39">
        <v>45576</v>
      </c>
      <c r="J1418" t="s">
        <v>981</v>
      </c>
    </row>
    <row r="1419" spans="1:10" x14ac:dyDescent="0.35">
      <c r="A1419">
        <v>17715</v>
      </c>
      <c r="B1419" t="s">
        <v>9</v>
      </c>
      <c r="C1419" t="s">
        <v>165</v>
      </c>
      <c r="D1419" t="s">
        <v>92</v>
      </c>
      <c r="E1419" t="s">
        <v>170</v>
      </c>
      <c r="F1419" t="s">
        <v>244</v>
      </c>
      <c r="G1419" s="39">
        <v>45854</v>
      </c>
      <c r="J1419" t="s">
        <v>981</v>
      </c>
    </row>
    <row r="1420" spans="1:10" x14ac:dyDescent="0.35">
      <c r="A1420">
        <v>17732</v>
      </c>
      <c r="B1420" t="s">
        <v>9</v>
      </c>
      <c r="C1420" t="s">
        <v>164</v>
      </c>
      <c r="D1420" t="s">
        <v>92</v>
      </c>
      <c r="E1420" t="s">
        <v>170</v>
      </c>
      <c r="F1420" t="s">
        <v>244</v>
      </c>
      <c r="G1420" s="39">
        <v>45856</v>
      </c>
      <c r="J1420" t="s">
        <v>981</v>
      </c>
    </row>
    <row r="1421" spans="1:10" x14ac:dyDescent="0.35">
      <c r="A1421">
        <v>17819</v>
      </c>
      <c r="B1421" t="s">
        <v>9</v>
      </c>
      <c r="C1421" t="s">
        <v>164</v>
      </c>
      <c r="D1421" t="s">
        <v>92</v>
      </c>
      <c r="E1421" t="s">
        <v>170</v>
      </c>
      <c r="F1421" t="s">
        <v>244</v>
      </c>
      <c r="G1421" s="39">
        <v>45887</v>
      </c>
      <c r="J1421" t="s">
        <v>981</v>
      </c>
    </row>
    <row r="1422" spans="1:10" x14ac:dyDescent="0.35">
      <c r="A1422">
        <v>17977</v>
      </c>
      <c r="B1422" t="s">
        <v>9</v>
      </c>
      <c r="C1422" t="s">
        <v>164</v>
      </c>
      <c r="D1422" t="s">
        <v>92</v>
      </c>
      <c r="E1422" t="s">
        <v>170</v>
      </c>
      <c r="F1422" t="s">
        <v>244</v>
      </c>
      <c r="G1422" s="39">
        <v>45944</v>
      </c>
      <c r="J1422" t="s">
        <v>981</v>
      </c>
    </row>
    <row r="1423" spans="1:10" x14ac:dyDescent="0.35">
      <c r="A1423">
        <v>18931</v>
      </c>
      <c r="B1423" t="s">
        <v>9</v>
      </c>
      <c r="C1423" t="s">
        <v>165</v>
      </c>
      <c r="D1423" t="s">
        <v>92</v>
      </c>
      <c r="E1423" t="s">
        <v>173</v>
      </c>
      <c r="F1423" t="s">
        <v>244</v>
      </c>
      <c r="G1423" s="39">
        <v>46239</v>
      </c>
      <c r="H1423" t="s">
        <v>249</v>
      </c>
      <c r="J1423" t="s">
        <v>981</v>
      </c>
    </row>
    <row r="1424" spans="1:10" x14ac:dyDescent="0.35">
      <c r="A1424">
        <v>18928</v>
      </c>
      <c r="B1424" t="s">
        <v>9</v>
      </c>
      <c r="C1424" t="s">
        <v>165</v>
      </c>
      <c r="D1424" t="s">
        <v>92</v>
      </c>
      <c r="E1424" t="s">
        <v>174</v>
      </c>
      <c r="F1424" t="s">
        <v>244</v>
      </c>
      <c r="G1424" s="39">
        <v>46239</v>
      </c>
      <c r="H1424" t="s">
        <v>249</v>
      </c>
      <c r="J1424" t="s">
        <v>981</v>
      </c>
    </row>
    <row r="1425" spans="1:10" x14ac:dyDescent="0.35">
      <c r="A1425">
        <v>18971</v>
      </c>
      <c r="B1425" t="s">
        <v>9</v>
      </c>
      <c r="C1425" t="s">
        <v>164</v>
      </c>
      <c r="D1425" t="s">
        <v>92</v>
      </c>
      <c r="E1425" t="s">
        <v>273</v>
      </c>
      <c r="F1425" t="s">
        <v>244</v>
      </c>
      <c r="G1425" s="39">
        <v>46248</v>
      </c>
      <c r="H1425" t="s">
        <v>249</v>
      </c>
      <c r="J1425" t="s">
        <v>981</v>
      </c>
    </row>
    <row r="1426" spans="1:10" x14ac:dyDescent="0.35">
      <c r="A1426">
        <v>18970</v>
      </c>
      <c r="B1426" t="s">
        <v>9</v>
      </c>
      <c r="C1426" t="s">
        <v>164</v>
      </c>
      <c r="D1426" t="s">
        <v>92</v>
      </c>
      <c r="E1426" t="s">
        <v>273</v>
      </c>
      <c r="F1426" t="s">
        <v>244</v>
      </c>
      <c r="G1426" s="39">
        <v>46248</v>
      </c>
      <c r="H1426" t="s">
        <v>249</v>
      </c>
      <c r="J1426" t="s">
        <v>981</v>
      </c>
    </row>
    <row r="1427" spans="1:10" x14ac:dyDescent="0.35">
      <c r="A1427">
        <v>18986</v>
      </c>
      <c r="B1427" t="s">
        <v>9</v>
      </c>
      <c r="C1427" t="s">
        <v>164</v>
      </c>
      <c r="D1427" t="s">
        <v>92</v>
      </c>
      <c r="E1427" t="s">
        <v>273</v>
      </c>
      <c r="F1427" t="s">
        <v>244</v>
      </c>
      <c r="G1427" s="39">
        <v>46252</v>
      </c>
      <c r="H1427" t="s">
        <v>249</v>
      </c>
      <c r="J1427" t="s">
        <v>981</v>
      </c>
    </row>
    <row r="1428" spans="1:10" x14ac:dyDescent="0.35">
      <c r="A1428">
        <v>18983</v>
      </c>
      <c r="B1428" t="s">
        <v>9</v>
      </c>
      <c r="C1428" t="s">
        <v>164</v>
      </c>
      <c r="D1428" t="s">
        <v>92</v>
      </c>
      <c r="E1428" t="s">
        <v>273</v>
      </c>
      <c r="F1428" t="s">
        <v>244</v>
      </c>
      <c r="G1428" s="39">
        <v>46252</v>
      </c>
      <c r="H1428" t="s">
        <v>249</v>
      </c>
      <c r="J1428" t="s">
        <v>981</v>
      </c>
    </row>
    <row r="1429" spans="1:10" x14ac:dyDescent="0.35">
      <c r="A1429">
        <v>18988</v>
      </c>
      <c r="B1429" t="s">
        <v>9</v>
      </c>
      <c r="C1429" t="s">
        <v>164</v>
      </c>
      <c r="D1429" t="s">
        <v>92</v>
      </c>
      <c r="E1429" t="s">
        <v>273</v>
      </c>
      <c r="F1429" t="s">
        <v>244</v>
      </c>
      <c r="G1429" s="39">
        <v>46252</v>
      </c>
      <c r="H1429" t="s">
        <v>249</v>
      </c>
      <c r="J1429" t="s">
        <v>981</v>
      </c>
    </row>
    <row r="1430" spans="1:10" x14ac:dyDescent="0.35">
      <c r="A1430">
        <v>18972</v>
      </c>
      <c r="B1430" t="s">
        <v>9</v>
      </c>
      <c r="C1430" t="s">
        <v>164</v>
      </c>
      <c r="D1430" t="s">
        <v>92</v>
      </c>
      <c r="E1430" t="s">
        <v>273</v>
      </c>
      <c r="F1430" t="s">
        <v>244</v>
      </c>
      <c r="G1430" s="39">
        <v>46252</v>
      </c>
      <c r="H1430" t="s">
        <v>249</v>
      </c>
      <c r="J1430" t="s">
        <v>981</v>
      </c>
    </row>
    <row r="1431" spans="1:10" x14ac:dyDescent="0.35">
      <c r="A1431">
        <v>18982</v>
      </c>
      <c r="B1431" t="s">
        <v>9</v>
      </c>
      <c r="C1431" t="s">
        <v>164</v>
      </c>
      <c r="D1431" t="s">
        <v>92</v>
      </c>
      <c r="E1431" t="s">
        <v>273</v>
      </c>
      <c r="F1431" t="s">
        <v>244</v>
      </c>
      <c r="G1431" s="39">
        <v>46252</v>
      </c>
      <c r="H1431" t="s">
        <v>249</v>
      </c>
      <c r="J1431" t="s">
        <v>981</v>
      </c>
    </row>
    <row r="1432" spans="1:10" x14ac:dyDescent="0.35">
      <c r="A1432">
        <v>18981</v>
      </c>
      <c r="B1432" t="s">
        <v>9</v>
      </c>
      <c r="C1432" t="s">
        <v>164</v>
      </c>
      <c r="D1432" t="s">
        <v>92</v>
      </c>
      <c r="E1432" t="s">
        <v>273</v>
      </c>
      <c r="F1432" t="s">
        <v>244</v>
      </c>
      <c r="G1432" s="39">
        <v>46252</v>
      </c>
      <c r="H1432" t="s">
        <v>249</v>
      </c>
      <c r="J1432" t="s">
        <v>981</v>
      </c>
    </row>
    <row r="1433" spans="1:10" x14ac:dyDescent="0.35">
      <c r="A1433">
        <v>18978</v>
      </c>
      <c r="B1433" t="s">
        <v>9</v>
      </c>
      <c r="C1433" t="s">
        <v>165</v>
      </c>
      <c r="D1433" t="s">
        <v>92</v>
      </c>
      <c r="E1433" t="s">
        <v>274</v>
      </c>
      <c r="F1433" t="s">
        <v>244</v>
      </c>
      <c r="G1433" s="39">
        <v>46252</v>
      </c>
      <c r="H1433" t="s">
        <v>249</v>
      </c>
      <c r="J1433" t="s">
        <v>981</v>
      </c>
    </row>
    <row r="1434" spans="1:10" x14ac:dyDescent="0.35">
      <c r="A1434">
        <v>18980</v>
      </c>
      <c r="B1434" t="s">
        <v>9</v>
      </c>
      <c r="C1434" t="s">
        <v>164</v>
      </c>
      <c r="D1434" t="s">
        <v>92</v>
      </c>
      <c r="E1434" t="s">
        <v>273</v>
      </c>
      <c r="F1434" t="s">
        <v>244</v>
      </c>
      <c r="G1434" s="39">
        <v>46252</v>
      </c>
      <c r="H1434" t="s">
        <v>249</v>
      </c>
      <c r="J1434" t="s">
        <v>981</v>
      </c>
    </row>
    <row r="1435" spans="1:10" x14ac:dyDescent="0.35">
      <c r="A1435">
        <v>18987</v>
      </c>
      <c r="B1435" t="s">
        <v>9</v>
      </c>
      <c r="C1435" t="s">
        <v>164</v>
      </c>
      <c r="D1435" t="s">
        <v>92</v>
      </c>
      <c r="E1435" t="s">
        <v>273</v>
      </c>
      <c r="F1435" t="s">
        <v>244</v>
      </c>
      <c r="G1435" s="39">
        <v>46252</v>
      </c>
      <c r="H1435" t="s">
        <v>249</v>
      </c>
      <c r="J1435" t="s">
        <v>981</v>
      </c>
    </row>
    <row r="1436" spans="1:10" x14ac:dyDescent="0.35">
      <c r="A1436">
        <v>18979</v>
      </c>
      <c r="B1436" t="s">
        <v>9</v>
      </c>
      <c r="C1436" t="s">
        <v>164</v>
      </c>
      <c r="D1436" t="s">
        <v>92</v>
      </c>
      <c r="E1436" t="s">
        <v>273</v>
      </c>
      <c r="F1436" t="s">
        <v>244</v>
      </c>
      <c r="G1436" s="39">
        <v>46251</v>
      </c>
      <c r="H1436" t="s">
        <v>249</v>
      </c>
      <c r="J1436" t="s">
        <v>981</v>
      </c>
    </row>
    <row r="1437" spans="1:10" x14ac:dyDescent="0.35">
      <c r="A1437">
        <v>19007</v>
      </c>
      <c r="B1437" t="s">
        <v>9</v>
      </c>
      <c r="C1437" t="s">
        <v>164</v>
      </c>
      <c r="D1437" t="s">
        <v>92</v>
      </c>
      <c r="E1437" t="s">
        <v>275</v>
      </c>
      <c r="F1437" t="s">
        <v>244</v>
      </c>
      <c r="G1437" s="39">
        <v>46254</v>
      </c>
      <c r="H1437" t="s">
        <v>249</v>
      </c>
      <c r="J1437" t="s">
        <v>981</v>
      </c>
    </row>
    <row r="1438" spans="1:10" x14ac:dyDescent="0.35">
      <c r="A1438">
        <v>19015</v>
      </c>
      <c r="B1438" t="s">
        <v>9</v>
      </c>
      <c r="C1438" t="s">
        <v>164</v>
      </c>
      <c r="D1438" t="s">
        <v>92</v>
      </c>
      <c r="E1438" t="s">
        <v>275</v>
      </c>
      <c r="F1438" t="s">
        <v>244</v>
      </c>
      <c r="G1438" s="39">
        <v>46254</v>
      </c>
      <c r="H1438" t="s">
        <v>249</v>
      </c>
      <c r="J1438" t="s">
        <v>981</v>
      </c>
    </row>
    <row r="1439" spans="1:10" x14ac:dyDescent="0.35">
      <c r="A1439">
        <v>19008</v>
      </c>
      <c r="B1439" t="s">
        <v>9</v>
      </c>
      <c r="C1439" t="s">
        <v>164</v>
      </c>
      <c r="D1439" t="s">
        <v>92</v>
      </c>
      <c r="E1439" t="s">
        <v>275</v>
      </c>
      <c r="F1439" t="s">
        <v>244</v>
      </c>
      <c r="G1439" s="39">
        <v>46254</v>
      </c>
      <c r="H1439" t="s">
        <v>249</v>
      </c>
      <c r="J1439" t="s">
        <v>981</v>
      </c>
    </row>
    <row r="1440" spans="1:10" x14ac:dyDescent="0.35">
      <c r="A1440">
        <v>19009</v>
      </c>
      <c r="B1440" t="s">
        <v>9</v>
      </c>
      <c r="C1440" t="s">
        <v>164</v>
      </c>
      <c r="D1440" t="s">
        <v>92</v>
      </c>
      <c r="E1440" t="s">
        <v>275</v>
      </c>
      <c r="F1440" t="s">
        <v>244</v>
      </c>
      <c r="G1440" s="39">
        <v>46254</v>
      </c>
      <c r="H1440" t="s">
        <v>249</v>
      </c>
      <c r="J1440" t="s">
        <v>981</v>
      </c>
    </row>
    <row r="1441" spans="1:10" x14ac:dyDescent="0.35">
      <c r="A1441">
        <v>19010</v>
      </c>
      <c r="B1441" t="s">
        <v>9</v>
      </c>
      <c r="C1441" t="s">
        <v>164</v>
      </c>
      <c r="D1441" t="s">
        <v>92</v>
      </c>
      <c r="E1441" t="s">
        <v>275</v>
      </c>
      <c r="F1441" t="s">
        <v>244</v>
      </c>
      <c r="G1441" s="39">
        <v>46254</v>
      </c>
      <c r="H1441" t="s">
        <v>249</v>
      </c>
      <c r="J1441" t="s">
        <v>981</v>
      </c>
    </row>
    <row r="1442" spans="1:10" x14ac:dyDescent="0.35">
      <c r="A1442">
        <v>19019</v>
      </c>
      <c r="B1442" t="s">
        <v>9</v>
      </c>
      <c r="C1442" t="s">
        <v>164</v>
      </c>
      <c r="D1442" t="s">
        <v>92</v>
      </c>
      <c r="E1442" t="s">
        <v>275</v>
      </c>
      <c r="F1442" t="s">
        <v>244</v>
      </c>
      <c r="G1442" s="39">
        <v>46255</v>
      </c>
      <c r="H1442" t="s">
        <v>249</v>
      </c>
      <c r="J1442" t="s">
        <v>981</v>
      </c>
    </row>
    <row r="1443" spans="1:10" x14ac:dyDescent="0.35">
      <c r="A1443">
        <v>19135</v>
      </c>
      <c r="B1443" t="s">
        <v>9</v>
      </c>
      <c r="C1443" t="s">
        <v>164</v>
      </c>
      <c r="D1443" t="s">
        <v>92</v>
      </c>
      <c r="E1443" t="s">
        <v>275</v>
      </c>
      <c r="F1443" t="s">
        <v>244</v>
      </c>
      <c r="G1443" s="39">
        <v>46268</v>
      </c>
      <c r="H1443" t="s">
        <v>249</v>
      </c>
      <c r="J1443" t="s">
        <v>981</v>
      </c>
    </row>
    <row r="1444" spans="1:10" x14ac:dyDescent="0.35">
      <c r="A1444">
        <v>19170</v>
      </c>
      <c r="B1444" t="s">
        <v>9</v>
      </c>
      <c r="C1444" t="s">
        <v>164</v>
      </c>
      <c r="D1444" t="s">
        <v>92</v>
      </c>
      <c r="E1444" t="s">
        <v>275</v>
      </c>
      <c r="F1444" t="s">
        <v>244</v>
      </c>
      <c r="G1444" s="39">
        <v>46272</v>
      </c>
      <c r="H1444" t="s">
        <v>249</v>
      </c>
      <c r="J1444" t="s">
        <v>981</v>
      </c>
    </row>
    <row r="1445" spans="1:10" x14ac:dyDescent="0.35">
      <c r="A1445">
        <v>19145</v>
      </c>
      <c r="B1445" t="s">
        <v>9</v>
      </c>
      <c r="C1445" t="s">
        <v>164</v>
      </c>
      <c r="D1445" t="s">
        <v>92</v>
      </c>
      <c r="E1445" t="s">
        <v>275</v>
      </c>
      <c r="F1445" t="s">
        <v>244</v>
      </c>
      <c r="G1445" s="39">
        <v>46272</v>
      </c>
      <c r="H1445" t="s">
        <v>249</v>
      </c>
      <c r="J1445" t="s">
        <v>981</v>
      </c>
    </row>
    <row r="1446" spans="1:10" x14ac:dyDescent="0.35">
      <c r="A1446">
        <v>19172</v>
      </c>
      <c r="B1446" t="s">
        <v>9</v>
      </c>
      <c r="C1446" t="s">
        <v>164</v>
      </c>
      <c r="D1446" t="s">
        <v>92</v>
      </c>
      <c r="E1446" t="s">
        <v>275</v>
      </c>
      <c r="F1446" t="s">
        <v>244</v>
      </c>
      <c r="G1446" s="39">
        <v>46273</v>
      </c>
      <c r="H1446" t="s">
        <v>249</v>
      </c>
      <c r="J1446" t="s">
        <v>981</v>
      </c>
    </row>
    <row r="1447" spans="1:10" x14ac:dyDescent="0.35">
      <c r="A1447">
        <v>19173</v>
      </c>
      <c r="B1447" t="s">
        <v>9</v>
      </c>
      <c r="C1447" t="s">
        <v>164</v>
      </c>
      <c r="D1447" t="s">
        <v>92</v>
      </c>
      <c r="E1447" t="s">
        <v>275</v>
      </c>
      <c r="F1447" t="s">
        <v>244</v>
      </c>
      <c r="G1447" s="39">
        <v>46273</v>
      </c>
      <c r="H1447" t="s">
        <v>249</v>
      </c>
      <c r="J1447" t="s">
        <v>981</v>
      </c>
    </row>
    <row r="1448" spans="1:10" x14ac:dyDescent="0.35">
      <c r="A1448">
        <v>19174</v>
      </c>
      <c r="B1448" t="s">
        <v>9</v>
      </c>
      <c r="C1448" t="s">
        <v>164</v>
      </c>
      <c r="D1448" t="s">
        <v>92</v>
      </c>
      <c r="E1448" t="s">
        <v>275</v>
      </c>
      <c r="F1448" t="s">
        <v>244</v>
      </c>
      <c r="G1448" s="39">
        <v>46273</v>
      </c>
      <c r="H1448" t="s">
        <v>249</v>
      </c>
      <c r="J1448" t="s">
        <v>981</v>
      </c>
    </row>
    <row r="1449" spans="1:10" x14ac:dyDescent="0.35">
      <c r="A1449">
        <v>19235</v>
      </c>
      <c r="B1449" t="s">
        <v>9</v>
      </c>
      <c r="C1449" t="s">
        <v>164</v>
      </c>
      <c r="D1449" t="s">
        <v>92</v>
      </c>
      <c r="E1449" t="s">
        <v>275</v>
      </c>
      <c r="F1449" t="s">
        <v>244</v>
      </c>
      <c r="G1449" s="39">
        <v>46280</v>
      </c>
      <c r="H1449" t="s">
        <v>249</v>
      </c>
      <c r="J1449" t="s">
        <v>981</v>
      </c>
    </row>
    <row r="1450" spans="1:10" x14ac:dyDescent="0.35">
      <c r="A1450">
        <v>18985</v>
      </c>
      <c r="B1450" t="s">
        <v>9</v>
      </c>
      <c r="C1450" t="s">
        <v>164</v>
      </c>
      <c r="D1450" t="s">
        <v>92</v>
      </c>
      <c r="E1450" t="s">
        <v>273</v>
      </c>
      <c r="F1450" t="s">
        <v>244</v>
      </c>
      <c r="G1450" s="39">
        <v>46258</v>
      </c>
      <c r="H1450" t="s">
        <v>249</v>
      </c>
      <c r="J1450" t="s">
        <v>981</v>
      </c>
    </row>
    <row r="1451" spans="1:10" x14ac:dyDescent="0.35">
      <c r="A1451">
        <v>19020</v>
      </c>
      <c r="B1451" t="s">
        <v>9</v>
      </c>
      <c r="C1451" t="s">
        <v>164</v>
      </c>
      <c r="D1451" t="s">
        <v>92</v>
      </c>
      <c r="E1451" t="s">
        <v>273</v>
      </c>
      <c r="F1451" t="s">
        <v>244</v>
      </c>
      <c r="G1451" s="39">
        <v>46255</v>
      </c>
      <c r="H1451" t="s">
        <v>249</v>
      </c>
      <c r="J1451" t="s">
        <v>981</v>
      </c>
    </row>
    <row r="1452" spans="1:10" x14ac:dyDescent="0.35">
      <c r="A1452">
        <v>19052</v>
      </c>
      <c r="B1452" t="s">
        <v>9</v>
      </c>
      <c r="C1452" t="s">
        <v>165</v>
      </c>
      <c r="D1452" t="s">
        <v>92</v>
      </c>
      <c r="E1452" t="s">
        <v>273</v>
      </c>
      <c r="F1452" t="s">
        <v>244</v>
      </c>
      <c r="G1452" s="39">
        <v>46259</v>
      </c>
      <c r="H1452" t="s">
        <v>249</v>
      </c>
      <c r="J1452" t="s">
        <v>981</v>
      </c>
    </row>
    <row r="1453" spans="1:10" x14ac:dyDescent="0.35">
      <c r="A1453">
        <v>19053</v>
      </c>
      <c r="B1453" t="s">
        <v>9</v>
      </c>
      <c r="C1453" t="s">
        <v>165</v>
      </c>
      <c r="D1453" t="s">
        <v>92</v>
      </c>
      <c r="E1453" t="s">
        <v>273</v>
      </c>
      <c r="F1453" t="s">
        <v>244</v>
      </c>
      <c r="G1453" s="39">
        <v>46259</v>
      </c>
      <c r="H1453" t="s">
        <v>249</v>
      </c>
      <c r="J1453" t="s">
        <v>981</v>
      </c>
    </row>
    <row r="1454" spans="1:10" x14ac:dyDescent="0.35">
      <c r="A1454">
        <v>19054</v>
      </c>
      <c r="B1454" t="s">
        <v>9</v>
      </c>
      <c r="C1454" t="s">
        <v>165</v>
      </c>
      <c r="D1454" t="s">
        <v>92</v>
      </c>
      <c r="E1454" t="s">
        <v>273</v>
      </c>
      <c r="F1454" t="s">
        <v>244</v>
      </c>
      <c r="G1454" s="39">
        <v>46259</v>
      </c>
      <c r="H1454" t="s">
        <v>249</v>
      </c>
      <c r="J1454" t="s">
        <v>981</v>
      </c>
    </row>
    <row r="1455" spans="1:10" x14ac:dyDescent="0.35">
      <c r="A1455">
        <v>19151</v>
      </c>
      <c r="B1455" t="s">
        <v>9</v>
      </c>
      <c r="C1455" t="s">
        <v>165</v>
      </c>
      <c r="D1455" t="s">
        <v>92</v>
      </c>
      <c r="E1455" t="s">
        <v>273</v>
      </c>
      <c r="F1455" t="s">
        <v>244</v>
      </c>
      <c r="G1455" s="39">
        <v>46269</v>
      </c>
      <c r="H1455" t="s">
        <v>249</v>
      </c>
      <c r="J1455" t="s">
        <v>981</v>
      </c>
    </row>
    <row r="1456" spans="1:10" x14ac:dyDescent="0.35">
      <c r="A1456">
        <v>19153</v>
      </c>
      <c r="B1456" t="s">
        <v>9</v>
      </c>
      <c r="C1456" t="s">
        <v>165</v>
      </c>
      <c r="D1456" t="s">
        <v>92</v>
      </c>
      <c r="E1456" t="s">
        <v>273</v>
      </c>
      <c r="F1456" t="s">
        <v>244</v>
      </c>
      <c r="G1456" s="39">
        <v>46269</v>
      </c>
      <c r="H1456" t="s">
        <v>249</v>
      </c>
      <c r="J1456" t="s">
        <v>981</v>
      </c>
    </row>
    <row r="1457" spans="1:10" x14ac:dyDescent="0.35">
      <c r="A1457">
        <v>19155</v>
      </c>
      <c r="B1457" t="s">
        <v>9</v>
      </c>
      <c r="C1457" t="s">
        <v>165</v>
      </c>
      <c r="D1457" t="s">
        <v>92</v>
      </c>
      <c r="E1457" t="s">
        <v>273</v>
      </c>
      <c r="F1457" t="s">
        <v>244</v>
      </c>
      <c r="G1457" s="39">
        <v>46269</v>
      </c>
      <c r="H1457" t="s">
        <v>249</v>
      </c>
      <c r="J1457" t="s">
        <v>981</v>
      </c>
    </row>
    <row r="1458" spans="1:10" x14ac:dyDescent="0.35">
      <c r="A1458">
        <v>19156</v>
      </c>
      <c r="B1458" t="s">
        <v>9</v>
      </c>
      <c r="C1458" t="s">
        <v>165</v>
      </c>
      <c r="D1458" t="s">
        <v>92</v>
      </c>
      <c r="E1458" t="s">
        <v>273</v>
      </c>
      <c r="F1458" t="s">
        <v>244</v>
      </c>
      <c r="G1458" s="39">
        <v>46269</v>
      </c>
      <c r="H1458" t="s">
        <v>249</v>
      </c>
      <c r="J1458" t="s">
        <v>981</v>
      </c>
    </row>
    <row r="1459" spans="1:10" x14ac:dyDescent="0.35">
      <c r="A1459">
        <v>19166</v>
      </c>
      <c r="B1459" t="s">
        <v>9</v>
      </c>
      <c r="C1459" t="s">
        <v>165</v>
      </c>
      <c r="D1459" t="s">
        <v>92</v>
      </c>
      <c r="E1459" t="s">
        <v>273</v>
      </c>
      <c r="F1459" t="s">
        <v>244</v>
      </c>
      <c r="G1459" s="39">
        <v>46272</v>
      </c>
      <c r="H1459" t="s">
        <v>249</v>
      </c>
      <c r="J1459" t="s">
        <v>981</v>
      </c>
    </row>
    <row r="1460" spans="1:10" x14ac:dyDescent="0.35">
      <c r="A1460">
        <v>19167</v>
      </c>
      <c r="B1460" t="s">
        <v>9</v>
      </c>
      <c r="C1460" t="s">
        <v>165</v>
      </c>
      <c r="D1460" t="s">
        <v>92</v>
      </c>
      <c r="E1460" t="s">
        <v>273</v>
      </c>
      <c r="F1460" t="s">
        <v>244</v>
      </c>
      <c r="G1460" s="39">
        <v>46272</v>
      </c>
      <c r="H1460" t="s">
        <v>249</v>
      </c>
      <c r="J1460" t="s">
        <v>981</v>
      </c>
    </row>
    <row r="1461" spans="1:10" x14ac:dyDescent="0.35">
      <c r="A1461">
        <v>19168</v>
      </c>
      <c r="B1461" t="s">
        <v>9</v>
      </c>
      <c r="C1461" t="s">
        <v>165</v>
      </c>
      <c r="D1461" t="s">
        <v>92</v>
      </c>
      <c r="E1461" t="s">
        <v>273</v>
      </c>
      <c r="F1461" t="s">
        <v>244</v>
      </c>
      <c r="G1461" s="39">
        <v>46272</v>
      </c>
      <c r="H1461" t="s">
        <v>249</v>
      </c>
      <c r="J1461" t="s">
        <v>981</v>
      </c>
    </row>
    <row r="1462" spans="1:10" x14ac:dyDescent="0.35">
      <c r="A1462">
        <v>19169</v>
      </c>
      <c r="B1462" t="s">
        <v>9</v>
      </c>
      <c r="C1462" t="s">
        <v>165</v>
      </c>
      <c r="D1462" t="s">
        <v>92</v>
      </c>
      <c r="E1462" t="s">
        <v>273</v>
      </c>
      <c r="F1462" t="s">
        <v>244</v>
      </c>
      <c r="G1462" s="39">
        <v>46272</v>
      </c>
      <c r="H1462" t="s">
        <v>249</v>
      </c>
      <c r="J1462" t="s">
        <v>981</v>
      </c>
    </row>
    <row r="1463" spans="1:10" x14ac:dyDescent="0.35">
      <c r="A1463">
        <v>19175</v>
      </c>
      <c r="B1463" t="s">
        <v>9</v>
      </c>
      <c r="C1463" t="s">
        <v>165</v>
      </c>
      <c r="D1463" t="s">
        <v>92</v>
      </c>
      <c r="E1463" t="s">
        <v>273</v>
      </c>
      <c r="F1463" t="s">
        <v>244</v>
      </c>
      <c r="G1463" s="39">
        <v>46273</v>
      </c>
      <c r="H1463" t="s">
        <v>249</v>
      </c>
      <c r="J1463" t="s">
        <v>981</v>
      </c>
    </row>
    <row r="1464" spans="1:10" x14ac:dyDescent="0.35">
      <c r="A1464">
        <v>19236</v>
      </c>
      <c r="B1464" t="s">
        <v>9</v>
      </c>
      <c r="C1464" t="s">
        <v>165</v>
      </c>
      <c r="D1464" t="s">
        <v>92</v>
      </c>
      <c r="E1464" t="s">
        <v>273</v>
      </c>
      <c r="F1464" t="s">
        <v>244</v>
      </c>
      <c r="G1464" s="39">
        <v>46280</v>
      </c>
      <c r="H1464" t="s">
        <v>249</v>
      </c>
      <c r="J1464" t="s">
        <v>981</v>
      </c>
    </row>
    <row r="1465" spans="1:10" x14ac:dyDescent="0.35">
      <c r="A1465">
        <v>19021</v>
      </c>
      <c r="B1465" t="s">
        <v>9</v>
      </c>
      <c r="C1465" t="s">
        <v>164</v>
      </c>
      <c r="D1465" t="s">
        <v>92</v>
      </c>
      <c r="E1465" t="s">
        <v>275</v>
      </c>
      <c r="F1465" t="s">
        <v>244</v>
      </c>
      <c r="G1465" s="39">
        <v>46255</v>
      </c>
      <c r="H1465" t="s">
        <v>249</v>
      </c>
      <c r="J1465" t="s">
        <v>981</v>
      </c>
    </row>
    <row r="1466" spans="1:10" x14ac:dyDescent="0.35">
      <c r="A1466">
        <v>19022</v>
      </c>
      <c r="B1466" t="s">
        <v>9</v>
      </c>
      <c r="C1466" t="s">
        <v>164</v>
      </c>
      <c r="D1466" t="s">
        <v>92</v>
      </c>
      <c r="E1466" t="s">
        <v>275</v>
      </c>
      <c r="F1466" t="s">
        <v>244</v>
      </c>
      <c r="G1466" s="39">
        <v>46255</v>
      </c>
      <c r="H1466" t="s">
        <v>249</v>
      </c>
      <c r="J1466" t="s">
        <v>981</v>
      </c>
    </row>
    <row r="1467" spans="1:10" x14ac:dyDescent="0.35">
      <c r="A1467">
        <v>19081</v>
      </c>
      <c r="B1467" t="s">
        <v>9</v>
      </c>
      <c r="C1467" t="s">
        <v>165</v>
      </c>
      <c r="D1467" t="s">
        <v>92</v>
      </c>
      <c r="E1467" t="s">
        <v>275</v>
      </c>
      <c r="F1467" t="s">
        <v>244</v>
      </c>
      <c r="G1467" s="39">
        <v>46261</v>
      </c>
      <c r="H1467" t="s">
        <v>249</v>
      </c>
      <c r="J1467" t="s">
        <v>981</v>
      </c>
    </row>
    <row r="1468" spans="1:10" x14ac:dyDescent="0.35">
      <c r="A1468">
        <v>17246</v>
      </c>
      <c r="B1468" t="s">
        <v>9</v>
      </c>
      <c r="C1468" t="s">
        <v>164</v>
      </c>
      <c r="D1468" t="s">
        <v>92</v>
      </c>
      <c r="E1468" t="s">
        <v>539</v>
      </c>
      <c r="F1468" t="s">
        <v>244</v>
      </c>
      <c r="G1468" s="39">
        <v>45681</v>
      </c>
      <c r="J1468" t="s">
        <v>981</v>
      </c>
    </row>
    <row r="1469" spans="1:10" x14ac:dyDescent="0.35">
      <c r="A1469">
        <v>16363</v>
      </c>
      <c r="B1469" t="s">
        <v>9</v>
      </c>
      <c r="C1469" t="s">
        <v>165</v>
      </c>
      <c r="D1469" t="s">
        <v>92</v>
      </c>
      <c r="E1469" t="s">
        <v>175</v>
      </c>
      <c r="F1469" t="s">
        <v>244</v>
      </c>
      <c r="G1469" s="39">
        <v>45357</v>
      </c>
      <c r="J1469" t="s">
        <v>981</v>
      </c>
    </row>
    <row r="1470" spans="1:10" x14ac:dyDescent="0.35">
      <c r="A1470">
        <v>16375</v>
      </c>
      <c r="B1470" t="s">
        <v>9</v>
      </c>
      <c r="C1470" t="s">
        <v>165</v>
      </c>
      <c r="D1470" t="s">
        <v>92</v>
      </c>
      <c r="E1470" t="s">
        <v>175</v>
      </c>
      <c r="F1470" t="s">
        <v>244</v>
      </c>
      <c r="G1470" s="39">
        <v>45357</v>
      </c>
      <c r="J1470" t="s">
        <v>981</v>
      </c>
    </row>
    <row r="1471" spans="1:10" x14ac:dyDescent="0.35">
      <c r="A1471">
        <v>18529</v>
      </c>
      <c r="B1471" t="s">
        <v>9</v>
      </c>
      <c r="C1471" t="s">
        <v>165</v>
      </c>
      <c r="D1471" t="s">
        <v>92</v>
      </c>
      <c r="E1471" t="s">
        <v>175</v>
      </c>
      <c r="F1471" t="s">
        <v>244</v>
      </c>
      <c r="G1471" s="39">
        <v>46146</v>
      </c>
      <c r="H1471" t="s">
        <v>249</v>
      </c>
      <c r="J1471" t="s">
        <v>981</v>
      </c>
    </row>
    <row r="1472" spans="1:10" x14ac:dyDescent="0.35">
      <c r="A1472">
        <v>18531</v>
      </c>
      <c r="B1472" t="s">
        <v>9</v>
      </c>
      <c r="C1472" t="s">
        <v>165</v>
      </c>
      <c r="D1472" t="s">
        <v>92</v>
      </c>
      <c r="E1472" t="s">
        <v>175</v>
      </c>
      <c r="F1472" t="s">
        <v>244</v>
      </c>
      <c r="G1472" s="39">
        <v>46146</v>
      </c>
      <c r="H1472" t="s">
        <v>249</v>
      </c>
      <c r="J1472" t="s">
        <v>981</v>
      </c>
    </row>
    <row r="1473" spans="1:10" x14ac:dyDescent="0.35">
      <c r="A1473">
        <v>18532</v>
      </c>
      <c r="B1473" t="s">
        <v>9</v>
      </c>
      <c r="C1473" t="s">
        <v>165</v>
      </c>
      <c r="D1473" t="s">
        <v>92</v>
      </c>
      <c r="E1473" t="s">
        <v>175</v>
      </c>
      <c r="F1473" t="s">
        <v>244</v>
      </c>
      <c r="G1473" s="39">
        <v>46146</v>
      </c>
      <c r="H1473" t="s">
        <v>249</v>
      </c>
      <c r="J1473" t="s">
        <v>981</v>
      </c>
    </row>
    <row r="1474" spans="1:10" x14ac:dyDescent="0.35">
      <c r="A1474">
        <v>18542</v>
      </c>
      <c r="B1474" t="s">
        <v>9</v>
      </c>
      <c r="C1474" t="s">
        <v>165</v>
      </c>
      <c r="D1474" t="s">
        <v>92</v>
      </c>
      <c r="E1474" t="s">
        <v>176</v>
      </c>
      <c r="F1474" t="s">
        <v>244</v>
      </c>
      <c r="G1474" s="39">
        <v>46146</v>
      </c>
      <c r="H1474" t="s">
        <v>249</v>
      </c>
      <c r="J1474" t="s">
        <v>981</v>
      </c>
    </row>
    <row r="1475" spans="1:10" x14ac:dyDescent="0.35">
      <c r="A1475">
        <v>18533</v>
      </c>
      <c r="B1475" t="s">
        <v>9</v>
      </c>
      <c r="C1475" t="s">
        <v>165</v>
      </c>
      <c r="D1475" t="s">
        <v>92</v>
      </c>
      <c r="E1475" t="s">
        <v>175</v>
      </c>
      <c r="F1475" t="s">
        <v>244</v>
      </c>
      <c r="G1475" s="39">
        <v>46146</v>
      </c>
      <c r="H1475" t="s">
        <v>249</v>
      </c>
      <c r="J1475" t="s">
        <v>981</v>
      </c>
    </row>
    <row r="1476" spans="1:10" x14ac:dyDescent="0.35">
      <c r="A1476">
        <v>18534</v>
      </c>
      <c r="B1476" t="s">
        <v>9</v>
      </c>
      <c r="C1476" t="s">
        <v>165</v>
      </c>
      <c r="D1476" t="s">
        <v>92</v>
      </c>
      <c r="E1476" t="s">
        <v>175</v>
      </c>
      <c r="F1476" t="s">
        <v>244</v>
      </c>
      <c r="G1476" s="39">
        <v>46146</v>
      </c>
      <c r="H1476" t="s">
        <v>249</v>
      </c>
      <c r="J1476" t="s">
        <v>981</v>
      </c>
    </row>
    <row r="1477" spans="1:10" x14ac:dyDescent="0.35">
      <c r="A1477">
        <v>18535</v>
      </c>
      <c r="B1477" t="s">
        <v>9</v>
      </c>
      <c r="C1477" t="s">
        <v>165</v>
      </c>
      <c r="D1477" t="s">
        <v>92</v>
      </c>
      <c r="E1477" t="s">
        <v>175</v>
      </c>
      <c r="F1477" t="s">
        <v>244</v>
      </c>
      <c r="G1477" s="39">
        <v>46146</v>
      </c>
      <c r="H1477" t="s">
        <v>249</v>
      </c>
      <c r="J1477" t="s">
        <v>981</v>
      </c>
    </row>
    <row r="1478" spans="1:10" x14ac:dyDescent="0.35">
      <c r="A1478">
        <v>18536</v>
      </c>
      <c r="B1478" t="s">
        <v>9</v>
      </c>
      <c r="C1478" t="s">
        <v>165</v>
      </c>
      <c r="D1478" t="s">
        <v>92</v>
      </c>
      <c r="E1478" t="s">
        <v>175</v>
      </c>
      <c r="F1478" t="s">
        <v>244</v>
      </c>
      <c r="G1478" s="39">
        <v>46146</v>
      </c>
      <c r="H1478" t="s">
        <v>249</v>
      </c>
      <c r="J1478" t="s">
        <v>981</v>
      </c>
    </row>
    <row r="1479" spans="1:10" x14ac:dyDescent="0.35">
      <c r="A1479">
        <v>18537</v>
      </c>
      <c r="B1479" t="s">
        <v>9</v>
      </c>
      <c r="C1479" t="s">
        <v>165</v>
      </c>
      <c r="D1479" t="s">
        <v>92</v>
      </c>
      <c r="E1479" t="s">
        <v>175</v>
      </c>
      <c r="F1479" t="s">
        <v>244</v>
      </c>
      <c r="G1479" s="39">
        <v>46146</v>
      </c>
      <c r="H1479" t="s">
        <v>249</v>
      </c>
      <c r="J1479" t="s">
        <v>981</v>
      </c>
    </row>
    <row r="1480" spans="1:10" x14ac:dyDescent="0.35">
      <c r="A1480">
        <v>18538</v>
      </c>
      <c r="B1480" t="s">
        <v>9</v>
      </c>
      <c r="C1480" t="s">
        <v>165</v>
      </c>
      <c r="D1480" t="s">
        <v>92</v>
      </c>
      <c r="E1480" t="s">
        <v>175</v>
      </c>
      <c r="F1480" t="s">
        <v>244</v>
      </c>
      <c r="G1480" s="39">
        <v>46146</v>
      </c>
      <c r="H1480" t="s">
        <v>249</v>
      </c>
      <c r="J1480" t="s">
        <v>981</v>
      </c>
    </row>
    <row r="1481" spans="1:10" x14ac:dyDescent="0.35">
      <c r="A1481">
        <v>18540</v>
      </c>
      <c r="B1481" t="s">
        <v>9</v>
      </c>
      <c r="C1481" t="s">
        <v>165</v>
      </c>
      <c r="D1481" t="s">
        <v>92</v>
      </c>
      <c r="E1481" t="s">
        <v>175</v>
      </c>
      <c r="F1481" t="s">
        <v>244</v>
      </c>
      <c r="G1481" s="39">
        <v>46146</v>
      </c>
      <c r="H1481" t="s">
        <v>249</v>
      </c>
      <c r="J1481" t="s">
        <v>981</v>
      </c>
    </row>
    <row r="1482" spans="1:10" x14ac:dyDescent="0.35">
      <c r="A1482">
        <v>18539</v>
      </c>
      <c r="B1482" t="s">
        <v>9</v>
      </c>
      <c r="C1482" t="s">
        <v>165</v>
      </c>
      <c r="D1482" t="s">
        <v>92</v>
      </c>
      <c r="E1482" t="s">
        <v>175</v>
      </c>
      <c r="F1482" t="s">
        <v>244</v>
      </c>
      <c r="G1482" s="39">
        <v>46146</v>
      </c>
      <c r="H1482" t="s">
        <v>249</v>
      </c>
      <c r="J1482" t="s">
        <v>981</v>
      </c>
    </row>
    <row r="1483" spans="1:10" x14ac:dyDescent="0.35">
      <c r="A1483">
        <v>18541</v>
      </c>
      <c r="B1483" t="s">
        <v>9</v>
      </c>
      <c r="C1483" t="s">
        <v>165</v>
      </c>
      <c r="D1483" t="s">
        <v>92</v>
      </c>
      <c r="E1483" t="s">
        <v>175</v>
      </c>
      <c r="F1483" t="s">
        <v>244</v>
      </c>
      <c r="G1483" s="39">
        <v>46147</v>
      </c>
      <c r="H1483" t="s">
        <v>249</v>
      </c>
      <c r="J1483" t="s">
        <v>981</v>
      </c>
    </row>
    <row r="1484" spans="1:10" x14ac:dyDescent="0.35">
      <c r="A1484">
        <v>730016</v>
      </c>
      <c r="B1484" t="s">
        <v>9</v>
      </c>
      <c r="C1484" t="s">
        <v>165</v>
      </c>
      <c r="D1484" t="s">
        <v>92</v>
      </c>
      <c r="E1484" t="s">
        <v>177</v>
      </c>
      <c r="F1484" t="s">
        <v>244</v>
      </c>
      <c r="G1484" s="39">
        <v>40219</v>
      </c>
      <c r="J1484" t="s">
        <v>981</v>
      </c>
    </row>
    <row r="1485" spans="1:10" x14ac:dyDescent="0.35">
      <c r="A1485">
        <v>17693</v>
      </c>
      <c r="B1485" t="s">
        <v>9</v>
      </c>
      <c r="C1485" t="s">
        <v>165</v>
      </c>
      <c r="D1485" t="s">
        <v>92</v>
      </c>
      <c r="E1485" t="s">
        <v>177</v>
      </c>
      <c r="F1485" t="s">
        <v>244</v>
      </c>
      <c r="G1485" s="39">
        <v>45845</v>
      </c>
      <c r="J1485" t="s">
        <v>981</v>
      </c>
    </row>
    <row r="1486" spans="1:10" x14ac:dyDescent="0.35">
      <c r="A1486">
        <v>17716</v>
      </c>
      <c r="B1486" t="s">
        <v>9</v>
      </c>
      <c r="C1486" t="s">
        <v>165</v>
      </c>
      <c r="D1486" t="s">
        <v>92</v>
      </c>
      <c r="E1486" t="s">
        <v>177</v>
      </c>
      <c r="F1486" t="s">
        <v>244</v>
      </c>
      <c r="G1486" s="39">
        <v>45854</v>
      </c>
      <c r="J1486" t="s">
        <v>981</v>
      </c>
    </row>
    <row r="1487" spans="1:10" x14ac:dyDescent="0.35">
      <c r="A1487">
        <v>13389</v>
      </c>
      <c r="B1487" t="s">
        <v>9</v>
      </c>
      <c r="C1487" t="s">
        <v>165</v>
      </c>
      <c r="D1487" t="s">
        <v>92</v>
      </c>
      <c r="E1487" t="s">
        <v>177</v>
      </c>
      <c r="F1487" t="s">
        <v>244</v>
      </c>
      <c r="G1487" s="39">
        <v>44420</v>
      </c>
      <c r="J1487" t="s">
        <v>981</v>
      </c>
    </row>
    <row r="1488" spans="1:10" x14ac:dyDescent="0.35">
      <c r="A1488">
        <v>118014</v>
      </c>
      <c r="B1488" t="s">
        <v>9</v>
      </c>
      <c r="C1488" t="s">
        <v>165</v>
      </c>
      <c r="D1488" t="s">
        <v>92</v>
      </c>
      <c r="E1488" t="s">
        <v>177</v>
      </c>
      <c r="F1488" t="s">
        <v>244</v>
      </c>
      <c r="G1488" s="39">
        <v>40913</v>
      </c>
      <c r="J1488" t="s">
        <v>981</v>
      </c>
    </row>
    <row r="1489" spans="1:10" x14ac:dyDescent="0.35">
      <c r="A1489">
        <v>730007</v>
      </c>
      <c r="B1489" t="s">
        <v>9</v>
      </c>
      <c r="C1489" t="s">
        <v>165</v>
      </c>
      <c r="D1489" t="s">
        <v>92</v>
      </c>
      <c r="E1489" t="s">
        <v>177</v>
      </c>
      <c r="F1489" t="s">
        <v>244</v>
      </c>
      <c r="G1489" s="39">
        <v>38740</v>
      </c>
      <c r="J1489" t="s">
        <v>981</v>
      </c>
    </row>
    <row r="1490" spans="1:10" x14ac:dyDescent="0.35">
      <c r="A1490">
        <v>570010</v>
      </c>
      <c r="B1490" t="s">
        <v>9</v>
      </c>
      <c r="C1490" t="s">
        <v>165</v>
      </c>
      <c r="D1490" t="s">
        <v>92</v>
      </c>
      <c r="E1490" t="s">
        <v>177</v>
      </c>
      <c r="F1490" t="s">
        <v>244</v>
      </c>
      <c r="G1490" s="39">
        <v>41324</v>
      </c>
      <c r="J1490" t="s">
        <v>981</v>
      </c>
    </row>
    <row r="1491" spans="1:10" x14ac:dyDescent="0.35">
      <c r="A1491">
        <v>118018</v>
      </c>
      <c r="B1491" t="s">
        <v>9</v>
      </c>
      <c r="C1491" t="s">
        <v>165</v>
      </c>
      <c r="D1491" t="s">
        <v>92</v>
      </c>
      <c r="E1491" t="s">
        <v>177</v>
      </c>
      <c r="F1491" t="s">
        <v>244</v>
      </c>
      <c r="G1491" s="39">
        <v>42009</v>
      </c>
      <c r="J1491" t="s">
        <v>981</v>
      </c>
    </row>
    <row r="1492" spans="1:10" x14ac:dyDescent="0.35">
      <c r="A1492">
        <v>119006</v>
      </c>
      <c r="B1492" t="s">
        <v>9</v>
      </c>
      <c r="C1492" t="s">
        <v>165</v>
      </c>
      <c r="D1492" t="s">
        <v>92</v>
      </c>
      <c r="E1492" t="s">
        <v>177</v>
      </c>
      <c r="F1492" t="s">
        <v>244</v>
      </c>
      <c r="G1492" s="39">
        <v>40444</v>
      </c>
      <c r="J1492" t="s">
        <v>981</v>
      </c>
    </row>
    <row r="1493" spans="1:10" x14ac:dyDescent="0.35">
      <c r="A1493">
        <v>18477</v>
      </c>
      <c r="B1493" t="s">
        <v>9</v>
      </c>
      <c r="C1493" t="s">
        <v>165</v>
      </c>
      <c r="D1493" t="s">
        <v>92</v>
      </c>
      <c r="E1493" t="s">
        <v>177</v>
      </c>
      <c r="F1493" t="s">
        <v>244</v>
      </c>
      <c r="G1493" s="39">
        <v>46132</v>
      </c>
      <c r="H1493" t="s">
        <v>249</v>
      </c>
      <c r="J1493" t="s">
        <v>981</v>
      </c>
    </row>
    <row r="1494" spans="1:10" x14ac:dyDescent="0.35">
      <c r="A1494">
        <v>18481</v>
      </c>
      <c r="B1494" t="s">
        <v>9</v>
      </c>
      <c r="C1494" t="s">
        <v>165</v>
      </c>
      <c r="D1494" t="s">
        <v>92</v>
      </c>
      <c r="E1494" t="s">
        <v>177</v>
      </c>
      <c r="F1494" t="s">
        <v>244</v>
      </c>
      <c r="G1494" s="39">
        <v>46132</v>
      </c>
      <c r="H1494" t="s">
        <v>249</v>
      </c>
      <c r="J1494" t="s">
        <v>981</v>
      </c>
    </row>
    <row r="1495" spans="1:10" x14ac:dyDescent="0.35">
      <c r="A1495">
        <v>14119</v>
      </c>
      <c r="B1495" t="s">
        <v>9</v>
      </c>
      <c r="C1495" t="s">
        <v>165</v>
      </c>
      <c r="D1495" t="s">
        <v>92</v>
      </c>
      <c r="E1495" t="s">
        <v>177</v>
      </c>
      <c r="F1495" t="s">
        <v>244</v>
      </c>
      <c r="G1495" s="39">
        <v>44664</v>
      </c>
      <c r="J1495" t="s">
        <v>981</v>
      </c>
    </row>
    <row r="1496" spans="1:10" x14ac:dyDescent="0.35">
      <c r="A1496">
        <v>15875</v>
      </c>
      <c r="B1496" t="s">
        <v>9</v>
      </c>
      <c r="C1496" t="s">
        <v>165</v>
      </c>
      <c r="D1496" t="s">
        <v>92</v>
      </c>
      <c r="E1496" t="s">
        <v>177</v>
      </c>
      <c r="F1496" t="s">
        <v>244</v>
      </c>
      <c r="G1496" s="39">
        <v>45226</v>
      </c>
      <c r="J1496" t="s">
        <v>981</v>
      </c>
    </row>
    <row r="1497" spans="1:10" x14ac:dyDescent="0.35">
      <c r="A1497">
        <v>18047</v>
      </c>
      <c r="B1497" t="s">
        <v>9</v>
      </c>
      <c r="C1497" t="s">
        <v>165</v>
      </c>
      <c r="D1497" t="s">
        <v>92</v>
      </c>
      <c r="E1497" t="s">
        <v>177</v>
      </c>
      <c r="F1497" t="s">
        <v>244</v>
      </c>
      <c r="G1497" s="39">
        <v>45975</v>
      </c>
      <c r="J1497" t="s">
        <v>981</v>
      </c>
    </row>
    <row r="1498" spans="1:10" x14ac:dyDescent="0.35">
      <c r="A1498">
        <v>19208</v>
      </c>
      <c r="B1498" t="s">
        <v>9</v>
      </c>
      <c r="C1498" t="s">
        <v>165</v>
      </c>
      <c r="D1498" t="s">
        <v>92</v>
      </c>
      <c r="E1498" t="s">
        <v>266</v>
      </c>
      <c r="F1498" t="s">
        <v>244</v>
      </c>
      <c r="G1498" s="39">
        <v>46276</v>
      </c>
      <c r="H1498" t="s">
        <v>249</v>
      </c>
      <c r="J1498" t="s">
        <v>981</v>
      </c>
    </row>
    <row r="1499" spans="1:10" x14ac:dyDescent="0.35">
      <c r="A1499">
        <v>460022</v>
      </c>
      <c r="B1499" t="s">
        <v>9</v>
      </c>
      <c r="C1499" t="s">
        <v>165</v>
      </c>
      <c r="D1499" t="s">
        <v>92</v>
      </c>
      <c r="E1499" t="s">
        <v>540</v>
      </c>
      <c r="F1499" t="s">
        <v>244</v>
      </c>
      <c r="G1499" s="39">
        <v>41957</v>
      </c>
      <c r="J1499" t="s">
        <v>981</v>
      </c>
    </row>
    <row r="1500" spans="1:10" x14ac:dyDescent="0.35">
      <c r="A1500">
        <v>690013</v>
      </c>
      <c r="B1500" t="s">
        <v>9</v>
      </c>
      <c r="C1500" t="s">
        <v>165</v>
      </c>
      <c r="D1500" t="s">
        <v>92</v>
      </c>
      <c r="E1500" t="s">
        <v>540</v>
      </c>
      <c r="F1500" t="s">
        <v>244</v>
      </c>
      <c r="G1500" s="39">
        <v>41752</v>
      </c>
      <c r="J1500" t="s">
        <v>981</v>
      </c>
    </row>
    <row r="1501" spans="1:10" x14ac:dyDescent="0.35">
      <c r="A1501">
        <v>19040</v>
      </c>
      <c r="B1501" t="s">
        <v>9</v>
      </c>
      <c r="C1501" t="s">
        <v>165</v>
      </c>
      <c r="D1501" t="s">
        <v>92</v>
      </c>
      <c r="E1501" t="s">
        <v>271</v>
      </c>
      <c r="F1501" t="s">
        <v>244</v>
      </c>
      <c r="G1501" s="39">
        <v>46260</v>
      </c>
      <c r="H1501" t="s">
        <v>249</v>
      </c>
      <c r="J1501" t="s">
        <v>981</v>
      </c>
    </row>
    <row r="1502" spans="1:10" x14ac:dyDescent="0.35">
      <c r="A1502">
        <v>19200</v>
      </c>
      <c r="B1502" t="s">
        <v>9</v>
      </c>
      <c r="C1502" t="s">
        <v>165</v>
      </c>
      <c r="D1502" t="s">
        <v>92</v>
      </c>
      <c r="E1502" t="s">
        <v>271</v>
      </c>
      <c r="F1502" t="s">
        <v>244</v>
      </c>
      <c r="G1502" s="39">
        <v>46275</v>
      </c>
      <c r="H1502" t="s">
        <v>249</v>
      </c>
      <c r="J1502" t="s">
        <v>981</v>
      </c>
    </row>
    <row r="1503" spans="1:10" x14ac:dyDescent="0.35">
      <c r="A1503">
        <v>19199</v>
      </c>
      <c r="B1503" t="s">
        <v>9</v>
      </c>
      <c r="C1503" t="s">
        <v>165</v>
      </c>
      <c r="D1503" t="s">
        <v>92</v>
      </c>
      <c r="E1503" t="s">
        <v>271</v>
      </c>
      <c r="F1503" t="s">
        <v>244</v>
      </c>
      <c r="G1503" s="39">
        <v>46275</v>
      </c>
      <c r="H1503" t="s">
        <v>249</v>
      </c>
      <c r="J1503" t="s">
        <v>981</v>
      </c>
    </row>
    <row r="1504" spans="1:10" x14ac:dyDescent="0.35">
      <c r="A1504">
        <v>550008</v>
      </c>
      <c r="B1504" t="s">
        <v>9</v>
      </c>
      <c r="C1504" t="s">
        <v>165</v>
      </c>
      <c r="D1504" t="s">
        <v>92</v>
      </c>
      <c r="E1504" t="s">
        <v>540</v>
      </c>
      <c r="F1504" t="s">
        <v>244</v>
      </c>
      <c r="G1504" s="39">
        <v>40206</v>
      </c>
      <c r="J1504" t="s">
        <v>981</v>
      </c>
    </row>
    <row r="1505" spans="1:10" x14ac:dyDescent="0.35">
      <c r="A1505">
        <v>460023</v>
      </c>
      <c r="B1505" t="s">
        <v>9</v>
      </c>
      <c r="C1505" t="s">
        <v>165</v>
      </c>
      <c r="D1505" t="s">
        <v>92</v>
      </c>
      <c r="E1505" t="s">
        <v>540</v>
      </c>
      <c r="F1505" t="s">
        <v>244</v>
      </c>
      <c r="G1505" s="39">
        <v>41957</v>
      </c>
      <c r="J1505" t="s">
        <v>981</v>
      </c>
    </row>
    <row r="1506" spans="1:10" x14ac:dyDescent="0.35">
      <c r="A1506">
        <v>690001</v>
      </c>
      <c r="B1506" t="s">
        <v>9</v>
      </c>
      <c r="C1506" t="s">
        <v>165</v>
      </c>
      <c r="D1506" t="s">
        <v>92</v>
      </c>
      <c r="E1506" t="s">
        <v>540</v>
      </c>
      <c r="F1506" t="s">
        <v>244</v>
      </c>
      <c r="G1506" s="39">
        <v>40756</v>
      </c>
      <c r="J1506" t="s">
        <v>981</v>
      </c>
    </row>
    <row r="1507" spans="1:10" x14ac:dyDescent="0.35">
      <c r="A1507">
        <v>12188</v>
      </c>
      <c r="B1507" t="s">
        <v>9</v>
      </c>
      <c r="C1507" t="s">
        <v>165</v>
      </c>
      <c r="D1507" t="s">
        <v>92</v>
      </c>
      <c r="E1507" t="s">
        <v>540</v>
      </c>
      <c r="F1507" t="s">
        <v>244</v>
      </c>
      <c r="G1507" s="39">
        <v>43567</v>
      </c>
      <c r="J1507" t="s">
        <v>981</v>
      </c>
    </row>
    <row r="1508" spans="1:10" x14ac:dyDescent="0.35">
      <c r="A1508">
        <v>13330</v>
      </c>
      <c r="B1508" t="s">
        <v>9</v>
      </c>
      <c r="C1508" t="s">
        <v>165</v>
      </c>
      <c r="D1508" t="s">
        <v>92</v>
      </c>
      <c r="E1508" t="s">
        <v>540</v>
      </c>
      <c r="F1508" t="s">
        <v>244</v>
      </c>
      <c r="G1508" s="39">
        <v>44391</v>
      </c>
      <c r="J1508" t="s">
        <v>981</v>
      </c>
    </row>
    <row r="1509" spans="1:10" x14ac:dyDescent="0.35">
      <c r="A1509">
        <v>15962</v>
      </c>
      <c r="B1509" t="s">
        <v>9</v>
      </c>
      <c r="C1509" t="s">
        <v>165</v>
      </c>
      <c r="D1509" t="s">
        <v>92</v>
      </c>
      <c r="E1509" t="s">
        <v>540</v>
      </c>
      <c r="F1509" t="s">
        <v>244</v>
      </c>
      <c r="G1509" s="39">
        <v>45250</v>
      </c>
      <c r="J1509" t="s">
        <v>981</v>
      </c>
    </row>
    <row r="1510" spans="1:10" x14ac:dyDescent="0.35">
      <c r="A1510">
        <v>610020</v>
      </c>
      <c r="B1510" t="s">
        <v>9</v>
      </c>
      <c r="C1510" t="s">
        <v>165</v>
      </c>
      <c r="D1510" t="s">
        <v>92</v>
      </c>
      <c r="E1510" t="s">
        <v>178</v>
      </c>
      <c r="F1510" t="s">
        <v>244</v>
      </c>
      <c r="G1510" s="39">
        <v>42031</v>
      </c>
      <c r="J1510" t="s">
        <v>981</v>
      </c>
    </row>
    <row r="1511" spans="1:10" x14ac:dyDescent="0.35">
      <c r="A1511">
        <v>540006</v>
      </c>
      <c r="B1511" t="s">
        <v>9</v>
      </c>
      <c r="C1511" t="s">
        <v>165</v>
      </c>
      <c r="D1511" t="s">
        <v>92</v>
      </c>
      <c r="E1511" t="s">
        <v>178</v>
      </c>
      <c r="F1511" t="s">
        <v>244</v>
      </c>
      <c r="G1511" s="39">
        <v>36721</v>
      </c>
      <c r="J1511" t="s">
        <v>981</v>
      </c>
    </row>
    <row r="1512" spans="1:10" x14ac:dyDescent="0.35">
      <c r="A1512">
        <v>290058</v>
      </c>
      <c r="B1512" t="s">
        <v>9</v>
      </c>
      <c r="C1512" t="s">
        <v>165</v>
      </c>
      <c r="D1512" t="s">
        <v>92</v>
      </c>
      <c r="E1512" t="s">
        <v>178</v>
      </c>
      <c r="F1512" t="s">
        <v>244</v>
      </c>
      <c r="G1512" s="39">
        <v>44083</v>
      </c>
      <c r="J1512" t="s">
        <v>981</v>
      </c>
    </row>
    <row r="1513" spans="1:10" x14ac:dyDescent="0.35">
      <c r="A1513">
        <v>540007</v>
      </c>
      <c r="B1513" t="s">
        <v>9</v>
      </c>
      <c r="C1513" t="s">
        <v>165</v>
      </c>
      <c r="D1513" t="s">
        <v>92</v>
      </c>
      <c r="E1513" t="s">
        <v>178</v>
      </c>
      <c r="F1513" t="s">
        <v>244</v>
      </c>
      <c r="G1513" s="39">
        <v>36721</v>
      </c>
      <c r="J1513" t="s">
        <v>981</v>
      </c>
    </row>
    <row r="1514" spans="1:10" x14ac:dyDescent="0.35">
      <c r="A1514">
        <v>18354</v>
      </c>
      <c r="B1514" t="s">
        <v>9</v>
      </c>
      <c r="C1514" t="s">
        <v>165</v>
      </c>
      <c r="D1514" t="s">
        <v>92</v>
      </c>
      <c r="E1514" t="s">
        <v>178</v>
      </c>
      <c r="F1514" t="s">
        <v>244</v>
      </c>
      <c r="G1514" s="39">
        <v>46097</v>
      </c>
      <c r="H1514" t="s">
        <v>249</v>
      </c>
      <c r="J1514" t="s">
        <v>981</v>
      </c>
    </row>
    <row r="1515" spans="1:10" x14ac:dyDescent="0.35">
      <c r="A1515">
        <v>18356</v>
      </c>
      <c r="B1515" t="s">
        <v>9</v>
      </c>
      <c r="C1515" t="s">
        <v>165</v>
      </c>
      <c r="D1515" t="s">
        <v>92</v>
      </c>
      <c r="E1515" t="s">
        <v>178</v>
      </c>
      <c r="F1515" t="s">
        <v>244</v>
      </c>
      <c r="G1515" s="39">
        <v>46097</v>
      </c>
      <c r="H1515" t="s">
        <v>249</v>
      </c>
      <c r="J1515" t="s">
        <v>981</v>
      </c>
    </row>
    <row r="1516" spans="1:10" x14ac:dyDescent="0.35">
      <c r="A1516">
        <v>18357</v>
      </c>
      <c r="B1516" t="s">
        <v>9</v>
      </c>
      <c r="C1516" t="s">
        <v>165</v>
      </c>
      <c r="D1516" t="s">
        <v>92</v>
      </c>
      <c r="E1516" t="s">
        <v>178</v>
      </c>
      <c r="F1516" t="s">
        <v>244</v>
      </c>
      <c r="G1516" s="39">
        <v>46097</v>
      </c>
      <c r="H1516" t="s">
        <v>249</v>
      </c>
      <c r="J1516" t="s">
        <v>981</v>
      </c>
    </row>
    <row r="1517" spans="1:10" x14ac:dyDescent="0.35">
      <c r="A1517">
        <v>18358</v>
      </c>
      <c r="B1517" t="s">
        <v>9</v>
      </c>
      <c r="C1517" t="s">
        <v>165</v>
      </c>
      <c r="D1517" t="s">
        <v>92</v>
      </c>
      <c r="E1517" t="s">
        <v>179</v>
      </c>
      <c r="F1517" t="s">
        <v>244</v>
      </c>
      <c r="G1517" s="39">
        <v>46097</v>
      </c>
      <c r="H1517" t="s">
        <v>249</v>
      </c>
      <c r="J1517" t="s">
        <v>981</v>
      </c>
    </row>
    <row r="1518" spans="1:10" x14ac:dyDescent="0.35">
      <c r="A1518">
        <v>18359</v>
      </c>
      <c r="B1518" t="s">
        <v>9</v>
      </c>
      <c r="C1518" t="s">
        <v>165</v>
      </c>
      <c r="D1518" t="s">
        <v>92</v>
      </c>
      <c r="E1518" t="s">
        <v>178</v>
      </c>
      <c r="F1518" t="s">
        <v>244</v>
      </c>
      <c r="G1518" s="39">
        <v>46097</v>
      </c>
      <c r="H1518" t="s">
        <v>249</v>
      </c>
      <c r="J1518" t="s">
        <v>981</v>
      </c>
    </row>
    <row r="1519" spans="1:10" x14ac:dyDescent="0.35">
      <c r="A1519">
        <v>116015</v>
      </c>
      <c r="B1519" t="s">
        <v>9</v>
      </c>
      <c r="C1519" t="s">
        <v>165</v>
      </c>
      <c r="D1519" t="s">
        <v>92</v>
      </c>
      <c r="E1519" t="s">
        <v>178</v>
      </c>
      <c r="F1519" t="s">
        <v>244</v>
      </c>
      <c r="G1519" s="39">
        <v>42031</v>
      </c>
      <c r="J1519" t="s">
        <v>981</v>
      </c>
    </row>
    <row r="1520" spans="1:10" x14ac:dyDescent="0.35">
      <c r="A1520">
        <v>510015</v>
      </c>
      <c r="B1520" t="s">
        <v>9</v>
      </c>
      <c r="C1520" t="s">
        <v>165</v>
      </c>
      <c r="D1520" t="s">
        <v>92</v>
      </c>
      <c r="E1520" t="s">
        <v>178</v>
      </c>
      <c r="F1520" t="s">
        <v>244</v>
      </c>
      <c r="G1520" s="39">
        <v>41564</v>
      </c>
      <c r="J1520" t="s">
        <v>981</v>
      </c>
    </row>
    <row r="1521" spans="1:10" x14ac:dyDescent="0.35">
      <c r="A1521">
        <v>11564</v>
      </c>
      <c r="B1521" t="s">
        <v>9</v>
      </c>
      <c r="C1521" t="s">
        <v>165</v>
      </c>
      <c r="D1521" t="s">
        <v>92</v>
      </c>
      <c r="E1521" t="s">
        <v>178</v>
      </c>
      <c r="F1521" t="s">
        <v>244</v>
      </c>
      <c r="G1521" s="39">
        <v>42850</v>
      </c>
      <c r="J1521" t="s">
        <v>981</v>
      </c>
    </row>
    <row r="1522" spans="1:10" x14ac:dyDescent="0.35">
      <c r="A1522">
        <v>290010</v>
      </c>
      <c r="B1522" t="s">
        <v>9</v>
      </c>
      <c r="C1522" t="s">
        <v>165</v>
      </c>
      <c r="D1522" t="s">
        <v>92</v>
      </c>
      <c r="E1522" t="s">
        <v>178</v>
      </c>
      <c r="F1522" t="s">
        <v>244</v>
      </c>
      <c r="G1522" s="39">
        <v>40051</v>
      </c>
      <c r="J1522" t="s">
        <v>981</v>
      </c>
    </row>
    <row r="1523" spans="1:10" x14ac:dyDescent="0.35">
      <c r="A1523">
        <v>290014</v>
      </c>
      <c r="B1523" t="s">
        <v>9</v>
      </c>
      <c r="C1523" t="s">
        <v>165</v>
      </c>
      <c r="D1523" t="s">
        <v>92</v>
      </c>
      <c r="E1523" t="s">
        <v>178</v>
      </c>
      <c r="F1523" t="s">
        <v>244</v>
      </c>
      <c r="G1523" s="39">
        <v>40695</v>
      </c>
      <c r="J1523" t="s">
        <v>981</v>
      </c>
    </row>
    <row r="1524" spans="1:10" x14ac:dyDescent="0.35">
      <c r="A1524">
        <v>19058</v>
      </c>
      <c r="B1524" t="s">
        <v>9</v>
      </c>
      <c r="C1524" t="s">
        <v>165</v>
      </c>
      <c r="D1524" t="s">
        <v>92</v>
      </c>
      <c r="E1524" t="s">
        <v>276</v>
      </c>
      <c r="F1524" t="s">
        <v>244</v>
      </c>
      <c r="G1524" s="39">
        <v>46260</v>
      </c>
      <c r="H1524" t="s">
        <v>249</v>
      </c>
      <c r="J1524" t="s">
        <v>981</v>
      </c>
    </row>
    <row r="1525" spans="1:10" x14ac:dyDescent="0.35">
      <c r="A1525">
        <v>19059</v>
      </c>
      <c r="B1525" t="s">
        <v>9</v>
      </c>
      <c r="C1525" t="s">
        <v>165</v>
      </c>
      <c r="D1525" t="s">
        <v>92</v>
      </c>
      <c r="E1525" t="s">
        <v>276</v>
      </c>
      <c r="F1525" t="s">
        <v>244</v>
      </c>
      <c r="G1525" s="39">
        <v>46260</v>
      </c>
      <c r="H1525" t="s">
        <v>249</v>
      </c>
      <c r="J1525" t="s">
        <v>981</v>
      </c>
    </row>
    <row r="1526" spans="1:10" x14ac:dyDescent="0.35">
      <c r="A1526">
        <v>19060</v>
      </c>
      <c r="B1526" t="s">
        <v>9</v>
      </c>
      <c r="C1526" t="s">
        <v>165</v>
      </c>
      <c r="D1526" t="s">
        <v>92</v>
      </c>
      <c r="E1526" t="s">
        <v>276</v>
      </c>
      <c r="F1526" t="s">
        <v>244</v>
      </c>
      <c r="G1526" s="39">
        <v>46260</v>
      </c>
      <c r="H1526" t="s">
        <v>249</v>
      </c>
      <c r="J1526" t="s">
        <v>981</v>
      </c>
    </row>
    <row r="1527" spans="1:10" x14ac:dyDescent="0.35">
      <c r="A1527">
        <v>19061</v>
      </c>
      <c r="B1527" t="s">
        <v>9</v>
      </c>
      <c r="C1527" t="s">
        <v>165</v>
      </c>
      <c r="D1527" t="s">
        <v>92</v>
      </c>
      <c r="E1527" t="s">
        <v>276</v>
      </c>
      <c r="F1527" t="s">
        <v>244</v>
      </c>
      <c r="G1527" s="39">
        <v>46260</v>
      </c>
      <c r="H1527" t="s">
        <v>249</v>
      </c>
      <c r="J1527" t="s">
        <v>981</v>
      </c>
    </row>
    <row r="1528" spans="1:10" x14ac:dyDescent="0.35">
      <c r="A1528">
        <v>19062</v>
      </c>
      <c r="B1528" t="s">
        <v>9</v>
      </c>
      <c r="C1528" t="s">
        <v>165</v>
      </c>
      <c r="D1528" t="s">
        <v>92</v>
      </c>
      <c r="E1528" t="s">
        <v>276</v>
      </c>
      <c r="F1528" t="s">
        <v>244</v>
      </c>
      <c r="G1528" s="39">
        <v>46260</v>
      </c>
      <c r="H1528" t="s">
        <v>249</v>
      </c>
      <c r="J1528" t="s">
        <v>981</v>
      </c>
    </row>
    <row r="1529" spans="1:10" x14ac:dyDescent="0.35">
      <c r="A1529">
        <v>19068</v>
      </c>
      <c r="B1529" t="s">
        <v>9</v>
      </c>
      <c r="C1529" t="s">
        <v>165</v>
      </c>
      <c r="D1529" t="s">
        <v>92</v>
      </c>
      <c r="E1529" t="s">
        <v>276</v>
      </c>
      <c r="F1529" t="s">
        <v>244</v>
      </c>
      <c r="G1529" s="39">
        <v>46260</v>
      </c>
      <c r="H1529" t="s">
        <v>249</v>
      </c>
      <c r="J1529" t="s">
        <v>981</v>
      </c>
    </row>
    <row r="1530" spans="1:10" x14ac:dyDescent="0.35">
      <c r="A1530">
        <v>19104</v>
      </c>
      <c r="B1530" t="s">
        <v>9</v>
      </c>
      <c r="C1530" t="s">
        <v>165</v>
      </c>
      <c r="D1530" t="s">
        <v>92</v>
      </c>
      <c r="E1530" t="s">
        <v>276</v>
      </c>
      <c r="F1530" t="s">
        <v>244</v>
      </c>
      <c r="G1530" s="39">
        <v>46266</v>
      </c>
      <c r="H1530" t="s">
        <v>249</v>
      </c>
      <c r="J1530" t="s">
        <v>981</v>
      </c>
    </row>
    <row r="1531" spans="1:10" x14ac:dyDescent="0.35">
      <c r="A1531">
        <v>19099</v>
      </c>
      <c r="B1531" t="s">
        <v>9</v>
      </c>
      <c r="C1531" t="s">
        <v>165</v>
      </c>
      <c r="D1531" t="s">
        <v>92</v>
      </c>
      <c r="E1531" t="s">
        <v>276</v>
      </c>
      <c r="F1531" t="s">
        <v>244</v>
      </c>
      <c r="G1531" s="39">
        <v>46266</v>
      </c>
      <c r="H1531" t="s">
        <v>249</v>
      </c>
      <c r="J1531" t="s">
        <v>981</v>
      </c>
    </row>
    <row r="1532" spans="1:10" x14ac:dyDescent="0.35">
      <c r="A1532">
        <v>19100</v>
      </c>
      <c r="B1532" t="s">
        <v>9</v>
      </c>
      <c r="C1532" t="s">
        <v>165</v>
      </c>
      <c r="D1532" t="s">
        <v>92</v>
      </c>
      <c r="E1532" t="s">
        <v>276</v>
      </c>
      <c r="F1532" t="s">
        <v>244</v>
      </c>
      <c r="G1532" s="39">
        <v>46266</v>
      </c>
      <c r="H1532" t="s">
        <v>249</v>
      </c>
      <c r="J1532" t="s">
        <v>981</v>
      </c>
    </row>
    <row r="1533" spans="1:10" x14ac:dyDescent="0.35">
      <c r="A1533">
        <v>19101</v>
      </c>
      <c r="B1533" t="s">
        <v>9</v>
      </c>
      <c r="C1533" t="s">
        <v>165</v>
      </c>
      <c r="D1533" t="s">
        <v>92</v>
      </c>
      <c r="E1533" t="s">
        <v>276</v>
      </c>
      <c r="F1533" t="s">
        <v>244</v>
      </c>
      <c r="G1533" s="39">
        <v>46266</v>
      </c>
      <c r="H1533" t="s">
        <v>249</v>
      </c>
      <c r="J1533" t="s">
        <v>981</v>
      </c>
    </row>
    <row r="1534" spans="1:10" x14ac:dyDescent="0.35">
      <c r="A1534">
        <v>19102</v>
      </c>
      <c r="B1534" t="s">
        <v>9</v>
      </c>
      <c r="C1534" t="s">
        <v>165</v>
      </c>
      <c r="D1534" t="s">
        <v>92</v>
      </c>
      <c r="E1534" t="s">
        <v>276</v>
      </c>
      <c r="F1534" t="s">
        <v>244</v>
      </c>
      <c r="G1534" s="39">
        <v>46266</v>
      </c>
      <c r="H1534" t="s">
        <v>249</v>
      </c>
      <c r="J1534" t="s">
        <v>981</v>
      </c>
    </row>
    <row r="1535" spans="1:10" x14ac:dyDescent="0.35">
      <c r="A1535">
        <v>19103</v>
      </c>
      <c r="B1535" t="s">
        <v>9</v>
      </c>
      <c r="C1535" t="s">
        <v>165</v>
      </c>
      <c r="D1535" t="s">
        <v>92</v>
      </c>
      <c r="E1535" t="s">
        <v>276</v>
      </c>
      <c r="F1535" t="s">
        <v>244</v>
      </c>
      <c r="G1535" s="39">
        <v>46266</v>
      </c>
      <c r="H1535" t="s">
        <v>249</v>
      </c>
      <c r="J1535" t="s">
        <v>981</v>
      </c>
    </row>
    <row r="1536" spans="1:10" x14ac:dyDescent="0.35">
      <c r="A1536">
        <v>19207</v>
      </c>
      <c r="B1536" t="s">
        <v>9</v>
      </c>
      <c r="C1536" t="s">
        <v>165</v>
      </c>
      <c r="D1536" t="s">
        <v>92</v>
      </c>
      <c r="E1536" t="s">
        <v>276</v>
      </c>
      <c r="F1536" t="s">
        <v>244</v>
      </c>
      <c r="G1536" s="39">
        <v>46276</v>
      </c>
      <c r="H1536" t="s">
        <v>249</v>
      </c>
      <c r="J1536" t="s">
        <v>981</v>
      </c>
    </row>
    <row r="1537" spans="1:10" x14ac:dyDescent="0.35">
      <c r="A1537">
        <v>290018</v>
      </c>
      <c r="B1537" t="s">
        <v>9</v>
      </c>
      <c r="C1537" t="s">
        <v>165</v>
      </c>
      <c r="D1537" t="s">
        <v>92</v>
      </c>
      <c r="E1537" t="s">
        <v>178</v>
      </c>
      <c r="F1537" t="s">
        <v>244</v>
      </c>
      <c r="G1537" s="39">
        <v>40599</v>
      </c>
      <c r="J1537" t="s">
        <v>981</v>
      </c>
    </row>
    <row r="1538" spans="1:10" x14ac:dyDescent="0.35">
      <c r="A1538">
        <v>16196</v>
      </c>
      <c r="B1538" t="s">
        <v>9</v>
      </c>
      <c r="C1538" t="s">
        <v>165</v>
      </c>
      <c r="D1538" t="s">
        <v>92</v>
      </c>
      <c r="E1538" t="s">
        <v>178</v>
      </c>
      <c r="F1538" t="s">
        <v>244</v>
      </c>
      <c r="G1538" s="39">
        <v>45315</v>
      </c>
      <c r="J1538" t="s">
        <v>981</v>
      </c>
    </row>
    <row r="1539" spans="1:10" x14ac:dyDescent="0.35">
      <c r="A1539">
        <v>16993</v>
      </c>
      <c r="B1539" t="s">
        <v>9</v>
      </c>
      <c r="C1539" t="s">
        <v>165</v>
      </c>
      <c r="D1539" t="s">
        <v>92</v>
      </c>
      <c r="E1539" t="s">
        <v>178</v>
      </c>
      <c r="F1539" t="s">
        <v>244</v>
      </c>
      <c r="G1539" s="39">
        <v>45589</v>
      </c>
      <c r="J1539" t="s">
        <v>981</v>
      </c>
    </row>
    <row r="1540" spans="1:10" x14ac:dyDescent="0.35">
      <c r="A1540">
        <v>17077</v>
      </c>
      <c r="B1540" t="s">
        <v>9</v>
      </c>
      <c r="C1540" t="s">
        <v>165</v>
      </c>
      <c r="D1540" t="s">
        <v>92</v>
      </c>
      <c r="E1540" t="s">
        <v>178</v>
      </c>
      <c r="F1540" t="s">
        <v>244</v>
      </c>
      <c r="G1540" s="39">
        <v>45623</v>
      </c>
      <c r="J1540" t="s">
        <v>981</v>
      </c>
    </row>
    <row r="1541" spans="1:10" x14ac:dyDescent="0.35">
      <c r="A1541">
        <v>17188</v>
      </c>
      <c r="B1541" t="s">
        <v>9</v>
      </c>
      <c r="C1541" t="s">
        <v>165</v>
      </c>
      <c r="D1541" t="s">
        <v>92</v>
      </c>
      <c r="E1541" t="s">
        <v>178</v>
      </c>
      <c r="F1541" t="s">
        <v>244</v>
      </c>
      <c r="G1541" s="39">
        <v>45663</v>
      </c>
      <c r="J1541" t="s">
        <v>981</v>
      </c>
    </row>
    <row r="1542" spans="1:10" x14ac:dyDescent="0.35">
      <c r="A1542">
        <v>17187</v>
      </c>
      <c r="B1542" t="s">
        <v>9</v>
      </c>
      <c r="C1542" t="s">
        <v>165</v>
      </c>
      <c r="D1542" t="s">
        <v>92</v>
      </c>
      <c r="E1542" t="s">
        <v>178</v>
      </c>
      <c r="F1542" t="s">
        <v>244</v>
      </c>
      <c r="G1542" s="39">
        <v>45663</v>
      </c>
      <c r="J1542" t="s">
        <v>981</v>
      </c>
    </row>
    <row r="1543" spans="1:10" x14ac:dyDescent="0.35">
      <c r="A1543">
        <v>17186</v>
      </c>
      <c r="B1543" t="s">
        <v>9</v>
      </c>
      <c r="C1543" t="s">
        <v>165</v>
      </c>
      <c r="D1543" t="s">
        <v>92</v>
      </c>
      <c r="E1543" t="s">
        <v>178</v>
      </c>
      <c r="F1543" t="s">
        <v>244</v>
      </c>
      <c r="G1543" s="39">
        <v>45663</v>
      </c>
      <c r="J1543" t="s">
        <v>981</v>
      </c>
    </row>
    <row r="1544" spans="1:10" x14ac:dyDescent="0.35">
      <c r="A1544">
        <v>17185</v>
      </c>
      <c r="B1544" t="s">
        <v>9</v>
      </c>
      <c r="C1544" t="s">
        <v>165</v>
      </c>
      <c r="D1544" t="s">
        <v>92</v>
      </c>
      <c r="E1544" t="s">
        <v>178</v>
      </c>
      <c r="F1544" t="s">
        <v>244</v>
      </c>
      <c r="G1544" s="39">
        <v>45663</v>
      </c>
      <c r="J1544" t="s">
        <v>981</v>
      </c>
    </row>
    <row r="1545" spans="1:10" x14ac:dyDescent="0.35">
      <c r="A1545">
        <v>720019</v>
      </c>
      <c r="B1545" t="s">
        <v>9</v>
      </c>
      <c r="C1545" t="s">
        <v>165</v>
      </c>
      <c r="D1545" t="s">
        <v>92</v>
      </c>
      <c r="E1545" t="s">
        <v>176</v>
      </c>
      <c r="F1545" t="s">
        <v>244</v>
      </c>
      <c r="G1545" s="39">
        <v>37999</v>
      </c>
      <c r="J1545" t="s">
        <v>981</v>
      </c>
    </row>
    <row r="1546" spans="1:10" x14ac:dyDescent="0.35">
      <c r="A1546">
        <v>520016</v>
      </c>
      <c r="B1546" t="s">
        <v>9</v>
      </c>
      <c r="C1546" t="s">
        <v>165</v>
      </c>
      <c r="D1546" t="s">
        <v>92</v>
      </c>
      <c r="E1546" t="s">
        <v>176</v>
      </c>
      <c r="F1546" t="s">
        <v>244</v>
      </c>
      <c r="G1546" s="39">
        <v>41792</v>
      </c>
      <c r="J1546" t="s">
        <v>981</v>
      </c>
    </row>
    <row r="1547" spans="1:10" x14ac:dyDescent="0.35">
      <c r="A1547">
        <v>12379</v>
      </c>
      <c r="B1547" t="s">
        <v>9</v>
      </c>
      <c r="C1547" t="s">
        <v>165</v>
      </c>
      <c r="D1547" t="s">
        <v>92</v>
      </c>
      <c r="E1547" t="s">
        <v>176</v>
      </c>
      <c r="F1547" t="s">
        <v>244</v>
      </c>
      <c r="G1547" s="39">
        <v>43721</v>
      </c>
      <c r="J1547" t="s">
        <v>981</v>
      </c>
    </row>
    <row r="1548" spans="1:10" x14ac:dyDescent="0.35">
      <c r="A1548">
        <v>520006</v>
      </c>
      <c r="B1548" t="s">
        <v>9</v>
      </c>
      <c r="C1548" t="s">
        <v>165</v>
      </c>
      <c r="D1548" t="s">
        <v>92</v>
      </c>
      <c r="E1548" t="s">
        <v>176</v>
      </c>
      <c r="F1548" t="s">
        <v>244</v>
      </c>
      <c r="G1548" s="39">
        <v>37412</v>
      </c>
      <c r="J1548" t="s">
        <v>981</v>
      </c>
    </row>
    <row r="1549" spans="1:10" x14ac:dyDescent="0.35">
      <c r="A1549">
        <v>11548</v>
      </c>
      <c r="B1549" t="s">
        <v>9</v>
      </c>
      <c r="C1549" t="s">
        <v>165</v>
      </c>
      <c r="D1549" t="s">
        <v>92</v>
      </c>
      <c r="E1549" t="s">
        <v>176</v>
      </c>
      <c r="F1549" t="s">
        <v>244</v>
      </c>
      <c r="G1549" s="39">
        <v>42828</v>
      </c>
      <c r="J1549" t="s">
        <v>981</v>
      </c>
    </row>
    <row r="1550" spans="1:10" x14ac:dyDescent="0.35">
      <c r="A1550">
        <v>12027</v>
      </c>
      <c r="B1550" t="s">
        <v>9</v>
      </c>
      <c r="C1550" t="s">
        <v>165</v>
      </c>
      <c r="D1550" t="s">
        <v>92</v>
      </c>
      <c r="E1550" t="s">
        <v>176</v>
      </c>
      <c r="F1550" t="s">
        <v>244</v>
      </c>
      <c r="G1550" s="39">
        <v>43391</v>
      </c>
      <c r="J1550" t="s">
        <v>981</v>
      </c>
    </row>
    <row r="1551" spans="1:10" x14ac:dyDescent="0.35">
      <c r="A1551">
        <v>13661</v>
      </c>
      <c r="B1551" t="s">
        <v>9</v>
      </c>
      <c r="C1551" t="s">
        <v>165</v>
      </c>
      <c r="D1551" t="s">
        <v>92</v>
      </c>
      <c r="E1551" t="s">
        <v>176</v>
      </c>
      <c r="F1551" t="s">
        <v>244</v>
      </c>
      <c r="G1551" s="39">
        <v>44531</v>
      </c>
      <c r="J1551" t="s">
        <v>981</v>
      </c>
    </row>
    <row r="1552" spans="1:10" x14ac:dyDescent="0.35">
      <c r="A1552">
        <v>12613</v>
      </c>
      <c r="B1552" t="s">
        <v>9</v>
      </c>
      <c r="C1552" t="s">
        <v>165</v>
      </c>
      <c r="D1552" t="s">
        <v>92</v>
      </c>
      <c r="E1552" t="s">
        <v>176</v>
      </c>
      <c r="F1552" t="s">
        <v>244</v>
      </c>
      <c r="G1552" s="39">
        <v>43839</v>
      </c>
      <c r="J1552" t="s">
        <v>981</v>
      </c>
    </row>
    <row r="1553" spans="1:10" x14ac:dyDescent="0.35">
      <c r="A1553">
        <v>15674</v>
      </c>
      <c r="B1553" t="s">
        <v>9</v>
      </c>
      <c r="C1553" t="s">
        <v>165</v>
      </c>
      <c r="D1553" t="s">
        <v>92</v>
      </c>
      <c r="E1553" t="s">
        <v>176</v>
      </c>
      <c r="F1553" t="s">
        <v>244</v>
      </c>
      <c r="G1553" s="39">
        <v>45163</v>
      </c>
      <c r="J1553" t="s">
        <v>981</v>
      </c>
    </row>
    <row r="1554" spans="1:10" x14ac:dyDescent="0.35">
      <c r="A1554">
        <v>17192</v>
      </c>
      <c r="B1554" t="s">
        <v>9</v>
      </c>
      <c r="C1554" t="s">
        <v>165</v>
      </c>
      <c r="D1554" t="s">
        <v>92</v>
      </c>
      <c r="E1554" t="s">
        <v>176</v>
      </c>
      <c r="F1554" t="s">
        <v>244</v>
      </c>
      <c r="G1554" s="39">
        <v>45663</v>
      </c>
      <c r="J1554" t="s">
        <v>981</v>
      </c>
    </row>
    <row r="1555" spans="1:10" x14ac:dyDescent="0.35">
      <c r="A1555">
        <v>19234</v>
      </c>
      <c r="B1555" t="s">
        <v>9</v>
      </c>
      <c r="C1555" t="s">
        <v>165</v>
      </c>
      <c r="D1555" t="s">
        <v>92</v>
      </c>
      <c r="E1555" t="s">
        <v>1068</v>
      </c>
      <c r="F1555" t="s">
        <v>244</v>
      </c>
      <c r="G1555" s="39">
        <v>46279</v>
      </c>
      <c r="H1555" t="s">
        <v>249</v>
      </c>
      <c r="J1555" t="s">
        <v>981</v>
      </c>
    </row>
    <row r="1556" spans="1:10" x14ac:dyDescent="0.35">
      <c r="A1556">
        <v>790006</v>
      </c>
      <c r="B1556" t="s">
        <v>9</v>
      </c>
      <c r="C1556" t="s">
        <v>165</v>
      </c>
      <c r="D1556" t="s">
        <v>92</v>
      </c>
      <c r="E1556" t="s">
        <v>180</v>
      </c>
      <c r="F1556" t="s">
        <v>244</v>
      </c>
      <c r="G1556" s="39">
        <v>41036</v>
      </c>
      <c r="J1556" t="s">
        <v>981</v>
      </c>
    </row>
    <row r="1557" spans="1:10" x14ac:dyDescent="0.35">
      <c r="A1557">
        <v>18476</v>
      </c>
      <c r="B1557" t="s">
        <v>9</v>
      </c>
      <c r="C1557" t="s">
        <v>165</v>
      </c>
      <c r="D1557" t="s">
        <v>92</v>
      </c>
      <c r="E1557" t="s">
        <v>180</v>
      </c>
      <c r="F1557" t="s">
        <v>244</v>
      </c>
      <c r="G1557" s="39">
        <v>46132</v>
      </c>
      <c r="H1557" t="s">
        <v>249</v>
      </c>
      <c r="J1557" t="s">
        <v>981</v>
      </c>
    </row>
    <row r="1558" spans="1:10" x14ac:dyDescent="0.35">
      <c r="A1558">
        <v>18478</v>
      </c>
      <c r="B1558" t="s">
        <v>9</v>
      </c>
      <c r="C1558" t="s">
        <v>165</v>
      </c>
      <c r="D1558" t="s">
        <v>92</v>
      </c>
      <c r="E1558" t="s">
        <v>180</v>
      </c>
      <c r="F1558" t="s">
        <v>244</v>
      </c>
      <c r="G1558" s="39">
        <v>46132</v>
      </c>
      <c r="H1558" t="s">
        <v>249</v>
      </c>
      <c r="J1558" t="s">
        <v>981</v>
      </c>
    </row>
    <row r="1559" spans="1:10" x14ac:dyDescent="0.35">
      <c r="A1559">
        <v>18480</v>
      </c>
      <c r="B1559" t="s">
        <v>9</v>
      </c>
      <c r="C1559" t="s">
        <v>165</v>
      </c>
      <c r="D1559" t="s">
        <v>92</v>
      </c>
      <c r="E1559" t="s">
        <v>181</v>
      </c>
      <c r="F1559" t="s">
        <v>244</v>
      </c>
      <c r="G1559" s="39">
        <v>46132</v>
      </c>
      <c r="H1559" t="s">
        <v>249</v>
      </c>
      <c r="J1559" t="s">
        <v>981</v>
      </c>
    </row>
    <row r="1560" spans="1:10" x14ac:dyDescent="0.35">
      <c r="A1560">
        <v>12468</v>
      </c>
      <c r="B1560" t="s">
        <v>9</v>
      </c>
      <c r="C1560" t="s">
        <v>165</v>
      </c>
      <c r="D1560" t="s">
        <v>92</v>
      </c>
      <c r="E1560" t="s">
        <v>180</v>
      </c>
      <c r="F1560" t="s">
        <v>244</v>
      </c>
      <c r="G1560" s="39">
        <v>43761</v>
      </c>
      <c r="J1560" t="s">
        <v>981</v>
      </c>
    </row>
    <row r="1561" spans="1:10" x14ac:dyDescent="0.35">
      <c r="A1561">
        <v>870006</v>
      </c>
      <c r="B1561" t="s">
        <v>9</v>
      </c>
      <c r="C1561" t="s">
        <v>165</v>
      </c>
      <c r="D1561" t="s">
        <v>92</v>
      </c>
      <c r="E1561" t="s">
        <v>180</v>
      </c>
      <c r="F1561" t="s">
        <v>244</v>
      </c>
      <c r="G1561" s="39">
        <v>38687</v>
      </c>
      <c r="J1561" t="s">
        <v>981</v>
      </c>
    </row>
    <row r="1562" spans="1:10" x14ac:dyDescent="0.35">
      <c r="A1562">
        <v>19037</v>
      </c>
      <c r="B1562" t="s">
        <v>9</v>
      </c>
      <c r="C1562" t="s">
        <v>165</v>
      </c>
      <c r="D1562" t="s">
        <v>92</v>
      </c>
      <c r="E1562" t="s">
        <v>270</v>
      </c>
      <c r="F1562" t="s">
        <v>244</v>
      </c>
      <c r="G1562" s="39">
        <v>46259</v>
      </c>
      <c r="H1562" t="s">
        <v>249</v>
      </c>
      <c r="J1562" t="s">
        <v>981</v>
      </c>
    </row>
    <row r="1563" spans="1:10" x14ac:dyDescent="0.35">
      <c r="A1563">
        <v>19038</v>
      </c>
      <c r="B1563" t="s">
        <v>9</v>
      </c>
      <c r="C1563" t="s">
        <v>165</v>
      </c>
      <c r="D1563" t="s">
        <v>92</v>
      </c>
      <c r="E1563" t="s">
        <v>270</v>
      </c>
      <c r="F1563" t="s">
        <v>244</v>
      </c>
      <c r="G1563" s="39">
        <v>46259</v>
      </c>
      <c r="H1563" t="s">
        <v>249</v>
      </c>
      <c r="J1563" t="s">
        <v>981</v>
      </c>
    </row>
    <row r="1564" spans="1:10" x14ac:dyDescent="0.35">
      <c r="A1564">
        <v>19042</v>
      </c>
      <c r="B1564" t="s">
        <v>9</v>
      </c>
      <c r="C1564" t="s">
        <v>165</v>
      </c>
      <c r="D1564" t="s">
        <v>92</v>
      </c>
      <c r="E1564" t="s">
        <v>270</v>
      </c>
      <c r="F1564" t="s">
        <v>244</v>
      </c>
      <c r="G1564" s="39">
        <v>46259</v>
      </c>
      <c r="H1564" t="s">
        <v>249</v>
      </c>
      <c r="J1564" t="s">
        <v>981</v>
      </c>
    </row>
    <row r="1565" spans="1:10" x14ac:dyDescent="0.35">
      <c r="A1565">
        <v>19044</v>
      </c>
      <c r="B1565" t="s">
        <v>9</v>
      </c>
      <c r="C1565" t="s">
        <v>165</v>
      </c>
      <c r="D1565" t="s">
        <v>92</v>
      </c>
      <c r="E1565" t="s">
        <v>270</v>
      </c>
      <c r="F1565" t="s">
        <v>244</v>
      </c>
      <c r="G1565" s="39">
        <v>46259</v>
      </c>
      <c r="H1565" t="s">
        <v>249</v>
      </c>
      <c r="J1565" t="s">
        <v>981</v>
      </c>
    </row>
    <row r="1566" spans="1:10" x14ac:dyDescent="0.35">
      <c r="A1566">
        <v>19045</v>
      </c>
      <c r="B1566" t="s">
        <v>9</v>
      </c>
      <c r="C1566" t="s">
        <v>165</v>
      </c>
      <c r="D1566" t="s">
        <v>92</v>
      </c>
      <c r="E1566" t="s">
        <v>270</v>
      </c>
      <c r="F1566" t="s">
        <v>244</v>
      </c>
      <c r="G1566" s="39">
        <v>46259</v>
      </c>
      <c r="H1566" t="s">
        <v>249</v>
      </c>
      <c r="J1566" t="s">
        <v>981</v>
      </c>
    </row>
    <row r="1567" spans="1:10" x14ac:dyDescent="0.35">
      <c r="A1567">
        <v>870020</v>
      </c>
      <c r="B1567" t="s">
        <v>9</v>
      </c>
      <c r="C1567" t="s">
        <v>165</v>
      </c>
      <c r="D1567" t="s">
        <v>92</v>
      </c>
      <c r="E1567" t="s">
        <v>180</v>
      </c>
      <c r="F1567" t="s">
        <v>244</v>
      </c>
      <c r="G1567" s="39">
        <v>40301</v>
      </c>
      <c r="J1567" t="s">
        <v>981</v>
      </c>
    </row>
    <row r="1568" spans="1:10" x14ac:dyDescent="0.35">
      <c r="A1568">
        <v>780012</v>
      </c>
      <c r="B1568" t="s">
        <v>9</v>
      </c>
      <c r="C1568" t="s">
        <v>165</v>
      </c>
      <c r="D1568" t="s">
        <v>92</v>
      </c>
      <c r="E1568" t="s">
        <v>180</v>
      </c>
      <c r="F1568" t="s">
        <v>244</v>
      </c>
      <c r="G1568" s="39">
        <v>42060</v>
      </c>
      <c r="J1568" t="s">
        <v>981</v>
      </c>
    </row>
    <row r="1569" spans="1:10" x14ac:dyDescent="0.35">
      <c r="A1569">
        <v>15328</v>
      </c>
      <c r="B1569" t="s">
        <v>9</v>
      </c>
      <c r="C1569" t="s">
        <v>165</v>
      </c>
      <c r="D1569" t="s">
        <v>92</v>
      </c>
      <c r="E1569" t="s">
        <v>180</v>
      </c>
      <c r="F1569" t="s">
        <v>244</v>
      </c>
      <c r="G1569" s="39">
        <v>45029</v>
      </c>
      <c r="J1569" t="s">
        <v>981</v>
      </c>
    </row>
    <row r="1570" spans="1:10" x14ac:dyDescent="0.35">
      <c r="A1570">
        <v>15485</v>
      </c>
      <c r="B1570" t="s">
        <v>9</v>
      </c>
      <c r="C1570" t="s">
        <v>165</v>
      </c>
      <c r="D1570" t="s">
        <v>92</v>
      </c>
      <c r="E1570" t="s">
        <v>180</v>
      </c>
      <c r="F1570" t="s">
        <v>244</v>
      </c>
      <c r="G1570" s="39">
        <v>45090</v>
      </c>
      <c r="J1570" t="s">
        <v>981</v>
      </c>
    </row>
    <row r="1571" spans="1:10" x14ac:dyDescent="0.35">
      <c r="A1571">
        <v>17976</v>
      </c>
      <c r="B1571" t="s">
        <v>9</v>
      </c>
      <c r="C1571" t="s">
        <v>165</v>
      </c>
      <c r="D1571" t="s">
        <v>92</v>
      </c>
      <c r="E1571" t="s">
        <v>180</v>
      </c>
      <c r="F1571" t="s">
        <v>244</v>
      </c>
      <c r="G1571" s="39">
        <v>45944</v>
      </c>
      <c r="J1571" t="s">
        <v>981</v>
      </c>
    </row>
    <row r="1572" spans="1:10" x14ac:dyDescent="0.35">
      <c r="A1572">
        <v>18098</v>
      </c>
      <c r="B1572" t="s">
        <v>9</v>
      </c>
      <c r="C1572" t="s">
        <v>165</v>
      </c>
      <c r="D1572" t="s">
        <v>92</v>
      </c>
      <c r="E1572" t="s">
        <v>180</v>
      </c>
      <c r="F1572" t="s">
        <v>244</v>
      </c>
      <c r="G1572" s="39">
        <v>45994</v>
      </c>
      <c r="J1572" t="s">
        <v>981</v>
      </c>
    </row>
    <row r="1573" spans="1:10" x14ac:dyDescent="0.35">
      <c r="A1573">
        <v>420024</v>
      </c>
      <c r="B1573" t="s">
        <v>9</v>
      </c>
      <c r="C1573" t="s">
        <v>165</v>
      </c>
      <c r="D1573" t="s">
        <v>92</v>
      </c>
      <c r="E1573" t="s">
        <v>182</v>
      </c>
      <c r="F1573" t="s">
        <v>244</v>
      </c>
      <c r="G1573" s="39">
        <v>42032</v>
      </c>
      <c r="J1573" t="s">
        <v>981</v>
      </c>
    </row>
    <row r="1574" spans="1:10" x14ac:dyDescent="0.35">
      <c r="A1574">
        <v>18353</v>
      </c>
      <c r="B1574" t="s">
        <v>9</v>
      </c>
      <c r="C1574" t="s">
        <v>165</v>
      </c>
      <c r="D1574" t="s">
        <v>92</v>
      </c>
      <c r="E1574" t="s">
        <v>182</v>
      </c>
      <c r="F1574" t="s">
        <v>244</v>
      </c>
      <c r="G1574" s="39">
        <v>46097</v>
      </c>
      <c r="H1574" t="s">
        <v>249</v>
      </c>
      <c r="J1574" t="s">
        <v>981</v>
      </c>
    </row>
    <row r="1575" spans="1:10" x14ac:dyDescent="0.35">
      <c r="A1575">
        <v>18355</v>
      </c>
      <c r="B1575" t="s">
        <v>9</v>
      </c>
      <c r="C1575" t="s">
        <v>165</v>
      </c>
      <c r="D1575" t="s">
        <v>92</v>
      </c>
      <c r="E1575" t="s">
        <v>182</v>
      </c>
      <c r="F1575" t="s">
        <v>244</v>
      </c>
      <c r="G1575" s="39">
        <v>46097</v>
      </c>
      <c r="H1575" t="s">
        <v>249</v>
      </c>
      <c r="J1575" t="s">
        <v>981</v>
      </c>
    </row>
    <row r="1576" spans="1:10" x14ac:dyDescent="0.35">
      <c r="A1576">
        <v>660022</v>
      </c>
      <c r="B1576" t="s">
        <v>9</v>
      </c>
      <c r="C1576" t="s">
        <v>165</v>
      </c>
      <c r="D1576" t="s">
        <v>92</v>
      </c>
      <c r="E1576" t="s">
        <v>182</v>
      </c>
      <c r="F1576" t="s">
        <v>244</v>
      </c>
      <c r="G1576" s="39">
        <v>41999</v>
      </c>
      <c r="J1576" t="s">
        <v>981</v>
      </c>
    </row>
    <row r="1577" spans="1:10" x14ac:dyDescent="0.35">
      <c r="A1577">
        <v>11752</v>
      </c>
      <c r="B1577" t="s">
        <v>9</v>
      </c>
      <c r="C1577" t="s">
        <v>165</v>
      </c>
      <c r="D1577" t="s">
        <v>92</v>
      </c>
      <c r="E1577" t="s">
        <v>182</v>
      </c>
      <c r="F1577" t="s">
        <v>244</v>
      </c>
      <c r="G1577" s="39">
        <v>43080</v>
      </c>
      <c r="J1577" t="s">
        <v>981</v>
      </c>
    </row>
    <row r="1578" spans="1:10" x14ac:dyDescent="0.35">
      <c r="A1578">
        <v>11871</v>
      </c>
      <c r="B1578" t="s">
        <v>9</v>
      </c>
      <c r="C1578" t="s">
        <v>165</v>
      </c>
      <c r="D1578" t="s">
        <v>92</v>
      </c>
      <c r="E1578" t="s">
        <v>182</v>
      </c>
      <c r="F1578" t="s">
        <v>244</v>
      </c>
      <c r="G1578" s="39">
        <v>43227</v>
      </c>
      <c r="J1578" t="s">
        <v>981</v>
      </c>
    </row>
    <row r="1579" spans="1:10" x14ac:dyDescent="0.35">
      <c r="A1579">
        <v>420025</v>
      </c>
      <c r="B1579" t="s">
        <v>9</v>
      </c>
      <c r="C1579" t="s">
        <v>165</v>
      </c>
      <c r="D1579" t="s">
        <v>92</v>
      </c>
      <c r="E1579" t="s">
        <v>182</v>
      </c>
      <c r="F1579" t="s">
        <v>244</v>
      </c>
      <c r="G1579" s="39">
        <v>42114</v>
      </c>
      <c r="J1579" t="s">
        <v>981</v>
      </c>
    </row>
    <row r="1580" spans="1:10" x14ac:dyDescent="0.35">
      <c r="A1580">
        <v>830002</v>
      </c>
      <c r="B1580" t="s">
        <v>9</v>
      </c>
      <c r="C1580" t="s">
        <v>165</v>
      </c>
      <c r="D1580" t="s">
        <v>92</v>
      </c>
      <c r="E1580" t="s">
        <v>182</v>
      </c>
      <c r="F1580" t="s">
        <v>244</v>
      </c>
      <c r="G1580" s="39">
        <v>39572</v>
      </c>
      <c r="J1580" t="s">
        <v>981</v>
      </c>
    </row>
    <row r="1581" spans="1:10" x14ac:dyDescent="0.35">
      <c r="A1581">
        <v>660012</v>
      </c>
      <c r="B1581" t="s">
        <v>9</v>
      </c>
      <c r="C1581" t="s">
        <v>165</v>
      </c>
      <c r="D1581" t="s">
        <v>92</v>
      </c>
      <c r="E1581" t="s">
        <v>182</v>
      </c>
      <c r="F1581" t="s">
        <v>244</v>
      </c>
      <c r="G1581" s="39">
        <v>41229</v>
      </c>
      <c r="J1581" t="s">
        <v>981</v>
      </c>
    </row>
    <row r="1582" spans="1:10" x14ac:dyDescent="0.35">
      <c r="A1582">
        <v>11751</v>
      </c>
      <c r="B1582" t="s">
        <v>9</v>
      </c>
      <c r="C1582" t="s">
        <v>165</v>
      </c>
      <c r="D1582" t="s">
        <v>92</v>
      </c>
      <c r="E1582" t="s">
        <v>182</v>
      </c>
      <c r="F1582" t="s">
        <v>244</v>
      </c>
      <c r="G1582" s="39">
        <v>43080</v>
      </c>
      <c r="J1582" t="s">
        <v>981</v>
      </c>
    </row>
    <row r="1583" spans="1:10" x14ac:dyDescent="0.35">
      <c r="A1583">
        <v>15869</v>
      </c>
      <c r="B1583" t="s">
        <v>9</v>
      </c>
      <c r="C1583" t="s">
        <v>165</v>
      </c>
      <c r="D1583" t="s">
        <v>92</v>
      </c>
      <c r="E1583" t="s">
        <v>182</v>
      </c>
      <c r="F1583" t="s">
        <v>244</v>
      </c>
      <c r="G1583" s="39">
        <v>45223</v>
      </c>
      <c r="J1583" t="s">
        <v>981</v>
      </c>
    </row>
    <row r="1584" spans="1:10" x14ac:dyDescent="0.35">
      <c r="A1584">
        <v>17626</v>
      </c>
      <c r="B1584" t="s">
        <v>9</v>
      </c>
      <c r="C1584" t="s">
        <v>165</v>
      </c>
      <c r="D1584" t="s">
        <v>92</v>
      </c>
      <c r="E1584" t="s">
        <v>182</v>
      </c>
      <c r="F1584" t="s">
        <v>244</v>
      </c>
      <c r="G1584" s="39">
        <v>45818</v>
      </c>
      <c r="J1584" t="s">
        <v>981</v>
      </c>
    </row>
    <row r="1585" spans="1:10" x14ac:dyDescent="0.35">
      <c r="A1585">
        <v>18009</v>
      </c>
      <c r="B1585" t="s">
        <v>9</v>
      </c>
      <c r="C1585" t="s">
        <v>165</v>
      </c>
      <c r="D1585" t="s">
        <v>92</v>
      </c>
      <c r="E1585" t="s">
        <v>182</v>
      </c>
      <c r="F1585" t="s">
        <v>244</v>
      </c>
      <c r="G1585" s="39">
        <v>45958</v>
      </c>
      <c r="J1585" t="s">
        <v>981</v>
      </c>
    </row>
    <row r="1586" spans="1:10" x14ac:dyDescent="0.35">
      <c r="A1586">
        <v>19131</v>
      </c>
      <c r="B1586" t="s">
        <v>9</v>
      </c>
      <c r="C1586" t="s">
        <v>165</v>
      </c>
      <c r="D1586" t="s">
        <v>92</v>
      </c>
      <c r="E1586" t="s">
        <v>277</v>
      </c>
      <c r="F1586" t="s">
        <v>244</v>
      </c>
      <c r="G1586" s="39">
        <v>46273</v>
      </c>
      <c r="H1586" t="s">
        <v>249</v>
      </c>
      <c r="J1586" t="s">
        <v>981</v>
      </c>
    </row>
    <row r="1587" spans="1:10" x14ac:dyDescent="0.35">
      <c r="A1587">
        <v>12443</v>
      </c>
      <c r="B1587" t="s">
        <v>9</v>
      </c>
      <c r="C1587" t="s">
        <v>165</v>
      </c>
      <c r="D1587" t="s">
        <v>92</v>
      </c>
      <c r="E1587" t="s">
        <v>542</v>
      </c>
      <c r="F1587" t="s">
        <v>244</v>
      </c>
      <c r="G1587" s="39">
        <v>43755</v>
      </c>
      <c r="J1587" t="s">
        <v>981</v>
      </c>
    </row>
    <row r="1588" spans="1:10" x14ac:dyDescent="0.35">
      <c r="A1588">
        <v>19035</v>
      </c>
      <c r="B1588" t="s">
        <v>9</v>
      </c>
      <c r="C1588" t="s">
        <v>165</v>
      </c>
      <c r="D1588" t="s">
        <v>92</v>
      </c>
      <c r="E1588" t="s">
        <v>278</v>
      </c>
      <c r="F1588" t="s">
        <v>244</v>
      </c>
      <c r="G1588" s="39">
        <v>46259</v>
      </c>
      <c r="H1588" t="s">
        <v>249</v>
      </c>
      <c r="J1588" t="s">
        <v>981</v>
      </c>
    </row>
    <row r="1589" spans="1:10" x14ac:dyDescent="0.35">
      <c r="A1589">
        <v>19036</v>
      </c>
      <c r="B1589" t="s">
        <v>9</v>
      </c>
      <c r="C1589" t="s">
        <v>165</v>
      </c>
      <c r="D1589" t="s">
        <v>92</v>
      </c>
      <c r="E1589" t="s">
        <v>278</v>
      </c>
      <c r="F1589" t="s">
        <v>244</v>
      </c>
      <c r="G1589" s="39">
        <v>46259</v>
      </c>
      <c r="H1589" t="s">
        <v>249</v>
      </c>
      <c r="J1589" t="s">
        <v>981</v>
      </c>
    </row>
    <row r="1590" spans="1:10" x14ac:dyDescent="0.35">
      <c r="A1590">
        <v>19041</v>
      </c>
      <c r="B1590" t="s">
        <v>9</v>
      </c>
      <c r="C1590" t="s">
        <v>165</v>
      </c>
      <c r="D1590" t="s">
        <v>92</v>
      </c>
      <c r="E1590" t="s">
        <v>278</v>
      </c>
      <c r="F1590" t="s">
        <v>244</v>
      </c>
      <c r="G1590" s="39">
        <v>46259</v>
      </c>
      <c r="H1590" t="s">
        <v>249</v>
      </c>
      <c r="J1590" t="s">
        <v>981</v>
      </c>
    </row>
    <row r="1591" spans="1:10" x14ac:dyDescent="0.35">
      <c r="A1591">
        <v>19043</v>
      </c>
      <c r="B1591" t="s">
        <v>9</v>
      </c>
      <c r="C1591" t="s">
        <v>165</v>
      </c>
      <c r="D1591" t="s">
        <v>92</v>
      </c>
      <c r="E1591" t="s">
        <v>278</v>
      </c>
      <c r="F1591" t="s">
        <v>244</v>
      </c>
      <c r="G1591" s="39">
        <v>46259</v>
      </c>
      <c r="H1591" t="s">
        <v>249</v>
      </c>
      <c r="J1591" t="s">
        <v>981</v>
      </c>
    </row>
    <row r="1592" spans="1:10" x14ac:dyDescent="0.35">
      <c r="A1592">
        <v>19046</v>
      </c>
      <c r="B1592" t="s">
        <v>9</v>
      </c>
      <c r="C1592" t="s">
        <v>165</v>
      </c>
      <c r="D1592" t="s">
        <v>92</v>
      </c>
      <c r="E1592" t="s">
        <v>278</v>
      </c>
      <c r="F1592" t="s">
        <v>244</v>
      </c>
      <c r="G1592" s="39">
        <v>46259</v>
      </c>
      <c r="H1592" t="s">
        <v>249</v>
      </c>
      <c r="J1592" t="s">
        <v>981</v>
      </c>
    </row>
    <row r="1593" spans="1:10" x14ac:dyDescent="0.35">
      <c r="A1593">
        <v>19047</v>
      </c>
      <c r="B1593" t="s">
        <v>9</v>
      </c>
      <c r="C1593" t="s">
        <v>165</v>
      </c>
      <c r="D1593" t="s">
        <v>92</v>
      </c>
      <c r="E1593" t="s">
        <v>278</v>
      </c>
      <c r="F1593" t="s">
        <v>244</v>
      </c>
      <c r="G1593" s="39">
        <v>46259</v>
      </c>
      <c r="H1593" t="s">
        <v>249</v>
      </c>
      <c r="J1593" t="s">
        <v>981</v>
      </c>
    </row>
    <row r="1594" spans="1:10" x14ac:dyDescent="0.35">
      <c r="A1594">
        <v>19078</v>
      </c>
      <c r="B1594" t="s">
        <v>9</v>
      </c>
      <c r="C1594" t="s">
        <v>165</v>
      </c>
      <c r="D1594" t="s">
        <v>92</v>
      </c>
      <c r="E1594" t="s">
        <v>278</v>
      </c>
      <c r="F1594" t="s">
        <v>244</v>
      </c>
      <c r="G1594" s="39">
        <v>46261</v>
      </c>
      <c r="H1594" t="s">
        <v>249</v>
      </c>
      <c r="J1594" t="s">
        <v>981</v>
      </c>
    </row>
    <row r="1595" spans="1:10" x14ac:dyDescent="0.35">
      <c r="A1595">
        <v>19136</v>
      </c>
      <c r="B1595" t="s">
        <v>9</v>
      </c>
      <c r="C1595" t="s">
        <v>165</v>
      </c>
      <c r="D1595" t="s">
        <v>92</v>
      </c>
      <c r="E1595" t="s">
        <v>278</v>
      </c>
      <c r="F1595" t="s">
        <v>244</v>
      </c>
      <c r="G1595" s="39">
        <v>46268</v>
      </c>
      <c r="H1595" t="s">
        <v>249</v>
      </c>
      <c r="J1595" t="s">
        <v>981</v>
      </c>
    </row>
    <row r="1596" spans="1:10" x14ac:dyDescent="0.35">
      <c r="A1596">
        <v>12444</v>
      </c>
      <c r="B1596" t="s">
        <v>9</v>
      </c>
      <c r="C1596" t="s">
        <v>165</v>
      </c>
      <c r="D1596" t="s">
        <v>92</v>
      </c>
      <c r="E1596" t="s">
        <v>542</v>
      </c>
      <c r="F1596" t="s">
        <v>244</v>
      </c>
      <c r="G1596" s="39">
        <v>43755</v>
      </c>
      <c r="J1596" t="s">
        <v>981</v>
      </c>
    </row>
    <row r="1597" spans="1:10" x14ac:dyDescent="0.35">
      <c r="A1597">
        <v>12445</v>
      </c>
      <c r="B1597" t="s">
        <v>9</v>
      </c>
      <c r="C1597" t="s">
        <v>165</v>
      </c>
      <c r="D1597" t="s">
        <v>92</v>
      </c>
      <c r="E1597" t="s">
        <v>542</v>
      </c>
      <c r="F1597" t="s">
        <v>244</v>
      </c>
      <c r="G1597" s="39">
        <v>43755</v>
      </c>
      <c r="J1597" t="s">
        <v>981</v>
      </c>
    </row>
    <row r="1598" spans="1:10" x14ac:dyDescent="0.35">
      <c r="A1598">
        <v>12447</v>
      </c>
      <c r="B1598" t="s">
        <v>9</v>
      </c>
      <c r="C1598" t="s">
        <v>165</v>
      </c>
      <c r="D1598" t="s">
        <v>92</v>
      </c>
      <c r="E1598" t="s">
        <v>542</v>
      </c>
      <c r="F1598" t="s">
        <v>244</v>
      </c>
      <c r="G1598" s="39">
        <v>43755</v>
      </c>
      <c r="J1598" t="s">
        <v>981</v>
      </c>
    </row>
    <row r="1599" spans="1:10" x14ac:dyDescent="0.35">
      <c r="A1599">
        <v>12449</v>
      </c>
      <c r="B1599" t="s">
        <v>9</v>
      </c>
      <c r="C1599" t="s">
        <v>165</v>
      </c>
      <c r="D1599" t="s">
        <v>92</v>
      </c>
      <c r="E1599" t="s">
        <v>542</v>
      </c>
      <c r="F1599" t="s">
        <v>244</v>
      </c>
      <c r="G1599" s="39">
        <v>43755</v>
      </c>
      <c r="J1599" t="s">
        <v>981</v>
      </c>
    </row>
    <row r="1600" spans="1:10" x14ac:dyDescent="0.35">
      <c r="A1600">
        <v>12450</v>
      </c>
      <c r="B1600" t="s">
        <v>9</v>
      </c>
      <c r="C1600" t="s">
        <v>165</v>
      </c>
      <c r="D1600" t="s">
        <v>92</v>
      </c>
      <c r="E1600" t="s">
        <v>542</v>
      </c>
      <c r="F1600" t="s">
        <v>244</v>
      </c>
      <c r="G1600" s="39">
        <v>43755</v>
      </c>
      <c r="J1600" t="s">
        <v>981</v>
      </c>
    </row>
    <row r="1601" spans="1:10" x14ac:dyDescent="0.35">
      <c r="A1601">
        <v>16111</v>
      </c>
      <c r="B1601" t="s">
        <v>9</v>
      </c>
      <c r="C1601" t="s">
        <v>165</v>
      </c>
      <c r="D1601" t="s">
        <v>92</v>
      </c>
      <c r="E1601" t="s">
        <v>542</v>
      </c>
      <c r="F1601" t="s">
        <v>244</v>
      </c>
      <c r="G1601" s="39">
        <v>45282</v>
      </c>
      <c r="J1601" t="s">
        <v>981</v>
      </c>
    </row>
    <row r="1602" spans="1:10" x14ac:dyDescent="0.35">
      <c r="A1602">
        <v>16863</v>
      </c>
      <c r="B1602" t="s">
        <v>9</v>
      </c>
      <c r="C1602" t="s">
        <v>165</v>
      </c>
      <c r="D1602" t="s">
        <v>92</v>
      </c>
      <c r="E1602" t="s">
        <v>542</v>
      </c>
      <c r="F1602" t="s">
        <v>244</v>
      </c>
      <c r="G1602" s="39">
        <v>45569</v>
      </c>
      <c r="J1602" t="s">
        <v>981</v>
      </c>
    </row>
    <row r="1603" spans="1:10" x14ac:dyDescent="0.35">
      <c r="A1603">
        <v>17822</v>
      </c>
      <c r="B1603" t="s">
        <v>9</v>
      </c>
      <c r="C1603" t="s">
        <v>165</v>
      </c>
      <c r="D1603" t="s">
        <v>92</v>
      </c>
      <c r="E1603" t="s">
        <v>542</v>
      </c>
      <c r="F1603" t="s">
        <v>244</v>
      </c>
      <c r="G1603" s="39">
        <v>45887</v>
      </c>
      <c r="J1603" t="s">
        <v>981</v>
      </c>
    </row>
    <row r="1604" spans="1:10" x14ac:dyDescent="0.35">
      <c r="A1604">
        <v>18744</v>
      </c>
      <c r="B1604" t="s">
        <v>9</v>
      </c>
      <c r="C1604" t="s">
        <v>165</v>
      </c>
      <c r="D1604" t="s">
        <v>92</v>
      </c>
      <c r="E1604" t="s">
        <v>183</v>
      </c>
      <c r="F1604" t="s">
        <v>244</v>
      </c>
      <c r="G1604" s="39">
        <v>46198</v>
      </c>
      <c r="H1604" t="s">
        <v>249</v>
      </c>
      <c r="J1604" t="s">
        <v>981</v>
      </c>
    </row>
    <row r="1605" spans="1:10" x14ac:dyDescent="0.35">
      <c r="A1605">
        <v>18742</v>
      </c>
      <c r="B1605" t="s">
        <v>9</v>
      </c>
      <c r="C1605" t="s">
        <v>165</v>
      </c>
      <c r="D1605" t="s">
        <v>92</v>
      </c>
      <c r="E1605" t="s">
        <v>183</v>
      </c>
      <c r="F1605" t="s">
        <v>244</v>
      </c>
      <c r="G1605" s="39">
        <v>46198</v>
      </c>
      <c r="H1605" t="s">
        <v>249</v>
      </c>
      <c r="J1605" t="s">
        <v>981</v>
      </c>
    </row>
    <row r="1606" spans="1:10" x14ac:dyDescent="0.35">
      <c r="A1606">
        <v>18743</v>
      </c>
      <c r="B1606" t="s">
        <v>9</v>
      </c>
      <c r="C1606" t="s">
        <v>165</v>
      </c>
      <c r="D1606" t="s">
        <v>92</v>
      </c>
      <c r="E1606" t="s">
        <v>183</v>
      </c>
      <c r="F1606" t="s">
        <v>244</v>
      </c>
      <c r="G1606" s="39">
        <v>46198</v>
      </c>
      <c r="H1606" t="s">
        <v>249</v>
      </c>
      <c r="J1606" t="s">
        <v>981</v>
      </c>
    </row>
    <row r="1607" spans="1:10" x14ac:dyDescent="0.35">
      <c r="A1607">
        <v>760002</v>
      </c>
      <c r="B1607" t="s">
        <v>9</v>
      </c>
      <c r="C1607" t="s">
        <v>165</v>
      </c>
      <c r="D1607" t="s">
        <v>92</v>
      </c>
      <c r="E1607" t="s">
        <v>181</v>
      </c>
      <c r="F1607" t="s">
        <v>244</v>
      </c>
      <c r="G1607" s="39">
        <v>36713</v>
      </c>
      <c r="J1607" t="s">
        <v>981</v>
      </c>
    </row>
    <row r="1608" spans="1:10" x14ac:dyDescent="0.35">
      <c r="A1608">
        <v>770024</v>
      </c>
      <c r="B1608" t="s">
        <v>9</v>
      </c>
      <c r="C1608" t="s">
        <v>165</v>
      </c>
      <c r="D1608" t="s">
        <v>92</v>
      </c>
      <c r="E1608" t="s">
        <v>181</v>
      </c>
      <c r="F1608" t="s">
        <v>244</v>
      </c>
      <c r="G1608" s="39">
        <v>43661</v>
      </c>
      <c r="J1608" t="s">
        <v>981</v>
      </c>
    </row>
    <row r="1609" spans="1:10" x14ac:dyDescent="0.35">
      <c r="A1609">
        <v>740015</v>
      </c>
      <c r="B1609" t="s">
        <v>9</v>
      </c>
      <c r="C1609" t="s">
        <v>165</v>
      </c>
      <c r="D1609" t="s">
        <v>92</v>
      </c>
      <c r="E1609" t="s">
        <v>181</v>
      </c>
      <c r="F1609" t="s">
        <v>244</v>
      </c>
      <c r="G1609" s="39">
        <v>41995</v>
      </c>
      <c r="J1609" t="s">
        <v>981</v>
      </c>
    </row>
    <row r="1610" spans="1:10" x14ac:dyDescent="0.35">
      <c r="A1610">
        <v>750007</v>
      </c>
      <c r="B1610" t="s">
        <v>9</v>
      </c>
      <c r="C1610" t="s">
        <v>165</v>
      </c>
      <c r="D1610" t="s">
        <v>92</v>
      </c>
      <c r="E1610" t="s">
        <v>181</v>
      </c>
      <c r="F1610" t="s">
        <v>244</v>
      </c>
      <c r="G1610" s="39">
        <v>41030</v>
      </c>
      <c r="J1610" t="s">
        <v>981</v>
      </c>
    </row>
    <row r="1611" spans="1:10" x14ac:dyDescent="0.35">
      <c r="A1611">
        <v>13134</v>
      </c>
      <c r="B1611" t="s">
        <v>9</v>
      </c>
      <c r="C1611" t="s">
        <v>165</v>
      </c>
      <c r="D1611" t="s">
        <v>92</v>
      </c>
      <c r="E1611" t="s">
        <v>181</v>
      </c>
      <c r="F1611" t="s">
        <v>244</v>
      </c>
      <c r="G1611" s="39">
        <v>44284</v>
      </c>
      <c r="J1611" t="s">
        <v>981</v>
      </c>
    </row>
    <row r="1612" spans="1:10" x14ac:dyDescent="0.35">
      <c r="A1612">
        <v>15968</v>
      </c>
      <c r="B1612" t="s">
        <v>9</v>
      </c>
      <c r="C1612" t="s">
        <v>165</v>
      </c>
      <c r="D1612" t="s">
        <v>92</v>
      </c>
      <c r="E1612" t="s">
        <v>181</v>
      </c>
      <c r="F1612" t="s">
        <v>244</v>
      </c>
      <c r="G1612" s="39">
        <v>45253</v>
      </c>
      <c r="J1612" t="s">
        <v>981</v>
      </c>
    </row>
    <row r="1613" spans="1:10" x14ac:dyDescent="0.35">
      <c r="A1613">
        <v>19034</v>
      </c>
      <c r="B1613" t="s">
        <v>9</v>
      </c>
      <c r="C1613" t="s">
        <v>165</v>
      </c>
      <c r="D1613" t="s">
        <v>92</v>
      </c>
      <c r="E1613" t="s">
        <v>279</v>
      </c>
      <c r="F1613" t="s">
        <v>244</v>
      </c>
      <c r="G1613" s="39">
        <v>46259</v>
      </c>
      <c r="H1613" t="s">
        <v>249</v>
      </c>
      <c r="J1613" t="s">
        <v>981</v>
      </c>
    </row>
    <row r="1614" spans="1:10" x14ac:dyDescent="0.35">
      <c r="A1614">
        <v>19063</v>
      </c>
      <c r="B1614" t="s">
        <v>9</v>
      </c>
      <c r="C1614" t="s">
        <v>165</v>
      </c>
      <c r="D1614" t="s">
        <v>92</v>
      </c>
      <c r="E1614" t="s">
        <v>279</v>
      </c>
      <c r="F1614" t="s">
        <v>244</v>
      </c>
      <c r="G1614" s="39">
        <v>46260</v>
      </c>
      <c r="H1614" t="s">
        <v>249</v>
      </c>
      <c r="J1614" t="s">
        <v>981</v>
      </c>
    </row>
    <row r="1615" spans="1:10" x14ac:dyDescent="0.35">
      <c r="A1615">
        <v>19130</v>
      </c>
      <c r="B1615" t="s">
        <v>9</v>
      </c>
      <c r="C1615" t="s">
        <v>165</v>
      </c>
      <c r="D1615" t="s">
        <v>92</v>
      </c>
      <c r="E1615" t="s">
        <v>279</v>
      </c>
      <c r="F1615" t="s">
        <v>244</v>
      </c>
      <c r="G1615" s="39">
        <v>46268</v>
      </c>
      <c r="H1615" t="s">
        <v>249</v>
      </c>
      <c r="J1615" t="s">
        <v>981</v>
      </c>
    </row>
    <row r="1616" spans="1:10" x14ac:dyDescent="0.35">
      <c r="A1616">
        <v>19152</v>
      </c>
      <c r="B1616" t="s">
        <v>9</v>
      </c>
      <c r="C1616" t="s">
        <v>165</v>
      </c>
      <c r="D1616" t="s">
        <v>92</v>
      </c>
      <c r="E1616" t="s">
        <v>279</v>
      </c>
      <c r="F1616" t="s">
        <v>244</v>
      </c>
      <c r="G1616" s="39">
        <v>46269</v>
      </c>
      <c r="H1616" t="s">
        <v>249</v>
      </c>
      <c r="J1616" t="s">
        <v>981</v>
      </c>
    </row>
    <row r="1617" spans="1:10" x14ac:dyDescent="0.35">
      <c r="A1617">
        <v>19228</v>
      </c>
      <c r="B1617" t="s">
        <v>9</v>
      </c>
      <c r="C1617" t="s">
        <v>165</v>
      </c>
      <c r="D1617" t="s">
        <v>92</v>
      </c>
      <c r="E1617" t="s">
        <v>279</v>
      </c>
      <c r="F1617" t="s">
        <v>244</v>
      </c>
      <c r="G1617" s="39">
        <v>46279</v>
      </c>
      <c r="H1617" t="s">
        <v>249</v>
      </c>
      <c r="J1617" t="s">
        <v>981</v>
      </c>
    </row>
    <row r="1618" spans="1:10" x14ac:dyDescent="0.35">
      <c r="A1618">
        <v>16070</v>
      </c>
      <c r="B1618" t="s">
        <v>9</v>
      </c>
      <c r="C1618" t="s">
        <v>165</v>
      </c>
      <c r="D1618" t="s">
        <v>92</v>
      </c>
      <c r="E1618" t="s">
        <v>181</v>
      </c>
      <c r="F1618" t="s">
        <v>244</v>
      </c>
      <c r="G1618" s="39">
        <v>45279</v>
      </c>
      <c r="J1618" t="s">
        <v>981</v>
      </c>
    </row>
    <row r="1619" spans="1:10" x14ac:dyDescent="0.35">
      <c r="A1619">
        <v>13131</v>
      </c>
      <c r="B1619" t="s">
        <v>9</v>
      </c>
      <c r="C1619" t="s">
        <v>165</v>
      </c>
      <c r="D1619" t="s">
        <v>92</v>
      </c>
      <c r="E1619" t="s">
        <v>184</v>
      </c>
      <c r="F1619" t="s">
        <v>244</v>
      </c>
      <c r="G1619" s="39">
        <v>44271</v>
      </c>
      <c r="J1619" t="s">
        <v>981</v>
      </c>
    </row>
    <row r="1620" spans="1:10" x14ac:dyDescent="0.35">
      <c r="A1620">
        <v>19051</v>
      </c>
      <c r="B1620" t="s">
        <v>9</v>
      </c>
      <c r="C1620" t="s">
        <v>165</v>
      </c>
      <c r="D1620" t="s">
        <v>92</v>
      </c>
      <c r="E1620" t="s">
        <v>280</v>
      </c>
      <c r="F1620" t="s">
        <v>244</v>
      </c>
      <c r="G1620" s="39">
        <v>46259</v>
      </c>
      <c r="H1620" t="s">
        <v>249</v>
      </c>
      <c r="J1620" t="s">
        <v>981</v>
      </c>
    </row>
    <row r="1621" spans="1:10" x14ac:dyDescent="0.35">
      <c r="A1621">
        <v>19049</v>
      </c>
      <c r="B1621" t="s">
        <v>9</v>
      </c>
      <c r="C1621" t="s">
        <v>165</v>
      </c>
      <c r="D1621" t="s">
        <v>92</v>
      </c>
      <c r="E1621" t="s">
        <v>280</v>
      </c>
      <c r="F1621" t="s">
        <v>244</v>
      </c>
      <c r="G1621" s="39">
        <v>46259</v>
      </c>
      <c r="H1621" t="s">
        <v>249</v>
      </c>
      <c r="J1621" t="s">
        <v>981</v>
      </c>
    </row>
    <row r="1622" spans="1:10" x14ac:dyDescent="0.35">
      <c r="A1622">
        <v>19064</v>
      </c>
      <c r="B1622" t="s">
        <v>9</v>
      </c>
      <c r="C1622" t="s">
        <v>165</v>
      </c>
      <c r="D1622" t="s">
        <v>92</v>
      </c>
      <c r="E1622" t="s">
        <v>280</v>
      </c>
      <c r="F1622" t="s">
        <v>244</v>
      </c>
      <c r="G1622" s="39">
        <v>46260</v>
      </c>
      <c r="H1622" t="s">
        <v>249</v>
      </c>
      <c r="J1622" t="s">
        <v>981</v>
      </c>
    </row>
    <row r="1623" spans="1:10" x14ac:dyDescent="0.35">
      <c r="A1623">
        <v>19196</v>
      </c>
      <c r="B1623" t="s">
        <v>9</v>
      </c>
      <c r="C1623" t="s">
        <v>165</v>
      </c>
      <c r="D1623" t="s">
        <v>92</v>
      </c>
      <c r="E1623" t="s">
        <v>280</v>
      </c>
      <c r="F1623" t="s">
        <v>244</v>
      </c>
      <c r="G1623" s="39">
        <v>46275</v>
      </c>
      <c r="H1623" t="s">
        <v>249</v>
      </c>
      <c r="J1623" t="s">
        <v>981</v>
      </c>
    </row>
    <row r="1624" spans="1:10" x14ac:dyDescent="0.35">
      <c r="A1624">
        <v>19197</v>
      </c>
      <c r="B1624" t="s">
        <v>9</v>
      </c>
      <c r="C1624" t="s">
        <v>165</v>
      </c>
      <c r="D1624" t="s">
        <v>92</v>
      </c>
      <c r="E1624" t="s">
        <v>280</v>
      </c>
      <c r="F1624" t="s">
        <v>244</v>
      </c>
      <c r="G1624" s="39">
        <v>46275</v>
      </c>
      <c r="H1624" t="s">
        <v>249</v>
      </c>
      <c r="J1624" t="s">
        <v>981</v>
      </c>
    </row>
    <row r="1625" spans="1:10" x14ac:dyDescent="0.35">
      <c r="A1625">
        <v>19198</v>
      </c>
      <c r="B1625" t="s">
        <v>9</v>
      </c>
      <c r="C1625" t="s">
        <v>165</v>
      </c>
      <c r="D1625" t="s">
        <v>92</v>
      </c>
      <c r="E1625" t="s">
        <v>280</v>
      </c>
      <c r="F1625" t="s">
        <v>244</v>
      </c>
      <c r="G1625" s="39">
        <v>46275</v>
      </c>
      <c r="H1625" t="s">
        <v>249</v>
      </c>
      <c r="J1625" t="s">
        <v>981</v>
      </c>
    </row>
    <row r="1626" spans="1:10" x14ac:dyDescent="0.35">
      <c r="A1626">
        <v>19201</v>
      </c>
      <c r="B1626" t="s">
        <v>9</v>
      </c>
      <c r="C1626" t="s">
        <v>165</v>
      </c>
      <c r="D1626" t="s">
        <v>92</v>
      </c>
      <c r="E1626" t="s">
        <v>280</v>
      </c>
      <c r="F1626" t="s">
        <v>244</v>
      </c>
      <c r="G1626" s="39">
        <v>46275</v>
      </c>
      <c r="H1626" t="s">
        <v>249</v>
      </c>
      <c r="J1626" t="s">
        <v>981</v>
      </c>
    </row>
    <row r="1627" spans="1:10" x14ac:dyDescent="0.35">
      <c r="A1627">
        <v>19080</v>
      </c>
      <c r="B1627" t="s">
        <v>9</v>
      </c>
      <c r="C1627" t="s">
        <v>165</v>
      </c>
      <c r="D1627" t="s">
        <v>92</v>
      </c>
      <c r="E1627" t="s">
        <v>280</v>
      </c>
      <c r="F1627" t="s">
        <v>244</v>
      </c>
      <c r="G1627" s="39">
        <v>46261</v>
      </c>
      <c r="H1627" t="s">
        <v>249</v>
      </c>
      <c r="J1627" t="s">
        <v>981</v>
      </c>
    </row>
    <row r="1628" spans="1:10" x14ac:dyDescent="0.35">
      <c r="A1628">
        <v>17820</v>
      </c>
      <c r="B1628" t="s">
        <v>9</v>
      </c>
      <c r="C1628" t="s">
        <v>165</v>
      </c>
      <c r="D1628" t="s">
        <v>92</v>
      </c>
      <c r="E1628" t="s">
        <v>184</v>
      </c>
      <c r="F1628" t="s">
        <v>244</v>
      </c>
      <c r="G1628" s="39">
        <v>45884</v>
      </c>
      <c r="J1628" t="s">
        <v>981</v>
      </c>
    </row>
    <row r="1629" spans="1:10" x14ac:dyDescent="0.35">
      <c r="A1629">
        <v>450013</v>
      </c>
      <c r="B1629" t="s">
        <v>9</v>
      </c>
      <c r="C1629" t="s">
        <v>165</v>
      </c>
      <c r="D1629" t="s">
        <v>92</v>
      </c>
      <c r="E1629" t="s">
        <v>184</v>
      </c>
      <c r="F1629" t="s">
        <v>244</v>
      </c>
      <c r="G1629" s="39">
        <v>37795</v>
      </c>
      <c r="J1629" t="s">
        <v>981</v>
      </c>
    </row>
    <row r="1630" spans="1:10" x14ac:dyDescent="0.35">
      <c r="A1630">
        <v>640008</v>
      </c>
      <c r="B1630" t="s">
        <v>9</v>
      </c>
      <c r="C1630" t="s">
        <v>165</v>
      </c>
      <c r="D1630" t="s">
        <v>92</v>
      </c>
      <c r="E1630" t="s">
        <v>184</v>
      </c>
      <c r="F1630" t="s">
        <v>244</v>
      </c>
      <c r="G1630" s="39">
        <v>41009</v>
      </c>
      <c r="J1630" t="s">
        <v>981</v>
      </c>
    </row>
    <row r="1631" spans="1:10" x14ac:dyDescent="0.35">
      <c r="A1631">
        <v>11823</v>
      </c>
      <c r="B1631" t="s">
        <v>9</v>
      </c>
      <c r="C1631" t="s">
        <v>165</v>
      </c>
      <c r="D1631" t="s">
        <v>92</v>
      </c>
      <c r="E1631" t="s">
        <v>184</v>
      </c>
      <c r="F1631" t="s">
        <v>244</v>
      </c>
      <c r="G1631" s="39">
        <v>43164</v>
      </c>
      <c r="J1631" t="s">
        <v>981</v>
      </c>
    </row>
    <row r="1632" spans="1:10" x14ac:dyDescent="0.35">
      <c r="A1632">
        <v>12142</v>
      </c>
      <c r="B1632" t="s">
        <v>9</v>
      </c>
      <c r="C1632" t="s">
        <v>165</v>
      </c>
      <c r="D1632" t="s">
        <v>92</v>
      </c>
      <c r="E1632" t="s">
        <v>184</v>
      </c>
      <c r="F1632" t="s">
        <v>244</v>
      </c>
      <c r="G1632" s="39">
        <v>43514</v>
      </c>
      <c r="J1632" t="s">
        <v>981</v>
      </c>
    </row>
    <row r="1633" spans="1:10" x14ac:dyDescent="0.35">
      <c r="A1633">
        <v>12632</v>
      </c>
      <c r="B1633" t="s">
        <v>9</v>
      </c>
      <c r="C1633" t="s">
        <v>165</v>
      </c>
      <c r="D1633" t="s">
        <v>92</v>
      </c>
      <c r="E1633" t="s">
        <v>184</v>
      </c>
      <c r="F1633" t="s">
        <v>244</v>
      </c>
      <c r="G1633" s="39">
        <v>43844</v>
      </c>
      <c r="J1633" t="s">
        <v>981</v>
      </c>
    </row>
    <row r="1634" spans="1:10" x14ac:dyDescent="0.35">
      <c r="A1634">
        <v>13369</v>
      </c>
      <c r="B1634" t="s">
        <v>9</v>
      </c>
      <c r="C1634" t="s">
        <v>165</v>
      </c>
      <c r="D1634" t="s">
        <v>92</v>
      </c>
      <c r="E1634" t="s">
        <v>184</v>
      </c>
      <c r="F1634" t="s">
        <v>244</v>
      </c>
      <c r="G1634" s="39">
        <v>44411</v>
      </c>
      <c r="J1634" t="s">
        <v>981</v>
      </c>
    </row>
    <row r="1635" spans="1:10" x14ac:dyDescent="0.35">
      <c r="A1635">
        <v>17114</v>
      </c>
      <c r="B1635" t="s">
        <v>9</v>
      </c>
      <c r="C1635" t="s">
        <v>165</v>
      </c>
      <c r="D1635" t="s">
        <v>92</v>
      </c>
      <c r="E1635" t="s">
        <v>184</v>
      </c>
      <c r="F1635" t="s">
        <v>244</v>
      </c>
      <c r="G1635" s="39">
        <v>45635</v>
      </c>
      <c r="J1635" t="s">
        <v>981</v>
      </c>
    </row>
    <row r="1636" spans="1:10" x14ac:dyDescent="0.35">
      <c r="A1636">
        <v>18288</v>
      </c>
      <c r="B1636" t="s">
        <v>9</v>
      </c>
      <c r="C1636" t="s">
        <v>165</v>
      </c>
      <c r="D1636" t="s">
        <v>92</v>
      </c>
      <c r="E1636" t="s">
        <v>185</v>
      </c>
      <c r="F1636" t="s">
        <v>244</v>
      </c>
      <c r="G1636" s="39">
        <v>46071</v>
      </c>
      <c r="H1636" t="s">
        <v>249</v>
      </c>
      <c r="J1636" t="s">
        <v>981</v>
      </c>
    </row>
    <row r="1637" spans="1:10" x14ac:dyDescent="0.35">
      <c r="A1637">
        <v>18263</v>
      </c>
      <c r="B1637" t="s">
        <v>9</v>
      </c>
      <c r="C1637" t="s">
        <v>165</v>
      </c>
      <c r="D1637" t="s">
        <v>92</v>
      </c>
      <c r="E1637" t="s">
        <v>184</v>
      </c>
      <c r="F1637" t="s">
        <v>244</v>
      </c>
      <c r="G1637" s="39">
        <v>46069</v>
      </c>
      <c r="H1637" t="s">
        <v>249</v>
      </c>
      <c r="J1637" t="s">
        <v>981</v>
      </c>
    </row>
    <row r="1638" spans="1:10" x14ac:dyDescent="0.35">
      <c r="A1638">
        <v>18262</v>
      </c>
      <c r="B1638" t="s">
        <v>9</v>
      </c>
      <c r="C1638" t="s">
        <v>165</v>
      </c>
      <c r="D1638" t="s">
        <v>92</v>
      </c>
      <c r="E1638" t="s">
        <v>184</v>
      </c>
      <c r="F1638" t="s">
        <v>244</v>
      </c>
      <c r="G1638" s="39">
        <v>46069</v>
      </c>
      <c r="H1638" t="s">
        <v>249</v>
      </c>
      <c r="J1638" t="s">
        <v>981</v>
      </c>
    </row>
    <row r="1639" spans="1:10" x14ac:dyDescent="0.35">
      <c r="A1639">
        <v>18266</v>
      </c>
      <c r="B1639" t="s">
        <v>9</v>
      </c>
      <c r="C1639" t="s">
        <v>165</v>
      </c>
      <c r="D1639" t="s">
        <v>92</v>
      </c>
      <c r="E1639" t="s">
        <v>184</v>
      </c>
      <c r="F1639" t="s">
        <v>244</v>
      </c>
      <c r="G1639" s="39">
        <v>46069</v>
      </c>
      <c r="H1639" t="s">
        <v>249</v>
      </c>
      <c r="J1639" t="s">
        <v>981</v>
      </c>
    </row>
    <row r="1640" spans="1:10" x14ac:dyDescent="0.35">
      <c r="A1640">
        <v>18002</v>
      </c>
      <c r="B1640" t="s">
        <v>9</v>
      </c>
      <c r="C1640" t="s">
        <v>165</v>
      </c>
      <c r="D1640" t="s">
        <v>92</v>
      </c>
      <c r="E1640" t="s">
        <v>184</v>
      </c>
      <c r="F1640" t="s">
        <v>244</v>
      </c>
      <c r="G1640" s="39">
        <v>45953</v>
      </c>
      <c r="J1640" t="s">
        <v>981</v>
      </c>
    </row>
    <row r="1641" spans="1:10" x14ac:dyDescent="0.35">
      <c r="A1641">
        <v>113003</v>
      </c>
      <c r="B1641" t="s">
        <v>9</v>
      </c>
      <c r="C1641" t="s">
        <v>165</v>
      </c>
      <c r="D1641" t="s">
        <v>92</v>
      </c>
      <c r="E1641" t="s">
        <v>179</v>
      </c>
      <c r="F1641" t="s">
        <v>244</v>
      </c>
      <c r="G1641" s="39">
        <v>38385</v>
      </c>
      <c r="J1641" t="s">
        <v>981</v>
      </c>
    </row>
    <row r="1642" spans="1:10" x14ac:dyDescent="0.35">
      <c r="A1642">
        <v>14217</v>
      </c>
      <c r="B1642" t="s">
        <v>9</v>
      </c>
      <c r="C1642" t="s">
        <v>165</v>
      </c>
      <c r="D1642" t="s">
        <v>92</v>
      </c>
      <c r="E1642" t="s">
        <v>179</v>
      </c>
      <c r="F1642" t="s">
        <v>244</v>
      </c>
      <c r="G1642" s="39">
        <v>44701</v>
      </c>
      <c r="J1642" t="s">
        <v>981</v>
      </c>
    </row>
    <row r="1643" spans="1:10" x14ac:dyDescent="0.35">
      <c r="A1643">
        <v>11317</v>
      </c>
      <c r="B1643" t="s">
        <v>9</v>
      </c>
      <c r="C1643" t="s">
        <v>165</v>
      </c>
      <c r="D1643" t="s">
        <v>92</v>
      </c>
      <c r="E1643" t="s">
        <v>179</v>
      </c>
      <c r="F1643" t="s">
        <v>244</v>
      </c>
      <c r="G1643" s="39">
        <v>42534</v>
      </c>
      <c r="J1643" t="s">
        <v>981</v>
      </c>
    </row>
    <row r="1644" spans="1:10" x14ac:dyDescent="0.35">
      <c r="A1644">
        <v>113010</v>
      </c>
      <c r="B1644" t="s">
        <v>9</v>
      </c>
      <c r="C1644" t="s">
        <v>165</v>
      </c>
      <c r="D1644" t="s">
        <v>92</v>
      </c>
      <c r="E1644" t="s">
        <v>179</v>
      </c>
      <c r="F1644" t="s">
        <v>244</v>
      </c>
      <c r="G1644" s="39">
        <v>39304</v>
      </c>
      <c r="J1644" t="s">
        <v>981</v>
      </c>
    </row>
    <row r="1645" spans="1:10" x14ac:dyDescent="0.35">
      <c r="A1645">
        <v>113021</v>
      </c>
      <c r="B1645" t="s">
        <v>9</v>
      </c>
      <c r="C1645" t="s">
        <v>165</v>
      </c>
      <c r="D1645" t="s">
        <v>92</v>
      </c>
      <c r="E1645" t="s">
        <v>179</v>
      </c>
      <c r="F1645" t="s">
        <v>244</v>
      </c>
      <c r="G1645" s="39">
        <v>38777</v>
      </c>
      <c r="J1645" t="s">
        <v>981</v>
      </c>
    </row>
    <row r="1646" spans="1:10" x14ac:dyDescent="0.35">
      <c r="A1646">
        <v>890002</v>
      </c>
      <c r="B1646" t="s">
        <v>9</v>
      </c>
      <c r="C1646" t="s">
        <v>165</v>
      </c>
      <c r="D1646" t="s">
        <v>92</v>
      </c>
      <c r="E1646" t="s">
        <v>179</v>
      </c>
      <c r="F1646" t="s">
        <v>244</v>
      </c>
      <c r="G1646" s="39">
        <v>40611</v>
      </c>
      <c r="J1646" t="s">
        <v>981</v>
      </c>
    </row>
    <row r="1647" spans="1:10" x14ac:dyDescent="0.35">
      <c r="A1647">
        <v>560006</v>
      </c>
      <c r="B1647" t="s">
        <v>9</v>
      </c>
      <c r="C1647" t="s">
        <v>165</v>
      </c>
      <c r="D1647" t="s">
        <v>92</v>
      </c>
      <c r="E1647" t="s">
        <v>179</v>
      </c>
      <c r="F1647" t="s">
        <v>244</v>
      </c>
      <c r="G1647" s="39">
        <v>40969</v>
      </c>
      <c r="J1647" t="s">
        <v>981</v>
      </c>
    </row>
    <row r="1648" spans="1:10" x14ac:dyDescent="0.35">
      <c r="A1648">
        <v>11339</v>
      </c>
      <c r="B1648" t="s">
        <v>9</v>
      </c>
      <c r="C1648" t="s">
        <v>165</v>
      </c>
      <c r="D1648" t="s">
        <v>92</v>
      </c>
      <c r="E1648" t="s">
        <v>179</v>
      </c>
      <c r="F1648" t="s">
        <v>244</v>
      </c>
      <c r="G1648" s="39">
        <v>42549</v>
      </c>
      <c r="J1648" t="s">
        <v>981</v>
      </c>
    </row>
    <row r="1649" spans="1:10" x14ac:dyDescent="0.35">
      <c r="A1649">
        <v>12120</v>
      </c>
      <c r="B1649" t="s">
        <v>9</v>
      </c>
      <c r="C1649" t="s">
        <v>165</v>
      </c>
      <c r="D1649" t="s">
        <v>92</v>
      </c>
      <c r="E1649" t="s">
        <v>179</v>
      </c>
      <c r="F1649" t="s">
        <v>244</v>
      </c>
      <c r="G1649" s="39">
        <v>43497</v>
      </c>
      <c r="J1649" t="s">
        <v>981</v>
      </c>
    </row>
    <row r="1650" spans="1:10" x14ac:dyDescent="0.35">
      <c r="A1650">
        <v>19132</v>
      </c>
      <c r="B1650" t="s">
        <v>9</v>
      </c>
      <c r="C1650" t="s">
        <v>165</v>
      </c>
      <c r="D1650" t="s">
        <v>92</v>
      </c>
      <c r="E1650" t="s">
        <v>281</v>
      </c>
      <c r="F1650" t="s">
        <v>244</v>
      </c>
      <c r="G1650" s="39">
        <v>46268</v>
      </c>
      <c r="H1650" t="s">
        <v>249</v>
      </c>
      <c r="J1650" t="s">
        <v>981</v>
      </c>
    </row>
    <row r="1651" spans="1:10" x14ac:dyDescent="0.35">
      <c r="A1651">
        <v>19133</v>
      </c>
      <c r="B1651" t="s">
        <v>9</v>
      </c>
      <c r="C1651" t="s">
        <v>165</v>
      </c>
      <c r="D1651" t="s">
        <v>92</v>
      </c>
      <c r="E1651" t="s">
        <v>281</v>
      </c>
      <c r="F1651" t="s">
        <v>244</v>
      </c>
      <c r="G1651" s="39">
        <v>46268</v>
      </c>
      <c r="H1651" t="s">
        <v>249</v>
      </c>
      <c r="J1651" t="s">
        <v>981</v>
      </c>
    </row>
    <row r="1652" spans="1:10" x14ac:dyDescent="0.35">
      <c r="A1652">
        <v>19186</v>
      </c>
      <c r="B1652" t="s">
        <v>9</v>
      </c>
      <c r="C1652" t="s">
        <v>165</v>
      </c>
      <c r="D1652" t="s">
        <v>92</v>
      </c>
      <c r="E1652" t="s">
        <v>281</v>
      </c>
      <c r="F1652" t="s">
        <v>244</v>
      </c>
      <c r="G1652" s="39">
        <v>46274</v>
      </c>
      <c r="H1652" t="s">
        <v>249</v>
      </c>
      <c r="J1652" t="s">
        <v>981</v>
      </c>
    </row>
    <row r="1653" spans="1:10" x14ac:dyDescent="0.35">
      <c r="A1653">
        <v>19185</v>
      </c>
      <c r="B1653" t="s">
        <v>9</v>
      </c>
      <c r="C1653" t="s">
        <v>165</v>
      </c>
      <c r="D1653" t="s">
        <v>92</v>
      </c>
      <c r="E1653" t="s">
        <v>281</v>
      </c>
      <c r="F1653" t="s">
        <v>244</v>
      </c>
      <c r="G1653" s="39">
        <v>46274</v>
      </c>
      <c r="H1653" t="s">
        <v>249</v>
      </c>
      <c r="J1653" t="s">
        <v>981</v>
      </c>
    </row>
    <row r="1654" spans="1:10" x14ac:dyDescent="0.35">
      <c r="A1654">
        <v>19184</v>
      </c>
      <c r="B1654" t="s">
        <v>9</v>
      </c>
      <c r="C1654" t="s">
        <v>165</v>
      </c>
      <c r="D1654" t="s">
        <v>92</v>
      </c>
      <c r="E1654" t="s">
        <v>281</v>
      </c>
      <c r="F1654" t="s">
        <v>244</v>
      </c>
      <c r="G1654" s="39">
        <v>46274</v>
      </c>
      <c r="H1654" t="s">
        <v>249</v>
      </c>
      <c r="J1654" t="s">
        <v>981</v>
      </c>
    </row>
    <row r="1655" spans="1:10" x14ac:dyDescent="0.35">
      <c r="A1655">
        <v>650008</v>
      </c>
      <c r="B1655" t="s">
        <v>9</v>
      </c>
      <c r="C1655" t="s">
        <v>165</v>
      </c>
      <c r="D1655" t="s">
        <v>92</v>
      </c>
      <c r="E1655" t="s">
        <v>541</v>
      </c>
      <c r="F1655" t="s">
        <v>244</v>
      </c>
      <c r="G1655" s="39">
        <v>39114</v>
      </c>
      <c r="J1655" t="s">
        <v>981</v>
      </c>
    </row>
    <row r="1656" spans="1:10" x14ac:dyDescent="0.35">
      <c r="A1656">
        <v>12470</v>
      </c>
      <c r="B1656" t="s">
        <v>9</v>
      </c>
      <c r="C1656" t="s">
        <v>165</v>
      </c>
      <c r="D1656" t="s">
        <v>92</v>
      </c>
      <c r="E1656" t="s">
        <v>541</v>
      </c>
      <c r="F1656" t="s">
        <v>244</v>
      </c>
      <c r="G1656" s="39">
        <v>43761</v>
      </c>
      <c r="J1656" t="s">
        <v>981</v>
      </c>
    </row>
    <row r="1657" spans="1:10" x14ac:dyDescent="0.35">
      <c r="A1657">
        <v>300099</v>
      </c>
      <c r="B1657" t="s">
        <v>9</v>
      </c>
      <c r="C1657" t="s">
        <v>165</v>
      </c>
      <c r="D1657" t="s">
        <v>92</v>
      </c>
      <c r="E1657" t="s">
        <v>541</v>
      </c>
      <c r="F1657" t="s">
        <v>244</v>
      </c>
      <c r="G1657" s="39">
        <v>43011</v>
      </c>
      <c r="J1657" t="s">
        <v>981</v>
      </c>
    </row>
    <row r="1658" spans="1:10" x14ac:dyDescent="0.35">
      <c r="A1658">
        <v>11471</v>
      </c>
      <c r="B1658" t="s">
        <v>9</v>
      </c>
      <c r="C1658" t="s">
        <v>165</v>
      </c>
      <c r="D1658" t="s">
        <v>92</v>
      </c>
      <c r="E1658" t="s">
        <v>541</v>
      </c>
      <c r="F1658" t="s">
        <v>244</v>
      </c>
      <c r="G1658" s="39">
        <v>42730</v>
      </c>
      <c r="J1658" t="s">
        <v>981</v>
      </c>
    </row>
    <row r="1659" spans="1:10" x14ac:dyDescent="0.35">
      <c r="A1659">
        <v>11512</v>
      </c>
      <c r="B1659" t="s">
        <v>9</v>
      </c>
      <c r="C1659" t="s">
        <v>165</v>
      </c>
      <c r="D1659" t="s">
        <v>92</v>
      </c>
      <c r="E1659" t="s">
        <v>541</v>
      </c>
      <c r="F1659" t="s">
        <v>244</v>
      </c>
      <c r="G1659" s="39">
        <v>42781</v>
      </c>
      <c r="J1659" t="s">
        <v>981</v>
      </c>
    </row>
    <row r="1660" spans="1:10" x14ac:dyDescent="0.35">
      <c r="A1660">
        <v>15719</v>
      </c>
      <c r="B1660" t="s">
        <v>9</v>
      </c>
      <c r="C1660" t="s">
        <v>165</v>
      </c>
      <c r="D1660" t="s">
        <v>92</v>
      </c>
      <c r="E1660" t="s">
        <v>541</v>
      </c>
      <c r="F1660" t="s">
        <v>244</v>
      </c>
      <c r="G1660" s="39">
        <v>45175</v>
      </c>
      <c r="J1660" t="s">
        <v>981</v>
      </c>
    </row>
    <row r="1661" spans="1:10" x14ac:dyDescent="0.35">
      <c r="A1661">
        <v>12988</v>
      </c>
      <c r="B1661" t="s">
        <v>9</v>
      </c>
      <c r="C1661" t="s">
        <v>165</v>
      </c>
      <c r="D1661" t="s">
        <v>92</v>
      </c>
      <c r="E1661" t="s">
        <v>541</v>
      </c>
      <c r="F1661" t="s">
        <v>244</v>
      </c>
      <c r="G1661" s="39">
        <v>44168</v>
      </c>
      <c r="J1661" t="s">
        <v>981</v>
      </c>
    </row>
    <row r="1662" spans="1:10" x14ac:dyDescent="0.35">
      <c r="A1662">
        <v>19048</v>
      </c>
      <c r="B1662" t="s">
        <v>9</v>
      </c>
      <c r="C1662" t="s">
        <v>165</v>
      </c>
      <c r="D1662" t="s">
        <v>92</v>
      </c>
      <c r="E1662" t="s">
        <v>269</v>
      </c>
      <c r="F1662" t="s">
        <v>244</v>
      </c>
      <c r="G1662" s="39">
        <v>46259</v>
      </c>
      <c r="H1662" t="s">
        <v>249</v>
      </c>
      <c r="J1662" t="s">
        <v>981</v>
      </c>
    </row>
    <row r="1663" spans="1:10" x14ac:dyDescent="0.35">
      <c r="A1663">
        <v>19065</v>
      </c>
      <c r="B1663" t="s">
        <v>9</v>
      </c>
      <c r="C1663" t="s">
        <v>165</v>
      </c>
      <c r="D1663" t="s">
        <v>92</v>
      </c>
      <c r="E1663" t="s">
        <v>269</v>
      </c>
      <c r="F1663" t="s">
        <v>244</v>
      </c>
      <c r="G1663" s="39">
        <v>46260</v>
      </c>
      <c r="H1663" t="s">
        <v>249</v>
      </c>
      <c r="J1663" t="s">
        <v>981</v>
      </c>
    </row>
    <row r="1664" spans="1:10" x14ac:dyDescent="0.35">
      <c r="A1664">
        <v>19066</v>
      </c>
      <c r="B1664" t="s">
        <v>9</v>
      </c>
      <c r="C1664" t="s">
        <v>165</v>
      </c>
      <c r="D1664" t="s">
        <v>92</v>
      </c>
      <c r="E1664" t="s">
        <v>269</v>
      </c>
      <c r="F1664" t="s">
        <v>244</v>
      </c>
      <c r="G1664" s="39">
        <v>46260</v>
      </c>
      <c r="H1664" t="s">
        <v>249</v>
      </c>
      <c r="J1664" t="s">
        <v>981</v>
      </c>
    </row>
    <row r="1665" spans="1:10" x14ac:dyDescent="0.35">
      <c r="A1665">
        <v>19067</v>
      </c>
      <c r="B1665" t="s">
        <v>9</v>
      </c>
      <c r="C1665" t="s">
        <v>165</v>
      </c>
      <c r="D1665" t="s">
        <v>92</v>
      </c>
      <c r="E1665" t="s">
        <v>269</v>
      </c>
      <c r="F1665" t="s">
        <v>244</v>
      </c>
      <c r="G1665" s="39">
        <v>46260</v>
      </c>
      <c r="H1665" t="s">
        <v>249</v>
      </c>
      <c r="J1665" t="s">
        <v>981</v>
      </c>
    </row>
    <row r="1666" spans="1:10" x14ac:dyDescent="0.35">
      <c r="A1666">
        <v>19079</v>
      </c>
      <c r="B1666" t="s">
        <v>9</v>
      </c>
      <c r="C1666" t="s">
        <v>165</v>
      </c>
      <c r="D1666" t="s">
        <v>92</v>
      </c>
      <c r="E1666" t="s">
        <v>269</v>
      </c>
      <c r="F1666" t="s">
        <v>244</v>
      </c>
      <c r="G1666" s="39">
        <v>46261</v>
      </c>
      <c r="H1666" t="s">
        <v>249</v>
      </c>
      <c r="J1666" t="s">
        <v>981</v>
      </c>
    </row>
    <row r="1667" spans="1:10" x14ac:dyDescent="0.35">
      <c r="A1667">
        <v>19140</v>
      </c>
      <c r="B1667" t="s">
        <v>9</v>
      </c>
      <c r="C1667" t="s">
        <v>165</v>
      </c>
      <c r="D1667" t="s">
        <v>92</v>
      </c>
      <c r="E1667" t="s">
        <v>269</v>
      </c>
      <c r="F1667" t="s">
        <v>244</v>
      </c>
      <c r="G1667" s="39">
        <v>46268</v>
      </c>
      <c r="H1667" t="s">
        <v>249</v>
      </c>
      <c r="J1667" t="s">
        <v>981</v>
      </c>
    </row>
    <row r="1668" spans="1:10" x14ac:dyDescent="0.35">
      <c r="A1668">
        <v>16282</v>
      </c>
      <c r="B1668" t="s">
        <v>9</v>
      </c>
      <c r="C1668" t="s">
        <v>165</v>
      </c>
      <c r="D1668" t="s">
        <v>92</v>
      </c>
      <c r="E1668" t="s">
        <v>541</v>
      </c>
      <c r="F1668" t="s">
        <v>244</v>
      </c>
      <c r="G1668" s="39">
        <v>45338</v>
      </c>
      <c r="J1668" t="s">
        <v>981</v>
      </c>
    </row>
    <row r="1669" spans="1:10" x14ac:dyDescent="0.35">
      <c r="A1669">
        <v>16303</v>
      </c>
      <c r="B1669" t="s">
        <v>9</v>
      </c>
      <c r="C1669" t="s">
        <v>165</v>
      </c>
      <c r="D1669" t="s">
        <v>92</v>
      </c>
      <c r="E1669" t="s">
        <v>541</v>
      </c>
      <c r="F1669" t="s">
        <v>244</v>
      </c>
      <c r="G1669" s="39">
        <v>45343</v>
      </c>
      <c r="J1669" t="s">
        <v>981</v>
      </c>
    </row>
    <row r="1670" spans="1:10" x14ac:dyDescent="0.35">
      <c r="A1670">
        <v>16342</v>
      </c>
      <c r="B1670" t="s">
        <v>9</v>
      </c>
      <c r="C1670" t="s">
        <v>165</v>
      </c>
      <c r="D1670" t="s">
        <v>92</v>
      </c>
      <c r="E1670" t="s">
        <v>541</v>
      </c>
      <c r="F1670" t="s">
        <v>244</v>
      </c>
      <c r="G1670" s="39">
        <v>45357</v>
      </c>
      <c r="J1670" t="s">
        <v>981</v>
      </c>
    </row>
    <row r="1671" spans="1:10" x14ac:dyDescent="0.35">
      <c r="A1671">
        <v>16346</v>
      </c>
      <c r="B1671" t="s">
        <v>9</v>
      </c>
      <c r="C1671" t="s">
        <v>165</v>
      </c>
      <c r="D1671" t="s">
        <v>92</v>
      </c>
      <c r="E1671" t="s">
        <v>541</v>
      </c>
      <c r="F1671" t="s">
        <v>244</v>
      </c>
      <c r="G1671" s="39">
        <v>45366</v>
      </c>
      <c r="J1671" t="s">
        <v>981</v>
      </c>
    </row>
    <row r="1672" spans="1:10" x14ac:dyDescent="0.35">
      <c r="A1672">
        <v>16844</v>
      </c>
      <c r="B1672" t="s">
        <v>9</v>
      </c>
      <c r="C1672" t="s">
        <v>165</v>
      </c>
      <c r="D1672" t="s">
        <v>92</v>
      </c>
      <c r="E1672" t="s">
        <v>541</v>
      </c>
      <c r="F1672" t="s">
        <v>244</v>
      </c>
      <c r="G1672" s="39">
        <v>45568</v>
      </c>
      <c r="J1672" t="s">
        <v>981</v>
      </c>
    </row>
    <row r="1673" spans="1:10" x14ac:dyDescent="0.35">
      <c r="A1673">
        <v>14139</v>
      </c>
      <c r="B1673" t="s">
        <v>9</v>
      </c>
      <c r="C1673" t="s">
        <v>165</v>
      </c>
      <c r="D1673" t="s">
        <v>92</v>
      </c>
      <c r="E1673" t="s">
        <v>541</v>
      </c>
      <c r="F1673" t="s">
        <v>244</v>
      </c>
      <c r="G1673" s="39">
        <v>44676</v>
      </c>
      <c r="J1673" t="s">
        <v>981</v>
      </c>
    </row>
    <row r="1674" spans="1:10" x14ac:dyDescent="0.35">
      <c r="A1674">
        <v>11327</v>
      </c>
      <c r="B1674" t="s">
        <v>7</v>
      </c>
      <c r="C1674" t="s">
        <v>543</v>
      </c>
      <c r="D1674" t="s">
        <v>92</v>
      </c>
      <c r="E1674" t="s">
        <v>99</v>
      </c>
      <c r="F1674" t="s">
        <v>244</v>
      </c>
      <c r="G1674" s="39">
        <v>42530</v>
      </c>
      <c r="J1674" t="s">
        <v>981</v>
      </c>
    </row>
    <row r="1675" spans="1:10" x14ac:dyDescent="0.35">
      <c r="A1675">
        <v>12062</v>
      </c>
      <c r="B1675" t="s">
        <v>7</v>
      </c>
      <c r="C1675" t="s">
        <v>543</v>
      </c>
      <c r="D1675" t="s">
        <v>92</v>
      </c>
      <c r="E1675" t="s">
        <v>99</v>
      </c>
      <c r="F1675" t="s">
        <v>244</v>
      </c>
      <c r="G1675" s="39">
        <v>43438</v>
      </c>
      <c r="J1675" t="s">
        <v>981</v>
      </c>
    </row>
    <row r="1676" spans="1:10" x14ac:dyDescent="0.35">
      <c r="A1676">
        <v>10287</v>
      </c>
      <c r="B1676" t="s">
        <v>7</v>
      </c>
      <c r="C1676" t="s">
        <v>543</v>
      </c>
      <c r="D1676" t="s">
        <v>92</v>
      </c>
      <c r="E1676" t="s">
        <v>109</v>
      </c>
      <c r="F1676" t="s">
        <v>244</v>
      </c>
      <c r="G1676" s="39">
        <v>39475</v>
      </c>
      <c r="J1676" t="s">
        <v>981</v>
      </c>
    </row>
    <row r="1677" spans="1:10" x14ac:dyDescent="0.35">
      <c r="A1677">
        <v>10934</v>
      </c>
      <c r="B1677" t="s">
        <v>7</v>
      </c>
      <c r="C1677" t="s">
        <v>522</v>
      </c>
      <c r="D1677" t="s">
        <v>92</v>
      </c>
      <c r="E1677" t="s">
        <v>109</v>
      </c>
      <c r="F1677" t="s">
        <v>244</v>
      </c>
      <c r="G1677" s="39">
        <v>42149</v>
      </c>
      <c r="J1677" t="s">
        <v>981</v>
      </c>
    </row>
    <row r="1678" spans="1:10" x14ac:dyDescent="0.35">
      <c r="A1678">
        <v>10502</v>
      </c>
      <c r="B1678" t="s">
        <v>7</v>
      </c>
      <c r="C1678" t="s">
        <v>543</v>
      </c>
      <c r="D1678" t="s">
        <v>92</v>
      </c>
      <c r="E1678" t="s">
        <v>109</v>
      </c>
      <c r="F1678" t="s">
        <v>244</v>
      </c>
      <c r="G1678" s="39">
        <v>40918</v>
      </c>
      <c r="J1678" t="s">
        <v>981</v>
      </c>
    </row>
    <row r="1679" spans="1:10" x14ac:dyDescent="0.35">
      <c r="A1679">
        <v>120010</v>
      </c>
      <c r="B1679" t="s">
        <v>7</v>
      </c>
      <c r="C1679" t="s">
        <v>543</v>
      </c>
      <c r="D1679" t="s">
        <v>92</v>
      </c>
      <c r="E1679" t="s">
        <v>109</v>
      </c>
      <c r="F1679" t="s">
        <v>244</v>
      </c>
      <c r="G1679" s="39">
        <v>36693</v>
      </c>
      <c r="J1679" t="s">
        <v>981</v>
      </c>
    </row>
    <row r="1680" spans="1:10" x14ac:dyDescent="0.35">
      <c r="A1680">
        <v>11241</v>
      </c>
      <c r="B1680" t="s">
        <v>7</v>
      </c>
      <c r="C1680" t="s">
        <v>522</v>
      </c>
      <c r="D1680" t="s">
        <v>92</v>
      </c>
      <c r="E1680" t="s">
        <v>102</v>
      </c>
      <c r="F1680" t="s">
        <v>244</v>
      </c>
      <c r="G1680" s="39">
        <v>42461</v>
      </c>
      <c r="J1680" t="s">
        <v>981</v>
      </c>
    </row>
    <row r="1681" spans="1:10" x14ac:dyDescent="0.35">
      <c r="A1681">
        <v>11247</v>
      </c>
      <c r="B1681" t="s">
        <v>7</v>
      </c>
      <c r="C1681" t="s">
        <v>522</v>
      </c>
      <c r="D1681" t="s">
        <v>92</v>
      </c>
      <c r="E1681" t="s">
        <v>102</v>
      </c>
      <c r="F1681" t="s">
        <v>244</v>
      </c>
      <c r="G1681" s="39">
        <v>42468</v>
      </c>
      <c r="J1681" t="s">
        <v>981</v>
      </c>
    </row>
    <row r="1682" spans="1:10" x14ac:dyDescent="0.35">
      <c r="A1682">
        <v>180046</v>
      </c>
      <c r="B1682" t="s">
        <v>7</v>
      </c>
      <c r="C1682" t="s">
        <v>543</v>
      </c>
      <c r="D1682" t="s">
        <v>92</v>
      </c>
      <c r="E1682" t="s">
        <v>102</v>
      </c>
      <c r="F1682" t="s">
        <v>244</v>
      </c>
      <c r="G1682" s="39">
        <v>43395</v>
      </c>
      <c r="J1682" t="s">
        <v>981</v>
      </c>
    </row>
    <row r="1683" spans="1:10" x14ac:dyDescent="0.35">
      <c r="A1683">
        <v>13467</v>
      </c>
      <c r="B1683" t="s">
        <v>7</v>
      </c>
      <c r="C1683" t="s">
        <v>543</v>
      </c>
      <c r="D1683" t="s">
        <v>92</v>
      </c>
      <c r="E1683" t="s">
        <v>102</v>
      </c>
      <c r="F1683" t="s">
        <v>244</v>
      </c>
      <c r="G1683" s="39">
        <v>44463</v>
      </c>
      <c r="J1683" t="s">
        <v>981</v>
      </c>
    </row>
    <row r="1684" spans="1:10" x14ac:dyDescent="0.35">
      <c r="A1684">
        <v>12592</v>
      </c>
      <c r="B1684" t="s">
        <v>7</v>
      </c>
      <c r="C1684" t="s">
        <v>543</v>
      </c>
      <c r="D1684" t="s">
        <v>92</v>
      </c>
      <c r="E1684" t="s">
        <v>102</v>
      </c>
      <c r="F1684" t="s">
        <v>244</v>
      </c>
      <c r="G1684" s="39">
        <v>43824</v>
      </c>
      <c r="J1684" t="s">
        <v>981</v>
      </c>
    </row>
    <row r="1685" spans="1:10" x14ac:dyDescent="0.35">
      <c r="A1685">
        <v>15551</v>
      </c>
      <c r="B1685" t="s">
        <v>7</v>
      </c>
      <c r="C1685" t="s">
        <v>522</v>
      </c>
      <c r="D1685" t="s">
        <v>92</v>
      </c>
      <c r="E1685" t="s">
        <v>103</v>
      </c>
      <c r="F1685" t="s">
        <v>244</v>
      </c>
      <c r="G1685" s="39">
        <v>45125</v>
      </c>
      <c r="J1685" t="s">
        <v>981</v>
      </c>
    </row>
    <row r="1686" spans="1:10" x14ac:dyDescent="0.35">
      <c r="A1686">
        <v>15409</v>
      </c>
      <c r="B1686" t="s">
        <v>7</v>
      </c>
      <c r="C1686" t="s">
        <v>543</v>
      </c>
      <c r="D1686" t="s">
        <v>92</v>
      </c>
      <c r="E1686" t="s">
        <v>103</v>
      </c>
      <c r="F1686" t="s">
        <v>244</v>
      </c>
      <c r="G1686" s="39">
        <v>45062</v>
      </c>
      <c r="J1686" t="s">
        <v>981</v>
      </c>
    </row>
    <row r="1687" spans="1:10" x14ac:dyDescent="0.35">
      <c r="A1687">
        <v>17392</v>
      </c>
      <c r="B1687" t="s">
        <v>7</v>
      </c>
      <c r="C1687" t="s">
        <v>543</v>
      </c>
      <c r="D1687" t="s">
        <v>92</v>
      </c>
      <c r="E1687" t="s">
        <v>103</v>
      </c>
      <c r="F1687" t="s">
        <v>244</v>
      </c>
      <c r="G1687" s="39">
        <v>45730</v>
      </c>
      <c r="J1687" t="s">
        <v>981</v>
      </c>
    </row>
    <row r="1688" spans="1:10" x14ac:dyDescent="0.35">
      <c r="A1688">
        <v>17386</v>
      </c>
      <c r="B1688" t="s">
        <v>7</v>
      </c>
      <c r="C1688" t="s">
        <v>543</v>
      </c>
      <c r="D1688" t="s">
        <v>92</v>
      </c>
      <c r="E1688" t="s">
        <v>103</v>
      </c>
      <c r="F1688" t="s">
        <v>244</v>
      </c>
      <c r="G1688" s="39">
        <v>45730</v>
      </c>
      <c r="J1688" t="s">
        <v>981</v>
      </c>
    </row>
    <row r="1689" spans="1:10" x14ac:dyDescent="0.35">
      <c r="A1689">
        <v>10937</v>
      </c>
      <c r="B1689" t="s">
        <v>30</v>
      </c>
      <c r="C1689" t="s">
        <v>92</v>
      </c>
      <c r="D1689" t="s">
        <v>92</v>
      </c>
      <c r="E1689" t="s">
        <v>100</v>
      </c>
      <c r="F1689" t="s">
        <v>244</v>
      </c>
      <c r="G1689" s="39">
        <v>42159</v>
      </c>
      <c r="J1689" t="s">
        <v>981</v>
      </c>
    </row>
    <row r="1690" spans="1:10" x14ac:dyDescent="0.35">
      <c r="A1690">
        <v>540023</v>
      </c>
      <c r="B1690" t="s">
        <v>30</v>
      </c>
      <c r="C1690" t="s">
        <v>544</v>
      </c>
      <c r="D1690" t="s">
        <v>92</v>
      </c>
      <c r="E1690" t="s">
        <v>101</v>
      </c>
      <c r="F1690" t="s">
        <v>244</v>
      </c>
      <c r="G1690" s="39">
        <v>42144</v>
      </c>
      <c r="J1690" t="s">
        <v>981</v>
      </c>
    </row>
    <row r="1691" spans="1:10" x14ac:dyDescent="0.35">
      <c r="A1691">
        <v>11545</v>
      </c>
      <c r="B1691" t="s">
        <v>30</v>
      </c>
      <c r="C1691" t="s">
        <v>545</v>
      </c>
      <c r="D1691" t="s">
        <v>92</v>
      </c>
      <c r="E1691" t="s">
        <v>101</v>
      </c>
      <c r="F1691" t="s">
        <v>244</v>
      </c>
      <c r="G1691" s="39">
        <v>42821</v>
      </c>
      <c r="J1691" t="s">
        <v>981</v>
      </c>
    </row>
    <row r="1692" spans="1:10" x14ac:dyDescent="0.35">
      <c r="A1692">
        <v>11622</v>
      </c>
      <c r="B1692" t="s">
        <v>30</v>
      </c>
      <c r="C1692" t="s">
        <v>544</v>
      </c>
      <c r="D1692" t="s">
        <v>546</v>
      </c>
      <c r="E1692" t="s">
        <v>151</v>
      </c>
      <c r="F1692" t="s">
        <v>244</v>
      </c>
      <c r="G1692" s="39">
        <v>42940</v>
      </c>
      <c r="J1692" t="s">
        <v>981</v>
      </c>
    </row>
    <row r="1693" spans="1:10" x14ac:dyDescent="0.35">
      <c r="A1693">
        <v>11597</v>
      </c>
      <c r="B1693" t="s">
        <v>30</v>
      </c>
      <c r="C1693" t="s">
        <v>544</v>
      </c>
      <c r="D1693" t="s">
        <v>546</v>
      </c>
      <c r="E1693" t="s">
        <v>402</v>
      </c>
      <c r="F1693" t="s">
        <v>244</v>
      </c>
      <c r="G1693" s="39">
        <v>42894</v>
      </c>
      <c r="J1693" t="s">
        <v>981</v>
      </c>
    </row>
    <row r="1694" spans="1:10" x14ac:dyDescent="0.35">
      <c r="A1694">
        <v>11869</v>
      </c>
      <c r="B1694" t="s">
        <v>30</v>
      </c>
      <c r="C1694" t="s">
        <v>544</v>
      </c>
      <c r="D1694" t="s">
        <v>546</v>
      </c>
      <c r="E1694" t="s">
        <v>402</v>
      </c>
      <c r="F1694" t="s">
        <v>244</v>
      </c>
      <c r="G1694" s="39">
        <v>43221</v>
      </c>
      <c r="J1694" t="s">
        <v>981</v>
      </c>
    </row>
    <row r="1695" spans="1:10" x14ac:dyDescent="0.35">
      <c r="A1695">
        <v>11233</v>
      </c>
      <c r="B1695" t="s">
        <v>30</v>
      </c>
      <c r="C1695" t="s">
        <v>544</v>
      </c>
      <c r="D1695" t="s">
        <v>546</v>
      </c>
      <c r="E1695" t="s">
        <v>402</v>
      </c>
      <c r="F1695" t="s">
        <v>244</v>
      </c>
      <c r="G1695" s="39">
        <v>42443</v>
      </c>
      <c r="J1695" t="s">
        <v>981</v>
      </c>
    </row>
    <row r="1696" spans="1:10" x14ac:dyDescent="0.35">
      <c r="A1696">
        <v>620031</v>
      </c>
      <c r="B1696" t="s">
        <v>30</v>
      </c>
      <c r="C1696" t="s">
        <v>544</v>
      </c>
      <c r="D1696" t="s">
        <v>546</v>
      </c>
      <c r="E1696" t="s">
        <v>547</v>
      </c>
      <c r="F1696" t="s">
        <v>244</v>
      </c>
      <c r="G1696" s="39">
        <v>43825</v>
      </c>
      <c r="J1696" t="s">
        <v>981</v>
      </c>
    </row>
    <row r="1697" spans="1:10" x14ac:dyDescent="0.35">
      <c r="A1697">
        <v>12582</v>
      </c>
      <c r="B1697" t="s">
        <v>30</v>
      </c>
      <c r="C1697" t="s">
        <v>544</v>
      </c>
      <c r="D1697" t="s">
        <v>546</v>
      </c>
      <c r="E1697" t="s">
        <v>102</v>
      </c>
      <c r="F1697" t="s">
        <v>244</v>
      </c>
      <c r="G1697" s="39">
        <v>43818</v>
      </c>
      <c r="J1697" t="s">
        <v>981</v>
      </c>
    </row>
    <row r="1698" spans="1:10" x14ac:dyDescent="0.35">
      <c r="A1698">
        <v>14261</v>
      </c>
      <c r="B1698" t="s">
        <v>30</v>
      </c>
      <c r="C1698" t="s">
        <v>544</v>
      </c>
      <c r="D1698" t="s">
        <v>546</v>
      </c>
      <c r="E1698" t="s">
        <v>549</v>
      </c>
      <c r="F1698" t="s">
        <v>244</v>
      </c>
      <c r="G1698" s="39">
        <v>44714</v>
      </c>
      <c r="J1698" t="s">
        <v>981</v>
      </c>
    </row>
    <row r="1699" spans="1:10" x14ac:dyDescent="0.35">
      <c r="A1699">
        <v>12976</v>
      </c>
      <c r="B1699" t="s">
        <v>30</v>
      </c>
      <c r="C1699" t="s">
        <v>544</v>
      </c>
      <c r="D1699" t="s">
        <v>546</v>
      </c>
      <c r="E1699" t="s">
        <v>102</v>
      </c>
      <c r="F1699" t="s">
        <v>244</v>
      </c>
      <c r="G1699" s="39">
        <v>44159</v>
      </c>
      <c r="J1699" t="s">
        <v>981</v>
      </c>
    </row>
    <row r="1700" spans="1:10" x14ac:dyDescent="0.35">
      <c r="A1700">
        <v>13584</v>
      </c>
      <c r="B1700" t="s">
        <v>30</v>
      </c>
      <c r="C1700" t="s">
        <v>544</v>
      </c>
      <c r="D1700" t="s">
        <v>546</v>
      </c>
      <c r="E1700" t="s">
        <v>102</v>
      </c>
      <c r="F1700" t="s">
        <v>244</v>
      </c>
      <c r="G1700" s="39">
        <v>44503</v>
      </c>
      <c r="J1700" t="s">
        <v>981</v>
      </c>
    </row>
    <row r="1701" spans="1:10" x14ac:dyDescent="0.35">
      <c r="A1701">
        <v>13617</v>
      </c>
      <c r="B1701" t="s">
        <v>30</v>
      </c>
      <c r="C1701" t="s">
        <v>544</v>
      </c>
      <c r="D1701" t="s">
        <v>546</v>
      </c>
      <c r="E1701" t="s">
        <v>102</v>
      </c>
      <c r="F1701" t="s">
        <v>244</v>
      </c>
      <c r="G1701" s="39">
        <v>44518</v>
      </c>
      <c r="J1701" t="s">
        <v>981</v>
      </c>
    </row>
    <row r="1702" spans="1:10" x14ac:dyDescent="0.35">
      <c r="A1702">
        <v>14307</v>
      </c>
      <c r="B1702" t="s">
        <v>30</v>
      </c>
      <c r="C1702" t="s">
        <v>544</v>
      </c>
      <c r="D1702" t="s">
        <v>546</v>
      </c>
      <c r="E1702" t="s">
        <v>102</v>
      </c>
      <c r="F1702" t="s">
        <v>244</v>
      </c>
      <c r="G1702" s="39">
        <v>44728</v>
      </c>
      <c r="J1702" t="s">
        <v>981</v>
      </c>
    </row>
    <row r="1703" spans="1:10" x14ac:dyDescent="0.35">
      <c r="A1703">
        <v>14457</v>
      </c>
      <c r="B1703" t="s">
        <v>30</v>
      </c>
      <c r="C1703" t="s">
        <v>544</v>
      </c>
      <c r="D1703" t="s">
        <v>546</v>
      </c>
      <c r="E1703" t="s">
        <v>102</v>
      </c>
      <c r="F1703" t="s">
        <v>244</v>
      </c>
      <c r="G1703" s="39">
        <v>44763</v>
      </c>
      <c r="J1703" t="s">
        <v>981</v>
      </c>
    </row>
    <row r="1704" spans="1:10" x14ac:dyDescent="0.35">
      <c r="A1704">
        <v>14740</v>
      </c>
      <c r="B1704" t="s">
        <v>30</v>
      </c>
      <c r="C1704" t="s">
        <v>544</v>
      </c>
      <c r="D1704" t="s">
        <v>546</v>
      </c>
      <c r="E1704" t="s">
        <v>102</v>
      </c>
      <c r="F1704" t="s">
        <v>244</v>
      </c>
      <c r="G1704" s="39">
        <v>44844</v>
      </c>
      <c r="J1704" t="s">
        <v>981</v>
      </c>
    </row>
    <row r="1705" spans="1:10" x14ac:dyDescent="0.35">
      <c r="A1705">
        <v>15008</v>
      </c>
      <c r="B1705" t="s">
        <v>30</v>
      </c>
      <c r="C1705" t="s">
        <v>544</v>
      </c>
      <c r="D1705" t="s">
        <v>546</v>
      </c>
      <c r="E1705" t="s">
        <v>102</v>
      </c>
      <c r="F1705" t="s">
        <v>244</v>
      </c>
      <c r="G1705" s="39">
        <v>44916</v>
      </c>
      <c r="J1705" t="s">
        <v>981</v>
      </c>
    </row>
    <row r="1706" spans="1:10" x14ac:dyDescent="0.35">
      <c r="A1706">
        <v>15126</v>
      </c>
      <c r="B1706" t="s">
        <v>30</v>
      </c>
      <c r="C1706" t="s">
        <v>544</v>
      </c>
      <c r="D1706" t="s">
        <v>546</v>
      </c>
      <c r="E1706" t="s">
        <v>103</v>
      </c>
      <c r="F1706" t="s">
        <v>244</v>
      </c>
      <c r="G1706" s="39">
        <v>44959</v>
      </c>
      <c r="J1706" t="s">
        <v>981</v>
      </c>
    </row>
    <row r="1707" spans="1:10" x14ac:dyDescent="0.35">
      <c r="A1707">
        <v>16368</v>
      </c>
      <c r="B1707" t="s">
        <v>30</v>
      </c>
      <c r="C1707" t="s">
        <v>544</v>
      </c>
      <c r="D1707" t="s">
        <v>546</v>
      </c>
      <c r="E1707" t="s">
        <v>103</v>
      </c>
      <c r="F1707" t="s">
        <v>244</v>
      </c>
      <c r="G1707" s="39">
        <v>45363</v>
      </c>
      <c r="J1707" t="s">
        <v>981</v>
      </c>
    </row>
    <row r="1708" spans="1:10" x14ac:dyDescent="0.35">
      <c r="A1708">
        <v>15888</v>
      </c>
      <c r="B1708" t="s">
        <v>30</v>
      </c>
      <c r="C1708" t="s">
        <v>544</v>
      </c>
      <c r="D1708" t="s">
        <v>546</v>
      </c>
      <c r="E1708" t="s">
        <v>103</v>
      </c>
      <c r="F1708" t="s">
        <v>244</v>
      </c>
      <c r="G1708" s="39">
        <v>45232</v>
      </c>
      <c r="J1708" t="s">
        <v>981</v>
      </c>
    </row>
    <row r="1709" spans="1:10" x14ac:dyDescent="0.35">
      <c r="A1709">
        <v>16060</v>
      </c>
      <c r="B1709" t="s">
        <v>30</v>
      </c>
      <c r="C1709" t="s">
        <v>544</v>
      </c>
      <c r="D1709" t="s">
        <v>546</v>
      </c>
      <c r="E1709" t="s">
        <v>103</v>
      </c>
      <c r="F1709" t="s">
        <v>244</v>
      </c>
      <c r="G1709" s="39">
        <v>45275</v>
      </c>
      <c r="J1709" t="s">
        <v>981</v>
      </c>
    </row>
    <row r="1710" spans="1:10" x14ac:dyDescent="0.35">
      <c r="A1710">
        <v>16066</v>
      </c>
      <c r="B1710" t="s">
        <v>30</v>
      </c>
      <c r="C1710" t="s">
        <v>544</v>
      </c>
      <c r="D1710" t="s">
        <v>546</v>
      </c>
      <c r="E1710" t="s">
        <v>103</v>
      </c>
      <c r="F1710" t="s">
        <v>244</v>
      </c>
      <c r="G1710" s="39">
        <v>45275</v>
      </c>
      <c r="J1710" t="s">
        <v>981</v>
      </c>
    </row>
    <row r="1711" spans="1:10" x14ac:dyDescent="0.35">
      <c r="A1711">
        <v>16188</v>
      </c>
      <c r="B1711" t="s">
        <v>30</v>
      </c>
      <c r="C1711" t="s">
        <v>544</v>
      </c>
      <c r="D1711" t="s">
        <v>546</v>
      </c>
      <c r="E1711" t="s">
        <v>103</v>
      </c>
      <c r="F1711" t="s">
        <v>244</v>
      </c>
      <c r="G1711" s="39">
        <v>45310</v>
      </c>
      <c r="J1711" t="s">
        <v>981</v>
      </c>
    </row>
    <row r="1712" spans="1:10" x14ac:dyDescent="0.35">
      <c r="A1712">
        <v>16189</v>
      </c>
      <c r="B1712" t="s">
        <v>30</v>
      </c>
      <c r="C1712" t="s">
        <v>544</v>
      </c>
      <c r="D1712" t="s">
        <v>546</v>
      </c>
      <c r="E1712" t="s">
        <v>103</v>
      </c>
      <c r="F1712" t="s">
        <v>244</v>
      </c>
      <c r="G1712" s="39">
        <v>45313</v>
      </c>
      <c r="J1712" t="s">
        <v>981</v>
      </c>
    </row>
    <row r="1713" spans="1:10" x14ac:dyDescent="0.35">
      <c r="A1713">
        <v>16822</v>
      </c>
      <c r="B1713" t="s">
        <v>30</v>
      </c>
      <c r="C1713" t="s">
        <v>544</v>
      </c>
      <c r="D1713" t="s">
        <v>546</v>
      </c>
      <c r="E1713" t="s">
        <v>103</v>
      </c>
      <c r="F1713" t="s">
        <v>244</v>
      </c>
      <c r="G1713" s="39">
        <v>45560</v>
      </c>
      <c r="J1713" t="s">
        <v>981</v>
      </c>
    </row>
    <row r="1714" spans="1:10" x14ac:dyDescent="0.35">
      <c r="A1714">
        <v>16432</v>
      </c>
      <c r="B1714" t="s">
        <v>30</v>
      </c>
      <c r="C1714" t="s">
        <v>544</v>
      </c>
      <c r="D1714" t="s">
        <v>546</v>
      </c>
      <c r="E1714" t="s">
        <v>103</v>
      </c>
      <c r="F1714" t="s">
        <v>244</v>
      </c>
      <c r="G1714" s="39">
        <v>45391</v>
      </c>
      <c r="J1714" t="s">
        <v>981</v>
      </c>
    </row>
    <row r="1715" spans="1:10" x14ac:dyDescent="0.35">
      <c r="A1715">
        <v>16177</v>
      </c>
      <c r="B1715" t="s">
        <v>30</v>
      </c>
      <c r="C1715" t="s">
        <v>544</v>
      </c>
      <c r="D1715" t="s">
        <v>546</v>
      </c>
      <c r="E1715" t="s">
        <v>103</v>
      </c>
      <c r="F1715" t="s">
        <v>244</v>
      </c>
      <c r="G1715" s="39">
        <v>45309</v>
      </c>
      <c r="J1715" t="s">
        <v>981</v>
      </c>
    </row>
    <row r="1716" spans="1:10" x14ac:dyDescent="0.35">
      <c r="A1716">
        <v>18908</v>
      </c>
      <c r="B1716" t="s">
        <v>30</v>
      </c>
      <c r="C1716" t="s">
        <v>544</v>
      </c>
      <c r="D1716" t="s">
        <v>546</v>
      </c>
      <c r="E1716" t="s">
        <v>103</v>
      </c>
      <c r="F1716" t="s">
        <v>244</v>
      </c>
      <c r="G1716" s="39">
        <v>46240</v>
      </c>
      <c r="J1716" t="s">
        <v>981</v>
      </c>
    </row>
    <row r="1717" spans="1:10" x14ac:dyDescent="0.35">
      <c r="A1717">
        <v>17652</v>
      </c>
      <c r="B1717" t="s">
        <v>30</v>
      </c>
      <c r="C1717" t="s">
        <v>544</v>
      </c>
      <c r="D1717" t="s">
        <v>546</v>
      </c>
      <c r="E1717" t="s">
        <v>103</v>
      </c>
      <c r="F1717" t="s">
        <v>244</v>
      </c>
      <c r="G1717" s="39">
        <v>45828</v>
      </c>
      <c r="J1717" t="s">
        <v>981</v>
      </c>
    </row>
    <row r="1718" spans="1:10" x14ac:dyDescent="0.35">
      <c r="A1718">
        <v>18297</v>
      </c>
      <c r="B1718" t="s">
        <v>30</v>
      </c>
      <c r="C1718" t="s">
        <v>544</v>
      </c>
      <c r="D1718" t="s">
        <v>546</v>
      </c>
      <c r="E1718" t="s">
        <v>106</v>
      </c>
      <c r="F1718" t="s">
        <v>244</v>
      </c>
      <c r="G1718" s="39">
        <v>46084</v>
      </c>
      <c r="J1718" t="s">
        <v>981</v>
      </c>
    </row>
    <row r="1719" spans="1:10" x14ac:dyDescent="0.35">
      <c r="A1719">
        <v>18626</v>
      </c>
      <c r="B1719" t="s">
        <v>30</v>
      </c>
      <c r="C1719" t="s">
        <v>544</v>
      </c>
      <c r="D1719" t="s">
        <v>546</v>
      </c>
      <c r="E1719" t="s">
        <v>106</v>
      </c>
      <c r="F1719" t="s">
        <v>244</v>
      </c>
      <c r="G1719" s="39">
        <v>46176</v>
      </c>
      <c r="J1719" t="s">
        <v>981</v>
      </c>
    </row>
    <row r="1720" spans="1:10" x14ac:dyDescent="0.35">
      <c r="A1720">
        <v>18670</v>
      </c>
      <c r="B1720" t="s">
        <v>30</v>
      </c>
      <c r="C1720" t="s">
        <v>544</v>
      </c>
      <c r="D1720" t="s">
        <v>546</v>
      </c>
      <c r="E1720" t="s">
        <v>106</v>
      </c>
      <c r="F1720" t="s">
        <v>244</v>
      </c>
      <c r="G1720" s="39">
        <v>46190</v>
      </c>
      <c r="J1720" t="s">
        <v>981</v>
      </c>
    </row>
    <row r="1721" spans="1:10" x14ac:dyDescent="0.35">
      <c r="A1721">
        <v>16619</v>
      </c>
      <c r="B1721" t="s">
        <v>30</v>
      </c>
      <c r="C1721" t="s">
        <v>544</v>
      </c>
      <c r="D1721" t="s">
        <v>546</v>
      </c>
      <c r="E1721" t="s">
        <v>103</v>
      </c>
      <c r="F1721" t="s">
        <v>244</v>
      </c>
      <c r="G1721" s="39">
        <v>45497</v>
      </c>
      <c r="J1721" t="s">
        <v>981</v>
      </c>
    </row>
    <row r="1722" spans="1:10" x14ac:dyDescent="0.35">
      <c r="A1722">
        <v>16989</v>
      </c>
      <c r="B1722" t="s">
        <v>30</v>
      </c>
      <c r="C1722" t="s">
        <v>544</v>
      </c>
      <c r="D1722" t="s">
        <v>546</v>
      </c>
      <c r="E1722" t="s">
        <v>103</v>
      </c>
      <c r="F1722" t="s">
        <v>244</v>
      </c>
      <c r="G1722" s="39">
        <v>45587</v>
      </c>
      <c r="J1722" t="s">
        <v>981</v>
      </c>
    </row>
    <row r="1723" spans="1:10" x14ac:dyDescent="0.35">
      <c r="A1723">
        <v>740034</v>
      </c>
      <c r="B1723" t="s">
        <v>30</v>
      </c>
      <c r="C1723" t="s">
        <v>544</v>
      </c>
      <c r="D1723" t="s">
        <v>546</v>
      </c>
      <c r="E1723" t="s">
        <v>550</v>
      </c>
      <c r="F1723" t="s">
        <v>244</v>
      </c>
      <c r="G1723" s="39">
        <v>44211</v>
      </c>
      <c r="J1723" t="s">
        <v>981</v>
      </c>
    </row>
    <row r="1724" spans="1:10" x14ac:dyDescent="0.35">
      <c r="A1724">
        <v>18666</v>
      </c>
      <c r="B1724" t="s">
        <v>30</v>
      </c>
      <c r="C1724" t="s">
        <v>544</v>
      </c>
      <c r="D1724" t="s">
        <v>546</v>
      </c>
      <c r="E1724" t="s">
        <v>551</v>
      </c>
      <c r="F1724" t="s">
        <v>244</v>
      </c>
      <c r="G1724" s="39">
        <v>46190</v>
      </c>
      <c r="J1724" t="s">
        <v>981</v>
      </c>
    </row>
    <row r="1725" spans="1:10" x14ac:dyDescent="0.35">
      <c r="A1725">
        <v>18669</v>
      </c>
      <c r="B1725" t="s">
        <v>30</v>
      </c>
      <c r="C1725" t="s">
        <v>544</v>
      </c>
      <c r="D1725" t="s">
        <v>546</v>
      </c>
      <c r="E1725" t="s">
        <v>552</v>
      </c>
      <c r="F1725" t="s">
        <v>244</v>
      </c>
      <c r="G1725" s="39">
        <v>46190</v>
      </c>
      <c r="J1725" t="s">
        <v>981</v>
      </c>
    </row>
    <row r="1726" spans="1:10" x14ac:dyDescent="0.35">
      <c r="A1726">
        <v>18830</v>
      </c>
      <c r="B1726" t="s">
        <v>30</v>
      </c>
      <c r="C1726" t="s">
        <v>544</v>
      </c>
      <c r="D1726" t="s">
        <v>546</v>
      </c>
      <c r="E1726" t="s">
        <v>553</v>
      </c>
      <c r="F1726" t="s">
        <v>244</v>
      </c>
      <c r="G1726" s="39">
        <v>46220</v>
      </c>
      <c r="J1726" t="s">
        <v>981</v>
      </c>
    </row>
    <row r="1727" spans="1:10" x14ac:dyDescent="0.35">
      <c r="A1727">
        <v>18879</v>
      </c>
      <c r="B1727" t="s">
        <v>30</v>
      </c>
      <c r="C1727" t="s">
        <v>544</v>
      </c>
      <c r="D1727" t="s">
        <v>546</v>
      </c>
      <c r="E1727" t="s">
        <v>421</v>
      </c>
      <c r="F1727" t="s">
        <v>244</v>
      </c>
      <c r="G1727" s="39">
        <v>46230</v>
      </c>
      <c r="J1727" t="s">
        <v>981</v>
      </c>
    </row>
    <row r="1728" spans="1:10" x14ac:dyDescent="0.35">
      <c r="A1728">
        <v>18902</v>
      </c>
      <c r="B1728" t="s">
        <v>30</v>
      </c>
      <c r="C1728" t="s">
        <v>544</v>
      </c>
      <c r="D1728" t="s">
        <v>546</v>
      </c>
      <c r="E1728" t="s">
        <v>554</v>
      </c>
      <c r="F1728" t="s">
        <v>244</v>
      </c>
      <c r="G1728" s="39">
        <v>46238</v>
      </c>
      <c r="J1728" t="s">
        <v>981</v>
      </c>
    </row>
    <row r="1729" spans="1:10" x14ac:dyDescent="0.35">
      <c r="A1729">
        <v>19191</v>
      </c>
      <c r="B1729" t="s">
        <v>30</v>
      </c>
      <c r="C1729" t="s">
        <v>544</v>
      </c>
      <c r="D1729" t="s">
        <v>546</v>
      </c>
      <c r="E1729" t="s">
        <v>1069</v>
      </c>
      <c r="F1729" t="s">
        <v>244</v>
      </c>
      <c r="G1729" s="39">
        <v>46280</v>
      </c>
      <c r="J1729" t="s">
        <v>981</v>
      </c>
    </row>
    <row r="1730" spans="1:10" x14ac:dyDescent="0.35">
      <c r="A1730">
        <v>17789</v>
      </c>
      <c r="B1730" t="s">
        <v>30</v>
      </c>
      <c r="C1730" t="s">
        <v>544</v>
      </c>
      <c r="D1730" t="s">
        <v>546</v>
      </c>
      <c r="E1730" t="s">
        <v>103</v>
      </c>
      <c r="F1730" t="s">
        <v>244</v>
      </c>
      <c r="G1730" s="39">
        <v>45876</v>
      </c>
      <c r="J1730" t="s">
        <v>981</v>
      </c>
    </row>
    <row r="1731" spans="1:10" x14ac:dyDescent="0.35">
      <c r="A1731">
        <v>17828</v>
      </c>
      <c r="B1731" t="s">
        <v>30</v>
      </c>
      <c r="C1731" t="s">
        <v>544</v>
      </c>
      <c r="D1731" t="s">
        <v>546</v>
      </c>
      <c r="E1731" t="s">
        <v>106</v>
      </c>
      <c r="F1731" t="s">
        <v>244</v>
      </c>
      <c r="G1731" s="39">
        <v>45887</v>
      </c>
      <c r="J1731" t="s">
        <v>981</v>
      </c>
    </row>
    <row r="1732" spans="1:10" x14ac:dyDescent="0.35">
      <c r="A1732">
        <v>17829</v>
      </c>
      <c r="B1732" t="s">
        <v>30</v>
      </c>
      <c r="C1732" t="s">
        <v>544</v>
      </c>
      <c r="D1732" t="s">
        <v>546</v>
      </c>
      <c r="E1732" t="s">
        <v>106</v>
      </c>
      <c r="F1732" t="s">
        <v>244</v>
      </c>
      <c r="G1732" s="39">
        <v>45887</v>
      </c>
      <c r="J1732" t="s">
        <v>981</v>
      </c>
    </row>
    <row r="1733" spans="1:10" x14ac:dyDescent="0.35">
      <c r="A1733">
        <v>17830</v>
      </c>
      <c r="B1733" t="s">
        <v>30</v>
      </c>
      <c r="C1733" t="s">
        <v>544</v>
      </c>
      <c r="D1733" t="s">
        <v>546</v>
      </c>
      <c r="E1733" t="s">
        <v>103</v>
      </c>
      <c r="F1733" t="s">
        <v>244</v>
      </c>
      <c r="G1733" s="39">
        <v>45887</v>
      </c>
      <c r="J1733" t="s">
        <v>981</v>
      </c>
    </row>
    <row r="1734" spans="1:10" x14ac:dyDescent="0.35">
      <c r="A1734">
        <v>18878</v>
      </c>
      <c r="B1734" t="s">
        <v>30</v>
      </c>
      <c r="C1734" t="s">
        <v>544</v>
      </c>
      <c r="D1734" t="s">
        <v>546</v>
      </c>
      <c r="E1734" t="s">
        <v>103</v>
      </c>
      <c r="F1734" t="s">
        <v>244</v>
      </c>
      <c r="G1734" s="39">
        <v>46230</v>
      </c>
      <c r="J1734" t="s">
        <v>981</v>
      </c>
    </row>
    <row r="1735" spans="1:10" x14ac:dyDescent="0.35">
      <c r="A1735">
        <v>18247</v>
      </c>
      <c r="B1735" t="s">
        <v>30</v>
      </c>
      <c r="C1735" t="s">
        <v>544</v>
      </c>
      <c r="D1735" t="s">
        <v>546</v>
      </c>
      <c r="E1735" t="s">
        <v>106</v>
      </c>
      <c r="F1735" t="s">
        <v>244</v>
      </c>
      <c r="G1735" s="39">
        <v>46072</v>
      </c>
      <c r="J1735" t="s">
        <v>981</v>
      </c>
    </row>
    <row r="1736" spans="1:10" x14ac:dyDescent="0.35">
      <c r="A1736">
        <v>18248</v>
      </c>
      <c r="B1736" t="s">
        <v>30</v>
      </c>
      <c r="C1736" t="s">
        <v>544</v>
      </c>
      <c r="D1736" t="s">
        <v>546</v>
      </c>
      <c r="E1736" t="s">
        <v>106</v>
      </c>
      <c r="F1736" t="s">
        <v>244</v>
      </c>
      <c r="G1736" s="39">
        <v>46072</v>
      </c>
      <c r="J1736" t="s">
        <v>981</v>
      </c>
    </row>
    <row r="1737" spans="1:10" x14ac:dyDescent="0.35">
      <c r="A1737">
        <v>18581</v>
      </c>
      <c r="B1737" t="s">
        <v>30</v>
      </c>
      <c r="C1737" t="s">
        <v>544</v>
      </c>
      <c r="D1737" t="s">
        <v>546</v>
      </c>
      <c r="E1737" t="s">
        <v>106</v>
      </c>
      <c r="F1737" t="s">
        <v>244</v>
      </c>
      <c r="G1737" s="39">
        <v>46160</v>
      </c>
      <c r="J1737" t="s">
        <v>981</v>
      </c>
    </row>
    <row r="1738" spans="1:10" x14ac:dyDescent="0.35">
      <c r="A1738">
        <v>17991</v>
      </c>
      <c r="B1738" t="s">
        <v>30</v>
      </c>
      <c r="C1738" t="s">
        <v>544</v>
      </c>
      <c r="D1738" t="s">
        <v>546</v>
      </c>
      <c r="E1738" t="s">
        <v>106</v>
      </c>
      <c r="F1738" t="s">
        <v>244</v>
      </c>
      <c r="G1738" s="39">
        <v>45951</v>
      </c>
      <c r="J1738" t="s">
        <v>981</v>
      </c>
    </row>
    <row r="1739" spans="1:10" x14ac:dyDescent="0.35">
      <c r="A1739">
        <v>18505</v>
      </c>
      <c r="B1739" t="s">
        <v>30</v>
      </c>
      <c r="C1739" t="s">
        <v>544</v>
      </c>
      <c r="D1739" t="s">
        <v>546</v>
      </c>
      <c r="E1739" t="s">
        <v>106</v>
      </c>
      <c r="F1739" t="s">
        <v>244</v>
      </c>
      <c r="G1739" s="39">
        <v>46143</v>
      </c>
      <c r="J1739" t="s">
        <v>981</v>
      </c>
    </row>
    <row r="1740" spans="1:10" x14ac:dyDescent="0.35">
      <c r="A1740">
        <v>290051</v>
      </c>
      <c r="B1740" t="s">
        <v>30</v>
      </c>
      <c r="C1740" t="s">
        <v>544</v>
      </c>
      <c r="D1740" t="s">
        <v>555</v>
      </c>
      <c r="E1740" t="s">
        <v>151</v>
      </c>
      <c r="F1740" t="s">
        <v>244</v>
      </c>
      <c r="G1740" s="39">
        <v>43355</v>
      </c>
      <c r="J1740" t="s">
        <v>981</v>
      </c>
    </row>
    <row r="1741" spans="1:10" x14ac:dyDescent="0.35">
      <c r="A1741">
        <v>11678</v>
      </c>
      <c r="B1741" t="s">
        <v>30</v>
      </c>
      <c r="C1741" t="s">
        <v>544</v>
      </c>
      <c r="D1741" t="s">
        <v>555</v>
      </c>
      <c r="E1741" t="s">
        <v>402</v>
      </c>
      <c r="F1741" t="s">
        <v>244</v>
      </c>
      <c r="G1741" s="39">
        <v>43011</v>
      </c>
      <c r="J1741" t="s">
        <v>981</v>
      </c>
    </row>
    <row r="1742" spans="1:10" x14ac:dyDescent="0.35">
      <c r="A1742">
        <v>800031</v>
      </c>
      <c r="B1742" t="s">
        <v>30</v>
      </c>
      <c r="C1742" t="s">
        <v>544</v>
      </c>
      <c r="D1742" t="s">
        <v>555</v>
      </c>
      <c r="E1742" t="s">
        <v>109</v>
      </c>
      <c r="F1742" t="s">
        <v>244</v>
      </c>
      <c r="G1742" s="39">
        <v>42342</v>
      </c>
      <c r="J1742" t="s">
        <v>981</v>
      </c>
    </row>
    <row r="1743" spans="1:10" x14ac:dyDescent="0.35">
      <c r="A1743">
        <v>14059</v>
      </c>
      <c r="B1743" t="s">
        <v>30</v>
      </c>
      <c r="C1743" t="s">
        <v>544</v>
      </c>
      <c r="D1743" t="s">
        <v>555</v>
      </c>
      <c r="E1743" t="s">
        <v>102</v>
      </c>
      <c r="F1743" t="s">
        <v>244</v>
      </c>
      <c r="G1743" s="39">
        <v>44638</v>
      </c>
      <c r="J1743" t="s">
        <v>981</v>
      </c>
    </row>
    <row r="1744" spans="1:10" x14ac:dyDescent="0.35">
      <c r="A1744">
        <v>12676</v>
      </c>
      <c r="B1744" t="s">
        <v>30</v>
      </c>
      <c r="C1744" t="s">
        <v>544</v>
      </c>
      <c r="D1744" t="s">
        <v>555</v>
      </c>
      <c r="E1744" t="s">
        <v>102</v>
      </c>
      <c r="F1744" t="s">
        <v>244</v>
      </c>
      <c r="G1744" s="39">
        <v>43864</v>
      </c>
      <c r="J1744" t="s">
        <v>981</v>
      </c>
    </row>
    <row r="1745" spans="1:10" x14ac:dyDescent="0.35">
      <c r="A1745">
        <v>14310</v>
      </c>
      <c r="B1745" t="s">
        <v>30</v>
      </c>
      <c r="C1745" t="s">
        <v>544</v>
      </c>
      <c r="D1745" t="s">
        <v>555</v>
      </c>
      <c r="E1745" t="s">
        <v>102</v>
      </c>
      <c r="F1745" t="s">
        <v>244</v>
      </c>
      <c r="G1745" s="39">
        <v>44728</v>
      </c>
      <c r="J1745" t="s">
        <v>981</v>
      </c>
    </row>
    <row r="1746" spans="1:10" x14ac:dyDescent="0.35">
      <c r="A1746">
        <v>14880</v>
      </c>
      <c r="B1746" t="s">
        <v>30</v>
      </c>
      <c r="C1746" t="s">
        <v>544</v>
      </c>
      <c r="D1746" t="s">
        <v>555</v>
      </c>
      <c r="E1746" t="s">
        <v>102</v>
      </c>
      <c r="F1746" t="s">
        <v>244</v>
      </c>
      <c r="G1746" s="39">
        <v>44886</v>
      </c>
      <c r="J1746" t="s">
        <v>981</v>
      </c>
    </row>
    <row r="1747" spans="1:10" x14ac:dyDescent="0.35">
      <c r="A1747">
        <v>14327</v>
      </c>
      <c r="B1747" t="s">
        <v>30</v>
      </c>
      <c r="C1747" t="s">
        <v>544</v>
      </c>
      <c r="D1747" t="s">
        <v>555</v>
      </c>
      <c r="E1747" t="s">
        <v>102</v>
      </c>
      <c r="F1747" t="s">
        <v>244</v>
      </c>
      <c r="G1747" s="39">
        <v>44734</v>
      </c>
      <c r="J1747" t="s">
        <v>981</v>
      </c>
    </row>
    <row r="1748" spans="1:10" x14ac:dyDescent="0.35">
      <c r="A1748">
        <v>16317</v>
      </c>
      <c r="B1748" t="s">
        <v>30</v>
      </c>
      <c r="C1748" t="s">
        <v>544</v>
      </c>
      <c r="D1748" t="s">
        <v>555</v>
      </c>
      <c r="E1748" t="s">
        <v>103</v>
      </c>
      <c r="F1748" t="s">
        <v>244</v>
      </c>
      <c r="G1748" s="39">
        <v>45344</v>
      </c>
      <c r="J1748" t="s">
        <v>981</v>
      </c>
    </row>
    <row r="1749" spans="1:10" x14ac:dyDescent="0.35">
      <c r="A1749">
        <v>16562</v>
      </c>
      <c r="B1749" t="s">
        <v>30</v>
      </c>
      <c r="C1749" t="s">
        <v>544</v>
      </c>
      <c r="D1749" t="s">
        <v>555</v>
      </c>
      <c r="E1749" t="s">
        <v>103</v>
      </c>
      <c r="F1749" t="s">
        <v>244</v>
      </c>
      <c r="G1749" s="39">
        <v>45489</v>
      </c>
      <c r="J1749" t="s">
        <v>981</v>
      </c>
    </row>
    <row r="1750" spans="1:10" x14ac:dyDescent="0.35">
      <c r="A1750">
        <v>16693</v>
      </c>
      <c r="B1750" t="s">
        <v>30</v>
      </c>
      <c r="C1750" t="s">
        <v>544</v>
      </c>
      <c r="D1750" t="s">
        <v>555</v>
      </c>
      <c r="E1750" t="s">
        <v>103</v>
      </c>
      <c r="F1750" t="s">
        <v>244</v>
      </c>
      <c r="G1750" s="39">
        <v>45526</v>
      </c>
      <c r="J1750" t="s">
        <v>981</v>
      </c>
    </row>
    <row r="1751" spans="1:10" x14ac:dyDescent="0.35">
      <c r="A1751">
        <v>17286</v>
      </c>
      <c r="B1751" t="s">
        <v>30</v>
      </c>
      <c r="C1751" t="s">
        <v>544</v>
      </c>
      <c r="D1751" t="s">
        <v>555</v>
      </c>
      <c r="E1751" t="s">
        <v>103</v>
      </c>
      <c r="F1751" t="s">
        <v>244</v>
      </c>
      <c r="G1751" s="39">
        <v>45694</v>
      </c>
      <c r="J1751" t="s">
        <v>981</v>
      </c>
    </row>
    <row r="1752" spans="1:10" x14ac:dyDescent="0.35">
      <c r="A1752">
        <v>17302</v>
      </c>
      <c r="B1752" t="s">
        <v>30</v>
      </c>
      <c r="C1752" t="s">
        <v>544</v>
      </c>
      <c r="D1752" t="s">
        <v>555</v>
      </c>
      <c r="E1752" t="s">
        <v>103</v>
      </c>
      <c r="F1752" t="s">
        <v>244</v>
      </c>
      <c r="G1752" s="39">
        <v>45699</v>
      </c>
      <c r="J1752" t="s">
        <v>981</v>
      </c>
    </row>
    <row r="1753" spans="1:10" x14ac:dyDescent="0.35">
      <c r="A1753">
        <v>17336</v>
      </c>
      <c r="B1753" t="s">
        <v>30</v>
      </c>
      <c r="C1753" t="s">
        <v>544</v>
      </c>
      <c r="D1753" t="s">
        <v>555</v>
      </c>
      <c r="E1753" t="s">
        <v>556</v>
      </c>
      <c r="F1753" t="s">
        <v>244</v>
      </c>
      <c r="G1753" s="39">
        <v>45709</v>
      </c>
      <c r="J1753" t="s">
        <v>981</v>
      </c>
    </row>
    <row r="1754" spans="1:10" x14ac:dyDescent="0.35">
      <c r="A1754">
        <v>17396</v>
      </c>
      <c r="B1754" t="s">
        <v>30</v>
      </c>
      <c r="C1754" t="s">
        <v>544</v>
      </c>
      <c r="D1754" t="s">
        <v>555</v>
      </c>
      <c r="E1754" t="s">
        <v>103</v>
      </c>
      <c r="F1754" t="s">
        <v>244</v>
      </c>
      <c r="G1754" s="39">
        <v>45730</v>
      </c>
      <c r="J1754" t="s">
        <v>981</v>
      </c>
    </row>
    <row r="1755" spans="1:10" x14ac:dyDescent="0.35">
      <c r="A1755">
        <v>17488</v>
      </c>
      <c r="B1755" t="s">
        <v>30</v>
      </c>
      <c r="C1755" t="s">
        <v>544</v>
      </c>
      <c r="D1755" t="s">
        <v>555</v>
      </c>
      <c r="E1755" t="s">
        <v>103</v>
      </c>
      <c r="F1755" t="s">
        <v>244</v>
      </c>
      <c r="G1755" s="39">
        <v>45769</v>
      </c>
      <c r="J1755" t="s">
        <v>981</v>
      </c>
    </row>
    <row r="1756" spans="1:10" x14ac:dyDescent="0.35">
      <c r="A1756">
        <v>17491</v>
      </c>
      <c r="B1756" t="s">
        <v>30</v>
      </c>
      <c r="C1756" t="s">
        <v>544</v>
      </c>
      <c r="D1756" t="s">
        <v>555</v>
      </c>
      <c r="E1756" t="s">
        <v>103</v>
      </c>
      <c r="F1756" t="s">
        <v>244</v>
      </c>
      <c r="G1756" s="39">
        <v>45769</v>
      </c>
      <c r="J1756" t="s">
        <v>981</v>
      </c>
    </row>
    <row r="1757" spans="1:10" x14ac:dyDescent="0.35">
      <c r="A1757">
        <v>17498</v>
      </c>
      <c r="B1757" t="s">
        <v>30</v>
      </c>
      <c r="C1757" t="s">
        <v>544</v>
      </c>
      <c r="D1757" t="s">
        <v>555</v>
      </c>
      <c r="E1757" t="s">
        <v>103</v>
      </c>
      <c r="F1757" t="s">
        <v>244</v>
      </c>
      <c r="G1757" s="39">
        <v>45770</v>
      </c>
      <c r="J1757" t="s">
        <v>981</v>
      </c>
    </row>
    <row r="1758" spans="1:10" x14ac:dyDescent="0.35">
      <c r="A1758">
        <v>17520</v>
      </c>
      <c r="B1758" t="s">
        <v>30</v>
      </c>
      <c r="C1758" t="s">
        <v>544</v>
      </c>
      <c r="D1758" t="s">
        <v>555</v>
      </c>
      <c r="E1758" t="s">
        <v>103</v>
      </c>
      <c r="F1758" t="s">
        <v>244</v>
      </c>
      <c r="G1758" s="39">
        <v>45783</v>
      </c>
      <c r="J1758" t="s">
        <v>981</v>
      </c>
    </row>
    <row r="1759" spans="1:10" x14ac:dyDescent="0.35">
      <c r="A1759">
        <v>17556</v>
      </c>
      <c r="B1759" t="s">
        <v>30</v>
      </c>
      <c r="C1759" t="s">
        <v>544</v>
      </c>
      <c r="D1759" t="s">
        <v>555</v>
      </c>
      <c r="E1759" t="s">
        <v>103</v>
      </c>
      <c r="F1759" t="s">
        <v>244</v>
      </c>
      <c r="G1759" s="39">
        <v>45791</v>
      </c>
      <c r="J1759" t="s">
        <v>981</v>
      </c>
    </row>
    <row r="1760" spans="1:10" x14ac:dyDescent="0.35">
      <c r="A1760">
        <v>17564</v>
      </c>
      <c r="B1760" t="s">
        <v>30</v>
      </c>
      <c r="C1760" t="s">
        <v>544</v>
      </c>
      <c r="D1760" t="s">
        <v>555</v>
      </c>
      <c r="E1760" t="s">
        <v>103</v>
      </c>
      <c r="F1760" t="s">
        <v>244</v>
      </c>
      <c r="G1760" s="39">
        <v>45791</v>
      </c>
      <c r="J1760" t="s">
        <v>981</v>
      </c>
    </row>
    <row r="1761" spans="1:10" x14ac:dyDescent="0.35">
      <c r="A1761">
        <v>17570</v>
      </c>
      <c r="B1761" t="s">
        <v>30</v>
      </c>
      <c r="C1761" t="s">
        <v>544</v>
      </c>
      <c r="D1761" t="s">
        <v>555</v>
      </c>
      <c r="E1761" t="s">
        <v>103</v>
      </c>
      <c r="F1761" t="s">
        <v>244</v>
      </c>
      <c r="G1761" s="39">
        <v>45796</v>
      </c>
      <c r="J1761" t="s">
        <v>981</v>
      </c>
    </row>
    <row r="1762" spans="1:10" x14ac:dyDescent="0.35">
      <c r="A1762">
        <v>17585</v>
      </c>
      <c r="B1762" t="s">
        <v>30</v>
      </c>
      <c r="C1762" t="s">
        <v>544</v>
      </c>
      <c r="D1762" t="s">
        <v>555</v>
      </c>
      <c r="E1762" t="s">
        <v>103</v>
      </c>
      <c r="F1762" t="s">
        <v>244</v>
      </c>
      <c r="G1762" s="39">
        <v>45800</v>
      </c>
      <c r="J1762" t="s">
        <v>981</v>
      </c>
    </row>
    <row r="1763" spans="1:10" x14ac:dyDescent="0.35">
      <c r="A1763">
        <v>17657</v>
      </c>
      <c r="B1763" t="s">
        <v>30</v>
      </c>
      <c r="C1763" t="s">
        <v>544</v>
      </c>
      <c r="D1763" t="s">
        <v>555</v>
      </c>
      <c r="E1763" t="s">
        <v>103</v>
      </c>
      <c r="F1763" t="s">
        <v>244</v>
      </c>
      <c r="G1763" s="39">
        <v>45828</v>
      </c>
      <c r="J1763" t="s">
        <v>981</v>
      </c>
    </row>
    <row r="1764" spans="1:10" x14ac:dyDescent="0.35">
      <c r="A1764">
        <v>17884</v>
      </c>
      <c r="B1764" t="s">
        <v>30</v>
      </c>
      <c r="C1764" t="s">
        <v>544</v>
      </c>
      <c r="D1764" t="s">
        <v>555</v>
      </c>
      <c r="E1764" t="s">
        <v>106</v>
      </c>
      <c r="F1764" t="s">
        <v>244</v>
      </c>
      <c r="G1764" s="39">
        <v>45904</v>
      </c>
      <c r="J1764" t="s">
        <v>981</v>
      </c>
    </row>
    <row r="1765" spans="1:10" x14ac:dyDescent="0.35">
      <c r="A1765">
        <v>19030</v>
      </c>
      <c r="B1765" t="s">
        <v>30</v>
      </c>
      <c r="C1765" t="s">
        <v>544</v>
      </c>
      <c r="D1765" t="s">
        <v>555</v>
      </c>
      <c r="E1765" t="s">
        <v>106</v>
      </c>
      <c r="F1765" t="s">
        <v>244</v>
      </c>
      <c r="G1765" s="39">
        <v>46266</v>
      </c>
      <c r="J1765" t="s">
        <v>981</v>
      </c>
    </row>
    <row r="1766" spans="1:10" x14ac:dyDescent="0.35">
      <c r="A1766">
        <v>19071</v>
      </c>
      <c r="B1766" t="s">
        <v>30</v>
      </c>
      <c r="C1766" t="s">
        <v>544</v>
      </c>
      <c r="D1766" t="s">
        <v>555</v>
      </c>
      <c r="E1766" t="s">
        <v>106</v>
      </c>
      <c r="F1766" t="s">
        <v>244</v>
      </c>
      <c r="G1766" s="39">
        <v>46266</v>
      </c>
      <c r="J1766" t="s">
        <v>981</v>
      </c>
    </row>
    <row r="1767" spans="1:10" x14ac:dyDescent="0.35">
      <c r="A1767">
        <v>19072</v>
      </c>
      <c r="B1767" t="s">
        <v>30</v>
      </c>
      <c r="C1767" t="s">
        <v>544</v>
      </c>
      <c r="D1767" t="s">
        <v>555</v>
      </c>
      <c r="E1767" t="s">
        <v>106</v>
      </c>
      <c r="F1767" t="s">
        <v>244</v>
      </c>
      <c r="G1767" s="39">
        <v>46266</v>
      </c>
      <c r="J1767" t="s">
        <v>981</v>
      </c>
    </row>
    <row r="1768" spans="1:10" x14ac:dyDescent="0.35">
      <c r="A1768">
        <v>19073</v>
      </c>
      <c r="B1768" t="s">
        <v>30</v>
      </c>
      <c r="C1768" t="s">
        <v>544</v>
      </c>
      <c r="D1768" t="s">
        <v>555</v>
      </c>
      <c r="E1768" t="s">
        <v>106</v>
      </c>
      <c r="F1768" t="s">
        <v>244</v>
      </c>
      <c r="G1768" s="39">
        <v>46266</v>
      </c>
      <c r="J1768" t="s">
        <v>981</v>
      </c>
    </row>
    <row r="1769" spans="1:10" x14ac:dyDescent="0.35">
      <c r="A1769">
        <v>19075</v>
      </c>
      <c r="B1769" t="s">
        <v>30</v>
      </c>
      <c r="C1769" t="s">
        <v>544</v>
      </c>
      <c r="D1769" t="s">
        <v>555</v>
      </c>
      <c r="E1769" t="s">
        <v>106</v>
      </c>
      <c r="F1769" t="s">
        <v>244</v>
      </c>
      <c r="G1769" s="39">
        <v>46266</v>
      </c>
      <c r="J1769" t="s">
        <v>981</v>
      </c>
    </row>
    <row r="1770" spans="1:10" x14ac:dyDescent="0.35">
      <c r="A1770">
        <v>19209</v>
      </c>
      <c r="B1770" t="s">
        <v>30</v>
      </c>
      <c r="C1770" t="s">
        <v>544</v>
      </c>
      <c r="D1770" t="s">
        <v>555</v>
      </c>
      <c r="E1770" t="s">
        <v>234</v>
      </c>
      <c r="F1770" t="s">
        <v>244</v>
      </c>
      <c r="G1770" s="39">
        <v>46279</v>
      </c>
      <c r="J1770" t="s">
        <v>981</v>
      </c>
    </row>
    <row r="1771" spans="1:10" x14ac:dyDescent="0.35">
      <c r="A1771">
        <v>19210</v>
      </c>
      <c r="B1771" t="s">
        <v>30</v>
      </c>
      <c r="C1771" t="s">
        <v>544</v>
      </c>
      <c r="D1771" t="s">
        <v>555</v>
      </c>
      <c r="E1771" t="s">
        <v>234</v>
      </c>
      <c r="F1771" t="s">
        <v>244</v>
      </c>
      <c r="G1771" s="39">
        <v>46279</v>
      </c>
      <c r="J1771" t="s">
        <v>981</v>
      </c>
    </row>
    <row r="1772" spans="1:10" x14ac:dyDescent="0.35">
      <c r="A1772">
        <v>19211</v>
      </c>
      <c r="B1772" t="s">
        <v>30</v>
      </c>
      <c r="C1772" t="s">
        <v>544</v>
      </c>
      <c r="D1772" t="s">
        <v>555</v>
      </c>
      <c r="E1772" t="s">
        <v>234</v>
      </c>
      <c r="F1772" t="s">
        <v>244</v>
      </c>
      <c r="G1772" s="39">
        <v>46279</v>
      </c>
      <c r="J1772" t="s">
        <v>981</v>
      </c>
    </row>
    <row r="1773" spans="1:10" x14ac:dyDescent="0.35">
      <c r="A1773">
        <v>19212</v>
      </c>
      <c r="B1773" t="s">
        <v>30</v>
      </c>
      <c r="C1773" t="s">
        <v>544</v>
      </c>
      <c r="D1773" t="s">
        <v>555</v>
      </c>
      <c r="E1773" t="s">
        <v>234</v>
      </c>
      <c r="F1773" t="s">
        <v>244</v>
      </c>
      <c r="G1773" s="39">
        <v>46279</v>
      </c>
      <c r="J1773" t="s">
        <v>981</v>
      </c>
    </row>
    <row r="1774" spans="1:10" x14ac:dyDescent="0.35">
      <c r="A1774">
        <v>19125</v>
      </c>
      <c r="B1774" t="s">
        <v>30</v>
      </c>
      <c r="C1774" t="s">
        <v>544</v>
      </c>
      <c r="D1774" t="s">
        <v>555</v>
      </c>
      <c r="E1774" t="s">
        <v>106</v>
      </c>
      <c r="F1774" t="s">
        <v>244</v>
      </c>
      <c r="G1774" s="39">
        <v>46279</v>
      </c>
      <c r="J1774" t="s">
        <v>981</v>
      </c>
    </row>
    <row r="1775" spans="1:10" x14ac:dyDescent="0.35">
      <c r="A1775">
        <v>19217</v>
      </c>
      <c r="B1775" t="s">
        <v>30</v>
      </c>
      <c r="C1775" t="s">
        <v>544</v>
      </c>
      <c r="D1775" t="s">
        <v>555</v>
      </c>
      <c r="E1775" t="s">
        <v>234</v>
      </c>
      <c r="F1775" t="s">
        <v>244</v>
      </c>
      <c r="G1775" s="39">
        <v>46279</v>
      </c>
      <c r="J1775" t="s">
        <v>981</v>
      </c>
    </row>
    <row r="1776" spans="1:10" x14ac:dyDescent="0.35">
      <c r="A1776">
        <v>19221</v>
      </c>
      <c r="B1776" t="s">
        <v>30</v>
      </c>
      <c r="C1776" t="s">
        <v>544</v>
      </c>
      <c r="D1776" t="s">
        <v>555</v>
      </c>
      <c r="E1776" t="s">
        <v>234</v>
      </c>
      <c r="F1776" t="s">
        <v>244</v>
      </c>
      <c r="G1776" s="39">
        <v>46279</v>
      </c>
      <c r="J1776" t="s">
        <v>981</v>
      </c>
    </row>
    <row r="1777" spans="1:10" x14ac:dyDescent="0.35">
      <c r="A1777">
        <v>19218</v>
      </c>
      <c r="B1777" t="s">
        <v>30</v>
      </c>
      <c r="C1777" t="s">
        <v>544</v>
      </c>
      <c r="D1777" t="s">
        <v>555</v>
      </c>
      <c r="E1777" t="s">
        <v>234</v>
      </c>
      <c r="F1777" t="s">
        <v>244</v>
      </c>
      <c r="G1777" s="39">
        <v>46279</v>
      </c>
      <c r="J1777" t="s">
        <v>981</v>
      </c>
    </row>
    <row r="1778" spans="1:10" x14ac:dyDescent="0.35">
      <c r="A1778">
        <v>19213</v>
      </c>
      <c r="B1778" t="s">
        <v>30</v>
      </c>
      <c r="C1778" t="s">
        <v>544</v>
      </c>
      <c r="D1778" t="s">
        <v>555</v>
      </c>
      <c r="E1778" t="s">
        <v>234</v>
      </c>
      <c r="F1778" t="s">
        <v>244</v>
      </c>
      <c r="G1778" s="39">
        <v>46279</v>
      </c>
      <c r="J1778" t="s">
        <v>981</v>
      </c>
    </row>
    <row r="1779" spans="1:10" x14ac:dyDescent="0.35">
      <c r="A1779">
        <v>19214</v>
      </c>
      <c r="B1779" t="s">
        <v>30</v>
      </c>
      <c r="C1779" t="s">
        <v>544</v>
      </c>
      <c r="D1779" t="s">
        <v>555</v>
      </c>
      <c r="E1779" t="s">
        <v>234</v>
      </c>
      <c r="F1779" t="s">
        <v>244</v>
      </c>
      <c r="G1779" s="39">
        <v>46279</v>
      </c>
      <c r="J1779" t="s">
        <v>981</v>
      </c>
    </row>
    <row r="1780" spans="1:10" x14ac:dyDescent="0.35">
      <c r="A1780">
        <v>19215</v>
      </c>
      <c r="B1780" t="s">
        <v>30</v>
      </c>
      <c r="C1780" t="s">
        <v>544</v>
      </c>
      <c r="D1780" t="s">
        <v>555</v>
      </c>
      <c r="E1780" t="s">
        <v>234</v>
      </c>
      <c r="F1780" t="s">
        <v>244</v>
      </c>
      <c r="G1780" s="39">
        <v>46279</v>
      </c>
      <c r="J1780" t="s">
        <v>981</v>
      </c>
    </row>
    <row r="1781" spans="1:10" x14ac:dyDescent="0.35">
      <c r="A1781">
        <v>19226</v>
      </c>
      <c r="B1781" t="s">
        <v>30</v>
      </c>
      <c r="C1781" t="s">
        <v>544</v>
      </c>
      <c r="D1781" t="s">
        <v>555</v>
      </c>
      <c r="E1781" t="s">
        <v>234</v>
      </c>
      <c r="F1781" t="s">
        <v>244</v>
      </c>
      <c r="G1781" s="39">
        <v>46279</v>
      </c>
      <c r="J1781" t="s">
        <v>981</v>
      </c>
    </row>
    <row r="1782" spans="1:10" x14ac:dyDescent="0.35">
      <c r="A1782">
        <v>19219</v>
      </c>
      <c r="B1782" t="s">
        <v>30</v>
      </c>
      <c r="C1782" t="s">
        <v>544</v>
      </c>
      <c r="D1782" t="s">
        <v>555</v>
      </c>
      <c r="E1782" t="s">
        <v>234</v>
      </c>
      <c r="F1782" t="s">
        <v>244</v>
      </c>
      <c r="G1782" s="39">
        <v>46279</v>
      </c>
      <c r="J1782" t="s">
        <v>981</v>
      </c>
    </row>
    <row r="1783" spans="1:10" x14ac:dyDescent="0.35">
      <c r="A1783">
        <v>19222</v>
      </c>
      <c r="B1783" t="s">
        <v>30</v>
      </c>
      <c r="C1783" t="s">
        <v>544</v>
      </c>
      <c r="D1783" t="s">
        <v>555</v>
      </c>
      <c r="E1783" t="s">
        <v>234</v>
      </c>
      <c r="F1783" t="s">
        <v>244</v>
      </c>
      <c r="G1783" s="39">
        <v>46279</v>
      </c>
      <c r="J1783" t="s">
        <v>981</v>
      </c>
    </row>
    <row r="1784" spans="1:10" x14ac:dyDescent="0.35">
      <c r="A1784">
        <v>19220</v>
      </c>
      <c r="B1784" t="s">
        <v>30</v>
      </c>
      <c r="C1784" t="s">
        <v>544</v>
      </c>
      <c r="D1784" t="s">
        <v>555</v>
      </c>
      <c r="E1784" t="s">
        <v>234</v>
      </c>
      <c r="F1784" t="s">
        <v>244</v>
      </c>
      <c r="G1784" s="39">
        <v>46279</v>
      </c>
      <c r="J1784" t="s">
        <v>981</v>
      </c>
    </row>
    <row r="1785" spans="1:10" x14ac:dyDescent="0.35">
      <c r="A1785">
        <v>19223</v>
      </c>
      <c r="B1785" t="s">
        <v>30</v>
      </c>
      <c r="C1785" t="s">
        <v>544</v>
      </c>
      <c r="D1785" t="s">
        <v>555</v>
      </c>
      <c r="E1785" t="s">
        <v>234</v>
      </c>
      <c r="F1785" t="s">
        <v>244</v>
      </c>
      <c r="G1785" s="39">
        <v>46279</v>
      </c>
      <c r="J1785" t="s">
        <v>981</v>
      </c>
    </row>
    <row r="1786" spans="1:10" x14ac:dyDescent="0.35">
      <c r="A1786">
        <v>19216</v>
      </c>
      <c r="B1786" t="s">
        <v>30</v>
      </c>
      <c r="C1786" t="s">
        <v>544</v>
      </c>
      <c r="D1786" t="s">
        <v>555</v>
      </c>
      <c r="E1786" t="s">
        <v>234</v>
      </c>
      <c r="F1786" t="s">
        <v>244</v>
      </c>
      <c r="G1786" s="39">
        <v>46279</v>
      </c>
      <c r="J1786" t="s">
        <v>981</v>
      </c>
    </row>
    <row r="1787" spans="1:10" x14ac:dyDescent="0.35">
      <c r="A1787">
        <v>19224</v>
      </c>
      <c r="B1787" t="s">
        <v>30</v>
      </c>
      <c r="C1787" t="s">
        <v>544</v>
      </c>
      <c r="D1787" t="s">
        <v>555</v>
      </c>
      <c r="E1787" t="s">
        <v>234</v>
      </c>
      <c r="F1787" t="s">
        <v>244</v>
      </c>
      <c r="G1787" s="39">
        <v>46279</v>
      </c>
      <c r="J1787" t="s">
        <v>981</v>
      </c>
    </row>
    <row r="1788" spans="1:10" x14ac:dyDescent="0.35">
      <c r="A1788">
        <v>19227</v>
      </c>
      <c r="B1788" t="s">
        <v>30</v>
      </c>
      <c r="C1788" t="s">
        <v>544</v>
      </c>
      <c r="D1788" t="s">
        <v>555</v>
      </c>
      <c r="E1788" t="s">
        <v>234</v>
      </c>
      <c r="F1788" t="s">
        <v>244</v>
      </c>
      <c r="G1788" s="39">
        <v>46279</v>
      </c>
      <c r="J1788" t="s">
        <v>981</v>
      </c>
    </row>
    <row r="1789" spans="1:10" x14ac:dyDescent="0.35">
      <c r="A1789">
        <v>18006</v>
      </c>
      <c r="B1789" t="s">
        <v>30</v>
      </c>
      <c r="C1789" t="s">
        <v>544</v>
      </c>
      <c r="D1789" t="s">
        <v>555</v>
      </c>
      <c r="E1789" t="s">
        <v>106</v>
      </c>
      <c r="F1789" t="s">
        <v>244</v>
      </c>
      <c r="G1789" s="39">
        <v>45954</v>
      </c>
      <c r="J1789" t="s">
        <v>981</v>
      </c>
    </row>
    <row r="1790" spans="1:10" x14ac:dyDescent="0.35">
      <c r="A1790">
        <v>18015</v>
      </c>
      <c r="B1790" t="s">
        <v>30</v>
      </c>
      <c r="C1790" t="s">
        <v>544</v>
      </c>
      <c r="D1790" t="s">
        <v>555</v>
      </c>
      <c r="E1790" t="s">
        <v>106</v>
      </c>
      <c r="F1790" t="s">
        <v>244</v>
      </c>
      <c r="G1790" s="39">
        <v>45964</v>
      </c>
      <c r="J1790" t="s">
        <v>981</v>
      </c>
    </row>
    <row r="1791" spans="1:10" x14ac:dyDescent="0.35">
      <c r="A1791">
        <v>18105</v>
      </c>
      <c r="B1791" t="s">
        <v>30</v>
      </c>
      <c r="C1791" t="s">
        <v>544</v>
      </c>
      <c r="D1791" t="s">
        <v>555</v>
      </c>
      <c r="E1791" t="s">
        <v>106</v>
      </c>
      <c r="F1791" t="s">
        <v>244</v>
      </c>
      <c r="G1791" s="39">
        <v>45996</v>
      </c>
      <c r="J1791" t="s">
        <v>981</v>
      </c>
    </row>
    <row r="1792" spans="1:10" x14ac:dyDescent="0.35">
      <c r="A1792">
        <v>18192</v>
      </c>
      <c r="B1792" t="s">
        <v>30</v>
      </c>
      <c r="C1792" t="s">
        <v>544</v>
      </c>
      <c r="D1792" t="s">
        <v>555</v>
      </c>
      <c r="E1792" t="s">
        <v>106</v>
      </c>
      <c r="F1792" t="s">
        <v>244</v>
      </c>
      <c r="G1792" s="39">
        <v>46043</v>
      </c>
      <c r="J1792" t="s">
        <v>981</v>
      </c>
    </row>
    <row r="1793" spans="1:10" x14ac:dyDescent="0.35">
      <c r="A1793">
        <v>17790</v>
      </c>
      <c r="B1793" t="s">
        <v>30</v>
      </c>
      <c r="C1793" t="s">
        <v>544</v>
      </c>
      <c r="D1793" t="s">
        <v>555</v>
      </c>
      <c r="E1793" t="s">
        <v>106</v>
      </c>
      <c r="F1793" t="s">
        <v>244</v>
      </c>
      <c r="G1793" s="39">
        <v>45876</v>
      </c>
      <c r="J1793" t="s">
        <v>981</v>
      </c>
    </row>
    <row r="1794" spans="1:10" x14ac:dyDescent="0.35">
      <c r="A1794">
        <v>17818</v>
      </c>
      <c r="B1794" t="s">
        <v>30</v>
      </c>
      <c r="C1794" t="s">
        <v>544</v>
      </c>
      <c r="D1794" t="s">
        <v>555</v>
      </c>
      <c r="E1794" t="s">
        <v>106</v>
      </c>
      <c r="F1794" t="s">
        <v>244</v>
      </c>
      <c r="G1794" s="39">
        <v>45882</v>
      </c>
      <c r="J1794" t="s">
        <v>981</v>
      </c>
    </row>
    <row r="1795" spans="1:10" x14ac:dyDescent="0.35">
      <c r="A1795">
        <v>18989</v>
      </c>
      <c r="B1795" t="s">
        <v>30</v>
      </c>
      <c r="C1795" t="s">
        <v>544</v>
      </c>
      <c r="D1795" t="s">
        <v>555</v>
      </c>
      <c r="E1795" t="s">
        <v>106</v>
      </c>
      <c r="F1795" t="s">
        <v>244</v>
      </c>
      <c r="G1795" s="39">
        <v>46255</v>
      </c>
      <c r="J1795" t="s">
        <v>981</v>
      </c>
    </row>
    <row r="1796" spans="1:10" x14ac:dyDescent="0.35">
      <c r="A1796">
        <v>18773</v>
      </c>
      <c r="B1796" t="s">
        <v>30</v>
      </c>
      <c r="C1796" t="s">
        <v>544</v>
      </c>
      <c r="D1796" t="s">
        <v>555</v>
      </c>
      <c r="E1796" t="s">
        <v>106</v>
      </c>
      <c r="F1796" t="s">
        <v>244</v>
      </c>
      <c r="G1796" s="39">
        <v>46210</v>
      </c>
      <c r="J1796" t="s">
        <v>981</v>
      </c>
    </row>
    <row r="1797" spans="1:10" x14ac:dyDescent="0.35">
      <c r="A1797">
        <v>18859</v>
      </c>
      <c r="B1797" t="s">
        <v>30</v>
      </c>
      <c r="C1797" t="s">
        <v>544</v>
      </c>
      <c r="D1797" t="s">
        <v>555</v>
      </c>
      <c r="E1797" t="s">
        <v>106</v>
      </c>
      <c r="F1797" t="s">
        <v>244</v>
      </c>
      <c r="G1797" s="39">
        <v>46225</v>
      </c>
      <c r="J1797" t="s">
        <v>981</v>
      </c>
    </row>
    <row r="1798" spans="1:10" x14ac:dyDescent="0.35">
      <c r="A1798">
        <v>18860</v>
      </c>
      <c r="B1798" t="s">
        <v>30</v>
      </c>
      <c r="C1798" t="s">
        <v>544</v>
      </c>
      <c r="D1798" t="s">
        <v>555</v>
      </c>
      <c r="E1798" t="s">
        <v>106</v>
      </c>
      <c r="F1798" t="s">
        <v>244</v>
      </c>
      <c r="G1798" s="39">
        <v>46225</v>
      </c>
      <c r="J1798" t="s">
        <v>981</v>
      </c>
    </row>
    <row r="1799" spans="1:10" x14ac:dyDescent="0.35">
      <c r="A1799">
        <v>18868</v>
      </c>
      <c r="B1799" t="s">
        <v>30</v>
      </c>
      <c r="C1799" t="s">
        <v>544</v>
      </c>
      <c r="D1799" t="s">
        <v>555</v>
      </c>
      <c r="E1799" t="s">
        <v>106</v>
      </c>
      <c r="F1799" t="s">
        <v>244</v>
      </c>
      <c r="G1799" s="39">
        <v>46226</v>
      </c>
      <c r="J1799" t="s">
        <v>981</v>
      </c>
    </row>
    <row r="1800" spans="1:10" x14ac:dyDescent="0.35">
      <c r="A1800">
        <v>18867</v>
      </c>
      <c r="B1800" t="s">
        <v>30</v>
      </c>
      <c r="C1800" t="s">
        <v>544</v>
      </c>
      <c r="D1800" t="s">
        <v>555</v>
      </c>
      <c r="E1800" t="s">
        <v>106</v>
      </c>
      <c r="F1800" t="s">
        <v>244</v>
      </c>
      <c r="G1800" s="39">
        <v>46226</v>
      </c>
      <c r="J1800" t="s">
        <v>981</v>
      </c>
    </row>
    <row r="1801" spans="1:10" x14ac:dyDescent="0.35">
      <c r="A1801">
        <v>18591</v>
      </c>
      <c r="B1801" t="s">
        <v>30</v>
      </c>
      <c r="C1801" t="s">
        <v>544</v>
      </c>
      <c r="D1801" t="s">
        <v>555</v>
      </c>
      <c r="E1801" t="s">
        <v>106</v>
      </c>
      <c r="F1801" t="s">
        <v>244</v>
      </c>
      <c r="G1801" s="39">
        <v>46163</v>
      </c>
      <c r="J1801" t="s">
        <v>981</v>
      </c>
    </row>
    <row r="1802" spans="1:10" x14ac:dyDescent="0.35">
      <c r="A1802">
        <v>18592</v>
      </c>
      <c r="B1802" t="s">
        <v>30</v>
      </c>
      <c r="C1802" t="s">
        <v>544</v>
      </c>
      <c r="D1802" t="s">
        <v>555</v>
      </c>
      <c r="E1802" t="s">
        <v>106</v>
      </c>
      <c r="F1802" t="s">
        <v>244</v>
      </c>
      <c r="G1802" s="39">
        <v>46163</v>
      </c>
      <c r="J1802" t="s">
        <v>981</v>
      </c>
    </row>
    <row r="1803" spans="1:10" x14ac:dyDescent="0.35">
      <c r="A1803">
        <v>18596</v>
      </c>
      <c r="B1803" t="s">
        <v>30</v>
      </c>
      <c r="C1803" t="s">
        <v>544</v>
      </c>
      <c r="D1803" t="s">
        <v>555</v>
      </c>
      <c r="E1803" t="s">
        <v>106</v>
      </c>
      <c r="F1803" t="s">
        <v>244</v>
      </c>
      <c r="G1803" s="39">
        <v>46163</v>
      </c>
      <c r="J1803" t="s">
        <v>981</v>
      </c>
    </row>
    <row r="1804" spans="1:10" x14ac:dyDescent="0.35">
      <c r="A1804">
        <v>18193</v>
      </c>
      <c r="B1804" t="s">
        <v>30</v>
      </c>
      <c r="C1804" t="s">
        <v>544</v>
      </c>
      <c r="D1804" t="s">
        <v>555</v>
      </c>
      <c r="E1804" t="s">
        <v>106</v>
      </c>
      <c r="F1804" t="s">
        <v>244</v>
      </c>
      <c r="G1804" s="39">
        <v>46043</v>
      </c>
      <c r="J1804" t="s">
        <v>981</v>
      </c>
    </row>
    <row r="1805" spans="1:10" x14ac:dyDescent="0.35">
      <c r="A1805">
        <v>17368</v>
      </c>
      <c r="B1805" t="s">
        <v>30</v>
      </c>
      <c r="C1805" t="s">
        <v>544</v>
      </c>
      <c r="D1805" t="s">
        <v>555</v>
      </c>
      <c r="E1805" t="s">
        <v>556</v>
      </c>
      <c r="F1805" t="s">
        <v>244</v>
      </c>
      <c r="G1805" s="39">
        <v>45722</v>
      </c>
      <c r="J1805" t="s">
        <v>981</v>
      </c>
    </row>
    <row r="1806" spans="1:10" x14ac:dyDescent="0.35">
      <c r="A1806">
        <v>18632</v>
      </c>
      <c r="B1806" t="s">
        <v>30</v>
      </c>
      <c r="C1806" t="s">
        <v>544</v>
      </c>
      <c r="D1806" t="s">
        <v>555</v>
      </c>
      <c r="E1806" t="s">
        <v>557</v>
      </c>
      <c r="F1806" t="s">
        <v>244</v>
      </c>
      <c r="G1806" s="39">
        <v>46175</v>
      </c>
      <c r="J1806" t="s">
        <v>981</v>
      </c>
    </row>
    <row r="1807" spans="1:10" x14ac:dyDescent="0.35">
      <c r="A1807">
        <v>18687</v>
      </c>
      <c r="B1807" t="s">
        <v>30</v>
      </c>
      <c r="C1807" t="s">
        <v>544</v>
      </c>
      <c r="D1807" t="s">
        <v>555</v>
      </c>
      <c r="E1807" t="s">
        <v>106</v>
      </c>
      <c r="F1807" t="s">
        <v>244</v>
      </c>
      <c r="G1807" s="39">
        <v>46191</v>
      </c>
      <c r="J1807" t="s">
        <v>981</v>
      </c>
    </row>
    <row r="1808" spans="1:10" x14ac:dyDescent="0.35">
      <c r="A1808">
        <v>16875</v>
      </c>
      <c r="B1808" t="s">
        <v>30</v>
      </c>
      <c r="C1808" t="s">
        <v>544</v>
      </c>
      <c r="D1808" t="s">
        <v>558</v>
      </c>
      <c r="E1808" t="s">
        <v>109</v>
      </c>
      <c r="F1808" t="s">
        <v>244</v>
      </c>
      <c r="G1808" s="39">
        <v>45566</v>
      </c>
      <c r="J1808" t="s">
        <v>981</v>
      </c>
    </row>
    <row r="1809" spans="1:10" x14ac:dyDescent="0.35">
      <c r="A1809">
        <v>16374</v>
      </c>
      <c r="B1809" t="s">
        <v>30</v>
      </c>
      <c r="C1809" t="s">
        <v>544</v>
      </c>
      <c r="D1809" t="s">
        <v>558</v>
      </c>
      <c r="E1809" t="s">
        <v>103</v>
      </c>
      <c r="F1809" t="s">
        <v>244</v>
      </c>
      <c r="G1809" s="39">
        <v>45363</v>
      </c>
      <c r="J1809" t="s">
        <v>981</v>
      </c>
    </row>
    <row r="1810" spans="1:10" x14ac:dyDescent="0.35">
      <c r="A1810">
        <v>13366</v>
      </c>
      <c r="B1810" t="s">
        <v>30</v>
      </c>
      <c r="C1810" t="s">
        <v>559</v>
      </c>
      <c r="D1810" t="s">
        <v>92</v>
      </c>
      <c r="E1810" t="s">
        <v>101</v>
      </c>
      <c r="F1810" t="s">
        <v>244</v>
      </c>
      <c r="G1810" s="39">
        <v>44410</v>
      </c>
      <c r="J1810" t="s">
        <v>981</v>
      </c>
    </row>
    <row r="1811" spans="1:10" x14ac:dyDescent="0.35">
      <c r="A1811">
        <v>13694</v>
      </c>
      <c r="B1811" t="s">
        <v>30</v>
      </c>
      <c r="C1811" t="s">
        <v>559</v>
      </c>
      <c r="D1811" t="s">
        <v>92</v>
      </c>
      <c r="E1811" t="s">
        <v>102</v>
      </c>
      <c r="F1811" t="s">
        <v>244</v>
      </c>
      <c r="G1811" s="39">
        <v>44538</v>
      </c>
      <c r="J1811" t="s">
        <v>981</v>
      </c>
    </row>
    <row r="1812" spans="1:10" x14ac:dyDescent="0.35">
      <c r="A1812">
        <v>14137</v>
      </c>
      <c r="B1812" t="s">
        <v>30</v>
      </c>
      <c r="C1812" t="s">
        <v>559</v>
      </c>
      <c r="D1812" t="s">
        <v>92</v>
      </c>
      <c r="E1812" t="s">
        <v>102</v>
      </c>
      <c r="F1812" t="s">
        <v>244</v>
      </c>
      <c r="G1812" s="39">
        <v>44671</v>
      </c>
      <c r="J1812" t="s">
        <v>981</v>
      </c>
    </row>
    <row r="1813" spans="1:10" x14ac:dyDescent="0.35">
      <c r="A1813">
        <v>14281</v>
      </c>
      <c r="B1813" t="s">
        <v>30</v>
      </c>
      <c r="C1813" t="s">
        <v>559</v>
      </c>
      <c r="D1813" t="s">
        <v>92</v>
      </c>
      <c r="E1813" t="s">
        <v>102</v>
      </c>
      <c r="F1813" t="s">
        <v>244</v>
      </c>
      <c r="G1813" s="39">
        <v>44713</v>
      </c>
      <c r="J1813" t="s">
        <v>981</v>
      </c>
    </row>
    <row r="1814" spans="1:10" x14ac:dyDescent="0.35">
      <c r="A1814">
        <v>15537</v>
      </c>
      <c r="B1814" t="s">
        <v>30</v>
      </c>
      <c r="C1814" t="s">
        <v>559</v>
      </c>
      <c r="D1814" t="s">
        <v>92</v>
      </c>
      <c r="E1814" t="s">
        <v>102</v>
      </c>
      <c r="F1814" t="s">
        <v>244</v>
      </c>
      <c r="G1814" s="39">
        <v>45119</v>
      </c>
      <c r="J1814" t="s">
        <v>981</v>
      </c>
    </row>
    <row r="1815" spans="1:10" x14ac:dyDescent="0.35">
      <c r="A1815">
        <v>16329</v>
      </c>
      <c r="B1815" t="s">
        <v>30</v>
      </c>
      <c r="C1815" t="s">
        <v>559</v>
      </c>
      <c r="D1815" t="s">
        <v>92</v>
      </c>
      <c r="E1815" t="s">
        <v>102</v>
      </c>
      <c r="F1815" t="s">
        <v>244</v>
      </c>
      <c r="G1815" s="39">
        <v>45355</v>
      </c>
      <c r="J1815" t="s">
        <v>981</v>
      </c>
    </row>
    <row r="1816" spans="1:10" x14ac:dyDescent="0.35">
      <c r="A1816">
        <v>13850</v>
      </c>
      <c r="B1816" t="s">
        <v>30</v>
      </c>
      <c r="C1816" t="s">
        <v>559</v>
      </c>
      <c r="D1816" t="s">
        <v>92</v>
      </c>
      <c r="E1816" t="s">
        <v>102</v>
      </c>
      <c r="F1816" t="s">
        <v>244</v>
      </c>
      <c r="G1816" s="39">
        <v>44603</v>
      </c>
      <c r="J1816" t="s">
        <v>981</v>
      </c>
    </row>
    <row r="1817" spans="1:10" x14ac:dyDescent="0.35">
      <c r="A1817">
        <v>14195</v>
      </c>
      <c r="B1817" t="s">
        <v>30</v>
      </c>
      <c r="C1817" t="s">
        <v>559</v>
      </c>
      <c r="D1817" t="s">
        <v>561</v>
      </c>
      <c r="E1817" t="s">
        <v>402</v>
      </c>
      <c r="F1817" t="s">
        <v>244</v>
      </c>
      <c r="G1817" s="39">
        <v>44694</v>
      </c>
      <c r="J1817" t="s">
        <v>981</v>
      </c>
    </row>
    <row r="1818" spans="1:10" x14ac:dyDescent="0.35">
      <c r="A1818">
        <v>14441</v>
      </c>
      <c r="B1818" t="s">
        <v>30</v>
      </c>
      <c r="C1818" t="s">
        <v>559</v>
      </c>
      <c r="D1818" t="s">
        <v>561</v>
      </c>
      <c r="E1818" t="s">
        <v>102</v>
      </c>
      <c r="F1818" t="s">
        <v>244</v>
      </c>
      <c r="G1818" s="39">
        <v>44760</v>
      </c>
      <c r="J1818" t="s">
        <v>981</v>
      </c>
    </row>
    <row r="1819" spans="1:10" x14ac:dyDescent="0.35">
      <c r="A1819">
        <v>13828</v>
      </c>
      <c r="B1819" t="s">
        <v>30</v>
      </c>
      <c r="C1819" t="s">
        <v>559</v>
      </c>
      <c r="D1819" t="s">
        <v>561</v>
      </c>
      <c r="E1819" t="s">
        <v>402</v>
      </c>
      <c r="F1819" t="s">
        <v>244</v>
      </c>
      <c r="G1819" s="39">
        <v>44596</v>
      </c>
      <c r="J1819" t="s">
        <v>981</v>
      </c>
    </row>
    <row r="1820" spans="1:10" x14ac:dyDescent="0.35">
      <c r="A1820">
        <v>13851</v>
      </c>
      <c r="B1820" t="s">
        <v>30</v>
      </c>
      <c r="C1820" t="s">
        <v>559</v>
      </c>
      <c r="D1820" t="s">
        <v>561</v>
      </c>
      <c r="E1820" t="s">
        <v>402</v>
      </c>
      <c r="F1820" t="s">
        <v>244</v>
      </c>
      <c r="G1820" s="39">
        <v>44603</v>
      </c>
      <c r="J1820" t="s">
        <v>981</v>
      </c>
    </row>
    <row r="1821" spans="1:10" x14ac:dyDescent="0.35">
      <c r="A1821">
        <v>13585</v>
      </c>
      <c r="B1821" t="s">
        <v>30</v>
      </c>
      <c r="C1821" t="s">
        <v>559</v>
      </c>
      <c r="D1821" t="s">
        <v>561</v>
      </c>
      <c r="E1821" t="s">
        <v>102</v>
      </c>
      <c r="F1821" t="s">
        <v>244</v>
      </c>
      <c r="G1821" s="39">
        <v>44503</v>
      </c>
      <c r="J1821" t="s">
        <v>981</v>
      </c>
    </row>
    <row r="1822" spans="1:10" x14ac:dyDescent="0.35">
      <c r="A1822">
        <v>12864</v>
      </c>
      <c r="B1822" t="s">
        <v>30</v>
      </c>
      <c r="C1822" t="s">
        <v>559</v>
      </c>
      <c r="D1822" t="s">
        <v>561</v>
      </c>
      <c r="E1822" t="s">
        <v>102</v>
      </c>
      <c r="F1822" t="s">
        <v>244</v>
      </c>
      <c r="G1822" s="39">
        <v>44056</v>
      </c>
      <c r="J1822" t="s">
        <v>981</v>
      </c>
    </row>
    <row r="1823" spans="1:10" x14ac:dyDescent="0.35">
      <c r="A1823">
        <v>13301</v>
      </c>
      <c r="B1823" t="s">
        <v>30</v>
      </c>
      <c r="C1823" t="s">
        <v>559</v>
      </c>
      <c r="D1823" t="s">
        <v>561</v>
      </c>
      <c r="E1823" t="s">
        <v>102</v>
      </c>
      <c r="F1823" t="s">
        <v>244</v>
      </c>
      <c r="G1823" s="39">
        <v>44378</v>
      </c>
      <c r="J1823" t="s">
        <v>981</v>
      </c>
    </row>
    <row r="1824" spans="1:10" x14ac:dyDescent="0.35">
      <c r="A1824">
        <v>13344</v>
      </c>
      <c r="B1824" t="s">
        <v>30</v>
      </c>
      <c r="C1824" t="s">
        <v>559</v>
      </c>
      <c r="D1824" t="s">
        <v>561</v>
      </c>
      <c r="E1824" t="s">
        <v>102</v>
      </c>
      <c r="F1824" t="s">
        <v>244</v>
      </c>
      <c r="G1824" s="39">
        <v>44394</v>
      </c>
      <c r="J1824" t="s">
        <v>981</v>
      </c>
    </row>
    <row r="1825" spans="1:10" x14ac:dyDescent="0.35">
      <c r="A1825">
        <v>14014</v>
      </c>
      <c r="B1825" t="s">
        <v>30</v>
      </c>
      <c r="C1825" t="s">
        <v>559</v>
      </c>
      <c r="D1825" t="s">
        <v>561</v>
      </c>
      <c r="E1825" t="s">
        <v>102</v>
      </c>
      <c r="F1825" t="s">
        <v>244</v>
      </c>
      <c r="G1825" s="39">
        <v>44624</v>
      </c>
      <c r="J1825" t="s">
        <v>981</v>
      </c>
    </row>
    <row r="1826" spans="1:10" x14ac:dyDescent="0.35">
      <c r="A1826">
        <v>12789</v>
      </c>
      <c r="B1826" t="s">
        <v>30</v>
      </c>
      <c r="C1826" t="s">
        <v>559</v>
      </c>
      <c r="D1826" t="s">
        <v>561</v>
      </c>
      <c r="E1826" t="s">
        <v>103</v>
      </c>
      <c r="F1826" t="s">
        <v>411</v>
      </c>
      <c r="G1826" s="39">
        <v>43931</v>
      </c>
      <c r="J1826" t="s">
        <v>981</v>
      </c>
    </row>
    <row r="1827" spans="1:10" x14ac:dyDescent="0.35">
      <c r="A1827">
        <v>17651</v>
      </c>
      <c r="B1827" t="s">
        <v>30</v>
      </c>
      <c r="C1827" t="s">
        <v>559</v>
      </c>
      <c r="D1827" t="s">
        <v>561</v>
      </c>
      <c r="E1827" t="s">
        <v>424</v>
      </c>
      <c r="F1827" t="s">
        <v>244</v>
      </c>
      <c r="G1827" s="39">
        <v>45828</v>
      </c>
      <c r="J1827" t="s">
        <v>981</v>
      </c>
    </row>
    <row r="1828" spans="1:10" x14ac:dyDescent="0.35">
      <c r="A1828">
        <v>12492</v>
      </c>
      <c r="B1828" t="s">
        <v>30</v>
      </c>
      <c r="C1828" t="s">
        <v>559</v>
      </c>
      <c r="D1828" t="s">
        <v>561</v>
      </c>
      <c r="E1828" t="s">
        <v>103</v>
      </c>
      <c r="F1828" t="s">
        <v>244</v>
      </c>
      <c r="G1828" s="39">
        <v>43775</v>
      </c>
      <c r="J1828" t="s">
        <v>981</v>
      </c>
    </row>
    <row r="1829" spans="1:10" x14ac:dyDescent="0.35">
      <c r="A1829">
        <v>12651</v>
      </c>
      <c r="B1829" t="s">
        <v>30</v>
      </c>
      <c r="C1829" t="s">
        <v>559</v>
      </c>
      <c r="D1829" t="s">
        <v>561</v>
      </c>
      <c r="E1829" t="s">
        <v>103</v>
      </c>
      <c r="F1829" t="s">
        <v>244</v>
      </c>
      <c r="G1829" s="39">
        <v>43853</v>
      </c>
      <c r="J1829" t="s">
        <v>981</v>
      </c>
    </row>
    <row r="1830" spans="1:10" x14ac:dyDescent="0.35">
      <c r="A1830">
        <v>12094</v>
      </c>
      <c r="B1830" t="s">
        <v>30</v>
      </c>
      <c r="C1830" t="s">
        <v>559</v>
      </c>
      <c r="D1830" t="s">
        <v>561</v>
      </c>
      <c r="E1830" t="s">
        <v>103</v>
      </c>
      <c r="F1830" t="s">
        <v>244</v>
      </c>
      <c r="G1830" s="39">
        <v>43458</v>
      </c>
      <c r="J1830" t="s">
        <v>981</v>
      </c>
    </row>
    <row r="1831" spans="1:10" x14ac:dyDescent="0.35">
      <c r="A1831">
        <v>12565</v>
      </c>
      <c r="B1831" t="s">
        <v>30</v>
      </c>
      <c r="C1831" t="s">
        <v>559</v>
      </c>
      <c r="D1831" t="s">
        <v>561</v>
      </c>
      <c r="E1831" t="s">
        <v>103</v>
      </c>
      <c r="F1831" t="s">
        <v>244</v>
      </c>
      <c r="G1831" s="39">
        <v>43810</v>
      </c>
      <c r="J1831" t="s">
        <v>981</v>
      </c>
    </row>
    <row r="1832" spans="1:10" x14ac:dyDescent="0.35">
      <c r="A1832">
        <v>12733</v>
      </c>
      <c r="B1832" t="s">
        <v>30</v>
      </c>
      <c r="C1832" t="s">
        <v>559</v>
      </c>
      <c r="D1832" t="s">
        <v>561</v>
      </c>
      <c r="E1832" t="s">
        <v>103</v>
      </c>
      <c r="F1832" t="s">
        <v>411</v>
      </c>
      <c r="G1832" s="39">
        <v>43885</v>
      </c>
      <c r="J1832" t="s">
        <v>981</v>
      </c>
    </row>
    <row r="1833" spans="1:10" x14ac:dyDescent="0.35">
      <c r="A1833">
        <v>15544</v>
      </c>
      <c r="B1833" t="s">
        <v>30</v>
      </c>
      <c r="C1833" t="s">
        <v>559</v>
      </c>
      <c r="D1833" t="s">
        <v>561</v>
      </c>
      <c r="E1833" t="s">
        <v>491</v>
      </c>
      <c r="F1833" t="s">
        <v>244</v>
      </c>
      <c r="G1833" s="39">
        <v>45120</v>
      </c>
      <c r="J1833" t="s">
        <v>981</v>
      </c>
    </row>
    <row r="1834" spans="1:10" x14ac:dyDescent="0.35">
      <c r="A1834">
        <v>12797</v>
      </c>
      <c r="B1834" t="s">
        <v>30</v>
      </c>
      <c r="C1834" t="s">
        <v>559</v>
      </c>
      <c r="D1834" t="s">
        <v>561</v>
      </c>
      <c r="E1834" t="s">
        <v>103</v>
      </c>
      <c r="F1834" t="s">
        <v>244</v>
      </c>
      <c r="G1834" s="39">
        <v>43936</v>
      </c>
      <c r="J1834" t="s">
        <v>981</v>
      </c>
    </row>
    <row r="1835" spans="1:10" x14ac:dyDescent="0.35">
      <c r="A1835">
        <v>13431</v>
      </c>
      <c r="B1835" t="s">
        <v>30</v>
      </c>
      <c r="C1835" t="s">
        <v>559</v>
      </c>
      <c r="D1835" t="s">
        <v>561</v>
      </c>
      <c r="E1835" t="s">
        <v>103</v>
      </c>
      <c r="F1835" t="s">
        <v>244</v>
      </c>
      <c r="G1835" s="39">
        <v>44452</v>
      </c>
      <c r="J1835" t="s">
        <v>981</v>
      </c>
    </row>
    <row r="1836" spans="1:10" x14ac:dyDescent="0.35">
      <c r="A1836">
        <v>13494</v>
      </c>
      <c r="B1836" t="s">
        <v>30</v>
      </c>
      <c r="C1836" t="s">
        <v>559</v>
      </c>
      <c r="D1836" t="s">
        <v>561</v>
      </c>
      <c r="E1836" t="s">
        <v>102</v>
      </c>
      <c r="F1836" t="s">
        <v>245</v>
      </c>
      <c r="G1836" s="39">
        <v>44475</v>
      </c>
      <c r="J1836" t="s">
        <v>981</v>
      </c>
    </row>
    <row r="1837" spans="1:10" x14ac:dyDescent="0.35">
      <c r="A1837">
        <v>16544</v>
      </c>
      <c r="B1837" t="s">
        <v>30</v>
      </c>
      <c r="C1837" t="s">
        <v>559</v>
      </c>
      <c r="D1837" t="s">
        <v>561</v>
      </c>
      <c r="E1837" t="s">
        <v>491</v>
      </c>
      <c r="F1837" t="s">
        <v>244</v>
      </c>
      <c r="G1837" s="39">
        <v>45478</v>
      </c>
      <c r="J1837" t="s">
        <v>981</v>
      </c>
    </row>
    <row r="1838" spans="1:10" x14ac:dyDescent="0.35">
      <c r="A1838">
        <v>13802</v>
      </c>
      <c r="B1838" t="s">
        <v>30</v>
      </c>
      <c r="C1838" t="s">
        <v>559</v>
      </c>
      <c r="D1838" t="s">
        <v>561</v>
      </c>
      <c r="E1838" t="s">
        <v>103</v>
      </c>
      <c r="F1838" t="s">
        <v>245</v>
      </c>
      <c r="G1838" s="39">
        <v>44582</v>
      </c>
      <c r="J1838" t="s">
        <v>981</v>
      </c>
    </row>
    <row r="1839" spans="1:10" x14ac:dyDescent="0.35">
      <c r="A1839">
        <v>13480</v>
      </c>
      <c r="B1839" t="s">
        <v>30</v>
      </c>
      <c r="C1839" t="s">
        <v>559</v>
      </c>
      <c r="D1839" t="s">
        <v>561</v>
      </c>
      <c r="E1839" t="s">
        <v>103</v>
      </c>
      <c r="F1839" t="s">
        <v>244</v>
      </c>
      <c r="G1839" s="39">
        <v>44474</v>
      </c>
      <c r="J1839" t="s">
        <v>981</v>
      </c>
    </row>
    <row r="1840" spans="1:10" x14ac:dyDescent="0.35">
      <c r="A1840">
        <v>13481</v>
      </c>
      <c r="B1840" t="s">
        <v>30</v>
      </c>
      <c r="C1840" t="s">
        <v>559</v>
      </c>
      <c r="D1840" t="s">
        <v>561</v>
      </c>
      <c r="E1840" t="s">
        <v>103</v>
      </c>
      <c r="F1840" t="s">
        <v>244</v>
      </c>
      <c r="G1840" s="39">
        <v>44474</v>
      </c>
      <c r="J1840" t="s">
        <v>981</v>
      </c>
    </row>
    <row r="1841" spans="1:10" x14ac:dyDescent="0.35">
      <c r="A1841">
        <v>13564</v>
      </c>
      <c r="B1841" t="s">
        <v>30</v>
      </c>
      <c r="C1841" t="s">
        <v>559</v>
      </c>
      <c r="D1841" t="s">
        <v>561</v>
      </c>
      <c r="E1841" t="s">
        <v>103</v>
      </c>
      <c r="F1841" t="s">
        <v>244</v>
      </c>
      <c r="G1841" s="39">
        <v>44501</v>
      </c>
      <c r="J1841" t="s">
        <v>981</v>
      </c>
    </row>
    <row r="1842" spans="1:10" x14ac:dyDescent="0.35">
      <c r="A1842">
        <v>13800</v>
      </c>
      <c r="B1842" t="s">
        <v>30</v>
      </c>
      <c r="C1842" t="s">
        <v>559</v>
      </c>
      <c r="D1842" t="s">
        <v>561</v>
      </c>
      <c r="E1842" t="s">
        <v>103</v>
      </c>
      <c r="F1842" t="s">
        <v>244</v>
      </c>
      <c r="G1842" s="39">
        <v>44582</v>
      </c>
      <c r="J1842" t="s">
        <v>981</v>
      </c>
    </row>
    <row r="1843" spans="1:10" x14ac:dyDescent="0.35">
      <c r="A1843">
        <v>12720</v>
      </c>
      <c r="B1843" t="s">
        <v>30</v>
      </c>
      <c r="C1843" t="s">
        <v>559</v>
      </c>
      <c r="D1843" t="s">
        <v>561</v>
      </c>
      <c r="E1843" t="s">
        <v>103</v>
      </c>
      <c r="F1843" t="s">
        <v>244</v>
      </c>
      <c r="G1843" s="39">
        <v>43878</v>
      </c>
      <c r="J1843" t="s">
        <v>981</v>
      </c>
    </row>
    <row r="1844" spans="1:10" x14ac:dyDescent="0.35">
      <c r="A1844">
        <v>13227</v>
      </c>
      <c r="B1844" t="s">
        <v>30</v>
      </c>
      <c r="C1844" t="s">
        <v>559</v>
      </c>
      <c r="D1844" t="s">
        <v>561</v>
      </c>
      <c r="E1844" t="s">
        <v>103</v>
      </c>
      <c r="F1844" t="s">
        <v>411</v>
      </c>
      <c r="G1844" s="39">
        <v>44324</v>
      </c>
      <c r="J1844" t="s">
        <v>981</v>
      </c>
    </row>
    <row r="1845" spans="1:10" x14ac:dyDescent="0.35">
      <c r="A1845">
        <v>16543</v>
      </c>
      <c r="B1845" t="s">
        <v>30</v>
      </c>
      <c r="C1845" t="s">
        <v>559</v>
      </c>
      <c r="D1845" t="s">
        <v>561</v>
      </c>
      <c r="E1845" t="s">
        <v>424</v>
      </c>
      <c r="F1845" t="s">
        <v>244</v>
      </c>
      <c r="G1845" s="39">
        <v>45478</v>
      </c>
      <c r="J1845" t="s">
        <v>981</v>
      </c>
    </row>
    <row r="1846" spans="1:10" x14ac:dyDescent="0.35">
      <c r="A1846">
        <v>13861</v>
      </c>
      <c r="B1846" t="s">
        <v>30</v>
      </c>
      <c r="C1846" t="s">
        <v>559</v>
      </c>
      <c r="D1846" t="s">
        <v>561</v>
      </c>
      <c r="E1846" t="s">
        <v>103</v>
      </c>
      <c r="F1846" t="s">
        <v>244</v>
      </c>
      <c r="G1846" s="39">
        <v>44608</v>
      </c>
      <c r="J1846" t="s">
        <v>981</v>
      </c>
    </row>
    <row r="1847" spans="1:10" x14ac:dyDescent="0.35">
      <c r="A1847">
        <v>13477</v>
      </c>
      <c r="B1847" t="s">
        <v>30</v>
      </c>
      <c r="C1847" t="s">
        <v>559</v>
      </c>
      <c r="D1847" t="s">
        <v>561</v>
      </c>
      <c r="E1847" t="s">
        <v>103</v>
      </c>
      <c r="F1847" t="s">
        <v>244</v>
      </c>
      <c r="G1847" s="39">
        <v>44474</v>
      </c>
      <c r="J1847" t="s">
        <v>981</v>
      </c>
    </row>
    <row r="1848" spans="1:10" x14ac:dyDescent="0.35">
      <c r="A1848">
        <v>13838</v>
      </c>
      <c r="B1848" t="s">
        <v>30</v>
      </c>
      <c r="C1848" t="s">
        <v>559</v>
      </c>
      <c r="D1848" t="s">
        <v>561</v>
      </c>
      <c r="E1848" t="s">
        <v>102</v>
      </c>
      <c r="F1848" t="s">
        <v>244</v>
      </c>
      <c r="G1848" s="39">
        <v>44600</v>
      </c>
      <c r="J1848" t="s">
        <v>981</v>
      </c>
    </row>
    <row r="1849" spans="1:10" x14ac:dyDescent="0.35">
      <c r="A1849">
        <v>15556</v>
      </c>
      <c r="B1849" t="s">
        <v>30</v>
      </c>
      <c r="C1849" t="s">
        <v>559</v>
      </c>
      <c r="D1849" t="s">
        <v>561</v>
      </c>
      <c r="E1849" t="s">
        <v>103</v>
      </c>
      <c r="F1849" t="s">
        <v>244</v>
      </c>
      <c r="G1849" s="39">
        <v>45126</v>
      </c>
      <c r="J1849" t="s">
        <v>981</v>
      </c>
    </row>
    <row r="1850" spans="1:10" x14ac:dyDescent="0.35">
      <c r="A1850">
        <v>14125</v>
      </c>
      <c r="B1850" t="s">
        <v>30</v>
      </c>
      <c r="C1850" t="s">
        <v>559</v>
      </c>
      <c r="D1850" t="s">
        <v>561</v>
      </c>
      <c r="E1850" t="s">
        <v>103</v>
      </c>
      <c r="F1850" t="s">
        <v>244</v>
      </c>
      <c r="G1850" s="39">
        <v>44666</v>
      </c>
      <c r="J1850" t="s">
        <v>981</v>
      </c>
    </row>
    <row r="1851" spans="1:10" x14ac:dyDescent="0.35">
      <c r="A1851">
        <v>12708</v>
      </c>
      <c r="B1851" t="s">
        <v>30</v>
      </c>
      <c r="C1851" t="s">
        <v>559</v>
      </c>
      <c r="D1851" t="s">
        <v>561</v>
      </c>
      <c r="E1851" t="s">
        <v>103</v>
      </c>
      <c r="F1851" t="s">
        <v>244</v>
      </c>
      <c r="G1851" s="39">
        <v>43873</v>
      </c>
      <c r="J1851" t="s">
        <v>981</v>
      </c>
    </row>
    <row r="1852" spans="1:10" x14ac:dyDescent="0.35">
      <c r="A1852">
        <v>14469</v>
      </c>
      <c r="B1852" t="s">
        <v>30</v>
      </c>
      <c r="C1852" t="s">
        <v>559</v>
      </c>
      <c r="D1852" t="s">
        <v>561</v>
      </c>
      <c r="E1852" t="s">
        <v>102</v>
      </c>
      <c r="F1852" t="s">
        <v>244</v>
      </c>
      <c r="G1852" s="39">
        <v>44764</v>
      </c>
      <c r="J1852" t="s">
        <v>981</v>
      </c>
    </row>
    <row r="1853" spans="1:10" x14ac:dyDescent="0.35">
      <c r="A1853">
        <v>14161</v>
      </c>
      <c r="B1853" t="s">
        <v>30</v>
      </c>
      <c r="C1853" t="s">
        <v>559</v>
      </c>
      <c r="D1853" t="s">
        <v>561</v>
      </c>
      <c r="E1853" t="s">
        <v>103</v>
      </c>
      <c r="F1853" t="s">
        <v>244</v>
      </c>
      <c r="G1853" s="39">
        <v>44679</v>
      </c>
      <c r="J1853" t="s">
        <v>981</v>
      </c>
    </row>
    <row r="1854" spans="1:10" x14ac:dyDescent="0.35">
      <c r="A1854">
        <v>16235</v>
      </c>
      <c r="B1854" t="s">
        <v>30</v>
      </c>
      <c r="C1854" t="s">
        <v>559</v>
      </c>
      <c r="D1854" t="s">
        <v>561</v>
      </c>
      <c r="E1854" t="s">
        <v>103</v>
      </c>
      <c r="F1854" t="s">
        <v>244</v>
      </c>
      <c r="G1854" s="39">
        <v>45327</v>
      </c>
      <c r="J1854" t="s">
        <v>981</v>
      </c>
    </row>
    <row r="1855" spans="1:10" x14ac:dyDescent="0.35">
      <c r="A1855">
        <v>13839</v>
      </c>
      <c r="B1855" t="s">
        <v>30</v>
      </c>
      <c r="C1855" t="s">
        <v>559</v>
      </c>
      <c r="D1855" t="s">
        <v>561</v>
      </c>
      <c r="E1855" t="s">
        <v>103</v>
      </c>
      <c r="F1855" t="s">
        <v>244</v>
      </c>
      <c r="G1855" s="39">
        <v>44600</v>
      </c>
      <c r="J1855" t="s">
        <v>981</v>
      </c>
    </row>
    <row r="1856" spans="1:10" x14ac:dyDescent="0.35">
      <c r="A1856">
        <v>13476</v>
      </c>
      <c r="B1856" t="s">
        <v>30</v>
      </c>
      <c r="C1856" t="s">
        <v>559</v>
      </c>
      <c r="D1856" t="s">
        <v>561</v>
      </c>
      <c r="E1856" t="s">
        <v>103</v>
      </c>
      <c r="F1856" t="s">
        <v>244</v>
      </c>
      <c r="G1856" s="39">
        <v>44474</v>
      </c>
      <c r="J1856" t="s">
        <v>981</v>
      </c>
    </row>
    <row r="1857" spans="1:10" x14ac:dyDescent="0.35">
      <c r="A1857">
        <v>14423</v>
      </c>
      <c r="B1857" t="s">
        <v>30</v>
      </c>
      <c r="C1857" t="s">
        <v>559</v>
      </c>
      <c r="D1857" t="s">
        <v>561</v>
      </c>
      <c r="E1857" t="s">
        <v>103</v>
      </c>
      <c r="F1857" t="s">
        <v>244</v>
      </c>
      <c r="G1857" s="39">
        <v>44756</v>
      </c>
      <c r="J1857" t="s">
        <v>981</v>
      </c>
    </row>
    <row r="1858" spans="1:10" x14ac:dyDescent="0.35">
      <c r="A1858">
        <v>14475</v>
      </c>
      <c r="B1858" t="s">
        <v>30</v>
      </c>
      <c r="C1858" t="s">
        <v>559</v>
      </c>
      <c r="D1858" t="s">
        <v>561</v>
      </c>
      <c r="E1858" t="s">
        <v>103</v>
      </c>
      <c r="F1858" t="s">
        <v>244</v>
      </c>
      <c r="G1858" s="39">
        <v>44768</v>
      </c>
      <c r="J1858" t="s">
        <v>981</v>
      </c>
    </row>
    <row r="1859" spans="1:10" x14ac:dyDescent="0.35">
      <c r="A1859">
        <v>13732</v>
      </c>
      <c r="B1859" t="s">
        <v>30</v>
      </c>
      <c r="C1859" t="s">
        <v>559</v>
      </c>
      <c r="D1859" t="s">
        <v>561</v>
      </c>
      <c r="E1859" t="s">
        <v>103</v>
      </c>
      <c r="F1859" t="s">
        <v>244</v>
      </c>
      <c r="G1859" s="39">
        <v>44551</v>
      </c>
      <c r="J1859" t="s">
        <v>981</v>
      </c>
    </row>
    <row r="1860" spans="1:10" x14ac:dyDescent="0.35">
      <c r="A1860">
        <v>14707</v>
      </c>
      <c r="B1860" t="s">
        <v>30</v>
      </c>
      <c r="C1860" t="s">
        <v>559</v>
      </c>
      <c r="D1860" t="s">
        <v>561</v>
      </c>
      <c r="E1860" t="s">
        <v>103</v>
      </c>
      <c r="F1860" t="s">
        <v>244</v>
      </c>
      <c r="G1860" s="39">
        <v>44837</v>
      </c>
      <c r="J1860" t="s">
        <v>981</v>
      </c>
    </row>
    <row r="1861" spans="1:10" x14ac:dyDescent="0.35">
      <c r="A1861">
        <v>14893</v>
      </c>
      <c r="B1861" t="s">
        <v>30</v>
      </c>
      <c r="C1861" t="s">
        <v>559</v>
      </c>
      <c r="D1861" t="s">
        <v>561</v>
      </c>
      <c r="E1861" t="s">
        <v>103</v>
      </c>
      <c r="F1861" t="s">
        <v>411</v>
      </c>
      <c r="G1861" s="39">
        <v>44889</v>
      </c>
      <c r="J1861" t="s">
        <v>981</v>
      </c>
    </row>
    <row r="1862" spans="1:10" x14ac:dyDescent="0.35">
      <c r="A1862">
        <v>16332</v>
      </c>
      <c r="B1862" t="s">
        <v>30</v>
      </c>
      <c r="C1862" t="s">
        <v>559</v>
      </c>
      <c r="D1862" t="s">
        <v>561</v>
      </c>
      <c r="E1862" t="s">
        <v>448</v>
      </c>
      <c r="F1862" t="s">
        <v>244</v>
      </c>
      <c r="G1862" s="39">
        <v>45356</v>
      </c>
      <c r="J1862" t="s">
        <v>981</v>
      </c>
    </row>
    <row r="1863" spans="1:10" x14ac:dyDescent="0.35">
      <c r="A1863">
        <v>14750</v>
      </c>
      <c r="B1863" t="s">
        <v>30</v>
      </c>
      <c r="C1863" t="s">
        <v>559</v>
      </c>
      <c r="D1863" t="s">
        <v>561</v>
      </c>
      <c r="E1863" t="s">
        <v>103</v>
      </c>
      <c r="F1863" t="s">
        <v>244</v>
      </c>
      <c r="G1863" s="39">
        <v>44847</v>
      </c>
      <c r="J1863" t="s">
        <v>981</v>
      </c>
    </row>
    <row r="1864" spans="1:10" x14ac:dyDescent="0.35">
      <c r="A1864">
        <v>13818</v>
      </c>
      <c r="B1864" t="s">
        <v>30</v>
      </c>
      <c r="C1864" t="s">
        <v>559</v>
      </c>
      <c r="D1864" t="s">
        <v>561</v>
      </c>
      <c r="E1864" t="s">
        <v>103</v>
      </c>
      <c r="F1864" t="s">
        <v>244</v>
      </c>
      <c r="G1864" s="39">
        <v>44593</v>
      </c>
      <c r="J1864" t="s">
        <v>981</v>
      </c>
    </row>
    <row r="1865" spans="1:10" x14ac:dyDescent="0.35">
      <c r="A1865">
        <v>14817</v>
      </c>
      <c r="B1865" t="s">
        <v>30</v>
      </c>
      <c r="C1865" t="s">
        <v>559</v>
      </c>
      <c r="D1865" t="s">
        <v>561</v>
      </c>
      <c r="E1865" t="s">
        <v>103</v>
      </c>
      <c r="F1865" t="s">
        <v>244</v>
      </c>
      <c r="G1865" s="39">
        <v>44867</v>
      </c>
      <c r="J1865" t="s">
        <v>981</v>
      </c>
    </row>
    <row r="1866" spans="1:10" x14ac:dyDescent="0.35">
      <c r="A1866">
        <v>14408</v>
      </c>
      <c r="B1866" t="s">
        <v>30</v>
      </c>
      <c r="C1866" t="s">
        <v>559</v>
      </c>
      <c r="D1866" t="s">
        <v>561</v>
      </c>
      <c r="E1866" t="s">
        <v>103</v>
      </c>
      <c r="F1866" t="s">
        <v>244</v>
      </c>
      <c r="G1866" s="39">
        <v>44749</v>
      </c>
      <c r="J1866" t="s">
        <v>981</v>
      </c>
    </row>
    <row r="1867" spans="1:10" x14ac:dyDescent="0.35">
      <c r="A1867">
        <v>15496</v>
      </c>
      <c r="B1867" t="s">
        <v>30</v>
      </c>
      <c r="C1867" t="s">
        <v>559</v>
      </c>
      <c r="D1867" t="s">
        <v>561</v>
      </c>
      <c r="E1867" t="s">
        <v>103</v>
      </c>
      <c r="F1867" t="s">
        <v>244</v>
      </c>
      <c r="G1867" s="39">
        <v>45096</v>
      </c>
      <c r="J1867" t="s">
        <v>981</v>
      </c>
    </row>
    <row r="1868" spans="1:10" x14ac:dyDescent="0.35">
      <c r="A1868">
        <v>14849</v>
      </c>
      <c r="B1868" t="s">
        <v>30</v>
      </c>
      <c r="C1868" t="s">
        <v>559</v>
      </c>
      <c r="D1868" t="s">
        <v>561</v>
      </c>
      <c r="E1868" t="s">
        <v>103</v>
      </c>
      <c r="F1868" t="s">
        <v>244</v>
      </c>
      <c r="G1868" s="39">
        <v>44876</v>
      </c>
      <c r="J1868" t="s">
        <v>981</v>
      </c>
    </row>
    <row r="1869" spans="1:10" x14ac:dyDescent="0.35">
      <c r="A1869">
        <v>13492</v>
      </c>
      <c r="B1869" t="s">
        <v>30</v>
      </c>
      <c r="C1869" t="s">
        <v>559</v>
      </c>
      <c r="D1869" t="s">
        <v>561</v>
      </c>
      <c r="E1869" t="s">
        <v>103</v>
      </c>
      <c r="F1869" t="s">
        <v>411</v>
      </c>
      <c r="G1869" s="39">
        <v>44475</v>
      </c>
      <c r="J1869" t="s">
        <v>981</v>
      </c>
    </row>
    <row r="1870" spans="1:10" x14ac:dyDescent="0.35">
      <c r="A1870">
        <v>17272</v>
      </c>
      <c r="B1870" t="s">
        <v>30</v>
      </c>
      <c r="C1870" t="s">
        <v>559</v>
      </c>
      <c r="D1870" t="s">
        <v>561</v>
      </c>
      <c r="E1870" t="s">
        <v>491</v>
      </c>
      <c r="F1870" t="s">
        <v>244</v>
      </c>
      <c r="G1870" s="39">
        <v>45687</v>
      </c>
      <c r="J1870" t="s">
        <v>981</v>
      </c>
    </row>
    <row r="1871" spans="1:10" x14ac:dyDescent="0.35">
      <c r="A1871">
        <v>15495</v>
      </c>
      <c r="B1871" t="s">
        <v>30</v>
      </c>
      <c r="C1871" t="s">
        <v>559</v>
      </c>
      <c r="D1871" t="s">
        <v>561</v>
      </c>
      <c r="E1871" t="s">
        <v>103</v>
      </c>
      <c r="F1871" t="s">
        <v>244</v>
      </c>
      <c r="G1871" s="39">
        <v>45096</v>
      </c>
      <c r="J1871" t="s">
        <v>981</v>
      </c>
    </row>
    <row r="1872" spans="1:10" x14ac:dyDescent="0.35">
      <c r="A1872">
        <v>15498</v>
      </c>
      <c r="B1872" t="s">
        <v>30</v>
      </c>
      <c r="C1872" t="s">
        <v>559</v>
      </c>
      <c r="D1872" t="s">
        <v>561</v>
      </c>
      <c r="E1872" t="s">
        <v>103</v>
      </c>
      <c r="F1872" t="s">
        <v>244</v>
      </c>
      <c r="G1872" s="39">
        <v>45096</v>
      </c>
      <c r="J1872" t="s">
        <v>981</v>
      </c>
    </row>
    <row r="1873" spans="1:10" x14ac:dyDescent="0.35">
      <c r="A1873">
        <v>16265</v>
      </c>
      <c r="B1873" t="s">
        <v>30</v>
      </c>
      <c r="C1873" t="s">
        <v>559</v>
      </c>
      <c r="D1873" t="s">
        <v>561</v>
      </c>
      <c r="E1873" t="s">
        <v>103</v>
      </c>
      <c r="F1873" t="s">
        <v>244</v>
      </c>
      <c r="G1873" s="39">
        <v>45334</v>
      </c>
      <c r="J1873" t="s">
        <v>981</v>
      </c>
    </row>
    <row r="1874" spans="1:10" x14ac:dyDescent="0.35">
      <c r="A1874">
        <v>15005</v>
      </c>
      <c r="B1874" t="s">
        <v>30</v>
      </c>
      <c r="C1874" t="s">
        <v>559</v>
      </c>
      <c r="D1874" t="s">
        <v>561</v>
      </c>
      <c r="E1874" t="s">
        <v>103</v>
      </c>
      <c r="F1874" t="s">
        <v>244</v>
      </c>
      <c r="G1874" s="39">
        <v>44916</v>
      </c>
      <c r="J1874" t="s">
        <v>981</v>
      </c>
    </row>
    <row r="1875" spans="1:10" x14ac:dyDescent="0.35">
      <c r="A1875">
        <v>14930</v>
      </c>
      <c r="B1875" t="s">
        <v>30</v>
      </c>
      <c r="C1875" t="s">
        <v>559</v>
      </c>
      <c r="D1875" t="s">
        <v>561</v>
      </c>
      <c r="E1875" t="s">
        <v>103</v>
      </c>
      <c r="F1875" t="s">
        <v>244</v>
      </c>
      <c r="G1875" s="39">
        <v>44897</v>
      </c>
      <c r="J1875" t="s">
        <v>981</v>
      </c>
    </row>
    <row r="1876" spans="1:10" x14ac:dyDescent="0.35">
      <c r="A1876">
        <v>16765</v>
      </c>
      <c r="B1876" t="s">
        <v>30</v>
      </c>
      <c r="C1876" t="s">
        <v>559</v>
      </c>
      <c r="D1876" t="s">
        <v>561</v>
      </c>
      <c r="E1876" t="s">
        <v>103</v>
      </c>
      <c r="F1876" t="s">
        <v>244</v>
      </c>
      <c r="G1876" s="39">
        <v>45541</v>
      </c>
      <c r="J1876" t="s">
        <v>981</v>
      </c>
    </row>
    <row r="1877" spans="1:10" x14ac:dyDescent="0.35">
      <c r="A1877">
        <v>15354</v>
      </c>
      <c r="B1877" t="s">
        <v>30</v>
      </c>
      <c r="C1877" t="s">
        <v>559</v>
      </c>
      <c r="D1877" t="s">
        <v>561</v>
      </c>
      <c r="E1877" t="s">
        <v>103</v>
      </c>
      <c r="F1877" t="s">
        <v>244</v>
      </c>
      <c r="G1877" s="39">
        <v>45042</v>
      </c>
      <c r="J1877" t="s">
        <v>981</v>
      </c>
    </row>
    <row r="1878" spans="1:10" x14ac:dyDescent="0.35">
      <c r="A1878">
        <v>14278</v>
      </c>
      <c r="B1878" t="s">
        <v>30</v>
      </c>
      <c r="C1878" t="s">
        <v>559</v>
      </c>
      <c r="D1878" t="s">
        <v>561</v>
      </c>
      <c r="E1878" t="s">
        <v>102</v>
      </c>
      <c r="F1878" t="s">
        <v>244</v>
      </c>
      <c r="G1878" s="39">
        <v>44713</v>
      </c>
      <c r="J1878" t="s">
        <v>981</v>
      </c>
    </row>
    <row r="1879" spans="1:10" x14ac:dyDescent="0.35">
      <c r="A1879">
        <v>14444</v>
      </c>
      <c r="B1879" t="s">
        <v>30</v>
      </c>
      <c r="C1879" t="s">
        <v>559</v>
      </c>
      <c r="D1879" t="s">
        <v>561</v>
      </c>
      <c r="E1879" t="s">
        <v>103</v>
      </c>
      <c r="F1879" t="s">
        <v>244</v>
      </c>
      <c r="G1879" s="39">
        <v>44760</v>
      </c>
      <c r="J1879" t="s">
        <v>981</v>
      </c>
    </row>
    <row r="1880" spans="1:10" x14ac:dyDescent="0.35">
      <c r="A1880">
        <v>16625</v>
      </c>
      <c r="B1880" t="s">
        <v>30</v>
      </c>
      <c r="C1880" t="s">
        <v>559</v>
      </c>
      <c r="D1880" t="s">
        <v>561</v>
      </c>
      <c r="E1880" t="s">
        <v>103</v>
      </c>
      <c r="F1880" t="s">
        <v>244</v>
      </c>
      <c r="G1880" s="39">
        <v>45499</v>
      </c>
      <c r="J1880" t="s">
        <v>981</v>
      </c>
    </row>
    <row r="1881" spans="1:10" x14ac:dyDescent="0.35">
      <c r="A1881">
        <v>18172</v>
      </c>
      <c r="B1881" t="s">
        <v>30</v>
      </c>
      <c r="C1881" t="s">
        <v>559</v>
      </c>
      <c r="D1881" t="s">
        <v>561</v>
      </c>
      <c r="E1881" t="s">
        <v>106</v>
      </c>
      <c r="F1881" t="s">
        <v>244</v>
      </c>
      <c r="G1881" s="39">
        <v>46031</v>
      </c>
      <c r="J1881" t="s">
        <v>981</v>
      </c>
    </row>
    <row r="1882" spans="1:10" x14ac:dyDescent="0.35">
      <c r="A1882">
        <v>18183</v>
      </c>
      <c r="B1882" t="s">
        <v>30</v>
      </c>
      <c r="C1882" t="s">
        <v>559</v>
      </c>
      <c r="D1882" t="s">
        <v>561</v>
      </c>
      <c r="E1882" t="s">
        <v>106</v>
      </c>
      <c r="F1882" t="s">
        <v>244</v>
      </c>
      <c r="G1882" s="39">
        <v>46035</v>
      </c>
      <c r="J1882" t="s">
        <v>981</v>
      </c>
    </row>
    <row r="1883" spans="1:10" x14ac:dyDescent="0.35">
      <c r="A1883">
        <v>12586</v>
      </c>
      <c r="B1883" t="s">
        <v>30</v>
      </c>
      <c r="C1883" t="s">
        <v>559</v>
      </c>
      <c r="D1883" t="s">
        <v>561</v>
      </c>
      <c r="E1883" t="s">
        <v>103</v>
      </c>
      <c r="F1883" t="s">
        <v>411</v>
      </c>
      <c r="G1883" s="39">
        <v>43818</v>
      </c>
      <c r="J1883" t="s">
        <v>981</v>
      </c>
    </row>
    <row r="1884" spans="1:10" x14ac:dyDescent="0.35">
      <c r="A1884">
        <v>17320</v>
      </c>
      <c r="B1884" t="s">
        <v>30</v>
      </c>
      <c r="C1884" t="s">
        <v>559</v>
      </c>
      <c r="D1884" t="s">
        <v>561</v>
      </c>
      <c r="E1884" t="s">
        <v>424</v>
      </c>
      <c r="F1884" t="s">
        <v>244</v>
      </c>
      <c r="G1884" s="39">
        <v>45707</v>
      </c>
      <c r="J1884" t="s">
        <v>981</v>
      </c>
    </row>
    <row r="1885" spans="1:10" x14ac:dyDescent="0.35">
      <c r="A1885">
        <v>12784</v>
      </c>
      <c r="B1885" t="s">
        <v>30</v>
      </c>
      <c r="C1885" t="s">
        <v>559</v>
      </c>
      <c r="D1885" t="s">
        <v>561</v>
      </c>
      <c r="E1885" t="s">
        <v>103</v>
      </c>
      <c r="F1885" t="s">
        <v>411</v>
      </c>
      <c r="G1885" s="39">
        <v>43931</v>
      </c>
      <c r="J1885" t="s">
        <v>981</v>
      </c>
    </row>
    <row r="1886" spans="1:10" x14ac:dyDescent="0.35">
      <c r="A1886">
        <v>18964</v>
      </c>
      <c r="B1886" t="s">
        <v>30</v>
      </c>
      <c r="C1886" t="s">
        <v>559</v>
      </c>
      <c r="D1886" t="s">
        <v>561</v>
      </c>
      <c r="E1886" t="s">
        <v>562</v>
      </c>
      <c r="F1886" t="s">
        <v>244</v>
      </c>
      <c r="G1886" s="39">
        <v>46251</v>
      </c>
      <c r="J1886" t="s">
        <v>981</v>
      </c>
    </row>
    <row r="1887" spans="1:10" x14ac:dyDescent="0.35">
      <c r="A1887">
        <v>14279</v>
      </c>
      <c r="B1887" t="s">
        <v>30</v>
      </c>
      <c r="C1887" t="s">
        <v>559</v>
      </c>
      <c r="D1887" t="s">
        <v>561</v>
      </c>
      <c r="E1887" t="s">
        <v>424</v>
      </c>
      <c r="F1887" t="s">
        <v>411</v>
      </c>
      <c r="G1887" s="39">
        <v>44713</v>
      </c>
      <c r="J1887" t="s">
        <v>981</v>
      </c>
    </row>
    <row r="1888" spans="1:10" x14ac:dyDescent="0.35">
      <c r="A1888">
        <v>17713</v>
      </c>
      <c r="B1888" t="s">
        <v>30</v>
      </c>
      <c r="C1888" t="s">
        <v>559</v>
      </c>
      <c r="D1888" t="s">
        <v>561</v>
      </c>
      <c r="E1888" t="s">
        <v>425</v>
      </c>
      <c r="F1888" t="s">
        <v>244</v>
      </c>
      <c r="G1888" s="39">
        <v>45853</v>
      </c>
      <c r="J1888" t="s">
        <v>981</v>
      </c>
    </row>
    <row r="1889" spans="1:10" x14ac:dyDescent="0.35">
      <c r="A1889">
        <v>12500</v>
      </c>
      <c r="B1889" t="s">
        <v>30</v>
      </c>
      <c r="C1889" t="s">
        <v>559</v>
      </c>
      <c r="D1889" t="s">
        <v>561</v>
      </c>
      <c r="E1889" t="s">
        <v>103</v>
      </c>
      <c r="F1889" t="s">
        <v>411</v>
      </c>
      <c r="G1889" s="39">
        <v>43777</v>
      </c>
      <c r="J1889" t="s">
        <v>981</v>
      </c>
    </row>
    <row r="1890" spans="1:10" x14ac:dyDescent="0.35">
      <c r="A1890">
        <v>16054</v>
      </c>
      <c r="B1890" t="s">
        <v>30</v>
      </c>
      <c r="C1890" t="s">
        <v>559</v>
      </c>
      <c r="D1890" t="s">
        <v>561</v>
      </c>
      <c r="E1890" t="s">
        <v>424</v>
      </c>
      <c r="F1890" t="s">
        <v>244</v>
      </c>
      <c r="G1890" s="39">
        <v>45275</v>
      </c>
      <c r="J1890" t="s">
        <v>981</v>
      </c>
    </row>
    <row r="1891" spans="1:10" x14ac:dyDescent="0.35">
      <c r="A1891">
        <v>13703</v>
      </c>
      <c r="B1891" t="s">
        <v>30</v>
      </c>
      <c r="C1891" t="s">
        <v>559</v>
      </c>
      <c r="D1891" t="s">
        <v>561</v>
      </c>
      <c r="E1891" t="s">
        <v>103</v>
      </c>
      <c r="F1891" t="s">
        <v>411</v>
      </c>
      <c r="G1891" s="39">
        <v>44539</v>
      </c>
      <c r="J1891" t="s">
        <v>981</v>
      </c>
    </row>
    <row r="1892" spans="1:10" x14ac:dyDescent="0.35">
      <c r="A1892">
        <v>14223</v>
      </c>
      <c r="B1892" t="s">
        <v>30</v>
      </c>
      <c r="C1892" t="s">
        <v>559</v>
      </c>
      <c r="D1892" t="s">
        <v>561</v>
      </c>
      <c r="E1892" t="s">
        <v>424</v>
      </c>
      <c r="F1892" t="s">
        <v>244</v>
      </c>
      <c r="G1892" s="39">
        <v>44699</v>
      </c>
      <c r="J1892" t="s">
        <v>981</v>
      </c>
    </row>
    <row r="1893" spans="1:10" x14ac:dyDescent="0.35">
      <c r="A1893">
        <v>13729</v>
      </c>
      <c r="B1893" t="s">
        <v>30</v>
      </c>
      <c r="C1893" t="s">
        <v>559</v>
      </c>
      <c r="D1893" t="s">
        <v>561</v>
      </c>
      <c r="E1893" t="s">
        <v>103</v>
      </c>
      <c r="F1893" t="s">
        <v>411</v>
      </c>
      <c r="G1893" s="39">
        <v>44551</v>
      </c>
      <c r="J1893" t="s">
        <v>981</v>
      </c>
    </row>
    <row r="1894" spans="1:10" x14ac:dyDescent="0.35">
      <c r="A1894">
        <v>17650</v>
      </c>
      <c r="B1894" t="s">
        <v>30</v>
      </c>
      <c r="C1894" t="s">
        <v>559</v>
      </c>
      <c r="D1894" t="s">
        <v>561</v>
      </c>
      <c r="E1894" t="s">
        <v>425</v>
      </c>
      <c r="F1894" t="s">
        <v>244</v>
      </c>
      <c r="G1894" s="39">
        <v>45828</v>
      </c>
      <c r="J1894" t="s">
        <v>981</v>
      </c>
    </row>
    <row r="1895" spans="1:10" x14ac:dyDescent="0.35">
      <c r="A1895">
        <v>13731</v>
      </c>
      <c r="B1895" t="s">
        <v>30</v>
      </c>
      <c r="C1895" t="s">
        <v>559</v>
      </c>
      <c r="D1895" t="s">
        <v>561</v>
      </c>
      <c r="E1895" t="s">
        <v>103</v>
      </c>
      <c r="F1895" t="s">
        <v>244</v>
      </c>
      <c r="G1895" s="39">
        <v>44551</v>
      </c>
      <c r="J1895" t="s">
        <v>981</v>
      </c>
    </row>
    <row r="1896" spans="1:10" x14ac:dyDescent="0.35">
      <c r="A1896">
        <v>13268</v>
      </c>
      <c r="B1896" t="s">
        <v>30</v>
      </c>
      <c r="C1896" t="s">
        <v>559</v>
      </c>
      <c r="D1896" t="s">
        <v>561</v>
      </c>
      <c r="E1896" t="s">
        <v>563</v>
      </c>
      <c r="F1896" t="s">
        <v>244</v>
      </c>
      <c r="G1896" s="39">
        <v>44356</v>
      </c>
      <c r="J1896" t="s">
        <v>981</v>
      </c>
    </row>
    <row r="1897" spans="1:10" x14ac:dyDescent="0.35">
      <c r="A1897">
        <v>16694</v>
      </c>
      <c r="B1897" t="s">
        <v>30</v>
      </c>
      <c r="C1897" t="s">
        <v>559</v>
      </c>
      <c r="D1897" t="s">
        <v>561</v>
      </c>
      <c r="E1897" t="s">
        <v>103</v>
      </c>
      <c r="F1897" t="s">
        <v>244</v>
      </c>
      <c r="G1897" s="39">
        <v>45527</v>
      </c>
      <c r="J1897" t="s">
        <v>981</v>
      </c>
    </row>
    <row r="1898" spans="1:10" x14ac:dyDescent="0.35">
      <c r="A1898">
        <v>17168</v>
      </c>
      <c r="B1898" t="s">
        <v>30</v>
      </c>
      <c r="C1898" t="s">
        <v>559</v>
      </c>
      <c r="D1898" t="s">
        <v>561</v>
      </c>
      <c r="E1898" t="s">
        <v>564</v>
      </c>
      <c r="F1898" t="s">
        <v>244</v>
      </c>
      <c r="G1898" s="39">
        <v>45652</v>
      </c>
      <c r="J1898" t="s">
        <v>981</v>
      </c>
    </row>
    <row r="1899" spans="1:10" x14ac:dyDescent="0.35">
      <c r="A1899">
        <v>17429</v>
      </c>
      <c r="B1899" t="s">
        <v>30</v>
      </c>
      <c r="C1899" t="s">
        <v>559</v>
      </c>
      <c r="D1899" t="s">
        <v>561</v>
      </c>
      <c r="E1899" t="s">
        <v>564</v>
      </c>
      <c r="F1899" t="s">
        <v>244</v>
      </c>
      <c r="G1899" s="39">
        <v>45749</v>
      </c>
      <c r="J1899" t="s">
        <v>981</v>
      </c>
    </row>
    <row r="1900" spans="1:10" x14ac:dyDescent="0.35">
      <c r="A1900">
        <v>15744</v>
      </c>
      <c r="B1900" t="s">
        <v>30</v>
      </c>
      <c r="C1900" t="s">
        <v>559</v>
      </c>
      <c r="D1900" t="s">
        <v>565</v>
      </c>
      <c r="E1900" t="s">
        <v>151</v>
      </c>
      <c r="F1900" t="s">
        <v>244</v>
      </c>
      <c r="G1900" s="39">
        <v>45184</v>
      </c>
      <c r="J1900" t="s">
        <v>981</v>
      </c>
    </row>
    <row r="1901" spans="1:10" x14ac:dyDescent="0.35">
      <c r="A1901">
        <v>12654</v>
      </c>
      <c r="B1901" t="s">
        <v>30</v>
      </c>
      <c r="C1901" t="s">
        <v>559</v>
      </c>
      <c r="D1901" t="s">
        <v>565</v>
      </c>
      <c r="E1901" t="s">
        <v>402</v>
      </c>
      <c r="F1901" t="s">
        <v>244</v>
      </c>
      <c r="G1901" s="39">
        <v>43853</v>
      </c>
      <c r="J1901" t="s">
        <v>981</v>
      </c>
    </row>
    <row r="1902" spans="1:10" x14ac:dyDescent="0.35">
      <c r="A1902">
        <v>12781</v>
      </c>
      <c r="B1902" t="s">
        <v>30</v>
      </c>
      <c r="C1902" t="s">
        <v>559</v>
      </c>
      <c r="D1902" t="s">
        <v>565</v>
      </c>
      <c r="E1902" t="s">
        <v>402</v>
      </c>
      <c r="F1902" t="s">
        <v>244</v>
      </c>
      <c r="G1902" s="39">
        <v>43929</v>
      </c>
      <c r="J1902" t="s">
        <v>981</v>
      </c>
    </row>
    <row r="1903" spans="1:10" x14ac:dyDescent="0.35">
      <c r="A1903">
        <v>12785</v>
      </c>
      <c r="B1903" t="s">
        <v>30</v>
      </c>
      <c r="C1903" t="s">
        <v>559</v>
      </c>
      <c r="D1903" t="s">
        <v>565</v>
      </c>
      <c r="E1903" t="s">
        <v>402</v>
      </c>
      <c r="F1903" t="s">
        <v>244</v>
      </c>
      <c r="G1903" s="39">
        <v>43931</v>
      </c>
      <c r="J1903" t="s">
        <v>981</v>
      </c>
    </row>
    <row r="1904" spans="1:10" x14ac:dyDescent="0.35">
      <c r="A1904">
        <v>11526</v>
      </c>
      <c r="B1904" t="s">
        <v>30</v>
      </c>
      <c r="C1904" t="s">
        <v>559</v>
      </c>
      <c r="D1904" t="s">
        <v>565</v>
      </c>
      <c r="E1904" t="s">
        <v>402</v>
      </c>
      <c r="F1904" t="s">
        <v>244</v>
      </c>
      <c r="G1904" s="39">
        <v>42797</v>
      </c>
      <c r="J1904" t="s">
        <v>981</v>
      </c>
    </row>
    <row r="1905" spans="1:10" x14ac:dyDescent="0.35">
      <c r="A1905">
        <v>13736</v>
      </c>
      <c r="B1905" t="s">
        <v>30</v>
      </c>
      <c r="C1905" t="s">
        <v>559</v>
      </c>
      <c r="D1905" t="s">
        <v>565</v>
      </c>
      <c r="E1905" t="s">
        <v>402</v>
      </c>
      <c r="F1905" t="s">
        <v>244</v>
      </c>
      <c r="G1905" s="39">
        <v>44551</v>
      </c>
      <c r="J1905" t="s">
        <v>981</v>
      </c>
    </row>
    <row r="1906" spans="1:10" x14ac:dyDescent="0.35">
      <c r="A1906">
        <v>13695</v>
      </c>
      <c r="B1906" t="s">
        <v>30</v>
      </c>
      <c r="C1906" t="s">
        <v>559</v>
      </c>
      <c r="D1906" t="s">
        <v>565</v>
      </c>
      <c r="E1906" t="s">
        <v>402</v>
      </c>
      <c r="F1906" t="s">
        <v>244</v>
      </c>
      <c r="G1906" s="39">
        <v>44538</v>
      </c>
      <c r="J1906" t="s">
        <v>981</v>
      </c>
    </row>
    <row r="1907" spans="1:10" x14ac:dyDescent="0.35">
      <c r="A1907">
        <v>14851</v>
      </c>
      <c r="B1907" t="s">
        <v>30</v>
      </c>
      <c r="C1907" t="s">
        <v>559</v>
      </c>
      <c r="D1907" t="s">
        <v>565</v>
      </c>
      <c r="E1907" t="s">
        <v>402</v>
      </c>
      <c r="F1907" t="s">
        <v>244</v>
      </c>
      <c r="G1907" s="39">
        <v>44876</v>
      </c>
      <c r="J1907" t="s">
        <v>981</v>
      </c>
    </row>
    <row r="1908" spans="1:10" x14ac:dyDescent="0.35">
      <c r="A1908">
        <v>13730</v>
      </c>
      <c r="B1908" t="s">
        <v>30</v>
      </c>
      <c r="C1908" t="s">
        <v>559</v>
      </c>
      <c r="D1908" t="s">
        <v>565</v>
      </c>
      <c r="E1908" t="s">
        <v>102</v>
      </c>
      <c r="F1908" t="s">
        <v>244</v>
      </c>
      <c r="G1908" s="39">
        <v>44551</v>
      </c>
      <c r="J1908" t="s">
        <v>981</v>
      </c>
    </row>
    <row r="1909" spans="1:10" x14ac:dyDescent="0.35">
      <c r="A1909">
        <v>15033</v>
      </c>
      <c r="B1909" t="s">
        <v>30</v>
      </c>
      <c r="C1909" t="s">
        <v>559</v>
      </c>
      <c r="D1909" t="s">
        <v>565</v>
      </c>
      <c r="E1909" t="s">
        <v>402</v>
      </c>
      <c r="F1909" t="s">
        <v>244</v>
      </c>
      <c r="G1909" s="39">
        <v>44932</v>
      </c>
      <c r="J1909" t="s">
        <v>981</v>
      </c>
    </row>
    <row r="1910" spans="1:10" x14ac:dyDescent="0.35">
      <c r="A1910">
        <v>14933</v>
      </c>
      <c r="B1910" t="s">
        <v>30</v>
      </c>
      <c r="C1910" t="s">
        <v>559</v>
      </c>
      <c r="D1910" t="s">
        <v>565</v>
      </c>
      <c r="E1910" t="s">
        <v>102</v>
      </c>
      <c r="F1910" t="s">
        <v>244</v>
      </c>
      <c r="G1910" s="39">
        <v>44903</v>
      </c>
      <c r="J1910" t="s">
        <v>981</v>
      </c>
    </row>
    <row r="1911" spans="1:10" x14ac:dyDescent="0.35">
      <c r="A1911">
        <v>12678</v>
      </c>
      <c r="B1911" t="s">
        <v>30</v>
      </c>
      <c r="C1911" t="s">
        <v>559</v>
      </c>
      <c r="D1911" t="s">
        <v>565</v>
      </c>
      <c r="E1911" t="s">
        <v>102</v>
      </c>
      <c r="F1911" t="s">
        <v>244</v>
      </c>
      <c r="G1911" s="39">
        <v>43866</v>
      </c>
      <c r="J1911" t="s">
        <v>981</v>
      </c>
    </row>
    <row r="1912" spans="1:10" x14ac:dyDescent="0.35">
      <c r="A1912">
        <v>12794</v>
      </c>
      <c r="B1912" t="s">
        <v>30</v>
      </c>
      <c r="C1912" t="s">
        <v>559</v>
      </c>
      <c r="D1912" t="s">
        <v>565</v>
      </c>
      <c r="E1912" t="s">
        <v>103</v>
      </c>
      <c r="F1912" t="s">
        <v>244</v>
      </c>
      <c r="G1912" s="39">
        <v>43931</v>
      </c>
      <c r="J1912" t="s">
        <v>981</v>
      </c>
    </row>
    <row r="1913" spans="1:10" x14ac:dyDescent="0.35">
      <c r="A1913">
        <v>13551</v>
      </c>
      <c r="B1913" t="s">
        <v>30</v>
      </c>
      <c r="C1913" t="s">
        <v>559</v>
      </c>
      <c r="D1913" t="s">
        <v>565</v>
      </c>
      <c r="E1913" t="s">
        <v>103</v>
      </c>
      <c r="F1913" t="s">
        <v>244</v>
      </c>
      <c r="G1913" s="39">
        <v>44494</v>
      </c>
      <c r="J1913" t="s">
        <v>981</v>
      </c>
    </row>
    <row r="1914" spans="1:10" x14ac:dyDescent="0.35">
      <c r="A1914">
        <v>13706</v>
      </c>
      <c r="B1914" t="s">
        <v>30</v>
      </c>
      <c r="C1914" t="s">
        <v>559</v>
      </c>
      <c r="D1914" t="s">
        <v>565</v>
      </c>
      <c r="E1914" t="s">
        <v>103</v>
      </c>
      <c r="F1914" t="s">
        <v>244</v>
      </c>
      <c r="G1914" s="39">
        <v>44539</v>
      </c>
      <c r="J1914" t="s">
        <v>981</v>
      </c>
    </row>
    <row r="1915" spans="1:10" x14ac:dyDescent="0.35">
      <c r="A1915">
        <v>13705</v>
      </c>
      <c r="B1915" t="s">
        <v>30</v>
      </c>
      <c r="C1915" t="s">
        <v>559</v>
      </c>
      <c r="D1915" t="s">
        <v>565</v>
      </c>
      <c r="E1915" t="s">
        <v>103</v>
      </c>
      <c r="F1915" t="s">
        <v>245</v>
      </c>
      <c r="G1915" s="39">
        <v>44539</v>
      </c>
      <c r="J1915" t="s">
        <v>981</v>
      </c>
    </row>
    <row r="1916" spans="1:10" x14ac:dyDescent="0.35">
      <c r="A1916">
        <v>19163</v>
      </c>
      <c r="B1916" t="s">
        <v>30</v>
      </c>
      <c r="C1916" t="s">
        <v>559</v>
      </c>
      <c r="D1916" t="s">
        <v>565</v>
      </c>
      <c r="E1916" t="s">
        <v>424</v>
      </c>
      <c r="F1916" t="s">
        <v>244</v>
      </c>
      <c r="G1916" s="39">
        <v>46275</v>
      </c>
      <c r="J1916" t="s">
        <v>981</v>
      </c>
    </row>
    <row r="1917" spans="1:10" x14ac:dyDescent="0.35">
      <c r="A1917">
        <v>13830</v>
      </c>
      <c r="B1917" t="s">
        <v>30</v>
      </c>
      <c r="C1917" t="s">
        <v>559</v>
      </c>
      <c r="D1917" t="s">
        <v>565</v>
      </c>
      <c r="E1917" t="s">
        <v>103</v>
      </c>
      <c r="F1917" t="s">
        <v>244</v>
      </c>
      <c r="G1917" s="39">
        <v>44596</v>
      </c>
      <c r="J1917" t="s">
        <v>981</v>
      </c>
    </row>
    <row r="1918" spans="1:10" x14ac:dyDescent="0.35">
      <c r="A1918">
        <v>13849</v>
      </c>
      <c r="B1918" t="s">
        <v>30</v>
      </c>
      <c r="C1918" t="s">
        <v>559</v>
      </c>
      <c r="D1918" t="s">
        <v>565</v>
      </c>
      <c r="E1918" t="s">
        <v>103</v>
      </c>
      <c r="F1918" t="s">
        <v>244</v>
      </c>
      <c r="G1918" s="39">
        <v>44603</v>
      </c>
      <c r="J1918" t="s">
        <v>981</v>
      </c>
    </row>
    <row r="1919" spans="1:10" x14ac:dyDescent="0.35">
      <c r="A1919">
        <v>14069</v>
      </c>
      <c r="B1919" t="s">
        <v>30</v>
      </c>
      <c r="C1919" t="s">
        <v>559</v>
      </c>
      <c r="D1919" t="s">
        <v>565</v>
      </c>
      <c r="E1919" t="s">
        <v>102</v>
      </c>
      <c r="F1919" t="s">
        <v>244</v>
      </c>
      <c r="G1919" s="39">
        <v>44638</v>
      </c>
      <c r="J1919" t="s">
        <v>981</v>
      </c>
    </row>
    <row r="1920" spans="1:10" x14ac:dyDescent="0.35">
      <c r="A1920">
        <v>14274</v>
      </c>
      <c r="B1920" t="s">
        <v>30</v>
      </c>
      <c r="C1920" t="s">
        <v>559</v>
      </c>
      <c r="D1920" t="s">
        <v>565</v>
      </c>
      <c r="E1920" t="s">
        <v>103</v>
      </c>
      <c r="F1920" t="s">
        <v>244</v>
      </c>
      <c r="G1920" s="39">
        <v>44713</v>
      </c>
      <c r="J1920" t="s">
        <v>981</v>
      </c>
    </row>
    <row r="1921" spans="1:10" x14ac:dyDescent="0.35">
      <c r="A1921">
        <v>14471</v>
      </c>
      <c r="B1921" t="s">
        <v>30</v>
      </c>
      <c r="C1921" t="s">
        <v>559</v>
      </c>
      <c r="D1921" t="s">
        <v>565</v>
      </c>
      <c r="E1921" t="s">
        <v>103</v>
      </c>
      <c r="F1921" t="s">
        <v>411</v>
      </c>
      <c r="G1921" s="39">
        <v>44764</v>
      </c>
      <c r="J1921" t="s">
        <v>981</v>
      </c>
    </row>
    <row r="1922" spans="1:10" x14ac:dyDescent="0.35">
      <c r="A1922">
        <v>18886</v>
      </c>
      <c r="B1922" t="s">
        <v>30</v>
      </c>
      <c r="C1922" t="s">
        <v>559</v>
      </c>
      <c r="D1922" t="s">
        <v>565</v>
      </c>
      <c r="E1922" t="s">
        <v>425</v>
      </c>
      <c r="F1922" t="s">
        <v>244</v>
      </c>
      <c r="G1922" s="39">
        <v>46232</v>
      </c>
      <c r="J1922" t="s">
        <v>981</v>
      </c>
    </row>
    <row r="1923" spans="1:10" x14ac:dyDescent="0.35">
      <c r="A1923">
        <v>14510</v>
      </c>
      <c r="B1923" t="s">
        <v>30</v>
      </c>
      <c r="C1923" t="s">
        <v>559</v>
      </c>
      <c r="D1923" t="s">
        <v>565</v>
      </c>
      <c r="E1923" t="s">
        <v>103</v>
      </c>
      <c r="F1923" t="s">
        <v>244</v>
      </c>
      <c r="G1923" s="39">
        <v>44777</v>
      </c>
      <c r="J1923" t="s">
        <v>981</v>
      </c>
    </row>
    <row r="1924" spans="1:10" x14ac:dyDescent="0.35">
      <c r="A1924">
        <v>14002</v>
      </c>
      <c r="B1924" t="s">
        <v>30</v>
      </c>
      <c r="C1924" t="s">
        <v>559</v>
      </c>
      <c r="D1924" t="s">
        <v>565</v>
      </c>
      <c r="E1924" t="s">
        <v>103</v>
      </c>
      <c r="F1924" t="s">
        <v>244</v>
      </c>
      <c r="G1924" s="39">
        <v>44623</v>
      </c>
      <c r="J1924" t="s">
        <v>981</v>
      </c>
    </row>
    <row r="1925" spans="1:10" x14ac:dyDescent="0.35">
      <c r="A1925">
        <v>14422</v>
      </c>
      <c r="B1925" t="s">
        <v>30</v>
      </c>
      <c r="C1925" t="s">
        <v>559</v>
      </c>
      <c r="D1925" t="s">
        <v>565</v>
      </c>
      <c r="E1925" t="s">
        <v>103</v>
      </c>
      <c r="F1925" t="s">
        <v>411</v>
      </c>
      <c r="G1925" s="39">
        <v>44756</v>
      </c>
      <c r="J1925" t="s">
        <v>981</v>
      </c>
    </row>
    <row r="1926" spans="1:10" x14ac:dyDescent="0.35">
      <c r="A1926">
        <v>18124</v>
      </c>
      <c r="B1926" t="s">
        <v>30</v>
      </c>
      <c r="C1926" t="s">
        <v>559</v>
      </c>
      <c r="D1926" t="s">
        <v>565</v>
      </c>
      <c r="E1926" t="s">
        <v>425</v>
      </c>
      <c r="F1926" t="s">
        <v>244</v>
      </c>
      <c r="G1926" s="39">
        <v>46006</v>
      </c>
      <c r="J1926" t="s">
        <v>981</v>
      </c>
    </row>
    <row r="1927" spans="1:10" x14ac:dyDescent="0.35">
      <c r="A1927">
        <v>14778</v>
      </c>
      <c r="B1927" t="s">
        <v>30</v>
      </c>
      <c r="C1927" t="s">
        <v>559</v>
      </c>
      <c r="D1927" t="s">
        <v>565</v>
      </c>
      <c r="E1927" t="s">
        <v>103</v>
      </c>
      <c r="F1927" t="s">
        <v>244</v>
      </c>
      <c r="G1927" s="39">
        <v>44854</v>
      </c>
      <c r="J1927" t="s">
        <v>981</v>
      </c>
    </row>
    <row r="1928" spans="1:10" x14ac:dyDescent="0.35">
      <c r="A1928">
        <v>14784</v>
      </c>
      <c r="B1928" t="s">
        <v>30</v>
      </c>
      <c r="C1928" t="s">
        <v>559</v>
      </c>
      <c r="D1928" t="s">
        <v>565</v>
      </c>
      <c r="E1928" t="s">
        <v>102</v>
      </c>
      <c r="F1928" t="s">
        <v>244</v>
      </c>
      <c r="G1928" s="39">
        <v>44858</v>
      </c>
      <c r="J1928" t="s">
        <v>981</v>
      </c>
    </row>
    <row r="1929" spans="1:10" x14ac:dyDescent="0.35">
      <c r="A1929">
        <v>14834</v>
      </c>
      <c r="B1929" t="s">
        <v>30</v>
      </c>
      <c r="C1929" t="s">
        <v>559</v>
      </c>
      <c r="D1929" t="s">
        <v>565</v>
      </c>
      <c r="E1929" t="s">
        <v>103</v>
      </c>
      <c r="F1929" t="s">
        <v>244</v>
      </c>
      <c r="G1929" s="39">
        <v>44870</v>
      </c>
      <c r="J1929" t="s">
        <v>981</v>
      </c>
    </row>
    <row r="1930" spans="1:10" x14ac:dyDescent="0.35">
      <c r="A1930">
        <v>14845</v>
      </c>
      <c r="B1930" t="s">
        <v>30</v>
      </c>
      <c r="C1930" t="s">
        <v>559</v>
      </c>
      <c r="D1930" t="s">
        <v>565</v>
      </c>
      <c r="E1930" t="s">
        <v>103</v>
      </c>
      <c r="F1930" t="s">
        <v>244</v>
      </c>
      <c r="G1930" s="39">
        <v>44875</v>
      </c>
      <c r="J1930" t="s">
        <v>981</v>
      </c>
    </row>
    <row r="1931" spans="1:10" x14ac:dyDescent="0.35">
      <c r="A1931">
        <v>14850</v>
      </c>
      <c r="B1931" t="s">
        <v>30</v>
      </c>
      <c r="C1931" t="s">
        <v>559</v>
      </c>
      <c r="D1931" t="s">
        <v>565</v>
      </c>
      <c r="E1931" t="s">
        <v>103</v>
      </c>
      <c r="F1931" t="s">
        <v>244</v>
      </c>
      <c r="G1931" s="39">
        <v>44876</v>
      </c>
      <c r="J1931" t="s">
        <v>981</v>
      </c>
    </row>
    <row r="1932" spans="1:10" x14ac:dyDescent="0.35">
      <c r="A1932">
        <v>14943</v>
      </c>
      <c r="B1932" t="s">
        <v>30</v>
      </c>
      <c r="C1932" t="s">
        <v>559</v>
      </c>
      <c r="D1932" t="s">
        <v>565</v>
      </c>
      <c r="E1932" t="s">
        <v>103</v>
      </c>
      <c r="F1932" t="s">
        <v>244</v>
      </c>
      <c r="G1932" s="39">
        <v>44893</v>
      </c>
      <c r="J1932" t="s">
        <v>981</v>
      </c>
    </row>
    <row r="1933" spans="1:10" x14ac:dyDescent="0.35">
      <c r="A1933">
        <v>14878</v>
      </c>
      <c r="B1933" t="s">
        <v>30</v>
      </c>
      <c r="C1933" t="s">
        <v>559</v>
      </c>
      <c r="D1933" t="s">
        <v>565</v>
      </c>
      <c r="E1933" t="s">
        <v>103</v>
      </c>
      <c r="F1933" t="s">
        <v>244</v>
      </c>
      <c r="G1933" s="39">
        <v>44887</v>
      </c>
      <c r="J1933" t="s">
        <v>981</v>
      </c>
    </row>
    <row r="1934" spans="1:10" x14ac:dyDescent="0.35">
      <c r="A1934">
        <v>14832</v>
      </c>
      <c r="B1934" t="s">
        <v>30</v>
      </c>
      <c r="C1934" t="s">
        <v>559</v>
      </c>
      <c r="D1934" t="s">
        <v>565</v>
      </c>
      <c r="E1934" t="s">
        <v>103</v>
      </c>
      <c r="F1934" t="s">
        <v>244</v>
      </c>
      <c r="G1934" s="39">
        <v>44870</v>
      </c>
      <c r="J1934" t="s">
        <v>981</v>
      </c>
    </row>
    <row r="1935" spans="1:10" x14ac:dyDescent="0.35">
      <c r="A1935">
        <v>15254</v>
      </c>
      <c r="B1935" t="s">
        <v>30</v>
      </c>
      <c r="C1935" t="s">
        <v>559</v>
      </c>
      <c r="D1935" t="s">
        <v>565</v>
      </c>
      <c r="E1935" t="s">
        <v>103</v>
      </c>
      <c r="F1935" t="s">
        <v>244</v>
      </c>
      <c r="G1935" s="39">
        <v>45000</v>
      </c>
      <c r="J1935" t="s">
        <v>981</v>
      </c>
    </row>
    <row r="1936" spans="1:10" x14ac:dyDescent="0.35">
      <c r="A1936">
        <v>14782</v>
      </c>
      <c r="B1936" t="s">
        <v>30</v>
      </c>
      <c r="C1936" t="s">
        <v>559</v>
      </c>
      <c r="D1936" t="s">
        <v>565</v>
      </c>
      <c r="E1936" t="s">
        <v>103</v>
      </c>
      <c r="F1936" t="s">
        <v>411</v>
      </c>
      <c r="G1936" s="39">
        <v>44858</v>
      </c>
      <c r="J1936" t="s">
        <v>981</v>
      </c>
    </row>
    <row r="1937" spans="1:10" x14ac:dyDescent="0.35">
      <c r="A1937">
        <v>18883</v>
      </c>
      <c r="B1937" t="s">
        <v>30</v>
      </c>
      <c r="C1937" t="s">
        <v>559</v>
      </c>
      <c r="D1937" t="s">
        <v>565</v>
      </c>
      <c r="E1937" t="s">
        <v>425</v>
      </c>
      <c r="F1937" t="s">
        <v>244</v>
      </c>
      <c r="G1937" s="39">
        <v>46231</v>
      </c>
      <c r="J1937" t="s">
        <v>981</v>
      </c>
    </row>
    <row r="1938" spans="1:10" x14ac:dyDescent="0.35">
      <c r="A1938">
        <v>14842</v>
      </c>
      <c r="B1938" t="s">
        <v>30</v>
      </c>
      <c r="C1938" t="s">
        <v>559</v>
      </c>
      <c r="D1938" t="s">
        <v>565</v>
      </c>
      <c r="E1938" t="s">
        <v>103</v>
      </c>
      <c r="F1938" t="s">
        <v>244</v>
      </c>
      <c r="G1938" s="39">
        <v>44875</v>
      </c>
      <c r="J1938" t="s">
        <v>981</v>
      </c>
    </row>
    <row r="1939" spans="1:10" x14ac:dyDescent="0.35">
      <c r="A1939">
        <v>15047</v>
      </c>
      <c r="B1939" t="s">
        <v>30</v>
      </c>
      <c r="C1939" t="s">
        <v>559</v>
      </c>
      <c r="D1939" t="s">
        <v>565</v>
      </c>
      <c r="E1939" t="s">
        <v>103</v>
      </c>
      <c r="F1939" t="s">
        <v>244</v>
      </c>
      <c r="G1939" s="39">
        <v>44936</v>
      </c>
      <c r="J1939" t="s">
        <v>981</v>
      </c>
    </row>
    <row r="1940" spans="1:10" x14ac:dyDescent="0.35">
      <c r="A1940">
        <v>15048</v>
      </c>
      <c r="B1940" t="s">
        <v>30</v>
      </c>
      <c r="C1940" t="s">
        <v>559</v>
      </c>
      <c r="D1940" t="s">
        <v>565</v>
      </c>
      <c r="E1940" t="s">
        <v>103</v>
      </c>
      <c r="F1940" t="s">
        <v>244</v>
      </c>
      <c r="G1940" s="39">
        <v>44936</v>
      </c>
      <c r="J1940" t="s">
        <v>981</v>
      </c>
    </row>
    <row r="1941" spans="1:10" x14ac:dyDescent="0.35">
      <c r="A1941">
        <v>15050</v>
      </c>
      <c r="B1941" t="s">
        <v>30</v>
      </c>
      <c r="C1941" t="s">
        <v>559</v>
      </c>
      <c r="D1941" t="s">
        <v>565</v>
      </c>
      <c r="E1941" t="s">
        <v>103</v>
      </c>
      <c r="F1941" t="s">
        <v>244</v>
      </c>
      <c r="G1941" s="39">
        <v>44936</v>
      </c>
      <c r="J1941" t="s">
        <v>981</v>
      </c>
    </row>
    <row r="1942" spans="1:10" x14ac:dyDescent="0.35">
      <c r="A1942">
        <v>15285</v>
      </c>
      <c r="B1942" t="s">
        <v>30</v>
      </c>
      <c r="C1942" t="s">
        <v>559</v>
      </c>
      <c r="D1942" t="s">
        <v>565</v>
      </c>
      <c r="E1942" t="s">
        <v>103</v>
      </c>
      <c r="F1942" t="s">
        <v>244</v>
      </c>
      <c r="G1942" s="39">
        <v>45019</v>
      </c>
      <c r="J1942" t="s">
        <v>981</v>
      </c>
    </row>
    <row r="1943" spans="1:10" x14ac:dyDescent="0.35">
      <c r="A1943">
        <v>15318</v>
      </c>
      <c r="B1943" t="s">
        <v>30</v>
      </c>
      <c r="C1943" t="s">
        <v>559</v>
      </c>
      <c r="D1943" t="s">
        <v>565</v>
      </c>
      <c r="E1943" t="s">
        <v>103</v>
      </c>
      <c r="F1943" t="s">
        <v>244</v>
      </c>
      <c r="G1943" s="39">
        <v>45027</v>
      </c>
      <c r="J1943" t="s">
        <v>981</v>
      </c>
    </row>
    <row r="1944" spans="1:10" x14ac:dyDescent="0.35">
      <c r="A1944">
        <v>15356</v>
      </c>
      <c r="B1944" t="s">
        <v>30</v>
      </c>
      <c r="C1944" t="s">
        <v>559</v>
      </c>
      <c r="D1944" t="s">
        <v>565</v>
      </c>
      <c r="E1944" t="s">
        <v>103</v>
      </c>
      <c r="F1944" t="s">
        <v>244</v>
      </c>
      <c r="G1944" s="39">
        <v>45042</v>
      </c>
      <c r="J1944" t="s">
        <v>981</v>
      </c>
    </row>
    <row r="1945" spans="1:10" x14ac:dyDescent="0.35">
      <c r="A1945">
        <v>15561</v>
      </c>
      <c r="B1945" t="s">
        <v>30</v>
      </c>
      <c r="C1945" t="s">
        <v>559</v>
      </c>
      <c r="D1945" t="s">
        <v>565</v>
      </c>
      <c r="E1945" t="s">
        <v>103</v>
      </c>
      <c r="F1945" t="s">
        <v>244</v>
      </c>
      <c r="G1945" s="39">
        <v>45126</v>
      </c>
      <c r="J1945" t="s">
        <v>981</v>
      </c>
    </row>
    <row r="1946" spans="1:10" x14ac:dyDescent="0.35">
      <c r="A1946">
        <v>15581</v>
      </c>
      <c r="B1946" t="s">
        <v>30</v>
      </c>
      <c r="C1946" t="s">
        <v>559</v>
      </c>
      <c r="D1946" t="s">
        <v>565</v>
      </c>
      <c r="E1946" t="s">
        <v>102</v>
      </c>
      <c r="F1946" t="s">
        <v>244</v>
      </c>
      <c r="G1946" s="39">
        <v>45128</v>
      </c>
      <c r="J1946" t="s">
        <v>981</v>
      </c>
    </row>
    <row r="1947" spans="1:10" x14ac:dyDescent="0.35">
      <c r="A1947">
        <v>15611</v>
      </c>
      <c r="B1947" t="s">
        <v>30</v>
      </c>
      <c r="C1947" t="s">
        <v>559</v>
      </c>
      <c r="D1947" t="s">
        <v>565</v>
      </c>
      <c r="E1947" t="s">
        <v>103</v>
      </c>
      <c r="F1947" t="s">
        <v>244</v>
      </c>
      <c r="G1947" s="39">
        <v>45140</v>
      </c>
      <c r="J1947" t="s">
        <v>981</v>
      </c>
    </row>
    <row r="1948" spans="1:10" x14ac:dyDescent="0.35">
      <c r="A1948">
        <v>12756</v>
      </c>
      <c r="B1948" t="s">
        <v>30</v>
      </c>
      <c r="C1948" t="s">
        <v>559</v>
      </c>
      <c r="D1948" t="s">
        <v>565</v>
      </c>
      <c r="E1948" t="s">
        <v>103</v>
      </c>
      <c r="F1948" t="s">
        <v>244</v>
      </c>
      <c r="G1948" s="39">
        <v>43896</v>
      </c>
      <c r="J1948" t="s">
        <v>981</v>
      </c>
    </row>
    <row r="1949" spans="1:10" x14ac:dyDescent="0.35">
      <c r="A1949">
        <v>15613</v>
      </c>
      <c r="B1949" t="s">
        <v>30</v>
      </c>
      <c r="C1949" t="s">
        <v>559</v>
      </c>
      <c r="D1949" t="s">
        <v>565</v>
      </c>
      <c r="E1949" t="s">
        <v>103</v>
      </c>
      <c r="F1949" t="s">
        <v>244</v>
      </c>
      <c r="G1949" s="39">
        <v>45140</v>
      </c>
      <c r="J1949" t="s">
        <v>981</v>
      </c>
    </row>
    <row r="1950" spans="1:10" x14ac:dyDescent="0.35">
      <c r="A1950">
        <v>15487</v>
      </c>
      <c r="B1950" t="s">
        <v>30</v>
      </c>
      <c r="C1950" t="s">
        <v>559</v>
      </c>
      <c r="D1950" t="s">
        <v>565</v>
      </c>
      <c r="E1950" t="s">
        <v>103</v>
      </c>
      <c r="F1950" t="s">
        <v>244</v>
      </c>
      <c r="G1950" s="39">
        <v>45086</v>
      </c>
      <c r="J1950" t="s">
        <v>981</v>
      </c>
    </row>
    <row r="1951" spans="1:10" x14ac:dyDescent="0.35">
      <c r="A1951">
        <v>15880</v>
      </c>
      <c r="B1951" t="s">
        <v>30</v>
      </c>
      <c r="C1951" t="s">
        <v>559</v>
      </c>
      <c r="D1951" t="s">
        <v>565</v>
      </c>
      <c r="E1951" t="s">
        <v>103</v>
      </c>
      <c r="F1951" t="s">
        <v>244</v>
      </c>
      <c r="G1951" s="39">
        <v>45226</v>
      </c>
      <c r="J1951" t="s">
        <v>981</v>
      </c>
    </row>
    <row r="1952" spans="1:10" x14ac:dyDescent="0.35">
      <c r="A1952">
        <v>15959</v>
      </c>
      <c r="B1952" t="s">
        <v>30</v>
      </c>
      <c r="C1952" t="s">
        <v>559</v>
      </c>
      <c r="D1952" t="s">
        <v>565</v>
      </c>
      <c r="E1952" t="s">
        <v>103</v>
      </c>
      <c r="F1952" t="s">
        <v>244</v>
      </c>
      <c r="G1952" s="39">
        <v>45250</v>
      </c>
      <c r="J1952" t="s">
        <v>981</v>
      </c>
    </row>
    <row r="1953" spans="1:10" x14ac:dyDescent="0.35">
      <c r="A1953">
        <v>15908</v>
      </c>
      <c r="B1953" t="s">
        <v>30</v>
      </c>
      <c r="C1953" t="s">
        <v>559</v>
      </c>
      <c r="D1953" t="s">
        <v>565</v>
      </c>
      <c r="E1953" t="s">
        <v>103</v>
      </c>
      <c r="F1953" t="s">
        <v>244</v>
      </c>
      <c r="G1953" s="39">
        <v>45236</v>
      </c>
      <c r="J1953" t="s">
        <v>981</v>
      </c>
    </row>
    <row r="1954" spans="1:10" x14ac:dyDescent="0.35">
      <c r="A1954">
        <v>15770</v>
      </c>
      <c r="B1954" t="s">
        <v>30</v>
      </c>
      <c r="C1954" t="s">
        <v>559</v>
      </c>
      <c r="D1954" t="s">
        <v>565</v>
      </c>
      <c r="E1954" t="s">
        <v>103</v>
      </c>
      <c r="F1954" t="s">
        <v>244</v>
      </c>
      <c r="G1954" s="39">
        <v>45191</v>
      </c>
      <c r="J1954" t="s">
        <v>981</v>
      </c>
    </row>
    <row r="1955" spans="1:10" x14ac:dyDescent="0.35">
      <c r="A1955">
        <v>14590</v>
      </c>
      <c r="B1955" t="s">
        <v>30</v>
      </c>
      <c r="C1955" t="s">
        <v>559</v>
      </c>
      <c r="D1955" t="s">
        <v>565</v>
      </c>
      <c r="E1955" t="s">
        <v>102</v>
      </c>
      <c r="F1955" t="s">
        <v>244</v>
      </c>
      <c r="G1955" s="39">
        <v>44795</v>
      </c>
      <c r="J1955" t="s">
        <v>981</v>
      </c>
    </row>
    <row r="1956" spans="1:10" x14ac:dyDescent="0.35">
      <c r="A1956">
        <v>15725</v>
      </c>
      <c r="B1956" t="s">
        <v>30</v>
      </c>
      <c r="C1956" t="s">
        <v>559</v>
      </c>
      <c r="D1956" t="s">
        <v>565</v>
      </c>
      <c r="E1956" t="s">
        <v>103</v>
      </c>
      <c r="F1956" t="s">
        <v>244</v>
      </c>
      <c r="G1956" s="39">
        <v>45177</v>
      </c>
      <c r="J1956" t="s">
        <v>981</v>
      </c>
    </row>
    <row r="1957" spans="1:10" x14ac:dyDescent="0.35">
      <c r="A1957">
        <v>14301</v>
      </c>
      <c r="B1957" t="s">
        <v>30</v>
      </c>
      <c r="C1957" t="s">
        <v>559</v>
      </c>
      <c r="D1957" t="s">
        <v>565</v>
      </c>
      <c r="E1957" t="s">
        <v>103</v>
      </c>
      <c r="F1957" t="s">
        <v>244</v>
      </c>
      <c r="G1957" s="39">
        <v>44720</v>
      </c>
      <c r="J1957" t="s">
        <v>981</v>
      </c>
    </row>
    <row r="1958" spans="1:10" x14ac:dyDescent="0.35">
      <c r="A1958">
        <v>14418</v>
      </c>
      <c r="B1958" t="s">
        <v>30</v>
      </c>
      <c r="C1958" t="s">
        <v>559</v>
      </c>
      <c r="D1958" t="s">
        <v>565</v>
      </c>
      <c r="E1958" t="s">
        <v>103</v>
      </c>
      <c r="F1958" t="s">
        <v>244</v>
      </c>
      <c r="G1958" s="39">
        <v>44755</v>
      </c>
      <c r="J1958" t="s">
        <v>981</v>
      </c>
    </row>
    <row r="1959" spans="1:10" x14ac:dyDescent="0.35">
      <c r="A1959">
        <v>16412</v>
      </c>
      <c r="B1959" t="s">
        <v>30</v>
      </c>
      <c r="C1959" t="s">
        <v>559</v>
      </c>
      <c r="D1959" t="s">
        <v>565</v>
      </c>
      <c r="E1959" t="s">
        <v>103</v>
      </c>
      <c r="F1959" t="s">
        <v>244</v>
      </c>
      <c r="G1959" s="39">
        <v>45384</v>
      </c>
      <c r="J1959" t="s">
        <v>981</v>
      </c>
    </row>
    <row r="1960" spans="1:10" x14ac:dyDescent="0.35">
      <c r="A1960">
        <v>16436</v>
      </c>
      <c r="B1960" t="s">
        <v>30</v>
      </c>
      <c r="C1960" t="s">
        <v>559</v>
      </c>
      <c r="D1960" t="s">
        <v>565</v>
      </c>
      <c r="E1960" t="s">
        <v>103</v>
      </c>
      <c r="F1960" t="s">
        <v>245</v>
      </c>
      <c r="G1960" s="39">
        <v>45399</v>
      </c>
      <c r="J1960" t="s">
        <v>981</v>
      </c>
    </row>
    <row r="1961" spans="1:10" x14ac:dyDescent="0.35">
      <c r="A1961">
        <v>19164</v>
      </c>
      <c r="B1961" t="s">
        <v>30</v>
      </c>
      <c r="C1961" t="s">
        <v>559</v>
      </c>
      <c r="D1961" t="s">
        <v>565</v>
      </c>
      <c r="E1961" t="s">
        <v>424</v>
      </c>
      <c r="F1961" t="s">
        <v>244</v>
      </c>
      <c r="G1961" s="39">
        <v>46275</v>
      </c>
      <c r="J1961" t="s">
        <v>981</v>
      </c>
    </row>
    <row r="1962" spans="1:10" x14ac:dyDescent="0.35">
      <c r="A1962">
        <v>16331</v>
      </c>
      <c r="B1962" t="s">
        <v>30</v>
      </c>
      <c r="C1962" t="s">
        <v>559</v>
      </c>
      <c r="D1962" t="s">
        <v>565</v>
      </c>
      <c r="E1962" t="s">
        <v>103</v>
      </c>
      <c r="F1962" t="s">
        <v>244</v>
      </c>
      <c r="G1962" s="39">
        <v>45355</v>
      </c>
      <c r="J1962" t="s">
        <v>981</v>
      </c>
    </row>
    <row r="1963" spans="1:10" x14ac:dyDescent="0.35">
      <c r="A1963">
        <v>16334</v>
      </c>
      <c r="B1963" t="s">
        <v>30</v>
      </c>
      <c r="C1963" t="s">
        <v>559</v>
      </c>
      <c r="D1963" t="s">
        <v>565</v>
      </c>
      <c r="E1963" t="s">
        <v>103</v>
      </c>
      <c r="F1963" t="s">
        <v>244</v>
      </c>
      <c r="G1963" s="39">
        <v>45356</v>
      </c>
      <c r="J1963" t="s">
        <v>981</v>
      </c>
    </row>
    <row r="1964" spans="1:10" x14ac:dyDescent="0.35">
      <c r="A1964">
        <v>15543</v>
      </c>
      <c r="B1964" t="s">
        <v>30</v>
      </c>
      <c r="C1964" t="s">
        <v>559</v>
      </c>
      <c r="D1964" t="s">
        <v>565</v>
      </c>
      <c r="E1964" t="s">
        <v>103</v>
      </c>
      <c r="F1964" t="s">
        <v>244</v>
      </c>
      <c r="G1964" s="39">
        <v>45120</v>
      </c>
      <c r="J1964" t="s">
        <v>981</v>
      </c>
    </row>
    <row r="1965" spans="1:10" x14ac:dyDescent="0.35">
      <c r="A1965">
        <v>15881</v>
      </c>
      <c r="B1965" t="s">
        <v>30</v>
      </c>
      <c r="C1965" t="s">
        <v>559</v>
      </c>
      <c r="D1965" t="s">
        <v>565</v>
      </c>
      <c r="E1965" t="s">
        <v>103</v>
      </c>
      <c r="F1965" t="s">
        <v>244</v>
      </c>
      <c r="G1965" s="39">
        <v>45226</v>
      </c>
      <c r="J1965" t="s">
        <v>981</v>
      </c>
    </row>
    <row r="1966" spans="1:10" x14ac:dyDescent="0.35">
      <c r="A1966">
        <v>15882</v>
      </c>
      <c r="B1966" t="s">
        <v>30</v>
      </c>
      <c r="C1966" t="s">
        <v>559</v>
      </c>
      <c r="D1966" t="s">
        <v>565</v>
      </c>
      <c r="E1966" t="s">
        <v>103</v>
      </c>
      <c r="F1966" t="s">
        <v>244</v>
      </c>
      <c r="G1966" s="39">
        <v>45226</v>
      </c>
      <c r="J1966" t="s">
        <v>981</v>
      </c>
    </row>
    <row r="1967" spans="1:10" x14ac:dyDescent="0.35">
      <c r="A1967">
        <v>15922</v>
      </c>
      <c r="B1967" t="s">
        <v>30</v>
      </c>
      <c r="C1967" t="s">
        <v>559</v>
      </c>
      <c r="D1967" t="s">
        <v>565</v>
      </c>
      <c r="E1967" t="s">
        <v>103</v>
      </c>
      <c r="F1967" t="s">
        <v>244</v>
      </c>
      <c r="G1967" s="39">
        <v>45237</v>
      </c>
      <c r="J1967" t="s">
        <v>981</v>
      </c>
    </row>
    <row r="1968" spans="1:10" x14ac:dyDescent="0.35">
      <c r="A1968">
        <v>13827</v>
      </c>
      <c r="B1968" t="s">
        <v>30</v>
      </c>
      <c r="C1968" t="s">
        <v>559</v>
      </c>
      <c r="D1968" t="s">
        <v>565</v>
      </c>
      <c r="E1968" t="s">
        <v>103</v>
      </c>
      <c r="F1968" t="s">
        <v>244</v>
      </c>
      <c r="G1968" s="39">
        <v>44596</v>
      </c>
      <c r="J1968" t="s">
        <v>981</v>
      </c>
    </row>
    <row r="1969" spans="1:10" x14ac:dyDescent="0.35">
      <c r="A1969">
        <v>16147</v>
      </c>
      <c r="B1969" t="s">
        <v>30</v>
      </c>
      <c r="C1969" t="s">
        <v>559</v>
      </c>
      <c r="D1969" t="s">
        <v>565</v>
      </c>
      <c r="E1969" t="s">
        <v>103</v>
      </c>
      <c r="F1969" t="s">
        <v>244</v>
      </c>
      <c r="G1969" s="39">
        <v>45302</v>
      </c>
      <c r="J1969" t="s">
        <v>981</v>
      </c>
    </row>
    <row r="1970" spans="1:10" x14ac:dyDescent="0.35">
      <c r="A1970">
        <v>16169</v>
      </c>
      <c r="B1970" t="s">
        <v>30</v>
      </c>
      <c r="C1970" t="s">
        <v>559</v>
      </c>
      <c r="D1970" t="s">
        <v>565</v>
      </c>
      <c r="E1970" t="s">
        <v>103</v>
      </c>
      <c r="F1970" t="s">
        <v>244</v>
      </c>
      <c r="G1970" s="39">
        <v>45309</v>
      </c>
      <c r="J1970" t="s">
        <v>981</v>
      </c>
    </row>
    <row r="1971" spans="1:10" x14ac:dyDescent="0.35">
      <c r="A1971">
        <v>16261</v>
      </c>
      <c r="B1971" t="s">
        <v>30</v>
      </c>
      <c r="C1971" t="s">
        <v>559</v>
      </c>
      <c r="D1971" t="s">
        <v>565</v>
      </c>
      <c r="E1971" t="s">
        <v>103</v>
      </c>
      <c r="F1971" t="s">
        <v>244</v>
      </c>
      <c r="G1971" s="39">
        <v>45334</v>
      </c>
      <c r="J1971" t="s">
        <v>981</v>
      </c>
    </row>
    <row r="1972" spans="1:10" x14ac:dyDescent="0.35">
      <c r="A1972">
        <v>16263</v>
      </c>
      <c r="B1972" t="s">
        <v>30</v>
      </c>
      <c r="C1972" t="s">
        <v>559</v>
      </c>
      <c r="D1972" t="s">
        <v>565</v>
      </c>
      <c r="E1972" t="s">
        <v>103</v>
      </c>
      <c r="F1972" t="s">
        <v>244</v>
      </c>
      <c r="G1972" s="39">
        <v>45334</v>
      </c>
      <c r="J1972" t="s">
        <v>981</v>
      </c>
    </row>
    <row r="1973" spans="1:10" x14ac:dyDescent="0.35">
      <c r="A1973">
        <v>16264</v>
      </c>
      <c r="B1973" t="s">
        <v>30</v>
      </c>
      <c r="C1973" t="s">
        <v>559</v>
      </c>
      <c r="D1973" t="s">
        <v>565</v>
      </c>
      <c r="E1973" t="s">
        <v>103</v>
      </c>
      <c r="F1973" t="s">
        <v>244</v>
      </c>
      <c r="G1973" s="39">
        <v>45334</v>
      </c>
      <c r="J1973" t="s">
        <v>981</v>
      </c>
    </row>
    <row r="1974" spans="1:10" x14ac:dyDescent="0.35">
      <c r="A1974">
        <v>16399</v>
      </c>
      <c r="B1974" t="s">
        <v>30</v>
      </c>
      <c r="C1974" t="s">
        <v>559</v>
      </c>
      <c r="D1974" t="s">
        <v>565</v>
      </c>
      <c r="E1974" t="s">
        <v>103</v>
      </c>
      <c r="F1974" t="s">
        <v>244</v>
      </c>
      <c r="G1974" s="39">
        <v>45370</v>
      </c>
      <c r="J1974" t="s">
        <v>981</v>
      </c>
    </row>
    <row r="1975" spans="1:10" x14ac:dyDescent="0.35">
      <c r="A1975">
        <v>17054</v>
      </c>
      <c r="B1975" t="s">
        <v>30</v>
      </c>
      <c r="C1975" t="s">
        <v>559</v>
      </c>
      <c r="D1975" t="s">
        <v>565</v>
      </c>
      <c r="E1975" t="s">
        <v>103</v>
      </c>
      <c r="F1975" t="s">
        <v>244</v>
      </c>
      <c r="G1975" s="39">
        <v>45603</v>
      </c>
      <c r="J1975" t="s">
        <v>981</v>
      </c>
    </row>
    <row r="1976" spans="1:10" x14ac:dyDescent="0.35">
      <c r="A1976">
        <v>16506</v>
      </c>
      <c r="B1976" t="s">
        <v>30</v>
      </c>
      <c r="C1976" t="s">
        <v>559</v>
      </c>
      <c r="D1976" t="s">
        <v>565</v>
      </c>
      <c r="E1976" t="s">
        <v>103</v>
      </c>
      <c r="F1976" t="s">
        <v>244</v>
      </c>
      <c r="G1976" s="39">
        <v>45446</v>
      </c>
      <c r="J1976" t="s">
        <v>981</v>
      </c>
    </row>
    <row r="1977" spans="1:10" x14ac:dyDescent="0.35">
      <c r="A1977">
        <v>16502</v>
      </c>
      <c r="B1977" t="s">
        <v>30</v>
      </c>
      <c r="C1977" t="s">
        <v>559</v>
      </c>
      <c r="D1977" t="s">
        <v>565</v>
      </c>
      <c r="E1977" t="s">
        <v>103</v>
      </c>
      <c r="F1977" t="s">
        <v>244</v>
      </c>
      <c r="G1977" s="39">
        <v>45446</v>
      </c>
      <c r="J1977" t="s">
        <v>981</v>
      </c>
    </row>
    <row r="1978" spans="1:10" x14ac:dyDescent="0.35">
      <c r="A1978">
        <v>16517</v>
      </c>
      <c r="B1978" t="s">
        <v>30</v>
      </c>
      <c r="C1978" t="s">
        <v>559</v>
      </c>
      <c r="D1978" t="s">
        <v>565</v>
      </c>
      <c r="E1978" t="s">
        <v>103</v>
      </c>
      <c r="F1978" t="s">
        <v>244</v>
      </c>
      <c r="G1978" s="39">
        <v>45454</v>
      </c>
      <c r="J1978" t="s">
        <v>981</v>
      </c>
    </row>
    <row r="1979" spans="1:10" x14ac:dyDescent="0.35">
      <c r="A1979">
        <v>16458</v>
      </c>
      <c r="B1979" t="s">
        <v>30</v>
      </c>
      <c r="C1979" t="s">
        <v>559</v>
      </c>
      <c r="D1979" t="s">
        <v>565</v>
      </c>
      <c r="E1979" t="s">
        <v>103</v>
      </c>
      <c r="F1979" t="s">
        <v>244</v>
      </c>
      <c r="G1979" s="39">
        <v>45413</v>
      </c>
      <c r="J1979" t="s">
        <v>981</v>
      </c>
    </row>
    <row r="1980" spans="1:10" x14ac:dyDescent="0.35">
      <c r="A1980">
        <v>16485</v>
      </c>
      <c r="B1980" t="s">
        <v>30</v>
      </c>
      <c r="C1980" t="s">
        <v>559</v>
      </c>
      <c r="D1980" t="s">
        <v>565</v>
      </c>
      <c r="E1980" t="s">
        <v>103</v>
      </c>
      <c r="F1980" t="s">
        <v>244</v>
      </c>
      <c r="G1980" s="39">
        <v>45433</v>
      </c>
      <c r="J1980" t="s">
        <v>981</v>
      </c>
    </row>
    <row r="1981" spans="1:10" x14ac:dyDescent="0.35">
      <c r="A1981">
        <v>16576</v>
      </c>
      <c r="B1981" t="s">
        <v>30</v>
      </c>
      <c r="C1981" t="s">
        <v>559</v>
      </c>
      <c r="D1981" t="s">
        <v>565</v>
      </c>
      <c r="E1981" t="s">
        <v>103</v>
      </c>
      <c r="F1981" t="s">
        <v>244</v>
      </c>
      <c r="G1981" s="39">
        <v>45475</v>
      </c>
      <c r="J1981" t="s">
        <v>981</v>
      </c>
    </row>
    <row r="1982" spans="1:10" x14ac:dyDescent="0.35">
      <c r="A1982">
        <v>16577</v>
      </c>
      <c r="B1982" t="s">
        <v>30</v>
      </c>
      <c r="C1982" t="s">
        <v>559</v>
      </c>
      <c r="D1982" t="s">
        <v>565</v>
      </c>
      <c r="E1982" t="s">
        <v>103</v>
      </c>
      <c r="F1982" t="s">
        <v>244</v>
      </c>
      <c r="G1982" s="39">
        <v>45475</v>
      </c>
      <c r="J1982" t="s">
        <v>981</v>
      </c>
    </row>
    <row r="1983" spans="1:10" x14ac:dyDescent="0.35">
      <c r="A1983">
        <v>16583</v>
      </c>
      <c r="B1983" t="s">
        <v>30</v>
      </c>
      <c r="C1983" t="s">
        <v>559</v>
      </c>
      <c r="D1983" t="s">
        <v>565</v>
      </c>
      <c r="E1983" t="s">
        <v>103</v>
      </c>
      <c r="F1983" t="s">
        <v>244</v>
      </c>
      <c r="G1983" s="39">
        <v>45476</v>
      </c>
      <c r="J1983" t="s">
        <v>981</v>
      </c>
    </row>
    <row r="1984" spans="1:10" x14ac:dyDescent="0.35">
      <c r="A1984">
        <v>16683</v>
      </c>
      <c r="B1984" t="s">
        <v>30</v>
      </c>
      <c r="C1984" t="s">
        <v>559</v>
      </c>
      <c r="D1984" t="s">
        <v>565</v>
      </c>
      <c r="E1984" t="s">
        <v>103</v>
      </c>
      <c r="F1984" t="s">
        <v>244</v>
      </c>
      <c r="G1984" s="39">
        <v>45519</v>
      </c>
      <c r="J1984" t="s">
        <v>981</v>
      </c>
    </row>
    <row r="1985" spans="1:10" x14ac:dyDescent="0.35">
      <c r="A1985">
        <v>16708</v>
      </c>
      <c r="B1985" t="s">
        <v>30</v>
      </c>
      <c r="C1985" t="s">
        <v>559</v>
      </c>
      <c r="D1985" t="s">
        <v>565</v>
      </c>
      <c r="E1985" t="s">
        <v>103</v>
      </c>
      <c r="F1985" t="s">
        <v>244</v>
      </c>
      <c r="G1985" s="39">
        <v>45531</v>
      </c>
      <c r="J1985" t="s">
        <v>981</v>
      </c>
    </row>
    <row r="1986" spans="1:10" x14ac:dyDescent="0.35">
      <c r="A1986">
        <v>16854</v>
      </c>
      <c r="B1986" t="s">
        <v>30</v>
      </c>
      <c r="C1986" t="s">
        <v>559</v>
      </c>
      <c r="D1986" t="s">
        <v>565</v>
      </c>
      <c r="E1986" t="s">
        <v>103</v>
      </c>
      <c r="F1986" t="s">
        <v>244</v>
      </c>
      <c r="G1986" s="39">
        <v>45568</v>
      </c>
      <c r="J1986" t="s">
        <v>981</v>
      </c>
    </row>
    <row r="1987" spans="1:10" x14ac:dyDescent="0.35">
      <c r="A1987">
        <v>17278</v>
      </c>
      <c r="B1987" t="s">
        <v>30</v>
      </c>
      <c r="C1987" t="s">
        <v>559</v>
      </c>
      <c r="D1987" t="s">
        <v>565</v>
      </c>
      <c r="E1987" t="s">
        <v>103</v>
      </c>
      <c r="F1987" t="s">
        <v>244</v>
      </c>
      <c r="G1987" s="39">
        <v>45692</v>
      </c>
      <c r="J1987" t="s">
        <v>981</v>
      </c>
    </row>
    <row r="1988" spans="1:10" x14ac:dyDescent="0.35">
      <c r="A1988">
        <v>17279</v>
      </c>
      <c r="B1988" t="s">
        <v>30</v>
      </c>
      <c r="C1988" t="s">
        <v>559</v>
      </c>
      <c r="D1988" t="s">
        <v>565</v>
      </c>
      <c r="E1988" t="s">
        <v>103</v>
      </c>
      <c r="F1988" t="s">
        <v>244</v>
      </c>
      <c r="G1988" s="39">
        <v>45692</v>
      </c>
      <c r="J1988" t="s">
        <v>981</v>
      </c>
    </row>
    <row r="1989" spans="1:10" x14ac:dyDescent="0.35">
      <c r="A1989">
        <v>17280</v>
      </c>
      <c r="B1989" t="s">
        <v>30</v>
      </c>
      <c r="C1989" t="s">
        <v>559</v>
      </c>
      <c r="D1989" t="s">
        <v>565</v>
      </c>
      <c r="E1989" t="s">
        <v>103</v>
      </c>
      <c r="F1989" t="s">
        <v>244</v>
      </c>
      <c r="G1989" s="39">
        <v>45692</v>
      </c>
      <c r="J1989" t="s">
        <v>981</v>
      </c>
    </row>
    <row r="1990" spans="1:10" x14ac:dyDescent="0.35">
      <c r="A1990">
        <v>17276</v>
      </c>
      <c r="B1990" t="s">
        <v>30</v>
      </c>
      <c r="C1990" t="s">
        <v>559</v>
      </c>
      <c r="D1990" t="s">
        <v>565</v>
      </c>
      <c r="E1990" t="s">
        <v>103</v>
      </c>
      <c r="F1990" t="s">
        <v>244</v>
      </c>
      <c r="G1990" s="39">
        <v>45693</v>
      </c>
      <c r="J1990" t="s">
        <v>981</v>
      </c>
    </row>
    <row r="1991" spans="1:10" x14ac:dyDescent="0.35">
      <c r="A1991">
        <v>17281</v>
      </c>
      <c r="B1991" t="s">
        <v>30</v>
      </c>
      <c r="C1991" t="s">
        <v>559</v>
      </c>
      <c r="D1991" t="s">
        <v>565</v>
      </c>
      <c r="E1991" t="s">
        <v>103</v>
      </c>
      <c r="F1991" t="s">
        <v>411</v>
      </c>
      <c r="G1991" s="39">
        <v>45693</v>
      </c>
      <c r="J1991" t="s">
        <v>981</v>
      </c>
    </row>
    <row r="1992" spans="1:10" x14ac:dyDescent="0.35">
      <c r="A1992">
        <v>18881</v>
      </c>
      <c r="B1992" t="s">
        <v>30</v>
      </c>
      <c r="C1992" t="s">
        <v>559</v>
      </c>
      <c r="D1992" t="s">
        <v>565</v>
      </c>
      <c r="E1992" t="s">
        <v>425</v>
      </c>
      <c r="F1992" t="s">
        <v>244</v>
      </c>
      <c r="G1992" s="39">
        <v>46231</v>
      </c>
      <c r="J1992" t="s">
        <v>981</v>
      </c>
    </row>
    <row r="1993" spans="1:10" x14ac:dyDescent="0.35">
      <c r="A1993">
        <v>16856</v>
      </c>
      <c r="B1993" t="s">
        <v>30</v>
      </c>
      <c r="C1993" t="s">
        <v>559</v>
      </c>
      <c r="D1993" t="s">
        <v>565</v>
      </c>
      <c r="E1993" t="s">
        <v>103</v>
      </c>
      <c r="F1993" t="s">
        <v>244</v>
      </c>
      <c r="G1993" s="39">
        <v>45568</v>
      </c>
      <c r="J1993" t="s">
        <v>981</v>
      </c>
    </row>
    <row r="1994" spans="1:10" x14ac:dyDescent="0.35">
      <c r="A1994">
        <v>16859</v>
      </c>
      <c r="B1994" t="s">
        <v>30</v>
      </c>
      <c r="C1994" t="s">
        <v>559</v>
      </c>
      <c r="D1994" t="s">
        <v>565</v>
      </c>
      <c r="E1994" t="s">
        <v>103</v>
      </c>
      <c r="F1994" t="s">
        <v>244</v>
      </c>
      <c r="G1994" s="39">
        <v>45569</v>
      </c>
      <c r="J1994" t="s">
        <v>981</v>
      </c>
    </row>
    <row r="1995" spans="1:10" x14ac:dyDescent="0.35">
      <c r="A1995">
        <v>16974</v>
      </c>
      <c r="B1995" t="s">
        <v>30</v>
      </c>
      <c r="C1995" t="s">
        <v>559</v>
      </c>
      <c r="D1995" t="s">
        <v>565</v>
      </c>
      <c r="E1995" t="s">
        <v>103</v>
      </c>
      <c r="F1995" t="s">
        <v>244</v>
      </c>
      <c r="G1995" s="39">
        <v>45581</v>
      </c>
      <c r="J1995" t="s">
        <v>981</v>
      </c>
    </row>
    <row r="1996" spans="1:10" x14ac:dyDescent="0.35">
      <c r="A1996">
        <v>17061</v>
      </c>
      <c r="B1996" t="s">
        <v>30</v>
      </c>
      <c r="C1996" t="s">
        <v>559</v>
      </c>
      <c r="D1996" t="s">
        <v>565</v>
      </c>
      <c r="E1996" t="s">
        <v>103</v>
      </c>
      <c r="F1996" t="s">
        <v>411</v>
      </c>
      <c r="G1996" s="39">
        <v>45612</v>
      </c>
      <c r="J1996" t="s">
        <v>981</v>
      </c>
    </row>
    <row r="1997" spans="1:10" x14ac:dyDescent="0.35">
      <c r="A1997">
        <v>17438</v>
      </c>
      <c r="B1997" t="s">
        <v>30</v>
      </c>
      <c r="C1997" t="s">
        <v>559</v>
      </c>
      <c r="D1997" t="s">
        <v>565</v>
      </c>
      <c r="E1997" t="s">
        <v>424</v>
      </c>
      <c r="F1997" t="s">
        <v>244</v>
      </c>
      <c r="G1997" s="39">
        <v>45754</v>
      </c>
      <c r="J1997" t="s">
        <v>981</v>
      </c>
    </row>
    <row r="1998" spans="1:10" x14ac:dyDescent="0.35">
      <c r="A1998">
        <v>17088</v>
      </c>
      <c r="B1998" t="s">
        <v>30</v>
      </c>
      <c r="C1998" t="s">
        <v>559</v>
      </c>
      <c r="D1998" t="s">
        <v>565</v>
      </c>
      <c r="E1998" t="s">
        <v>103</v>
      </c>
      <c r="F1998" t="s">
        <v>411</v>
      </c>
      <c r="G1998" s="39">
        <v>45623</v>
      </c>
      <c r="J1998" t="s">
        <v>981</v>
      </c>
    </row>
    <row r="1999" spans="1:10" x14ac:dyDescent="0.35">
      <c r="A1999">
        <v>18938</v>
      </c>
      <c r="B1999" t="s">
        <v>30</v>
      </c>
      <c r="C1999" t="s">
        <v>559</v>
      </c>
      <c r="D1999" t="s">
        <v>565</v>
      </c>
      <c r="E1999" t="s">
        <v>425</v>
      </c>
      <c r="F1999" t="s">
        <v>244</v>
      </c>
      <c r="G1999" s="39">
        <v>46246</v>
      </c>
      <c r="J1999" t="s">
        <v>981</v>
      </c>
    </row>
    <row r="2000" spans="1:10" x14ac:dyDescent="0.35">
      <c r="A2000">
        <v>16801</v>
      </c>
      <c r="B2000" t="s">
        <v>30</v>
      </c>
      <c r="C2000" t="s">
        <v>559</v>
      </c>
      <c r="D2000" t="s">
        <v>565</v>
      </c>
      <c r="E2000" t="s">
        <v>103</v>
      </c>
      <c r="F2000" t="s">
        <v>244</v>
      </c>
      <c r="G2000" s="39">
        <v>45553</v>
      </c>
      <c r="J2000" t="s">
        <v>981</v>
      </c>
    </row>
    <row r="2001" spans="1:10" x14ac:dyDescent="0.35">
      <c r="A2001">
        <v>16492</v>
      </c>
      <c r="B2001" t="s">
        <v>30</v>
      </c>
      <c r="C2001" t="s">
        <v>559</v>
      </c>
      <c r="D2001" t="s">
        <v>565</v>
      </c>
      <c r="E2001" t="s">
        <v>103</v>
      </c>
      <c r="F2001" t="s">
        <v>244</v>
      </c>
      <c r="G2001" s="39">
        <v>45439</v>
      </c>
      <c r="J2001" t="s">
        <v>981</v>
      </c>
    </row>
    <row r="2002" spans="1:10" x14ac:dyDescent="0.35">
      <c r="A2002">
        <v>16778</v>
      </c>
      <c r="B2002" t="s">
        <v>30</v>
      </c>
      <c r="C2002" t="s">
        <v>559</v>
      </c>
      <c r="D2002" t="s">
        <v>565</v>
      </c>
      <c r="E2002" t="s">
        <v>103</v>
      </c>
      <c r="F2002" t="s">
        <v>244</v>
      </c>
      <c r="G2002" s="39">
        <v>45547</v>
      </c>
      <c r="J2002" t="s">
        <v>981</v>
      </c>
    </row>
    <row r="2003" spans="1:10" x14ac:dyDescent="0.35">
      <c r="A2003">
        <v>16782</v>
      </c>
      <c r="B2003" t="s">
        <v>30</v>
      </c>
      <c r="C2003" t="s">
        <v>559</v>
      </c>
      <c r="D2003" t="s">
        <v>565</v>
      </c>
      <c r="E2003" t="s">
        <v>103</v>
      </c>
      <c r="F2003" t="s">
        <v>244</v>
      </c>
      <c r="G2003" s="39">
        <v>45547</v>
      </c>
      <c r="J2003" t="s">
        <v>981</v>
      </c>
    </row>
    <row r="2004" spans="1:10" x14ac:dyDescent="0.35">
      <c r="A2004">
        <v>15555</v>
      </c>
      <c r="B2004" t="s">
        <v>30</v>
      </c>
      <c r="C2004" t="s">
        <v>559</v>
      </c>
      <c r="D2004" t="s">
        <v>565</v>
      </c>
      <c r="E2004" t="s">
        <v>103</v>
      </c>
      <c r="F2004" t="s">
        <v>244</v>
      </c>
      <c r="G2004" s="39">
        <v>45126</v>
      </c>
      <c r="J2004" t="s">
        <v>981</v>
      </c>
    </row>
    <row r="2005" spans="1:10" x14ac:dyDescent="0.35">
      <c r="A2005">
        <v>16783</v>
      </c>
      <c r="B2005" t="s">
        <v>30</v>
      </c>
      <c r="C2005" t="s">
        <v>559</v>
      </c>
      <c r="D2005" t="s">
        <v>565</v>
      </c>
      <c r="E2005" t="s">
        <v>103</v>
      </c>
      <c r="F2005" t="s">
        <v>244</v>
      </c>
      <c r="G2005" s="39">
        <v>45547</v>
      </c>
      <c r="J2005" t="s">
        <v>981</v>
      </c>
    </row>
    <row r="2006" spans="1:10" x14ac:dyDescent="0.35">
      <c r="A2006">
        <v>17055</v>
      </c>
      <c r="B2006" t="s">
        <v>30</v>
      </c>
      <c r="C2006" t="s">
        <v>559</v>
      </c>
      <c r="D2006" t="s">
        <v>565</v>
      </c>
      <c r="E2006" t="s">
        <v>103</v>
      </c>
      <c r="F2006" t="s">
        <v>244</v>
      </c>
      <c r="G2006" s="39">
        <v>45603</v>
      </c>
      <c r="J2006" t="s">
        <v>981</v>
      </c>
    </row>
    <row r="2007" spans="1:10" x14ac:dyDescent="0.35">
      <c r="A2007">
        <v>17053</v>
      </c>
      <c r="B2007" t="s">
        <v>30</v>
      </c>
      <c r="C2007" t="s">
        <v>559</v>
      </c>
      <c r="D2007" t="s">
        <v>565</v>
      </c>
      <c r="E2007" t="s">
        <v>103</v>
      </c>
      <c r="F2007" t="s">
        <v>244</v>
      </c>
      <c r="G2007" s="39">
        <v>45603</v>
      </c>
      <c r="J2007" t="s">
        <v>981</v>
      </c>
    </row>
    <row r="2008" spans="1:10" x14ac:dyDescent="0.35">
      <c r="A2008">
        <v>17853</v>
      </c>
      <c r="B2008" t="s">
        <v>30</v>
      </c>
      <c r="C2008" t="s">
        <v>559</v>
      </c>
      <c r="D2008" t="s">
        <v>565</v>
      </c>
      <c r="E2008" t="s">
        <v>103</v>
      </c>
      <c r="F2008" t="s">
        <v>244</v>
      </c>
      <c r="G2008" s="39">
        <v>45891</v>
      </c>
      <c r="J2008" t="s">
        <v>981</v>
      </c>
    </row>
    <row r="2009" spans="1:10" x14ac:dyDescent="0.35">
      <c r="A2009">
        <v>14775</v>
      </c>
      <c r="B2009" t="s">
        <v>30</v>
      </c>
      <c r="C2009" t="s">
        <v>559</v>
      </c>
      <c r="D2009" t="s">
        <v>565</v>
      </c>
      <c r="E2009" t="s">
        <v>103</v>
      </c>
      <c r="F2009" t="s">
        <v>411</v>
      </c>
      <c r="G2009" s="39">
        <v>44854</v>
      </c>
      <c r="J2009" t="s">
        <v>981</v>
      </c>
    </row>
    <row r="2010" spans="1:10" x14ac:dyDescent="0.35">
      <c r="A2010">
        <v>14848</v>
      </c>
      <c r="B2010" t="s">
        <v>30</v>
      </c>
      <c r="C2010" t="s">
        <v>559</v>
      </c>
      <c r="D2010" t="s">
        <v>565</v>
      </c>
      <c r="E2010" t="s">
        <v>103</v>
      </c>
      <c r="F2010" t="s">
        <v>411</v>
      </c>
      <c r="G2010" s="39">
        <v>44876</v>
      </c>
      <c r="J2010" t="s">
        <v>981</v>
      </c>
    </row>
    <row r="2011" spans="1:10" x14ac:dyDescent="0.35">
      <c r="A2011">
        <v>18130</v>
      </c>
      <c r="B2011" t="s">
        <v>30</v>
      </c>
      <c r="C2011" t="s">
        <v>559</v>
      </c>
      <c r="D2011" t="s">
        <v>565</v>
      </c>
      <c r="E2011" t="s">
        <v>425</v>
      </c>
      <c r="F2011" t="s">
        <v>244</v>
      </c>
      <c r="G2011" s="39">
        <v>46007</v>
      </c>
      <c r="J2011" t="s">
        <v>981</v>
      </c>
    </row>
    <row r="2012" spans="1:10" x14ac:dyDescent="0.35">
      <c r="A2012">
        <v>14037</v>
      </c>
      <c r="B2012" t="s">
        <v>30</v>
      </c>
      <c r="C2012" t="s">
        <v>559</v>
      </c>
      <c r="D2012" t="s">
        <v>565</v>
      </c>
      <c r="E2012" t="s">
        <v>103</v>
      </c>
      <c r="F2012" t="s">
        <v>411</v>
      </c>
      <c r="G2012" s="39">
        <v>44631</v>
      </c>
      <c r="J2012" t="s">
        <v>981</v>
      </c>
    </row>
    <row r="2013" spans="1:10" x14ac:dyDescent="0.35">
      <c r="A2013">
        <v>14415</v>
      </c>
      <c r="B2013" t="s">
        <v>30</v>
      </c>
      <c r="C2013" t="s">
        <v>559</v>
      </c>
      <c r="D2013" t="s">
        <v>565</v>
      </c>
      <c r="E2013" t="s">
        <v>491</v>
      </c>
      <c r="F2013" t="s">
        <v>244</v>
      </c>
      <c r="G2013" s="39">
        <v>44755</v>
      </c>
      <c r="J2013" t="s">
        <v>981</v>
      </c>
    </row>
    <row r="2014" spans="1:10" x14ac:dyDescent="0.35">
      <c r="A2014">
        <v>14042</v>
      </c>
      <c r="B2014" t="s">
        <v>30</v>
      </c>
      <c r="C2014" t="s">
        <v>559</v>
      </c>
      <c r="D2014" t="s">
        <v>565</v>
      </c>
      <c r="E2014" t="s">
        <v>103</v>
      </c>
      <c r="F2014" t="s">
        <v>411</v>
      </c>
      <c r="G2014" s="39">
        <v>44631</v>
      </c>
      <c r="J2014" t="s">
        <v>981</v>
      </c>
    </row>
    <row r="2015" spans="1:10" x14ac:dyDescent="0.35">
      <c r="A2015">
        <v>17436</v>
      </c>
      <c r="B2015" t="s">
        <v>30</v>
      </c>
      <c r="C2015" t="s">
        <v>559</v>
      </c>
      <c r="D2015" t="s">
        <v>565</v>
      </c>
      <c r="E2015" t="s">
        <v>424</v>
      </c>
      <c r="F2015" t="s">
        <v>411</v>
      </c>
      <c r="G2015" s="39">
        <v>45754</v>
      </c>
      <c r="J2015" t="s">
        <v>981</v>
      </c>
    </row>
    <row r="2016" spans="1:10" x14ac:dyDescent="0.35">
      <c r="A2016">
        <v>18940</v>
      </c>
      <c r="B2016" t="s">
        <v>30</v>
      </c>
      <c r="C2016" t="s">
        <v>559</v>
      </c>
      <c r="D2016" t="s">
        <v>565</v>
      </c>
      <c r="E2016" t="s">
        <v>425</v>
      </c>
      <c r="F2016" t="s">
        <v>244</v>
      </c>
      <c r="G2016" s="39">
        <v>46246</v>
      </c>
      <c r="J2016" t="s">
        <v>981</v>
      </c>
    </row>
    <row r="2017" spans="1:10" x14ac:dyDescent="0.35">
      <c r="A2017">
        <v>14033</v>
      </c>
      <c r="B2017" t="s">
        <v>30</v>
      </c>
      <c r="C2017" t="s">
        <v>559</v>
      </c>
      <c r="D2017" t="s">
        <v>565</v>
      </c>
      <c r="E2017" t="s">
        <v>103</v>
      </c>
      <c r="F2017" t="s">
        <v>244</v>
      </c>
      <c r="G2017" s="39">
        <v>44631</v>
      </c>
      <c r="J2017" t="s">
        <v>981</v>
      </c>
    </row>
    <row r="2018" spans="1:10" x14ac:dyDescent="0.35">
      <c r="A2018">
        <v>17155</v>
      </c>
      <c r="B2018" t="s">
        <v>30</v>
      </c>
      <c r="C2018" t="s">
        <v>559</v>
      </c>
      <c r="D2018" t="s">
        <v>565</v>
      </c>
      <c r="E2018" t="s">
        <v>106</v>
      </c>
      <c r="F2018" t="s">
        <v>244</v>
      </c>
      <c r="G2018" s="39">
        <v>45650</v>
      </c>
      <c r="J2018" t="s">
        <v>981</v>
      </c>
    </row>
    <row r="2019" spans="1:10" x14ac:dyDescent="0.35">
      <c r="A2019">
        <v>16400</v>
      </c>
      <c r="B2019" t="s">
        <v>30</v>
      </c>
      <c r="C2019" t="s">
        <v>559</v>
      </c>
      <c r="D2019" t="s">
        <v>565</v>
      </c>
      <c r="E2019" t="s">
        <v>103</v>
      </c>
      <c r="F2019" t="s">
        <v>244</v>
      </c>
      <c r="G2019" s="39">
        <v>45370</v>
      </c>
      <c r="J2019" t="s">
        <v>981</v>
      </c>
    </row>
    <row r="2020" spans="1:10" x14ac:dyDescent="0.35">
      <c r="A2020">
        <v>17056</v>
      </c>
      <c r="B2020" t="s">
        <v>30</v>
      </c>
      <c r="C2020" t="s">
        <v>559</v>
      </c>
      <c r="D2020" t="s">
        <v>565</v>
      </c>
      <c r="E2020" t="s">
        <v>106</v>
      </c>
      <c r="F2020" t="s">
        <v>244</v>
      </c>
      <c r="G2020" s="39">
        <v>45603</v>
      </c>
      <c r="J2020" t="s">
        <v>981</v>
      </c>
    </row>
    <row r="2021" spans="1:10" x14ac:dyDescent="0.35">
      <c r="A2021">
        <v>18298</v>
      </c>
      <c r="B2021" t="s">
        <v>30</v>
      </c>
      <c r="C2021" t="s">
        <v>559</v>
      </c>
      <c r="D2021" t="s">
        <v>565</v>
      </c>
      <c r="E2021" t="s">
        <v>106</v>
      </c>
      <c r="F2021" t="s">
        <v>244</v>
      </c>
      <c r="G2021" s="39">
        <v>46083</v>
      </c>
      <c r="J2021" t="s">
        <v>981</v>
      </c>
    </row>
    <row r="2022" spans="1:10" x14ac:dyDescent="0.35">
      <c r="A2022">
        <v>18300</v>
      </c>
      <c r="B2022" t="s">
        <v>30</v>
      </c>
      <c r="C2022" t="s">
        <v>559</v>
      </c>
      <c r="D2022" t="s">
        <v>565</v>
      </c>
      <c r="E2022" t="s">
        <v>106</v>
      </c>
      <c r="F2022" t="s">
        <v>244</v>
      </c>
      <c r="G2022" s="39">
        <v>46083</v>
      </c>
      <c r="J2022" t="s">
        <v>981</v>
      </c>
    </row>
    <row r="2023" spans="1:10" x14ac:dyDescent="0.35">
      <c r="A2023">
        <v>18292</v>
      </c>
      <c r="B2023" t="s">
        <v>30</v>
      </c>
      <c r="C2023" t="s">
        <v>559</v>
      </c>
      <c r="D2023" t="s">
        <v>565</v>
      </c>
      <c r="E2023" t="s">
        <v>106</v>
      </c>
      <c r="F2023" t="s">
        <v>244</v>
      </c>
      <c r="G2023" s="39">
        <v>46083</v>
      </c>
      <c r="J2023" t="s">
        <v>981</v>
      </c>
    </row>
    <row r="2024" spans="1:10" x14ac:dyDescent="0.35">
      <c r="A2024">
        <v>18365</v>
      </c>
      <c r="B2024" t="s">
        <v>30</v>
      </c>
      <c r="C2024" t="s">
        <v>559</v>
      </c>
      <c r="D2024" t="s">
        <v>565</v>
      </c>
      <c r="E2024" t="s">
        <v>106</v>
      </c>
      <c r="F2024" t="s">
        <v>244</v>
      </c>
      <c r="G2024" s="39">
        <v>46113</v>
      </c>
      <c r="J2024" t="s">
        <v>981</v>
      </c>
    </row>
    <row r="2025" spans="1:10" x14ac:dyDescent="0.35">
      <c r="A2025">
        <v>18293</v>
      </c>
      <c r="B2025" t="s">
        <v>30</v>
      </c>
      <c r="C2025" t="s">
        <v>559</v>
      </c>
      <c r="D2025" t="s">
        <v>565</v>
      </c>
      <c r="E2025" t="s">
        <v>106</v>
      </c>
      <c r="F2025" t="s">
        <v>244</v>
      </c>
      <c r="G2025" s="39">
        <v>46083</v>
      </c>
      <c r="J2025" t="s">
        <v>981</v>
      </c>
    </row>
    <row r="2026" spans="1:10" x14ac:dyDescent="0.35">
      <c r="A2026">
        <v>18635</v>
      </c>
      <c r="B2026" t="s">
        <v>30</v>
      </c>
      <c r="C2026" t="s">
        <v>559</v>
      </c>
      <c r="D2026" t="s">
        <v>565</v>
      </c>
      <c r="E2026" t="s">
        <v>106</v>
      </c>
      <c r="F2026" t="s">
        <v>244</v>
      </c>
      <c r="G2026" s="39">
        <v>46178</v>
      </c>
      <c r="J2026" t="s">
        <v>981</v>
      </c>
    </row>
    <row r="2027" spans="1:10" x14ac:dyDescent="0.35">
      <c r="A2027">
        <v>17004</v>
      </c>
      <c r="B2027" t="s">
        <v>30</v>
      </c>
      <c r="C2027" t="s">
        <v>559</v>
      </c>
      <c r="D2027" t="s">
        <v>565</v>
      </c>
      <c r="E2027" t="s">
        <v>106</v>
      </c>
      <c r="F2027" t="s">
        <v>244</v>
      </c>
      <c r="G2027" s="39">
        <v>45614</v>
      </c>
      <c r="J2027" t="s">
        <v>981</v>
      </c>
    </row>
    <row r="2028" spans="1:10" x14ac:dyDescent="0.35">
      <c r="A2028">
        <v>17154</v>
      </c>
      <c r="B2028" t="s">
        <v>30</v>
      </c>
      <c r="C2028" t="s">
        <v>559</v>
      </c>
      <c r="D2028" t="s">
        <v>565</v>
      </c>
      <c r="E2028" t="s">
        <v>106</v>
      </c>
      <c r="F2028" t="s">
        <v>411</v>
      </c>
      <c r="G2028" s="39">
        <v>45650</v>
      </c>
      <c r="J2028" t="s">
        <v>981</v>
      </c>
    </row>
    <row r="2029" spans="1:10" x14ac:dyDescent="0.35">
      <c r="A2029">
        <v>17740</v>
      </c>
      <c r="B2029" t="s">
        <v>30</v>
      </c>
      <c r="C2029" t="s">
        <v>559</v>
      </c>
      <c r="D2029" t="s">
        <v>565</v>
      </c>
      <c r="E2029" t="s">
        <v>425</v>
      </c>
      <c r="F2029" t="s">
        <v>244</v>
      </c>
      <c r="G2029" s="39">
        <v>45860</v>
      </c>
      <c r="J2029" t="s">
        <v>981</v>
      </c>
    </row>
    <row r="2030" spans="1:10" x14ac:dyDescent="0.35">
      <c r="A2030">
        <v>16510</v>
      </c>
      <c r="B2030" t="s">
        <v>30</v>
      </c>
      <c r="C2030" t="s">
        <v>559</v>
      </c>
      <c r="D2030" t="s">
        <v>565</v>
      </c>
      <c r="E2030" t="s">
        <v>103</v>
      </c>
      <c r="F2030" t="s">
        <v>244</v>
      </c>
      <c r="G2030" s="39">
        <v>45449</v>
      </c>
      <c r="J2030" t="s">
        <v>981</v>
      </c>
    </row>
    <row r="2031" spans="1:10" x14ac:dyDescent="0.35">
      <c r="A2031">
        <v>16711</v>
      </c>
      <c r="B2031" t="s">
        <v>30</v>
      </c>
      <c r="C2031" t="s">
        <v>559</v>
      </c>
      <c r="D2031" t="s">
        <v>565</v>
      </c>
      <c r="E2031" t="s">
        <v>106</v>
      </c>
      <c r="F2031" t="s">
        <v>244</v>
      </c>
      <c r="G2031" s="39">
        <v>45541</v>
      </c>
      <c r="J2031" t="s">
        <v>981</v>
      </c>
    </row>
    <row r="2032" spans="1:10" x14ac:dyDescent="0.35">
      <c r="A2032">
        <v>16811</v>
      </c>
      <c r="B2032" t="s">
        <v>30</v>
      </c>
      <c r="C2032" t="s">
        <v>559</v>
      </c>
      <c r="D2032" t="s">
        <v>565</v>
      </c>
      <c r="E2032" t="s">
        <v>106</v>
      </c>
      <c r="F2032" t="s">
        <v>244</v>
      </c>
      <c r="G2032" s="39">
        <v>45555</v>
      </c>
      <c r="J2032" t="s">
        <v>981</v>
      </c>
    </row>
    <row r="2033" spans="1:10" x14ac:dyDescent="0.35">
      <c r="A2033">
        <v>16860</v>
      </c>
      <c r="B2033" t="s">
        <v>30</v>
      </c>
      <c r="C2033" t="s">
        <v>559</v>
      </c>
      <c r="D2033" t="s">
        <v>565</v>
      </c>
      <c r="E2033" t="s">
        <v>103</v>
      </c>
      <c r="F2033" t="s">
        <v>244</v>
      </c>
      <c r="G2033" s="39">
        <v>45569</v>
      </c>
      <c r="J2033" t="s">
        <v>981</v>
      </c>
    </row>
    <row r="2034" spans="1:10" x14ac:dyDescent="0.35">
      <c r="A2034">
        <v>17062</v>
      </c>
      <c r="B2034" t="s">
        <v>30</v>
      </c>
      <c r="C2034" t="s">
        <v>559</v>
      </c>
      <c r="D2034" t="s">
        <v>565</v>
      </c>
      <c r="E2034" t="s">
        <v>106</v>
      </c>
      <c r="F2034" t="s">
        <v>411</v>
      </c>
      <c r="G2034" s="39">
        <v>45612</v>
      </c>
      <c r="J2034" t="s">
        <v>981</v>
      </c>
    </row>
    <row r="2035" spans="1:10" x14ac:dyDescent="0.35">
      <c r="A2035">
        <v>18129</v>
      </c>
      <c r="B2035" t="s">
        <v>30</v>
      </c>
      <c r="C2035" t="s">
        <v>559</v>
      </c>
      <c r="D2035" t="s">
        <v>565</v>
      </c>
      <c r="E2035" t="s">
        <v>425</v>
      </c>
      <c r="F2035" t="s">
        <v>244</v>
      </c>
      <c r="G2035" s="39">
        <v>46007</v>
      </c>
      <c r="J2035" t="s">
        <v>981</v>
      </c>
    </row>
    <row r="2036" spans="1:10" x14ac:dyDescent="0.35">
      <c r="A2036">
        <v>17063</v>
      </c>
      <c r="B2036" t="s">
        <v>30</v>
      </c>
      <c r="C2036" t="s">
        <v>559</v>
      </c>
      <c r="D2036" t="s">
        <v>565</v>
      </c>
      <c r="E2036" t="s">
        <v>106</v>
      </c>
      <c r="F2036" t="s">
        <v>244</v>
      </c>
      <c r="G2036" s="39">
        <v>45612</v>
      </c>
      <c r="J2036" t="s">
        <v>981</v>
      </c>
    </row>
    <row r="2037" spans="1:10" x14ac:dyDescent="0.35">
      <c r="A2037">
        <v>17148</v>
      </c>
      <c r="B2037" t="s">
        <v>30</v>
      </c>
      <c r="C2037" t="s">
        <v>559</v>
      </c>
      <c r="D2037" t="s">
        <v>565</v>
      </c>
      <c r="E2037" t="s">
        <v>103</v>
      </c>
      <c r="F2037" t="s">
        <v>244</v>
      </c>
      <c r="G2037" s="39">
        <v>45649</v>
      </c>
      <c r="J2037" t="s">
        <v>981</v>
      </c>
    </row>
    <row r="2038" spans="1:10" x14ac:dyDescent="0.35">
      <c r="A2038">
        <v>17146</v>
      </c>
      <c r="B2038" t="s">
        <v>30</v>
      </c>
      <c r="C2038" t="s">
        <v>559</v>
      </c>
      <c r="D2038" t="s">
        <v>565</v>
      </c>
      <c r="E2038" t="s">
        <v>103</v>
      </c>
      <c r="F2038" t="s">
        <v>244</v>
      </c>
      <c r="G2038" s="39">
        <v>45649</v>
      </c>
      <c r="J2038" t="s">
        <v>981</v>
      </c>
    </row>
    <row r="2039" spans="1:10" x14ac:dyDescent="0.35">
      <c r="A2039">
        <v>17147</v>
      </c>
      <c r="B2039" t="s">
        <v>30</v>
      </c>
      <c r="C2039" t="s">
        <v>559</v>
      </c>
      <c r="D2039" t="s">
        <v>565</v>
      </c>
      <c r="E2039" t="s">
        <v>103</v>
      </c>
      <c r="F2039" t="s">
        <v>244</v>
      </c>
      <c r="G2039" s="39">
        <v>45652</v>
      </c>
      <c r="J2039" t="s">
        <v>981</v>
      </c>
    </row>
    <row r="2040" spans="1:10" x14ac:dyDescent="0.35">
      <c r="A2040">
        <v>17332</v>
      </c>
      <c r="B2040" t="s">
        <v>30</v>
      </c>
      <c r="C2040" t="s">
        <v>559</v>
      </c>
      <c r="D2040" t="s">
        <v>565</v>
      </c>
      <c r="E2040" t="s">
        <v>103</v>
      </c>
      <c r="F2040" t="s">
        <v>244</v>
      </c>
      <c r="G2040" s="39">
        <v>45709</v>
      </c>
      <c r="J2040" t="s">
        <v>981</v>
      </c>
    </row>
    <row r="2041" spans="1:10" x14ac:dyDescent="0.35">
      <c r="A2041">
        <v>17333</v>
      </c>
      <c r="B2041" t="s">
        <v>30</v>
      </c>
      <c r="C2041" t="s">
        <v>559</v>
      </c>
      <c r="D2041" t="s">
        <v>565</v>
      </c>
      <c r="E2041" t="s">
        <v>103</v>
      </c>
      <c r="F2041" t="s">
        <v>244</v>
      </c>
      <c r="G2041" s="39">
        <v>45709</v>
      </c>
      <c r="J2041" t="s">
        <v>981</v>
      </c>
    </row>
    <row r="2042" spans="1:10" x14ac:dyDescent="0.35">
      <c r="A2042">
        <v>17303</v>
      </c>
      <c r="B2042" t="s">
        <v>30</v>
      </c>
      <c r="C2042" t="s">
        <v>559</v>
      </c>
      <c r="D2042" t="s">
        <v>565</v>
      </c>
      <c r="E2042" t="s">
        <v>103</v>
      </c>
      <c r="F2042" t="s">
        <v>244</v>
      </c>
      <c r="G2042" s="39">
        <v>45700</v>
      </c>
      <c r="J2042" t="s">
        <v>981</v>
      </c>
    </row>
    <row r="2043" spans="1:10" x14ac:dyDescent="0.35">
      <c r="A2043">
        <v>17304</v>
      </c>
      <c r="B2043" t="s">
        <v>30</v>
      </c>
      <c r="C2043" t="s">
        <v>559</v>
      </c>
      <c r="D2043" t="s">
        <v>565</v>
      </c>
      <c r="E2043" t="s">
        <v>103</v>
      </c>
      <c r="F2043" t="s">
        <v>244</v>
      </c>
      <c r="G2043" s="39">
        <v>45700</v>
      </c>
      <c r="J2043" t="s">
        <v>981</v>
      </c>
    </row>
    <row r="2044" spans="1:10" x14ac:dyDescent="0.35">
      <c r="A2044">
        <v>17369</v>
      </c>
      <c r="B2044" t="s">
        <v>30</v>
      </c>
      <c r="C2044" t="s">
        <v>559</v>
      </c>
      <c r="D2044" t="s">
        <v>565</v>
      </c>
      <c r="E2044" t="s">
        <v>103</v>
      </c>
      <c r="F2044" t="s">
        <v>244</v>
      </c>
      <c r="G2044" s="39">
        <v>45722</v>
      </c>
      <c r="J2044" t="s">
        <v>981</v>
      </c>
    </row>
    <row r="2045" spans="1:10" x14ac:dyDescent="0.35">
      <c r="A2045">
        <v>17427</v>
      </c>
      <c r="B2045" t="s">
        <v>30</v>
      </c>
      <c r="C2045" t="s">
        <v>559</v>
      </c>
      <c r="D2045" t="s">
        <v>565</v>
      </c>
      <c r="E2045" t="s">
        <v>103</v>
      </c>
      <c r="F2045" t="s">
        <v>244</v>
      </c>
      <c r="G2045" s="39">
        <v>45749</v>
      </c>
      <c r="J2045" t="s">
        <v>981</v>
      </c>
    </row>
    <row r="2046" spans="1:10" x14ac:dyDescent="0.35">
      <c r="A2046">
        <v>17435</v>
      </c>
      <c r="B2046" t="s">
        <v>30</v>
      </c>
      <c r="C2046" t="s">
        <v>559</v>
      </c>
      <c r="D2046" t="s">
        <v>565</v>
      </c>
      <c r="E2046" t="s">
        <v>103</v>
      </c>
      <c r="F2046" t="s">
        <v>244</v>
      </c>
      <c r="G2046" s="39">
        <v>45754</v>
      </c>
      <c r="J2046" t="s">
        <v>981</v>
      </c>
    </row>
    <row r="2047" spans="1:10" x14ac:dyDescent="0.35">
      <c r="A2047">
        <v>17634</v>
      </c>
      <c r="B2047" t="s">
        <v>30</v>
      </c>
      <c r="C2047" t="s">
        <v>559</v>
      </c>
      <c r="D2047" t="s">
        <v>565</v>
      </c>
      <c r="E2047" t="s">
        <v>103</v>
      </c>
      <c r="F2047" t="s">
        <v>244</v>
      </c>
      <c r="G2047" s="39">
        <v>45826</v>
      </c>
      <c r="J2047" t="s">
        <v>981</v>
      </c>
    </row>
    <row r="2048" spans="1:10" x14ac:dyDescent="0.35">
      <c r="A2048">
        <v>17640</v>
      </c>
      <c r="B2048" t="s">
        <v>30</v>
      </c>
      <c r="C2048" t="s">
        <v>559</v>
      </c>
      <c r="D2048" t="s">
        <v>565</v>
      </c>
      <c r="E2048" t="s">
        <v>106</v>
      </c>
      <c r="F2048" t="s">
        <v>244</v>
      </c>
      <c r="G2048" s="39">
        <v>45826</v>
      </c>
      <c r="J2048" t="s">
        <v>981</v>
      </c>
    </row>
    <row r="2049" spans="1:10" x14ac:dyDescent="0.35">
      <c r="A2049">
        <v>18065</v>
      </c>
      <c r="B2049" t="s">
        <v>30</v>
      </c>
      <c r="C2049" t="s">
        <v>559</v>
      </c>
      <c r="D2049" t="s">
        <v>565</v>
      </c>
      <c r="E2049" t="s">
        <v>106</v>
      </c>
      <c r="F2049" t="s">
        <v>244</v>
      </c>
      <c r="G2049" s="39">
        <v>45981</v>
      </c>
      <c r="J2049" t="s">
        <v>981</v>
      </c>
    </row>
    <row r="2050" spans="1:10" x14ac:dyDescent="0.35">
      <c r="A2050">
        <v>18386</v>
      </c>
      <c r="B2050" t="s">
        <v>30</v>
      </c>
      <c r="C2050" t="s">
        <v>559</v>
      </c>
      <c r="D2050" t="s">
        <v>565</v>
      </c>
      <c r="E2050" t="s">
        <v>106</v>
      </c>
      <c r="F2050" t="s">
        <v>244</v>
      </c>
      <c r="G2050" s="39">
        <v>46114</v>
      </c>
      <c r="J2050" t="s">
        <v>981</v>
      </c>
    </row>
    <row r="2051" spans="1:10" x14ac:dyDescent="0.35">
      <c r="A2051">
        <v>17656</v>
      </c>
      <c r="B2051" t="s">
        <v>30</v>
      </c>
      <c r="C2051" t="s">
        <v>559</v>
      </c>
      <c r="D2051" t="s">
        <v>565</v>
      </c>
      <c r="E2051" t="s">
        <v>103</v>
      </c>
      <c r="F2051" t="s">
        <v>244</v>
      </c>
      <c r="G2051" s="39">
        <v>45828</v>
      </c>
      <c r="J2051" t="s">
        <v>981</v>
      </c>
    </row>
    <row r="2052" spans="1:10" x14ac:dyDescent="0.35">
      <c r="A2052">
        <v>17446</v>
      </c>
      <c r="B2052" t="s">
        <v>30</v>
      </c>
      <c r="C2052" t="s">
        <v>559</v>
      </c>
      <c r="D2052" t="s">
        <v>565</v>
      </c>
      <c r="E2052" t="s">
        <v>103</v>
      </c>
      <c r="F2052" t="s">
        <v>244</v>
      </c>
      <c r="G2052" s="39">
        <v>45755</v>
      </c>
      <c r="J2052" t="s">
        <v>981</v>
      </c>
    </row>
    <row r="2053" spans="1:10" x14ac:dyDescent="0.35">
      <c r="A2053">
        <v>17474</v>
      </c>
      <c r="B2053" t="s">
        <v>30</v>
      </c>
      <c r="C2053" t="s">
        <v>559</v>
      </c>
      <c r="D2053" t="s">
        <v>565</v>
      </c>
      <c r="E2053" t="s">
        <v>103</v>
      </c>
      <c r="F2053" t="s">
        <v>244</v>
      </c>
      <c r="G2053" s="39">
        <v>45762</v>
      </c>
      <c r="J2053" t="s">
        <v>981</v>
      </c>
    </row>
    <row r="2054" spans="1:10" x14ac:dyDescent="0.35">
      <c r="A2054">
        <v>17522</v>
      </c>
      <c r="B2054" t="s">
        <v>30</v>
      </c>
      <c r="C2054" t="s">
        <v>559</v>
      </c>
      <c r="D2054" t="s">
        <v>565</v>
      </c>
      <c r="E2054" t="s">
        <v>103</v>
      </c>
      <c r="F2054" t="s">
        <v>244</v>
      </c>
      <c r="G2054" s="39">
        <v>45784</v>
      </c>
      <c r="J2054" t="s">
        <v>981</v>
      </c>
    </row>
    <row r="2055" spans="1:10" x14ac:dyDescent="0.35">
      <c r="A2055">
        <v>17523</v>
      </c>
      <c r="B2055" t="s">
        <v>30</v>
      </c>
      <c r="C2055" t="s">
        <v>559</v>
      </c>
      <c r="D2055" t="s">
        <v>565</v>
      </c>
      <c r="E2055" t="s">
        <v>103</v>
      </c>
      <c r="F2055" t="s">
        <v>244</v>
      </c>
      <c r="G2055" s="39">
        <v>45784</v>
      </c>
      <c r="J2055" t="s">
        <v>981</v>
      </c>
    </row>
    <row r="2056" spans="1:10" x14ac:dyDescent="0.35">
      <c r="A2056">
        <v>17524</v>
      </c>
      <c r="B2056" t="s">
        <v>30</v>
      </c>
      <c r="C2056" t="s">
        <v>559</v>
      </c>
      <c r="D2056" t="s">
        <v>565</v>
      </c>
      <c r="E2056" t="s">
        <v>103</v>
      </c>
      <c r="F2056" t="s">
        <v>244</v>
      </c>
      <c r="G2056" s="39">
        <v>45784</v>
      </c>
      <c r="J2056" t="s">
        <v>981</v>
      </c>
    </row>
    <row r="2057" spans="1:10" x14ac:dyDescent="0.35">
      <c r="A2057">
        <v>17723</v>
      </c>
      <c r="B2057" t="s">
        <v>30</v>
      </c>
      <c r="C2057" t="s">
        <v>559</v>
      </c>
      <c r="D2057" t="s">
        <v>565</v>
      </c>
      <c r="E2057" t="s">
        <v>106</v>
      </c>
      <c r="F2057" t="s">
        <v>244</v>
      </c>
      <c r="G2057" s="39">
        <v>45856</v>
      </c>
      <c r="J2057" t="s">
        <v>981</v>
      </c>
    </row>
    <row r="2058" spans="1:10" x14ac:dyDescent="0.35">
      <c r="A2058">
        <v>17774</v>
      </c>
      <c r="B2058" t="s">
        <v>30</v>
      </c>
      <c r="C2058" t="s">
        <v>559</v>
      </c>
      <c r="D2058" t="s">
        <v>565</v>
      </c>
      <c r="E2058" t="s">
        <v>106</v>
      </c>
      <c r="F2058" t="s">
        <v>245</v>
      </c>
      <c r="G2058" s="39">
        <v>45875</v>
      </c>
      <c r="J2058" t="s">
        <v>981</v>
      </c>
    </row>
    <row r="2059" spans="1:10" x14ac:dyDescent="0.35">
      <c r="A2059">
        <v>17277</v>
      </c>
      <c r="B2059" t="s">
        <v>30</v>
      </c>
      <c r="C2059" t="s">
        <v>559</v>
      </c>
      <c r="D2059" t="s">
        <v>565</v>
      </c>
      <c r="E2059" t="s">
        <v>424</v>
      </c>
      <c r="F2059" t="s">
        <v>244</v>
      </c>
      <c r="G2059" s="39">
        <v>45692</v>
      </c>
      <c r="J2059" t="s">
        <v>981</v>
      </c>
    </row>
    <row r="2060" spans="1:10" x14ac:dyDescent="0.35">
      <c r="A2060">
        <v>18553</v>
      </c>
      <c r="B2060" t="s">
        <v>30</v>
      </c>
      <c r="C2060" t="s">
        <v>559</v>
      </c>
      <c r="D2060" t="s">
        <v>565</v>
      </c>
      <c r="E2060" t="s">
        <v>106</v>
      </c>
      <c r="F2060" t="s">
        <v>244</v>
      </c>
      <c r="G2060" s="39">
        <v>46155</v>
      </c>
      <c r="J2060" t="s">
        <v>981</v>
      </c>
    </row>
    <row r="2061" spans="1:10" x14ac:dyDescent="0.35">
      <c r="A2061">
        <v>18554</v>
      </c>
      <c r="B2061" t="s">
        <v>30</v>
      </c>
      <c r="C2061" t="s">
        <v>559</v>
      </c>
      <c r="D2061" t="s">
        <v>565</v>
      </c>
      <c r="E2061" t="s">
        <v>106</v>
      </c>
      <c r="F2061" t="s">
        <v>244</v>
      </c>
      <c r="G2061" s="39">
        <v>46155</v>
      </c>
      <c r="J2061" t="s">
        <v>981</v>
      </c>
    </row>
    <row r="2062" spans="1:10" x14ac:dyDescent="0.35">
      <c r="A2062">
        <v>18557</v>
      </c>
      <c r="B2062" t="s">
        <v>30</v>
      </c>
      <c r="C2062" t="s">
        <v>559</v>
      </c>
      <c r="D2062" t="s">
        <v>565</v>
      </c>
      <c r="E2062" t="s">
        <v>106</v>
      </c>
      <c r="F2062" t="s">
        <v>244</v>
      </c>
      <c r="G2062" s="39">
        <v>46155</v>
      </c>
      <c r="J2062" t="s">
        <v>981</v>
      </c>
    </row>
    <row r="2063" spans="1:10" x14ac:dyDescent="0.35">
      <c r="A2063">
        <v>18587</v>
      </c>
      <c r="B2063" t="s">
        <v>30</v>
      </c>
      <c r="C2063" t="s">
        <v>559</v>
      </c>
      <c r="D2063" t="s">
        <v>565</v>
      </c>
      <c r="E2063" t="s">
        <v>106</v>
      </c>
      <c r="F2063" t="s">
        <v>244</v>
      </c>
      <c r="G2063" s="39">
        <v>46161</v>
      </c>
      <c r="J2063" t="s">
        <v>981</v>
      </c>
    </row>
    <row r="2064" spans="1:10" x14ac:dyDescent="0.35">
      <c r="A2064">
        <v>17854</v>
      </c>
      <c r="B2064" t="s">
        <v>30</v>
      </c>
      <c r="C2064" t="s">
        <v>559</v>
      </c>
      <c r="D2064" t="s">
        <v>565</v>
      </c>
      <c r="E2064" t="s">
        <v>106</v>
      </c>
      <c r="F2064" t="s">
        <v>244</v>
      </c>
      <c r="G2064" s="39">
        <v>45891</v>
      </c>
      <c r="J2064" t="s">
        <v>981</v>
      </c>
    </row>
    <row r="2065" spans="1:10" x14ac:dyDescent="0.35">
      <c r="A2065">
        <v>17731</v>
      </c>
      <c r="B2065" t="s">
        <v>30</v>
      </c>
      <c r="C2065" t="s">
        <v>559</v>
      </c>
      <c r="D2065" t="s">
        <v>565</v>
      </c>
      <c r="E2065" t="s">
        <v>106</v>
      </c>
      <c r="F2065" t="s">
        <v>244</v>
      </c>
      <c r="G2065" s="39">
        <v>45856</v>
      </c>
      <c r="J2065" t="s">
        <v>981</v>
      </c>
    </row>
    <row r="2066" spans="1:10" x14ac:dyDescent="0.35">
      <c r="A2066">
        <v>17525</v>
      </c>
      <c r="B2066" t="s">
        <v>30</v>
      </c>
      <c r="C2066" t="s">
        <v>559</v>
      </c>
      <c r="D2066" t="s">
        <v>565</v>
      </c>
      <c r="E2066" t="s">
        <v>103</v>
      </c>
      <c r="F2066" t="s">
        <v>244</v>
      </c>
      <c r="G2066" s="39">
        <v>45784</v>
      </c>
      <c r="J2066" t="s">
        <v>981</v>
      </c>
    </row>
    <row r="2067" spans="1:10" x14ac:dyDescent="0.35">
      <c r="A2067">
        <v>17526</v>
      </c>
      <c r="B2067" t="s">
        <v>30</v>
      </c>
      <c r="C2067" t="s">
        <v>559</v>
      </c>
      <c r="D2067" t="s">
        <v>565</v>
      </c>
      <c r="E2067" t="s">
        <v>103</v>
      </c>
      <c r="F2067" t="s">
        <v>244</v>
      </c>
      <c r="G2067" s="39">
        <v>45784</v>
      </c>
      <c r="J2067" t="s">
        <v>981</v>
      </c>
    </row>
    <row r="2068" spans="1:10" x14ac:dyDescent="0.35">
      <c r="A2068">
        <v>14751</v>
      </c>
      <c r="B2068" t="s">
        <v>30</v>
      </c>
      <c r="C2068" t="s">
        <v>559</v>
      </c>
      <c r="D2068" t="s">
        <v>565</v>
      </c>
      <c r="E2068" t="s">
        <v>103</v>
      </c>
      <c r="F2068" t="s">
        <v>244</v>
      </c>
      <c r="G2068" s="39">
        <v>44847</v>
      </c>
      <c r="J2068" t="s">
        <v>981</v>
      </c>
    </row>
    <row r="2069" spans="1:10" x14ac:dyDescent="0.35">
      <c r="A2069">
        <v>17879</v>
      </c>
      <c r="B2069" t="s">
        <v>30</v>
      </c>
      <c r="C2069" t="s">
        <v>559</v>
      </c>
      <c r="D2069" t="s">
        <v>565</v>
      </c>
      <c r="E2069" t="s">
        <v>106</v>
      </c>
      <c r="F2069" t="s">
        <v>244</v>
      </c>
      <c r="G2069" s="39">
        <v>45903</v>
      </c>
      <c r="J2069" t="s">
        <v>981</v>
      </c>
    </row>
    <row r="2070" spans="1:10" x14ac:dyDescent="0.35">
      <c r="A2070">
        <v>17880</v>
      </c>
      <c r="B2070" t="s">
        <v>30</v>
      </c>
      <c r="C2070" t="s">
        <v>559</v>
      </c>
      <c r="D2070" t="s">
        <v>565</v>
      </c>
      <c r="E2070" t="s">
        <v>106</v>
      </c>
      <c r="F2070" t="s">
        <v>244</v>
      </c>
      <c r="G2070" s="39">
        <v>45903</v>
      </c>
      <c r="J2070" t="s">
        <v>981</v>
      </c>
    </row>
    <row r="2071" spans="1:10" x14ac:dyDescent="0.35">
      <c r="A2071">
        <v>17885</v>
      </c>
      <c r="B2071" t="s">
        <v>30</v>
      </c>
      <c r="C2071" t="s">
        <v>559</v>
      </c>
      <c r="D2071" t="s">
        <v>565</v>
      </c>
      <c r="E2071" t="s">
        <v>106</v>
      </c>
      <c r="F2071" t="s">
        <v>244</v>
      </c>
      <c r="G2071" s="39">
        <v>45904</v>
      </c>
      <c r="J2071" t="s">
        <v>981</v>
      </c>
    </row>
    <row r="2072" spans="1:10" x14ac:dyDescent="0.35">
      <c r="A2072">
        <v>17886</v>
      </c>
      <c r="B2072" t="s">
        <v>30</v>
      </c>
      <c r="C2072" t="s">
        <v>559</v>
      </c>
      <c r="D2072" t="s">
        <v>565</v>
      </c>
      <c r="E2072" t="s">
        <v>106</v>
      </c>
      <c r="F2072" t="s">
        <v>244</v>
      </c>
      <c r="G2072" s="39">
        <v>45904</v>
      </c>
      <c r="J2072" t="s">
        <v>981</v>
      </c>
    </row>
    <row r="2073" spans="1:10" x14ac:dyDescent="0.35">
      <c r="A2073">
        <v>17284</v>
      </c>
      <c r="B2073" t="s">
        <v>30</v>
      </c>
      <c r="C2073" t="s">
        <v>559</v>
      </c>
      <c r="D2073" t="s">
        <v>565</v>
      </c>
      <c r="E2073" t="s">
        <v>106</v>
      </c>
      <c r="F2073" t="s">
        <v>244</v>
      </c>
      <c r="G2073" s="39">
        <v>45692</v>
      </c>
      <c r="J2073" t="s">
        <v>981</v>
      </c>
    </row>
    <row r="2074" spans="1:10" x14ac:dyDescent="0.35">
      <c r="A2074">
        <v>17964</v>
      </c>
      <c r="B2074" t="s">
        <v>30</v>
      </c>
      <c r="C2074" t="s">
        <v>559</v>
      </c>
      <c r="D2074" t="s">
        <v>565</v>
      </c>
      <c r="E2074" t="s">
        <v>106</v>
      </c>
      <c r="F2074" t="s">
        <v>244</v>
      </c>
      <c r="G2074" s="39">
        <v>45939</v>
      </c>
      <c r="J2074" t="s">
        <v>981</v>
      </c>
    </row>
    <row r="2075" spans="1:10" x14ac:dyDescent="0.35">
      <c r="A2075">
        <v>18029</v>
      </c>
      <c r="B2075" t="s">
        <v>30</v>
      </c>
      <c r="C2075" t="s">
        <v>559</v>
      </c>
      <c r="D2075" t="s">
        <v>565</v>
      </c>
      <c r="E2075" t="s">
        <v>106</v>
      </c>
      <c r="F2075" t="s">
        <v>244</v>
      </c>
      <c r="G2075" s="39">
        <v>45967</v>
      </c>
      <c r="J2075" t="s">
        <v>981</v>
      </c>
    </row>
    <row r="2076" spans="1:10" x14ac:dyDescent="0.35">
      <c r="A2076">
        <v>18038</v>
      </c>
      <c r="B2076" t="s">
        <v>30</v>
      </c>
      <c r="C2076" t="s">
        <v>559</v>
      </c>
      <c r="D2076" t="s">
        <v>565</v>
      </c>
      <c r="E2076" t="s">
        <v>106</v>
      </c>
      <c r="F2076" t="s">
        <v>244</v>
      </c>
      <c r="G2076" s="39">
        <v>45973</v>
      </c>
      <c r="J2076" t="s">
        <v>981</v>
      </c>
    </row>
    <row r="2077" spans="1:10" x14ac:dyDescent="0.35">
      <c r="A2077">
        <v>18033</v>
      </c>
      <c r="B2077" t="s">
        <v>30</v>
      </c>
      <c r="C2077" t="s">
        <v>559</v>
      </c>
      <c r="D2077" t="s">
        <v>565</v>
      </c>
      <c r="E2077" t="s">
        <v>106</v>
      </c>
      <c r="F2077" t="s">
        <v>244</v>
      </c>
      <c r="G2077" s="39">
        <v>45978</v>
      </c>
      <c r="J2077" t="s">
        <v>981</v>
      </c>
    </row>
    <row r="2078" spans="1:10" x14ac:dyDescent="0.35">
      <c r="A2078">
        <v>18050</v>
      </c>
      <c r="B2078" t="s">
        <v>30</v>
      </c>
      <c r="C2078" t="s">
        <v>559</v>
      </c>
      <c r="D2078" t="s">
        <v>565</v>
      </c>
      <c r="E2078" t="s">
        <v>106</v>
      </c>
      <c r="F2078" t="s">
        <v>244</v>
      </c>
      <c r="G2078" s="39">
        <v>45978</v>
      </c>
      <c r="J2078" t="s">
        <v>981</v>
      </c>
    </row>
    <row r="2079" spans="1:10" x14ac:dyDescent="0.35">
      <c r="A2079">
        <v>18058</v>
      </c>
      <c r="B2079" t="s">
        <v>30</v>
      </c>
      <c r="C2079" t="s">
        <v>559</v>
      </c>
      <c r="D2079" t="s">
        <v>565</v>
      </c>
      <c r="E2079" t="s">
        <v>106</v>
      </c>
      <c r="F2079" t="s">
        <v>244</v>
      </c>
      <c r="G2079" s="39">
        <v>45980</v>
      </c>
      <c r="J2079" t="s">
        <v>981</v>
      </c>
    </row>
    <row r="2080" spans="1:10" x14ac:dyDescent="0.35">
      <c r="A2080">
        <v>18059</v>
      </c>
      <c r="B2080" t="s">
        <v>30</v>
      </c>
      <c r="C2080" t="s">
        <v>559</v>
      </c>
      <c r="D2080" t="s">
        <v>565</v>
      </c>
      <c r="E2080" t="s">
        <v>106</v>
      </c>
      <c r="F2080" t="s">
        <v>244</v>
      </c>
      <c r="G2080" s="39">
        <v>45980</v>
      </c>
      <c r="J2080" t="s">
        <v>981</v>
      </c>
    </row>
    <row r="2081" spans="1:10" x14ac:dyDescent="0.35">
      <c r="A2081">
        <v>18111</v>
      </c>
      <c r="B2081" t="s">
        <v>30</v>
      </c>
      <c r="C2081" t="s">
        <v>559</v>
      </c>
      <c r="D2081" t="s">
        <v>565</v>
      </c>
      <c r="E2081" t="s">
        <v>106</v>
      </c>
      <c r="F2081" t="s">
        <v>244</v>
      </c>
      <c r="G2081" s="39">
        <v>45999</v>
      </c>
      <c r="J2081" t="s">
        <v>981</v>
      </c>
    </row>
    <row r="2082" spans="1:10" x14ac:dyDescent="0.35">
      <c r="A2082">
        <v>18114</v>
      </c>
      <c r="B2082" t="s">
        <v>30</v>
      </c>
      <c r="C2082" t="s">
        <v>559</v>
      </c>
      <c r="D2082" t="s">
        <v>565</v>
      </c>
      <c r="E2082" t="s">
        <v>106</v>
      </c>
      <c r="F2082" t="s">
        <v>244</v>
      </c>
      <c r="G2082" s="39">
        <v>46000</v>
      </c>
      <c r="J2082" t="s">
        <v>981</v>
      </c>
    </row>
    <row r="2083" spans="1:10" x14ac:dyDescent="0.35">
      <c r="A2083">
        <v>18115</v>
      </c>
      <c r="B2083" t="s">
        <v>30</v>
      </c>
      <c r="C2083" t="s">
        <v>559</v>
      </c>
      <c r="D2083" t="s">
        <v>565</v>
      </c>
      <c r="E2083" t="s">
        <v>106</v>
      </c>
      <c r="F2083" t="s">
        <v>244</v>
      </c>
      <c r="G2083" s="39">
        <v>46000</v>
      </c>
      <c r="J2083" t="s">
        <v>981</v>
      </c>
    </row>
    <row r="2084" spans="1:10" x14ac:dyDescent="0.35">
      <c r="A2084">
        <v>18122</v>
      </c>
      <c r="B2084" t="s">
        <v>30</v>
      </c>
      <c r="C2084" t="s">
        <v>559</v>
      </c>
      <c r="D2084" t="s">
        <v>565</v>
      </c>
      <c r="E2084" t="s">
        <v>106</v>
      </c>
      <c r="F2084" t="s">
        <v>244</v>
      </c>
      <c r="G2084" s="39">
        <v>46006</v>
      </c>
      <c r="J2084" t="s">
        <v>981</v>
      </c>
    </row>
    <row r="2085" spans="1:10" x14ac:dyDescent="0.35">
      <c r="A2085">
        <v>18492</v>
      </c>
      <c r="B2085" t="s">
        <v>30</v>
      </c>
      <c r="C2085" t="s">
        <v>559</v>
      </c>
      <c r="D2085" t="s">
        <v>565</v>
      </c>
      <c r="E2085" t="s">
        <v>106</v>
      </c>
      <c r="F2085" t="s">
        <v>244</v>
      </c>
      <c r="G2085" s="39">
        <v>46143</v>
      </c>
      <c r="J2085" t="s">
        <v>981</v>
      </c>
    </row>
    <row r="2086" spans="1:10" x14ac:dyDescent="0.35">
      <c r="A2086">
        <v>18510</v>
      </c>
      <c r="B2086" t="s">
        <v>30</v>
      </c>
      <c r="C2086" t="s">
        <v>559</v>
      </c>
      <c r="D2086" t="s">
        <v>565</v>
      </c>
      <c r="E2086" t="s">
        <v>106</v>
      </c>
      <c r="F2086" t="s">
        <v>244</v>
      </c>
      <c r="G2086" s="39">
        <v>46147</v>
      </c>
      <c r="J2086" t="s">
        <v>981</v>
      </c>
    </row>
    <row r="2087" spans="1:10" x14ac:dyDescent="0.35">
      <c r="A2087">
        <v>18629</v>
      </c>
      <c r="B2087" t="s">
        <v>30</v>
      </c>
      <c r="C2087" t="s">
        <v>559</v>
      </c>
      <c r="D2087" t="s">
        <v>565</v>
      </c>
      <c r="E2087" t="s">
        <v>106</v>
      </c>
      <c r="F2087" t="s">
        <v>244</v>
      </c>
      <c r="G2087" s="39">
        <v>46176</v>
      </c>
      <c r="J2087" t="s">
        <v>981</v>
      </c>
    </row>
    <row r="2088" spans="1:10" x14ac:dyDescent="0.35">
      <c r="A2088">
        <v>13859</v>
      </c>
      <c r="B2088" t="s">
        <v>30</v>
      </c>
      <c r="C2088" t="s">
        <v>559</v>
      </c>
      <c r="D2088" t="s">
        <v>565</v>
      </c>
      <c r="E2088" t="s">
        <v>103</v>
      </c>
      <c r="F2088" t="s">
        <v>244</v>
      </c>
      <c r="G2088" s="39">
        <v>44608</v>
      </c>
      <c r="J2088" t="s">
        <v>981</v>
      </c>
    </row>
    <row r="2089" spans="1:10" x14ac:dyDescent="0.35">
      <c r="A2089">
        <v>18504</v>
      </c>
      <c r="B2089" t="s">
        <v>30</v>
      </c>
      <c r="C2089" t="s">
        <v>559</v>
      </c>
      <c r="D2089" t="s">
        <v>565</v>
      </c>
      <c r="E2089" t="s">
        <v>106</v>
      </c>
      <c r="F2089" t="s">
        <v>244</v>
      </c>
      <c r="G2089" s="39">
        <v>46146</v>
      </c>
      <c r="J2089" t="s">
        <v>981</v>
      </c>
    </row>
    <row r="2090" spans="1:10" x14ac:dyDescent="0.35">
      <c r="A2090">
        <v>16461</v>
      </c>
      <c r="B2090" t="s">
        <v>30</v>
      </c>
      <c r="C2090" t="s">
        <v>559</v>
      </c>
      <c r="D2090" t="s">
        <v>565</v>
      </c>
      <c r="E2090" t="s">
        <v>106</v>
      </c>
      <c r="F2090" t="s">
        <v>411</v>
      </c>
      <c r="G2090" s="39">
        <v>45414</v>
      </c>
      <c r="J2090" t="s">
        <v>981</v>
      </c>
    </row>
    <row r="2091" spans="1:10" x14ac:dyDescent="0.35">
      <c r="A2091">
        <v>17170</v>
      </c>
      <c r="B2091" t="s">
        <v>30</v>
      </c>
      <c r="C2091" t="s">
        <v>559</v>
      </c>
      <c r="D2091" t="s">
        <v>565</v>
      </c>
      <c r="E2091" t="s">
        <v>424</v>
      </c>
      <c r="F2091" t="s">
        <v>244</v>
      </c>
      <c r="G2091" s="39">
        <v>45652</v>
      </c>
      <c r="J2091" t="s">
        <v>981</v>
      </c>
    </row>
    <row r="2092" spans="1:10" x14ac:dyDescent="0.35">
      <c r="A2092">
        <v>14449</v>
      </c>
      <c r="B2092" t="s">
        <v>30</v>
      </c>
      <c r="C2092" t="s">
        <v>559</v>
      </c>
      <c r="D2092" t="s">
        <v>565</v>
      </c>
      <c r="E2092" t="s">
        <v>106</v>
      </c>
      <c r="F2092" t="s">
        <v>411</v>
      </c>
      <c r="G2092" s="39">
        <v>44763</v>
      </c>
      <c r="J2092" t="s">
        <v>981</v>
      </c>
    </row>
    <row r="2093" spans="1:10" x14ac:dyDescent="0.35">
      <c r="A2093">
        <v>18882</v>
      </c>
      <c r="B2093" t="s">
        <v>30</v>
      </c>
      <c r="C2093" t="s">
        <v>559</v>
      </c>
      <c r="D2093" t="s">
        <v>565</v>
      </c>
      <c r="E2093" t="s">
        <v>425</v>
      </c>
      <c r="F2093" t="s">
        <v>244</v>
      </c>
      <c r="G2093" s="39">
        <v>46231</v>
      </c>
      <c r="J2093" t="s">
        <v>981</v>
      </c>
    </row>
    <row r="2094" spans="1:10" x14ac:dyDescent="0.35">
      <c r="A2094">
        <v>17598</v>
      </c>
      <c r="B2094" t="s">
        <v>30</v>
      </c>
      <c r="C2094" t="s">
        <v>559</v>
      </c>
      <c r="D2094" t="s">
        <v>565</v>
      </c>
      <c r="E2094" t="s">
        <v>564</v>
      </c>
      <c r="F2094" t="s">
        <v>244</v>
      </c>
      <c r="G2094" s="39">
        <v>45810</v>
      </c>
      <c r="J2094" t="s">
        <v>981</v>
      </c>
    </row>
    <row r="2095" spans="1:10" x14ac:dyDescent="0.35">
      <c r="A2095">
        <v>11446</v>
      </c>
      <c r="B2095" t="s">
        <v>30</v>
      </c>
      <c r="C2095" t="s">
        <v>92</v>
      </c>
      <c r="D2095" t="s">
        <v>92</v>
      </c>
      <c r="E2095" t="s">
        <v>100</v>
      </c>
      <c r="F2095" t="s">
        <v>244</v>
      </c>
      <c r="G2095" s="39">
        <v>42705</v>
      </c>
      <c r="J2095" t="s">
        <v>981</v>
      </c>
    </row>
    <row r="2096" spans="1:10" x14ac:dyDescent="0.35">
      <c r="A2096">
        <v>11725</v>
      </c>
      <c r="B2096" t="s">
        <v>30</v>
      </c>
      <c r="C2096" t="s">
        <v>566</v>
      </c>
      <c r="D2096" t="s">
        <v>567</v>
      </c>
      <c r="E2096" t="s">
        <v>151</v>
      </c>
      <c r="F2096" t="s">
        <v>244</v>
      </c>
      <c r="G2096" s="39">
        <v>43063</v>
      </c>
      <c r="J2096" t="s">
        <v>981</v>
      </c>
    </row>
    <row r="2097" spans="1:10" x14ac:dyDescent="0.35">
      <c r="A2097">
        <v>11737</v>
      </c>
      <c r="B2097" t="s">
        <v>30</v>
      </c>
      <c r="C2097" t="s">
        <v>566</v>
      </c>
      <c r="D2097" t="s">
        <v>567</v>
      </c>
      <c r="E2097" t="s">
        <v>109</v>
      </c>
      <c r="F2097" t="s">
        <v>244</v>
      </c>
      <c r="G2097" s="39">
        <v>43074</v>
      </c>
      <c r="J2097" t="s">
        <v>981</v>
      </c>
    </row>
    <row r="2098" spans="1:10" x14ac:dyDescent="0.35">
      <c r="A2098">
        <v>11900</v>
      </c>
      <c r="B2098" t="s">
        <v>30</v>
      </c>
      <c r="C2098" t="s">
        <v>566</v>
      </c>
      <c r="D2098" t="s">
        <v>567</v>
      </c>
      <c r="E2098" t="s">
        <v>109</v>
      </c>
      <c r="F2098" t="s">
        <v>244</v>
      </c>
      <c r="G2098" s="39">
        <v>43245</v>
      </c>
      <c r="J2098" t="s">
        <v>981</v>
      </c>
    </row>
    <row r="2099" spans="1:10" x14ac:dyDescent="0.35">
      <c r="A2099">
        <v>11683</v>
      </c>
      <c r="B2099" t="s">
        <v>30</v>
      </c>
      <c r="C2099" t="s">
        <v>566</v>
      </c>
      <c r="D2099" t="s">
        <v>567</v>
      </c>
      <c r="E2099" t="s">
        <v>102</v>
      </c>
      <c r="F2099" t="s">
        <v>244</v>
      </c>
      <c r="G2099" s="39">
        <v>43017</v>
      </c>
      <c r="J2099" t="s">
        <v>981</v>
      </c>
    </row>
    <row r="2100" spans="1:10" x14ac:dyDescent="0.35">
      <c r="A2100">
        <v>11550</v>
      </c>
      <c r="B2100" t="s">
        <v>36</v>
      </c>
      <c r="C2100" t="s">
        <v>92</v>
      </c>
      <c r="D2100" t="s">
        <v>568</v>
      </c>
      <c r="E2100" t="s">
        <v>102</v>
      </c>
      <c r="F2100" t="s">
        <v>244</v>
      </c>
      <c r="G2100" s="39">
        <v>42829</v>
      </c>
      <c r="J2100" t="s">
        <v>981</v>
      </c>
    </row>
    <row r="2101" spans="1:10" x14ac:dyDescent="0.35">
      <c r="A2101">
        <v>300017</v>
      </c>
      <c r="B2101" t="s">
        <v>36</v>
      </c>
      <c r="C2101" t="s">
        <v>92</v>
      </c>
      <c r="D2101" t="s">
        <v>568</v>
      </c>
      <c r="E2101" t="s">
        <v>109</v>
      </c>
      <c r="F2101" t="s">
        <v>244</v>
      </c>
      <c r="G2101" s="39">
        <v>36697</v>
      </c>
      <c r="J2101" t="s">
        <v>981</v>
      </c>
    </row>
    <row r="2102" spans="1:10" x14ac:dyDescent="0.35">
      <c r="A2102">
        <v>12288</v>
      </c>
      <c r="B2102" t="s">
        <v>30</v>
      </c>
      <c r="C2102" t="s">
        <v>566</v>
      </c>
      <c r="D2102" t="s">
        <v>567</v>
      </c>
      <c r="E2102" t="s">
        <v>102</v>
      </c>
      <c r="F2102" t="s">
        <v>244</v>
      </c>
      <c r="G2102" s="39">
        <v>43668</v>
      </c>
      <c r="J2102" t="s">
        <v>981</v>
      </c>
    </row>
    <row r="2103" spans="1:10" x14ac:dyDescent="0.35">
      <c r="A2103">
        <v>12294</v>
      </c>
      <c r="B2103" t="s">
        <v>30</v>
      </c>
      <c r="C2103" t="s">
        <v>566</v>
      </c>
      <c r="D2103" t="s">
        <v>567</v>
      </c>
      <c r="E2103" t="s">
        <v>102</v>
      </c>
      <c r="F2103" t="s">
        <v>244</v>
      </c>
      <c r="G2103" s="39">
        <v>43671</v>
      </c>
      <c r="J2103" t="s">
        <v>981</v>
      </c>
    </row>
    <row r="2104" spans="1:10" x14ac:dyDescent="0.35">
      <c r="A2104">
        <v>270034</v>
      </c>
      <c r="B2104" t="s">
        <v>36</v>
      </c>
      <c r="C2104" t="s">
        <v>92</v>
      </c>
      <c r="D2104" t="s">
        <v>568</v>
      </c>
      <c r="E2104" t="s">
        <v>102</v>
      </c>
      <c r="F2104" t="s">
        <v>244</v>
      </c>
      <c r="G2104" s="39">
        <v>42346</v>
      </c>
      <c r="J2104" t="s">
        <v>981</v>
      </c>
    </row>
    <row r="2105" spans="1:10" x14ac:dyDescent="0.35">
      <c r="A2105">
        <v>12925</v>
      </c>
      <c r="B2105" t="s">
        <v>30</v>
      </c>
      <c r="C2105" t="s">
        <v>566</v>
      </c>
      <c r="D2105" t="s">
        <v>567</v>
      </c>
      <c r="E2105" t="s">
        <v>102</v>
      </c>
      <c r="F2105" t="s">
        <v>244</v>
      </c>
      <c r="G2105" s="39">
        <v>44112</v>
      </c>
      <c r="J2105" t="s">
        <v>981</v>
      </c>
    </row>
    <row r="2106" spans="1:10" x14ac:dyDescent="0.35">
      <c r="A2106">
        <v>14881</v>
      </c>
      <c r="B2106" t="s">
        <v>30</v>
      </c>
      <c r="C2106" t="s">
        <v>566</v>
      </c>
      <c r="D2106" t="s">
        <v>567</v>
      </c>
      <c r="E2106" t="s">
        <v>103</v>
      </c>
      <c r="F2106" t="s">
        <v>244</v>
      </c>
      <c r="G2106" s="39">
        <v>44886</v>
      </c>
      <c r="J2106" t="s">
        <v>981</v>
      </c>
    </row>
    <row r="2107" spans="1:10" x14ac:dyDescent="0.35">
      <c r="A2107">
        <v>13443</v>
      </c>
      <c r="B2107" t="s">
        <v>30</v>
      </c>
      <c r="C2107" t="s">
        <v>566</v>
      </c>
      <c r="D2107" t="s">
        <v>567</v>
      </c>
      <c r="E2107" t="s">
        <v>103</v>
      </c>
      <c r="F2107" t="s">
        <v>244</v>
      </c>
      <c r="G2107" s="39">
        <v>44456</v>
      </c>
      <c r="J2107" t="s">
        <v>981</v>
      </c>
    </row>
    <row r="2108" spans="1:10" x14ac:dyDescent="0.35">
      <c r="A2108">
        <v>13214</v>
      </c>
      <c r="B2108" t="s">
        <v>30</v>
      </c>
      <c r="C2108" t="s">
        <v>566</v>
      </c>
      <c r="D2108" t="s">
        <v>567</v>
      </c>
      <c r="E2108" t="s">
        <v>103</v>
      </c>
      <c r="F2108" t="s">
        <v>244</v>
      </c>
      <c r="G2108" s="39">
        <v>44323</v>
      </c>
      <c r="J2108" t="s">
        <v>981</v>
      </c>
    </row>
    <row r="2109" spans="1:10" x14ac:dyDescent="0.35">
      <c r="A2109">
        <v>11758</v>
      </c>
      <c r="B2109" t="s">
        <v>30</v>
      </c>
      <c r="C2109" t="s">
        <v>566</v>
      </c>
      <c r="D2109" t="s">
        <v>567</v>
      </c>
      <c r="E2109" t="s">
        <v>103</v>
      </c>
      <c r="F2109" t="s">
        <v>244</v>
      </c>
      <c r="G2109" s="39">
        <v>43090</v>
      </c>
      <c r="J2109" t="s">
        <v>981</v>
      </c>
    </row>
    <row r="2110" spans="1:10" x14ac:dyDescent="0.35">
      <c r="A2110">
        <v>16943</v>
      </c>
      <c r="B2110" t="s">
        <v>569</v>
      </c>
      <c r="C2110" t="s">
        <v>566</v>
      </c>
      <c r="D2110" t="s">
        <v>567</v>
      </c>
      <c r="E2110" t="s">
        <v>103</v>
      </c>
      <c r="F2110" t="s">
        <v>244</v>
      </c>
      <c r="G2110" s="39">
        <v>45566</v>
      </c>
      <c r="J2110" t="s">
        <v>981</v>
      </c>
    </row>
    <row r="2111" spans="1:10" x14ac:dyDescent="0.35">
      <c r="A2111">
        <v>16852</v>
      </c>
      <c r="B2111" t="s">
        <v>30</v>
      </c>
      <c r="C2111" t="s">
        <v>566</v>
      </c>
      <c r="D2111" t="s">
        <v>567</v>
      </c>
      <c r="E2111" t="s">
        <v>103</v>
      </c>
      <c r="F2111" t="s">
        <v>244</v>
      </c>
      <c r="G2111" s="39">
        <v>45568</v>
      </c>
      <c r="J2111" t="s">
        <v>981</v>
      </c>
    </row>
    <row r="2112" spans="1:10" x14ac:dyDescent="0.35">
      <c r="A2112">
        <v>17569</v>
      </c>
      <c r="B2112" t="s">
        <v>30</v>
      </c>
      <c r="C2112" t="s">
        <v>566</v>
      </c>
      <c r="D2112" t="s">
        <v>567</v>
      </c>
      <c r="E2112" t="s">
        <v>103</v>
      </c>
      <c r="F2112" t="s">
        <v>244</v>
      </c>
      <c r="G2112" s="39">
        <v>45793</v>
      </c>
      <c r="J2112" t="s">
        <v>981</v>
      </c>
    </row>
    <row r="2113" spans="1:10" x14ac:dyDescent="0.35">
      <c r="A2113">
        <v>16935</v>
      </c>
      <c r="B2113" t="s">
        <v>569</v>
      </c>
      <c r="C2113" t="s">
        <v>566</v>
      </c>
      <c r="D2113" t="s">
        <v>567</v>
      </c>
      <c r="E2113" t="s">
        <v>103</v>
      </c>
      <c r="F2113" t="s">
        <v>244</v>
      </c>
      <c r="G2113" s="39">
        <v>45566</v>
      </c>
      <c r="J2113" t="s">
        <v>981</v>
      </c>
    </row>
    <row r="2114" spans="1:10" x14ac:dyDescent="0.35">
      <c r="A2114">
        <v>17958</v>
      </c>
      <c r="B2114" t="s">
        <v>569</v>
      </c>
      <c r="C2114" t="s">
        <v>566</v>
      </c>
      <c r="D2114" t="s">
        <v>567</v>
      </c>
      <c r="E2114" t="s">
        <v>106</v>
      </c>
      <c r="F2114" t="s">
        <v>244</v>
      </c>
      <c r="G2114" s="39">
        <v>45937</v>
      </c>
      <c r="J2114" t="s">
        <v>981</v>
      </c>
    </row>
    <row r="2115" spans="1:10" x14ac:dyDescent="0.35">
      <c r="A2115">
        <v>11173</v>
      </c>
      <c r="B2115" t="s">
        <v>30</v>
      </c>
      <c r="C2115" t="s">
        <v>566</v>
      </c>
      <c r="D2115" t="s">
        <v>570</v>
      </c>
      <c r="E2115" t="s">
        <v>402</v>
      </c>
      <c r="F2115" t="s">
        <v>244</v>
      </c>
      <c r="G2115" s="39">
        <v>42349</v>
      </c>
      <c r="J2115" t="s">
        <v>981</v>
      </c>
    </row>
    <row r="2116" spans="1:10" x14ac:dyDescent="0.35">
      <c r="A2116">
        <v>11624</v>
      </c>
      <c r="B2116" t="s">
        <v>30</v>
      </c>
      <c r="C2116" t="s">
        <v>566</v>
      </c>
      <c r="D2116" t="s">
        <v>570</v>
      </c>
      <c r="E2116" t="s">
        <v>402</v>
      </c>
      <c r="F2116" t="s">
        <v>244</v>
      </c>
      <c r="G2116" s="39">
        <v>42951</v>
      </c>
      <c r="J2116" t="s">
        <v>981</v>
      </c>
    </row>
    <row r="2117" spans="1:10" x14ac:dyDescent="0.35">
      <c r="A2117">
        <v>11759</v>
      </c>
      <c r="B2117" t="s">
        <v>30</v>
      </c>
      <c r="C2117" t="s">
        <v>566</v>
      </c>
      <c r="D2117" t="s">
        <v>570</v>
      </c>
      <c r="E2117" t="s">
        <v>102</v>
      </c>
      <c r="F2117" t="s">
        <v>244</v>
      </c>
      <c r="G2117" s="39">
        <v>43090</v>
      </c>
      <c r="J2117" t="s">
        <v>981</v>
      </c>
    </row>
    <row r="2118" spans="1:10" x14ac:dyDescent="0.35">
      <c r="A2118">
        <v>11669</v>
      </c>
      <c r="B2118" t="s">
        <v>30</v>
      </c>
      <c r="C2118" t="s">
        <v>566</v>
      </c>
      <c r="D2118" t="s">
        <v>570</v>
      </c>
      <c r="E2118" t="s">
        <v>103</v>
      </c>
      <c r="F2118" t="s">
        <v>244</v>
      </c>
      <c r="G2118" s="39">
        <v>43004</v>
      </c>
      <c r="J2118" t="s">
        <v>981</v>
      </c>
    </row>
    <row r="2119" spans="1:10" x14ac:dyDescent="0.35">
      <c r="A2119">
        <v>11788</v>
      </c>
      <c r="B2119" t="s">
        <v>30</v>
      </c>
      <c r="C2119" t="s">
        <v>566</v>
      </c>
      <c r="D2119" t="s">
        <v>570</v>
      </c>
      <c r="E2119" t="s">
        <v>103</v>
      </c>
      <c r="F2119" t="s">
        <v>244</v>
      </c>
      <c r="G2119" s="39">
        <v>43122</v>
      </c>
      <c r="J2119" t="s">
        <v>981</v>
      </c>
    </row>
    <row r="2120" spans="1:10" x14ac:dyDescent="0.35">
      <c r="A2120">
        <v>12053</v>
      </c>
      <c r="B2120" t="s">
        <v>30</v>
      </c>
      <c r="C2120" t="s">
        <v>566</v>
      </c>
      <c r="D2120" t="s">
        <v>570</v>
      </c>
      <c r="E2120" t="s">
        <v>103</v>
      </c>
      <c r="F2120" t="s">
        <v>411</v>
      </c>
      <c r="G2120" s="39">
        <v>43427</v>
      </c>
      <c r="J2120" t="s">
        <v>981</v>
      </c>
    </row>
    <row r="2121" spans="1:10" x14ac:dyDescent="0.35">
      <c r="A2121">
        <v>17384</v>
      </c>
      <c r="B2121" t="s">
        <v>30</v>
      </c>
      <c r="C2121" t="s">
        <v>566</v>
      </c>
      <c r="D2121" t="s">
        <v>570</v>
      </c>
      <c r="E2121" t="s">
        <v>424</v>
      </c>
      <c r="F2121" t="s">
        <v>245</v>
      </c>
      <c r="G2121" s="39">
        <v>45730</v>
      </c>
      <c r="J2121" t="s">
        <v>981</v>
      </c>
    </row>
    <row r="2122" spans="1:10" x14ac:dyDescent="0.35">
      <c r="A2122">
        <v>13143</v>
      </c>
      <c r="B2122" t="s">
        <v>30</v>
      </c>
      <c r="C2122" t="s">
        <v>566</v>
      </c>
      <c r="D2122" t="s">
        <v>570</v>
      </c>
      <c r="E2122" t="s">
        <v>103</v>
      </c>
      <c r="F2122" t="s">
        <v>244</v>
      </c>
      <c r="G2122" s="39">
        <v>44288</v>
      </c>
      <c r="J2122" t="s">
        <v>981</v>
      </c>
    </row>
    <row r="2123" spans="1:10" x14ac:dyDescent="0.35">
      <c r="A2123">
        <v>13198</v>
      </c>
      <c r="B2123" t="s">
        <v>30</v>
      </c>
      <c r="C2123" t="s">
        <v>566</v>
      </c>
      <c r="D2123" t="s">
        <v>570</v>
      </c>
      <c r="E2123" t="s">
        <v>103</v>
      </c>
      <c r="F2123" t="s">
        <v>244</v>
      </c>
      <c r="G2123" s="39">
        <v>44319</v>
      </c>
      <c r="J2123" t="s">
        <v>981</v>
      </c>
    </row>
    <row r="2124" spans="1:10" x14ac:dyDescent="0.35">
      <c r="A2124">
        <v>13333</v>
      </c>
      <c r="B2124" t="s">
        <v>30</v>
      </c>
      <c r="C2124" t="s">
        <v>566</v>
      </c>
      <c r="D2124" t="s">
        <v>571</v>
      </c>
      <c r="E2124" t="s">
        <v>103</v>
      </c>
      <c r="F2124" t="s">
        <v>411</v>
      </c>
      <c r="G2124" s="39">
        <v>44391</v>
      </c>
      <c r="J2124" t="s">
        <v>981</v>
      </c>
    </row>
    <row r="2125" spans="1:10" x14ac:dyDescent="0.35">
      <c r="A2125">
        <v>17584</v>
      </c>
      <c r="B2125" t="s">
        <v>30</v>
      </c>
      <c r="C2125" t="s">
        <v>566</v>
      </c>
      <c r="D2125" t="s">
        <v>571</v>
      </c>
      <c r="E2125" t="s">
        <v>425</v>
      </c>
      <c r="F2125" t="s">
        <v>244</v>
      </c>
      <c r="G2125" s="39">
        <v>45800</v>
      </c>
      <c r="J2125" t="s">
        <v>981</v>
      </c>
    </row>
    <row r="2126" spans="1:10" x14ac:dyDescent="0.35">
      <c r="A2126">
        <v>13638</v>
      </c>
      <c r="B2126" t="s">
        <v>30</v>
      </c>
      <c r="C2126" t="s">
        <v>566</v>
      </c>
      <c r="D2126" t="s">
        <v>570</v>
      </c>
      <c r="E2126" t="s">
        <v>103</v>
      </c>
      <c r="F2126" t="s">
        <v>244</v>
      </c>
      <c r="G2126" s="39">
        <v>44522</v>
      </c>
      <c r="J2126" t="s">
        <v>981</v>
      </c>
    </row>
    <row r="2127" spans="1:10" x14ac:dyDescent="0.35">
      <c r="A2127">
        <v>13775</v>
      </c>
      <c r="B2127" t="s">
        <v>30</v>
      </c>
      <c r="C2127" t="s">
        <v>566</v>
      </c>
      <c r="D2127" t="s">
        <v>570</v>
      </c>
      <c r="E2127" t="s">
        <v>103</v>
      </c>
      <c r="F2127" t="s">
        <v>244</v>
      </c>
      <c r="G2127" s="39">
        <v>44575</v>
      </c>
      <c r="J2127" t="s">
        <v>981</v>
      </c>
    </row>
    <row r="2128" spans="1:10" x14ac:dyDescent="0.35">
      <c r="A2128">
        <v>13187</v>
      </c>
      <c r="B2128" t="s">
        <v>30</v>
      </c>
      <c r="C2128" t="s">
        <v>566</v>
      </c>
      <c r="D2128" t="s">
        <v>571</v>
      </c>
      <c r="E2128" t="s">
        <v>103</v>
      </c>
      <c r="F2128" t="s">
        <v>411</v>
      </c>
      <c r="G2128" s="39">
        <v>44307</v>
      </c>
      <c r="J2128" t="s">
        <v>981</v>
      </c>
    </row>
    <row r="2129" spans="1:10" x14ac:dyDescent="0.35">
      <c r="A2129">
        <v>17015</v>
      </c>
      <c r="B2129" t="s">
        <v>30</v>
      </c>
      <c r="C2129" t="s">
        <v>566</v>
      </c>
      <c r="D2129" t="s">
        <v>571</v>
      </c>
      <c r="E2129" t="s">
        <v>424</v>
      </c>
      <c r="F2129" t="s">
        <v>244</v>
      </c>
      <c r="G2129" s="39">
        <v>45611</v>
      </c>
      <c r="J2129" t="s">
        <v>981</v>
      </c>
    </row>
    <row r="2130" spans="1:10" x14ac:dyDescent="0.35">
      <c r="A2130">
        <v>13820</v>
      </c>
      <c r="B2130" t="s">
        <v>30</v>
      </c>
      <c r="C2130" t="s">
        <v>566</v>
      </c>
      <c r="D2130" t="s">
        <v>571</v>
      </c>
      <c r="E2130" t="s">
        <v>103</v>
      </c>
      <c r="F2130" t="s">
        <v>411</v>
      </c>
      <c r="G2130" s="39">
        <v>44593</v>
      </c>
      <c r="J2130" t="s">
        <v>981</v>
      </c>
    </row>
    <row r="2131" spans="1:10" x14ac:dyDescent="0.35">
      <c r="A2131">
        <v>17861</v>
      </c>
      <c r="B2131" t="s">
        <v>30</v>
      </c>
      <c r="C2131" t="s">
        <v>566</v>
      </c>
      <c r="D2131" t="s">
        <v>571</v>
      </c>
      <c r="E2131" t="s">
        <v>424</v>
      </c>
      <c r="F2131" t="s">
        <v>244</v>
      </c>
      <c r="G2131" s="39">
        <v>45896</v>
      </c>
      <c r="J2131" t="s">
        <v>981</v>
      </c>
    </row>
    <row r="2132" spans="1:10" x14ac:dyDescent="0.35">
      <c r="A2132">
        <v>14785</v>
      </c>
      <c r="B2132" t="s">
        <v>30</v>
      </c>
      <c r="C2132" t="s">
        <v>566</v>
      </c>
      <c r="D2132" t="s">
        <v>571</v>
      </c>
      <c r="E2132" t="s">
        <v>103</v>
      </c>
      <c r="F2132" t="s">
        <v>411</v>
      </c>
      <c r="G2132" s="39">
        <v>44858</v>
      </c>
      <c r="J2132" t="s">
        <v>981</v>
      </c>
    </row>
    <row r="2133" spans="1:10" x14ac:dyDescent="0.35">
      <c r="A2133">
        <v>18639</v>
      </c>
      <c r="B2133" t="s">
        <v>30</v>
      </c>
      <c r="C2133" t="s">
        <v>566</v>
      </c>
      <c r="D2133" t="s">
        <v>571</v>
      </c>
      <c r="E2133" t="s">
        <v>425</v>
      </c>
      <c r="F2133" t="s">
        <v>244</v>
      </c>
      <c r="G2133" s="39">
        <v>46177</v>
      </c>
      <c r="J2133" t="s">
        <v>981</v>
      </c>
    </row>
    <row r="2134" spans="1:10" x14ac:dyDescent="0.35">
      <c r="A2134">
        <v>15182</v>
      </c>
      <c r="B2134" t="s">
        <v>30</v>
      </c>
      <c r="C2134" t="s">
        <v>566</v>
      </c>
      <c r="D2134" t="s">
        <v>570</v>
      </c>
      <c r="E2134" t="s">
        <v>103</v>
      </c>
      <c r="F2134" t="s">
        <v>244</v>
      </c>
      <c r="G2134" s="39">
        <v>44977</v>
      </c>
      <c r="J2134" t="s">
        <v>981</v>
      </c>
    </row>
    <row r="2135" spans="1:10" x14ac:dyDescent="0.35">
      <c r="A2135">
        <v>15391</v>
      </c>
      <c r="B2135" t="s">
        <v>30</v>
      </c>
      <c r="C2135" t="s">
        <v>566</v>
      </c>
      <c r="D2135" t="s">
        <v>570</v>
      </c>
      <c r="E2135" t="s">
        <v>103</v>
      </c>
      <c r="F2135" t="s">
        <v>244</v>
      </c>
      <c r="G2135" s="39">
        <v>45057</v>
      </c>
      <c r="J2135" t="s">
        <v>981</v>
      </c>
    </row>
    <row r="2136" spans="1:10" x14ac:dyDescent="0.35">
      <c r="A2136">
        <v>13186</v>
      </c>
      <c r="B2136" t="s">
        <v>30</v>
      </c>
      <c r="C2136" t="s">
        <v>566</v>
      </c>
      <c r="D2136" t="s">
        <v>571</v>
      </c>
      <c r="E2136" t="s">
        <v>103</v>
      </c>
      <c r="F2136" t="s">
        <v>411</v>
      </c>
      <c r="G2136" s="39">
        <v>44307</v>
      </c>
      <c r="J2136" t="s">
        <v>981</v>
      </c>
    </row>
    <row r="2137" spans="1:10" x14ac:dyDescent="0.35">
      <c r="A2137">
        <v>18796</v>
      </c>
      <c r="B2137" t="s">
        <v>30</v>
      </c>
      <c r="C2137" t="s">
        <v>566</v>
      </c>
      <c r="D2137" t="s">
        <v>571</v>
      </c>
      <c r="E2137" t="s">
        <v>425</v>
      </c>
      <c r="F2137" t="s">
        <v>244</v>
      </c>
      <c r="G2137" s="39">
        <v>46216</v>
      </c>
      <c r="J2137" t="s">
        <v>981</v>
      </c>
    </row>
    <row r="2138" spans="1:10" x14ac:dyDescent="0.35">
      <c r="A2138">
        <v>16255</v>
      </c>
      <c r="B2138" t="s">
        <v>30</v>
      </c>
      <c r="C2138" t="s">
        <v>566</v>
      </c>
      <c r="D2138" t="s">
        <v>570</v>
      </c>
      <c r="E2138" t="s">
        <v>103</v>
      </c>
      <c r="F2138" t="s">
        <v>244</v>
      </c>
      <c r="G2138" s="39">
        <v>45331</v>
      </c>
      <c r="J2138" t="s">
        <v>981</v>
      </c>
    </row>
    <row r="2139" spans="1:10" x14ac:dyDescent="0.35">
      <c r="A2139">
        <v>15624</v>
      </c>
      <c r="B2139" t="s">
        <v>30</v>
      </c>
      <c r="C2139" t="s">
        <v>566</v>
      </c>
      <c r="D2139" t="s">
        <v>571</v>
      </c>
      <c r="E2139" t="s">
        <v>103</v>
      </c>
      <c r="F2139" t="s">
        <v>411</v>
      </c>
      <c r="G2139" s="39">
        <v>45142</v>
      </c>
      <c r="J2139" t="s">
        <v>981</v>
      </c>
    </row>
    <row r="2140" spans="1:10" x14ac:dyDescent="0.35">
      <c r="A2140">
        <v>18828</v>
      </c>
      <c r="B2140" t="s">
        <v>30</v>
      </c>
      <c r="C2140" t="s">
        <v>566</v>
      </c>
      <c r="D2140" t="s">
        <v>571</v>
      </c>
      <c r="E2140" t="s">
        <v>425</v>
      </c>
      <c r="F2140" t="s">
        <v>244</v>
      </c>
      <c r="G2140" s="39">
        <v>46220</v>
      </c>
      <c r="J2140" t="s">
        <v>981</v>
      </c>
    </row>
    <row r="2141" spans="1:10" x14ac:dyDescent="0.35">
      <c r="A2141">
        <v>15572</v>
      </c>
      <c r="B2141" t="s">
        <v>30</v>
      </c>
      <c r="C2141" t="s">
        <v>566</v>
      </c>
      <c r="D2141" t="s">
        <v>570</v>
      </c>
      <c r="E2141" t="s">
        <v>103</v>
      </c>
      <c r="F2141" t="s">
        <v>244</v>
      </c>
      <c r="G2141" s="39">
        <v>45128</v>
      </c>
      <c r="J2141" t="s">
        <v>981</v>
      </c>
    </row>
    <row r="2142" spans="1:10" x14ac:dyDescent="0.35">
      <c r="A2142">
        <v>11739</v>
      </c>
      <c r="B2142" t="s">
        <v>30</v>
      </c>
      <c r="C2142" t="s">
        <v>566</v>
      </c>
      <c r="D2142" t="s">
        <v>571</v>
      </c>
      <c r="E2142" t="s">
        <v>103</v>
      </c>
      <c r="F2142" t="s">
        <v>411</v>
      </c>
      <c r="G2142" s="39">
        <v>43074</v>
      </c>
      <c r="J2142" t="s">
        <v>981</v>
      </c>
    </row>
    <row r="2143" spans="1:10" x14ac:dyDescent="0.35">
      <c r="A2143">
        <v>16826</v>
      </c>
      <c r="B2143" t="s">
        <v>569</v>
      </c>
      <c r="C2143" t="s">
        <v>566</v>
      </c>
      <c r="D2143" t="s">
        <v>571</v>
      </c>
      <c r="E2143" t="s">
        <v>425</v>
      </c>
      <c r="F2143" t="s">
        <v>244</v>
      </c>
      <c r="G2143" s="39">
        <v>45566</v>
      </c>
      <c r="J2143" t="s">
        <v>981</v>
      </c>
    </row>
    <row r="2144" spans="1:10" x14ac:dyDescent="0.35">
      <c r="A2144">
        <v>13760</v>
      </c>
      <c r="B2144" t="s">
        <v>30</v>
      </c>
      <c r="C2144" t="s">
        <v>566</v>
      </c>
      <c r="D2144" t="s">
        <v>570</v>
      </c>
      <c r="E2144" t="s">
        <v>103</v>
      </c>
      <c r="F2144" t="s">
        <v>244</v>
      </c>
      <c r="G2144" s="39">
        <v>44567</v>
      </c>
      <c r="J2144" t="s">
        <v>981</v>
      </c>
    </row>
    <row r="2145" spans="1:10" x14ac:dyDescent="0.35">
      <c r="A2145">
        <v>12326</v>
      </c>
      <c r="B2145" t="s">
        <v>30</v>
      </c>
      <c r="C2145" t="s">
        <v>566</v>
      </c>
      <c r="D2145" t="s">
        <v>571</v>
      </c>
      <c r="E2145" t="s">
        <v>103</v>
      </c>
      <c r="F2145" t="s">
        <v>411</v>
      </c>
      <c r="G2145" s="39">
        <v>43685</v>
      </c>
      <c r="J2145" t="s">
        <v>981</v>
      </c>
    </row>
    <row r="2146" spans="1:10" x14ac:dyDescent="0.35">
      <c r="A2146">
        <v>16568</v>
      </c>
      <c r="B2146" t="s">
        <v>30</v>
      </c>
      <c r="C2146" t="s">
        <v>566</v>
      </c>
      <c r="D2146" t="s">
        <v>571</v>
      </c>
      <c r="E2146" t="s">
        <v>424</v>
      </c>
      <c r="F2146" t="s">
        <v>244</v>
      </c>
      <c r="G2146" s="39">
        <v>45474</v>
      </c>
      <c r="J2146" t="s">
        <v>981</v>
      </c>
    </row>
    <row r="2147" spans="1:10" x14ac:dyDescent="0.35">
      <c r="A2147">
        <v>16665</v>
      </c>
      <c r="B2147" t="s">
        <v>30</v>
      </c>
      <c r="C2147" t="s">
        <v>566</v>
      </c>
      <c r="D2147" t="s">
        <v>570</v>
      </c>
      <c r="E2147" t="s">
        <v>103</v>
      </c>
      <c r="F2147" t="s">
        <v>244</v>
      </c>
      <c r="G2147" s="39">
        <v>45513</v>
      </c>
      <c r="J2147" t="s">
        <v>981</v>
      </c>
    </row>
    <row r="2148" spans="1:10" x14ac:dyDescent="0.35">
      <c r="A2148">
        <v>15392</v>
      </c>
      <c r="B2148" t="s">
        <v>30</v>
      </c>
      <c r="C2148" t="s">
        <v>566</v>
      </c>
      <c r="D2148" t="s">
        <v>571</v>
      </c>
      <c r="E2148" t="s">
        <v>106</v>
      </c>
      <c r="F2148" t="s">
        <v>244</v>
      </c>
      <c r="G2148" s="39">
        <v>45057</v>
      </c>
      <c r="J2148" t="s">
        <v>981</v>
      </c>
    </row>
    <row r="2149" spans="1:10" x14ac:dyDescent="0.35">
      <c r="A2149">
        <v>13576</v>
      </c>
      <c r="B2149" t="s">
        <v>30</v>
      </c>
      <c r="C2149" t="s">
        <v>566</v>
      </c>
      <c r="D2149" t="s">
        <v>570</v>
      </c>
      <c r="E2149" t="s">
        <v>103</v>
      </c>
      <c r="F2149" t="s">
        <v>244</v>
      </c>
      <c r="G2149" s="39">
        <v>44503</v>
      </c>
      <c r="J2149" t="s">
        <v>981</v>
      </c>
    </row>
    <row r="2150" spans="1:10" x14ac:dyDescent="0.35">
      <c r="A2150">
        <v>11672</v>
      </c>
      <c r="B2150" t="s">
        <v>30</v>
      </c>
      <c r="C2150" t="s">
        <v>566</v>
      </c>
      <c r="D2150" t="s">
        <v>92</v>
      </c>
      <c r="E2150" t="s">
        <v>99</v>
      </c>
      <c r="F2150" t="s">
        <v>244</v>
      </c>
      <c r="G2150" s="39">
        <v>43004</v>
      </c>
      <c r="J2150" t="s">
        <v>981</v>
      </c>
    </row>
    <row r="2151" spans="1:10" x14ac:dyDescent="0.35">
      <c r="A2151">
        <v>11231</v>
      </c>
      <c r="B2151" t="s">
        <v>30</v>
      </c>
      <c r="C2151" t="s">
        <v>566</v>
      </c>
      <c r="D2151" t="s">
        <v>570</v>
      </c>
      <c r="E2151" t="s">
        <v>151</v>
      </c>
      <c r="F2151" t="s">
        <v>244</v>
      </c>
      <c r="G2151" s="39">
        <v>42443</v>
      </c>
      <c r="J2151" t="s">
        <v>981</v>
      </c>
    </row>
    <row r="2152" spans="1:10" x14ac:dyDescent="0.35">
      <c r="A2152">
        <v>11698</v>
      </c>
      <c r="B2152" t="s">
        <v>30</v>
      </c>
      <c r="C2152" t="s">
        <v>566</v>
      </c>
      <c r="D2152" t="s">
        <v>571</v>
      </c>
      <c r="E2152" t="s">
        <v>151</v>
      </c>
      <c r="F2152" t="s">
        <v>244</v>
      </c>
      <c r="G2152" s="39">
        <v>43028</v>
      </c>
      <c r="J2152" t="s">
        <v>981</v>
      </c>
    </row>
    <row r="2153" spans="1:10" x14ac:dyDescent="0.35">
      <c r="A2153">
        <v>11492</v>
      </c>
      <c r="B2153" t="s">
        <v>30</v>
      </c>
      <c r="C2153" t="s">
        <v>566</v>
      </c>
      <c r="D2153" t="s">
        <v>571</v>
      </c>
      <c r="E2153" t="s">
        <v>402</v>
      </c>
      <c r="F2153" t="s">
        <v>244</v>
      </c>
      <c r="G2153" s="39">
        <v>42760</v>
      </c>
      <c r="J2153" t="s">
        <v>981</v>
      </c>
    </row>
    <row r="2154" spans="1:10" x14ac:dyDescent="0.35">
      <c r="A2154">
        <v>11724</v>
      </c>
      <c r="B2154" t="s">
        <v>30</v>
      </c>
      <c r="C2154" t="s">
        <v>566</v>
      </c>
      <c r="D2154" t="s">
        <v>571</v>
      </c>
      <c r="E2154" t="s">
        <v>402</v>
      </c>
      <c r="F2154" t="s">
        <v>244</v>
      </c>
      <c r="G2154" s="39">
        <v>43063</v>
      </c>
      <c r="J2154" t="s">
        <v>981</v>
      </c>
    </row>
    <row r="2155" spans="1:10" x14ac:dyDescent="0.35">
      <c r="A2155">
        <v>13644</v>
      </c>
      <c r="B2155" t="s">
        <v>30</v>
      </c>
      <c r="C2155" t="s">
        <v>566</v>
      </c>
      <c r="D2155" t="s">
        <v>571</v>
      </c>
      <c r="E2155" t="s">
        <v>402</v>
      </c>
      <c r="F2155" t="s">
        <v>244</v>
      </c>
      <c r="G2155" s="39">
        <v>44522</v>
      </c>
      <c r="J2155" t="s">
        <v>981</v>
      </c>
    </row>
    <row r="2156" spans="1:10" x14ac:dyDescent="0.35">
      <c r="A2156">
        <v>13144</v>
      </c>
      <c r="B2156" t="s">
        <v>30</v>
      </c>
      <c r="C2156" t="s">
        <v>566</v>
      </c>
      <c r="D2156" t="s">
        <v>571</v>
      </c>
      <c r="E2156" t="s">
        <v>102</v>
      </c>
      <c r="F2156" t="s">
        <v>244</v>
      </c>
      <c r="G2156" s="39">
        <v>44288</v>
      </c>
      <c r="J2156" t="s">
        <v>981</v>
      </c>
    </row>
    <row r="2157" spans="1:10" x14ac:dyDescent="0.35">
      <c r="A2157">
        <v>13215</v>
      </c>
      <c r="B2157" t="s">
        <v>30</v>
      </c>
      <c r="C2157" t="s">
        <v>566</v>
      </c>
      <c r="D2157" t="s">
        <v>571</v>
      </c>
      <c r="E2157" t="s">
        <v>102</v>
      </c>
      <c r="F2157" t="s">
        <v>244</v>
      </c>
      <c r="G2157" s="39">
        <v>44323</v>
      </c>
      <c r="J2157" t="s">
        <v>981</v>
      </c>
    </row>
    <row r="2158" spans="1:10" x14ac:dyDescent="0.35">
      <c r="A2158">
        <v>13713</v>
      </c>
      <c r="B2158" t="s">
        <v>30</v>
      </c>
      <c r="C2158" t="s">
        <v>566</v>
      </c>
      <c r="D2158" t="s">
        <v>571</v>
      </c>
      <c r="E2158" t="s">
        <v>102</v>
      </c>
      <c r="F2158" t="s">
        <v>244</v>
      </c>
      <c r="G2158" s="39">
        <v>44539</v>
      </c>
      <c r="J2158" t="s">
        <v>981</v>
      </c>
    </row>
    <row r="2159" spans="1:10" x14ac:dyDescent="0.35">
      <c r="A2159">
        <v>800035</v>
      </c>
      <c r="B2159" t="s">
        <v>30</v>
      </c>
      <c r="C2159" t="s">
        <v>566</v>
      </c>
      <c r="D2159" t="s">
        <v>571</v>
      </c>
      <c r="E2159" t="s">
        <v>102</v>
      </c>
      <c r="F2159" t="s">
        <v>244</v>
      </c>
      <c r="G2159" s="39">
        <v>42690</v>
      </c>
      <c r="J2159" t="s">
        <v>981</v>
      </c>
    </row>
    <row r="2160" spans="1:10" x14ac:dyDescent="0.35">
      <c r="A2160">
        <v>12057</v>
      </c>
      <c r="B2160" t="s">
        <v>30</v>
      </c>
      <c r="C2160" t="s">
        <v>566</v>
      </c>
      <c r="D2160" t="s">
        <v>571</v>
      </c>
      <c r="E2160" t="s">
        <v>102</v>
      </c>
      <c r="F2160" t="s">
        <v>244</v>
      </c>
      <c r="G2160" s="39">
        <v>43437</v>
      </c>
      <c r="J2160" t="s">
        <v>981</v>
      </c>
    </row>
    <row r="2161" spans="1:10" x14ac:dyDescent="0.35">
      <c r="A2161">
        <v>11727</v>
      </c>
      <c r="B2161" t="s">
        <v>30</v>
      </c>
      <c r="C2161" t="s">
        <v>566</v>
      </c>
      <c r="D2161" t="s">
        <v>571</v>
      </c>
      <c r="E2161" t="s">
        <v>102</v>
      </c>
      <c r="F2161" t="s">
        <v>244</v>
      </c>
      <c r="G2161" s="39">
        <v>43063</v>
      </c>
      <c r="J2161" t="s">
        <v>981</v>
      </c>
    </row>
    <row r="2162" spans="1:10" x14ac:dyDescent="0.35">
      <c r="A2162">
        <v>11670</v>
      </c>
      <c r="B2162" t="s">
        <v>30</v>
      </c>
      <c r="C2162" t="s">
        <v>566</v>
      </c>
      <c r="D2162" t="s">
        <v>571</v>
      </c>
      <c r="E2162" t="s">
        <v>102</v>
      </c>
      <c r="F2162" t="s">
        <v>244</v>
      </c>
      <c r="G2162" s="39">
        <v>43004</v>
      </c>
      <c r="J2162" t="s">
        <v>981</v>
      </c>
    </row>
    <row r="2163" spans="1:10" x14ac:dyDescent="0.35">
      <c r="A2163">
        <v>11667</v>
      </c>
      <c r="B2163" t="s">
        <v>30</v>
      </c>
      <c r="C2163" t="s">
        <v>566</v>
      </c>
      <c r="D2163" t="s">
        <v>571</v>
      </c>
      <c r="E2163" t="s">
        <v>102</v>
      </c>
      <c r="F2163" t="s">
        <v>244</v>
      </c>
      <c r="G2163" s="39">
        <v>43004</v>
      </c>
      <c r="J2163" t="s">
        <v>981</v>
      </c>
    </row>
    <row r="2164" spans="1:10" x14ac:dyDescent="0.35">
      <c r="A2164">
        <v>11681</v>
      </c>
      <c r="B2164" t="s">
        <v>30</v>
      </c>
      <c r="C2164" t="s">
        <v>566</v>
      </c>
      <c r="D2164" t="s">
        <v>571</v>
      </c>
      <c r="E2164" t="s">
        <v>102</v>
      </c>
      <c r="F2164" t="s">
        <v>244</v>
      </c>
      <c r="G2164" s="39">
        <v>43017</v>
      </c>
      <c r="J2164" t="s">
        <v>981</v>
      </c>
    </row>
    <row r="2165" spans="1:10" x14ac:dyDescent="0.35">
      <c r="A2165">
        <v>13217</v>
      </c>
      <c r="B2165" t="s">
        <v>30</v>
      </c>
      <c r="C2165" t="s">
        <v>566</v>
      </c>
      <c r="D2165" t="s">
        <v>571</v>
      </c>
      <c r="E2165" t="s">
        <v>102</v>
      </c>
      <c r="F2165" t="s">
        <v>244</v>
      </c>
      <c r="G2165" s="39">
        <v>44323</v>
      </c>
      <c r="J2165" t="s">
        <v>981</v>
      </c>
    </row>
    <row r="2166" spans="1:10" x14ac:dyDescent="0.35">
      <c r="A2166">
        <v>13359</v>
      </c>
      <c r="B2166" t="s">
        <v>30</v>
      </c>
      <c r="C2166" t="s">
        <v>566</v>
      </c>
      <c r="D2166" t="s">
        <v>571</v>
      </c>
      <c r="E2166" t="s">
        <v>102</v>
      </c>
      <c r="F2166" t="s">
        <v>244</v>
      </c>
      <c r="G2166" s="39">
        <v>44400</v>
      </c>
      <c r="J2166" t="s">
        <v>981</v>
      </c>
    </row>
    <row r="2167" spans="1:10" x14ac:dyDescent="0.35">
      <c r="A2167">
        <v>430022</v>
      </c>
      <c r="B2167" t="s">
        <v>30</v>
      </c>
      <c r="C2167" t="s">
        <v>566</v>
      </c>
      <c r="D2167" t="s">
        <v>571</v>
      </c>
      <c r="E2167" t="s">
        <v>102</v>
      </c>
      <c r="F2167" t="s">
        <v>244</v>
      </c>
      <c r="G2167" s="39">
        <v>43696</v>
      </c>
      <c r="J2167" t="s">
        <v>981</v>
      </c>
    </row>
    <row r="2168" spans="1:10" x14ac:dyDescent="0.35">
      <c r="A2168">
        <v>13893</v>
      </c>
      <c r="B2168" t="s">
        <v>30</v>
      </c>
      <c r="C2168" t="s">
        <v>566</v>
      </c>
      <c r="D2168" t="s">
        <v>571</v>
      </c>
      <c r="E2168" t="s">
        <v>102</v>
      </c>
      <c r="F2168" t="s">
        <v>244</v>
      </c>
      <c r="G2168" s="39">
        <v>44621</v>
      </c>
      <c r="J2168" t="s">
        <v>981</v>
      </c>
    </row>
    <row r="2169" spans="1:10" x14ac:dyDescent="0.35">
      <c r="A2169">
        <v>13335</v>
      </c>
      <c r="B2169" t="s">
        <v>30</v>
      </c>
      <c r="C2169" t="s">
        <v>566</v>
      </c>
      <c r="D2169" t="s">
        <v>571</v>
      </c>
      <c r="E2169" t="s">
        <v>102</v>
      </c>
      <c r="F2169" t="s">
        <v>244</v>
      </c>
      <c r="G2169" s="39">
        <v>44391</v>
      </c>
      <c r="J2169" t="s">
        <v>981</v>
      </c>
    </row>
    <row r="2170" spans="1:10" x14ac:dyDescent="0.35">
      <c r="A2170">
        <v>13505</v>
      </c>
      <c r="B2170" t="s">
        <v>30</v>
      </c>
      <c r="C2170" t="s">
        <v>566</v>
      </c>
      <c r="D2170" t="s">
        <v>571</v>
      </c>
      <c r="E2170" t="s">
        <v>102</v>
      </c>
      <c r="F2170" t="s">
        <v>244</v>
      </c>
      <c r="G2170" s="39">
        <v>44480</v>
      </c>
      <c r="J2170" t="s">
        <v>981</v>
      </c>
    </row>
    <row r="2171" spans="1:10" x14ac:dyDescent="0.35">
      <c r="A2171">
        <v>13506</v>
      </c>
      <c r="B2171" t="s">
        <v>30</v>
      </c>
      <c r="C2171" t="s">
        <v>566</v>
      </c>
      <c r="D2171" t="s">
        <v>571</v>
      </c>
      <c r="E2171" t="s">
        <v>102</v>
      </c>
      <c r="F2171" t="s">
        <v>244</v>
      </c>
      <c r="G2171" s="39">
        <v>44480</v>
      </c>
      <c r="J2171" t="s">
        <v>981</v>
      </c>
    </row>
    <row r="2172" spans="1:10" x14ac:dyDescent="0.35">
      <c r="A2172">
        <v>13520</v>
      </c>
      <c r="B2172" t="s">
        <v>30</v>
      </c>
      <c r="C2172" t="s">
        <v>566</v>
      </c>
      <c r="D2172" t="s">
        <v>571</v>
      </c>
      <c r="E2172" t="s">
        <v>102</v>
      </c>
      <c r="F2172" t="s">
        <v>244</v>
      </c>
      <c r="G2172" s="39">
        <v>44482</v>
      </c>
      <c r="J2172" t="s">
        <v>981</v>
      </c>
    </row>
    <row r="2173" spans="1:10" x14ac:dyDescent="0.35">
      <c r="A2173">
        <v>13519</v>
      </c>
      <c r="B2173" t="s">
        <v>30</v>
      </c>
      <c r="C2173" t="s">
        <v>566</v>
      </c>
      <c r="D2173" t="s">
        <v>571</v>
      </c>
      <c r="E2173" t="s">
        <v>102</v>
      </c>
      <c r="F2173" t="s">
        <v>244</v>
      </c>
      <c r="G2173" s="39">
        <v>44482</v>
      </c>
      <c r="J2173" t="s">
        <v>981</v>
      </c>
    </row>
    <row r="2174" spans="1:10" x14ac:dyDescent="0.35">
      <c r="A2174">
        <v>13604</v>
      </c>
      <c r="B2174" t="s">
        <v>30</v>
      </c>
      <c r="C2174" t="s">
        <v>566</v>
      </c>
      <c r="D2174" t="s">
        <v>571</v>
      </c>
      <c r="E2174" t="s">
        <v>102</v>
      </c>
      <c r="F2174" t="s">
        <v>244</v>
      </c>
      <c r="G2174" s="39">
        <v>44512</v>
      </c>
      <c r="J2174" t="s">
        <v>981</v>
      </c>
    </row>
    <row r="2175" spans="1:10" x14ac:dyDescent="0.35">
      <c r="A2175">
        <v>13642</v>
      </c>
      <c r="B2175" t="s">
        <v>30</v>
      </c>
      <c r="C2175" t="s">
        <v>566</v>
      </c>
      <c r="D2175" t="s">
        <v>571</v>
      </c>
      <c r="E2175" t="s">
        <v>102</v>
      </c>
      <c r="F2175" t="s">
        <v>244</v>
      </c>
      <c r="G2175" s="39">
        <v>44522</v>
      </c>
      <c r="J2175" t="s">
        <v>981</v>
      </c>
    </row>
    <row r="2176" spans="1:10" x14ac:dyDescent="0.35">
      <c r="A2176">
        <v>13711</v>
      </c>
      <c r="B2176" t="s">
        <v>30</v>
      </c>
      <c r="C2176" t="s">
        <v>566</v>
      </c>
      <c r="D2176" t="s">
        <v>571</v>
      </c>
      <c r="E2176" t="s">
        <v>102</v>
      </c>
      <c r="F2176" t="s">
        <v>244</v>
      </c>
      <c r="G2176" s="39">
        <v>44539</v>
      </c>
      <c r="J2176" t="s">
        <v>981</v>
      </c>
    </row>
    <row r="2177" spans="1:10" x14ac:dyDescent="0.35">
      <c r="A2177">
        <v>13714</v>
      </c>
      <c r="B2177" t="s">
        <v>30</v>
      </c>
      <c r="C2177" t="s">
        <v>566</v>
      </c>
      <c r="D2177" t="s">
        <v>571</v>
      </c>
      <c r="E2177" t="s">
        <v>102</v>
      </c>
      <c r="F2177" t="s">
        <v>244</v>
      </c>
      <c r="G2177" s="39">
        <v>44539</v>
      </c>
      <c r="J2177" t="s">
        <v>981</v>
      </c>
    </row>
    <row r="2178" spans="1:10" x14ac:dyDescent="0.35">
      <c r="A2178">
        <v>13741</v>
      </c>
      <c r="B2178" t="s">
        <v>30</v>
      </c>
      <c r="C2178" t="s">
        <v>566</v>
      </c>
      <c r="D2178" t="s">
        <v>571</v>
      </c>
      <c r="E2178" t="s">
        <v>102</v>
      </c>
      <c r="F2178" t="s">
        <v>244</v>
      </c>
      <c r="G2178" s="39">
        <v>44552</v>
      </c>
      <c r="J2178" t="s">
        <v>981</v>
      </c>
    </row>
    <row r="2179" spans="1:10" x14ac:dyDescent="0.35">
      <c r="A2179">
        <v>14229</v>
      </c>
      <c r="B2179" t="s">
        <v>30</v>
      </c>
      <c r="C2179" t="s">
        <v>566</v>
      </c>
      <c r="D2179" t="s">
        <v>571</v>
      </c>
      <c r="E2179" t="s">
        <v>102</v>
      </c>
      <c r="F2179" t="s">
        <v>244</v>
      </c>
      <c r="G2179" s="39">
        <v>44700</v>
      </c>
      <c r="J2179" t="s">
        <v>981</v>
      </c>
    </row>
    <row r="2180" spans="1:10" x14ac:dyDescent="0.35">
      <c r="A2180">
        <v>13373</v>
      </c>
      <c r="B2180" t="s">
        <v>30</v>
      </c>
      <c r="C2180" t="s">
        <v>566</v>
      </c>
      <c r="D2180" t="s">
        <v>571</v>
      </c>
      <c r="E2180" t="s">
        <v>102</v>
      </c>
      <c r="F2180" t="s">
        <v>411</v>
      </c>
      <c r="G2180" s="39">
        <v>44413</v>
      </c>
      <c r="J2180" t="s">
        <v>981</v>
      </c>
    </row>
    <row r="2181" spans="1:10" x14ac:dyDescent="0.35">
      <c r="A2181">
        <v>18348</v>
      </c>
      <c r="B2181" t="s">
        <v>30</v>
      </c>
      <c r="C2181" t="s">
        <v>566</v>
      </c>
      <c r="D2181" t="s">
        <v>571</v>
      </c>
      <c r="E2181" t="s">
        <v>425</v>
      </c>
      <c r="F2181" t="s">
        <v>244</v>
      </c>
      <c r="G2181" s="39">
        <v>46098</v>
      </c>
      <c r="J2181" t="s">
        <v>981</v>
      </c>
    </row>
    <row r="2182" spans="1:10" x14ac:dyDescent="0.35">
      <c r="A2182">
        <v>14017</v>
      </c>
      <c r="B2182" t="s">
        <v>30</v>
      </c>
      <c r="C2182" t="s">
        <v>566</v>
      </c>
      <c r="D2182" t="s">
        <v>571</v>
      </c>
      <c r="E2182" t="s">
        <v>102</v>
      </c>
      <c r="F2182" t="s">
        <v>244</v>
      </c>
      <c r="G2182" s="39">
        <v>44625</v>
      </c>
      <c r="J2182" t="s">
        <v>981</v>
      </c>
    </row>
    <row r="2183" spans="1:10" x14ac:dyDescent="0.35">
      <c r="A2183">
        <v>14839</v>
      </c>
      <c r="B2183" t="s">
        <v>30</v>
      </c>
      <c r="C2183" t="s">
        <v>566</v>
      </c>
      <c r="D2183" t="s">
        <v>571</v>
      </c>
      <c r="E2183" t="s">
        <v>103</v>
      </c>
      <c r="F2183" t="s">
        <v>244</v>
      </c>
      <c r="G2183" s="39">
        <v>44879</v>
      </c>
      <c r="J2183" t="s">
        <v>981</v>
      </c>
    </row>
    <row r="2184" spans="1:10" x14ac:dyDescent="0.35">
      <c r="A2184">
        <v>15247</v>
      </c>
      <c r="B2184" t="s">
        <v>30</v>
      </c>
      <c r="C2184" t="s">
        <v>566</v>
      </c>
      <c r="D2184" t="s">
        <v>571</v>
      </c>
      <c r="E2184" t="s">
        <v>103</v>
      </c>
      <c r="F2184" t="s">
        <v>244</v>
      </c>
      <c r="G2184" s="39">
        <v>44999</v>
      </c>
      <c r="J2184" t="s">
        <v>981</v>
      </c>
    </row>
    <row r="2185" spans="1:10" x14ac:dyDescent="0.35">
      <c r="A2185">
        <v>17273</v>
      </c>
      <c r="B2185" t="s">
        <v>30</v>
      </c>
      <c r="C2185" t="s">
        <v>566</v>
      </c>
      <c r="D2185" t="s">
        <v>571</v>
      </c>
      <c r="E2185" t="s">
        <v>103</v>
      </c>
      <c r="F2185" t="s">
        <v>244</v>
      </c>
      <c r="G2185" s="39">
        <v>45692</v>
      </c>
      <c r="J2185" t="s">
        <v>981</v>
      </c>
    </row>
    <row r="2186" spans="1:10" x14ac:dyDescent="0.35">
      <c r="A2186">
        <v>14616</v>
      </c>
      <c r="B2186" t="s">
        <v>30</v>
      </c>
      <c r="C2186" t="s">
        <v>566</v>
      </c>
      <c r="D2186" t="s">
        <v>571</v>
      </c>
      <c r="E2186" t="s">
        <v>103</v>
      </c>
      <c r="F2186" t="s">
        <v>244</v>
      </c>
      <c r="G2186" s="39">
        <v>44820</v>
      </c>
      <c r="J2186" t="s">
        <v>981</v>
      </c>
    </row>
    <row r="2187" spans="1:10" x14ac:dyDescent="0.35">
      <c r="A2187">
        <v>11741</v>
      </c>
      <c r="B2187" t="s">
        <v>30</v>
      </c>
      <c r="C2187" t="s">
        <v>566</v>
      </c>
      <c r="D2187" t="s">
        <v>571</v>
      </c>
      <c r="E2187" t="s">
        <v>103</v>
      </c>
      <c r="F2187" t="s">
        <v>244</v>
      </c>
      <c r="G2187" s="39">
        <v>43075</v>
      </c>
      <c r="J2187" t="s">
        <v>981</v>
      </c>
    </row>
    <row r="2188" spans="1:10" x14ac:dyDescent="0.35">
      <c r="A2188">
        <v>16670</v>
      </c>
      <c r="B2188" t="s">
        <v>30</v>
      </c>
      <c r="C2188" t="s">
        <v>566</v>
      </c>
      <c r="D2188" t="s">
        <v>571</v>
      </c>
      <c r="E2188" t="s">
        <v>103</v>
      </c>
      <c r="F2188" t="s">
        <v>244</v>
      </c>
      <c r="G2188" s="39">
        <v>45516</v>
      </c>
      <c r="J2188" t="s">
        <v>981</v>
      </c>
    </row>
    <row r="2189" spans="1:10" x14ac:dyDescent="0.35">
      <c r="A2189">
        <v>15359</v>
      </c>
      <c r="B2189" t="s">
        <v>30</v>
      </c>
      <c r="C2189" t="s">
        <v>566</v>
      </c>
      <c r="D2189" t="s">
        <v>571</v>
      </c>
      <c r="E2189" t="s">
        <v>103</v>
      </c>
      <c r="F2189" t="s">
        <v>411</v>
      </c>
      <c r="G2189" s="39">
        <v>45042</v>
      </c>
      <c r="J2189" t="s">
        <v>981</v>
      </c>
    </row>
    <row r="2190" spans="1:10" x14ac:dyDescent="0.35">
      <c r="A2190">
        <v>15625</v>
      </c>
      <c r="B2190" t="s">
        <v>30</v>
      </c>
      <c r="C2190" t="s">
        <v>566</v>
      </c>
      <c r="D2190" t="s">
        <v>571</v>
      </c>
      <c r="E2190" t="s">
        <v>103</v>
      </c>
      <c r="F2190" t="s">
        <v>244</v>
      </c>
      <c r="G2190" s="39">
        <v>45142</v>
      </c>
      <c r="J2190" t="s">
        <v>981</v>
      </c>
    </row>
    <row r="2191" spans="1:10" x14ac:dyDescent="0.35">
      <c r="A2191">
        <v>17844</v>
      </c>
      <c r="B2191" t="s">
        <v>30</v>
      </c>
      <c r="C2191" t="s">
        <v>566</v>
      </c>
      <c r="D2191" t="s">
        <v>571</v>
      </c>
      <c r="E2191" t="s">
        <v>103</v>
      </c>
      <c r="F2191" t="s">
        <v>244</v>
      </c>
      <c r="G2191" s="39">
        <v>45890</v>
      </c>
      <c r="J2191" t="s">
        <v>981</v>
      </c>
    </row>
    <row r="2192" spans="1:10" x14ac:dyDescent="0.35">
      <c r="A2192">
        <v>11743</v>
      </c>
      <c r="B2192" t="s">
        <v>30</v>
      </c>
      <c r="C2192" t="s">
        <v>566</v>
      </c>
      <c r="D2192" t="s">
        <v>571</v>
      </c>
      <c r="E2192" t="s">
        <v>103</v>
      </c>
      <c r="F2192" t="s">
        <v>244</v>
      </c>
      <c r="G2192" s="39">
        <v>43075</v>
      </c>
      <c r="J2192" t="s">
        <v>981</v>
      </c>
    </row>
    <row r="2193" spans="1:10" x14ac:dyDescent="0.35">
      <c r="A2193">
        <v>15452</v>
      </c>
      <c r="B2193" t="s">
        <v>30</v>
      </c>
      <c r="C2193" t="s">
        <v>566</v>
      </c>
      <c r="D2193" t="s">
        <v>571</v>
      </c>
      <c r="E2193" t="s">
        <v>103</v>
      </c>
      <c r="F2193" t="s">
        <v>244</v>
      </c>
      <c r="G2193" s="39">
        <v>45079</v>
      </c>
      <c r="J2193" t="s">
        <v>981</v>
      </c>
    </row>
    <row r="2194" spans="1:10" x14ac:dyDescent="0.35">
      <c r="A2194">
        <v>14897</v>
      </c>
      <c r="B2194" t="s">
        <v>30</v>
      </c>
      <c r="C2194" t="s">
        <v>566</v>
      </c>
      <c r="D2194" t="s">
        <v>571</v>
      </c>
      <c r="E2194" t="s">
        <v>103</v>
      </c>
      <c r="F2194" t="s">
        <v>244</v>
      </c>
      <c r="G2194" s="39">
        <v>44890</v>
      </c>
      <c r="J2194" t="s">
        <v>981</v>
      </c>
    </row>
    <row r="2195" spans="1:10" x14ac:dyDescent="0.35">
      <c r="A2195">
        <v>11673</v>
      </c>
      <c r="B2195" t="s">
        <v>30</v>
      </c>
      <c r="C2195" t="s">
        <v>566</v>
      </c>
      <c r="D2195" t="s">
        <v>571</v>
      </c>
      <c r="E2195" t="s">
        <v>103</v>
      </c>
      <c r="F2195" t="s">
        <v>411</v>
      </c>
      <c r="G2195" s="39">
        <v>43004</v>
      </c>
      <c r="J2195" t="s">
        <v>981</v>
      </c>
    </row>
    <row r="2196" spans="1:10" x14ac:dyDescent="0.35">
      <c r="A2196">
        <v>18233</v>
      </c>
      <c r="B2196" t="s">
        <v>30</v>
      </c>
      <c r="C2196" t="s">
        <v>566</v>
      </c>
      <c r="D2196" t="s">
        <v>571</v>
      </c>
      <c r="E2196" t="s">
        <v>425</v>
      </c>
      <c r="F2196" t="s">
        <v>244</v>
      </c>
      <c r="G2196" s="39">
        <v>46066</v>
      </c>
      <c r="J2196" t="s">
        <v>981</v>
      </c>
    </row>
    <row r="2197" spans="1:10" x14ac:dyDescent="0.35">
      <c r="A2197">
        <v>15806</v>
      </c>
      <c r="B2197" t="s">
        <v>30</v>
      </c>
      <c r="C2197" t="s">
        <v>566</v>
      </c>
      <c r="D2197" t="s">
        <v>571</v>
      </c>
      <c r="E2197" t="s">
        <v>525</v>
      </c>
      <c r="F2197" t="s">
        <v>244</v>
      </c>
      <c r="G2197" s="39">
        <v>45196</v>
      </c>
      <c r="J2197" t="s">
        <v>981</v>
      </c>
    </row>
    <row r="2198" spans="1:10" x14ac:dyDescent="0.35">
      <c r="A2198">
        <v>12924</v>
      </c>
      <c r="B2198" t="s">
        <v>30</v>
      </c>
      <c r="C2198" t="s">
        <v>566</v>
      </c>
      <c r="D2198" t="s">
        <v>571</v>
      </c>
      <c r="E2198" t="s">
        <v>103</v>
      </c>
      <c r="F2198" t="s">
        <v>244</v>
      </c>
      <c r="G2198" s="39">
        <v>44112</v>
      </c>
      <c r="J2198" t="s">
        <v>981</v>
      </c>
    </row>
    <row r="2199" spans="1:10" x14ac:dyDescent="0.35">
      <c r="A2199">
        <v>12977</v>
      </c>
      <c r="B2199" t="s">
        <v>30</v>
      </c>
      <c r="C2199" t="s">
        <v>566</v>
      </c>
      <c r="D2199" t="s">
        <v>571</v>
      </c>
      <c r="E2199" t="s">
        <v>103</v>
      </c>
      <c r="F2199" t="s">
        <v>244</v>
      </c>
      <c r="G2199" s="39">
        <v>44160</v>
      </c>
      <c r="J2199" t="s">
        <v>981</v>
      </c>
    </row>
    <row r="2200" spans="1:10" x14ac:dyDescent="0.35">
      <c r="A2200">
        <v>19086</v>
      </c>
      <c r="B2200" t="s">
        <v>30</v>
      </c>
      <c r="C2200" t="s">
        <v>566</v>
      </c>
      <c r="D2200" t="s">
        <v>571</v>
      </c>
      <c r="E2200" t="s">
        <v>103</v>
      </c>
      <c r="F2200" t="s">
        <v>244</v>
      </c>
      <c r="G2200" s="39">
        <v>46267</v>
      </c>
      <c r="J2200" t="s">
        <v>981</v>
      </c>
    </row>
    <row r="2201" spans="1:10" x14ac:dyDescent="0.35">
      <c r="A2201">
        <v>19087</v>
      </c>
      <c r="B2201" t="s">
        <v>30</v>
      </c>
      <c r="C2201" t="s">
        <v>566</v>
      </c>
      <c r="D2201" t="s">
        <v>571</v>
      </c>
      <c r="E2201" t="s">
        <v>103</v>
      </c>
      <c r="F2201" t="s">
        <v>244</v>
      </c>
      <c r="G2201" s="39">
        <v>46267</v>
      </c>
      <c r="J2201" t="s">
        <v>981</v>
      </c>
    </row>
    <row r="2202" spans="1:10" x14ac:dyDescent="0.35">
      <c r="A2202">
        <v>19088</v>
      </c>
      <c r="B2202" t="s">
        <v>30</v>
      </c>
      <c r="C2202" t="s">
        <v>566</v>
      </c>
      <c r="D2202" t="s">
        <v>571</v>
      </c>
      <c r="E2202" t="s">
        <v>106</v>
      </c>
      <c r="F2202" t="s">
        <v>244</v>
      </c>
      <c r="G2202" s="39">
        <v>46267</v>
      </c>
      <c r="J2202" t="s">
        <v>981</v>
      </c>
    </row>
    <row r="2203" spans="1:10" x14ac:dyDescent="0.35">
      <c r="A2203">
        <v>13091</v>
      </c>
      <c r="B2203" t="s">
        <v>30</v>
      </c>
      <c r="C2203" t="s">
        <v>566</v>
      </c>
      <c r="D2203" t="s">
        <v>571</v>
      </c>
      <c r="E2203" t="s">
        <v>103</v>
      </c>
      <c r="F2203" t="s">
        <v>244</v>
      </c>
      <c r="G2203" s="39">
        <v>44250</v>
      </c>
      <c r="J2203" t="s">
        <v>981</v>
      </c>
    </row>
    <row r="2204" spans="1:10" x14ac:dyDescent="0.35">
      <c r="A2204">
        <v>12999</v>
      </c>
      <c r="B2204" t="s">
        <v>30</v>
      </c>
      <c r="C2204" t="s">
        <v>566</v>
      </c>
      <c r="D2204" t="s">
        <v>571</v>
      </c>
      <c r="E2204" t="s">
        <v>103</v>
      </c>
      <c r="F2204" t="s">
        <v>244</v>
      </c>
      <c r="G2204" s="39">
        <v>44176</v>
      </c>
      <c r="J2204" t="s">
        <v>981</v>
      </c>
    </row>
    <row r="2205" spans="1:10" x14ac:dyDescent="0.35">
      <c r="A2205">
        <v>13336</v>
      </c>
      <c r="B2205" t="s">
        <v>30</v>
      </c>
      <c r="C2205" t="s">
        <v>566</v>
      </c>
      <c r="D2205" t="s">
        <v>571</v>
      </c>
      <c r="E2205" t="s">
        <v>102</v>
      </c>
      <c r="F2205" t="s">
        <v>244</v>
      </c>
      <c r="G2205" s="39">
        <v>44391</v>
      </c>
      <c r="J2205" t="s">
        <v>981</v>
      </c>
    </row>
    <row r="2206" spans="1:10" x14ac:dyDescent="0.35">
      <c r="A2206">
        <v>13374</v>
      </c>
      <c r="B2206" t="s">
        <v>30</v>
      </c>
      <c r="C2206" t="s">
        <v>566</v>
      </c>
      <c r="D2206" t="s">
        <v>571</v>
      </c>
      <c r="E2206" t="s">
        <v>103</v>
      </c>
      <c r="F2206" t="s">
        <v>244</v>
      </c>
      <c r="G2206" s="39">
        <v>44413</v>
      </c>
      <c r="J2206" t="s">
        <v>981</v>
      </c>
    </row>
    <row r="2207" spans="1:10" x14ac:dyDescent="0.35">
      <c r="A2207">
        <v>13276</v>
      </c>
      <c r="B2207" t="s">
        <v>30</v>
      </c>
      <c r="C2207" t="s">
        <v>566</v>
      </c>
      <c r="D2207" t="s">
        <v>571</v>
      </c>
      <c r="E2207" t="s">
        <v>103</v>
      </c>
      <c r="F2207" t="s">
        <v>244</v>
      </c>
      <c r="G2207" s="39">
        <v>44361</v>
      </c>
      <c r="J2207" t="s">
        <v>981</v>
      </c>
    </row>
    <row r="2208" spans="1:10" x14ac:dyDescent="0.35">
      <c r="A2208">
        <v>13513</v>
      </c>
      <c r="B2208" t="s">
        <v>30</v>
      </c>
      <c r="C2208" t="s">
        <v>566</v>
      </c>
      <c r="D2208" t="s">
        <v>571</v>
      </c>
      <c r="E2208" t="s">
        <v>103</v>
      </c>
      <c r="F2208" t="s">
        <v>244</v>
      </c>
      <c r="G2208" s="39">
        <v>44482</v>
      </c>
      <c r="J2208" t="s">
        <v>981</v>
      </c>
    </row>
    <row r="2209" spans="1:10" x14ac:dyDescent="0.35">
      <c r="A2209">
        <v>13512</v>
      </c>
      <c r="B2209" t="s">
        <v>30</v>
      </c>
      <c r="C2209" t="s">
        <v>566</v>
      </c>
      <c r="D2209" t="s">
        <v>571</v>
      </c>
      <c r="E2209" t="s">
        <v>103</v>
      </c>
      <c r="F2209" t="s">
        <v>411</v>
      </c>
      <c r="G2209" s="39">
        <v>44482</v>
      </c>
      <c r="J2209" t="s">
        <v>981</v>
      </c>
    </row>
    <row r="2210" spans="1:10" x14ac:dyDescent="0.35">
      <c r="A2210">
        <v>17586</v>
      </c>
      <c r="B2210" t="s">
        <v>30</v>
      </c>
      <c r="C2210" t="s">
        <v>566</v>
      </c>
      <c r="D2210" t="s">
        <v>571</v>
      </c>
      <c r="E2210" t="s">
        <v>424</v>
      </c>
      <c r="F2210" t="s">
        <v>244</v>
      </c>
      <c r="G2210" s="39">
        <v>45800</v>
      </c>
      <c r="J2210" t="s">
        <v>981</v>
      </c>
    </row>
    <row r="2211" spans="1:10" x14ac:dyDescent="0.35">
      <c r="A2211">
        <v>13515</v>
      </c>
      <c r="B2211" t="s">
        <v>30</v>
      </c>
      <c r="C2211" t="s">
        <v>566</v>
      </c>
      <c r="D2211" t="s">
        <v>571</v>
      </c>
      <c r="E2211" t="s">
        <v>103</v>
      </c>
      <c r="F2211" t="s">
        <v>411</v>
      </c>
      <c r="G2211" s="39">
        <v>44482</v>
      </c>
      <c r="J2211" t="s">
        <v>981</v>
      </c>
    </row>
    <row r="2212" spans="1:10" x14ac:dyDescent="0.35">
      <c r="A2212">
        <v>18302</v>
      </c>
      <c r="B2212" t="s">
        <v>30</v>
      </c>
      <c r="C2212" t="s">
        <v>566</v>
      </c>
      <c r="D2212" t="s">
        <v>571</v>
      </c>
      <c r="E2212" t="s">
        <v>425</v>
      </c>
      <c r="F2212" t="s">
        <v>244</v>
      </c>
      <c r="G2212" s="39">
        <v>46083</v>
      </c>
      <c r="J2212" t="s">
        <v>981</v>
      </c>
    </row>
    <row r="2213" spans="1:10" x14ac:dyDescent="0.35">
      <c r="A2213">
        <v>13533</v>
      </c>
      <c r="B2213" t="s">
        <v>30</v>
      </c>
      <c r="C2213" t="s">
        <v>566</v>
      </c>
      <c r="D2213" t="s">
        <v>571</v>
      </c>
      <c r="E2213" t="s">
        <v>103</v>
      </c>
      <c r="F2213" t="s">
        <v>244</v>
      </c>
      <c r="G2213" s="39">
        <v>44487</v>
      </c>
      <c r="J2213" t="s">
        <v>981</v>
      </c>
    </row>
    <row r="2214" spans="1:10" x14ac:dyDescent="0.35">
      <c r="A2214">
        <v>13543</v>
      </c>
      <c r="B2214" t="s">
        <v>30</v>
      </c>
      <c r="C2214" t="s">
        <v>566</v>
      </c>
      <c r="D2214" t="s">
        <v>571</v>
      </c>
      <c r="E2214" t="s">
        <v>102</v>
      </c>
      <c r="F2214" t="s">
        <v>244</v>
      </c>
      <c r="G2214" s="39">
        <v>44491</v>
      </c>
      <c r="J2214" t="s">
        <v>981</v>
      </c>
    </row>
    <row r="2215" spans="1:10" x14ac:dyDescent="0.35">
      <c r="A2215">
        <v>13572</v>
      </c>
      <c r="B2215" t="s">
        <v>30</v>
      </c>
      <c r="C2215" t="s">
        <v>566</v>
      </c>
      <c r="D2215" t="s">
        <v>571</v>
      </c>
      <c r="E2215" t="s">
        <v>103</v>
      </c>
      <c r="F2215" t="s">
        <v>244</v>
      </c>
      <c r="G2215" s="39">
        <v>44501</v>
      </c>
      <c r="J2215" t="s">
        <v>981</v>
      </c>
    </row>
    <row r="2216" spans="1:10" x14ac:dyDescent="0.35">
      <c r="A2216">
        <v>13603</v>
      </c>
      <c r="B2216" t="s">
        <v>30</v>
      </c>
      <c r="C2216" t="s">
        <v>566</v>
      </c>
      <c r="D2216" t="s">
        <v>571</v>
      </c>
      <c r="E2216" t="s">
        <v>103</v>
      </c>
      <c r="F2216" t="s">
        <v>244</v>
      </c>
      <c r="G2216" s="39">
        <v>44512</v>
      </c>
      <c r="J2216" t="s">
        <v>981</v>
      </c>
    </row>
    <row r="2217" spans="1:10" x14ac:dyDescent="0.35">
      <c r="A2217">
        <v>13606</v>
      </c>
      <c r="B2217" t="s">
        <v>30</v>
      </c>
      <c r="C2217" t="s">
        <v>566</v>
      </c>
      <c r="D2217" t="s">
        <v>571</v>
      </c>
      <c r="E2217" t="s">
        <v>103</v>
      </c>
      <c r="F2217" t="s">
        <v>244</v>
      </c>
      <c r="G2217" s="39">
        <v>44512</v>
      </c>
      <c r="J2217" t="s">
        <v>981</v>
      </c>
    </row>
    <row r="2218" spans="1:10" x14ac:dyDescent="0.35">
      <c r="A2218">
        <v>13613</v>
      </c>
      <c r="B2218" t="s">
        <v>30</v>
      </c>
      <c r="C2218" t="s">
        <v>566</v>
      </c>
      <c r="D2218" t="s">
        <v>571</v>
      </c>
      <c r="E2218" t="s">
        <v>103</v>
      </c>
      <c r="F2218" t="s">
        <v>244</v>
      </c>
      <c r="G2218" s="39">
        <v>44516</v>
      </c>
      <c r="J2218" t="s">
        <v>981</v>
      </c>
    </row>
    <row r="2219" spans="1:10" x14ac:dyDescent="0.35">
      <c r="A2219">
        <v>13640</v>
      </c>
      <c r="B2219" t="s">
        <v>30</v>
      </c>
      <c r="C2219" t="s">
        <v>566</v>
      </c>
      <c r="D2219" t="s">
        <v>571</v>
      </c>
      <c r="E2219" t="s">
        <v>102</v>
      </c>
      <c r="F2219" t="s">
        <v>244</v>
      </c>
      <c r="G2219" s="39">
        <v>44522</v>
      </c>
      <c r="J2219" t="s">
        <v>981</v>
      </c>
    </row>
    <row r="2220" spans="1:10" x14ac:dyDescent="0.35">
      <c r="A2220">
        <v>13643</v>
      </c>
      <c r="B2220" t="s">
        <v>30</v>
      </c>
      <c r="C2220" t="s">
        <v>566</v>
      </c>
      <c r="D2220" t="s">
        <v>571</v>
      </c>
      <c r="E2220" t="s">
        <v>103</v>
      </c>
      <c r="F2220" t="s">
        <v>244</v>
      </c>
      <c r="G2220" s="39">
        <v>44522</v>
      </c>
      <c r="J2220" t="s">
        <v>981</v>
      </c>
    </row>
    <row r="2221" spans="1:10" x14ac:dyDescent="0.35">
      <c r="A2221">
        <v>17637</v>
      </c>
      <c r="B2221" t="s">
        <v>30</v>
      </c>
      <c r="C2221" t="s">
        <v>566</v>
      </c>
      <c r="D2221" t="s">
        <v>571</v>
      </c>
      <c r="E2221" t="s">
        <v>103</v>
      </c>
      <c r="F2221" t="s">
        <v>244</v>
      </c>
      <c r="G2221" s="39">
        <v>45826</v>
      </c>
      <c r="J2221" t="s">
        <v>981</v>
      </c>
    </row>
    <row r="2222" spans="1:10" x14ac:dyDescent="0.35">
      <c r="A2222">
        <v>13683</v>
      </c>
      <c r="B2222" t="s">
        <v>30</v>
      </c>
      <c r="C2222" t="s">
        <v>566</v>
      </c>
      <c r="D2222" t="s">
        <v>571</v>
      </c>
      <c r="E2222" t="s">
        <v>103</v>
      </c>
      <c r="F2222" t="s">
        <v>411</v>
      </c>
      <c r="G2222" s="39">
        <v>44537</v>
      </c>
      <c r="J2222" t="s">
        <v>981</v>
      </c>
    </row>
    <row r="2223" spans="1:10" x14ac:dyDescent="0.35">
      <c r="A2223">
        <v>17636</v>
      </c>
      <c r="B2223" t="s">
        <v>30</v>
      </c>
      <c r="C2223" t="s">
        <v>566</v>
      </c>
      <c r="D2223" t="s">
        <v>571</v>
      </c>
      <c r="E2223" t="s">
        <v>424</v>
      </c>
      <c r="F2223" t="s">
        <v>244</v>
      </c>
      <c r="G2223" s="39">
        <v>45826</v>
      </c>
      <c r="J2223" t="s">
        <v>981</v>
      </c>
    </row>
    <row r="2224" spans="1:10" x14ac:dyDescent="0.35">
      <c r="A2224">
        <v>13685</v>
      </c>
      <c r="B2224" t="s">
        <v>30</v>
      </c>
      <c r="C2224" t="s">
        <v>566</v>
      </c>
      <c r="D2224" t="s">
        <v>571</v>
      </c>
      <c r="E2224" t="s">
        <v>103</v>
      </c>
      <c r="F2224" t="s">
        <v>244</v>
      </c>
      <c r="G2224" s="39">
        <v>44537</v>
      </c>
      <c r="J2224" t="s">
        <v>981</v>
      </c>
    </row>
    <row r="2225" spans="1:10" x14ac:dyDescent="0.35">
      <c r="A2225">
        <v>13690</v>
      </c>
      <c r="B2225" t="s">
        <v>30</v>
      </c>
      <c r="C2225" t="s">
        <v>566</v>
      </c>
      <c r="D2225" t="s">
        <v>571</v>
      </c>
      <c r="E2225" t="s">
        <v>103</v>
      </c>
      <c r="F2225" t="s">
        <v>244</v>
      </c>
      <c r="G2225" s="39">
        <v>44537</v>
      </c>
      <c r="J2225" t="s">
        <v>981</v>
      </c>
    </row>
    <row r="2226" spans="1:10" x14ac:dyDescent="0.35">
      <c r="A2226">
        <v>13739</v>
      </c>
      <c r="B2226" t="s">
        <v>30</v>
      </c>
      <c r="C2226" t="s">
        <v>566</v>
      </c>
      <c r="D2226" t="s">
        <v>571</v>
      </c>
      <c r="E2226" t="s">
        <v>103</v>
      </c>
      <c r="F2226" t="s">
        <v>244</v>
      </c>
      <c r="G2226" s="39">
        <v>44552</v>
      </c>
      <c r="J2226" t="s">
        <v>981</v>
      </c>
    </row>
    <row r="2227" spans="1:10" x14ac:dyDescent="0.35">
      <c r="A2227">
        <v>13744</v>
      </c>
      <c r="B2227" t="s">
        <v>30</v>
      </c>
      <c r="C2227" t="s">
        <v>566</v>
      </c>
      <c r="D2227" t="s">
        <v>571</v>
      </c>
      <c r="E2227" t="s">
        <v>103</v>
      </c>
      <c r="F2227" t="s">
        <v>244</v>
      </c>
      <c r="G2227" s="39">
        <v>44553</v>
      </c>
      <c r="J2227" t="s">
        <v>981</v>
      </c>
    </row>
    <row r="2228" spans="1:10" x14ac:dyDescent="0.35">
      <c r="A2228">
        <v>13745</v>
      </c>
      <c r="B2228" t="s">
        <v>30</v>
      </c>
      <c r="C2228" t="s">
        <v>566</v>
      </c>
      <c r="D2228" t="s">
        <v>571</v>
      </c>
      <c r="E2228" t="s">
        <v>103</v>
      </c>
      <c r="F2228" t="s">
        <v>244</v>
      </c>
      <c r="G2228" s="39">
        <v>44553</v>
      </c>
      <c r="J2228" t="s">
        <v>981</v>
      </c>
    </row>
    <row r="2229" spans="1:10" x14ac:dyDescent="0.35">
      <c r="A2229">
        <v>14272</v>
      </c>
      <c r="B2229" t="s">
        <v>30</v>
      </c>
      <c r="C2229" t="s">
        <v>566</v>
      </c>
      <c r="D2229" t="s">
        <v>571</v>
      </c>
      <c r="E2229" t="s">
        <v>102</v>
      </c>
      <c r="F2229" t="s">
        <v>244</v>
      </c>
      <c r="G2229" s="39">
        <v>44713</v>
      </c>
      <c r="J2229" t="s">
        <v>981</v>
      </c>
    </row>
    <row r="2230" spans="1:10" x14ac:dyDescent="0.35">
      <c r="A2230">
        <v>13778</v>
      </c>
      <c r="B2230" t="s">
        <v>30</v>
      </c>
      <c r="C2230" t="s">
        <v>566</v>
      </c>
      <c r="D2230" t="s">
        <v>571</v>
      </c>
      <c r="E2230" t="s">
        <v>103</v>
      </c>
      <c r="F2230" t="s">
        <v>244</v>
      </c>
      <c r="G2230" s="39">
        <v>44575</v>
      </c>
      <c r="J2230" t="s">
        <v>981</v>
      </c>
    </row>
    <row r="2231" spans="1:10" x14ac:dyDescent="0.35">
      <c r="A2231">
        <v>14496</v>
      </c>
      <c r="B2231" t="s">
        <v>30</v>
      </c>
      <c r="C2231" t="s">
        <v>566</v>
      </c>
      <c r="D2231" t="s">
        <v>571</v>
      </c>
      <c r="E2231" t="s">
        <v>103</v>
      </c>
      <c r="F2231" t="s">
        <v>244</v>
      </c>
      <c r="G2231" s="39">
        <v>44776</v>
      </c>
      <c r="J2231" t="s">
        <v>981</v>
      </c>
    </row>
    <row r="2232" spans="1:10" x14ac:dyDescent="0.35">
      <c r="A2232">
        <v>13601</v>
      </c>
      <c r="B2232" t="s">
        <v>30</v>
      </c>
      <c r="C2232" t="s">
        <v>566</v>
      </c>
      <c r="D2232" t="s">
        <v>571</v>
      </c>
      <c r="E2232" t="s">
        <v>103</v>
      </c>
      <c r="F2232" t="s">
        <v>244</v>
      </c>
      <c r="G2232" s="39">
        <v>44512</v>
      </c>
      <c r="J2232" t="s">
        <v>981</v>
      </c>
    </row>
    <row r="2233" spans="1:10" x14ac:dyDescent="0.35">
      <c r="A2233">
        <v>14118</v>
      </c>
      <c r="B2233" t="s">
        <v>30</v>
      </c>
      <c r="C2233" t="s">
        <v>566</v>
      </c>
      <c r="D2233" t="s">
        <v>571</v>
      </c>
      <c r="E2233" t="s">
        <v>103</v>
      </c>
      <c r="F2233" t="s">
        <v>244</v>
      </c>
      <c r="G2233" s="39">
        <v>44665</v>
      </c>
      <c r="J2233" t="s">
        <v>981</v>
      </c>
    </row>
    <row r="2234" spans="1:10" x14ac:dyDescent="0.35">
      <c r="A2234">
        <v>14051</v>
      </c>
      <c r="B2234" t="s">
        <v>30</v>
      </c>
      <c r="C2234" t="s">
        <v>566</v>
      </c>
      <c r="D2234" t="s">
        <v>571</v>
      </c>
      <c r="E2234" t="s">
        <v>103</v>
      </c>
      <c r="F2234" t="s">
        <v>244</v>
      </c>
      <c r="G2234" s="39">
        <v>44636</v>
      </c>
      <c r="J2234" t="s">
        <v>981</v>
      </c>
    </row>
    <row r="2235" spans="1:10" x14ac:dyDescent="0.35">
      <c r="A2235">
        <v>14969</v>
      </c>
      <c r="B2235" t="s">
        <v>30</v>
      </c>
      <c r="C2235" t="s">
        <v>566</v>
      </c>
      <c r="D2235" t="s">
        <v>571</v>
      </c>
      <c r="E2235" t="s">
        <v>103</v>
      </c>
      <c r="F2235" t="s">
        <v>244</v>
      </c>
      <c r="G2235" s="39">
        <v>44903</v>
      </c>
      <c r="J2235" t="s">
        <v>981</v>
      </c>
    </row>
    <row r="2236" spans="1:10" x14ac:dyDescent="0.35">
      <c r="A2236">
        <v>15002</v>
      </c>
      <c r="B2236" t="s">
        <v>30</v>
      </c>
      <c r="C2236" t="s">
        <v>566</v>
      </c>
      <c r="D2236" t="s">
        <v>571</v>
      </c>
      <c r="E2236" t="s">
        <v>102</v>
      </c>
      <c r="F2236" t="s">
        <v>244</v>
      </c>
      <c r="G2236" s="39">
        <v>44914</v>
      </c>
      <c r="J2236" t="s">
        <v>981</v>
      </c>
    </row>
    <row r="2237" spans="1:10" x14ac:dyDescent="0.35">
      <c r="A2237">
        <v>15003</v>
      </c>
      <c r="B2237" t="s">
        <v>30</v>
      </c>
      <c r="C2237" t="s">
        <v>566</v>
      </c>
      <c r="D2237" t="s">
        <v>571</v>
      </c>
      <c r="E2237" t="s">
        <v>103</v>
      </c>
      <c r="F2237" t="s">
        <v>244</v>
      </c>
      <c r="G2237" s="39">
        <v>44914</v>
      </c>
      <c r="J2237" t="s">
        <v>981</v>
      </c>
    </row>
    <row r="2238" spans="1:10" x14ac:dyDescent="0.35">
      <c r="A2238">
        <v>11668</v>
      </c>
      <c r="B2238" t="s">
        <v>30</v>
      </c>
      <c r="C2238" t="s">
        <v>566</v>
      </c>
      <c r="D2238" t="s">
        <v>571</v>
      </c>
      <c r="E2238" t="s">
        <v>103</v>
      </c>
      <c r="F2238" t="s">
        <v>411</v>
      </c>
      <c r="G2238" s="39">
        <v>43004</v>
      </c>
      <c r="J2238" t="s">
        <v>981</v>
      </c>
    </row>
    <row r="2239" spans="1:10" x14ac:dyDescent="0.35">
      <c r="A2239">
        <v>17787</v>
      </c>
      <c r="B2239" t="s">
        <v>30</v>
      </c>
      <c r="C2239" t="s">
        <v>566</v>
      </c>
      <c r="D2239" t="s">
        <v>571</v>
      </c>
      <c r="E2239" t="s">
        <v>425</v>
      </c>
      <c r="F2239" t="s">
        <v>244</v>
      </c>
      <c r="G2239" s="39">
        <v>45876</v>
      </c>
      <c r="J2239" t="s">
        <v>981</v>
      </c>
    </row>
    <row r="2240" spans="1:10" x14ac:dyDescent="0.35">
      <c r="A2240">
        <v>11671</v>
      </c>
      <c r="B2240" t="s">
        <v>30</v>
      </c>
      <c r="C2240" t="s">
        <v>566</v>
      </c>
      <c r="D2240" t="s">
        <v>571</v>
      </c>
      <c r="E2240" t="s">
        <v>103</v>
      </c>
      <c r="F2240" t="s">
        <v>244</v>
      </c>
      <c r="G2240" s="39">
        <v>43004</v>
      </c>
      <c r="J2240" t="s">
        <v>981</v>
      </c>
    </row>
    <row r="2241" spans="1:10" x14ac:dyDescent="0.35">
      <c r="A2241">
        <v>14378</v>
      </c>
      <c r="B2241" t="s">
        <v>30</v>
      </c>
      <c r="C2241" t="s">
        <v>566</v>
      </c>
      <c r="D2241" t="s">
        <v>571</v>
      </c>
      <c r="E2241" t="s">
        <v>103</v>
      </c>
      <c r="F2241" t="s">
        <v>244</v>
      </c>
      <c r="G2241" s="39">
        <v>44743</v>
      </c>
      <c r="J2241" t="s">
        <v>981</v>
      </c>
    </row>
    <row r="2242" spans="1:10" x14ac:dyDescent="0.35">
      <c r="A2242">
        <v>12980</v>
      </c>
      <c r="B2242" t="s">
        <v>30</v>
      </c>
      <c r="C2242" t="s">
        <v>566</v>
      </c>
      <c r="D2242" t="s">
        <v>571</v>
      </c>
      <c r="E2242" t="s">
        <v>103</v>
      </c>
      <c r="F2242" t="s">
        <v>244</v>
      </c>
      <c r="G2242" s="39">
        <v>44160</v>
      </c>
      <c r="J2242" t="s">
        <v>981</v>
      </c>
    </row>
    <row r="2243" spans="1:10" x14ac:dyDescent="0.35">
      <c r="A2243">
        <v>13007</v>
      </c>
      <c r="B2243" t="s">
        <v>30</v>
      </c>
      <c r="C2243" t="s">
        <v>566</v>
      </c>
      <c r="D2243" t="s">
        <v>571</v>
      </c>
      <c r="E2243" t="s">
        <v>103</v>
      </c>
      <c r="F2243" t="s">
        <v>244</v>
      </c>
      <c r="G2243" s="39">
        <v>44187</v>
      </c>
      <c r="J2243" t="s">
        <v>981</v>
      </c>
    </row>
    <row r="2244" spans="1:10" x14ac:dyDescent="0.35">
      <c r="A2244">
        <v>17694</v>
      </c>
      <c r="B2244" t="s">
        <v>30</v>
      </c>
      <c r="C2244" t="s">
        <v>566</v>
      </c>
      <c r="D2244" t="s">
        <v>571</v>
      </c>
      <c r="E2244" t="s">
        <v>106</v>
      </c>
      <c r="F2244" t="s">
        <v>244</v>
      </c>
      <c r="G2244" s="39">
        <v>45845</v>
      </c>
      <c r="J2244" t="s">
        <v>981</v>
      </c>
    </row>
    <row r="2245" spans="1:10" x14ac:dyDescent="0.35">
      <c r="A2245">
        <v>13141</v>
      </c>
      <c r="B2245" t="s">
        <v>30</v>
      </c>
      <c r="C2245" t="s">
        <v>566</v>
      </c>
      <c r="D2245" t="s">
        <v>571</v>
      </c>
      <c r="E2245" t="s">
        <v>103</v>
      </c>
      <c r="F2245" t="s">
        <v>573</v>
      </c>
      <c r="G2245" s="39">
        <v>44288</v>
      </c>
      <c r="J2245" t="s">
        <v>981</v>
      </c>
    </row>
    <row r="2246" spans="1:10" x14ac:dyDescent="0.35">
      <c r="A2246">
        <v>15059</v>
      </c>
      <c r="B2246" t="s">
        <v>30</v>
      </c>
      <c r="C2246" t="s">
        <v>566</v>
      </c>
      <c r="D2246" t="s">
        <v>571</v>
      </c>
      <c r="E2246" t="s">
        <v>424</v>
      </c>
      <c r="F2246" t="s">
        <v>244</v>
      </c>
      <c r="G2246" s="39">
        <v>44937</v>
      </c>
      <c r="J2246" t="s">
        <v>981</v>
      </c>
    </row>
    <row r="2247" spans="1:10" x14ac:dyDescent="0.35">
      <c r="A2247">
        <v>13679</v>
      </c>
      <c r="B2247" t="s">
        <v>30</v>
      </c>
      <c r="C2247" t="s">
        <v>566</v>
      </c>
      <c r="D2247" t="s">
        <v>571</v>
      </c>
      <c r="E2247" t="s">
        <v>103</v>
      </c>
      <c r="F2247" t="s">
        <v>244</v>
      </c>
      <c r="G2247" s="39">
        <v>44537</v>
      </c>
      <c r="J2247" t="s">
        <v>981</v>
      </c>
    </row>
    <row r="2248" spans="1:10" x14ac:dyDescent="0.35">
      <c r="A2248">
        <v>15358</v>
      </c>
      <c r="B2248" t="s">
        <v>30</v>
      </c>
      <c r="C2248" t="s">
        <v>566</v>
      </c>
      <c r="D2248" t="s">
        <v>571</v>
      </c>
      <c r="E2248" t="s">
        <v>103</v>
      </c>
      <c r="F2248" t="s">
        <v>411</v>
      </c>
      <c r="G2248" s="39">
        <v>45042</v>
      </c>
      <c r="J2248" t="s">
        <v>981</v>
      </c>
    </row>
    <row r="2249" spans="1:10" x14ac:dyDescent="0.35">
      <c r="A2249">
        <v>19189</v>
      </c>
      <c r="B2249" t="s">
        <v>30</v>
      </c>
      <c r="C2249" t="s">
        <v>566</v>
      </c>
      <c r="D2249" t="s">
        <v>571</v>
      </c>
      <c r="E2249" t="s">
        <v>425</v>
      </c>
      <c r="F2249" t="s">
        <v>244</v>
      </c>
      <c r="G2249" s="39">
        <v>46280</v>
      </c>
      <c r="J2249" t="s">
        <v>981</v>
      </c>
    </row>
    <row r="2250" spans="1:10" x14ac:dyDescent="0.35">
      <c r="A2250">
        <v>17781</v>
      </c>
      <c r="B2250" t="s">
        <v>30</v>
      </c>
      <c r="C2250" t="s">
        <v>566</v>
      </c>
      <c r="D2250" t="s">
        <v>571</v>
      </c>
      <c r="E2250" t="s">
        <v>103</v>
      </c>
      <c r="F2250" t="s">
        <v>244</v>
      </c>
      <c r="G2250" s="39">
        <v>45876</v>
      </c>
      <c r="J2250" t="s">
        <v>981</v>
      </c>
    </row>
    <row r="2251" spans="1:10" x14ac:dyDescent="0.35">
      <c r="A2251">
        <v>15453</v>
      </c>
      <c r="B2251" t="s">
        <v>30</v>
      </c>
      <c r="C2251" t="s">
        <v>566</v>
      </c>
      <c r="D2251" t="s">
        <v>571</v>
      </c>
      <c r="E2251" t="s">
        <v>103</v>
      </c>
      <c r="F2251" t="s">
        <v>244</v>
      </c>
      <c r="G2251" s="39">
        <v>45078</v>
      </c>
      <c r="J2251" t="s">
        <v>981</v>
      </c>
    </row>
    <row r="2252" spans="1:10" x14ac:dyDescent="0.35">
      <c r="A2252">
        <v>15484</v>
      </c>
      <c r="B2252" t="s">
        <v>30</v>
      </c>
      <c r="C2252" t="s">
        <v>566</v>
      </c>
      <c r="D2252" t="s">
        <v>571</v>
      </c>
      <c r="E2252" t="s">
        <v>103</v>
      </c>
      <c r="F2252" t="s">
        <v>244</v>
      </c>
      <c r="G2252" s="39">
        <v>45086</v>
      </c>
      <c r="J2252" t="s">
        <v>981</v>
      </c>
    </row>
    <row r="2253" spans="1:10" x14ac:dyDescent="0.35">
      <c r="A2253">
        <v>15558</v>
      </c>
      <c r="B2253" t="s">
        <v>30</v>
      </c>
      <c r="C2253" t="s">
        <v>566</v>
      </c>
      <c r="D2253" t="s">
        <v>571</v>
      </c>
      <c r="E2253" t="s">
        <v>103</v>
      </c>
      <c r="F2253" t="s">
        <v>244</v>
      </c>
      <c r="G2253" s="39">
        <v>45126</v>
      </c>
      <c r="J2253" t="s">
        <v>981</v>
      </c>
    </row>
    <row r="2254" spans="1:10" x14ac:dyDescent="0.35">
      <c r="A2254">
        <v>15559</v>
      </c>
      <c r="B2254" t="s">
        <v>30</v>
      </c>
      <c r="C2254" t="s">
        <v>566</v>
      </c>
      <c r="D2254" t="s">
        <v>571</v>
      </c>
      <c r="E2254" t="s">
        <v>103</v>
      </c>
      <c r="F2254" t="s">
        <v>244</v>
      </c>
      <c r="G2254" s="39">
        <v>45126</v>
      </c>
      <c r="J2254" t="s">
        <v>981</v>
      </c>
    </row>
    <row r="2255" spans="1:10" x14ac:dyDescent="0.35">
      <c r="A2255">
        <v>15763</v>
      </c>
      <c r="B2255" t="s">
        <v>30</v>
      </c>
      <c r="C2255" t="s">
        <v>566</v>
      </c>
      <c r="D2255" t="s">
        <v>571</v>
      </c>
      <c r="E2255" t="s">
        <v>103</v>
      </c>
      <c r="F2255" t="s">
        <v>244</v>
      </c>
      <c r="G2255" s="39">
        <v>45188</v>
      </c>
      <c r="J2255" t="s">
        <v>981</v>
      </c>
    </row>
    <row r="2256" spans="1:10" x14ac:dyDescent="0.35">
      <c r="A2256">
        <v>15928</v>
      </c>
      <c r="B2256" t="s">
        <v>30</v>
      </c>
      <c r="C2256" t="s">
        <v>566</v>
      </c>
      <c r="D2256" t="s">
        <v>571</v>
      </c>
      <c r="E2256" t="s">
        <v>103</v>
      </c>
      <c r="F2256" t="s">
        <v>244</v>
      </c>
      <c r="G2256" s="39">
        <v>45237</v>
      </c>
      <c r="J2256" t="s">
        <v>981</v>
      </c>
    </row>
    <row r="2257" spans="1:10" x14ac:dyDescent="0.35">
      <c r="A2257">
        <v>16127</v>
      </c>
      <c r="B2257" t="s">
        <v>30</v>
      </c>
      <c r="C2257" t="s">
        <v>566</v>
      </c>
      <c r="D2257" t="s">
        <v>571</v>
      </c>
      <c r="E2257" t="s">
        <v>103</v>
      </c>
      <c r="F2257" t="s">
        <v>244</v>
      </c>
      <c r="G2257" s="39">
        <v>45287</v>
      </c>
      <c r="J2257" t="s">
        <v>981</v>
      </c>
    </row>
    <row r="2258" spans="1:10" x14ac:dyDescent="0.35">
      <c r="A2258">
        <v>16395</v>
      </c>
      <c r="B2258" t="s">
        <v>30</v>
      </c>
      <c r="C2258" t="s">
        <v>566</v>
      </c>
      <c r="D2258" t="s">
        <v>571</v>
      </c>
      <c r="E2258" t="s">
        <v>103</v>
      </c>
      <c r="F2258" t="s">
        <v>244</v>
      </c>
      <c r="G2258" s="39">
        <v>45370</v>
      </c>
      <c r="J2258" t="s">
        <v>981</v>
      </c>
    </row>
    <row r="2259" spans="1:10" x14ac:dyDescent="0.35">
      <c r="A2259">
        <v>15716</v>
      </c>
      <c r="B2259" t="s">
        <v>30</v>
      </c>
      <c r="C2259" t="s">
        <v>566</v>
      </c>
      <c r="D2259" t="s">
        <v>571</v>
      </c>
      <c r="E2259" t="s">
        <v>103</v>
      </c>
      <c r="F2259" t="s">
        <v>244</v>
      </c>
      <c r="G2259" s="39">
        <v>45174</v>
      </c>
      <c r="J2259" t="s">
        <v>981</v>
      </c>
    </row>
    <row r="2260" spans="1:10" x14ac:dyDescent="0.35">
      <c r="A2260">
        <v>16464</v>
      </c>
      <c r="B2260" t="s">
        <v>30</v>
      </c>
      <c r="C2260" t="s">
        <v>566</v>
      </c>
      <c r="D2260" t="s">
        <v>571</v>
      </c>
      <c r="E2260" t="s">
        <v>103</v>
      </c>
      <c r="F2260" t="s">
        <v>244</v>
      </c>
      <c r="G2260" s="39">
        <v>45415</v>
      </c>
      <c r="J2260" t="s">
        <v>981</v>
      </c>
    </row>
    <row r="2261" spans="1:10" x14ac:dyDescent="0.35">
      <c r="A2261">
        <v>16535</v>
      </c>
      <c r="B2261" t="s">
        <v>30</v>
      </c>
      <c r="C2261" t="s">
        <v>566</v>
      </c>
      <c r="D2261" t="s">
        <v>571</v>
      </c>
      <c r="E2261" t="s">
        <v>103</v>
      </c>
      <c r="F2261" t="s">
        <v>244</v>
      </c>
      <c r="G2261" s="39">
        <v>45470</v>
      </c>
      <c r="J2261" t="s">
        <v>981</v>
      </c>
    </row>
    <row r="2262" spans="1:10" x14ac:dyDescent="0.35">
      <c r="A2262">
        <v>16465</v>
      </c>
      <c r="B2262" t="s">
        <v>30</v>
      </c>
      <c r="C2262" t="s">
        <v>566</v>
      </c>
      <c r="D2262" t="s">
        <v>571</v>
      </c>
      <c r="E2262" t="s">
        <v>103</v>
      </c>
      <c r="F2262" t="s">
        <v>244</v>
      </c>
      <c r="G2262" s="39">
        <v>45415</v>
      </c>
      <c r="J2262" t="s">
        <v>981</v>
      </c>
    </row>
    <row r="2263" spans="1:10" x14ac:dyDescent="0.35">
      <c r="A2263">
        <v>13681</v>
      </c>
      <c r="B2263" t="s">
        <v>30</v>
      </c>
      <c r="C2263" t="s">
        <v>566</v>
      </c>
      <c r="D2263" t="s">
        <v>571</v>
      </c>
      <c r="E2263" t="s">
        <v>103</v>
      </c>
      <c r="F2263" t="s">
        <v>244</v>
      </c>
      <c r="G2263" s="39">
        <v>44537</v>
      </c>
      <c r="J2263" t="s">
        <v>981</v>
      </c>
    </row>
    <row r="2264" spans="1:10" x14ac:dyDescent="0.35">
      <c r="A2264">
        <v>16646</v>
      </c>
      <c r="B2264" t="s">
        <v>30</v>
      </c>
      <c r="C2264" t="s">
        <v>566</v>
      </c>
      <c r="D2264" t="s">
        <v>571</v>
      </c>
      <c r="E2264" t="s">
        <v>106</v>
      </c>
      <c r="F2264" t="s">
        <v>244</v>
      </c>
      <c r="G2264" s="39">
        <v>45509</v>
      </c>
      <c r="J2264" t="s">
        <v>981</v>
      </c>
    </row>
    <row r="2265" spans="1:10" x14ac:dyDescent="0.35">
      <c r="A2265">
        <v>16608</v>
      </c>
      <c r="B2265" t="s">
        <v>30</v>
      </c>
      <c r="C2265" t="s">
        <v>566</v>
      </c>
      <c r="D2265" t="s">
        <v>571</v>
      </c>
      <c r="E2265" t="s">
        <v>103</v>
      </c>
      <c r="F2265" t="s">
        <v>244</v>
      </c>
      <c r="G2265" s="39">
        <v>45495</v>
      </c>
      <c r="J2265" t="s">
        <v>981</v>
      </c>
    </row>
    <row r="2266" spans="1:10" x14ac:dyDescent="0.35">
      <c r="A2266">
        <v>16609</v>
      </c>
      <c r="B2266" t="s">
        <v>30</v>
      </c>
      <c r="C2266" t="s">
        <v>566</v>
      </c>
      <c r="D2266" t="s">
        <v>571</v>
      </c>
      <c r="E2266" t="s">
        <v>103</v>
      </c>
      <c r="F2266" t="s">
        <v>244</v>
      </c>
      <c r="G2266" s="39">
        <v>45495</v>
      </c>
      <c r="J2266" t="s">
        <v>981</v>
      </c>
    </row>
    <row r="2267" spans="1:10" x14ac:dyDescent="0.35">
      <c r="A2267">
        <v>16803</v>
      </c>
      <c r="B2267" t="s">
        <v>30</v>
      </c>
      <c r="C2267" t="s">
        <v>566</v>
      </c>
      <c r="D2267" t="s">
        <v>571</v>
      </c>
      <c r="E2267" t="s">
        <v>103</v>
      </c>
      <c r="F2267" t="s">
        <v>244</v>
      </c>
      <c r="G2267" s="39">
        <v>45553</v>
      </c>
      <c r="J2267" t="s">
        <v>981</v>
      </c>
    </row>
    <row r="2268" spans="1:10" x14ac:dyDescent="0.35">
      <c r="A2268">
        <v>16659</v>
      </c>
      <c r="B2268" t="s">
        <v>30</v>
      </c>
      <c r="C2268" t="s">
        <v>566</v>
      </c>
      <c r="D2268" t="s">
        <v>571</v>
      </c>
      <c r="E2268" t="s">
        <v>103</v>
      </c>
      <c r="F2268" t="s">
        <v>244</v>
      </c>
      <c r="G2268" s="39">
        <v>45512</v>
      </c>
      <c r="J2268" t="s">
        <v>981</v>
      </c>
    </row>
    <row r="2269" spans="1:10" x14ac:dyDescent="0.35">
      <c r="A2269">
        <v>16851</v>
      </c>
      <c r="B2269" t="s">
        <v>30</v>
      </c>
      <c r="C2269" t="s">
        <v>566</v>
      </c>
      <c r="D2269" t="s">
        <v>571</v>
      </c>
      <c r="E2269" t="s">
        <v>103</v>
      </c>
      <c r="F2269" t="s">
        <v>244</v>
      </c>
      <c r="G2269" s="39">
        <v>45568</v>
      </c>
      <c r="J2269" t="s">
        <v>981</v>
      </c>
    </row>
    <row r="2270" spans="1:10" x14ac:dyDescent="0.35">
      <c r="A2270">
        <v>16936</v>
      </c>
      <c r="B2270" t="s">
        <v>569</v>
      </c>
      <c r="C2270" t="s">
        <v>566</v>
      </c>
      <c r="D2270" t="s">
        <v>571</v>
      </c>
      <c r="E2270" t="s">
        <v>103</v>
      </c>
      <c r="F2270" t="s">
        <v>244</v>
      </c>
      <c r="G2270" s="39">
        <v>45566</v>
      </c>
      <c r="J2270" t="s">
        <v>981</v>
      </c>
    </row>
    <row r="2271" spans="1:10" x14ac:dyDescent="0.35">
      <c r="A2271">
        <v>16846</v>
      </c>
      <c r="B2271" t="s">
        <v>30</v>
      </c>
      <c r="C2271" t="s">
        <v>566</v>
      </c>
      <c r="D2271" t="s">
        <v>571</v>
      </c>
      <c r="E2271" t="s">
        <v>103</v>
      </c>
      <c r="F2271" t="s">
        <v>244</v>
      </c>
      <c r="G2271" s="39">
        <v>45566</v>
      </c>
      <c r="J2271" t="s">
        <v>981</v>
      </c>
    </row>
    <row r="2272" spans="1:10" x14ac:dyDescent="0.35">
      <c r="A2272">
        <v>17296</v>
      </c>
      <c r="B2272" t="s">
        <v>30</v>
      </c>
      <c r="C2272" t="s">
        <v>566</v>
      </c>
      <c r="D2272" t="s">
        <v>571</v>
      </c>
      <c r="E2272" t="s">
        <v>103</v>
      </c>
      <c r="F2272" t="s">
        <v>244</v>
      </c>
      <c r="G2272" s="39">
        <v>45698</v>
      </c>
      <c r="J2272" t="s">
        <v>981</v>
      </c>
    </row>
    <row r="2273" spans="1:10" x14ac:dyDescent="0.35">
      <c r="A2273">
        <v>17334</v>
      </c>
      <c r="B2273" t="s">
        <v>30</v>
      </c>
      <c r="C2273" t="s">
        <v>566</v>
      </c>
      <c r="D2273" t="s">
        <v>571</v>
      </c>
      <c r="E2273" t="s">
        <v>103</v>
      </c>
      <c r="F2273" t="s">
        <v>244</v>
      </c>
      <c r="G2273" s="39">
        <v>45712</v>
      </c>
      <c r="J2273" t="s">
        <v>981</v>
      </c>
    </row>
    <row r="2274" spans="1:10" x14ac:dyDescent="0.35">
      <c r="A2274">
        <v>17335</v>
      </c>
      <c r="B2274" t="s">
        <v>30</v>
      </c>
      <c r="C2274" t="s">
        <v>566</v>
      </c>
      <c r="D2274" t="s">
        <v>571</v>
      </c>
      <c r="E2274" t="s">
        <v>106</v>
      </c>
      <c r="F2274" t="s">
        <v>244</v>
      </c>
      <c r="G2274" s="39">
        <v>45712</v>
      </c>
      <c r="J2274" t="s">
        <v>981</v>
      </c>
    </row>
    <row r="2275" spans="1:10" x14ac:dyDescent="0.35">
      <c r="A2275">
        <v>17475</v>
      </c>
      <c r="B2275" t="s">
        <v>30</v>
      </c>
      <c r="C2275" t="s">
        <v>566</v>
      </c>
      <c r="D2275" t="s">
        <v>571</v>
      </c>
      <c r="E2275" t="s">
        <v>106</v>
      </c>
      <c r="F2275" t="s">
        <v>411</v>
      </c>
      <c r="G2275" s="39">
        <v>45763</v>
      </c>
      <c r="J2275" t="s">
        <v>981</v>
      </c>
    </row>
    <row r="2276" spans="1:10" x14ac:dyDescent="0.35">
      <c r="A2276">
        <v>18638</v>
      </c>
      <c r="B2276" t="s">
        <v>30</v>
      </c>
      <c r="C2276" t="s">
        <v>566</v>
      </c>
      <c r="D2276" t="s">
        <v>571</v>
      </c>
      <c r="E2276" t="s">
        <v>425</v>
      </c>
      <c r="F2276" t="s">
        <v>244</v>
      </c>
      <c r="G2276" s="39">
        <v>46177</v>
      </c>
      <c r="J2276" t="s">
        <v>981</v>
      </c>
    </row>
    <row r="2277" spans="1:10" x14ac:dyDescent="0.35">
      <c r="A2277">
        <v>17550</v>
      </c>
      <c r="B2277" t="s">
        <v>30</v>
      </c>
      <c r="C2277" t="s">
        <v>566</v>
      </c>
      <c r="D2277" t="s">
        <v>571</v>
      </c>
      <c r="E2277" t="s">
        <v>103</v>
      </c>
      <c r="F2277" t="s">
        <v>244</v>
      </c>
      <c r="G2277" s="39">
        <v>45785</v>
      </c>
      <c r="J2277" t="s">
        <v>981</v>
      </c>
    </row>
    <row r="2278" spans="1:10" x14ac:dyDescent="0.35">
      <c r="A2278">
        <v>17549</v>
      </c>
      <c r="B2278" t="s">
        <v>30</v>
      </c>
      <c r="C2278" t="s">
        <v>566</v>
      </c>
      <c r="D2278" t="s">
        <v>571</v>
      </c>
      <c r="E2278" t="s">
        <v>103</v>
      </c>
      <c r="F2278" t="s">
        <v>244</v>
      </c>
      <c r="G2278" s="39">
        <v>45789</v>
      </c>
      <c r="J2278" t="s">
        <v>981</v>
      </c>
    </row>
    <row r="2279" spans="1:10" x14ac:dyDescent="0.35">
      <c r="A2279">
        <v>17572</v>
      </c>
      <c r="B2279" t="s">
        <v>30</v>
      </c>
      <c r="C2279" t="s">
        <v>566</v>
      </c>
      <c r="D2279" t="s">
        <v>571</v>
      </c>
      <c r="E2279" t="s">
        <v>103</v>
      </c>
      <c r="F2279" t="s">
        <v>244</v>
      </c>
      <c r="G2279" s="39">
        <v>45793</v>
      </c>
      <c r="J2279" t="s">
        <v>981</v>
      </c>
    </row>
    <row r="2280" spans="1:10" x14ac:dyDescent="0.35">
      <c r="A2280">
        <v>17623</v>
      </c>
      <c r="B2280" t="s">
        <v>30</v>
      </c>
      <c r="C2280" t="s">
        <v>566</v>
      </c>
      <c r="D2280" t="s">
        <v>571</v>
      </c>
      <c r="E2280" t="s">
        <v>103</v>
      </c>
      <c r="F2280" t="s">
        <v>244</v>
      </c>
      <c r="G2280" s="39">
        <v>45819</v>
      </c>
      <c r="J2280" t="s">
        <v>981</v>
      </c>
    </row>
    <row r="2281" spans="1:10" x14ac:dyDescent="0.35">
      <c r="A2281">
        <v>16945</v>
      </c>
      <c r="B2281" t="s">
        <v>569</v>
      </c>
      <c r="C2281" t="s">
        <v>566</v>
      </c>
      <c r="D2281" t="s">
        <v>571</v>
      </c>
      <c r="E2281" t="s">
        <v>106</v>
      </c>
      <c r="F2281" t="s">
        <v>244</v>
      </c>
      <c r="G2281" s="39">
        <v>45566</v>
      </c>
      <c r="J2281" t="s">
        <v>981</v>
      </c>
    </row>
    <row r="2282" spans="1:10" x14ac:dyDescent="0.35">
      <c r="A2282">
        <v>16839</v>
      </c>
      <c r="B2282" t="s">
        <v>569</v>
      </c>
      <c r="C2282" t="s">
        <v>566</v>
      </c>
      <c r="D2282" t="s">
        <v>571</v>
      </c>
      <c r="E2282" t="s">
        <v>106</v>
      </c>
      <c r="F2282" t="s">
        <v>244</v>
      </c>
      <c r="G2282" s="39">
        <v>45566</v>
      </c>
      <c r="J2282" t="s">
        <v>981</v>
      </c>
    </row>
    <row r="2283" spans="1:10" x14ac:dyDescent="0.35">
      <c r="A2283">
        <v>17635</v>
      </c>
      <c r="B2283" t="s">
        <v>30</v>
      </c>
      <c r="C2283" t="s">
        <v>566</v>
      </c>
      <c r="D2283" t="s">
        <v>571</v>
      </c>
      <c r="E2283" t="s">
        <v>106</v>
      </c>
      <c r="F2283" t="s">
        <v>244</v>
      </c>
      <c r="G2283" s="39">
        <v>45826</v>
      </c>
      <c r="J2283" t="s">
        <v>981</v>
      </c>
    </row>
    <row r="2284" spans="1:10" x14ac:dyDescent="0.35">
      <c r="A2284">
        <v>17754</v>
      </c>
      <c r="B2284" t="s">
        <v>30</v>
      </c>
      <c r="C2284" t="s">
        <v>566</v>
      </c>
      <c r="D2284" t="s">
        <v>571</v>
      </c>
      <c r="E2284" t="s">
        <v>106</v>
      </c>
      <c r="F2284" t="s">
        <v>244</v>
      </c>
      <c r="G2284" s="39">
        <v>45862</v>
      </c>
      <c r="J2284" t="s">
        <v>981</v>
      </c>
    </row>
    <row r="2285" spans="1:10" x14ac:dyDescent="0.35">
      <c r="A2285">
        <v>17925</v>
      </c>
      <c r="B2285" t="s">
        <v>30</v>
      </c>
      <c r="C2285" t="s">
        <v>566</v>
      </c>
      <c r="D2285" t="s">
        <v>571</v>
      </c>
      <c r="E2285" t="s">
        <v>106</v>
      </c>
      <c r="F2285" t="s">
        <v>244</v>
      </c>
      <c r="G2285" s="39">
        <v>45918</v>
      </c>
      <c r="J2285" t="s">
        <v>981</v>
      </c>
    </row>
    <row r="2286" spans="1:10" x14ac:dyDescent="0.35">
      <c r="A2286">
        <v>17992</v>
      </c>
      <c r="B2286" t="s">
        <v>569</v>
      </c>
      <c r="C2286" t="s">
        <v>566</v>
      </c>
      <c r="D2286" t="s">
        <v>571</v>
      </c>
      <c r="E2286" t="s">
        <v>106</v>
      </c>
      <c r="F2286" t="s">
        <v>244</v>
      </c>
      <c r="G2286" s="39">
        <v>45951</v>
      </c>
      <c r="J2286" t="s">
        <v>981</v>
      </c>
    </row>
    <row r="2287" spans="1:10" x14ac:dyDescent="0.35">
      <c r="A2287">
        <v>18001</v>
      </c>
      <c r="B2287" t="s">
        <v>30</v>
      </c>
      <c r="C2287" t="s">
        <v>566</v>
      </c>
      <c r="D2287" t="s">
        <v>571</v>
      </c>
      <c r="E2287" t="s">
        <v>106</v>
      </c>
      <c r="F2287" t="s">
        <v>244</v>
      </c>
      <c r="G2287" s="39">
        <v>45953</v>
      </c>
      <c r="J2287" t="s">
        <v>981</v>
      </c>
    </row>
    <row r="2288" spans="1:10" x14ac:dyDescent="0.35">
      <c r="A2288">
        <v>18018</v>
      </c>
      <c r="B2288" t="s">
        <v>30</v>
      </c>
      <c r="C2288" t="s">
        <v>566</v>
      </c>
      <c r="D2288" t="s">
        <v>571</v>
      </c>
      <c r="E2288" t="s">
        <v>106</v>
      </c>
      <c r="F2288" t="s">
        <v>244</v>
      </c>
      <c r="G2288" s="39">
        <v>45965</v>
      </c>
      <c r="J2288" t="s">
        <v>981</v>
      </c>
    </row>
    <row r="2289" spans="1:10" x14ac:dyDescent="0.35">
      <c r="A2289">
        <v>18019</v>
      </c>
      <c r="B2289" t="s">
        <v>30</v>
      </c>
      <c r="C2289" t="s">
        <v>566</v>
      </c>
      <c r="D2289" t="s">
        <v>571</v>
      </c>
      <c r="E2289" t="s">
        <v>106</v>
      </c>
      <c r="F2289" t="s">
        <v>244</v>
      </c>
      <c r="G2289" s="39">
        <v>45965</v>
      </c>
      <c r="J2289" t="s">
        <v>981</v>
      </c>
    </row>
    <row r="2290" spans="1:10" x14ac:dyDescent="0.35">
      <c r="A2290">
        <v>18842</v>
      </c>
      <c r="B2290" t="s">
        <v>30</v>
      </c>
      <c r="C2290" t="s">
        <v>566</v>
      </c>
      <c r="D2290" t="s">
        <v>571</v>
      </c>
      <c r="E2290" t="s">
        <v>106</v>
      </c>
      <c r="F2290" t="s">
        <v>244</v>
      </c>
      <c r="G2290" s="39">
        <v>46223</v>
      </c>
      <c r="J2290" t="s">
        <v>981</v>
      </c>
    </row>
    <row r="2291" spans="1:10" x14ac:dyDescent="0.35">
      <c r="A2291">
        <v>18045</v>
      </c>
      <c r="B2291" t="s">
        <v>30</v>
      </c>
      <c r="C2291" t="s">
        <v>566</v>
      </c>
      <c r="D2291" t="s">
        <v>571</v>
      </c>
      <c r="E2291" t="s">
        <v>106</v>
      </c>
      <c r="F2291" t="s">
        <v>244</v>
      </c>
      <c r="G2291" s="39">
        <v>45975</v>
      </c>
      <c r="J2291" t="s">
        <v>981</v>
      </c>
    </row>
    <row r="2292" spans="1:10" x14ac:dyDescent="0.35">
      <c r="A2292">
        <v>15619</v>
      </c>
      <c r="B2292" t="s">
        <v>30</v>
      </c>
      <c r="C2292" t="s">
        <v>566</v>
      </c>
      <c r="D2292" t="s">
        <v>571</v>
      </c>
      <c r="E2292" t="s">
        <v>520</v>
      </c>
      <c r="F2292" t="s">
        <v>244</v>
      </c>
      <c r="G2292" s="39">
        <v>45142</v>
      </c>
      <c r="J2292" t="s">
        <v>981</v>
      </c>
    </row>
    <row r="2293" spans="1:10" x14ac:dyDescent="0.35">
      <c r="A2293">
        <v>190013</v>
      </c>
      <c r="B2293" t="s">
        <v>36</v>
      </c>
      <c r="C2293" t="s">
        <v>92</v>
      </c>
      <c r="D2293" t="s">
        <v>568</v>
      </c>
      <c r="E2293" t="s">
        <v>151</v>
      </c>
      <c r="F2293" t="s">
        <v>244</v>
      </c>
      <c r="G2293" s="39">
        <v>38274</v>
      </c>
      <c r="J2293" t="s">
        <v>981</v>
      </c>
    </row>
    <row r="2294" spans="1:10" x14ac:dyDescent="0.35">
      <c r="A2294">
        <v>10795</v>
      </c>
      <c r="B2294" t="s">
        <v>36</v>
      </c>
      <c r="C2294" t="s">
        <v>92</v>
      </c>
      <c r="D2294" t="s">
        <v>568</v>
      </c>
      <c r="E2294" t="s">
        <v>109</v>
      </c>
      <c r="F2294" t="s">
        <v>244</v>
      </c>
      <c r="G2294" s="39">
        <v>41900</v>
      </c>
      <c r="J2294" t="s">
        <v>981</v>
      </c>
    </row>
    <row r="2295" spans="1:10" x14ac:dyDescent="0.35">
      <c r="A2295">
        <v>11573</v>
      </c>
      <c r="B2295" t="s">
        <v>36</v>
      </c>
      <c r="C2295" t="s">
        <v>92</v>
      </c>
      <c r="D2295" t="s">
        <v>568</v>
      </c>
      <c r="E2295" t="s">
        <v>109</v>
      </c>
      <c r="F2295" t="s">
        <v>244</v>
      </c>
      <c r="G2295" s="39">
        <v>42866</v>
      </c>
      <c r="J2295" t="s">
        <v>981</v>
      </c>
    </row>
    <row r="2296" spans="1:10" x14ac:dyDescent="0.35">
      <c r="A2296">
        <v>12588</v>
      </c>
      <c r="B2296" t="s">
        <v>36</v>
      </c>
      <c r="C2296" t="s">
        <v>92</v>
      </c>
      <c r="D2296" t="s">
        <v>568</v>
      </c>
      <c r="E2296" t="s">
        <v>109</v>
      </c>
      <c r="F2296" t="s">
        <v>244</v>
      </c>
      <c r="G2296" s="39">
        <v>43818</v>
      </c>
      <c r="J2296" t="s">
        <v>981</v>
      </c>
    </row>
    <row r="2297" spans="1:10" x14ac:dyDescent="0.35">
      <c r="A2297">
        <v>12265</v>
      </c>
      <c r="B2297" t="s">
        <v>36</v>
      </c>
      <c r="C2297" t="s">
        <v>92</v>
      </c>
      <c r="D2297" t="s">
        <v>568</v>
      </c>
      <c r="E2297" t="s">
        <v>109</v>
      </c>
      <c r="F2297" t="s">
        <v>244</v>
      </c>
      <c r="G2297" s="39">
        <v>43654</v>
      </c>
      <c r="J2297" t="s">
        <v>981</v>
      </c>
    </row>
    <row r="2298" spans="1:10" x14ac:dyDescent="0.35">
      <c r="A2298">
        <v>15315</v>
      </c>
      <c r="B2298" t="s">
        <v>36</v>
      </c>
      <c r="C2298" t="s">
        <v>92</v>
      </c>
      <c r="D2298" t="s">
        <v>568</v>
      </c>
      <c r="E2298" t="s">
        <v>103</v>
      </c>
      <c r="F2298" t="s">
        <v>244</v>
      </c>
      <c r="G2298" s="39">
        <v>45026</v>
      </c>
      <c r="J2298" t="s">
        <v>981</v>
      </c>
    </row>
    <row r="2299" spans="1:10" x14ac:dyDescent="0.35">
      <c r="A2299">
        <v>15867</v>
      </c>
      <c r="B2299" t="s">
        <v>36</v>
      </c>
      <c r="C2299" t="s">
        <v>92</v>
      </c>
      <c r="D2299" t="s">
        <v>568</v>
      </c>
      <c r="E2299" t="s">
        <v>103</v>
      </c>
      <c r="F2299" t="s">
        <v>244</v>
      </c>
      <c r="G2299" s="39">
        <v>45222</v>
      </c>
      <c r="J2299" t="s">
        <v>981</v>
      </c>
    </row>
    <row r="2300" spans="1:10" x14ac:dyDescent="0.35">
      <c r="A2300">
        <v>16162</v>
      </c>
      <c r="B2300" t="s">
        <v>36</v>
      </c>
      <c r="C2300" t="s">
        <v>92</v>
      </c>
      <c r="D2300" t="s">
        <v>568</v>
      </c>
      <c r="E2300" t="s">
        <v>103</v>
      </c>
      <c r="F2300" t="s">
        <v>244</v>
      </c>
      <c r="G2300" s="39">
        <v>45309</v>
      </c>
      <c r="J2300" t="s">
        <v>981</v>
      </c>
    </row>
    <row r="2301" spans="1:10" x14ac:dyDescent="0.35">
      <c r="A2301">
        <v>16923</v>
      </c>
      <c r="B2301" t="s">
        <v>569</v>
      </c>
      <c r="C2301" t="s">
        <v>566</v>
      </c>
      <c r="D2301" t="s">
        <v>570</v>
      </c>
      <c r="E2301" t="s">
        <v>103</v>
      </c>
      <c r="F2301" t="s">
        <v>244</v>
      </c>
      <c r="G2301" s="39">
        <v>45566</v>
      </c>
      <c r="J2301" t="s">
        <v>981</v>
      </c>
    </row>
    <row r="2302" spans="1:10" x14ac:dyDescent="0.35">
      <c r="A2302">
        <v>16925</v>
      </c>
      <c r="B2302" t="s">
        <v>569</v>
      </c>
      <c r="C2302" t="s">
        <v>566</v>
      </c>
      <c r="D2302" t="s">
        <v>570</v>
      </c>
      <c r="E2302" t="s">
        <v>103</v>
      </c>
      <c r="F2302" t="s">
        <v>244</v>
      </c>
      <c r="G2302" s="39">
        <v>45566</v>
      </c>
      <c r="J2302" t="s">
        <v>981</v>
      </c>
    </row>
    <row r="2303" spans="1:10" x14ac:dyDescent="0.35">
      <c r="A2303">
        <v>16927</v>
      </c>
      <c r="B2303" t="s">
        <v>569</v>
      </c>
      <c r="C2303" t="s">
        <v>566</v>
      </c>
      <c r="D2303" t="s">
        <v>570</v>
      </c>
      <c r="E2303" t="s">
        <v>103</v>
      </c>
      <c r="F2303" t="s">
        <v>244</v>
      </c>
      <c r="G2303" s="39">
        <v>45566</v>
      </c>
      <c r="J2303" t="s">
        <v>981</v>
      </c>
    </row>
    <row r="2304" spans="1:10" x14ac:dyDescent="0.35">
      <c r="A2304">
        <v>16930</v>
      </c>
      <c r="B2304" t="s">
        <v>30</v>
      </c>
      <c r="C2304" t="s">
        <v>566</v>
      </c>
      <c r="D2304" t="s">
        <v>571</v>
      </c>
      <c r="E2304" t="s">
        <v>106</v>
      </c>
      <c r="F2304" t="s">
        <v>411</v>
      </c>
      <c r="G2304" s="39">
        <v>45566</v>
      </c>
      <c r="J2304" t="s">
        <v>981</v>
      </c>
    </row>
    <row r="2305" spans="1:10" x14ac:dyDescent="0.35">
      <c r="A2305">
        <v>16939</v>
      </c>
      <c r="B2305" t="s">
        <v>569</v>
      </c>
      <c r="C2305" t="s">
        <v>566</v>
      </c>
      <c r="D2305" t="s">
        <v>571</v>
      </c>
      <c r="E2305" t="s">
        <v>425</v>
      </c>
      <c r="F2305" t="s">
        <v>244</v>
      </c>
      <c r="G2305" s="39">
        <v>45566</v>
      </c>
      <c r="J2305" t="s">
        <v>981</v>
      </c>
    </row>
    <row r="2306" spans="1:10" x14ac:dyDescent="0.35">
      <c r="A2306">
        <v>16931</v>
      </c>
      <c r="B2306" t="s">
        <v>569</v>
      </c>
      <c r="C2306" t="s">
        <v>566</v>
      </c>
      <c r="D2306" t="s">
        <v>570</v>
      </c>
      <c r="E2306" t="s">
        <v>103</v>
      </c>
      <c r="F2306" t="s">
        <v>244</v>
      </c>
      <c r="G2306" s="39">
        <v>45566</v>
      </c>
      <c r="J2306" t="s">
        <v>981</v>
      </c>
    </row>
    <row r="2307" spans="1:10" x14ac:dyDescent="0.35">
      <c r="A2307">
        <v>16938</v>
      </c>
      <c r="B2307" t="s">
        <v>569</v>
      </c>
      <c r="C2307" t="s">
        <v>566</v>
      </c>
      <c r="D2307" t="s">
        <v>570</v>
      </c>
      <c r="E2307" t="s">
        <v>106</v>
      </c>
      <c r="F2307" t="s">
        <v>244</v>
      </c>
      <c r="G2307" s="39">
        <v>45566</v>
      </c>
      <c r="J2307" t="s">
        <v>981</v>
      </c>
    </row>
    <row r="2308" spans="1:10" x14ac:dyDescent="0.35">
      <c r="A2308">
        <v>16940</v>
      </c>
      <c r="B2308" t="s">
        <v>569</v>
      </c>
      <c r="C2308" t="s">
        <v>566</v>
      </c>
      <c r="D2308" t="s">
        <v>570</v>
      </c>
      <c r="E2308" t="s">
        <v>106</v>
      </c>
      <c r="F2308" t="s">
        <v>244</v>
      </c>
      <c r="G2308" s="39">
        <v>45566</v>
      </c>
      <c r="J2308" t="s">
        <v>981</v>
      </c>
    </row>
    <row r="2309" spans="1:10" x14ac:dyDescent="0.35">
      <c r="A2309">
        <v>16941</v>
      </c>
      <c r="B2309" t="s">
        <v>569</v>
      </c>
      <c r="C2309" t="s">
        <v>566</v>
      </c>
      <c r="D2309" t="s">
        <v>570</v>
      </c>
      <c r="E2309" t="s">
        <v>106</v>
      </c>
      <c r="F2309" t="s">
        <v>244</v>
      </c>
      <c r="G2309" s="39">
        <v>45566</v>
      </c>
      <c r="J2309" t="s">
        <v>981</v>
      </c>
    </row>
    <row r="2310" spans="1:10" x14ac:dyDescent="0.35">
      <c r="A2310">
        <v>16942</v>
      </c>
      <c r="B2310" t="s">
        <v>569</v>
      </c>
      <c r="C2310" t="s">
        <v>566</v>
      </c>
      <c r="D2310" t="s">
        <v>570</v>
      </c>
      <c r="E2310" t="s">
        <v>103</v>
      </c>
      <c r="F2310" t="s">
        <v>244</v>
      </c>
      <c r="G2310" s="39">
        <v>45566</v>
      </c>
      <c r="J2310" t="s">
        <v>981</v>
      </c>
    </row>
    <row r="2311" spans="1:10" x14ac:dyDescent="0.35">
      <c r="A2311">
        <v>16827</v>
      </c>
      <c r="B2311" t="s">
        <v>569</v>
      </c>
      <c r="C2311" t="s">
        <v>566</v>
      </c>
      <c r="D2311" t="s">
        <v>570</v>
      </c>
      <c r="E2311" t="s">
        <v>106</v>
      </c>
      <c r="F2311" t="s">
        <v>244</v>
      </c>
      <c r="G2311" s="39">
        <v>45573</v>
      </c>
      <c r="J2311" t="s">
        <v>981</v>
      </c>
    </row>
    <row r="2312" spans="1:10" x14ac:dyDescent="0.35">
      <c r="A2312">
        <v>12998</v>
      </c>
      <c r="B2312" t="s">
        <v>46</v>
      </c>
      <c r="C2312" t="s">
        <v>92</v>
      </c>
      <c r="D2312" t="s">
        <v>92</v>
      </c>
      <c r="E2312" t="s">
        <v>100</v>
      </c>
      <c r="F2312" t="s">
        <v>244</v>
      </c>
      <c r="G2312" s="39">
        <v>44176</v>
      </c>
      <c r="J2312" t="s">
        <v>981</v>
      </c>
    </row>
    <row r="2313" spans="1:10" x14ac:dyDescent="0.35">
      <c r="A2313">
        <v>190043</v>
      </c>
      <c r="B2313" t="s">
        <v>30</v>
      </c>
      <c r="C2313" t="s">
        <v>545</v>
      </c>
      <c r="D2313" t="s">
        <v>92</v>
      </c>
      <c r="E2313" t="s">
        <v>99</v>
      </c>
      <c r="F2313" t="s">
        <v>244</v>
      </c>
      <c r="G2313" s="39">
        <v>43313</v>
      </c>
      <c r="J2313" t="s">
        <v>981</v>
      </c>
    </row>
    <row r="2314" spans="1:10" x14ac:dyDescent="0.35">
      <c r="A2314">
        <v>300137</v>
      </c>
      <c r="B2314" t="s">
        <v>30</v>
      </c>
      <c r="C2314" t="s">
        <v>545</v>
      </c>
      <c r="D2314" t="s">
        <v>574</v>
      </c>
      <c r="E2314" t="s">
        <v>109</v>
      </c>
      <c r="F2314" t="s">
        <v>244</v>
      </c>
      <c r="G2314" s="39">
        <v>43325</v>
      </c>
      <c r="J2314" t="s">
        <v>981</v>
      </c>
    </row>
    <row r="2315" spans="1:10" x14ac:dyDescent="0.35">
      <c r="A2315">
        <v>130041</v>
      </c>
      <c r="B2315" t="s">
        <v>30</v>
      </c>
      <c r="C2315" t="s">
        <v>545</v>
      </c>
      <c r="D2315" t="s">
        <v>574</v>
      </c>
      <c r="E2315" t="s">
        <v>109</v>
      </c>
      <c r="F2315" t="s">
        <v>244</v>
      </c>
      <c r="G2315" s="39">
        <v>42572</v>
      </c>
      <c r="J2315" t="s">
        <v>981</v>
      </c>
    </row>
    <row r="2316" spans="1:10" x14ac:dyDescent="0.35">
      <c r="A2316">
        <v>660024</v>
      </c>
      <c r="B2316" t="s">
        <v>30</v>
      </c>
      <c r="C2316" t="s">
        <v>545</v>
      </c>
      <c r="D2316" t="s">
        <v>574</v>
      </c>
      <c r="E2316" t="s">
        <v>109</v>
      </c>
      <c r="F2316" t="s">
        <v>244</v>
      </c>
      <c r="G2316" s="39">
        <v>42020</v>
      </c>
      <c r="J2316" t="s">
        <v>981</v>
      </c>
    </row>
    <row r="2317" spans="1:10" x14ac:dyDescent="0.35">
      <c r="A2317">
        <v>660031</v>
      </c>
      <c r="B2317" t="s">
        <v>30</v>
      </c>
      <c r="C2317" t="s">
        <v>545</v>
      </c>
      <c r="D2317" t="s">
        <v>574</v>
      </c>
      <c r="E2317" t="s">
        <v>109</v>
      </c>
      <c r="F2317" t="s">
        <v>244</v>
      </c>
      <c r="G2317" s="39">
        <v>42809</v>
      </c>
      <c r="J2317" t="s">
        <v>981</v>
      </c>
    </row>
    <row r="2318" spans="1:10" x14ac:dyDescent="0.35">
      <c r="A2318">
        <v>800040</v>
      </c>
      <c r="B2318" t="s">
        <v>30</v>
      </c>
      <c r="C2318" t="s">
        <v>545</v>
      </c>
      <c r="D2318" t="s">
        <v>574</v>
      </c>
      <c r="E2318" t="s">
        <v>109</v>
      </c>
      <c r="F2318" t="s">
        <v>244</v>
      </c>
      <c r="G2318" s="39">
        <v>43265</v>
      </c>
      <c r="J2318" t="s">
        <v>981</v>
      </c>
    </row>
    <row r="2319" spans="1:10" x14ac:dyDescent="0.35">
      <c r="A2319">
        <v>300112</v>
      </c>
      <c r="B2319" t="s">
        <v>30</v>
      </c>
      <c r="C2319" t="s">
        <v>545</v>
      </c>
      <c r="D2319" t="s">
        <v>574</v>
      </c>
      <c r="E2319" t="s">
        <v>109</v>
      </c>
      <c r="F2319" t="s">
        <v>244</v>
      </c>
      <c r="G2319" s="39">
        <v>43076</v>
      </c>
      <c r="J2319" t="s">
        <v>981</v>
      </c>
    </row>
    <row r="2320" spans="1:10" x14ac:dyDescent="0.35">
      <c r="A2320">
        <v>13180</v>
      </c>
      <c r="B2320" t="s">
        <v>30</v>
      </c>
      <c r="C2320" t="s">
        <v>545</v>
      </c>
      <c r="D2320" t="s">
        <v>574</v>
      </c>
      <c r="E2320" t="s">
        <v>102</v>
      </c>
      <c r="F2320" t="s">
        <v>244</v>
      </c>
      <c r="G2320" s="39">
        <v>44308</v>
      </c>
      <c r="J2320" t="s">
        <v>981</v>
      </c>
    </row>
    <row r="2321" spans="1:10" x14ac:dyDescent="0.35">
      <c r="A2321">
        <v>730046</v>
      </c>
      <c r="B2321" t="s">
        <v>30</v>
      </c>
      <c r="C2321" t="s">
        <v>545</v>
      </c>
      <c r="D2321" t="s">
        <v>574</v>
      </c>
      <c r="E2321" t="s">
        <v>103</v>
      </c>
      <c r="F2321" t="s">
        <v>244</v>
      </c>
      <c r="G2321" s="39">
        <v>44202</v>
      </c>
      <c r="J2321" t="s">
        <v>981</v>
      </c>
    </row>
    <row r="2322" spans="1:10" x14ac:dyDescent="0.35">
      <c r="A2322">
        <v>20038</v>
      </c>
      <c r="B2322" t="s">
        <v>30</v>
      </c>
      <c r="C2322" t="s">
        <v>545</v>
      </c>
      <c r="D2322" t="s">
        <v>575</v>
      </c>
      <c r="E2322" t="s">
        <v>151</v>
      </c>
      <c r="F2322" t="s">
        <v>244</v>
      </c>
      <c r="G2322" s="39">
        <v>42898</v>
      </c>
      <c r="J2322" t="s">
        <v>981</v>
      </c>
    </row>
    <row r="2323" spans="1:10" x14ac:dyDescent="0.35">
      <c r="A2323">
        <v>170033</v>
      </c>
      <c r="B2323" t="s">
        <v>30</v>
      </c>
      <c r="C2323" t="s">
        <v>545</v>
      </c>
      <c r="D2323" t="s">
        <v>575</v>
      </c>
      <c r="E2323" t="s">
        <v>109</v>
      </c>
      <c r="F2323" t="s">
        <v>245</v>
      </c>
      <c r="G2323" s="39">
        <v>42846</v>
      </c>
      <c r="J2323" t="s">
        <v>981</v>
      </c>
    </row>
    <row r="2324" spans="1:10" x14ac:dyDescent="0.35">
      <c r="A2324">
        <v>15742</v>
      </c>
      <c r="B2324" t="s">
        <v>30</v>
      </c>
      <c r="C2324" t="s">
        <v>545</v>
      </c>
      <c r="D2324" t="s">
        <v>575</v>
      </c>
      <c r="E2324" t="s">
        <v>424</v>
      </c>
      <c r="F2324" t="s">
        <v>244</v>
      </c>
      <c r="G2324" s="39">
        <v>45182</v>
      </c>
      <c r="J2324" t="s">
        <v>981</v>
      </c>
    </row>
    <row r="2325" spans="1:10" x14ac:dyDescent="0.35">
      <c r="A2325">
        <v>15355</v>
      </c>
      <c r="B2325" t="s">
        <v>30</v>
      </c>
      <c r="C2325" t="s">
        <v>545</v>
      </c>
      <c r="D2325" t="s">
        <v>575</v>
      </c>
      <c r="E2325" t="s">
        <v>102</v>
      </c>
      <c r="F2325" t="s">
        <v>244</v>
      </c>
      <c r="G2325" s="39">
        <v>45042</v>
      </c>
      <c r="J2325" t="s">
        <v>981</v>
      </c>
    </row>
    <row r="2326" spans="1:10" x14ac:dyDescent="0.35">
      <c r="A2326">
        <v>13171</v>
      </c>
      <c r="B2326" t="s">
        <v>30</v>
      </c>
      <c r="C2326" t="s">
        <v>545</v>
      </c>
      <c r="D2326" t="s">
        <v>576</v>
      </c>
      <c r="E2326" t="s">
        <v>151</v>
      </c>
      <c r="F2326" t="s">
        <v>244</v>
      </c>
      <c r="G2326" s="39">
        <v>44305</v>
      </c>
      <c r="J2326" t="s">
        <v>981</v>
      </c>
    </row>
    <row r="2327" spans="1:10" x14ac:dyDescent="0.35">
      <c r="A2327">
        <v>12830</v>
      </c>
      <c r="B2327" t="s">
        <v>30</v>
      </c>
      <c r="C2327" t="s">
        <v>545</v>
      </c>
      <c r="D2327" t="s">
        <v>576</v>
      </c>
      <c r="E2327" t="s">
        <v>109</v>
      </c>
      <c r="F2327" t="s">
        <v>244</v>
      </c>
      <c r="G2327" s="39">
        <v>43994</v>
      </c>
      <c r="J2327" t="s">
        <v>981</v>
      </c>
    </row>
    <row r="2328" spans="1:10" x14ac:dyDescent="0.35">
      <c r="A2328">
        <v>600052</v>
      </c>
      <c r="B2328" t="s">
        <v>30</v>
      </c>
      <c r="C2328" t="s">
        <v>545</v>
      </c>
      <c r="D2328" t="s">
        <v>576</v>
      </c>
      <c r="E2328" t="s">
        <v>109</v>
      </c>
      <c r="F2328" t="s">
        <v>244</v>
      </c>
      <c r="G2328" s="39">
        <v>44459</v>
      </c>
      <c r="J2328" t="s">
        <v>981</v>
      </c>
    </row>
    <row r="2329" spans="1:10" x14ac:dyDescent="0.35">
      <c r="A2329">
        <v>130058</v>
      </c>
      <c r="B2329" t="s">
        <v>30</v>
      </c>
      <c r="C2329" t="s">
        <v>545</v>
      </c>
      <c r="D2329" t="s">
        <v>576</v>
      </c>
      <c r="E2329" t="s">
        <v>109</v>
      </c>
      <c r="F2329" t="s">
        <v>244</v>
      </c>
      <c r="G2329" s="39">
        <v>44461</v>
      </c>
      <c r="J2329" t="s">
        <v>981</v>
      </c>
    </row>
    <row r="2330" spans="1:10" x14ac:dyDescent="0.35">
      <c r="A2330">
        <v>600053</v>
      </c>
      <c r="B2330" t="s">
        <v>30</v>
      </c>
      <c r="C2330" t="s">
        <v>545</v>
      </c>
      <c r="D2330" t="s">
        <v>576</v>
      </c>
      <c r="E2330" t="s">
        <v>109</v>
      </c>
      <c r="F2330" t="s">
        <v>244</v>
      </c>
      <c r="G2330" s="39">
        <v>44459</v>
      </c>
      <c r="J2330" t="s">
        <v>981</v>
      </c>
    </row>
    <row r="2331" spans="1:10" x14ac:dyDescent="0.35">
      <c r="A2331">
        <v>280034</v>
      </c>
      <c r="B2331" t="s">
        <v>30</v>
      </c>
      <c r="C2331" t="s">
        <v>545</v>
      </c>
      <c r="D2331" t="s">
        <v>576</v>
      </c>
      <c r="E2331" t="s">
        <v>102</v>
      </c>
      <c r="F2331" t="s">
        <v>244</v>
      </c>
      <c r="G2331" s="39">
        <v>44357</v>
      </c>
      <c r="J2331" t="s">
        <v>981</v>
      </c>
    </row>
    <row r="2332" spans="1:10" x14ac:dyDescent="0.35">
      <c r="A2332">
        <v>17327</v>
      </c>
      <c r="B2332" t="s">
        <v>21</v>
      </c>
      <c r="C2332" t="s">
        <v>92</v>
      </c>
      <c r="D2332" t="s">
        <v>92</v>
      </c>
      <c r="E2332" t="s">
        <v>157</v>
      </c>
      <c r="F2332" t="s">
        <v>244</v>
      </c>
      <c r="G2332" s="39">
        <v>45705</v>
      </c>
      <c r="J2332" t="s">
        <v>982</v>
      </c>
    </row>
    <row r="2333" spans="1:10" x14ac:dyDescent="0.35">
      <c r="A2333">
        <v>14162</v>
      </c>
      <c r="B2333" t="s">
        <v>1</v>
      </c>
      <c r="C2333" t="s">
        <v>579</v>
      </c>
      <c r="D2333" t="s">
        <v>92</v>
      </c>
      <c r="E2333" t="s">
        <v>98</v>
      </c>
      <c r="F2333" t="s">
        <v>244</v>
      </c>
      <c r="G2333" s="39">
        <v>44678</v>
      </c>
      <c r="J2333" t="s">
        <v>982</v>
      </c>
    </row>
    <row r="2334" spans="1:10" x14ac:dyDescent="0.35">
      <c r="A2334">
        <v>16523</v>
      </c>
      <c r="B2334" t="s">
        <v>21</v>
      </c>
      <c r="C2334" t="s">
        <v>580</v>
      </c>
      <c r="D2334" t="s">
        <v>92</v>
      </c>
      <c r="E2334" t="s">
        <v>578</v>
      </c>
      <c r="F2334" t="s">
        <v>244</v>
      </c>
      <c r="G2334" s="39">
        <v>45453</v>
      </c>
      <c r="J2334" t="s">
        <v>982</v>
      </c>
    </row>
    <row r="2335" spans="1:10" x14ac:dyDescent="0.35">
      <c r="A2335">
        <v>19082</v>
      </c>
      <c r="B2335" t="s">
        <v>21</v>
      </c>
      <c r="C2335" t="s">
        <v>282</v>
      </c>
      <c r="D2335" t="s">
        <v>92</v>
      </c>
      <c r="E2335" t="s">
        <v>98</v>
      </c>
      <c r="F2335" t="s">
        <v>244</v>
      </c>
      <c r="G2335" s="39">
        <v>46261</v>
      </c>
      <c r="H2335" t="s">
        <v>249</v>
      </c>
      <c r="J2335" t="s">
        <v>982</v>
      </c>
    </row>
    <row r="2336" spans="1:10" x14ac:dyDescent="0.35">
      <c r="A2336">
        <v>17918</v>
      </c>
      <c r="B2336" t="s">
        <v>21</v>
      </c>
      <c r="C2336" t="s">
        <v>581</v>
      </c>
      <c r="D2336" t="s">
        <v>92</v>
      </c>
      <c r="E2336" t="s">
        <v>98</v>
      </c>
      <c r="F2336" t="s">
        <v>244</v>
      </c>
      <c r="G2336" s="39">
        <v>45916</v>
      </c>
      <c r="J2336" t="s">
        <v>982</v>
      </c>
    </row>
    <row r="2337" spans="1:10" x14ac:dyDescent="0.35">
      <c r="A2337">
        <v>19144</v>
      </c>
      <c r="B2337" t="s">
        <v>21</v>
      </c>
      <c r="C2337" t="s">
        <v>582</v>
      </c>
      <c r="D2337" t="s">
        <v>92</v>
      </c>
      <c r="E2337" t="s">
        <v>98</v>
      </c>
      <c r="F2337" t="s">
        <v>244</v>
      </c>
      <c r="G2337" s="39">
        <v>46275</v>
      </c>
      <c r="J2337" t="s">
        <v>982</v>
      </c>
    </row>
    <row r="2338" spans="1:10" x14ac:dyDescent="0.35">
      <c r="A2338">
        <v>13236</v>
      </c>
      <c r="B2338" t="s">
        <v>55</v>
      </c>
      <c r="C2338" t="s">
        <v>92</v>
      </c>
      <c r="D2338" t="s">
        <v>92</v>
      </c>
      <c r="E2338" t="s">
        <v>583</v>
      </c>
      <c r="F2338" t="s">
        <v>244</v>
      </c>
      <c r="G2338" s="39">
        <v>44333</v>
      </c>
      <c r="J2338" t="s">
        <v>982</v>
      </c>
    </row>
    <row r="2339" spans="1:10" x14ac:dyDescent="0.35">
      <c r="A2339">
        <v>11918</v>
      </c>
      <c r="B2339" t="s">
        <v>82</v>
      </c>
      <c r="C2339" t="s">
        <v>92</v>
      </c>
      <c r="D2339" t="s">
        <v>92</v>
      </c>
      <c r="E2339" t="s">
        <v>186</v>
      </c>
      <c r="F2339" t="s">
        <v>244</v>
      </c>
      <c r="G2339" s="39">
        <v>43283</v>
      </c>
      <c r="J2339" t="s">
        <v>982</v>
      </c>
    </row>
    <row r="2340" spans="1:10" x14ac:dyDescent="0.35">
      <c r="A2340">
        <v>18733</v>
      </c>
      <c r="B2340" t="s">
        <v>82</v>
      </c>
      <c r="C2340" t="s">
        <v>187</v>
      </c>
      <c r="D2340" t="s">
        <v>92</v>
      </c>
      <c r="E2340" t="s">
        <v>188</v>
      </c>
      <c r="F2340" t="s">
        <v>244</v>
      </c>
      <c r="G2340" s="39">
        <v>46195</v>
      </c>
      <c r="H2340" t="s">
        <v>249</v>
      </c>
      <c r="J2340" t="s">
        <v>982</v>
      </c>
    </row>
    <row r="2341" spans="1:10" x14ac:dyDescent="0.35">
      <c r="A2341">
        <v>16513</v>
      </c>
      <c r="B2341" t="s">
        <v>55</v>
      </c>
      <c r="C2341" t="s">
        <v>189</v>
      </c>
      <c r="D2341" t="s">
        <v>92</v>
      </c>
      <c r="E2341" t="s">
        <v>146</v>
      </c>
      <c r="F2341" t="s">
        <v>244</v>
      </c>
      <c r="G2341" s="39">
        <v>45454</v>
      </c>
      <c r="J2341" t="s">
        <v>982</v>
      </c>
    </row>
    <row r="2342" spans="1:10" x14ac:dyDescent="0.35">
      <c r="A2342">
        <v>240036</v>
      </c>
      <c r="B2342" t="s">
        <v>55</v>
      </c>
      <c r="C2342" t="s">
        <v>189</v>
      </c>
      <c r="D2342" t="s">
        <v>92</v>
      </c>
      <c r="E2342" t="s">
        <v>96</v>
      </c>
      <c r="F2342" t="s">
        <v>244</v>
      </c>
      <c r="G2342" s="39">
        <v>42577</v>
      </c>
      <c r="J2342" t="s">
        <v>982</v>
      </c>
    </row>
    <row r="2343" spans="1:10" x14ac:dyDescent="0.35">
      <c r="A2343">
        <v>18040</v>
      </c>
      <c r="B2343" t="s">
        <v>55</v>
      </c>
      <c r="C2343" t="s">
        <v>189</v>
      </c>
      <c r="D2343" t="s">
        <v>92</v>
      </c>
      <c r="E2343" t="s">
        <v>146</v>
      </c>
      <c r="F2343" t="s">
        <v>244</v>
      </c>
      <c r="G2343" s="39">
        <v>45973</v>
      </c>
      <c r="J2343" t="s">
        <v>982</v>
      </c>
    </row>
    <row r="2344" spans="1:10" x14ac:dyDescent="0.35">
      <c r="A2344">
        <v>12786</v>
      </c>
      <c r="B2344" t="s">
        <v>55</v>
      </c>
      <c r="C2344" t="s">
        <v>189</v>
      </c>
      <c r="D2344" t="s">
        <v>92</v>
      </c>
      <c r="E2344" t="s">
        <v>146</v>
      </c>
      <c r="F2344" t="s">
        <v>244</v>
      </c>
      <c r="G2344" s="39">
        <v>43931</v>
      </c>
      <c r="J2344" t="s">
        <v>982</v>
      </c>
    </row>
    <row r="2345" spans="1:10" x14ac:dyDescent="0.35">
      <c r="A2345">
        <v>19069</v>
      </c>
      <c r="B2345" t="s">
        <v>55</v>
      </c>
      <c r="C2345" t="s">
        <v>189</v>
      </c>
      <c r="D2345" t="s">
        <v>92</v>
      </c>
      <c r="E2345" t="s">
        <v>146</v>
      </c>
      <c r="F2345" t="s">
        <v>244</v>
      </c>
      <c r="G2345" s="39">
        <v>46266</v>
      </c>
      <c r="J2345" t="s">
        <v>982</v>
      </c>
    </row>
    <row r="2346" spans="1:10" x14ac:dyDescent="0.35">
      <c r="A2346">
        <v>15332</v>
      </c>
      <c r="B2346" t="s">
        <v>55</v>
      </c>
      <c r="C2346" t="s">
        <v>189</v>
      </c>
      <c r="D2346" t="s">
        <v>92</v>
      </c>
      <c r="E2346" t="s">
        <v>146</v>
      </c>
      <c r="F2346" t="s">
        <v>244</v>
      </c>
      <c r="G2346" s="39">
        <v>45026</v>
      </c>
      <c r="J2346" t="s">
        <v>982</v>
      </c>
    </row>
    <row r="2347" spans="1:10" x14ac:dyDescent="0.35">
      <c r="A2347">
        <v>16216</v>
      </c>
      <c r="B2347" t="s">
        <v>55</v>
      </c>
      <c r="C2347" t="s">
        <v>189</v>
      </c>
      <c r="D2347" t="s">
        <v>92</v>
      </c>
      <c r="E2347" t="s">
        <v>146</v>
      </c>
      <c r="F2347" t="s">
        <v>244</v>
      </c>
      <c r="G2347" s="39">
        <v>45324</v>
      </c>
      <c r="J2347" t="s">
        <v>982</v>
      </c>
    </row>
    <row r="2348" spans="1:10" x14ac:dyDescent="0.35">
      <c r="A2348">
        <v>210037</v>
      </c>
      <c r="B2348" t="s">
        <v>55</v>
      </c>
      <c r="C2348" t="s">
        <v>189</v>
      </c>
      <c r="D2348" t="s">
        <v>92</v>
      </c>
      <c r="E2348" t="s">
        <v>146</v>
      </c>
      <c r="F2348" t="s">
        <v>244</v>
      </c>
      <c r="G2348" s="39">
        <v>43742</v>
      </c>
      <c r="J2348" t="s">
        <v>982</v>
      </c>
    </row>
    <row r="2349" spans="1:10" x14ac:dyDescent="0.35">
      <c r="A2349">
        <v>19180</v>
      </c>
      <c r="B2349" t="s">
        <v>55</v>
      </c>
      <c r="C2349" t="s">
        <v>189</v>
      </c>
      <c r="D2349" t="s">
        <v>92</v>
      </c>
      <c r="E2349" t="s">
        <v>146</v>
      </c>
      <c r="F2349" t="s">
        <v>244</v>
      </c>
      <c r="G2349" s="39">
        <v>46279</v>
      </c>
      <c r="J2349" t="s">
        <v>982</v>
      </c>
    </row>
    <row r="2350" spans="1:10" x14ac:dyDescent="0.35">
      <c r="A2350">
        <v>18499</v>
      </c>
      <c r="B2350" t="s">
        <v>55</v>
      </c>
      <c r="C2350" t="s">
        <v>189</v>
      </c>
      <c r="D2350" t="s">
        <v>92</v>
      </c>
      <c r="E2350" t="s">
        <v>146</v>
      </c>
      <c r="F2350" t="s">
        <v>244</v>
      </c>
      <c r="G2350" s="39">
        <v>46146</v>
      </c>
      <c r="J2350" t="s">
        <v>982</v>
      </c>
    </row>
    <row r="2351" spans="1:10" x14ac:dyDescent="0.35">
      <c r="A2351">
        <v>18749</v>
      </c>
      <c r="B2351" t="s">
        <v>55</v>
      </c>
      <c r="C2351" t="s">
        <v>189</v>
      </c>
      <c r="D2351" t="s">
        <v>92</v>
      </c>
      <c r="E2351" t="s">
        <v>146</v>
      </c>
      <c r="F2351" t="s">
        <v>244</v>
      </c>
      <c r="G2351" s="39">
        <v>46204</v>
      </c>
      <c r="J2351" t="s">
        <v>982</v>
      </c>
    </row>
    <row r="2352" spans="1:10" x14ac:dyDescent="0.35">
      <c r="A2352">
        <v>18903</v>
      </c>
      <c r="B2352" t="s">
        <v>55</v>
      </c>
      <c r="C2352" t="s">
        <v>189</v>
      </c>
      <c r="D2352" t="s">
        <v>92</v>
      </c>
      <c r="E2352" t="s">
        <v>146</v>
      </c>
      <c r="F2352" t="s">
        <v>244</v>
      </c>
      <c r="G2352" s="39">
        <v>46238</v>
      </c>
      <c r="J2352" t="s">
        <v>982</v>
      </c>
    </row>
    <row r="2353" spans="1:10" x14ac:dyDescent="0.35">
      <c r="A2353">
        <v>18800</v>
      </c>
      <c r="B2353" t="s">
        <v>55</v>
      </c>
      <c r="C2353" t="s">
        <v>189</v>
      </c>
      <c r="D2353" t="s">
        <v>92</v>
      </c>
      <c r="E2353" t="s">
        <v>146</v>
      </c>
      <c r="F2353" t="s">
        <v>244</v>
      </c>
      <c r="G2353" s="39">
        <v>46217</v>
      </c>
      <c r="J2353" t="s">
        <v>982</v>
      </c>
    </row>
    <row r="2354" spans="1:10" x14ac:dyDescent="0.35">
      <c r="A2354">
        <v>18858</v>
      </c>
      <c r="B2354" t="s">
        <v>55</v>
      </c>
      <c r="C2354" t="s">
        <v>189</v>
      </c>
      <c r="D2354" t="s">
        <v>92</v>
      </c>
      <c r="E2354" t="s">
        <v>146</v>
      </c>
      <c r="F2354" t="s">
        <v>244</v>
      </c>
      <c r="G2354" s="39">
        <v>46225</v>
      </c>
      <c r="J2354" t="s">
        <v>982</v>
      </c>
    </row>
    <row r="2355" spans="1:10" x14ac:dyDescent="0.35">
      <c r="A2355">
        <v>18780</v>
      </c>
      <c r="B2355" t="s">
        <v>82</v>
      </c>
      <c r="C2355" t="s">
        <v>187</v>
      </c>
      <c r="D2355" t="s">
        <v>92</v>
      </c>
      <c r="E2355" t="s">
        <v>188</v>
      </c>
      <c r="F2355" t="s">
        <v>244</v>
      </c>
      <c r="G2355" s="39">
        <v>46205</v>
      </c>
      <c r="H2355" t="s">
        <v>249</v>
      </c>
      <c r="J2355" t="s">
        <v>982</v>
      </c>
    </row>
    <row r="2356" spans="1:10" x14ac:dyDescent="0.35">
      <c r="A2356">
        <v>18781</v>
      </c>
      <c r="B2356" t="s">
        <v>82</v>
      </c>
      <c r="C2356" t="s">
        <v>187</v>
      </c>
      <c r="D2356" t="s">
        <v>92</v>
      </c>
      <c r="E2356" t="s">
        <v>190</v>
      </c>
      <c r="F2356" t="s">
        <v>244</v>
      </c>
      <c r="G2356" s="39">
        <v>46205</v>
      </c>
      <c r="H2356" t="s">
        <v>249</v>
      </c>
      <c r="J2356" t="s">
        <v>982</v>
      </c>
    </row>
    <row r="2357" spans="1:10" x14ac:dyDescent="0.35">
      <c r="A2357">
        <v>11259</v>
      </c>
      <c r="B2357" t="s">
        <v>55</v>
      </c>
      <c r="C2357" t="s">
        <v>189</v>
      </c>
      <c r="D2357" t="s">
        <v>92</v>
      </c>
      <c r="E2357" t="s">
        <v>146</v>
      </c>
      <c r="F2357" t="s">
        <v>244</v>
      </c>
      <c r="G2357" s="39">
        <v>42471</v>
      </c>
      <c r="J2357" t="s">
        <v>982</v>
      </c>
    </row>
    <row r="2358" spans="1:10" x14ac:dyDescent="0.35">
      <c r="A2358">
        <v>17860</v>
      </c>
      <c r="B2358" t="s">
        <v>55</v>
      </c>
      <c r="C2358" t="s">
        <v>189</v>
      </c>
      <c r="D2358" t="s">
        <v>92</v>
      </c>
      <c r="E2358" t="s">
        <v>146</v>
      </c>
      <c r="F2358" t="s">
        <v>244</v>
      </c>
      <c r="G2358" s="39">
        <v>45894</v>
      </c>
      <c r="J2358" t="s">
        <v>982</v>
      </c>
    </row>
    <row r="2359" spans="1:10" x14ac:dyDescent="0.35">
      <c r="A2359">
        <v>18342</v>
      </c>
      <c r="B2359" t="s">
        <v>55</v>
      </c>
      <c r="C2359" t="s">
        <v>189</v>
      </c>
      <c r="D2359" t="s">
        <v>92</v>
      </c>
      <c r="E2359" t="s">
        <v>146</v>
      </c>
      <c r="F2359" t="s">
        <v>244</v>
      </c>
      <c r="G2359" s="39">
        <v>46097</v>
      </c>
      <c r="J2359" t="s">
        <v>982</v>
      </c>
    </row>
    <row r="2360" spans="1:10" x14ac:dyDescent="0.35">
      <c r="A2360">
        <v>18245</v>
      </c>
      <c r="B2360" t="s">
        <v>55</v>
      </c>
      <c r="C2360" t="s">
        <v>189</v>
      </c>
      <c r="D2360" t="s">
        <v>92</v>
      </c>
      <c r="E2360" t="s">
        <v>146</v>
      </c>
      <c r="F2360" t="s">
        <v>244</v>
      </c>
      <c r="G2360" s="39">
        <v>46064</v>
      </c>
      <c r="H2360" t="s">
        <v>248</v>
      </c>
      <c r="J2360" t="s">
        <v>982</v>
      </c>
    </row>
    <row r="2361" spans="1:10" x14ac:dyDescent="0.35">
      <c r="A2361">
        <v>17801</v>
      </c>
      <c r="B2361" t="s">
        <v>82</v>
      </c>
      <c r="C2361" t="s">
        <v>187</v>
      </c>
      <c r="D2361" t="s">
        <v>92</v>
      </c>
      <c r="E2361" t="s">
        <v>146</v>
      </c>
      <c r="F2361" t="s">
        <v>244</v>
      </c>
      <c r="G2361" s="39">
        <v>45890</v>
      </c>
      <c r="J2361" t="s">
        <v>982</v>
      </c>
    </row>
    <row r="2362" spans="1:10" x14ac:dyDescent="0.35">
      <c r="A2362">
        <v>18043</v>
      </c>
      <c r="B2362" t="s">
        <v>83</v>
      </c>
      <c r="C2362" t="s">
        <v>587</v>
      </c>
      <c r="D2362" t="s">
        <v>92</v>
      </c>
      <c r="E2362" t="s">
        <v>146</v>
      </c>
      <c r="F2362" t="s">
        <v>244</v>
      </c>
      <c r="G2362" s="39">
        <v>45978</v>
      </c>
      <c r="J2362" t="s">
        <v>982</v>
      </c>
    </row>
    <row r="2363" spans="1:10" x14ac:dyDescent="0.35">
      <c r="A2363">
        <v>16417</v>
      </c>
      <c r="B2363" t="s">
        <v>58</v>
      </c>
      <c r="C2363" t="s">
        <v>140</v>
      </c>
      <c r="D2363" t="s">
        <v>92</v>
      </c>
      <c r="E2363" t="s">
        <v>146</v>
      </c>
      <c r="F2363" t="s">
        <v>244</v>
      </c>
      <c r="G2363" s="39">
        <v>45384</v>
      </c>
      <c r="J2363" t="s">
        <v>982</v>
      </c>
    </row>
    <row r="2364" spans="1:10" x14ac:dyDescent="0.35">
      <c r="A2364">
        <v>16916</v>
      </c>
      <c r="B2364" t="s">
        <v>82</v>
      </c>
      <c r="C2364" t="s">
        <v>187</v>
      </c>
      <c r="D2364" t="s">
        <v>92</v>
      </c>
      <c r="E2364" t="s">
        <v>146</v>
      </c>
      <c r="F2364" t="s">
        <v>244</v>
      </c>
      <c r="G2364" s="39">
        <v>45566</v>
      </c>
      <c r="J2364" t="s">
        <v>982</v>
      </c>
    </row>
    <row r="2365" spans="1:10" x14ac:dyDescent="0.35">
      <c r="A2365">
        <v>15796</v>
      </c>
      <c r="B2365" t="s">
        <v>589</v>
      </c>
      <c r="C2365" t="s">
        <v>590</v>
      </c>
      <c r="D2365" t="s">
        <v>92</v>
      </c>
      <c r="E2365" t="s">
        <v>96</v>
      </c>
      <c r="F2365" t="s">
        <v>244</v>
      </c>
      <c r="G2365" s="39">
        <v>45212</v>
      </c>
      <c r="J2365" t="s">
        <v>982</v>
      </c>
    </row>
    <row r="2366" spans="1:10" x14ac:dyDescent="0.35">
      <c r="A2366">
        <v>14584</v>
      </c>
      <c r="B2366" t="s">
        <v>589</v>
      </c>
      <c r="C2366" t="s">
        <v>590</v>
      </c>
      <c r="D2366" t="s">
        <v>92</v>
      </c>
      <c r="E2366" t="s">
        <v>146</v>
      </c>
      <c r="F2366" t="s">
        <v>244</v>
      </c>
      <c r="G2366" s="39">
        <v>44791</v>
      </c>
      <c r="J2366" t="s">
        <v>982</v>
      </c>
    </row>
    <row r="2367" spans="1:10" x14ac:dyDescent="0.35">
      <c r="A2367">
        <v>18117</v>
      </c>
      <c r="B2367" t="s">
        <v>589</v>
      </c>
      <c r="C2367" t="s">
        <v>590</v>
      </c>
      <c r="D2367" t="s">
        <v>92</v>
      </c>
      <c r="E2367" t="s">
        <v>146</v>
      </c>
      <c r="F2367" t="s">
        <v>244</v>
      </c>
      <c r="G2367" s="39">
        <v>46000</v>
      </c>
      <c r="J2367" t="s">
        <v>982</v>
      </c>
    </row>
    <row r="2368" spans="1:10" x14ac:dyDescent="0.35">
      <c r="A2368">
        <v>15112</v>
      </c>
      <c r="B2368" t="s">
        <v>82</v>
      </c>
      <c r="C2368" t="s">
        <v>187</v>
      </c>
      <c r="D2368" t="s">
        <v>92</v>
      </c>
      <c r="E2368" t="s">
        <v>146</v>
      </c>
      <c r="F2368" t="s">
        <v>244</v>
      </c>
      <c r="G2368" s="39">
        <v>44951</v>
      </c>
      <c r="J2368" t="s">
        <v>982</v>
      </c>
    </row>
    <row r="2369" spans="1:10" x14ac:dyDescent="0.35">
      <c r="A2369">
        <v>18824</v>
      </c>
      <c r="B2369" t="s">
        <v>82</v>
      </c>
      <c r="C2369" t="s">
        <v>187</v>
      </c>
      <c r="D2369" t="s">
        <v>92</v>
      </c>
      <c r="E2369" t="s">
        <v>146</v>
      </c>
      <c r="F2369" t="s">
        <v>244</v>
      </c>
      <c r="G2369" s="39">
        <v>46216</v>
      </c>
      <c r="H2369" t="s">
        <v>249</v>
      </c>
      <c r="J2369" t="s">
        <v>982</v>
      </c>
    </row>
    <row r="2370" spans="1:10" x14ac:dyDescent="0.35">
      <c r="A2370">
        <v>18825</v>
      </c>
      <c r="B2370" t="s">
        <v>82</v>
      </c>
      <c r="C2370" t="s">
        <v>187</v>
      </c>
      <c r="D2370" t="s">
        <v>92</v>
      </c>
      <c r="E2370" t="s">
        <v>146</v>
      </c>
      <c r="F2370" t="s">
        <v>244</v>
      </c>
      <c r="G2370" s="39">
        <v>46216</v>
      </c>
      <c r="H2370" t="s">
        <v>249</v>
      </c>
      <c r="J2370" t="s">
        <v>982</v>
      </c>
    </row>
    <row r="2371" spans="1:10" x14ac:dyDescent="0.35">
      <c r="A2371">
        <v>18834</v>
      </c>
      <c r="B2371" t="s">
        <v>82</v>
      </c>
      <c r="C2371" t="s">
        <v>187</v>
      </c>
      <c r="D2371" t="s">
        <v>92</v>
      </c>
      <c r="E2371" t="s">
        <v>146</v>
      </c>
      <c r="F2371" t="s">
        <v>244</v>
      </c>
      <c r="G2371" s="39">
        <v>46217</v>
      </c>
      <c r="H2371" t="s">
        <v>249</v>
      </c>
      <c r="J2371" t="s">
        <v>982</v>
      </c>
    </row>
    <row r="2372" spans="1:10" x14ac:dyDescent="0.35">
      <c r="A2372">
        <v>18847</v>
      </c>
      <c r="B2372" t="s">
        <v>82</v>
      </c>
      <c r="C2372" t="s">
        <v>187</v>
      </c>
      <c r="D2372" t="s">
        <v>92</v>
      </c>
      <c r="E2372" t="s">
        <v>146</v>
      </c>
      <c r="F2372" t="s">
        <v>244</v>
      </c>
      <c r="G2372" s="39">
        <v>46224</v>
      </c>
      <c r="J2372" t="s">
        <v>982</v>
      </c>
    </row>
    <row r="2373" spans="1:10" x14ac:dyDescent="0.35">
      <c r="A2373">
        <v>14079</v>
      </c>
      <c r="B2373" t="s">
        <v>82</v>
      </c>
      <c r="C2373" t="s">
        <v>187</v>
      </c>
      <c r="D2373" t="s">
        <v>92</v>
      </c>
      <c r="E2373" t="s">
        <v>146</v>
      </c>
      <c r="F2373" t="s">
        <v>244</v>
      </c>
      <c r="G2373" s="39">
        <v>44655</v>
      </c>
      <c r="J2373" t="s">
        <v>982</v>
      </c>
    </row>
    <row r="2374" spans="1:10" x14ac:dyDescent="0.35">
      <c r="A2374">
        <v>18583</v>
      </c>
      <c r="B2374" t="s">
        <v>82</v>
      </c>
      <c r="C2374" t="s">
        <v>92</v>
      </c>
      <c r="D2374" t="s">
        <v>92</v>
      </c>
      <c r="E2374" t="s">
        <v>146</v>
      </c>
      <c r="F2374" t="s">
        <v>244</v>
      </c>
      <c r="G2374" s="39">
        <v>46161</v>
      </c>
      <c r="J2374" t="s">
        <v>982</v>
      </c>
    </row>
    <row r="2375" spans="1:10" x14ac:dyDescent="0.35">
      <c r="A2375">
        <v>18585</v>
      </c>
      <c r="B2375" t="s">
        <v>82</v>
      </c>
      <c r="C2375" t="s">
        <v>187</v>
      </c>
      <c r="D2375" t="s">
        <v>92</v>
      </c>
      <c r="E2375" t="s">
        <v>146</v>
      </c>
      <c r="F2375" t="s">
        <v>244</v>
      </c>
      <c r="G2375" s="39">
        <v>46161</v>
      </c>
      <c r="J2375" t="s">
        <v>982</v>
      </c>
    </row>
    <row r="2376" spans="1:10" x14ac:dyDescent="0.35">
      <c r="A2376">
        <v>13244</v>
      </c>
      <c r="B2376" t="s">
        <v>82</v>
      </c>
      <c r="C2376" t="s">
        <v>187</v>
      </c>
      <c r="D2376" t="s">
        <v>92</v>
      </c>
      <c r="E2376" t="s">
        <v>146</v>
      </c>
      <c r="F2376" t="s">
        <v>244</v>
      </c>
      <c r="G2376" s="39">
        <v>44335</v>
      </c>
      <c r="J2376" t="s">
        <v>982</v>
      </c>
    </row>
    <row r="2377" spans="1:10" x14ac:dyDescent="0.35">
      <c r="A2377">
        <v>18662</v>
      </c>
      <c r="B2377" t="s">
        <v>82</v>
      </c>
      <c r="C2377" t="s">
        <v>187</v>
      </c>
      <c r="D2377" t="s">
        <v>92</v>
      </c>
      <c r="E2377" t="s">
        <v>146</v>
      </c>
      <c r="F2377" t="s">
        <v>244</v>
      </c>
      <c r="G2377" s="39">
        <v>46189</v>
      </c>
      <c r="H2377" t="s">
        <v>249</v>
      </c>
      <c r="J2377" t="s">
        <v>982</v>
      </c>
    </row>
    <row r="2378" spans="1:10" x14ac:dyDescent="0.35">
      <c r="A2378">
        <v>18906</v>
      </c>
      <c r="B2378" t="s">
        <v>82</v>
      </c>
      <c r="C2378" t="s">
        <v>187</v>
      </c>
      <c r="D2378" t="s">
        <v>92</v>
      </c>
      <c r="E2378" t="s">
        <v>146</v>
      </c>
      <c r="F2378" t="s">
        <v>244</v>
      </c>
      <c r="G2378" s="39">
        <v>46239</v>
      </c>
      <c r="J2378" t="s">
        <v>982</v>
      </c>
    </row>
    <row r="2379" spans="1:10" x14ac:dyDescent="0.35">
      <c r="A2379">
        <v>18661</v>
      </c>
      <c r="B2379" t="s">
        <v>82</v>
      </c>
      <c r="C2379" t="s">
        <v>187</v>
      </c>
      <c r="D2379" t="s">
        <v>92</v>
      </c>
      <c r="E2379" t="s">
        <v>146</v>
      </c>
      <c r="F2379" t="s">
        <v>244</v>
      </c>
      <c r="G2379" s="39">
        <v>46189</v>
      </c>
      <c r="H2379" t="s">
        <v>249</v>
      </c>
      <c r="J2379" t="s">
        <v>982</v>
      </c>
    </row>
    <row r="2380" spans="1:10" x14ac:dyDescent="0.35">
      <c r="A2380">
        <v>18663</v>
      </c>
      <c r="B2380" t="s">
        <v>82</v>
      </c>
      <c r="C2380" t="s">
        <v>187</v>
      </c>
      <c r="D2380" t="s">
        <v>92</v>
      </c>
      <c r="E2380" t="s">
        <v>146</v>
      </c>
      <c r="F2380" t="s">
        <v>244</v>
      </c>
      <c r="G2380" s="39">
        <v>46189</v>
      </c>
      <c r="H2380" t="s">
        <v>249</v>
      </c>
      <c r="J2380" t="s">
        <v>982</v>
      </c>
    </row>
    <row r="2381" spans="1:10" x14ac:dyDescent="0.35">
      <c r="A2381">
        <v>18700</v>
      </c>
      <c r="B2381" t="s">
        <v>82</v>
      </c>
      <c r="C2381" t="s">
        <v>187</v>
      </c>
      <c r="D2381" t="s">
        <v>92</v>
      </c>
      <c r="E2381" t="s">
        <v>146</v>
      </c>
      <c r="F2381" t="s">
        <v>244</v>
      </c>
      <c r="G2381" s="39">
        <v>46192</v>
      </c>
      <c r="J2381" t="s">
        <v>982</v>
      </c>
    </row>
    <row r="2382" spans="1:10" x14ac:dyDescent="0.35">
      <c r="A2382">
        <v>18664</v>
      </c>
      <c r="B2382" t="s">
        <v>82</v>
      </c>
      <c r="C2382" t="s">
        <v>187</v>
      </c>
      <c r="D2382" t="s">
        <v>92</v>
      </c>
      <c r="E2382" t="s">
        <v>146</v>
      </c>
      <c r="F2382" t="s">
        <v>244</v>
      </c>
      <c r="G2382" s="39">
        <v>46189</v>
      </c>
      <c r="H2382" t="s">
        <v>249</v>
      </c>
      <c r="J2382" t="s">
        <v>982</v>
      </c>
    </row>
    <row r="2383" spans="1:10" x14ac:dyDescent="0.35">
      <c r="A2383">
        <v>18645</v>
      </c>
      <c r="B2383" t="s">
        <v>82</v>
      </c>
      <c r="C2383" t="s">
        <v>187</v>
      </c>
      <c r="D2383" t="s">
        <v>92</v>
      </c>
      <c r="E2383" t="s">
        <v>146</v>
      </c>
      <c r="F2383" t="s">
        <v>244</v>
      </c>
      <c r="G2383" s="39">
        <v>46181</v>
      </c>
      <c r="J2383" t="s">
        <v>982</v>
      </c>
    </row>
    <row r="2384" spans="1:10" x14ac:dyDescent="0.35">
      <c r="A2384">
        <v>18659</v>
      </c>
      <c r="B2384" t="s">
        <v>82</v>
      </c>
      <c r="C2384" t="s">
        <v>187</v>
      </c>
      <c r="D2384" t="s">
        <v>92</v>
      </c>
      <c r="E2384" t="s">
        <v>146</v>
      </c>
      <c r="F2384" t="s">
        <v>244</v>
      </c>
      <c r="G2384" s="39">
        <v>46196</v>
      </c>
      <c r="J2384" t="s">
        <v>982</v>
      </c>
    </row>
    <row r="2385" spans="1:10" x14ac:dyDescent="0.35">
      <c r="A2385">
        <v>12330</v>
      </c>
      <c r="B2385" t="s">
        <v>82</v>
      </c>
      <c r="C2385" t="s">
        <v>187</v>
      </c>
      <c r="D2385" t="s">
        <v>92</v>
      </c>
      <c r="E2385" t="s">
        <v>146</v>
      </c>
      <c r="F2385" t="s">
        <v>244</v>
      </c>
      <c r="G2385" s="39">
        <v>43685</v>
      </c>
      <c r="J2385" t="s">
        <v>982</v>
      </c>
    </row>
    <row r="2386" spans="1:10" x14ac:dyDescent="0.35">
      <c r="A2386">
        <v>17539</v>
      </c>
      <c r="B2386" t="s">
        <v>55</v>
      </c>
      <c r="C2386" t="s">
        <v>189</v>
      </c>
      <c r="D2386" t="s">
        <v>92</v>
      </c>
      <c r="E2386" t="s">
        <v>146</v>
      </c>
      <c r="F2386" t="s">
        <v>244</v>
      </c>
      <c r="G2386" s="39">
        <v>45784</v>
      </c>
      <c r="J2386" t="s">
        <v>982</v>
      </c>
    </row>
    <row r="2387" spans="1:10" x14ac:dyDescent="0.35">
      <c r="A2387">
        <v>16794</v>
      </c>
      <c r="B2387" t="s">
        <v>44</v>
      </c>
      <c r="C2387" t="s">
        <v>596</v>
      </c>
      <c r="D2387" t="s">
        <v>92</v>
      </c>
      <c r="E2387" t="s">
        <v>597</v>
      </c>
      <c r="F2387" t="s">
        <v>244</v>
      </c>
      <c r="G2387" s="39">
        <v>45551</v>
      </c>
      <c r="J2387" t="s">
        <v>982</v>
      </c>
    </row>
    <row r="2388" spans="1:10" x14ac:dyDescent="0.35">
      <c r="A2388">
        <v>12870</v>
      </c>
      <c r="B2388" t="s">
        <v>55</v>
      </c>
      <c r="C2388" t="s">
        <v>189</v>
      </c>
      <c r="D2388" t="s">
        <v>92</v>
      </c>
      <c r="E2388" t="s">
        <v>146</v>
      </c>
      <c r="F2388" t="s">
        <v>244</v>
      </c>
      <c r="G2388" s="39">
        <v>44068</v>
      </c>
      <c r="J2388" t="s">
        <v>982</v>
      </c>
    </row>
    <row r="2389" spans="1:10" x14ac:dyDescent="0.35">
      <c r="A2389">
        <v>16030</v>
      </c>
      <c r="B2389" t="s">
        <v>83</v>
      </c>
      <c r="C2389" t="s">
        <v>587</v>
      </c>
      <c r="D2389" t="s">
        <v>92</v>
      </c>
      <c r="E2389" t="s">
        <v>146</v>
      </c>
      <c r="F2389" t="s">
        <v>411</v>
      </c>
      <c r="G2389" s="39">
        <v>45266</v>
      </c>
      <c r="J2389" t="s">
        <v>982</v>
      </c>
    </row>
    <row r="2390" spans="1:10" x14ac:dyDescent="0.35">
      <c r="A2390">
        <v>18271</v>
      </c>
      <c r="B2390" t="s">
        <v>83</v>
      </c>
      <c r="C2390" t="s">
        <v>587</v>
      </c>
      <c r="D2390" t="s">
        <v>92</v>
      </c>
      <c r="E2390" t="s">
        <v>595</v>
      </c>
      <c r="F2390" t="s">
        <v>244</v>
      </c>
      <c r="G2390" s="39">
        <v>46076</v>
      </c>
      <c r="J2390" t="s">
        <v>982</v>
      </c>
    </row>
    <row r="2391" spans="1:10" x14ac:dyDescent="0.35">
      <c r="A2391">
        <v>18274</v>
      </c>
      <c r="B2391" t="s">
        <v>83</v>
      </c>
      <c r="C2391" t="s">
        <v>587</v>
      </c>
      <c r="D2391" t="s">
        <v>92</v>
      </c>
      <c r="E2391" t="s">
        <v>146</v>
      </c>
      <c r="F2391" t="s">
        <v>244</v>
      </c>
      <c r="G2391" s="39">
        <v>46076</v>
      </c>
      <c r="J2391" t="s">
        <v>982</v>
      </c>
    </row>
    <row r="2392" spans="1:10" x14ac:dyDescent="0.35">
      <c r="A2392">
        <v>19023</v>
      </c>
      <c r="B2392" t="s">
        <v>83</v>
      </c>
      <c r="C2392" t="s">
        <v>92</v>
      </c>
      <c r="D2392" t="s">
        <v>92</v>
      </c>
      <c r="E2392" t="s">
        <v>583</v>
      </c>
      <c r="F2392" t="s">
        <v>244</v>
      </c>
      <c r="G2392" s="39">
        <v>46258</v>
      </c>
      <c r="J2392" t="s">
        <v>982</v>
      </c>
    </row>
    <row r="2393" spans="1:10" x14ac:dyDescent="0.35">
      <c r="A2393">
        <v>18462</v>
      </c>
      <c r="B2393" t="s">
        <v>82</v>
      </c>
      <c r="C2393" t="s">
        <v>187</v>
      </c>
      <c r="D2393" t="s">
        <v>92</v>
      </c>
      <c r="E2393" t="s">
        <v>146</v>
      </c>
      <c r="F2393" t="s">
        <v>244</v>
      </c>
      <c r="G2393" s="39">
        <v>46132</v>
      </c>
      <c r="J2393" t="s">
        <v>982</v>
      </c>
    </row>
    <row r="2394" spans="1:10" x14ac:dyDescent="0.35">
      <c r="A2394">
        <v>17240</v>
      </c>
      <c r="B2394" t="s">
        <v>55</v>
      </c>
      <c r="C2394" t="s">
        <v>189</v>
      </c>
      <c r="D2394" t="s">
        <v>92</v>
      </c>
      <c r="E2394" t="s">
        <v>146</v>
      </c>
      <c r="F2394" t="s">
        <v>244</v>
      </c>
      <c r="G2394" s="39">
        <v>45679</v>
      </c>
      <c r="J2394" t="s">
        <v>982</v>
      </c>
    </row>
    <row r="2395" spans="1:10" x14ac:dyDescent="0.35">
      <c r="A2395">
        <v>17198</v>
      </c>
      <c r="B2395" t="s">
        <v>82</v>
      </c>
      <c r="C2395" t="s">
        <v>187</v>
      </c>
      <c r="D2395" t="s">
        <v>92</v>
      </c>
      <c r="E2395" t="s">
        <v>146</v>
      </c>
      <c r="F2395" t="s">
        <v>244</v>
      </c>
      <c r="G2395" s="39">
        <v>45664</v>
      </c>
      <c r="J2395" t="s">
        <v>982</v>
      </c>
    </row>
    <row r="2396" spans="1:10" x14ac:dyDescent="0.35">
      <c r="A2396">
        <v>17244</v>
      </c>
      <c r="B2396" t="s">
        <v>82</v>
      </c>
      <c r="C2396" t="s">
        <v>187</v>
      </c>
      <c r="D2396" t="s">
        <v>92</v>
      </c>
      <c r="E2396" t="s">
        <v>146</v>
      </c>
      <c r="F2396" t="s">
        <v>244</v>
      </c>
      <c r="G2396" s="39">
        <v>45684</v>
      </c>
      <c r="J2396" t="s">
        <v>982</v>
      </c>
    </row>
    <row r="2397" spans="1:10" x14ac:dyDescent="0.35">
      <c r="A2397">
        <v>14873</v>
      </c>
      <c r="B2397" t="s">
        <v>83</v>
      </c>
      <c r="C2397" t="s">
        <v>587</v>
      </c>
      <c r="D2397" t="s">
        <v>92</v>
      </c>
      <c r="E2397" t="s">
        <v>146</v>
      </c>
      <c r="F2397" t="s">
        <v>411</v>
      </c>
      <c r="G2397" s="39">
        <v>44888</v>
      </c>
      <c r="J2397" t="s">
        <v>982</v>
      </c>
    </row>
    <row r="2398" spans="1:10" x14ac:dyDescent="0.35">
      <c r="A2398">
        <v>18184</v>
      </c>
      <c r="B2398" t="s">
        <v>83</v>
      </c>
      <c r="C2398" t="s">
        <v>587</v>
      </c>
      <c r="D2398" t="s">
        <v>92</v>
      </c>
      <c r="E2398" t="s">
        <v>595</v>
      </c>
      <c r="F2398" t="s">
        <v>244</v>
      </c>
      <c r="G2398" s="39">
        <v>46035</v>
      </c>
      <c r="J2398" t="s">
        <v>982</v>
      </c>
    </row>
    <row r="2399" spans="1:10" x14ac:dyDescent="0.35">
      <c r="A2399">
        <v>17726</v>
      </c>
      <c r="B2399" t="s">
        <v>55</v>
      </c>
      <c r="C2399" t="s">
        <v>189</v>
      </c>
      <c r="D2399" t="s">
        <v>92</v>
      </c>
      <c r="E2399" t="s">
        <v>146</v>
      </c>
      <c r="F2399" t="s">
        <v>244</v>
      </c>
      <c r="G2399" s="39">
        <v>45855</v>
      </c>
      <c r="J2399" t="s">
        <v>982</v>
      </c>
    </row>
    <row r="2400" spans="1:10" x14ac:dyDescent="0.35">
      <c r="A2400">
        <v>13361</v>
      </c>
      <c r="B2400" t="s">
        <v>55</v>
      </c>
      <c r="C2400" t="s">
        <v>189</v>
      </c>
      <c r="D2400" t="s">
        <v>92</v>
      </c>
      <c r="E2400" t="s">
        <v>146</v>
      </c>
      <c r="F2400" t="s">
        <v>244</v>
      </c>
      <c r="G2400" s="39">
        <v>44410</v>
      </c>
      <c r="J2400" t="s">
        <v>982</v>
      </c>
    </row>
    <row r="2401" spans="1:10" x14ac:dyDescent="0.35">
      <c r="A2401">
        <v>17642</v>
      </c>
      <c r="B2401" t="s">
        <v>55</v>
      </c>
      <c r="C2401" t="s">
        <v>189</v>
      </c>
      <c r="D2401" t="s">
        <v>92</v>
      </c>
      <c r="E2401" t="s">
        <v>146</v>
      </c>
      <c r="F2401" t="s">
        <v>244</v>
      </c>
      <c r="G2401" s="39">
        <v>45827</v>
      </c>
      <c r="J2401" t="s">
        <v>982</v>
      </c>
    </row>
    <row r="2402" spans="1:10" x14ac:dyDescent="0.35">
      <c r="A2402">
        <v>17583</v>
      </c>
      <c r="B2402" t="s">
        <v>55</v>
      </c>
      <c r="C2402" t="s">
        <v>189</v>
      </c>
      <c r="D2402" t="s">
        <v>92</v>
      </c>
      <c r="E2402" t="s">
        <v>146</v>
      </c>
      <c r="F2402" t="s">
        <v>244</v>
      </c>
      <c r="G2402" s="39">
        <v>45800</v>
      </c>
      <c r="J2402" t="s">
        <v>982</v>
      </c>
    </row>
    <row r="2403" spans="1:10" x14ac:dyDescent="0.35">
      <c r="A2403">
        <v>120038</v>
      </c>
      <c r="B2403" t="s">
        <v>55</v>
      </c>
      <c r="C2403" t="s">
        <v>189</v>
      </c>
      <c r="D2403" t="s">
        <v>92</v>
      </c>
      <c r="E2403" t="s">
        <v>146</v>
      </c>
      <c r="F2403" t="s">
        <v>244</v>
      </c>
      <c r="G2403" s="39">
        <v>43024</v>
      </c>
      <c r="J2403" t="s">
        <v>982</v>
      </c>
    </row>
    <row r="2404" spans="1:10" x14ac:dyDescent="0.35">
      <c r="A2404">
        <v>13219</v>
      </c>
      <c r="B2404" t="s">
        <v>55</v>
      </c>
      <c r="C2404" t="s">
        <v>189</v>
      </c>
      <c r="D2404" t="s">
        <v>92</v>
      </c>
      <c r="E2404" t="s">
        <v>96</v>
      </c>
      <c r="F2404" t="s">
        <v>244</v>
      </c>
      <c r="G2404" s="39">
        <v>44324</v>
      </c>
      <c r="J2404" t="s">
        <v>982</v>
      </c>
    </row>
    <row r="2405" spans="1:10" x14ac:dyDescent="0.35">
      <c r="A2405">
        <v>16771</v>
      </c>
      <c r="B2405" t="s">
        <v>55</v>
      </c>
      <c r="C2405" t="s">
        <v>189</v>
      </c>
      <c r="D2405" t="s">
        <v>92</v>
      </c>
      <c r="E2405" t="s">
        <v>146</v>
      </c>
      <c r="F2405" t="s">
        <v>244</v>
      </c>
      <c r="G2405" s="39">
        <v>45551</v>
      </c>
      <c r="J2405" t="s">
        <v>982</v>
      </c>
    </row>
    <row r="2406" spans="1:10" x14ac:dyDescent="0.35">
      <c r="A2406">
        <v>14596</v>
      </c>
      <c r="B2406" t="s">
        <v>55</v>
      </c>
      <c r="C2406" t="s">
        <v>189</v>
      </c>
      <c r="D2406" t="s">
        <v>92</v>
      </c>
      <c r="E2406" t="s">
        <v>146</v>
      </c>
      <c r="F2406" t="s">
        <v>244</v>
      </c>
      <c r="G2406" s="39">
        <v>44796</v>
      </c>
      <c r="J2406" t="s">
        <v>982</v>
      </c>
    </row>
    <row r="2407" spans="1:10" x14ac:dyDescent="0.35">
      <c r="A2407">
        <v>17814</v>
      </c>
      <c r="B2407" t="s">
        <v>55</v>
      </c>
      <c r="C2407" t="s">
        <v>189</v>
      </c>
      <c r="D2407" t="s">
        <v>92</v>
      </c>
      <c r="E2407" t="s">
        <v>146</v>
      </c>
      <c r="F2407" t="s">
        <v>244</v>
      </c>
      <c r="G2407" s="39">
        <v>45882</v>
      </c>
      <c r="J2407" t="s">
        <v>982</v>
      </c>
    </row>
    <row r="2408" spans="1:10" x14ac:dyDescent="0.35">
      <c r="A2408">
        <v>18779</v>
      </c>
      <c r="B2408" t="s">
        <v>55</v>
      </c>
      <c r="C2408" t="s">
        <v>189</v>
      </c>
      <c r="D2408" t="s">
        <v>92</v>
      </c>
      <c r="E2408" t="s">
        <v>146</v>
      </c>
      <c r="F2408" t="s">
        <v>244</v>
      </c>
      <c r="G2408" s="39">
        <v>46211</v>
      </c>
      <c r="J2408" t="s">
        <v>982</v>
      </c>
    </row>
    <row r="2409" spans="1:10" x14ac:dyDescent="0.35">
      <c r="A2409">
        <v>16027</v>
      </c>
      <c r="B2409" t="s">
        <v>83</v>
      </c>
      <c r="C2409" t="s">
        <v>92</v>
      </c>
      <c r="D2409" t="s">
        <v>92</v>
      </c>
      <c r="E2409" t="s">
        <v>96</v>
      </c>
      <c r="F2409" t="s">
        <v>244</v>
      </c>
      <c r="G2409" s="39">
        <v>45267</v>
      </c>
      <c r="J2409" t="s">
        <v>982</v>
      </c>
    </row>
    <row r="2410" spans="1:10" x14ac:dyDescent="0.35">
      <c r="A2410">
        <v>17300</v>
      </c>
      <c r="B2410" t="s">
        <v>83</v>
      </c>
      <c r="C2410" t="s">
        <v>92</v>
      </c>
      <c r="D2410" t="s">
        <v>92</v>
      </c>
      <c r="E2410" t="s">
        <v>146</v>
      </c>
      <c r="F2410" t="s">
        <v>244</v>
      </c>
      <c r="G2410" s="39">
        <v>45695</v>
      </c>
      <c r="J2410" t="s">
        <v>982</v>
      </c>
    </row>
    <row r="2411" spans="1:10" x14ac:dyDescent="0.35">
      <c r="A2411">
        <v>18991</v>
      </c>
      <c r="B2411" t="s">
        <v>83</v>
      </c>
      <c r="C2411" t="s">
        <v>92</v>
      </c>
      <c r="D2411" t="s">
        <v>92</v>
      </c>
      <c r="E2411" t="s">
        <v>283</v>
      </c>
      <c r="F2411" t="s">
        <v>244</v>
      </c>
      <c r="G2411" s="39">
        <v>46252</v>
      </c>
      <c r="H2411" t="s">
        <v>250</v>
      </c>
      <c r="J2411" t="s">
        <v>982</v>
      </c>
    </row>
    <row r="2412" spans="1:10" x14ac:dyDescent="0.35">
      <c r="A2412">
        <v>15139</v>
      </c>
      <c r="B2412" t="s">
        <v>83</v>
      </c>
      <c r="C2412" t="s">
        <v>587</v>
      </c>
      <c r="D2412" t="s">
        <v>92</v>
      </c>
      <c r="E2412" t="s">
        <v>146</v>
      </c>
      <c r="F2412" t="s">
        <v>411</v>
      </c>
      <c r="G2412" s="39">
        <v>44963</v>
      </c>
      <c r="J2412" t="s">
        <v>982</v>
      </c>
    </row>
    <row r="2413" spans="1:10" x14ac:dyDescent="0.35">
      <c r="A2413">
        <v>17471</v>
      </c>
      <c r="B2413" t="s">
        <v>83</v>
      </c>
      <c r="C2413" t="s">
        <v>587</v>
      </c>
      <c r="D2413" t="s">
        <v>92</v>
      </c>
      <c r="E2413" t="s">
        <v>595</v>
      </c>
      <c r="F2413" t="s">
        <v>244</v>
      </c>
      <c r="G2413" s="39">
        <v>45763</v>
      </c>
      <c r="J2413" t="s">
        <v>982</v>
      </c>
    </row>
    <row r="2414" spans="1:10" x14ac:dyDescent="0.35">
      <c r="A2414">
        <v>15521</v>
      </c>
      <c r="B2414" t="s">
        <v>55</v>
      </c>
      <c r="C2414" t="s">
        <v>189</v>
      </c>
      <c r="D2414" t="s">
        <v>92</v>
      </c>
      <c r="E2414" t="s">
        <v>146</v>
      </c>
      <c r="F2414" t="s">
        <v>244</v>
      </c>
      <c r="G2414" s="39">
        <v>45101</v>
      </c>
      <c r="J2414" t="s">
        <v>982</v>
      </c>
    </row>
    <row r="2415" spans="1:10" x14ac:dyDescent="0.35">
      <c r="A2415">
        <v>15335</v>
      </c>
      <c r="B2415" t="s">
        <v>55</v>
      </c>
      <c r="C2415" t="s">
        <v>189</v>
      </c>
      <c r="D2415" t="s">
        <v>92</v>
      </c>
      <c r="E2415" t="s">
        <v>146</v>
      </c>
      <c r="F2415" t="s">
        <v>244</v>
      </c>
      <c r="G2415" s="39">
        <v>45029</v>
      </c>
      <c r="J2415" t="s">
        <v>982</v>
      </c>
    </row>
    <row r="2416" spans="1:10" x14ac:dyDescent="0.35">
      <c r="A2416">
        <v>12869</v>
      </c>
      <c r="B2416" t="s">
        <v>55</v>
      </c>
      <c r="C2416" t="s">
        <v>189</v>
      </c>
      <c r="D2416" t="s">
        <v>92</v>
      </c>
      <c r="E2416" t="s">
        <v>146</v>
      </c>
      <c r="F2416" t="s">
        <v>244</v>
      </c>
      <c r="G2416" s="39">
        <v>44068</v>
      </c>
      <c r="J2416" t="s">
        <v>982</v>
      </c>
    </row>
    <row r="2417" spans="1:10" x14ac:dyDescent="0.35">
      <c r="A2417">
        <v>13863</v>
      </c>
      <c r="B2417" t="s">
        <v>55</v>
      </c>
      <c r="C2417" t="s">
        <v>189</v>
      </c>
      <c r="D2417" t="s">
        <v>92</v>
      </c>
      <c r="E2417" t="s">
        <v>146</v>
      </c>
      <c r="F2417" t="s">
        <v>244</v>
      </c>
      <c r="G2417" s="39">
        <v>44609</v>
      </c>
      <c r="J2417" t="s">
        <v>982</v>
      </c>
    </row>
    <row r="2418" spans="1:10" x14ac:dyDescent="0.35">
      <c r="A2418">
        <v>300212</v>
      </c>
      <c r="B2418" t="s">
        <v>83</v>
      </c>
      <c r="C2418" t="s">
        <v>92</v>
      </c>
      <c r="D2418" t="s">
        <v>92</v>
      </c>
      <c r="E2418" t="s">
        <v>146</v>
      </c>
      <c r="F2418" t="s">
        <v>244</v>
      </c>
      <c r="G2418" s="39">
        <v>44120</v>
      </c>
      <c r="J2418" t="s">
        <v>982</v>
      </c>
    </row>
    <row r="2419" spans="1:10" x14ac:dyDescent="0.35">
      <c r="A2419">
        <v>12426</v>
      </c>
      <c r="B2419" t="s">
        <v>55</v>
      </c>
      <c r="C2419" t="s">
        <v>189</v>
      </c>
      <c r="D2419" t="s">
        <v>92</v>
      </c>
      <c r="E2419" t="s">
        <v>146</v>
      </c>
      <c r="F2419" t="s">
        <v>244</v>
      </c>
      <c r="G2419" s="39">
        <v>43742</v>
      </c>
      <c r="J2419" t="s">
        <v>982</v>
      </c>
    </row>
    <row r="2420" spans="1:10" x14ac:dyDescent="0.35">
      <c r="A2420">
        <v>15001</v>
      </c>
      <c r="B2420" t="s">
        <v>55</v>
      </c>
      <c r="C2420" t="s">
        <v>189</v>
      </c>
      <c r="D2420" t="s">
        <v>92</v>
      </c>
      <c r="E2420" t="s">
        <v>96</v>
      </c>
      <c r="F2420" t="s">
        <v>244</v>
      </c>
      <c r="G2420" s="39">
        <v>44914</v>
      </c>
      <c r="J2420" t="s">
        <v>982</v>
      </c>
    </row>
    <row r="2421" spans="1:10" x14ac:dyDescent="0.35">
      <c r="A2421">
        <v>300164</v>
      </c>
      <c r="B2421" t="s">
        <v>55</v>
      </c>
      <c r="C2421" t="s">
        <v>189</v>
      </c>
      <c r="D2421" t="s">
        <v>92</v>
      </c>
      <c r="E2421" t="s">
        <v>146</v>
      </c>
      <c r="F2421" t="s">
        <v>244</v>
      </c>
      <c r="G2421" s="39">
        <v>43566</v>
      </c>
      <c r="J2421" t="s">
        <v>982</v>
      </c>
    </row>
    <row r="2422" spans="1:10" x14ac:dyDescent="0.35">
      <c r="A2422">
        <v>17777</v>
      </c>
      <c r="B2422" t="s">
        <v>55</v>
      </c>
      <c r="C2422" t="s">
        <v>189</v>
      </c>
      <c r="D2422" t="s">
        <v>92</v>
      </c>
      <c r="E2422" t="s">
        <v>146</v>
      </c>
      <c r="F2422" t="s">
        <v>244</v>
      </c>
      <c r="G2422" s="39">
        <v>45874</v>
      </c>
      <c r="J2422" t="s">
        <v>982</v>
      </c>
    </row>
    <row r="2423" spans="1:10" x14ac:dyDescent="0.35">
      <c r="A2423">
        <v>17574</v>
      </c>
      <c r="B2423" t="s">
        <v>55</v>
      </c>
      <c r="C2423" t="s">
        <v>189</v>
      </c>
      <c r="D2423" t="s">
        <v>92</v>
      </c>
      <c r="E2423" t="s">
        <v>146</v>
      </c>
      <c r="F2423" t="s">
        <v>244</v>
      </c>
      <c r="G2423" s="39">
        <v>45797</v>
      </c>
      <c r="J2423" t="s">
        <v>982</v>
      </c>
    </row>
    <row r="2424" spans="1:10" x14ac:dyDescent="0.35">
      <c r="A2424">
        <v>17986</v>
      </c>
      <c r="B2424" t="s">
        <v>55</v>
      </c>
      <c r="C2424" t="s">
        <v>189</v>
      </c>
      <c r="D2424" t="s">
        <v>92</v>
      </c>
      <c r="E2424" t="s">
        <v>146</v>
      </c>
      <c r="F2424" t="s">
        <v>244</v>
      </c>
      <c r="G2424" s="39">
        <v>45947</v>
      </c>
      <c r="J2424" t="s">
        <v>982</v>
      </c>
    </row>
    <row r="2425" spans="1:10" x14ac:dyDescent="0.35">
      <c r="A2425">
        <v>17541</v>
      </c>
      <c r="B2425" t="s">
        <v>589</v>
      </c>
      <c r="C2425" t="s">
        <v>590</v>
      </c>
      <c r="D2425" t="s">
        <v>92</v>
      </c>
      <c r="E2425" t="s">
        <v>146</v>
      </c>
      <c r="F2425" t="s">
        <v>244</v>
      </c>
      <c r="G2425" s="39">
        <v>45785</v>
      </c>
      <c r="J2425" t="s">
        <v>982</v>
      </c>
    </row>
    <row r="2426" spans="1:10" x14ac:dyDescent="0.35">
      <c r="A2426">
        <v>17609</v>
      </c>
      <c r="B2426" t="s">
        <v>55</v>
      </c>
      <c r="C2426" t="s">
        <v>189</v>
      </c>
      <c r="D2426" t="s">
        <v>92</v>
      </c>
      <c r="E2426" t="s">
        <v>146</v>
      </c>
      <c r="F2426" t="s">
        <v>244</v>
      </c>
      <c r="G2426" s="39">
        <v>45811</v>
      </c>
      <c r="J2426" t="s">
        <v>982</v>
      </c>
    </row>
    <row r="2427" spans="1:10" x14ac:dyDescent="0.35">
      <c r="A2427">
        <v>12878</v>
      </c>
      <c r="B2427" t="s">
        <v>55</v>
      </c>
      <c r="C2427" t="s">
        <v>189</v>
      </c>
      <c r="D2427" t="s">
        <v>92</v>
      </c>
      <c r="E2427" t="s">
        <v>96</v>
      </c>
      <c r="F2427" t="s">
        <v>244</v>
      </c>
      <c r="G2427" s="39">
        <v>44075</v>
      </c>
      <c r="J2427" t="s">
        <v>982</v>
      </c>
    </row>
    <row r="2428" spans="1:10" x14ac:dyDescent="0.35">
      <c r="A2428">
        <v>16524</v>
      </c>
      <c r="B2428" t="s">
        <v>55</v>
      </c>
      <c r="C2428" t="s">
        <v>189</v>
      </c>
      <c r="D2428" t="s">
        <v>92</v>
      </c>
      <c r="E2428" t="s">
        <v>146</v>
      </c>
      <c r="F2428" t="s">
        <v>244</v>
      </c>
      <c r="G2428" s="39">
        <v>45446</v>
      </c>
      <c r="J2428" t="s">
        <v>982</v>
      </c>
    </row>
    <row r="2429" spans="1:10" x14ac:dyDescent="0.35">
      <c r="A2429">
        <v>17617</v>
      </c>
      <c r="B2429" t="s">
        <v>55</v>
      </c>
      <c r="C2429" t="s">
        <v>189</v>
      </c>
      <c r="D2429" t="s">
        <v>92</v>
      </c>
      <c r="E2429" t="s">
        <v>146</v>
      </c>
      <c r="F2429" t="s">
        <v>244</v>
      </c>
      <c r="G2429" s="39">
        <v>45812</v>
      </c>
      <c r="J2429" t="s">
        <v>982</v>
      </c>
    </row>
    <row r="2430" spans="1:10" x14ac:dyDescent="0.35">
      <c r="A2430">
        <v>13039</v>
      </c>
      <c r="B2430" t="s">
        <v>55</v>
      </c>
      <c r="C2430" t="s">
        <v>189</v>
      </c>
      <c r="D2430" t="s">
        <v>92</v>
      </c>
      <c r="E2430" t="s">
        <v>146</v>
      </c>
      <c r="F2430" t="s">
        <v>244</v>
      </c>
      <c r="G2430" s="39">
        <v>44214</v>
      </c>
      <c r="J2430" t="s">
        <v>982</v>
      </c>
    </row>
    <row r="2431" spans="1:10" x14ac:dyDescent="0.35">
      <c r="A2431">
        <v>14455</v>
      </c>
      <c r="B2431" t="s">
        <v>55</v>
      </c>
      <c r="C2431" t="s">
        <v>189</v>
      </c>
      <c r="D2431" t="s">
        <v>92</v>
      </c>
      <c r="E2431" t="s">
        <v>146</v>
      </c>
      <c r="F2431" t="s">
        <v>244</v>
      </c>
      <c r="G2431" s="39">
        <v>44762</v>
      </c>
      <c r="J2431" t="s">
        <v>982</v>
      </c>
    </row>
    <row r="2432" spans="1:10" x14ac:dyDescent="0.35">
      <c r="A2432">
        <v>15944</v>
      </c>
      <c r="B2432" t="s">
        <v>55</v>
      </c>
      <c r="C2432" t="s">
        <v>189</v>
      </c>
      <c r="D2432" t="s">
        <v>92</v>
      </c>
      <c r="E2432" t="s">
        <v>146</v>
      </c>
      <c r="F2432" t="s">
        <v>244</v>
      </c>
      <c r="G2432" s="39">
        <v>45247</v>
      </c>
      <c r="J2432" t="s">
        <v>982</v>
      </c>
    </row>
    <row r="2433" spans="1:10" x14ac:dyDescent="0.35">
      <c r="A2433">
        <v>16409</v>
      </c>
      <c r="B2433" t="s">
        <v>55</v>
      </c>
      <c r="C2433" t="s">
        <v>189</v>
      </c>
      <c r="D2433" t="s">
        <v>92</v>
      </c>
      <c r="E2433" t="s">
        <v>146</v>
      </c>
      <c r="F2433" t="s">
        <v>244</v>
      </c>
      <c r="G2433" s="39">
        <v>45397</v>
      </c>
      <c r="J2433" t="s">
        <v>982</v>
      </c>
    </row>
    <row r="2434" spans="1:10" x14ac:dyDescent="0.35">
      <c r="A2434">
        <v>13664</v>
      </c>
      <c r="B2434" t="s">
        <v>82</v>
      </c>
      <c r="C2434" t="s">
        <v>187</v>
      </c>
      <c r="D2434" t="s">
        <v>92</v>
      </c>
      <c r="E2434" t="s">
        <v>96</v>
      </c>
      <c r="F2434" t="s">
        <v>244</v>
      </c>
      <c r="G2434" s="39">
        <v>44532</v>
      </c>
      <c r="J2434" t="s">
        <v>982</v>
      </c>
    </row>
    <row r="2435" spans="1:10" x14ac:dyDescent="0.35">
      <c r="A2435">
        <v>115013</v>
      </c>
      <c r="B2435" t="s">
        <v>82</v>
      </c>
      <c r="C2435" t="s">
        <v>187</v>
      </c>
      <c r="D2435" t="s">
        <v>92</v>
      </c>
      <c r="E2435" t="s">
        <v>146</v>
      </c>
      <c r="F2435" t="s">
        <v>244</v>
      </c>
      <c r="G2435" s="39">
        <v>42068</v>
      </c>
      <c r="J2435" t="s">
        <v>982</v>
      </c>
    </row>
    <row r="2436" spans="1:10" x14ac:dyDescent="0.35">
      <c r="A2436">
        <v>16591</v>
      </c>
      <c r="B2436" t="s">
        <v>55</v>
      </c>
      <c r="C2436" t="s">
        <v>189</v>
      </c>
      <c r="D2436" t="s">
        <v>92</v>
      </c>
      <c r="E2436" t="s">
        <v>146</v>
      </c>
      <c r="F2436" t="s">
        <v>244</v>
      </c>
      <c r="G2436" s="39">
        <v>45490</v>
      </c>
      <c r="J2436" t="s">
        <v>982</v>
      </c>
    </row>
    <row r="2437" spans="1:10" x14ac:dyDescent="0.35">
      <c r="A2437">
        <v>18484</v>
      </c>
      <c r="B2437" t="s">
        <v>55</v>
      </c>
      <c r="C2437" t="s">
        <v>189</v>
      </c>
      <c r="D2437" t="s">
        <v>92</v>
      </c>
      <c r="E2437" t="s">
        <v>146</v>
      </c>
      <c r="F2437" t="s">
        <v>244</v>
      </c>
      <c r="G2437" s="39">
        <v>46143</v>
      </c>
      <c r="J2437" t="s">
        <v>982</v>
      </c>
    </row>
    <row r="2438" spans="1:10" x14ac:dyDescent="0.35">
      <c r="A2438">
        <v>16966</v>
      </c>
      <c r="B2438" t="s">
        <v>55</v>
      </c>
      <c r="C2438" t="s">
        <v>189</v>
      </c>
      <c r="D2438" t="s">
        <v>92</v>
      </c>
      <c r="E2438" t="s">
        <v>146</v>
      </c>
      <c r="F2438" t="s">
        <v>244</v>
      </c>
      <c r="G2438" s="39">
        <v>45580</v>
      </c>
      <c r="J2438" t="s">
        <v>982</v>
      </c>
    </row>
    <row r="2439" spans="1:10" x14ac:dyDescent="0.35">
      <c r="A2439">
        <v>11300</v>
      </c>
      <c r="B2439" t="s">
        <v>82</v>
      </c>
      <c r="C2439" t="s">
        <v>187</v>
      </c>
      <c r="D2439" t="s">
        <v>92</v>
      </c>
      <c r="E2439" t="s">
        <v>96</v>
      </c>
      <c r="F2439" t="s">
        <v>245</v>
      </c>
      <c r="G2439" s="39">
        <v>42503</v>
      </c>
      <c r="J2439" t="s">
        <v>982</v>
      </c>
    </row>
    <row r="2440" spans="1:10" x14ac:dyDescent="0.35">
      <c r="A2440">
        <v>18294</v>
      </c>
      <c r="B2440" t="s">
        <v>82</v>
      </c>
      <c r="C2440" t="s">
        <v>187</v>
      </c>
      <c r="D2440" t="s">
        <v>92</v>
      </c>
      <c r="E2440" t="s">
        <v>146</v>
      </c>
      <c r="F2440" t="s">
        <v>244</v>
      </c>
      <c r="G2440" s="39">
        <v>46078</v>
      </c>
      <c r="J2440" t="s">
        <v>982</v>
      </c>
    </row>
    <row r="2441" spans="1:10" x14ac:dyDescent="0.35">
      <c r="A2441">
        <v>17786</v>
      </c>
      <c r="B2441" t="s">
        <v>82</v>
      </c>
      <c r="C2441" t="s">
        <v>187</v>
      </c>
      <c r="D2441" t="s">
        <v>92</v>
      </c>
      <c r="E2441" t="s">
        <v>146</v>
      </c>
      <c r="F2441" t="s">
        <v>244</v>
      </c>
      <c r="G2441" s="39">
        <v>45875</v>
      </c>
      <c r="J2441" t="s">
        <v>982</v>
      </c>
    </row>
    <row r="2442" spans="1:10" x14ac:dyDescent="0.35">
      <c r="A2442">
        <v>12604</v>
      </c>
      <c r="B2442" t="s">
        <v>83</v>
      </c>
      <c r="C2442" t="s">
        <v>92</v>
      </c>
      <c r="D2442" t="s">
        <v>92</v>
      </c>
      <c r="E2442" t="s">
        <v>146</v>
      </c>
      <c r="F2442" t="s">
        <v>244</v>
      </c>
      <c r="G2442" s="39">
        <v>43838</v>
      </c>
      <c r="J2442" t="s">
        <v>982</v>
      </c>
    </row>
    <row r="2443" spans="1:10" x14ac:dyDescent="0.35">
      <c r="A2443">
        <v>17768</v>
      </c>
      <c r="B2443" t="s">
        <v>82</v>
      </c>
      <c r="C2443" t="s">
        <v>187</v>
      </c>
      <c r="D2443" t="s">
        <v>92</v>
      </c>
      <c r="E2443" t="s">
        <v>146</v>
      </c>
      <c r="F2443" t="s">
        <v>244</v>
      </c>
      <c r="G2443" s="39">
        <v>45874</v>
      </c>
      <c r="J2443" t="s">
        <v>982</v>
      </c>
    </row>
    <row r="2444" spans="1:10" x14ac:dyDescent="0.35">
      <c r="A2444">
        <v>17779</v>
      </c>
      <c r="B2444" t="s">
        <v>82</v>
      </c>
      <c r="C2444" t="s">
        <v>187</v>
      </c>
      <c r="D2444" t="s">
        <v>92</v>
      </c>
      <c r="E2444" t="s">
        <v>146</v>
      </c>
      <c r="F2444" t="s">
        <v>244</v>
      </c>
      <c r="G2444" s="39">
        <v>45875</v>
      </c>
      <c r="J2444" t="s">
        <v>982</v>
      </c>
    </row>
    <row r="2445" spans="1:10" x14ac:dyDescent="0.35">
      <c r="A2445">
        <v>16590</v>
      </c>
      <c r="B2445" t="s">
        <v>82</v>
      </c>
      <c r="C2445" t="s">
        <v>187</v>
      </c>
      <c r="D2445" t="s">
        <v>92</v>
      </c>
      <c r="E2445" t="s">
        <v>146</v>
      </c>
      <c r="F2445" t="s">
        <v>244</v>
      </c>
      <c r="G2445" s="39">
        <v>45490</v>
      </c>
      <c r="J2445" t="s">
        <v>982</v>
      </c>
    </row>
    <row r="2446" spans="1:10" x14ac:dyDescent="0.35">
      <c r="A2446">
        <v>16433</v>
      </c>
      <c r="B2446" t="s">
        <v>82</v>
      </c>
      <c r="C2446" t="s">
        <v>187</v>
      </c>
      <c r="D2446" t="s">
        <v>92</v>
      </c>
      <c r="E2446" t="s">
        <v>146</v>
      </c>
      <c r="F2446" t="s">
        <v>244</v>
      </c>
      <c r="G2446" s="39">
        <v>45391</v>
      </c>
      <c r="J2446" t="s">
        <v>982</v>
      </c>
    </row>
    <row r="2447" spans="1:10" x14ac:dyDescent="0.35">
      <c r="A2447">
        <v>14387</v>
      </c>
      <c r="B2447" t="s">
        <v>55</v>
      </c>
      <c r="C2447" t="s">
        <v>189</v>
      </c>
      <c r="D2447" t="s">
        <v>92</v>
      </c>
      <c r="E2447" t="s">
        <v>146</v>
      </c>
      <c r="F2447" t="s">
        <v>411</v>
      </c>
      <c r="G2447" s="39">
        <v>44743</v>
      </c>
      <c r="J2447" t="s">
        <v>982</v>
      </c>
    </row>
    <row r="2448" spans="1:10" x14ac:dyDescent="0.35">
      <c r="A2448">
        <v>18967</v>
      </c>
      <c r="B2448" t="s">
        <v>55</v>
      </c>
      <c r="C2448" t="s">
        <v>189</v>
      </c>
      <c r="D2448" t="s">
        <v>92</v>
      </c>
      <c r="E2448" t="s">
        <v>595</v>
      </c>
      <c r="F2448" t="s">
        <v>244</v>
      </c>
      <c r="G2448" s="39">
        <v>46252</v>
      </c>
      <c r="J2448" t="s">
        <v>982</v>
      </c>
    </row>
    <row r="2449" spans="1:10" x14ac:dyDescent="0.35">
      <c r="A2449">
        <v>17862</v>
      </c>
      <c r="B2449" t="s">
        <v>55</v>
      </c>
      <c r="C2449" t="s">
        <v>189</v>
      </c>
      <c r="D2449" t="s">
        <v>92</v>
      </c>
      <c r="E2449" t="s">
        <v>146</v>
      </c>
      <c r="F2449" t="s">
        <v>244</v>
      </c>
      <c r="G2449" s="39">
        <v>45896</v>
      </c>
      <c r="J2449" t="s">
        <v>982</v>
      </c>
    </row>
    <row r="2450" spans="1:10" x14ac:dyDescent="0.35">
      <c r="A2450">
        <v>13854</v>
      </c>
      <c r="B2450" t="s">
        <v>55</v>
      </c>
      <c r="C2450" t="s">
        <v>189</v>
      </c>
      <c r="D2450" t="s">
        <v>92</v>
      </c>
      <c r="E2450" t="s">
        <v>96</v>
      </c>
      <c r="F2450" t="s">
        <v>244</v>
      </c>
      <c r="G2450" s="39">
        <v>44607</v>
      </c>
      <c r="J2450" t="s">
        <v>982</v>
      </c>
    </row>
    <row r="2451" spans="1:10" x14ac:dyDescent="0.35">
      <c r="A2451">
        <v>16952</v>
      </c>
      <c r="B2451" t="s">
        <v>55</v>
      </c>
      <c r="C2451" t="s">
        <v>189</v>
      </c>
      <c r="D2451" t="s">
        <v>92</v>
      </c>
      <c r="E2451" t="s">
        <v>146</v>
      </c>
      <c r="F2451" t="s">
        <v>244</v>
      </c>
      <c r="G2451" s="39">
        <v>45569</v>
      </c>
      <c r="J2451" t="s">
        <v>982</v>
      </c>
    </row>
    <row r="2452" spans="1:10" x14ac:dyDescent="0.35">
      <c r="A2452">
        <v>17953</v>
      </c>
      <c r="B2452" t="s">
        <v>55</v>
      </c>
      <c r="C2452" t="s">
        <v>189</v>
      </c>
      <c r="D2452" t="s">
        <v>92</v>
      </c>
      <c r="E2452" t="s">
        <v>146</v>
      </c>
      <c r="F2452" t="s">
        <v>244</v>
      </c>
      <c r="G2452" s="39">
        <v>45933</v>
      </c>
      <c r="J2452" t="s">
        <v>982</v>
      </c>
    </row>
    <row r="2453" spans="1:10" x14ac:dyDescent="0.35">
      <c r="A2453">
        <v>14636</v>
      </c>
      <c r="B2453" t="s">
        <v>55</v>
      </c>
      <c r="C2453" t="s">
        <v>189</v>
      </c>
      <c r="D2453" t="s">
        <v>92</v>
      </c>
      <c r="E2453" t="s">
        <v>146</v>
      </c>
      <c r="F2453" t="s">
        <v>244</v>
      </c>
      <c r="G2453" s="39">
        <v>44812</v>
      </c>
      <c r="J2453" t="s">
        <v>982</v>
      </c>
    </row>
    <row r="2454" spans="1:10" x14ac:dyDescent="0.35">
      <c r="A2454">
        <v>14346</v>
      </c>
      <c r="B2454" t="s">
        <v>55</v>
      </c>
      <c r="C2454" t="s">
        <v>189</v>
      </c>
      <c r="D2454" t="s">
        <v>92</v>
      </c>
      <c r="E2454" t="s">
        <v>146</v>
      </c>
      <c r="F2454" t="s">
        <v>244</v>
      </c>
      <c r="G2454" s="39">
        <v>44740</v>
      </c>
      <c r="J2454" t="s">
        <v>982</v>
      </c>
    </row>
    <row r="2455" spans="1:10" x14ac:dyDescent="0.35">
      <c r="A2455">
        <v>11887</v>
      </c>
      <c r="B2455" t="s">
        <v>55</v>
      </c>
      <c r="C2455" t="s">
        <v>189</v>
      </c>
      <c r="D2455" t="s">
        <v>92</v>
      </c>
      <c r="E2455" t="s">
        <v>146</v>
      </c>
      <c r="F2455" t="s">
        <v>244</v>
      </c>
      <c r="G2455" s="39">
        <v>43242</v>
      </c>
      <c r="J2455" t="s">
        <v>982</v>
      </c>
    </row>
    <row r="2456" spans="1:10" x14ac:dyDescent="0.35">
      <c r="A2456">
        <v>12932</v>
      </c>
      <c r="B2456" t="s">
        <v>55</v>
      </c>
      <c r="C2456" t="s">
        <v>189</v>
      </c>
      <c r="D2456" t="s">
        <v>92</v>
      </c>
      <c r="E2456" t="s">
        <v>146</v>
      </c>
      <c r="F2456" t="s">
        <v>244</v>
      </c>
      <c r="G2456" s="39">
        <v>44126</v>
      </c>
      <c r="J2456" t="s">
        <v>982</v>
      </c>
    </row>
    <row r="2457" spans="1:10" x14ac:dyDescent="0.35">
      <c r="A2457">
        <v>17742</v>
      </c>
      <c r="B2457" t="s">
        <v>55</v>
      </c>
      <c r="C2457" t="s">
        <v>189</v>
      </c>
      <c r="D2457" t="s">
        <v>92</v>
      </c>
      <c r="E2457" t="s">
        <v>146</v>
      </c>
      <c r="F2457" t="s">
        <v>244</v>
      </c>
      <c r="G2457" s="39">
        <v>45860</v>
      </c>
      <c r="J2457" t="s">
        <v>982</v>
      </c>
    </row>
    <row r="2458" spans="1:10" x14ac:dyDescent="0.35">
      <c r="A2458">
        <v>17743</v>
      </c>
      <c r="B2458" t="s">
        <v>55</v>
      </c>
      <c r="C2458" t="s">
        <v>189</v>
      </c>
      <c r="D2458" t="s">
        <v>92</v>
      </c>
      <c r="E2458" t="s">
        <v>146</v>
      </c>
      <c r="F2458" t="s">
        <v>244</v>
      </c>
      <c r="G2458" s="39">
        <v>45860</v>
      </c>
      <c r="J2458" t="s">
        <v>982</v>
      </c>
    </row>
    <row r="2459" spans="1:10" x14ac:dyDescent="0.35">
      <c r="A2459">
        <v>14356</v>
      </c>
      <c r="B2459" t="s">
        <v>55</v>
      </c>
      <c r="C2459" t="s">
        <v>189</v>
      </c>
      <c r="D2459" t="s">
        <v>92</v>
      </c>
      <c r="E2459" t="s">
        <v>146</v>
      </c>
      <c r="F2459" t="s">
        <v>244</v>
      </c>
      <c r="G2459" s="39">
        <v>44743</v>
      </c>
      <c r="J2459" t="s">
        <v>982</v>
      </c>
    </row>
    <row r="2460" spans="1:10" x14ac:dyDescent="0.35">
      <c r="A2460">
        <v>17393</v>
      </c>
      <c r="B2460" t="s">
        <v>55</v>
      </c>
      <c r="C2460" t="s">
        <v>189</v>
      </c>
      <c r="D2460" t="s">
        <v>92</v>
      </c>
      <c r="E2460" t="s">
        <v>146</v>
      </c>
      <c r="F2460" t="s">
        <v>244</v>
      </c>
      <c r="G2460" s="39">
        <v>45733</v>
      </c>
      <c r="J2460" t="s">
        <v>982</v>
      </c>
    </row>
    <row r="2461" spans="1:10" x14ac:dyDescent="0.35">
      <c r="A2461">
        <v>118028</v>
      </c>
      <c r="B2461" t="s">
        <v>55</v>
      </c>
      <c r="C2461" t="s">
        <v>189</v>
      </c>
      <c r="D2461" t="s">
        <v>92</v>
      </c>
      <c r="E2461" t="s">
        <v>146</v>
      </c>
      <c r="F2461" t="s">
        <v>244</v>
      </c>
      <c r="G2461" s="39">
        <v>43572</v>
      </c>
      <c r="J2461" t="s">
        <v>982</v>
      </c>
    </row>
    <row r="2462" spans="1:10" x14ac:dyDescent="0.35">
      <c r="A2462">
        <v>15671</v>
      </c>
      <c r="B2462" t="s">
        <v>55</v>
      </c>
      <c r="C2462" t="s">
        <v>189</v>
      </c>
      <c r="D2462" t="s">
        <v>92</v>
      </c>
      <c r="E2462" t="s">
        <v>146</v>
      </c>
      <c r="F2462" t="s">
        <v>244</v>
      </c>
      <c r="G2462" s="39">
        <v>45161</v>
      </c>
      <c r="J2462" t="s">
        <v>982</v>
      </c>
    </row>
    <row r="2463" spans="1:10" x14ac:dyDescent="0.35">
      <c r="A2463">
        <v>16093</v>
      </c>
      <c r="B2463" t="s">
        <v>55</v>
      </c>
      <c r="C2463" t="s">
        <v>189</v>
      </c>
      <c r="D2463" t="s">
        <v>92</v>
      </c>
      <c r="E2463" t="s">
        <v>146</v>
      </c>
      <c r="F2463" t="s">
        <v>244</v>
      </c>
      <c r="G2463" s="39">
        <v>45281</v>
      </c>
      <c r="J2463" t="s">
        <v>982</v>
      </c>
    </row>
    <row r="2464" spans="1:10" x14ac:dyDescent="0.35">
      <c r="A2464">
        <v>13405</v>
      </c>
      <c r="B2464" t="s">
        <v>82</v>
      </c>
      <c r="C2464" t="s">
        <v>187</v>
      </c>
      <c r="D2464" t="s">
        <v>92</v>
      </c>
      <c r="E2464" t="s">
        <v>146</v>
      </c>
      <c r="F2464" t="s">
        <v>244</v>
      </c>
      <c r="G2464" s="39">
        <v>44427</v>
      </c>
      <c r="J2464" t="s">
        <v>982</v>
      </c>
    </row>
    <row r="2465" spans="1:10" x14ac:dyDescent="0.35">
      <c r="A2465">
        <v>13420</v>
      </c>
      <c r="B2465" t="s">
        <v>55</v>
      </c>
      <c r="C2465" t="s">
        <v>189</v>
      </c>
      <c r="D2465" t="s">
        <v>92</v>
      </c>
      <c r="E2465" t="s">
        <v>146</v>
      </c>
      <c r="F2465" t="s">
        <v>244</v>
      </c>
      <c r="G2465" s="39">
        <v>44442</v>
      </c>
      <c r="J2465" t="s">
        <v>982</v>
      </c>
    </row>
    <row r="2466" spans="1:10" x14ac:dyDescent="0.35">
      <c r="A2466">
        <v>137005</v>
      </c>
      <c r="B2466" t="s">
        <v>55</v>
      </c>
      <c r="C2466" t="s">
        <v>189</v>
      </c>
      <c r="D2466" t="s">
        <v>92</v>
      </c>
      <c r="E2466" t="s">
        <v>96</v>
      </c>
      <c r="F2466" t="s">
        <v>244</v>
      </c>
      <c r="G2466" s="39">
        <v>44320</v>
      </c>
      <c r="J2466" t="s">
        <v>982</v>
      </c>
    </row>
    <row r="2467" spans="1:10" x14ac:dyDescent="0.35">
      <c r="A2467">
        <v>11605</v>
      </c>
      <c r="B2467" t="s">
        <v>55</v>
      </c>
      <c r="C2467" t="s">
        <v>92</v>
      </c>
      <c r="D2467" t="s">
        <v>92</v>
      </c>
      <c r="E2467" t="s">
        <v>186</v>
      </c>
      <c r="F2467" t="s">
        <v>244</v>
      </c>
      <c r="G2467" s="39">
        <v>42900</v>
      </c>
      <c r="J2467" t="s">
        <v>982</v>
      </c>
    </row>
    <row r="2468" spans="1:10" x14ac:dyDescent="0.35">
      <c r="A2468">
        <v>16737</v>
      </c>
      <c r="B2468" t="s">
        <v>55</v>
      </c>
      <c r="C2468" t="s">
        <v>189</v>
      </c>
      <c r="D2468" t="s">
        <v>92</v>
      </c>
      <c r="E2468" t="s">
        <v>146</v>
      </c>
      <c r="F2468" t="s">
        <v>244</v>
      </c>
      <c r="G2468" s="39">
        <v>45537</v>
      </c>
      <c r="J2468" t="s">
        <v>982</v>
      </c>
    </row>
    <row r="2469" spans="1:10" x14ac:dyDescent="0.35">
      <c r="A2469">
        <v>17499</v>
      </c>
      <c r="B2469" t="s">
        <v>55</v>
      </c>
      <c r="C2469" t="s">
        <v>189</v>
      </c>
      <c r="D2469" t="s">
        <v>92</v>
      </c>
      <c r="E2469" t="s">
        <v>146</v>
      </c>
      <c r="F2469" t="s">
        <v>244</v>
      </c>
      <c r="G2469" s="39">
        <v>45771</v>
      </c>
      <c r="J2469" t="s">
        <v>982</v>
      </c>
    </row>
    <row r="2470" spans="1:10" x14ac:dyDescent="0.35">
      <c r="A2470">
        <v>16738</v>
      </c>
      <c r="B2470" t="s">
        <v>55</v>
      </c>
      <c r="C2470" t="s">
        <v>189</v>
      </c>
      <c r="D2470" t="s">
        <v>92</v>
      </c>
      <c r="E2470" t="s">
        <v>146</v>
      </c>
      <c r="F2470" t="s">
        <v>244</v>
      </c>
      <c r="G2470" s="39">
        <v>45544</v>
      </c>
      <c r="J2470" t="s">
        <v>982</v>
      </c>
    </row>
    <row r="2471" spans="1:10" x14ac:dyDescent="0.35">
      <c r="A2471">
        <v>16430</v>
      </c>
      <c r="B2471" t="s">
        <v>83</v>
      </c>
      <c r="C2471" t="s">
        <v>92</v>
      </c>
      <c r="D2471" t="s">
        <v>92</v>
      </c>
      <c r="E2471" t="s">
        <v>146</v>
      </c>
      <c r="F2471" t="s">
        <v>244</v>
      </c>
      <c r="G2471" s="39">
        <v>45387</v>
      </c>
      <c r="J2471" t="s">
        <v>982</v>
      </c>
    </row>
    <row r="2472" spans="1:10" x14ac:dyDescent="0.35">
      <c r="A2472">
        <v>11254</v>
      </c>
      <c r="B2472" t="s">
        <v>55</v>
      </c>
      <c r="C2472" t="s">
        <v>189</v>
      </c>
      <c r="D2472" t="s">
        <v>92</v>
      </c>
      <c r="E2472" t="s">
        <v>96</v>
      </c>
      <c r="F2472" t="s">
        <v>244</v>
      </c>
      <c r="G2472" s="39">
        <v>42471</v>
      </c>
      <c r="J2472" t="s">
        <v>982</v>
      </c>
    </row>
    <row r="2473" spans="1:10" x14ac:dyDescent="0.35">
      <c r="A2473">
        <v>230047</v>
      </c>
      <c r="B2473" t="s">
        <v>55</v>
      </c>
      <c r="C2473" t="s">
        <v>189</v>
      </c>
      <c r="D2473" t="s">
        <v>92</v>
      </c>
      <c r="E2473" t="s">
        <v>146</v>
      </c>
      <c r="F2473" t="s">
        <v>244</v>
      </c>
      <c r="G2473" s="39">
        <v>44580</v>
      </c>
      <c r="J2473" t="s">
        <v>982</v>
      </c>
    </row>
    <row r="2474" spans="1:10" x14ac:dyDescent="0.35">
      <c r="A2474">
        <v>14011</v>
      </c>
      <c r="B2474" t="s">
        <v>55</v>
      </c>
      <c r="C2474" t="s">
        <v>189</v>
      </c>
      <c r="D2474" t="s">
        <v>92</v>
      </c>
      <c r="E2474" t="s">
        <v>146</v>
      </c>
      <c r="F2474" t="s">
        <v>244</v>
      </c>
      <c r="G2474" s="39">
        <v>44624</v>
      </c>
      <c r="J2474" t="s">
        <v>982</v>
      </c>
    </row>
    <row r="2475" spans="1:10" x14ac:dyDescent="0.35">
      <c r="A2475">
        <v>14009</v>
      </c>
      <c r="B2475" t="s">
        <v>55</v>
      </c>
      <c r="C2475" t="s">
        <v>189</v>
      </c>
      <c r="D2475" t="s">
        <v>92</v>
      </c>
      <c r="E2475" t="s">
        <v>146</v>
      </c>
      <c r="F2475" t="s">
        <v>244</v>
      </c>
      <c r="G2475" s="39">
        <v>44624</v>
      </c>
      <c r="J2475" t="s">
        <v>982</v>
      </c>
    </row>
    <row r="2476" spans="1:10" x14ac:dyDescent="0.35">
      <c r="A2476">
        <v>14010</v>
      </c>
      <c r="B2476" t="s">
        <v>55</v>
      </c>
      <c r="C2476" t="s">
        <v>189</v>
      </c>
      <c r="D2476" t="s">
        <v>92</v>
      </c>
      <c r="E2476" t="s">
        <v>146</v>
      </c>
      <c r="F2476" t="s">
        <v>244</v>
      </c>
      <c r="G2476" s="39">
        <v>44624</v>
      </c>
      <c r="J2476" t="s">
        <v>982</v>
      </c>
    </row>
    <row r="2477" spans="1:10" x14ac:dyDescent="0.35">
      <c r="A2477">
        <v>12211</v>
      </c>
      <c r="B2477" t="s">
        <v>55</v>
      </c>
      <c r="C2477" t="s">
        <v>189</v>
      </c>
      <c r="D2477" t="s">
        <v>92</v>
      </c>
      <c r="E2477" t="s">
        <v>146</v>
      </c>
      <c r="F2477" t="s">
        <v>244</v>
      </c>
      <c r="G2477" s="39">
        <v>43593</v>
      </c>
      <c r="J2477" t="s">
        <v>982</v>
      </c>
    </row>
    <row r="2478" spans="1:10" x14ac:dyDescent="0.35">
      <c r="A2478">
        <v>17095</v>
      </c>
      <c r="B2478" t="s">
        <v>55</v>
      </c>
      <c r="C2478" t="s">
        <v>189</v>
      </c>
      <c r="D2478" t="s">
        <v>92</v>
      </c>
      <c r="E2478" t="s">
        <v>146</v>
      </c>
      <c r="F2478" t="s">
        <v>244</v>
      </c>
      <c r="G2478" s="39">
        <v>45624</v>
      </c>
      <c r="J2478" t="s">
        <v>982</v>
      </c>
    </row>
    <row r="2479" spans="1:10" x14ac:dyDescent="0.35">
      <c r="A2479">
        <v>12077</v>
      </c>
      <c r="B2479" t="s">
        <v>55</v>
      </c>
      <c r="C2479" t="s">
        <v>189</v>
      </c>
      <c r="D2479" t="s">
        <v>92</v>
      </c>
      <c r="E2479" t="s">
        <v>96</v>
      </c>
      <c r="F2479" t="s">
        <v>244</v>
      </c>
      <c r="G2479" s="39">
        <v>43447</v>
      </c>
      <c r="J2479" t="s">
        <v>982</v>
      </c>
    </row>
    <row r="2480" spans="1:10" x14ac:dyDescent="0.35">
      <c r="A2480">
        <v>17264</v>
      </c>
      <c r="B2480" t="s">
        <v>55</v>
      </c>
      <c r="C2480" t="s">
        <v>189</v>
      </c>
      <c r="D2480" t="s">
        <v>92</v>
      </c>
      <c r="E2480" t="s">
        <v>146</v>
      </c>
      <c r="F2480" t="s">
        <v>244</v>
      </c>
      <c r="G2480" s="39">
        <v>45691</v>
      </c>
      <c r="J2480" t="s">
        <v>982</v>
      </c>
    </row>
    <row r="2481" spans="1:10" x14ac:dyDescent="0.35">
      <c r="A2481">
        <v>18054</v>
      </c>
      <c r="B2481" t="s">
        <v>55</v>
      </c>
      <c r="C2481" t="s">
        <v>189</v>
      </c>
      <c r="D2481" t="s">
        <v>92</v>
      </c>
      <c r="E2481" t="s">
        <v>146</v>
      </c>
      <c r="F2481" t="s">
        <v>244</v>
      </c>
      <c r="G2481" s="39">
        <v>45979</v>
      </c>
      <c r="J2481" t="s">
        <v>982</v>
      </c>
    </row>
    <row r="2482" spans="1:10" x14ac:dyDescent="0.35">
      <c r="A2482">
        <v>18789</v>
      </c>
      <c r="B2482" t="s">
        <v>55</v>
      </c>
      <c r="C2482" t="s">
        <v>189</v>
      </c>
      <c r="D2482" t="s">
        <v>92</v>
      </c>
      <c r="E2482" t="s">
        <v>146</v>
      </c>
      <c r="F2482" t="s">
        <v>244</v>
      </c>
      <c r="G2482" s="39">
        <v>46217</v>
      </c>
      <c r="J2482" t="s">
        <v>982</v>
      </c>
    </row>
    <row r="2483" spans="1:10" x14ac:dyDescent="0.35">
      <c r="A2483">
        <v>17108</v>
      </c>
      <c r="B2483" t="s">
        <v>55</v>
      </c>
      <c r="C2483" t="s">
        <v>189</v>
      </c>
      <c r="D2483" t="s">
        <v>92</v>
      </c>
      <c r="E2483" t="s">
        <v>146</v>
      </c>
      <c r="F2483" t="s">
        <v>244</v>
      </c>
      <c r="G2483" s="39">
        <v>45636</v>
      </c>
      <c r="J2483" t="s">
        <v>982</v>
      </c>
    </row>
    <row r="2484" spans="1:10" x14ac:dyDescent="0.35">
      <c r="A2484">
        <v>17094</v>
      </c>
      <c r="B2484" t="s">
        <v>83</v>
      </c>
      <c r="C2484" t="s">
        <v>92</v>
      </c>
      <c r="D2484" t="s">
        <v>92</v>
      </c>
      <c r="E2484" t="s">
        <v>146</v>
      </c>
      <c r="F2484" t="s">
        <v>244</v>
      </c>
      <c r="G2484" s="39">
        <v>45624</v>
      </c>
      <c r="J2484" t="s">
        <v>982</v>
      </c>
    </row>
    <row r="2485" spans="1:10" x14ac:dyDescent="0.35">
      <c r="A2485">
        <v>12060</v>
      </c>
      <c r="B2485" t="s">
        <v>55</v>
      </c>
      <c r="C2485" t="s">
        <v>189</v>
      </c>
      <c r="D2485" t="s">
        <v>92</v>
      </c>
      <c r="E2485" t="s">
        <v>146</v>
      </c>
      <c r="F2485" t="s">
        <v>244</v>
      </c>
      <c r="G2485" s="39">
        <v>43437</v>
      </c>
      <c r="J2485" t="s">
        <v>982</v>
      </c>
    </row>
    <row r="2486" spans="1:10" x14ac:dyDescent="0.35">
      <c r="A2486">
        <v>730042</v>
      </c>
      <c r="B2486" t="s">
        <v>55</v>
      </c>
      <c r="C2486" t="s">
        <v>189</v>
      </c>
      <c r="D2486" t="s">
        <v>92</v>
      </c>
      <c r="E2486" t="s">
        <v>146</v>
      </c>
      <c r="F2486" t="s">
        <v>244</v>
      </c>
      <c r="G2486" s="39">
        <v>43892</v>
      </c>
      <c r="J2486" t="s">
        <v>982</v>
      </c>
    </row>
    <row r="2487" spans="1:10" x14ac:dyDescent="0.35">
      <c r="A2487">
        <v>220026</v>
      </c>
      <c r="B2487" t="s">
        <v>55</v>
      </c>
      <c r="C2487" t="s">
        <v>189</v>
      </c>
      <c r="D2487" t="s">
        <v>92</v>
      </c>
      <c r="E2487" t="s">
        <v>96</v>
      </c>
      <c r="F2487" t="s">
        <v>244</v>
      </c>
      <c r="G2487" s="39">
        <v>43238</v>
      </c>
      <c r="J2487" t="s">
        <v>982</v>
      </c>
    </row>
    <row r="2488" spans="1:10" x14ac:dyDescent="0.35">
      <c r="A2488">
        <v>11816</v>
      </c>
      <c r="B2488" t="s">
        <v>55</v>
      </c>
      <c r="C2488" t="s">
        <v>189</v>
      </c>
      <c r="D2488" t="s">
        <v>92</v>
      </c>
      <c r="E2488" t="s">
        <v>146</v>
      </c>
      <c r="F2488" t="s">
        <v>244</v>
      </c>
      <c r="G2488" s="39">
        <v>43160</v>
      </c>
      <c r="J2488" t="s">
        <v>982</v>
      </c>
    </row>
    <row r="2489" spans="1:10" x14ac:dyDescent="0.35">
      <c r="A2489">
        <v>900052</v>
      </c>
      <c r="B2489" t="s">
        <v>55</v>
      </c>
      <c r="C2489" t="s">
        <v>189</v>
      </c>
      <c r="D2489" t="s">
        <v>92</v>
      </c>
      <c r="E2489" t="s">
        <v>146</v>
      </c>
      <c r="F2489" t="s">
        <v>244</v>
      </c>
      <c r="G2489" s="39">
        <v>44400</v>
      </c>
      <c r="J2489" t="s">
        <v>982</v>
      </c>
    </row>
    <row r="2490" spans="1:10" x14ac:dyDescent="0.35">
      <c r="A2490">
        <v>15658</v>
      </c>
      <c r="B2490" t="s">
        <v>55</v>
      </c>
      <c r="C2490" t="s">
        <v>189</v>
      </c>
      <c r="D2490" t="s">
        <v>92</v>
      </c>
      <c r="E2490" t="s">
        <v>146</v>
      </c>
      <c r="F2490" t="s">
        <v>244</v>
      </c>
      <c r="G2490" s="39">
        <v>45155</v>
      </c>
      <c r="J2490" t="s">
        <v>982</v>
      </c>
    </row>
    <row r="2491" spans="1:10" x14ac:dyDescent="0.35">
      <c r="A2491">
        <v>16427</v>
      </c>
      <c r="B2491" t="s">
        <v>55</v>
      </c>
      <c r="C2491" t="s">
        <v>189</v>
      </c>
      <c r="D2491" t="s">
        <v>92</v>
      </c>
      <c r="E2491" t="s">
        <v>146</v>
      </c>
      <c r="F2491" t="s">
        <v>244</v>
      </c>
      <c r="G2491" s="39">
        <v>45387</v>
      </c>
      <c r="J2491" t="s">
        <v>982</v>
      </c>
    </row>
    <row r="2492" spans="1:10" x14ac:dyDescent="0.35">
      <c r="A2492">
        <v>500033</v>
      </c>
      <c r="B2492" t="s">
        <v>55</v>
      </c>
      <c r="C2492" t="s">
        <v>189</v>
      </c>
      <c r="D2492" t="s">
        <v>92</v>
      </c>
      <c r="E2492" t="s">
        <v>146</v>
      </c>
      <c r="F2492" t="s">
        <v>411</v>
      </c>
      <c r="G2492" s="39">
        <v>42405</v>
      </c>
      <c r="J2492" t="s">
        <v>982</v>
      </c>
    </row>
    <row r="2493" spans="1:10" x14ac:dyDescent="0.35">
      <c r="A2493">
        <v>17678</v>
      </c>
      <c r="B2493" t="s">
        <v>55</v>
      </c>
      <c r="C2493" t="s">
        <v>189</v>
      </c>
      <c r="D2493" t="s">
        <v>92</v>
      </c>
      <c r="E2493" t="s">
        <v>595</v>
      </c>
      <c r="F2493" t="s">
        <v>244</v>
      </c>
      <c r="G2493" s="39">
        <v>45842</v>
      </c>
      <c r="J2493" t="s">
        <v>982</v>
      </c>
    </row>
    <row r="2494" spans="1:10" x14ac:dyDescent="0.35">
      <c r="A2494">
        <v>12254</v>
      </c>
      <c r="B2494" t="s">
        <v>55</v>
      </c>
      <c r="C2494" t="s">
        <v>189</v>
      </c>
      <c r="D2494" t="s">
        <v>92</v>
      </c>
      <c r="E2494" t="s">
        <v>146</v>
      </c>
      <c r="F2494" t="s">
        <v>244</v>
      </c>
      <c r="G2494" s="39">
        <v>43648</v>
      </c>
      <c r="J2494" t="s">
        <v>982</v>
      </c>
    </row>
    <row r="2495" spans="1:10" x14ac:dyDescent="0.35">
      <c r="A2495">
        <v>13377</v>
      </c>
      <c r="B2495" t="s">
        <v>55</v>
      </c>
      <c r="C2495" t="s">
        <v>189</v>
      </c>
      <c r="D2495" t="s">
        <v>92</v>
      </c>
      <c r="E2495" t="s">
        <v>146</v>
      </c>
      <c r="F2495" t="s">
        <v>244</v>
      </c>
      <c r="G2495" s="39">
        <v>44413</v>
      </c>
      <c r="J2495" t="s">
        <v>982</v>
      </c>
    </row>
    <row r="2496" spans="1:10" x14ac:dyDescent="0.35">
      <c r="A2496">
        <v>12241</v>
      </c>
      <c r="B2496" t="s">
        <v>55</v>
      </c>
      <c r="C2496" t="s">
        <v>189</v>
      </c>
      <c r="D2496" t="s">
        <v>92</v>
      </c>
      <c r="E2496" t="s">
        <v>96</v>
      </c>
      <c r="F2496" t="s">
        <v>244</v>
      </c>
      <c r="G2496" s="39">
        <v>43630</v>
      </c>
      <c r="J2496" t="s">
        <v>982</v>
      </c>
    </row>
    <row r="2497" spans="1:10" x14ac:dyDescent="0.35">
      <c r="A2497">
        <v>11256</v>
      </c>
      <c r="B2497" t="s">
        <v>55</v>
      </c>
      <c r="C2497" t="s">
        <v>189</v>
      </c>
      <c r="D2497" t="s">
        <v>92</v>
      </c>
      <c r="E2497" t="s">
        <v>146</v>
      </c>
      <c r="F2497" t="s">
        <v>244</v>
      </c>
      <c r="G2497" s="39">
        <v>42471</v>
      </c>
      <c r="J2497" t="s">
        <v>982</v>
      </c>
    </row>
    <row r="2498" spans="1:10" x14ac:dyDescent="0.35">
      <c r="A2498">
        <v>15062</v>
      </c>
      <c r="B2498" t="s">
        <v>55</v>
      </c>
      <c r="C2498" t="s">
        <v>189</v>
      </c>
      <c r="D2498" t="s">
        <v>92</v>
      </c>
      <c r="E2498" t="s">
        <v>146</v>
      </c>
      <c r="F2498" t="s">
        <v>244</v>
      </c>
      <c r="G2498" s="39">
        <v>44938</v>
      </c>
      <c r="J2498" t="s">
        <v>982</v>
      </c>
    </row>
    <row r="2499" spans="1:10" x14ac:dyDescent="0.35">
      <c r="A2499">
        <v>16222</v>
      </c>
      <c r="B2499" t="s">
        <v>55</v>
      </c>
      <c r="C2499" t="s">
        <v>189</v>
      </c>
      <c r="D2499" t="s">
        <v>92</v>
      </c>
      <c r="E2499" t="s">
        <v>146</v>
      </c>
      <c r="F2499" t="s">
        <v>244</v>
      </c>
      <c r="G2499" s="39">
        <v>45324</v>
      </c>
      <c r="J2499" t="s">
        <v>982</v>
      </c>
    </row>
    <row r="2500" spans="1:10" x14ac:dyDescent="0.35">
      <c r="A2500">
        <v>12696</v>
      </c>
      <c r="B2500" t="s">
        <v>29</v>
      </c>
      <c r="C2500" t="s">
        <v>92</v>
      </c>
      <c r="D2500" t="s">
        <v>92</v>
      </c>
      <c r="E2500" t="s">
        <v>109</v>
      </c>
      <c r="F2500" t="s">
        <v>244</v>
      </c>
      <c r="G2500" s="39">
        <v>43868</v>
      </c>
      <c r="J2500" t="s">
        <v>982</v>
      </c>
    </row>
    <row r="2501" spans="1:10" x14ac:dyDescent="0.35">
      <c r="A2501">
        <v>15060</v>
      </c>
      <c r="B2501" t="s">
        <v>607</v>
      </c>
      <c r="C2501" t="s">
        <v>92</v>
      </c>
      <c r="D2501" t="s">
        <v>92</v>
      </c>
      <c r="E2501" t="s">
        <v>583</v>
      </c>
      <c r="F2501" t="s">
        <v>244</v>
      </c>
      <c r="G2501" s="39">
        <v>44937</v>
      </c>
      <c r="J2501" t="s">
        <v>982</v>
      </c>
    </row>
    <row r="2502" spans="1:10" x14ac:dyDescent="0.35">
      <c r="A2502">
        <v>15515</v>
      </c>
      <c r="B2502" t="s">
        <v>607</v>
      </c>
      <c r="C2502" t="s">
        <v>92</v>
      </c>
      <c r="D2502" t="s">
        <v>92</v>
      </c>
      <c r="E2502" t="s">
        <v>597</v>
      </c>
      <c r="F2502" t="s">
        <v>244</v>
      </c>
      <c r="G2502" s="39">
        <v>45100</v>
      </c>
      <c r="J2502" t="s">
        <v>982</v>
      </c>
    </row>
    <row r="2503" spans="1:10" x14ac:dyDescent="0.35">
      <c r="A2503">
        <v>17780</v>
      </c>
      <c r="B2503" t="s">
        <v>607</v>
      </c>
      <c r="C2503" t="s">
        <v>92</v>
      </c>
      <c r="D2503" t="s">
        <v>92</v>
      </c>
      <c r="E2503" t="s">
        <v>597</v>
      </c>
      <c r="F2503" t="s">
        <v>244</v>
      </c>
      <c r="G2503" s="39">
        <v>45876</v>
      </c>
      <c r="J2503" t="s">
        <v>982</v>
      </c>
    </row>
    <row r="2504" spans="1:10" x14ac:dyDescent="0.35">
      <c r="A2504">
        <v>18224</v>
      </c>
      <c r="B2504" t="s">
        <v>55</v>
      </c>
      <c r="C2504" t="s">
        <v>608</v>
      </c>
      <c r="D2504" t="s">
        <v>92</v>
      </c>
      <c r="E2504" t="s">
        <v>597</v>
      </c>
      <c r="F2504" t="s">
        <v>244</v>
      </c>
      <c r="G2504" s="39">
        <v>46063</v>
      </c>
      <c r="J2504" t="s">
        <v>982</v>
      </c>
    </row>
    <row r="2505" spans="1:10" x14ac:dyDescent="0.35">
      <c r="A2505">
        <v>16594</v>
      </c>
      <c r="B2505" t="s">
        <v>607</v>
      </c>
      <c r="C2505" t="s">
        <v>92</v>
      </c>
      <c r="D2505" t="s">
        <v>92</v>
      </c>
      <c r="E2505" t="s">
        <v>597</v>
      </c>
      <c r="F2505" t="s">
        <v>244</v>
      </c>
      <c r="G2505" s="39">
        <v>45491</v>
      </c>
      <c r="J2505" t="s">
        <v>982</v>
      </c>
    </row>
    <row r="2506" spans="1:10" x14ac:dyDescent="0.35">
      <c r="A2506">
        <v>16595</v>
      </c>
      <c r="B2506" t="s">
        <v>55</v>
      </c>
      <c r="C2506" t="s">
        <v>608</v>
      </c>
      <c r="D2506" t="s">
        <v>92</v>
      </c>
      <c r="E2506" t="s">
        <v>597</v>
      </c>
      <c r="F2506" t="s">
        <v>244</v>
      </c>
      <c r="G2506" s="39">
        <v>45491</v>
      </c>
      <c r="J2506" t="s">
        <v>982</v>
      </c>
    </row>
    <row r="2507" spans="1:10" x14ac:dyDescent="0.35">
      <c r="A2507">
        <v>15516</v>
      </c>
      <c r="B2507" t="s">
        <v>55</v>
      </c>
      <c r="C2507" t="s">
        <v>608</v>
      </c>
      <c r="D2507" t="s">
        <v>92</v>
      </c>
      <c r="E2507" t="s">
        <v>597</v>
      </c>
      <c r="F2507" t="s">
        <v>244</v>
      </c>
      <c r="G2507" s="39">
        <v>45100</v>
      </c>
      <c r="J2507" t="s">
        <v>982</v>
      </c>
    </row>
    <row r="2508" spans="1:10" x14ac:dyDescent="0.35">
      <c r="A2508">
        <v>18600</v>
      </c>
      <c r="B2508" t="s">
        <v>55</v>
      </c>
      <c r="C2508" t="s">
        <v>608</v>
      </c>
      <c r="D2508" t="s">
        <v>92</v>
      </c>
      <c r="E2508" t="s">
        <v>597</v>
      </c>
      <c r="F2508" t="s">
        <v>244</v>
      </c>
      <c r="G2508" s="39">
        <v>46163</v>
      </c>
      <c r="J2508" t="s">
        <v>982</v>
      </c>
    </row>
    <row r="2509" spans="1:10" x14ac:dyDescent="0.35">
      <c r="A2509">
        <v>17453</v>
      </c>
      <c r="B2509" t="s">
        <v>55</v>
      </c>
      <c r="C2509" t="s">
        <v>608</v>
      </c>
      <c r="D2509" t="s">
        <v>92</v>
      </c>
      <c r="E2509" t="s">
        <v>597</v>
      </c>
      <c r="F2509" t="s">
        <v>244</v>
      </c>
      <c r="G2509" s="39">
        <v>45756</v>
      </c>
      <c r="J2509" t="s">
        <v>982</v>
      </c>
    </row>
    <row r="2510" spans="1:10" x14ac:dyDescent="0.35">
      <c r="A2510">
        <v>17461</v>
      </c>
      <c r="B2510" t="s">
        <v>55</v>
      </c>
      <c r="C2510" t="s">
        <v>608</v>
      </c>
      <c r="D2510" t="s">
        <v>92</v>
      </c>
      <c r="E2510" t="s">
        <v>597</v>
      </c>
      <c r="F2510" t="s">
        <v>244</v>
      </c>
      <c r="G2510" s="39">
        <v>45758</v>
      </c>
      <c r="J2510" t="s">
        <v>982</v>
      </c>
    </row>
    <row r="2511" spans="1:10" x14ac:dyDescent="0.35">
      <c r="A2511">
        <v>18407</v>
      </c>
      <c r="B2511" t="s">
        <v>55</v>
      </c>
      <c r="C2511" t="s">
        <v>608</v>
      </c>
      <c r="D2511" t="s">
        <v>92</v>
      </c>
      <c r="E2511" t="s">
        <v>597</v>
      </c>
      <c r="F2511" t="s">
        <v>244</v>
      </c>
      <c r="G2511" s="39">
        <v>46125</v>
      </c>
      <c r="J2511" t="s">
        <v>982</v>
      </c>
    </row>
    <row r="2512" spans="1:10" x14ac:dyDescent="0.35">
      <c r="A2512">
        <v>17398</v>
      </c>
      <c r="B2512" t="s">
        <v>55</v>
      </c>
      <c r="C2512" t="s">
        <v>608</v>
      </c>
      <c r="D2512" t="s">
        <v>92</v>
      </c>
      <c r="E2512" t="s">
        <v>597</v>
      </c>
      <c r="F2512" t="s">
        <v>244</v>
      </c>
      <c r="G2512" s="39">
        <v>45730</v>
      </c>
      <c r="J2512" t="s">
        <v>982</v>
      </c>
    </row>
    <row r="2513" spans="1:10" x14ac:dyDescent="0.35">
      <c r="A2513">
        <v>18060</v>
      </c>
      <c r="B2513" t="s">
        <v>55</v>
      </c>
      <c r="C2513" t="s">
        <v>608</v>
      </c>
      <c r="D2513" t="s">
        <v>92</v>
      </c>
      <c r="E2513" t="s">
        <v>597</v>
      </c>
      <c r="F2513" t="s">
        <v>244</v>
      </c>
      <c r="G2513" s="39">
        <v>45980</v>
      </c>
      <c r="J2513" t="s">
        <v>982</v>
      </c>
    </row>
    <row r="2514" spans="1:10" x14ac:dyDescent="0.35">
      <c r="A2514">
        <v>18166</v>
      </c>
      <c r="B2514" t="s">
        <v>55</v>
      </c>
      <c r="C2514" t="s">
        <v>608</v>
      </c>
      <c r="D2514" t="s">
        <v>92</v>
      </c>
      <c r="E2514" t="s">
        <v>597</v>
      </c>
      <c r="F2514" t="s">
        <v>244</v>
      </c>
      <c r="G2514" s="39">
        <v>46029</v>
      </c>
      <c r="J2514" t="s">
        <v>982</v>
      </c>
    </row>
    <row r="2515" spans="1:10" x14ac:dyDescent="0.35">
      <c r="A2515">
        <v>18083</v>
      </c>
      <c r="B2515" t="s">
        <v>55</v>
      </c>
      <c r="C2515" t="s">
        <v>608</v>
      </c>
      <c r="D2515" t="s">
        <v>92</v>
      </c>
      <c r="E2515" t="s">
        <v>96</v>
      </c>
      <c r="F2515" t="s">
        <v>244</v>
      </c>
      <c r="G2515" s="39">
        <v>45987</v>
      </c>
      <c r="J2515" t="s">
        <v>982</v>
      </c>
    </row>
    <row r="2516" spans="1:10" x14ac:dyDescent="0.35">
      <c r="A2516">
        <v>15464</v>
      </c>
      <c r="B2516" t="s">
        <v>55</v>
      </c>
      <c r="C2516" t="s">
        <v>608</v>
      </c>
      <c r="D2516" t="s">
        <v>92</v>
      </c>
      <c r="E2516" t="s">
        <v>597</v>
      </c>
      <c r="F2516" t="s">
        <v>244</v>
      </c>
      <c r="G2516" s="39">
        <v>45082</v>
      </c>
      <c r="J2516" t="s">
        <v>982</v>
      </c>
    </row>
    <row r="2517" spans="1:10" x14ac:dyDescent="0.35">
      <c r="A2517">
        <v>13599</v>
      </c>
      <c r="B2517" t="s">
        <v>55</v>
      </c>
      <c r="C2517" t="s">
        <v>608</v>
      </c>
      <c r="D2517" t="s">
        <v>92</v>
      </c>
      <c r="E2517" t="s">
        <v>96</v>
      </c>
      <c r="F2517" t="s">
        <v>244</v>
      </c>
      <c r="G2517" s="39">
        <v>44511</v>
      </c>
      <c r="J2517" t="s">
        <v>982</v>
      </c>
    </row>
    <row r="2518" spans="1:10" x14ac:dyDescent="0.35">
      <c r="A2518">
        <v>16300</v>
      </c>
      <c r="B2518" t="s">
        <v>55</v>
      </c>
      <c r="C2518" t="s">
        <v>608</v>
      </c>
      <c r="D2518" t="s">
        <v>92</v>
      </c>
      <c r="E2518" t="s">
        <v>597</v>
      </c>
      <c r="F2518" t="s">
        <v>244</v>
      </c>
      <c r="G2518" s="39">
        <v>45345</v>
      </c>
      <c r="J2518" t="s">
        <v>982</v>
      </c>
    </row>
    <row r="2519" spans="1:10" x14ac:dyDescent="0.35">
      <c r="A2519">
        <v>15509</v>
      </c>
      <c r="B2519" t="s">
        <v>55</v>
      </c>
      <c r="C2519" t="s">
        <v>608</v>
      </c>
      <c r="D2519" t="s">
        <v>92</v>
      </c>
      <c r="E2519" t="s">
        <v>597</v>
      </c>
      <c r="F2519" t="s">
        <v>244</v>
      </c>
      <c r="G2519" s="39">
        <v>45100</v>
      </c>
      <c r="J2519" t="s">
        <v>982</v>
      </c>
    </row>
    <row r="2520" spans="1:10" x14ac:dyDescent="0.35">
      <c r="A2520">
        <v>18778</v>
      </c>
      <c r="B2520" t="s">
        <v>55</v>
      </c>
      <c r="C2520" t="s">
        <v>608</v>
      </c>
      <c r="D2520" t="s">
        <v>92</v>
      </c>
      <c r="E2520" t="s">
        <v>597</v>
      </c>
      <c r="F2520" t="s">
        <v>244</v>
      </c>
      <c r="G2520" s="39">
        <v>46217</v>
      </c>
      <c r="J2520" t="s">
        <v>982</v>
      </c>
    </row>
    <row r="2521" spans="1:10" x14ac:dyDescent="0.35">
      <c r="A2521">
        <v>14809</v>
      </c>
      <c r="B2521" t="s">
        <v>82</v>
      </c>
      <c r="C2521" t="s">
        <v>609</v>
      </c>
      <c r="D2521" t="s">
        <v>92</v>
      </c>
      <c r="E2521" t="s">
        <v>597</v>
      </c>
      <c r="F2521" t="s">
        <v>244</v>
      </c>
      <c r="G2521" s="39">
        <v>44866</v>
      </c>
      <c r="J2521" t="s">
        <v>982</v>
      </c>
    </row>
    <row r="2522" spans="1:10" x14ac:dyDescent="0.35">
      <c r="A2522">
        <v>18227</v>
      </c>
      <c r="B2522" t="s">
        <v>55</v>
      </c>
      <c r="C2522" t="s">
        <v>608</v>
      </c>
      <c r="D2522" t="s">
        <v>92</v>
      </c>
      <c r="E2522" t="s">
        <v>597</v>
      </c>
      <c r="F2522" t="s">
        <v>244</v>
      </c>
      <c r="G2522" s="39">
        <v>46064</v>
      </c>
      <c r="J2522" t="s">
        <v>982</v>
      </c>
    </row>
    <row r="2523" spans="1:10" x14ac:dyDescent="0.35">
      <c r="A2523">
        <v>19192</v>
      </c>
      <c r="B2523" t="s">
        <v>55</v>
      </c>
      <c r="C2523" t="s">
        <v>608</v>
      </c>
      <c r="D2523" t="s">
        <v>92</v>
      </c>
      <c r="E2523" t="s">
        <v>597</v>
      </c>
      <c r="F2523" t="s">
        <v>244</v>
      </c>
      <c r="G2523" s="39">
        <v>46280</v>
      </c>
      <c r="J2523" t="s">
        <v>982</v>
      </c>
    </row>
    <row r="2524" spans="1:10" x14ac:dyDescent="0.35">
      <c r="A2524">
        <v>16699</v>
      </c>
      <c r="B2524" t="s">
        <v>55</v>
      </c>
      <c r="C2524" t="s">
        <v>608</v>
      </c>
      <c r="D2524" t="s">
        <v>92</v>
      </c>
      <c r="E2524" t="s">
        <v>597</v>
      </c>
      <c r="F2524" t="s">
        <v>244</v>
      </c>
      <c r="G2524" s="39">
        <v>45530</v>
      </c>
      <c r="J2524" t="s">
        <v>982</v>
      </c>
    </row>
    <row r="2525" spans="1:10" x14ac:dyDescent="0.35">
      <c r="A2525">
        <v>12865</v>
      </c>
      <c r="B2525" t="s">
        <v>55</v>
      </c>
      <c r="C2525" t="s">
        <v>608</v>
      </c>
      <c r="D2525" t="s">
        <v>92</v>
      </c>
      <c r="E2525" t="s">
        <v>597</v>
      </c>
      <c r="F2525" t="s">
        <v>244</v>
      </c>
      <c r="G2525" s="39">
        <v>44062</v>
      </c>
      <c r="J2525" t="s">
        <v>982</v>
      </c>
    </row>
    <row r="2526" spans="1:10" x14ac:dyDescent="0.35">
      <c r="A2526">
        <v>13002</v>
      </c>
      <c r="B2526" t="s">
        <v>55</v>
      </c>
      <c r="C2526" t="s">
        <v>608</v>
      </c>
      <c r="D2526" t="s">
        <v>92</v>
      </c>
      <c r="E2526" t="s">
        <v>597</v>
      </c>
      <c r="F2526" t="s">
        <v>244</v>
      </c>
      <c r="G2526" s="39">
        <v>44181</v>
      </c>
      <c r="J2526" t="s">
        <v>982</v>
      </c>
    </row>
    <row r="2527" spans="1:10" x14ac:dyDescent="0.35">
      <c r="A2527">
        <v>18486</v>
      </c>
      <c r="B2527" t="s">
        <v>55</v>
      </c>
      <c r="C2527" t="s">
        <v>608</v>
      </c>
      <c r="D2527" t="s">
        <v>92</v>
      </c>
      <c r="E2527" t="s">
        <v>597</v>
      </c>
      <c r="F2527" t="s">
        <v>244</v>
      </c>
      <c r="G2527" s="39">
        <v>46139</v>
      </c>
      <c r="J2527" t="s">
        <v>982</v>
      </c>
    </row>
    <row r="2528" spans="1:10" x14ac:dyDescent="0.35">
      <c r="A2528">
        <v>17477</v>
      </c>
      <c r="B2528" t="s">
        <v>55</v>
      </c>
      <c r="C2528" t="s">
        <v>608</v>
      </c>
      <c r="D2528" t="s">
        <v>92</v>
      </c>
      <c r="E2528" t="s">
        <v>597</v>
      </c>
      <c r="F2528" t="s">
        <v>244</v>
      </c>
      <c r="G2528" s="39">
        <v>45763</v>
      </c>
      <c r="J2528" t="s">
        <v>982</v>
      </c>
    </row>
    <row r="2529" spans="1:10" x14ac:dyDescent="0.35">
      <c r="A2529">
        <v>14127</v>
      </c>
      <c r="B2529" t="s">
        <v>55</v>
      </c>
      <c r="C2529" t="s">
        <v>608</v>
      </c>
      <c r="D2529" t="s">
        <v>92</v>
      </c>
      <c r="E2529" t="s">
        <v>96</v>
      </c>
      <c r="F2529" t="s">
        <v>244</v>
      </c>
      <c r="G2529" s="39">
        <v>44670</v>
      </c>
      <c r="J2529" t="s">
        <v>982</v>
      </c>
    </row>
    <row r="2530" spans="1:10" x14ac:dyDescent="0.35">
      <c r="A2530">
        <v>14711</v>
      </c>
      <c r="B2530" t="s">
        <v>55</v>
      </c>
      <c r="C2530" t="s">
        <v>608</v>
      </c>
      <c r="D2530" t="s">
        <v>92</v>
      </c>
      <c r="E2530" t="s">
        <v>597</v>
      </c>
      <c r="F2530" t="s">
        <v>244</v>
      </c>
      <c r="G2530" s="39">
        <v>44837</v>
      </c>
      <c r="J2530" t="s">
        <v>982</v>
      </c>
    </row>
    <row r="2531" spans="1:10" x14ac:dyDescent="0.35">
      <c r="A2531">
        <v>17551</v>
      </c>
      <c r="B2531" t="s">
        <v>55</v>
      </c>
      <c r="C2531" t="s">
        <v>608</v>
      </c>
      <c r="D2531" t="s">
        <v>92</v>
      </c>
      <c r="E2531" t="s">
        <v>597</v>
      </c>
      <c r="F2531" t="s">
        <v>244</v>
      </c>
      <c r="G2531" s="39">
        <v>45789</v>
      </c>
      <c r="J2531" t="s">
        <v>982</v>
      </c>
    </row>
    <row r="2532" spans="1:10" x14ac:dyDescent="0.35">
      <c r="A2532">
        <v>16247</v>
      </c>
      <c r="B2532" t="s">
        <v>55</v>
      </c>
      <c r="C2532" t="s">
        <v>608</v>
      </c>
      <c r="D2532" t="s">
        <v>92</v>
      </c>
      <c r="E2532" t="s">
        <v>597</v>
      </c>
      <c r="F2532" t="s">
        <v>244</v>
      </c>
      <c r="G2532" s="39">
        <v>45330</v>
      </c>
      <c r="J2532" t="s">
        <v>982</v>
      </c>
    </row>
    <row r="2533" spans="1:10" x14ac:dyDescent="0.35">
      <c r="A2533">
        <v>12381</v>
      </c>
      <c r="B2533" t="s">
        <v>55</v>
      </c>
      <c r="C2533" t="s">
        <v>608</v>
      </c>
      <c r="D2533" t="s">
        <v>92</v>
      </c>
      <c r="E2533" t="s">
        <v>597</v>
      </c>
      <c r="F2533" t="s">
        <v>244</v>
      </c>
      <c r="G2533" s="39">
        <v>43724</v>
      </c>
      <c r="J2533" t="s">
        <v>982</v>
      </c>
    </row>
    <row r="2534" spans="1:10" x14ac:dyDescent="0.35">
      <c r="A2534">
        <v>13128</v>
      </c>
      <c r="B2534" t="s">
        <v>55</v>
      </c>
      <c r="C2534" t="s">
        <v>608</v>
      </c>
      <c r="D2534" t="s">
        <v>92</v>
      </c>
      <c r="E2534" t="s">
        <v>597</v>
      </c>
      <c r="F2534" t="s">
        <v>244</v>
      </c>
      <c r="G2534" s="39">
        <v>44270</v>
      </c>
      <c r="J2534" t="s">
        <v>982</v>
      </c>
    </row>
    <row r="2535" spans="1:10" x14ac:dyDescent="0.35">
      <c r="A2535">
        <v>17052</v>
      </c>
      <c r="B2535" t="s">
        <v>55</v>
      </c>
      <c r="C2535" t="s">
        <v>608</v>
      </c>
      <c r="D2535" t="s">
        <v>92</v>
      </c>
      <c r="E2535" t="s">
        <v>597</v>
      </c>
      <c r="F2535" t="s">
        <v>244</v>
      </c>
      <c r="G2535" s="39">
        <v>45602</v>
      </c>
      <c r="J2535" t="s">
        <v>982</v>
      </c>
    </row>
    <row r="2536" spans="1:10" x14ac:dyDescent="0.35">
      <c r="A2536">
        <v>12457</v>
      </c>
      <c r="B2536" t="s">
        <v>55</v>
      </c>
      <c r="C2536" t="s">
        <v>608</v>
      </c>
      <c r="D2536" t="s">
        <v>92</v>
      </c>
      <c r="E2536" t="s">
        <v>597</v>
      </c>
      <c r="F2536" t="s">
        <v>244</v>
      </c>
      <c r="G2536" s="39">
        <v>43756</v>
      </c>
      <c r="J2536" t="s">
        <v>982</v>
      </c>
    </row>
    <row r="2537" spans="1:10" x14ac:dyDescent="0.35">
      <c r="A2537">
        <v>17016</v>
      </c>
      <c r="B2537" t="s">
        <v>55</v>
      </c>
      <c r="C2537" t="s">
        <v>608</v>
      </c>
      <c r="D2537" t="s">
        <v>92</v>
      </c>
      <c r="E2537" t="s">
        <v>597</v>
      </c>
      <c r="F2537" t="s">
        <v>244</v>
      </c>
      <c r="G2537" s="39">
        <v>45611</v>
      </c>
      <c r="J2537" t="s">
        <v>982</v>
      </c>
    </row>
    <row r="2538" spans="1:10" x14ac:dyDescent="0.35">
      <c r="A2538">
        <v>11777</v>
      </c>
      <c r="B2538" t="s">
        <v>55</v>
      </c>
      <c r="C2538" t="s">
        <v>608</v>
      </c>
      <c r="D2538" t="s">
        <v>92</v>
      </c>
      <c r="E2538" t="s">
        <v>186</v>
      </c>
      <c r="F2538" t="s">
        <v>244</v>
      </c>
      <c r="G2538" s="39">
        <v>43110</v>
      </c>
      <c r="J2538" t="s">
        <v>982</v>
      </c>
    </row>
    <row r="2539" spans="1:10" x14ac:dyDescent="0.35">
      <c r="A2539">
        <v>16559</v>
      </c>
      <c r="B2539" t="s">
        <v>55</v>
      </c>
      <c r="C2539" t="s">
        <v>608</v>
      </c>
      <c r="D2539" t="s">
        <v>92</v>
      </c>
      <c r="E2539" t="s">
        <v>597</v>
      </c>
      <c r="F2539" t="s">
        <v>244</v>
      </c>
      <c r="G2539" s="39">
        <v>45488</v>
      </c>
      <c r="J2539" t="s">
        <v>982</v>
      </c>
    </row>
    <row r="2540" spans="1:10" x14ac:dyDescent="0.35">
      <c r="A2540">
        <v>18795</v>
      </c>
      <c r="B2540" t="s">
        <v>55</v>
      </c>
      <c r="C2540" t="s">
        <v>608</v>
      </c>
      <c r="D2540" t="s">
        <v>92</v>
      </c>
      <c r="E2540" t="s">
        <v>597</v>
      </c>
      <c r="F2540" t="s">
        <v>244</v>
      </c>
      <c r="G2540" s="39">
        <v>46216</v>
      </c>
      <c r="J2540" t="s">
        <v>982</v>
      </c>
    </row>
    <row r="2541" spans="1:10" x14ac:dyDescent="0.35">
      <c r="A2541">
        <v>14610</v>
      </c>
      <c r="B2541" t="s">
        <v>55</v>
      </c>
      <c r="C2541" t="s">
        <v>608</v>
      </c>
      <c r="D2541" t="s">
        <v>92</v>
      </c>
      <c r="E2541" t="s">
        <v>96</v>
      </c>
      <c r="F2541" t="s">
        <v>244</v>
      </c>
      <c r="G2541" s="39">
        <v>44805</v>
      </c>
      <c r="J2541" t="s">
        <v>982</v>
      </c>
    </row>
    <row r="2542" spans="1:10" x14ac:dyDescent="0.35">
      <c r="A2542">
        <v>17659</v>
      </c>
      <c r="B2542" t="s">
        <v>607</v>
      </c>
      <c r="C2542" t="s">
        <v>610</v>
      </c>
      <c r="D2542" t="s">
        <v>92</v>
      </c>
      <c r="E2542" t="s">
        <v>597</v>
      </c>
      <c r="F2542" t="s">
        <v>244</v>
      </c>
      <c r="G2542" s="39">
        <v>45839</v>
      </c>
      <c r="J2542" t="s">
        <v>982</v>
      </c>
    </row>
    <row r="2543" spans="1:10" x14ac:dyDescent="0.35">
      <c r="A2543">
        <v>12096</v>
      </c>
      <c r="B2543" t="s">
        <v>24</v>
      </c>
      <c r="C2543" t="s">
        <v>191</v>
      </c>
      <c r="D2543" t="s">
        <v>92</v>
      </c>
      <c r="E2543" t="s">
        <v>186</v>
      </c>
      <c r="F2543" t="s">
        <v>244</v>
      </c>
      <c r="G2543" s="39">
        <v>43469</v>
      </c>
      <c r="J2543" t="s">
        <v>982</v>
      </c>
    </row>
    <row r="2544" spans="1:10" x14ac:dyDescent="0.35">
      <c r="A2544">
        <v>14288</v>
      </c>
      <c r="B2544" t="s">
        <v>24</v>
      </c>
      <c r="C2544" t="s">
        <v>191</v>
      </c>
      <c r="D2544" t="s">
        <v>92</v>
      </c>
      <c r="E2544" t="s">
        <v>192</v>
      </c>
      <c r="F2544" t="s">
        <v>244</v>
      </c>
      <c r="G2544" s="39">
        <v>44714</v>
      </c>
      <c r="J2544" t="s">
        <v>982</v>
      </c>
    </row>
    <row r="2545" spans="1:10" x14ac:dyDescent="0.35">
      <c r="A2545">
        <v>17711</v>
      </c>
      <c r="B2545" t="s">
        <v>24</v>
      </c>
      <c r="C2545" t="s">
        <v>191</v>
      </c>
      <c r="D2545" t="s">
        <v>92</v>
      </c>
      <c r="E2545" t="s">
        <v>192</v>
      </c>
      <c r="F2545" t="s">
        <v>244</v>
      </c>
      <c r="G2545" s="39">
        <v>45852</v>
      </c>
      <c r="J2545" t="s">
        <v>982</v>
      </c>
    </row>
    <row r="2546" spans="1:10" x14ac:dyDescent="0.35">
      <c r="A2546">
        <v>16729</v>
      </c>
      <c r="B2546" t="s">
        <v>24</v>
      </c>
      <c r="C2546" t="s">
        <v>191</v>
      </c>
      <c r="D2546" t="s">
        <v>92</v>
      </c>
      <c r="E2546" t="s">
        <v>192</v>
      </c>
      <c r="F2546" t="s">
        <v>244</v>
      </c>
      <c r="G2546" s="39">
        <v>45538</v>
      </c>
      <c r="J2546" t="s">
        <v>982</v>
      </c>
    </row>
    <row r="2547" spans="1:10" x14ac:dyDescent="0.35">
      <c r="A2547">
        <v>17808</v>
      </c>
      <c r="B2547" t="s">
        <v>24</v>
      </c>
      <c r="C2547" t="s">
        <v>611</v>
      </c>
      <c r="D2547" t="s">
        <v>612</v>
      </c>
      <c r="E2547" t="s">
        <v>192</v>
      </c>
      <c r="F2547" t="s">
        <v>244</v>
      </c>
      <c r="G2547" s="39">
        <v>45876</v>
      </c>
      <c r="J2547" t="s">
        <v>982</v>
      </c>
    </row>
    <row r="2548" spans="1:10" x14ac:dyDescent="0.35">
      <c r="A2548">
        <v>12814</v>
      </c>
      <c r="B2548" t="s">
        <v>24</v>
      </c>
      <c r="C2548" t="s">
        <v>191</v>
      </c>
      <c r="D2548" t="s">
        <v>92</v>
      </c>
      <c r="E2548" t="s">
        <v>192</v>
      </c>
      <c r="F2548" t="s">
        <v>244</v>
      </c>
      <c r="G2548" s="39">
        <v>43955</v>
      </c>
      <c r="J2548" t="s">
        <v>982</v>
      </c>
    </row>
    <row r="2549" spans="1:10" x14ac:dyDescent="0.35">
      <c r="A2549">
        <v>15660</v>
      </c>
      <c r="B2549" t="s">
        <v>24</v>
      </c>
      <c r="C2549" t="s">
        <v>191</v>
      </c>
      <c r="D2549" t="s">
        <v>92</v>
      </c>
      <c r="E2549" t="s">
        <v>192</v>
      </c>
      <c r="F2549" t="s">
        <v>244</v>
      </c>
      <c r="G2549" s="39">
        <v>45156</v>
      </c>
      <c r="J2549" t="s">
        <v>982</v>
      </c>
    </row>
    <row r="2550" spans="1:10" x14ac:dyDescent="0.35">
      <c r="A2550">
        <v>19179</v>
      </c>
      <c r="B2550" t="s">
        <v>24</v>
      </c>
      <c r="C2550" t="s">
        <v>191</v>
      </c>
      <c r="D2550" t="s">
        <v>92</v>
      </c>
      <c r="E2550" t="s">
        <v>192</v>
      </c>
      <c r="F2550" t="s">
        <v>244</v>
      </c>
      <c r="G2550" s="39">
        <v>46281</v>
      </c>
      <c r="J2550" t="s">
        <v>982</v>
      </c>
    </row>
    <row r="2551" spans="1:10" x14ac:dyDescent="0.35">
      <c r="A2551">
        <v>19033</v>
      </c>
      <c r="B2551" t="s">
        <v>24</v>
      </c>
      <c r="C2551" t="s">
        <v>191</v>
      </c>
      <c r="D2551" t="s">
        <v>92</v>
      </c>
      <c r="E2551" t="s">
        <v>192</v>
      </c>
      <c r="F2551" t="s">
        <v>244</v>
      </c>
      <c r="G2551" s="39">
        <v>46260</v>
      </c>
      <c r="J2551" t="s">
        <v>982</v>
      </c>
    </row>
    <row r="2552" spans="1:10" x14ac:dyDescent="0.35">
      <c r="A2552">
        <v>13012</v>
      </c>
      <c r="B2552" t="s">
        <v>24</v>
      </c>
      <c r="C2552" t="s">
        <v>613</v>
      </c>
      <c r="D2552" t="s">
        <v>92</v>
      </c>
      <c r="E2552" t="s">
        <v>96</v>
      </c>
      <c r="F2552" t="s">
        <v>244</v>
      </c>
      <c r="G2552" s="39">
        <v>44202</v>
      </c>
      <c r="J2552" t="s">
        <v>982</v>
      </c>
    </row>
    <row r="2553" spans="1:10" x14ac:dyDescent="0.35">
      <c r="A2553">
        <v>13208</v>
      </c>
      <c r="B2553" t="s">
        <v>24</v>
      </c>
      <c r="C2553" t="s">
        <v>613</v>
      </c>
      <c r="D2553" t="s">
        <v>92</v>
      </c>
      <c r="E2553" t="s">
        <v>192</v>
      </c>
      <c r="F2553" t="s">
        <v>244</v>
      </c>
      <c r="G2553" s="39">
        <v>44322</v>
      </c>
      <c r="J2553" t="s">
        <v>982</v>
      </c>
    </row>
    <row r="2554" spans="1:10" x14ac:dyDescent="0.35">
      <c r="A2554">
        <v>17468</v>
      </c>
      <c r="B2554" t="s">
        <v>24</v>
      </c>
      <c r="C2554" t="s">
        <v>613</v>
      </c>
      <c r="D2554" t="s">
        <v>92</v>
      </c>
      <c r="E2554" t="s">
        <v>192</v>
      </c>
      <c r="F2554" t="s">
        <v>244</v>
      </c>
      <c r="G2554" s="39">
        <v>45762</v>
      </c>
      <c r="J2554" t="s">
        <v>982</v>
      </c>
    </row>
    <row r="2555" spans="1:10" x14ac:dyDescent="0.35">
      <c r="A2555">
        <v>17234</v>
      </c>
      <c r="B2555" t="s">
        <v>24</v>
      </c>
      <c r="C2555" t="s">
        <v>613</v>
      </c>
      <c r="D2555" t="s">
        <v>92</v>
      </c>
      <c r="E2555" t="s">
        <v>192</v>
      </c>
      <c r="F2555" t="s">
        <v>244</v>
      </c>
      <c r="G2555" s="39">
        <v>45672</v>
      </c>
      <c r="J2555" t="s">
        <v>982</v>
      </c>
    </row>
    <row r="2556" spans="1:10" x14ac:dyDescent="0.35">
      <c r="A2556">
        <v>18634</v>
      </c>
      <c r="B2556" t="s">
        <v>24</v>
      </c>
      <c r="C2556" t="s">
        <v>613</v>
      </c>
      <c r="D2556" t="s">
        <v>92</v>
      </c>
      <c r="E2556" t="s">
        <v>192</v>
      </c>
      <c r="F2556" t="s">
        <v>244</v>
      </c>
      <c r="G2556" s="39">
        <v>46182</v>
      </c>
      <c r="J2556" t="s">
        <v>982</v>
      </c>
    </row>
    <row r="2557" spans="1:10" x14ac:dyDescent="0.35">
      <c r="A2557">
        <v>17161</v>
      </c>
      <c r="B2557" t="s">
        <v>24</v>
      </c>
      <c r="C2557" t="s">
        <v>611</v>
      </c>
      <c r="D2557" t="s">
        <v>612</v>
      </c>
      <c r="E2557" t="s">
        <v>186</v>
      </c>
      <c r="F2557" t="s">
        <v>244</v>
      </c>
      <c r="G2557" s="39">
        <v>45646</v>
      </c>
      <c r="J2557" t="s">
        <v>982</v>
      </c>
    </row>
    <row r="2558" spans="1:10" x14ac:dyDescent="0.35">
      <c r="A2558">
        <v>16640</v>
      </c>
      <c r="B2558" t="s">
        <v>24</v>
      </c>
      <c r="C2558" t="s">
        <v>611</v>
      </c>
      <c r="D2558" t="s">
        <v>92</v>
      </c>
      <c r="E2558" t="s">
        <v>192</v>
      </c>
      <c r="F2558" t="s">
        <v>244</v>
      </c>
      <c r="G2558" s="39">
        <v>45509</v>
      </c>
      <c r="J2558" t="s">
        <v>982</v>
      </c>
    </row>
    <row r="2559" spans="1:10" x14ac:dyDescent="0.35">
      <c r="A2559">
        <v>18361</v>
      </c>
      <c r="B2559" t="s">
        <v>24</v>
      </c>
      <c r="C2559" t="s">
        <v>613</v>
      </c>
      <c r="D2559" t="s">
        <v>612</v>
      </c>
      <c r="E2559" t="s">
        <v>192</v>
      </c>
      <c r="F2559" t="s">
        <v>244</v>
      </c>
      <c r="G2559" s="39">
        <v>46113</v>
      </c>
      <c r="J2559" t="s">
        <v>982</v>
      </c>
    </row>
    <row r="2560" spans="1:10" x14ac:dyDescent="0.35">
      <c r="A2560">
        <v>15589</v>
      </c>
      <c r="B2560" t="s">
        <v>24</v>
      </c>
      <c r="C2560" t="s">
        <v>611</v>
      </c>
      <c r="D2560" t="s">
        <v>612</v>
      </c>
      <c r="E2560" t="s">
        <v>192</v>
      </c>
      <c r="F2560" t="s">
        <v>244</v>
      </c>
      <c r="G2560" s="39">
        <v>45126</v>
      </c>
      <c r="J2560" t="s">
        <v>982</v>
      </c>
    </row>
    <row r="2561" spans="1:10" x14ac:dyDescent="0.35">
      <c r="A2561">
        <v>17089</v>
      </c>
      <c r="B2561" t="s">
        <v>24</v>
      </c>
      <c r="C2561" t="s">
        <v>611</v>
      </c>
      <c r="D2561" t="s">
        <v>612</v>
      </c>
      <c r="E2561" t="s">
        <v>192</v>
      </c>
      <c r="F2561" t="s">
        <v>411</v>
      </c>
      <c r="G2561" s="39">
        <v>45628</v>
      </c>
      <c r="J2561" t="s">
        <v>982</v>
      </c>
    </row>
    <row r="2562" spans="1:10" x14ac:dyDescent="0.35">
      <c r="A2562">
        <v>12813</v>
      </c>
      <c r="B2562" t="s">
        <v>24</v>
      </c>
      <c r="C2562" t="s">
        <v>611</v>
      </c>
      <c r="D2562" t="s">
        <v>614</v>
      </c>
      <c r="E2562" t="s">
        <v>192</v>
      </c>
      <c r="F2562" t="s">
        <v>244</v>
      </c>
      <c r="G2562" s="39">
        <v>43955</v>
      </c>
      <c r="J2562" t="s">
        <v>982</v>
      </c>
    </row>
    <row r="2563" spans="1:10" x14ac:dyDescent="0.35">
      <c r="A2563">
        <v>18823</v>
      </c>
      <c r="B2563" t="s">
        <v>24</v>
      </c>
      <c r="C2563" t="s">
        <v>191</v>
      </c>
      <c r="D2563" t="s">
        <v>92</v>
      </c>
      <c r="E2563" t="s">
        <v>192</v>
      </c>
      <c r="F2563" t="s">
        <v>244</v>
      </c>
      <c r="G2563" s="39">
        <v>46216</v>
      </c>
      <c r="H2563" t="s">
        <v>249</v>
      </c>
      <c r="J2563" t="s">
        <v>982</v>
      </c>
    </row>
    <row r="2564" spans="1:10" x14ac:dyDescent="0.35">
      <c r="A2564">
        <v>18846</v>
      </c>
      <c r="B2564" t="s">
        <v>24</v>
      </c>
      <c r="C2564" t="s">
        <v>191</v>
      </c>
      <c r="D2564" t="s">
        <v>92</v>
      </c>
      <c r="E2564" t="s">
        <v>192</v>
      </c>
      <c r="F2564" t="s">
        <v>244</v>
      </c>
      <c r="G2564" s="39">
        <v>46219</v>
      </c>
      <c r="H2564" t="s">
        <v>249</v>
      </c>
      <c r="J2564" t="s">
        <v>982</v>
      </c>
    </row>
    <row r="2565" spans="1:10" x14ac:dyDescent="0.35">
      <c r="A2565">
        <v>18845</v>
      </c>
      <c r="B2565" t="s">
        <v>24</v>
      </c>
      <c r="C2565" t="s">
        <v>191</v>
      </c>
      <c r="D2565" t="s">
        <v>92</v>
      </c>
      <c r="E2565" t="s">
        <v>192</v>
      </c>
      <c r="F2565" t="s">
        <v>244</v>
      </c>
      <c r="G2565" s="39">
        <v>46219</v>
      </c>
      <c r="H2565" t="s">
        <v>249</v>
      </c>
      <c r="J2565" t="s">
        <v>982</v>
      </c>
    </row>
    <row r="2566" spans="1:10" x14ac:dyDescent="0.35">
      <c r="A2566">
        <v>18875</v>
      </c>
      <c r="B2566" t="s">
        <v>24</v>
      </c>
      <c r="C2566" t="s">
        <v>191</v>
      </c>
      <c r="D2566" t="s">
        <v>92</v>
      </c>
      <c r="E2566" t="s">
        <v>192</v>
      </c>
      <c r="F2566" t="s">
        <v>244</v>
      </c>
      <c r="G2566" s="39">
        <v>46224</v>
      </c>
      <c r="H2566" t="s">
        <v>249</v>
      </c>
      <c r="J2566" t="s">
        <v>982</v>
      </c>
    </row>
    <row r="2567" spans="1:10" x14ac:dyDescent="0.35">
      <c r="A2567">
        <v>14287</v>
      </c>
      <c r="B2567" t="s">
        <v>24</v>
      </c>
      <c r="C2567" t="s">
        <v>611</v>
      </c>
      <c r="D2567" t="s">
        <v>92</v>
      </c>
      <c r="E2567" t="s">
        <v>192</v>
      </c>
      <c r="F2567" t="s">
        <v>244</v>
      </c>
      <c r="G2567" s="39">
        <v>44714</v>
      </c>
      <c r="J2567" t="s">
        <v>982</v>
      </c>
    </row>
    <row r="2568" spans="1:10" x14ac:dyDescent="0.35">
      <c r="A2568">
        <v>11732</v>
      </c>
      <c r="B2568" t="s">
        <v>25</v>
      </c>
      <c r="C2568" t="s">
        <v>92</v>
      </c>
      <c r="D2568" t="s">
        <v>92</v>
      </c>
      <c r="E2568" t="s">
        <v>383</v>
      </c>
      <c r="F2568" t="s">
        <v>244</v>
      </c>
      <c r="G2568" s="39">
        <v>43070</v>
      </c>
      <c r="J2568" t="s">
        <v>982</v>
      </c>
    </row>
    <row r="2569" spans="1:10" x14ac:dyDescent="0.35">
      <c r="A2569">
        <v>14468</v>
      </c>
      <c r="B2569" t="s">
        <v>25</v>
      </c>
      <c r="C2569" t="s">
        <v>193</v>
      </c>
      <c r="D2569" t="s">
        <v>92</v>
      </c>
      <c r="E2569" t="s">
        <v>615</v>
      </c>
      <c r="F2569" t="s">
        <v>244</v>
      </c>
      <c r="G2569" s="39">
        <v>44767</v>
      </c>
      <c r="J2569" t="s">
        <v>982</v>
      </c>
    </row>
    <row r="2570" spans="1:10" x14ac:dyDescent="0.35">
      <c r="A2570">
        <v>18203</v>
      </c>
      <c r="B2570" t="s">
        <v>25</v>
      </c>
      <c r="C2570" t="s">
        <v>193</v>
      </c>
      <c r="D2570" t="s">
        <v>92</v>
      </c>
      <c r="E2570" t="s">
        <v>615</v>
      </c>
      <c r="F2570" t="s">
        <v>244</v>
      </c>
      <c r="G2570" s="39">
        <v>46056</v>
      </c>
      <c r="J2570" t="s">
        <v>982</v>
      </c>
    </row>
    <row r="2571" spans="1:10" x14ac:dyDescent="0.35">
      <c r="A2571">
        <v>18526</v>
      </c>
      <c r="B2571" t="s">
        <v>25</v>
      </c>
      <c r="C2571" t="s">
        <v>194</v>
      </c>
      <c r="D2571" t="s">
        <v>92</v>
      </c>
      <c r="E2571" t="s">
        <v>96</v>
      </c>
      <c r="F2571" t="s">
        <v>244</v>
      </c>
      <c r="G2571" s="39">
        <v>46143</v>
      </c>
      <c r="H2571" t="s">
        <v>248</v>
      </c>
      <c r="J2571" t="s">
        <v>982</v>
      </c>
    </row>
    <row r="2572" spans="1:10" x14ac:dyDescent="0.35">
      <c r="A2572">
        <v>13865</v>
      </c>
      <c r="B2572" t="s">
        <v>25</v>
      </c>
      <c r="C2572" t="s">
        <v>194</v>
      </c>
      <c r="D2572" t="s">
        <v>92</v>
      </c>
      <c r="E2572" t="s">
        <v>195</v>
      </c>
      <c r="F2572" t="s">
        <v>244</v>
      </c>
      <c r="G2572" s="39">
        <v>44613</v>
      </c>
      <c r="J2572" t="s">
        <v>982</v>
      </c>
    </row>
    <row r="2573" spans="1:10" x14ac:dyDescent="0.35">
      <c r="A2573">
        <v>18420</v>
      </c>
      <c r="B2573" t="s">
        <v>25</v>
      </c>
      <c r="C2573" t="s">
        <v>194</v>
      </c>
      <c r="D2573" t="s">
        <v>92</v>
      </c>
      <c r="E2573" t="s">
        <v>195</v>
      </c>
      <c r="F2573" t="s">
        <v>244</v>
      </c>
      <c r="G2573" s="39">
        <v>46122</v>
      </c>
      <c r="H2573" t="s">
        <v>57</v>
      </c>
      <c r="J2573" t="s">
        <v>982</v>
      </c>
    </row>
    <row r="2574" spans="1:10" x14ac:dyDescent="0.35">
      <c r="A2574">
        <v>18421</v>
      </c>
      <c r="B2574" t="s">
        <v>25</v>
      </c>
      <c r="C2574" t="s">
        <v>194</v>
      </c>
      <c r="D2574" t="s">
        <v>92</v>
      </c>
      <c r="E2574" t="s">
        <v>195</v>
      </c>
      <c r="F2574" t="s">
        <v>244</v>
      </c>
      <c r="G2574" s="39">
        <v>46122</v>
      </c>
      <c r="H2574" t="s">
        <v>57</v>
      </c>
      <c r="J2574" t="s">
        <v>982</v>
      </c>
    </row>
    <row r="2575" spans="1:10" x14ac:dyDescent="0.35">
      <c r="A2575">
        <v>16598</v>
      </c>
      <c r="B2575" t="s">
        <v>25</v>
      </c>
      <c r="C2575" t="s">
        <v>194</v>
      </c>
      <c r="D2575" t="s">
        <v>92</v>
      </c>
      <c r="E2575" t="s">
        <v>195</v>
      </c>
      <c r="F2575" t="s">
        <v>244</v>
      </c>
      <c r="G2575" s="39">
        <v>45491</v>
      </c>
      <c r="J2575" t="s">
        <v>982</v>
      </c>
    </row>
    <row r="2576" spans="1:10" x14ac:dyDescent="0.35">
      <c r="A2576">
        <v>18208</v>
      </c>
      <c r="B2576" t="s">
        <v>25</v>
      </c>
      <c r="C2576" t="s">
        <v>194</v>
      </c>
      <c r="D2576" t="s">
        <v>92</v>
      </c>
      <c r="E2576" t="s">
        <v>195</v>
      </c>
      <c r="F2576" t="s">
        <v>244</v>
      </c>
      <c r="G2576" s="39">
        <v>46056</v>
      </c>
      <c r="J2576" t="s">
        <v>982</v>
      </c>
    </row>
    <row r="2577" spans="1:10" x14ac:dyDescent="0.35">
      <c r="A2577">
        <v>14419</v>
      </c>
      <c r="B2577" t="s">
        <v>25</v>
      </c>
      <c r="C2577" t="s">
        <v>196</v>
      </c>
      <c r="D2577" t="s">
        <v>92</v>
      </c>
      <c r="E2577" t="s">
        <v>96</v>
      </c>
      <c r="F2577" t="s">
        <v>244</v>
      </c>
      <c r="G2577" s="39">
        <v>44755</v>
      </c>
      <c r="J2577" t="s">
        <v>982</v>
      </c>
    </row>
    <row r="2578" spans="1:10" x14ac:dyDescent="0.35">
      <c r="A2578">
        <v>18801</v>
      </c>
      <c r="B2578" t="s">
        <v>25</v>
      </c>
      <c r="C2578" t="s">
        <v>196</v>
      </c>
      <c r="D2578" t="s">
        <v>92</v>
      </c>
      <c r="E2578" t="s">
        <v>96</v>
      </c>
      <c r="F2578" t="s">
        <v>244</v>
      </c>
      <c r="G2578" s="39">
        <v>46211</v>
      </c>
      <c r="H2578" t="s">
        <v>57</v>
      </c>
      <c r="J2578" t="s">
        <v>982</v>
      </c>
    </row>
    <row r="2579" spans="1:10" x14ac:dyDescent="0.35">
      <c r="A2579">
        <v>18422</v>
      </c>
      <c r="B2579" t="s">
        <v>25</v>
      </c>
      <c r="C2579" t="s">
        <v>196</v>
      </c>
      <c r="D2579" t="s">
        <v>92</v>
      </c>
      <c r="E2579" t="s">
        <v>197</v>
      </c>
      <c r="F2579" t="s">
        <v>244</v>
      </c>
      <c r="G2579" s="39">
        <v>46122</v>
      </c>
      <c r="H2579" t="s">
        <v>57</v>
      </c>
      <c r="J2579" t="s">
        <v>982</v>
      </c>
    </row>
    <row r="2580" spans="1:10" x14ac:dyDescent="0.35">
      <c r="A2580">
        <v>19016</v>
      </c>
      <c r="B2580" t="s">
        <v>25</v>
      </c>
      <c r="C2580" t="s">
        <v>196</v>
      </c>
      <c r="D2580" t="s">
        <v>92</v>
      </c>
      <c r="E2580" t="s">
        <v>197</v>
      </c>
      <c r="F2580" t="s">
        <v>244</v>
      </c>
      <c r="G2580" s="39">
        <v>46254</v>
      </c>
      <c r="J2580" t="s">
        <v>982</v>
      </c>
    </row>
    <row r="2581" spans="1:10" x14ac:dyDescent="0.35">
      <c r="A2581">
        <v>17552</v>
      </c>
      <c r="B2581" t="s">
        <v>25</v>
      </c>
      <c r="C2581" t="s">
        <v>196</v>
      </c>
      <c r="D2581" t="s">
        <v>92</v>
      </c>
      <c r="E2581" t="s">
        <v>197</v>
      </c>
      <c r="F2581" t="s">
        <v>244</v>
      </c>
      <c r="G2581" s="39">
        <v>45796</v>
      </c>
      <c r="J2581" t="s">
        <v>982</v>
      </c>
    </row>
    <row r="2582" spans="1:10" x14ac:dyDescent="0.35">
      <c r="A2582">
        <v>18543</v>
      </c>
      <c r="B2582" t="s">
        <v>25</v>
      </c>
      <c r="C2582" t="s">
        <v>193</v>
      </c>
      <c r="D2582" t="s">
        <v>92</v>
      </c>
      <c r="E2582" t="s">
        <v>197</v>
      </c>
      <c r="F2582" t="s">
        <v>244</v>
      </c>
      <c r="G2582" s="39">
        <v>46146</v>
      </c>
      <c r="H2582" t="s">
        <v>57</v>
      </c>
      <c r="J2582" t="s">
        <v>982</v>
      </c>
    </row>
    <row r="2583" spans="1:10" x14ac:dyDescent="0.35">
      <c r="A2583">
        <v>17342</v>
      </c>
      <c r="B2583" t="s">
        <v>25</v>
      </c>
      <c r="C2583" t="s">
        <v>196</v>
      </c>
      <c r="D2583" t="s">
        <v>92</v>
      </c>
      <c r="E2583" t="s">
        <v>197</v>
      </c>
      <c r="F2583" t="s">
        <v>244</v>
      </c>
      <c r="G2583" s="39">
        <v>45719</v>
      </c>
      <c r="J2583" t="s">
        <v>982</v>
      </c>
    </row>
    <row r="2584" spans="1:10" x14ac:dyDescent="0.35">
      <c r="A2584">
        <v>17758</v>
      </c>
      <c r="B2584" t="s">
        <v>25</v>
      </c>
      <c r="C2584" t="s">
        <v>196</v>
      </c>
      <c r="D2584" t="s">
        <v>92</v>
      </c>
      <c r="E2584" t="s">
        <v>197</v>
      </c>
      <c r="F2584" t="s">
        <v>244</v>
      </c>
      <c r="G2584" s="39">
        <v>45863</v>
      </c>
      <c r="J2584" t="s">
        <v>982</v>
      </c>
    </row>
    <row r="2585" spans="1:10" x14ac:dyDescent="0.35">
      <c r="A2585">
        <v>16596</v>
      </c>
      <c r="B2585" t="s">
        <v>25</v>
      </c>
      <c r="C2585" t="s">
        <v>196</v>
      </c>
      <c r="D2585" t="s">
        <v>92</v>
      </c>
      <c r="E2585" t="s">
        <v>197</v>
      </c>
      <c r="F2585" t="s">
        <v>244</v>
      </c>
      <c r="G2585" s="39">
        <v>45491</v>
      </c>
      <c r="J2585" t="s">
        <v>982</v>
      </c>
    </row>
    <row r="2586" spans="1:10" x14ac:dyDescent="0.35">
      <c r="A2586">
        <v>11331</v>
      </c>
      <c r="B2586" t="s">
        <v>25</v>
      </c>
      <c r="C2586" t="s">
        <v>196</v>
      </c>
      <c r="D2586" t="s">
        <v>92</v>
      </c>
      <c r="E2586" t="s">
        <v>197</v>
      </c>
      <c r="F2586" t="s">
        <v>244</v>
      </c>
      <c r="G2586" s="39">
        <v>42538</v>
      </c>
      <c r="J2586" t="s">
        <v>982</v>
      </c>
    </row>
    <row r="2587" spans="1:10" x14ac:dyDescent="0.35">
      <c r="A2587">
        <v>11781</v>
      </c>
      <c r="B2587" t="s">
        <v>25</v>
      </c>
      <c r="C2587" t="s">
        <v>196</v>
      </c>
      <c r="D2587" t="s">
        <v>92</v>
      </c>
      <c r="E2587" t="s">
        <v>197</v>
      </c>
      <c r="F2587" t="s">
        <v>244</v>
      </c>
      <c r="G2587" s="39">
        <v>43117</v>
      </c>
      <c r="J2587" t="s">
        <v>982</v>
      </c>
    </row>
    <row r="2588" spans="1:10" x14ac:dyDescent="0.35">
      <c r="A2588">
        <v>15948</v>
      </c>
      <c r="B2588" t="s">
        <v>20</v>
      </c>
      <c r="C2588" t="s">
        <v>92</v>
      </c>
      <c r="D2588" t="s">
        <v>92</v>
      </c>
      <c r="E2588" t="s">
        <v>157</v>
      </c>
      <c r="F2588" t="s">
        <v>244</v>
      </c>
      <c r="G2588" s="39">
        <v>45244</v>
      </c>
      <c r="J2588" t="s">
        <v>982</v>
      </c>
    </row>
    <row r="2589" spans="1:10" x14ac:dyDescent="0.35">
      <c r="A2589">
        <v>16546</v>
      </c>
      <c r="B2589" t="s">
        <v>20</v>
      </c>
      <c r="C2589" t="s">
        <v>616</v>
      </c>
      <c r="D2589" t="s">
        <v>92</v>
      </c>
      <c r="E2589" t="s">
        <v>98</v>
      </c>
      <c r="F2589" t="s">
        <v>245</v>
      </c>
      <c r="G2589" s="39">
        <v>45475</v>
      </c>
      <c r="J2589" t="s">
        <v>982</v>
      </c>
    </row>
    <row r="2590" spans="1:10" x14ac:dyDescent="0.35">
      <c r="A2590">
        <v>18611</v>
      </c>
      <c r="B2590" t="s">
        <v>20</v>
      </c>
      <c r="C2590" t="s">
        <v>617</v>
      </c>
      <c r="D2590" t="s">
        <v>92</v>
      </c>
      <c r="E2590" t="s">
        <v>98</v>
      </c>
      <c r="F2590" t="s">
        <v>244</v>
      </c>
      <c r="G2590" s="39">
        <v>46164</v>
      </c>
      <c r="J2590" t="s">
        <v>982</v>
      </c>
    </row>
    <row r="2591" spans="1:10" x14ac:dyDescent="0.35">
      <c r="A2591">
        <v>16392</v>
      </c>
      <c r="B2591" t="s">
        <v>20</v>
      </c>
      <c r="C2591" t="s">
        <v>560</v>
      </c>
      <c r="D2591" t="s">
        <v>92</v>
      </c>
      <c r="E2591" t="s">
        <v>578</v>
      </c>
      <c r="F2591" t="s">
        <v>244</v>
      </c>
      <c r="G2591" s="39">
        <v>45383</v>
      </c>
      <c r="J2591" t="s">
        <v>982</v>
      </c>
    </row>
    <row r="2592" spans="1:10" x14ac:dyDescent="0.35">
      <c r="A2592">
        <v>12821</v>
      </c>
      <c r="B2592" t="s">
        <v>521</v>
      </c>
      <c r="C2592" t="s">
        <v>618</v>
      </c>
      <c r="D2592" t="s">
        <v>92</v>
      </c>
      <c r="E2592" t="s">
        <v>98</v>
      </c>
      <c r="F2592" t="s">
        <v>244</v>
      </c>
      <c r="G2592" s="39">
        <v>43970</v>
      </c>
      <c r="J2592" t="s">
        <v>982</v>
      </c>
    </row>
    <row r="2593" spans="1:10" x14ac:dyDescent="0.35">
      <c r="A2593">
        <v>18401</v>
      </c>
      <c r="B2593" t="s">
        <v>20</v>
      </c>
      <c r="C2593" t="s">
        <v>619</v>
      </c>
      <c r="D2593" t="s">
        <v>92</v>
      </c>
      <c r="E2593" t="s">
        <v>98</v>
      </c>
      <c r="F2593" t="s">
        <v>244</v>
      </c>
      <c r="G2593" s="39">
        <v>46135</v>
      </c>
      <c r="J2593" t="s">
        <v>982</v>
      </c>
    </row>
    <row r="2594" spans="1:10" x14ac:dyDescent="0.35">
      <c r="A2594">
        <v>11813</v>
      </c>
      <c r="B2594" t="s">
        <v>22</v>
      </c>
      <c r="C2594" t="s">
        <v>129</v>
      </c>
      <c r="D2594" t="s">
        <v>620</v>
      </c>
      <c r="E2594" t="s">
        <v>98</v>
      </c>
      <c r="F2594" t="s">
        <v>244</v>
      </c>
      <c r="G2594" s="39">
        <v>43154</v>
      </c>
      <c r="J2594" t="s">
        <v>982</v>
      </c>
    </row>
    <row r="2595" spans="1:10" x14ac:dyDescent="0.35">
      <c r="A2595">
        <v>16387</v>
      </c>
      <c r="B2595" t="s">
        <v>22</v>
      </c>
      <c r="C2595" t="s">
        <v>129</v>
      </c>
      <c r="D2595" t="s">
        <v>621</v>
      </c>
      <c r="E2595" t="s">
        <v>98</v>
      </c>
      <c r="F2595" t="s">
        <v>244</v>
      </c>
      <c r="G2595" s="39">
        <v>45383</v>
      </c>
      <c r="J2595" t="s">
        <v>982</v>
      </c>
    </row>
    <row r="2596" spans="1:10" x14ac:dyDescent="0.35">
      <c r="A2596">
        <v>16459</v>
      </c>
      <c r="B2596" t="s">
        <v>29</v>
      </c>
      <c r="C2596" t="s">
        <v>92</v>
      </c>
      <c r="D2596" t="s">
        <v>92</v>
      </c>
      <c r="E2596" t="s">
        <v>110</v>
      </c>
      <c r="F2596" t="s">
        <v>244</v>
      </c>
      <c r="G2596" s="39">
        <v>45408</v>
      </c>
      <c r="J2596" t="s">
        <v>981</v>
      </c>
    </row>
    <row r="2597" spans="1:10" x14ac:dyDescent="0.35">
      <c r="A2597">
        <v>13563</v>
      </c>
      <c r="B2597" t="s">
        <v>29</v>
      </c>
      <c r="C2597" t="s">
        <v>622</v>
      </c>
      <c r="D2597" t="s">
        <v>92</v>
      </c>
      <c r="E2597" t="s">
        <v>101</v>
      </c>
      <c r="F2597" t="s">
        <v>244</v>
      </c>
      <c r="G2597" s="39">
        <v>44501</v>
      </c>
      <c r="J2597" t="s">
        <v>981</v>
      </c>
    </row>
    <row r="2598" spans="1:10" x14ac:dyDescent="0.35">
      <c r="A2598">
        <v>16828</v>
      </c>
      <c r="B2598" t="s">
        <v>29</v>
      </c>
      <c r="C2598" t="s">
        <v>623</v>
      </c>
      <c r="D2598" t="s">
        <v>92</v>
      </c>
      <c r="E2598" t="s">
        <v>126</v>
      </c>
      <c r="F2598" t="s">
        <v>244</v>
      </c>
      <c r="G2598" s="39">
        <v>45561</v>
      </c>
      <c r="J2598" t="s">
        <v>981</v>
      </c>
    </row>
    <row r="2599" spans="1:10" x14ac:dyDescent="0.35">
      <c r="A2599">
        <v>16947</v>
      </c>
      <c r="B2599" t="s">
        <v>29</v>
      </c>
      <c r="C2599" t="s">
        <v>623</v>
      </c>
      <c r="D2599" t="s">
        <v>92</v>
      </c>
      <c r="E2599" t="s">
        <v>126</v>
      </c>
      <c r="F2599" t="s">
        <v>244</v>
      </c>
      <c r="G2599" s="39">
        <v>45569</v>
      </c>
      <c r="J2599" t="s">
        <v>981</v>
      </c>
    </row>
    <row r="2600" spans="1:10" x14ac:dyDescent="0.35">
      <c r="A2600">
        <v>16325</v>
      </c>
      <c r="B2600" t="s">
        <v>29</v>
      </c>
      <c r="C2600" t="s">
        <v>623</v>
      </c>
      <c r="D2600" t="s">
        <v>92</v>
      </c>
      <c r="E2600" t="s">
        <v>126</v>
      </c>
      <c r="F2600" t="s">
        <v>244</v>
      </c>
      <c r="G2600" s="39">
        <v>45344</v>
      </c>
      <c r="J2600" t="s">
        <v>981</v>
      </c>
    </row>
    <row r="2601" spans="1:10" x14ac:dyDescent="0.35">
      <c r="A2601">
        <v>17408</v>
      </c>
      <c r="B2601" t="s">
        <v>29</v>
      </c>
      <c r="C2601" t="s">
        <v>623</v>
      </c>
      <c r="D2601" t="s">
        <v>92</v>
      </c>
      <c r="E2601" t="s">
        <v>126</v>
      </c>
      <c r="F2601" t="s">
        <v>244</v>
      </c>
      <c r="G2601" s="39">
        <v>45733</v>
      </c>
      <c r="J2601" t="s">
        <v>981</v>
      </c>
    </row>
    <row r="2602" spans="1:10" x14ac:dyDescent="0.35">
      <c r="A2602">
        <v>13874</v>
      </c>
      <c r="B2602" t="s">
        <v>29</v>
      </c>
      <c r="C2602" t="s">
        <v>623</v>
      </c>
      <c r="D2602" t="s">
        <v>92</v>
      </c>
      <c r="E2602" t="s">
        <v>102</v>
      </c>
      <c r="F2602" t="s">
        <v>244</v>
      </c>
      <c r="G2602" s="39">
        <v>44613</v>
      </c>
      <c r="J2602" t="s">
        <v>981</v>
      </c>
    </row>
    <row r="2603" spans="1:10" x14ac:dyDescent="0.35">
      <c r="A2603">
        <v>12665</v>
      </c>
      <c r="B2603" t="s">
        <v>28</v>
      </c>
      <c r="C2603" t="s">
        <v>92</v>
      </c>
      <c r="D2603" t="s">
        <v>92</v>
      </c>
      <c r="E2603" t="s">
        <v>100</v>
      </c>
      <c r="F2603" t="s">
        <v>244</v>
      </c>
      <c r="G2603" s="39">
        <v>43864</v>
      </c>
      <c r="J2603" t="s">
        <v>981</v>
      </c>
    </row>
    <row r="2604" spans="1:10" x14ac:dyDescent="0.35">
      <c r="A2604">
        <v>14180</v>
      </c>
      <c r="B2604" t="s">
        <v>28</v>
      </c>
      <c r="C2604" t="s">
        <v>198</v>
      </c>
      <c r="D2604" t="s">
        <v>92</v>
      </c>
      <c r="E2604" t="s">
        <v>99</v>
      </c>
      <c r="F2604" t="s">
        <v>244</v>
      </c>
      <c r="G2604" s="39">
        <v>44687</v>
      </c>
      <c r="J2604" t="s">
        <v>981</v>
      </c>
    </row>
    <row r="2605" spans="1:10" x14ac:dyDescent="0.35">
      <c r="A2605">
        <v>11638</v>
      </c>
      <c r="B2605" t="s">
        <v>28</v>
      </c>
      <c r="C2605" t="s">
        <v>198</v>
      </c>
      <c r="D2605" t="s">
        <v>92</v>
      </c>
      <c r="E2605" t="s">
        <v>624</v>
      </c>
      <c r="F2605" t="s">
        <v>244</v>
      </c>
      <c r="G2605" s="39">
        <v>42962</v>
      </c>
      <c r="J2605" t="s">
        <v>981</v>
      </c>
    </row>
    <row r="2606" spans="1:10" x14ac:dyDescent="0.35">
      <c r="A2606">
        <v>16483</v>
      </c>
      <c r="B2606" t="s">
        <v>28</v>
      </c>
      <c r="C2606" t="s">
        <v>198</v>
      </c>
      <c r="D2606" t="s">
        <v>92</v>
      </c>
      <c r="E2606" t="s">
        <v>109</v>
      </c>
      <c r="F2606" t="s">
        <v>244</v>
      </c>
      <c r="G2606" s="39">
        <v>45433</v>
      </c>
      <c r="J2606" t="s">
        <v>981</v>
      </c>
    </row>
    <row r="2607" spans="1:10" x14ac:dyDescent="0.35">
      <c r="A2607">
        <v>18730</v>
      </c>
      <c r="B2607" t="s">
        <v>28</v>
      </c>
      <c r="C2607" t="s">
        <v>198</v>
      </c>
      <c r="D2607" t="s">
        <v>92</v>
      </c>
      <c r="E2607" t="s">
        <v>109</v>
      </c>
      <c r="F2607" t="s">
        <v>244</v>
      </c>
      <c r="G2607" s="39">
        <v>46195</v>
      </c>
      <c r="H2607" t="s">
        <v>249</v>
      </c>
      <c r="J2607" t="s">
        <v>981</v>
      </c>
    </row>
    <row r="2608" spans="1:10" x14ac:dyDescent="0.35">
      <c r="A2608">
        <v>18729</v>
      </c>
      <c r="B2608" t="s">
        <v>28</v>
      </c>
      <c r="C2608" t="s">
        <v>198</v>
      </c>
      <c r="D2608" t="s">
        <v>92</v>
      </c>
      <c r="E2608" t="s">
        <v>102</v>
      </c>
      <c r="F2608" t="s">
        <v>244</v>
      </c>
      <c r="G2608" s="39">
        <v>46195</v>
      </c>
      <c r="H2608" t="s">
        <v>249</v>
      </c>
      <c r="J2608" t="s">
        <v>981</v>
      </c>
    </row>
    <row r="2609" spans="1:10" x14ac:dyDescent="0.35">
      <c r="A2609">
        <v>18808</v>
      </c>
      <c r="B2609" t="s">
        <v>28</v>
      </c>
      <c r="C2609" t="s">
        <v>198</v>
      </c>
      <c r="D2609" t="s">
        <v>92</v>
      </c>
      <c r="E2609" t="s">
        <v>102</v>
      </c>
      <c r="F2609" t="s">
        <v>244</v>
      </c>
      <c r="G2609" s="39">
        <v>46213</v>
      </c>
      <c r="H2609" t="s">
        <v>249</v>
      </c>
      <c r="I2609" t="s">
        <v>1074</v>
      </c>
      <c r="J2609" t="s">
        <v>981</v>
      </c>
    </row>
    <row r="2610" spans="1:10" x14ac:dyDescent="0.35">
      <c r="A2610">
        <v>18423</v>
      </c>
      <c r="B2610" t="s">
        <v>28</v>
      </c>
      <c r="C2610" t="s">
        <v>198</v>
      </c>
      <c r="D2610" t="s">
        <v>92</v>
      </c>
      <c r="E2610" t="s">
        <v>102</v>
      </c>
      <c r="F2610" t="s">
        <v>244</v>
      </c>
      <c r="G2610" s="39">
        <v>46122</v>
      </c>
      <c r="H2610" t="s">
        <v>57</v>
      </c>
      <c r="J2610" t="s">
        <v>981</v>
      </c>
    </row>
    <row r="2611" spans="1:10" x14ac:dyDescent="0.35">
      <c r="A2611">
        <v>11178</v>
      </c>
      <c r="B2611" t="s">
        <v>29</v>
      </c>
      <c r="C2611" t="s">
        <v>199</v>
      </c>
      <c r="D2611" t="s">
        <v>92</v>
      </c>
      <c r="E2611" t="s">
        <v>99</v>
      </c>
      <c r="F2611" t="s">
        <v>244</v>
      </c>
      <c r="G2611" s="39">
        <v>42360</v>
      </c>
      <c r="J2611" t="s">
        <v>981</v>
      </c>
    </row>
    <row r="2612" spans="1:10" x14ac:dyDescent="0.35">
      <c r="A2612">
        <v>17109</v>
      </c>
      <c r="B2612" t="s">
        <v>29</v>
      </c>
      <c r="C2612" t="s">
        <v>199</v>
      </c>
      <c r="D2612" t="s">
        <v>92</v>
      </c>
      <c r="E2612" t="s">
        <v>109</v>
      </c>
      <c r="F2612" t="s">
        <v>244</v>
      </c>
      <c r="G2612" s="39">
        <v>45632</v>
      </c>
      <c r="J2612" t="s">
        <v>981</v>
      </c>
    </row>
    <row r="2613" spans="1:10" x14ac:dyDescent="0.35">
      <c r="A2613">
        <v>18811</v>
      </c>
      <c r="B2613" t="s">
        <v>29</v>
      </c>
      <c r="C2613" t="s">
        <v>199</v>
      </c>
      <c r="D2613" t="s">
        <v>92</v>
      </c>
      <c r="E2613" t="s">
        <v>102</v>
      </c>
      <c r="F2613" t="s">
        <v>244</v>
      </c>
      <c r="G2613" s="39">
        <v>46213</v>
      </c>
      <c r="H2613" t="s">
        <v>249</v>
      </c>
      <c r="J2613" t="s">
        <v>981</v>
      </c>
    </row>
    <row r="2614" spans="1:10" x14ac:dyDescent="0.35">
      <c r="A2614">
        <v>16973</v>
      </c>
      <c r="B2614" t="s">
        <v>29</v>
      </c>
      <c r="C2614" t="s">
        <v>199</v>
      </c>
      <c r="D2614" t="s">
        <v>92</v>
      </c>
      <c r="E2614" t="s">
        <v>103</v>
      </c>
      <c r="F2614" t="s">
        <v>244</v>
      </c>
      <c r="G2614" s="39">
        <v>45586</v>
      </c>
      <c r="J2614" t="s">
        <v>981</v>
      </c>
    </row>
    <row r="2615" spans="1:10" x14ac:dyDescent="0.35">
      <c r="A2615">
        <v>17876</v>
      </c>
      <c r="B2615" t="s">
        <v>28</v>
      </c>
      <c r="C2615" t="s">
        <v>198</v>
      </c>
      <c r="D2615" t="s">
        <v>92</v>
      </c>
      <c r="E2615" t="s">
        <v>109</v>
      </c>
      <c r="F2615" t="s">
        <v>244</v>
      </c>
      <c r="G2615" s="39">
        <v>45916</v>
      </c>
      <c r="J2615" t="s">
        <v>981</v>
      </c>
    </row>
    <row r="2616" spans="1:10" x14ac:dyDescent="0.35">
      <c r="A2616">
        <v>17041</v>
      </c>
      <c r="B2616" t="s">
        <v>28</v>
      </c>
      <c r="C2616" t="s">
        <v>198</v>
      </c>
      <c r="D2616" t="s">
        <v>92</v>
      </c>
      <c r="E2616" t="s">
        <v>102</v>
      </c>
      <c r="F2616" t="s">
        <v>244</v>
      </c>
      <c r="G2616" s="39">
        <v>45600</v>
      </c>
      <c r="J2616" t="s">
        <v>981</v>
      </c>
    </row>
    <row r="2617" spans="1:10" x14ac:dyDescent="0.35">
      <c r="A2617">
        <v>18649</v>
      </c>
      <c r="B2617" t="s">
        <v>28</v>
      </c>
      <c r="C2617" t="s">
        <v>198</v>
      </c>
      <c r="D2617" t="s">
        <v>92</v>
      </c>
      <c r="E2617" t="s">
        <v>103</v>
      </c>
      <c r="F2617" t="s">
        <v>244</v>
      </c>
      <c r="G2617" s="39">
        <v>46183</v>
      </c>
      <c r="J2617" t="s">
        <v>981</v>
      </c>
    </row>
    <row r="2618" spans="1:10" x14ac:dyDescent="0.35">
      <c r="A2618">
        <v>16296</v>
      </c>
      <c r="B2618" t="s">
        <v>29</v>
      </c>
      <c r="C2618" t="s">
        <v>199</v>
      </c>
      <c r="D2618" t="s">
        <v>92</v>
      </c>
      <c r="E2618" t="s">
        <v>102</v>
      </c>
      <c r="F2618" t="s">
        <v>244</v>
      </c>
      <c r="G2618" s="39">
        <v>45344</v>
      </c>
      <c r="J2618" t="s">
        <v>981</v>
      </c>
    </row>
    <row r="2619" spans="1:10" x14ac:dyDescent="0.35">
      <c r="A2619">
        <v>12910</v>
      </c>
      <c r="B2619" t="s">
        <v>28</v>
      </c>
      <c r="C2619" t="s">
        <v>625</v>
      </c>
      <c r="D2619" t="s">
        <v>92</v>
      </c>
      <c r="E2619" t="s">
        <v>99</v>
      </c>
      <c r="F2619" t="s">
        <v>244</v>
      </c>
      <c r="G2619" s="39">
        <v>44105</v>
      </c>
      <c r="J2619" t="s">
        <v>981</v>
      </c>
    </row>
    <row r="2620" spans="1:10" x14ac:dyDescent="0.35">
      <c r="A2620">
        <v>16298</v>
      </c>
      <c r="B2620" t="s">
        <v>28</v>
      </c>
      <c r="C2620" t="s">
        <v>625</v>
      </c>
      <c r="D2620" t="s">
        <v>92</v>
      </c>
      <c r="E2620" t="s">
        <v>398</v>
      </c>
      <c r="F2620" t="s">
        <v>244</v>
      </c>
      <c r="G2620" s="39">
        <v>45342</v>
      </c>
      <c r="J2620" t="s">
        <v>981</v>
      </c>
    </row>
    <row r="2621" spans="1:10" x14ac:dyDescent="0.35">
      <c r="A2621">
        <v>12272</v>
      </c>
      <c r="B2621" t="s">
        <v>28</v>
      </c>
      <c r="C2621" t="s">
        <v>625</v>
      </c>
      <c r="D2621" t="s">
        <v>92</v>
      </c>
      <c r="E2621" t="s">
        <v>102</v>
      </c>
      <c r="F2621" t="s">
        <v>244</v>
      </c>
      <c r="G2621" s="39">
        <v>43657</v>
      </c>
      <c r="J2621" t="s">
        <v>981</v>
      </c>
    </row>
    <row r="2622" spans="1:10" x14ac:dyDescent="0.35">
      <c r="A2622">
        <v>17605</v>
      </c>
      <c r="B2622" t="s">
        <v>28</v>
      </c>
      <c r="C2622" t="s">
        <v>625</v>
      </c>
      <c r="D2622" t="s">
        <v>92</v>
      </c>
      <c r="E2622" t="s">
        <v>102</v>
      </c>
      <c r="F2622" t="s">
        <v>244</v>
      </c>
      <c r="G2622" s="39">
        <v>45825</v>
      </c>
      <c r="J2622" t="s">
        <v>981</v>
      </c>
    </row>
    <row r="2623" spans="1:10" x14ac:dyDescent="0.35">
      <c r="A2623">
        <v>17895</v>
      </c>
      <c r="B2623" t="s">
        <v>28</v>
      </c>
      <c r="C2623" t="s">
        <v>625</v>
      </c>
      <c r="D2623" t="s">
        <v>92</v>
      </c>
      <c r="E2623" t="s">
        <v>103</v>
      </c>
      <c r="F2623" t="s">
        <v>244</v>
      </c>
      <c r="G2623" s="39">
        <v>45905</v>
      </c>
      <c r="J2623" t="s">
        <v>981</v>
      </c>
    </row>
    <row r="2624" spans="1:10" x14ac:dyDescent="0.35">
      <c r="A2624">
        <v>17877</v>
      </c>
      <c r="B2624" t="s">
        <v>29</v>
      </c>
      <c r="C2624" t="s">
        <v>199</v>
      </c>
      <c r="D2624" t="s">
        <v>92</v>
      </c>
      <c r="E2624" t="s">
        <v>103</v>
      </c>
      <c r="F2624" t="s">
        <v>244</v>
      </c>
      <c r="G2624" s="39">
        <v>45908</v>
      </c>
      <c r="J2624" t="s">
        <v>981</v>
      </c>
    </row>
    <row r="2625" spans="1:10" x14ac:dyDescent="0.35">
      <c r="A2625">
        <v>17144</v>
      </c>
      <c r="B2625" t="s">
        <v>28</v>
      </c>
      <c r="C2625" t="s">
        <v>198</v>
      </c>
      <c r="D2625" t="s">
        <v>92</v>
      </c>
      <c r="E2625" t="s">
        <v>103</v>
      </c>
      <c r="F2625" t="s">
        <v>244</v>
      </c>
      <c r="G2625" s="39">
        <v>45646</v>
      </c>
      <c r="J2625" t="s">
        <v>981</v>
      </c>
    </row>
    <row r="2626" spans="1:10" x14ac:dyDescent="0.35">
      <c r="A2626">
        <v>12648</v>
      </c>
      <c r="B2626" t="s">
        <v>29</v>
      </c>
      <c r="C2626" t="s">
        <v>622</v>
      </c>
      <c r="D2626" t="s">
        <v>626</v>
      </c>
      <c r="E2626" t="s">
        <v>151</v>
      </c>
      <c r="F2626" t="s">
        <v>244</v>
      </c>
      <c r="G2626" s="39">
        <v>43853</v>
      </c>
      <c r="J2626" t="s">
        <v>981</v>
      </c>
    </row>
    <row r="2627" spans="1:10" x14ac:dyDescent="0.35">
      <c r="A2627">
        <v>12128</v>
      </c>
      <c r="B2627" t="s">
        <v>29</v>
      </c>
      <c r="C2627" t="s">
        <v>622</v>
      </c>
      <c r="D2627" t="s">
        <v>626</v>
      </c>
      <c r="E2627" t="s">
        <v>109</v>
      </c>
      <c r="F2627" t="s">
        <v>244</v>
      </c>
      <c r="G2627" s="39">
        <v>43502</v>
      </c>
      <c r="J2627" t="s">
        <v>981</v>
      </c>
    </row>
    <row r="2628" spans="1:10" x14ac:dyDescent="0.35">
      <c r="A2628">
        <v>12133</v>
      </c>
      <c r="B2628" t="s">
        <v>29</v>
      </c>
      <c r="C2628" t="s">
        <v>622</v>
      </c>
      <c r="D2628" t="s">
        <v>626</v>
      </c>
      <c r="E2628" t="s">
        <v>109</v>
      </c>
      <c r="F2628" t="s">
        <v>244</v>
      </c>
      <c r="G2628" s="39">
        <v>43509</v>
      </c>
      <c r="J2628" t="s">
        <v>981</v>
      </c>
    </row>
    <row r="2629" spans="1:10" x14ac:dyDescent="0.35">
      <c r="A2629">
        <v>13873</v>
      </c>
      <c r="B2629" t="s">
        <v>29</v>
      </c>
      <c r="C2629" t="s">
        <v>622</v>
      </c>
      <c r="D2629" t="s">
        <v>626</v>
      </c>
      <c r="E2629" t="s">
        <v>109</v>
      </c>
      <c r="F2629" t="s">
        <v>244</v>
      </c>
      <c r="G2629" s="39">
        <v>44613</v>
      </c>
      <c r="J2629" t="s">
        <v>981</v>
      </c>
    </row>
    <row r="2630" spans="1:10" x14ac:dyDescent="0.35">
      <c r="A2630">
        <v>13715</v>
      </c>
      <c r="B2630" t="s">
        <v>29</v>
      </c>
      <c r="C2630" t="s">
        <v>622</v>
      </c>
      <c r="D2630" t="s">
        <v>626</v>
      </c>
      <c r="E2630" t="s">
        <v>102</v>
      </c>
      <c r="F2630" t="s">
        <v>244</v>
      </c>
      <c r="G2630" s="39">
        <v>44543</v>
      </c>
      <c r="J2630" t="s">
        <v>981</v>
      </c>
    </row>
    <row r="2631" spans="1:10" x14ac:dyDescent="0.35">
      <c r="A2631">
        <v>14204</v>
      </c>
      <c r="B2631" t="s">
        <v>29</v>
      </c>
      <c r="C2631" t="s">
        <v>622</v>
      </c>
      <c r="D2631" t="s">
        <v>626</v>
      </c>
      <c r="E2631" t="s">
        <v>102</v>
      </c>
      <c r="F2631" t="s">
        <v>244</v>
      </c>
      <c r="G2631" s="39">
        <v>44698</v>
      </c>
      <c r="J2631" t="s">
        <v>981</v>
      </c>
    </row>
    <row r="2632" spans="1:10" x14ac:dyDescent="0.35">
      <c r="A2632">
        <v>13883</v>
      </c>
      <c r="B2632" t="s">
        <v>29</v>
      </c>
      <c r="C2632" t="s">
        <v>622</v>
      </c>
      <c r="D2632" t="s">
        <v>626</v>
      </c>
      <c r="E2632" t="s">
        <v>102</v>
      </c>
      <c r="F2632" t="s">
        <v>244</v>
      </c>
      <c r="G2632" s="39">
        <v>44614</v>
      </c>
      <c r="J2632" t="s">
        <v>981</v>
      </c>
    </row>
    <row r="2633" spans="1:10" x14ac:dyDescent="0.35">
      <c r="A2633">
        <v>14085</v>
      </c>
      <c r="B2633" t="s">
        <v>29</v>
      </c>
      <c r="C2633" t="s">
        <v>622</v>
      </c>
      <c r="D2633" t="s">
        <v>626</v>
      </c>
      <c r="E2633" t="s">
        <v>102</v>
      </c>
      <c r="F2633" t="s">
        <v>244</v>
      </c>
      <c r="G2633" s="39">
        <v>44655</v>
      </c>
      <c r="J2633" t="s">
        <v>981</v>
      </c>
    </row>
    <row r="2634" spans="1:10" x14ac:dyDescent="0.35">
      <c r="A2634">
        <v>15707</v>
      </c>
      <c r="B2634" t="s">
        <v>29</v>
      </c>
      <c r="C2634" t="s">
        <v>622</v>
      </c>
      <c r="D2634" t="s">
        <v>626</v>
      </c>
      <c r="E2634" t="s">
        <v>103</v>
      </c>
      <c r="F2634" t="s">
        <v>244</v>
      </c>
      <c r="G2634" s="39">
        <v>45173</v>
      </c>
      <c r="J2634" t="s">
        <v>981</v>
      </c>
    </row>
    <row r="2635" spans="1:10" x14ac:dyDescent="0.35">
      <c r="A2635">
        <v>15709</v>
      </c>
      <c r="B2635" t="s">
        <v>29</v>
      </c>
      <c r="C2635" t="s">
        <v>622</v>
      </c>
      <c r="D2635" t="s">
        <v>626</v>
      </c>
      <c r="E2635" t="s">
        <v>102</v>
      </c>
      <c r="F2635" t="s">
        <v>244</v>
      </c>
      <c r="G2635" s="39">
        <v>45173</v>
      </c>
      <c r="J2635" t="s">
        <v>981</v>
      </c>
    </row>
    <row r="2636" spans="1:10" x14ac:dyDescent="0.35">
      <c r="A2636">
        <v>15708</v>
      </c>
      <c r="B2636" t="s">
        <v>29</v>
      </c>
      <c r="C2636" t="s">
        <v>622</v>
      </c>
      <c r="D2636" t="s">
        <v>626</v>
      </c>
      <c r="E2636" t="s">
        <v>103</v>
      </c>
      <c r="F2636" t="s">
        <v>244</v>
      </c>
      <c r="G2636" s="39">
        <v>45173</v>
      </c>
      <c r="J2636" t="s">
        <v>981</v>
      </c>
    </row>
    <row r="2637" spans="1:10" x14ac:dyDescent="0.35">
      <c r="A2637">
        <v>11934</v>
      </c>
      <c r="B2637" t="s">
        <v>29</v>
      </c>
      <c r="C2637" t="s">
        <v>622</v>
      </c>
      <c r="D2637" t="s">
        <v>627</v>
      </c>
      <c r="E2637" t="s">
        <v>109</v>
      </c>
      <c r="F2637" t="s">
        <v>244</v>
      </c>
      <c r="G2637" s="39">
        <v>43301</v>
      </c>
      <c r="J2637" t="s">
        <v>981</v>
      </c>
    </row>
    <row r="2638" spans="1:10" x14ac:dyDescent="0.35">
      <c r="A2638">
        <v>12069</v>
      </c>
      <c r="B2638" t="s">
        <v>29</v>
      </c>
      <c r="C2638" t="s">
        <v>622</v>
      </c>
      <c r="D2638" t="s">
        <v>628</v>
      </c>
      <c r="E2638" t="s">
        <v>151</v>
      </c>
      <c r="F2638" t="s">
        <v>244</v>
      </c>
      <c r="G2638" s="39">
        <v>43440</v>
      </c>
      <c r="J2638" t="s">
        <v>981</v>
      </c>
    </row>
    <row r="2639" spans="1:10" x14ac:dyDescent="0.35">
      <c r="A2639">
        <v>18397</v>
      </c>
      <c r="B2639" t="s">
        <v>29</v>
      </c>
      <c r="C2639" t="s">
        <v>622</v>
      </c>
      <c r="D2639" t="s">
        <v>626</v>
      </c>
      <c r="E2639" t="s">
        <v>572</v>
      </c>
      <c r="F2639" t="s">
        <v>244</v>
      </c>
      <c r="G2639" s="39">
        <v>46120</v>
      </c>
      <c r="J2639" t="s">
        <v>981</v>
      </c>
    </row>
    <row r="2640" spans="1:10" x14ac:dyDescent="0.35">
      <c r="A2640">
        <v>12647</v>
      </c>
      <c r="B2640" t="s">
        <v>29</v>
      </c>
      <c r="C2640" t="s">
        <v>622</v>
      </c>
      <c r="D2640" t="s">
        <v>627</v>
      </c>
      <c r="E2640" t="s">
        <v>151</v>
      </c>
      <c r="F2640" t="s">
        <v>244</v>
      </c>
      <c r="G2640" s="39">
        <v>43853</v>
      </c>
      <c r="J2640" t="s">
        <v>981</v>
      </c>
    </row>
    <row r="2641" spans="1:10" x14ac:dyDescent="0.35">
      <c r="A2641">
        <v>13154</v>
      </c>
      <c r="B2641" t="s">
        <v>29</v>
      </c>
      <c r="C2641" t="s">
        <v>622</v>
      </c>
      <c r="D2641" t="s">
        <v>627</v>
      </c>
      <c r="E2641" t="s">
        <v>102</v>
      </c>
      <c r="F2641" t="s">
        <v>244</v>
      </c>
      <c r="G2641" s="39">
        <v>44292</v>
      </c>
      <c r="J2641" t="s">
        <v>981</v>
      </c>
    </row>
    <row r="2642" spans="1:10" x14ac:dyDescent="0.35">
      <c r="A2642">
        <v>13593</v>
      </c>
      <c r="B2642" t="s">
        <v>29</v>
      </c>
      <c r="C2642" t="s">
        <v>622</v>
      </c>
      <c r="D2642" t="s">
        <v>628</v>
      </c>
      <c r="E2642" t="s">
        <v>102</v>
      </c>
      <c r="F2642" t="s">
        <v>244</v>
      </c>
      <c r="G2642" s="39">
        <v>44503</v>
      </c>
      <c r="J2642" t="s">
        <v>981</v>
      </c>
    </row>
    <row r="2643" spans="1:10" x14ac:dyDescent="0.35">
      <c r="A2643">
        <v>15669</v>
      </c>
      <c r="B2643" t="s">
        <v>29</v>
      </c>
      <c r="C2643" t="s">
        <v>622</v>
      </c>
      <c r="D2643" t="s">
        <v>627</v>
      </c>
      <c r="E2643" t="s">
        <v>102</v>
      </c>
      <c r="F2643" t="s">
        <v>244</v>
      </c>
      <c r="G2643" s="39">
        <v>45161</v>
      </c>
      <c r="J2643" t="s">
        <v>981</v>
      </c>
    </row>
    <row r="2644" spans="1:10" x14ac:dyDescent="0.35">
      <c r="A2644">
        <v>12271</v>
      </c>
      <c r="B2644" t="s">
        <v>29</v>
      </c>
      <c r="C2644" t="s">
        <v>622</v>
      </c>
      <c r="D2644" t="s">
        <v>627</v>
      </c>
      <c r="E2644" t="s">
        <v>102</v>
      </c>
      <c r="F2644" t="s">
        <v>244</v>
      </c>
      <c r="G2644" s="39">
        <v>43657</v>
      </c>
      <c r="J2644" t="s">
        <v>981</v>
      </c>
    </row>
    <row r="2645" spans="1:10" x14ac:dyDescent="0.35">
      <c r="A2645">
        <v>12170</v>
      </c>
      <c r="B2645" t="s">
        <v>29</v>
      </c>
      <c r="C2645" t="s">
        <v>622</v>
      </c>
      <c r="D2645" t="s">
        <v>628</v>
      </c>
      <c r="E2645" t="s">
        <v>102</v>
      </c>
      <c r="F2645" t="s">
        <v>244</v>
      </c>
      <c r="G2645" s="39">
        <v>43539</v>
      </c>
      <c r="J2645" t="s">
        <v>981</v>
      </c>
    </row>
    <row r="2646" spans="1:10" x14ac:dyDescent="0.35">
      <c r="A2646">
        <v>16069</v>
      </c>
      <c r="B2646" t="s">
        <v>29</v>
      </c>
      <c r="C2646" t="s">
        <v>622</v>
      </c>
      <c r="D2646" t="s">
        <v>627</v>
      </c>
      <c r="E2646" t="s">
        <v>109</v>
      </c>
      <c r="F2646" t="s">
        <v>244</v>
      </c>
      <c r="G2646" s="39">
        <v>45279</v>
      </c>
      <c r="J2646" t="s">
        <v>981</v>
      </c>
    </row>
    <row r="2647" spans="1:10" x14ac:dyDescent="0.35">
      <c r="A2647">
        <v>15550</v>
      </c>
      <c r="B2647" t="s">
        <v>29</v>
      </c>
      <c r="C2647" t="s">
        <v>622</v>
      </c>
      <c r="D2647" t="s">
        <v>627</v>
      </c>
      <c r="E2647" t="s">
        <v>102</v>
      </c>
      <c r="F2647" t="s">
        <v>244</v>
      </c>
      <c r="G2647" s="39">
        <v>45125</v>
      </c>
      <c r="J2647" t="s">
        <v>981</v>
      </c>
    </row>
    <row r="2648" spans="1:10" x14ac:dyDescent="0.35">
      <c r="A2648">
        <v>11722</v>
      </c>
      <c r="B2648" t="s">
        <v>29</v>
      </c>
      <c r="C2648" t="s">
        <v>622</v>
      </c>
      <c r="D2648" t="s">
        <v>627</v>
      </c>
      <c r="E2648" t="s">
        <v>102</v>
      </c>
      <c r="F2648" t="s">
        <v>244</v>
      </c>
      <c r="G2648" s="39">
        <v>43060</v>
      </c>
      <c r="J2648" t="s">
        <v>981</v>
      </c>
    </row>
    <row r="2649" spans="1:10" x14ac:dyDescent="0.35">
      <c r="A2649">
        <v>15548</v>
      </c>
      <c r="B2649" t="s">
        <v>29</v>
      </c>
      <c r="C2649" t="s">
        <v>622</v>
      </c>
      <c r="D2649" t="s">
        <v>627</v>
      </c>
      <c r="E2649" t="s">
        <v>103</v>
      </c>
      <c r="F2649" t="s">
        <v>244</v>
      </c>
      <c r="G2649" s="39">
        <v>45125</v>
      </c>
      <c r="J2649" t="s">
        <v>981</v>
      </c>
    </row>
    <row r="2650" spans="1:10" x14ac:dyDescent="0.35">
      <c r="A2650">
        <v>15598</v>
      </c>
      <c r="B2650" t="s">
        <v>29</v>
      </c>
      <c r="C2650" t="s">
        <v>622</v>
      </c>
      <c r="D2650" t="s">
        <v>627</v>
      </c>
      <c r="E2650" t="s">
        <v>102</v>
      </c>
      <c r="F2650" t="s">
        <v>244</v>
      </c>
      <c r="G2650" s="39">
        <v>45133</v>
      </c>
      <c r="J2650" t="s">
        <v>981</v>
      </c>
    </row>
    <row r="2651" spans="1:10" x14ac:dyDescent="0.35">
      <c r="A2651">
        <v>15261</v>
      </c>
      <c r="B2651" t="s">
        <v>29</v>
      </c>
      <c r="C2651" t="s">
        <v>622</v>
      </c>
      <c r="D2651" t="s">
        <v>627</v>
      </c>
      <c r="E2651" t="s">
        <v>102</v>
      </c>
      <c r="F2651" t="s">
        <v>244</v>
      </c>
      <c r="G2651" s="39">
        <v>45001</v>
      </c>
      <c r="J2651" t="s">
        <v>981</v>
      </c>
    </row>
    <row r="2652" spans="1:10" x14ac:dyDescent="0.35">
      <c r="A2652">
        <v>15773</v>
      </c>
      <c r="B2652" t="s">
        <v>29</v>
      </c>
      <c r="C2652" t="s">
        <v>622</v>
      </c>
      <c r="D2652" t="s">
        <v>627</v>
      </c>
      <c r="E2652" t="s">
        <v>103</v>
      </c>
      <c r="F2652" t="s">
        <v>244</v>
      </c>
      <c r="G2652" s="39">
        <v>45189</v>
      </c>
      <c r="J2652" t="s">
        <v>981</v>
      </c>
    </row>
    <row r="2653" spans="1:10" x14ac:dyDescent="0.35">
      <c r="A2653">
        <v>15594</v>
      </c>
      <c r="B2653" t="s">
        <v>29</v>
      </c>
      <c r="C2653" t="s">
        <v>622</v>
      </c>
      <c r="D2653" t="s">
        <v>627</v>
      </c>
      <c r="E2653" t="s">
        <v>103</v>
      </c>
      <c r="F2653" t="s">
        <v>244</v>
      </c>
      <c r="G2653" s="39">
        <v>45132</v>
      </c>
      <c r="J2653" t="s">
        <v>981</v>
      </c>
    </row>
    <row r="2654" spans="1:10" x14ac:dyDescent="0.35">
      <c r="A2654">
        <v>16706</v>
      </c>
      <c r="B2654" t="s">
        <v>29</v>
      </c>
      <c r="C2654" t="s">
        <v>622</v>
      </c>
      <c r="D2654" t="s">
        <v>627</v>
      </c>
      <c r="E2654" t="s">
        <v>103</v>
      </c>
      <c r="F2654" t="s">
        <v>244</v>
      </c>
      <c r="G2654" s="39">
        <v>45531</v>
      </c>
      <c r="J2654" t="s">
        <v>981</v>
      </c>
    </row>
    <row r="2655" spans="1:10" x14ac:dyDescent="0.35">
      <c r="A2655">
        <v>16871</v>
      </c>
      <c r="B2655" t="s">
        <v>29</v>
      </c>
      <c r="C2655" t="s">
        <v>622</v>
      </c>
      <c r="D2655" t="s">
        <v>628</v>
      </c>
      <c r="E2655" t="s">
        <v>103</v>
      </c>
      <c r="F2655" t="s">
        <v>244</v>
      </c>
      <c r="G2655" s="39">
        <v>45566</v>
      </c>
      <c r="J2655" t="s">
        <v>981</v>
      </c>
    </row>
    <row r="2656" spans="1:10" x14ac:dyDescent="0.35">
      <c r="A2656">
        <v>16072</v>
      </c>
      <c r="B2656" t="s">
        <v>29</v>
      </c>
      <c r="C2656" t="s">
        <v>622</v>
      </c>
      <c r="D2656" t="s">
        <v>627</v>
      </c>
      <c r="E2656" t="s">
        <v>102</v>
      </c>
      <c r="F2656" t="s">
        <v>244</v>
      </c>
      <c r="G2656" s="39">
        <v>45279</v>
      </c>
      <c r="J2656" t="s">
        <v>981</v>
      </c>
    </row>
    <row r="2657" spans="1:10" x14ac:dyDescent="0.35">
      <c r="A2657">
        <v>18265</v>
      </c>
      <c r="B2657" t="s">
        <v>29</v>
      </c>
      <c r="C2657" t="s">
        <v>622</v>
      </c>
      <c r="D2657" t="s">
        <v>627</v>
      </c>
      <c r="E2657" t="s">
        <v>106</v>
      </c>
      <c r="F2657" t="s">
        <v>244</v>
      </c>
      <c r="G2657" s="39">
        <v>46073</v>
      </c>
      <c r="J2657" t="s">
        <v>981</v>
      </c>
    </row>
    <row r="2658" spans="1:10" x14ac:dyDescent="0.35">
      <c r="A2658">
        <v>18412</v>
      </c>
      <c r="B2658" t="s">
        <v>29</v>
      </c>
      <c r="C2658" t="s">
        <v>622</v>
      </c>
      <c r="D2658" t="s">
        <v>627</v>
      </c>
      <c r="E2658" t="s">
        <v>106</v>
      </c>
      <c r="F2658" t="s">
        <v>244</v>
      </c>
      <c r="G2658" s="39">
        <v>46125</v>
      </c>
      <c r="J2658" t="s">
        <v>981</v>
      </c>
    </row>
    <row r="2659" spans="1:10" x14ac:dyDescent="0.35">
      <c r="A2659">
        <v>18432</v>
      </c>
      <c r="B2659" t="s">
        <v>29</v>
      </c>
      <c r="C2659" t="s">
        <v>622</v>
      </c>
      <c r="D2659" t="s">
        <v>627</v>
      </c>
      <c r="E2659" t="s">
        <v>106</v>
      </c>
      <c r="F2659" t="s">
        <v>244</v>
      </c>
      <c r="G2659" s="39">
        <v>46128</v>
      </c>
      <c r="J2659" t="s">
        <v>981</v>
      </c>
    </row>
    <row r="2660" spans="1:10" x14ac:dyDescent="0.35">
      <c r="A2660">
        <v>17343</v>
      </c>
      <c r="B2660" t="s">
        <v>29</v>
      </c>
      <c r="C2660" t="s">
        <v>622</v>
      </c>
      <c r="D2660" t="s">
        <v>627</v>
      </c>
      <c r="E2660" t="s">
        <v>103</v>
      </c>
      <c r="F2660" t="s">
        <v>244</v>
      </c>
      <c r="G2660" s="39">
        <v>45719</v>
      </c>
      <c r="J2660" t="s">
        <v>981</v>
      </c>
    </row>
    <row r="2661" spans="1:10" x14ac:dyDescent="0.35">
      <c r="A2661">
        <v>18097</v>
      </c>
      <c r="B2661" t="s">
        <v>29</v>
      </c>
      <c r="C2661" t="s">
        <v>622</v>
      </c>
      <c r="D2661" t="s">
        <v>627</v>
      </c>
      <c r="E2661" t="s">
        <v>103</v>
      </c>
      <c r="F2661" t="s">
        <v>244</v>
      </c>
      <c r="G2661" s="39">
        <v>45994</v>
      </c>
      <c r="J2661" t="s">
        <v>981</v>
      </c>
    </row>
    <row r="2662" spans="1:10" x14ac:dyDescent="0.35">
      <c r="A2662">
        <v>16556</v>
      </c>
      <c r="B2662" t="s">
        <v>29</v>
      </c>
      <c r="C2662" t="s">
        <v>622</v>
      </c>
      <c r="D2662" t="s">
        <v>628</v>
      </c>
      <c r="E2662" t="s">
        <v>103</v>
      </c>
      <c r="F2662" t="s">
        <v>244</v>
      </c>
      <c r="G2662" s="39">
        <v>45488</v>
      </c>
      <c r="J2662" t="s">
        <v>981</v>
      </c>
    </row>
    <row r="2663" spans="1:10" x14ac:dyDescent="0.35">
      <c r="A2663">
        <v>16073</v>
      </c>
      <c r="B2663" t="s">
        <v>29</v>
      </c>
      <c r="C2663" t="s">
        <v>622</v>
      </c>
      <c r="D2663" t="s">
        <v>628</v>
      </c>
      <c r="E2663" t="s">
        <v>103</v>
      </c>
      <c r="F2663" t="s">
        <v>244</v>
      </c>
      <c r="G2663" s="39">
        <v>45279</v>
      </c>
      <c r="J2663" t="s">
        <v>981</v>
      </c>
    </row>
    <row r="2664" spans="1:10" x14ac:dyDescent="0.35">
      <c r="A2664">
        <v>16715</v>
      </c>
      <c r="B2664" t="s">
        <v>29</v>
      </c>
      <c r="C2664" t="s">
        <v>622</v>
      </c>
      <c r="D2664" t="s">
        <v>628</v>
      </c>
      <c r="E2664" t="s">
        <v>103</v>
      </c>
      <c r="F2664" t="s">
        <v>244</v>
      </c>
      <c r="G2664" s="39">
        <v>45544</v>
      </c>
      <c r="J2664" t="s">
        <v>981</v>
      </c>
    </row>
    <row r="2665" spans="1:10" x14ac:dyDescent="0.35">
      <c r="A2665">
        <v>17137</v>
      </c>
      <c r="B2665" t="s">
        <v>29</v>
      </c>
      <c r="C2665" t="s">
        <v>622</v>
      </c>
      <c r="D2665" t="s">
        <v>628</v>
      </c>
      <c r="E2665" t="s">
        <v>103</v>
      </c>
      <c r="F2665" t="s">
        <v>244</v>
      </c>
      <c r="G2665" s="39">
        <v>45645</v>
      </c>
      <c r="J2665" t="s">
        <v>981</v>
      </c>
    </row>
    <row r="2666" spans="1:10" x14ac:dyDescent="0.35">
      <c r="A2666">
        <v>17136</v>
      </c>
      <c r="B2666" t="s">
        <v>29</v>
      </c>
      <c r="C2666" t="s">
        <v>622</v>
      </c>
      <c r="D2666" t="s">
        <v>628</v>
      </c>
      <c r="E2666" t="s">
        <v>103</v>
      </c>
      <c r="F2666" t="s">
        <v>244</v>
      </c>
      <c r="G2666" s="39">
        <v>45645</v>
      </c>
      <c r="J2666" t="s">
        <v>981</v>
      </c>
    </row>
    <row r="2667" spans="1:10" x14ac:dyDescent="0.35">
      <c r="A2667">
        <v>12067</v>
      </c>
      <c r="B2667" t="s">
        <v>29</v>
      </c>
      <c r="C2667" t="s">
        <v>200</v>
      </c>
      <c r="D2667" t="s">
        <v>92</v>
      </c>
      <c r="E2667" t="s">
        <v>101</v>
      </c>
      <c r="F2667" t="s">
        <v>244</v>
      </c>
      <c r="G2667" s="39">
        <v>43440</v>
      </c>
      <c r="J2667" t="s">
        <v>981</v>
      </c>
    </row>
    <row r="2668" spans="1:10" x14ac:dyDescent="0.35">
      <c r="A2668">
        <v>18810</v>
      </c>
      <c r="B2668" t="s">
        <v>29</v>
      </c>
      <c r="C2668" t="s">
        <v>200</v>
      </c>
      <c r="D2668" t="s">
        <v>92</v>
      </c>
      <c r="E2668" t="s">
        <v>109</v>
      </c>
      <c r="F2668" t="s">
        <v>244</v>
      </c>
      <c r="G2668" s="39">
        <v>46213</v>
      </c>
      <c r="H2668" t="s">
        <v>249</v>
      </c>
      <c r="J2668" t="s">
        <v>981</v>
      </c>
    </row>
    <row r="2669" spans="1:10" x14ac:dyDescent="0.35">
      <c r="A2669">
        <v>18863</v>
      </c>
      <c r="B2669" t="s">
        <v>29</v>
      </c>
      <c r="C2669" t="s">
        <v>200</v>
      </c>
      <c r="D2669" t="s">
        <v>92</v>
      </c>
      <c r="E2669" t="s">
        <v>103</v>
      </c>
      <c r="F2669" t="s">
        <v>244</v>
      </c>
      <c r="G2669" s="39">
        <v>46220</v>
      </c>
      <c r="H2669" t="s">
        <v>57</v>
      </c>
      <c r="J2669" t="s">
        <v>981</v>
      </c>
    </row>
    <row r="2670" spans="1:10" x14ac:dyDescent="0.35">
      <c r="A2670">
        <v>14519</v>
      </c>
      <c r="B2670" t="s">
        <v>29</v>
      </c>
      <c r="C2670" t="s">
        <v>200</v>
      </c>
      <c r="D2670" t="s">
        <v>629</v>
      </c>
      <c r="E2670" t="s">
        <v>151</v>
      </c>
      <c r="F2670" t="s">
        <v>244</v>
      </c>
      <c r="G2670" s="39">
        <v>44777</v>
      </c>
      <c r="J2670" t="s">
        <v>981</v>
      </c>
    </row>
    <row r="2671" spans="1:10" x14ac:dyDescent="0.35">
      <c r="A2671">
        <v>10826</v>
      </c>
      <c r="B2671" t="s">
        <v>29</v>
      </c>
      <c r="C2671" t="s">
        <v>200</v>
      </c>
      <c r="D2671" t="s">
        <v>630</v>
      </c>
      <c r="E2671" t="s">
        <v>151</v>
      </c>
      <c r="F2671" t="s">
        <v>244</v>
      </c>
      <c r="G2671" s="39">
        <v>41974</v>
      </c>
      <c r="J2671" t="s">
        <v>981</v>
      </c>
    </row>
    <row r="2672" spans="1:10" x14ac:dyDescent="0.35">
      <c r="A2672">
        <v>16312</v>
      </c>
      <c r="B2672" t="s">
        <v>29</v>
      </c>
      <c r="C2672" t="s">
        <v>200</v>
      </c>
      <c r="D2672" t="s">
        <v>631</v>
      </c>
      <c r="E2672" t="s">
        <v>151</v>
      </c>
      <c r="F2672" t="s">
        <v>244</v>
      </c>
      <c r="G2672" s="39">
        <v>45352</v>
      </c>
      <c r="J2672" t="s">
        <v>981</v>
      </c>
    </row>
    <row r="2673" spans="1:10" x14ac:dyDescent="0.35">
      <c r="A2673">
        <v>14767</v>
      </c>
      <c r="B2673" t="s">
        <v>29</v>
      </c>
      <c r="C2673" t="s">
        <v>200</v>
      </c>
      <c r="D2673" t="s">
        <v>629</v>
      </c>
      <c r="E2673" t="s">
        <v>109</v>
      </c>
      <c r="F2673" t="s">
        <v>244</v>
      </c>
      <c r="G2673" s="39">
        <v>44854</v>
      </c>
      <c r="J2673" t="s">
        <v>981</v>
      </c>
    </row>
    <row r="2674" spans="1:10" x14ac:dyDescent="0.35">
      <c r="A2674">
        <v>17030</v>
      </c>
      <c r="B2674" t="s">
        <v>29</v>
      </c>
      <c r="C2674" t="s">
        <v>199</v>
      </c>
      <c r="D2674" t="s">
        <v>92</v>
      </c>
      <c r="E2674" t="s">
        <v>109</v>
      </c>
      <c r="F2674" t="s">
        <v>244</v>
      </c>
      <c r="G2674" s="39">
        <v>45597</v>
      </c>
      <c r="J2674" t="s">
        <v>981</v>
      </c>
    </row>
    <row r="2675" spans="1:10" x14ac:dyDescent="0.35">
      <c r="A2675">
        <v>15563</v>
      </c>
      <c r="B2675" t="s">
        <v>29</v>
      </c>
      <c r="C2675" t="s">
        <v>199</v>
      </c>
      <c r="D2675" t="s">
        <v>92</v>
      </c>
      <c r="E2675" t="s">
        <v>109</v>
      </c>
      <c r="F2675" t="s">
        <v>244</v>
      </c>
      <c r="G2675" s="39">
        <v>45128</v>
      </c>
      <c r="J2675" t="s">
        <v>981</v>
      </c>
    </row>
    <row r="2676" spans="1:10" x14ac:dyDescent="0.35">
      <c r="A2676">
        <v>18809</v>
      </c>
      <c r="B2676" t="s">
        <v>29</v>
      </c>
      <c r="C2676" t="s">
        <v>199</v>
      </c>
      <c r="D2676" t="s">
        <v>92</v>
      </c>
      <c r="E2676" t="s">
        <v>102</v>
      </c>
      <c r="F2676" t="s">
        <v>244</v>
      </c>
      <c r="G2676" s="39">
        <v>46213</v>
      </c>
      <c r="H2676" t="s">
        <v>249</v>
      </c>
      <c r="J2676" t="s">
        <v>981</v>
      </c>
    </row>
    <row r="2677" spans="1:10" x14ac:dyDescent="0.35">
      <c r="A2677">
        <v>12289</v>
      </c>
      <c r="B2677" t="s">
        <v>29</v>
      </c>
      <c r="C2677" t="s">
        <v>199</v>
      </c>
      <c r="D2677" t="s">
        <v>92</v>
      </c>
      <c r="E2677" t="s">
        <v>102</v>
      </c>
      <c r="F2677" t="s">
        <v>244</v>
      </c>
      <c r="G2677" s="39">
        <v>43670</v>
      </c>
      <c r="J2677" t="s">
        <v>981</v>
      </c>
    </row>
    <row r="2678" spans="1:10" x14ac:dyDescent="0.35">
      <c r="A2678">
        <v>16315</v>
      </c>
      <c r="B2678" t="s">
        <v>29</v>
      </c>
      <c r="C2678" t="s">
        <v>199</v>
      </c>
      <c r="D2678" t="s">
        <v>92</v>
      </c>
      <c r="E2678" t="s">
        <v>103</v>
      </c>
      <c r="F2678" t="s">
        <v>244</v>
      </c>
      <c r="G2678" s="39">
        <v>45344</v>
      </c>
      <c r="J2678" t="s">
        <v>981</v>
      </c>
    </row>
    <row r="2679" spans="1:10" x14ac:dyDescent="0.35">
      <c r="A2679">
        <v>16958</v>
      </c>
      <c r="B2679" t="s">
        <v>29</v>
      </c>
      <c r="C2679" t="s">
        <v>199</v>
      </c>
      <c r="D2679" t="s">
        <v>92</v>
      </c>
      <c r="E2679" t="s">
        <v>103</v>
      </c>
      <c r="F2679" t="s">
        <v>244</v>
      </c>
      <c r="G2679" s="39">
        <v>45576</v>
      </c>
      <c r="J2679" t="s">
        <v>981</v>
      </c>
    </row>
    <row r="2680" spans="1:10" x14ac:dyDescent="0.35">
      <c r="A2680">
        <v>12068</v>
      </c>
      <c r="B2680" t="s">
        <v>29</v>
      </c>
      <c r="C2680" t="s">
        <v>200</v>
      </c>
      <c r="D2680" t="s">
        <v>630</v>
      </c>
      <c r="E2680" t="s">
        <v>109</v>
      </c>
      <c r="F2680" t="s">
        <v>244</v>
      </c>
      <c r="G2680" s="39">
        <v>43440</v>
      </c>
      <c r="J2680" t="s">
        <v>981</v>
      </c>
    </row>
    <row r="2681" spans="1:10" x14ac:dyDescent="0.35">
      <c r="A2681">
        <v>13193</v>
      </c>
      <c r="B2681" t="s">
        <v>29</v>
      </c>
      <c r="C2681" t="s">
        <v>200</v>
      </c>
      <c r="D2681" t="s">
        <v>629</v>
      </c>
      <c r="E2681" t="s">
        <v>102</v>
      </c>
      <c r="F2681" t="s">
        <v>244</v>
      </c>
      <c r="G2681" s="39">
        <v>44312</v>
      </c>
      <c r="J2681" t="s">
        <v>981</v>
      </c>
    </row>
    <row r="2682" spans="1:10" x14ac:dyDescent="0.35">
      <c r="A2682">
        <v>12261</v>
      </c>
      <c r="B2682" t="s">
        <v>29</v>
      </c>
      <c r="C2682" t="s">
        <v>200</v>
      </c>
      <c r="D2682" t="s">
        <v>629</v>
      </c>
      <c r="E2682" t="s">
        <v>102</v>
      </c>
      <c r="F2682" t="s">
        <v>244</v>
      </c>
      <c r="G2682" s="39">
        <v>43650</v>
      </c>
      <c r="J2682" t="s">
        <v>981</v>
      </c>
    </row>
    <row r="2683" spans="1:10" x14ac:dyDescent="0.35">
      <c r="A2683">
        <v>17721</v>
      </c>
      <c r="B2683" t="s">
        <v>29</v>
      </c>
      <c r="C2683" t="s">
        <v>200</v>
      </c>
      <c r="D2683" t="s">
        <v>629</v>
      </c>
      <c r="E2683" t="s">
        <v>102</v>
      </c>
      <c r="F2683" t="s">
        <v>244</v>
      </c>
      <c r="G2683" s="39">
        <v>45866</v>
      </c>
      <c r="J2683" t="s">
        <v>981</v>
      </c>
    </row>
    <row r="2684" spans="1:10" x14ac:dyDescent="0.35">
      <c r="A2684">
        <v>18109</v>
      </c>
      <c r="B2684" t="s">
        <v>29</v>
      </c>
      <c r="C2684" t="s">
        <v>200</v>
      </c>
      <c r="D2684" t="s">
        <v>629</v>
      </c>
      <c r="E2684" t="s">
        <v>102</v>
      </c>
      <c r="F2684" t="s">
        <v>244</v>
      </c>
      <c r="G2684" s="39">
        <v>45999</v>
      </c>
      <c r="J2684" t="s">
        <v>981</v>
      </c>
    </row>
    <row r="2685" spans="1:10" x14ac:dyDescent="0.35">
      <c r="A2685">
        <v>16698</v>
      </c>
      <c r="B2685" t="s">
        <v>29</v>
      </c>
      <c r="C2685" t="s">
        <v>200</v>
      </c>
      <c r="D2685" t="s">
        <v>629</v>
      </c>
      <c r="E2685" t="s">
        <v>102</v>
      </c>
      <c r="F2685" t="s">
        <v>244</v>
      </c>
      <c r="G2685" s="39">
        <v>45527</v>
      </c>
      <c r="J2685" t="s">
        <v>981</v>
      </c>
    </row>
    <row r="2686" spans="1:10" x14ac:dyDescent="0.35">
      <c r="A2686">
        <v>14763</v>
      </c>
      <c r="B2686" t="s">
        <v>29</v>
      </c>
      <c r="C2686" t="s">
        <v>200</v>
      </c>
      <c r="D2686" t="s">
        <v>630</v>
      </c>
      <c r="E2686" t="s">
        <v>103</v>
      </c>
      <c r="F2686" t="s">
        <v>244</v>
      </c>
      <c r="G2686" s="39">
        <v>44853</v>
      </c>
      <c r="J2686" t="s">
        <v>981</v>
      </c>
    </row>
    <row r="2687" spans="1:10" x14ac:dyDescent="0.35">
      <c r="A2687">
        <v>18911</v>
      </c>
      <c r="B2687" t="s">
        <v>29</v>
      </c>
      <c r="C2687" t="s">
        <v>200</v>
      </c>
      <c r="D2687" t="s">
        <v>92</v>
      </c>
      <c r="E2687" t="s">
        <v>102</v>
      </c>
      <c r="F2687" t="s">
        <v>244</v>
      </c>
      <c r="G2687" s="39">
        <v>46237</v>
      </c>
      <c r="H2687" t="s">
        <v>249</v>
      </c>
      <c r="J2687" t="s">
        <v>981</v>
      </c>
    </row>
    <row r="2688" spans="1:10" x14ac:dyDescent="0.35">
      <c r="A2688">
        <v>16202</v>
      </c>
      <c r="B2688" t="s">
        <v>29</v>
      </c>
      <c r="C2688" t="s">
        <v>632</v>
      </c>
      <c r="D2688" t="s">
        <v>92</v>
      </c>
      <c r="E2688" t="s">
        <v>101</v>
      </c>
      <c r="F2688" t="s">
        <v>244</v>
      </c>
      <c r="G2688" s="39">
        <v>45316</v>
      </c>
      <c r="J2688" t="s">
        <v>981</v>
      </c>
    </row>
    <row r="2689" spans="1:10" x14ac:dyDescent="0.35">
      <c r="A2689">
        <v>12111</v>
      </c>
      <c r="B2689" t="s">
        <v>29</v>
      </c>
      <c r="C2689" t="s">
        <v>632</v>
      </c>
      <c r="D2689" t="s">
        <v>92</v>
      </c>
      <c r="E2689" t="s">
        <v>109</v>
      </c>
      <c r="F2689" t="s">
        <v>244</v>
      </c>
      <c r="G2689" s="39">
        <v>43483</v>
      </c>
      <c r="J2689" t="s">
        <v>981</v>
      </c>
    </row>
    <row r="2690" spans="1:10" x14ac:dyDescent="0.35">
      <c r="A2690">
        <v>12248</v>
      </c>
      <c r="B2690" t="s">
        <v>29</v>
      </c>
      <c r="C2690" t="s">
        <v>632</v>
      </c>
      <c r="D2690" t="s">
        <v>92</v>
      </c>
      <c r="E2690" t="s">
        <v>103</v>
      </c>
      <c r="F2690" t="s">
        <v>244</v>
      </c>
      <c r="G2690" s="39">
        <v>43640</v>
      </c>
      <c r="J2690" t="s">
        <v>981</v>
      </c>
    </row>
    <row r="2691" spans="1:10" x14ac:dyDescent="0.35">
      <c r="A2691">
        <v>16203</v>
      </c>
      <c r="B2691" t="s">
        <v>29</v>
      </c>
      <c r="C2691" t="s">
        <v>632</v>
      </c>
      <c r="D2691" t="s">
        <v>92</v>
      </c>
      <c r="E2691" t="s">
        <v>103</v>
      </c>
      <c r="F2691" t="s">
        <v>244</v>
      </c>
      <c r="G2691" s="39">
        <v>45316</v>
      </c>
      <c r="J2691" t="s">
        <v>981</v>
      </c>
    </row>
    <row r="2692" spans="1:10" x14ac:dyDescent="0.35">
      <c r="A2692">
        <v>13001</v>
      </c>
      <c r="B2692" t="s">
        <v>29</v>
      </c>
      <c r="C2692" t="s">
        <v>632</v>
      </c>
      <c r="D2692" t="s">
        <v>92</v>
      </c>
      <c r="E2692" t="s">
        <v>103</v>
      </c>
      <c r="F2692" t="s">
        <v>244</v>
      </c>
      <c r="G2692" s="39">
        <v>44181</v>
      </c>
      <c r="J2692" t="s">
        <v>981</v>
      </c>
    </row>
    <row r="2693" spans="1:10" x14ac:dyDescent="0.35">
      <c r="A2693">
        <v>16509</v>
      </c>
      <c r="B2693" t="s">
        <v>29</v>
      </c>
      <c r="C2693" t="s">
        <v>632</v>
      </c>
      <c r="D2693" t="s">
        <v>92</v>
      </c>
      <c r="E2693" t="s">
        <v>103</v>
      </c>
      <c r="F2693" t="s">
        <v>244</v>
      </c>
      <c r="G2693" s="39">
        <v>45449</v>
      </c>
      <c r="J2693" t="s">
        <v>981</v>
      </c>
    </row>
    <row r="2694" spans="1:10" x14ac:dyDescent="0.35">
      <c r="A2694">
        <v>16731</v>
      </c>
      <c r="B2694" t="s">
        <v>29</v>
      </c>
      <c r="C2694" t="s">
        <v>632</v>
      </c>
      <c r="D2694" t="s">
        <v>92</v>
      </c>
      <c r="E2694" t="s">
        <v>103</v>
      </c>
      <c r="F2694" t="s">
        <v>244</v>
      </c>
      <c r="G2694" s="39">
        <v>45544</v>
      </c>
      <c r="J2694" t="s">
        <v>981</v>
      </c>
    </row>
    <row r="2695" spans="1:10" x14ac:dyDescent="0.35">
      <c r="A2695">
        <v>17923</v>
      </c>
      <c r="B2695" t="s">
        <v>80</v>
      </c>
      <c r="C2695" t="s">
        <v>92</v>
      </c>
      <c r="D2695" t="s">
        <v>92</v>
      </c>
      <c r="E2695" t="s">
        <v>157</v>
      </c>
      <c r="F2695" t="s">
        <v>244</v>
      </c>
      <c r="G2695" s="39">
        <v>45915</v>
      </c>
      <c r="J2695" t="s">
        <v>982</v>
      </c>
    </row>
    <row r="2696" spans="1:10" x14ac:dyDescent="0.35">
      <c r="A2696">
        <v>18236</v>
      </c>
      <c r="B2696" t="s">
        <v>80</v>
      </c>
      <c r="C2696" t="s">
        <v>588</v>
      </c>
      <c r="D2696" t="s">
        <v>92</v>
      </c>
      <c r="E2696" t="s">
        <v>98</v>
      </c>
      <c r="F2696" t="s">
        <v>244</v>
      </c>
      <c r="G2696" s="39">
        <v>46064</v>
      </c>
      <c r="J2696" t="s">
        <v>982</v>
      </c>
    </row>
    <row r="2697" spans="1:10" x14ac:dyDescent="0.35">
      <c r="A2697">
        <v>18502</v>
      </c>
      <c r="B2697" t="s">
        <v>80</v>
      </c>
      <c r="C2697" t="s">
        <v>633</v>
      </c>
      <c r="D2697" t="s">
        <v>92</v>
      </c>
      <c r="E2697" t="s">
        <v>98</v>
      </c>
      <c r="F2697" t="s">
        <v>244</v>
      </c>
      <c r="G2697" s="39">
        <v>46149</v>
      </c>
      <c r="J2697" t="s">
        <v>982</v>
      </c>
    </row>
    <row r="2698" spans="1:10" x14ac:dyDescent="0.35">
      <c r="A2698">
        <v>14664</v>
      </c>
      <c r="B2698" t="s">
        <v>80</v>
      </c>
      <c r="C2698" t="s">
        <v>634</v>
      </c>
      <c r="D2698" t="s">
        <v>92</v>
      </c>
      <c r="E2698" t="s">
        <v>98</v>
      </c>
      <c r="F2698" t="s">
        <v>244</v>
      </c>
      <c r="G2698" s="39">
        <v>44818</v>
      </c>
      <c r="J2698" t="s">
        <v>982</v>
      </c>
    </row>
    <row r="2699" spans="1:10" x14ac:dyDescent="0.35">
      <c r="A2699">
        <v>16435</v>
      </c>
      <c r="B2699" t="s">
        <v>63</v>
      </c>
      <c r="C2699" t="s">
        <v>92</v>
      </c>
      <c r="D2699" t="s">
        <v>92</v>
      </c>
      <c r="E2699" t="s">
        <v>157</v>
      </c>
      <c r="F2699" t="s">
        <v>244</v>
      </c>
      <c r="G2699" s="39">
        <v>45398</v>
      </c>
      <c r="J2699" t="s">
        <v>982</v>
      </c>
    </row>
    <row r="2700" spans="1:10" x14ac:dyDescent="0.35">
      <c r="A2700">
        <v>11394</v>
      </c>
      <c r="B2700" t="s">
        <v>63</v>
      </c>
      <c r="C2700" t="s">
        <v>635</v>
      </c>
      <c r="D2700" t="s">
        <v>92</v>
      </c>
      <c r="E2700" t="s">
        <v>578</v>
      </c>
      <c r="F2700" t="s">
        <v>244</v>
      </c>
      <c r="G2700" s="39">
        <v>42646</v>
      </c>
      <c r="J2700" t="s">
        <v>982</v>
      </c>
    </row>
    <row r="2701" spans="1:10" x14ac:dyDescent="0.35">
      <c r="A2701">
        <v>16845</v>
      </c>
      <c r="B2701" t="s">
        <v>63</v>
      </c>
      <c r="C2701" t="s">
        <v>410</v>
      </c>
      <c r="D2701" t="s">
        <v>92</v>
      </c>
      <c r="E2701" t="s">
        <v>98</v>
      </c>
      <c r="F2701" t="s">
        <v>244</v>
      </c>
      <c r="G2701" s="39">
        <v>45567</v>
      </c>
      <c r="J2701" t="s">
        <v>982</v>
      </c>
    </row>
    <row r="2702" spans="1:10" x14ac:dyDescent="0.35">
      <c r="A2702">
        <v>14950</v>
      </c>
      <c r="B2702" t="s">
        <v>44</v>
      </c>
      <c r="C2702" t="s">
        <v>92</v>
      </c>
      <c r="D2702" t="s">
        <v>92</v>
      </c>
      <c r="E2702" t="s">
        <v>583</v>
      </c>
      <c r="F2702" t="s">
        <v>244</v>
      </c>
      <c r="G2702" s="39">
        <v>44896</v>
      </c>
      <c r="J2702" t="s">
        <v>982</v>
      </c>
    </row>
    <row r="2703" spans="1:10" x14ac:dyDescent="0.35">
      <c r="A2703">
        <v>16024</v>
      </c>
      <c r="B2703" t="s">
        <v>44</v>
      </c>
      <c r="C2703" t="s">
        <v>636</v>
      </c>
      <c r="D2703" t="s">
        <v>92</v>
      </c>
      <c r="E2703" t="s">
        <v>397</v>
      </c>
      <c r="F2703" t="s">
        <v>244</v>
      </c>
      <c r="G2703" s="39">
        <v>45267</v>
      </c>
      <c r="J2703" t="s">
        <v>982</v>
      </c>
    </row>
    <row r="2704" spans="1:10" x14ac:dyDescent="0.35">
      <c r="A2704">
        <v>15219</v>
      </c>
      <c r="B2704" t="s">
        <v>44</v>
      </c>
      <c r="C2704" t="s">
        <v>636</v>
      </c>
      <c r="D2704" t="s">
        <v>92</v>
      </c>
      <c r="E2704" t="s">
        <v>389</v>
      </c>
      <c r="F2704" t="s">
        <v>244</v>
      </c>
      <c r="G2704" s="39">
        <v>44991</v>
      </c>
      <c r="J2704" t="s">
        <v>982</v>
      </c>
    </row>
    <row r="2705" spans="1:10" x14ac:dyDescent="0.35">
      <c r="A2705">
        <v>18216</v>
      </c>
      <c r="B2705" t="s">
        <v>44</v>
      </c>
      <c r="C2705" t="s">
        <v>636</v>
      </c>
      <c r="D2705" t="s">
        <v>92</v>
      </c>
      <c r="E2705" t="s">
        <v>638</v>
      </c>
      <c r="F2705" t="s">
        <v>244</v>
      </c>
      <c r="G2705" s="39">
        <v>46059</v>
      </c>
      <c r="J2705" t="s">
        <v>982</v>
      </c>
    </row>
    <row r="2706" spans="1:10" x14ac:dyDescent="0.35">
      <c r="A2706">
        <v>13385</v>
      </c>
      <c r="B2706" t="s">
        <v>44</v>
      </c>
      <c r="C2706" t="s">
        <v>636</v>
      </c>
      <c r="D2706" t="s">
        <v>92</v>
      </c>
      <c r="E2706" t="s">
        <v>638</v>
      </c>
      <c r="F2706" t="s">
        <v>244</v>
      </c>
      <c r="G2706" s="39">
        <v>44417</v>
      </c>
      <c r="J2706" t="s">
        <v>982</v>
      </c>
    </row>
    <row r="2707" spans="1:10" x14ac:dyDescent="0.35">
      <c r="A2707">
        <v>15117</v>
      </c>
      <c r="B2707" t="s">
        <v>44</v>
      </c>
      <c r="C2707" t="s">
        <v>636</v>
      </c>
      <c r="D2707" t="s">
        <v>92</v>
      </c>
      <c r="E2707" t="s">
        <v>638</v>
      </c>
      <c r="F2707" t="s">
        <v>244</v>
      </c>
      <c r="G2707" s="39">
        <v>44952</v>
      </c>
      <c r="J2707" t="s">
        <v>982</v>
      </c>
    </row>
    <row r="2708" spans="1:10" x14ac:dyDescent="0.35">
      <c r="A2708">
        <v>13717</v>
      </c>
      <c r="B2708" t="s">
        <v>44</v>
      </c>
      <c r="C2708" t="s">
        <v>636</v>
      </c>
      <c r="D2708" t="s">
        <v>92</v>
      </c>
      <c r="E2708" t="s">
        <v>638</v>
      </c>
      <c r="F2708" t="s">
        <v>244</v>
      </c>
      <c r="G2708" s="39">
        <v>44544</v>
      </c>
      <c r="J2708" t="s">
        <v>982</v>
      </c>
    </row>
    <row r="2709" spans="1:10" x14ac:dyDescent="0.35">
      <c r="A2709">
        <v>16498</v>
      </c>
      <c r="B2709" t="s">
        <v>44</v>
      </c>
      <c r="C2709" t="s">
        <v>636</v>
      </c>
      <c r="D2709" t="s">
        <v>92</v>
      </c>
      <c r="E2709" t="s">
        <v>638</v>
      </c>
      <c r="F2709" t="s">
        <v>244</v>
      </c>
      <c r="G2709" s="39">
        <v>45453</v>
      </c>
      <c r="J2709" t="s">
        <v>982</v>
      </c>
    </row>
    <row r="2710" spans="1:10" x14ac:dyDescent="0.35">
      <c r="A2710">
        <v>18068</v>
      </c>
      <c r="B2710" t="s">
        <v>44</v>
      </c>
      <c r="C2710" t="s">
        <v>636</v>
      </c>
      <c r="D2710" t="s">
        <v>92</v>
      </c>
      <c r="E2710" t="s">
        <v>638</v>
      </c>
      <c r="F2710" t="s">
        <v>244</v>
      </c>
      <c r="G2710" s="39">
        <v>45982</v>
      </c>
      <c r="J2710" t="s">
        <v>982</v>
      </c>
    </row>
    <row r="2711" spans="1:10" x14ac:dyDescent="0.35">
      <c r="A2711">
        <v>17783</v>
      </c>
      <c r="B2711" t="s">
        <v>44</v>
      </c>
      <c r="C2711" t="s">
        <v>201</v>
      </c>
      <c r="D2711" t="s">
        <v>92</v>
      </c>
      <c r="E2711" t="s">
        <v>388</v>
      </c>
      <c r="F2711" t="s">
        <v>244</v>
      </c>
      <c r="G2711" s="39">
        <v>45876</v>
      </c>
      <c r="J2711" t="s">
        <v>982</v>
      </c>
    </row>
    <row r="2712" spans="1:10" x14ac:dyDescent="0.35">
      <c r="A2712">
        <v>17837</v>
      </c>
      <c r="B2712" t="s">
        <v>44</v>
      </c>
      <c r="C2712" t="s">
        <v>596</v>
      </c>
      <c r="D2712" t="s">
        <v>92</v>
      </c>
      <c r="E2712" t="s">
        <v>639</v>
      </c>
      <c r="F2712" t="s">
        <v>244</v>
      </c>
      <c r="G2712" s="39">
        <v>45888</v>
      </c>
      <c r="J2712" t="s">
        <v>982</v>
      </c>
    </row>
    <row r="2713" spans="1:10" x14ac:dyDescent="0.35">
      <c r="A2713">
        <v>15842</v>
      </c>
      <c r="B2713" t="s">
        <v>44</v>
      </c>
      <c r="C2713" t="s">
        <v>596</v>
      </c>
      <c r="D2713" t="s">
        <v>92</v>
      </c>
      <c r="E2713" t="s">
        <v>639</v>
      </c>
      <c r="F2713" t="s">
        <v>244</v>
      </c>
      <c r="G2713" s="39">
        <v>45212</v>
      </c>
      <c r="J2713" t="s">
        <v>982</v>
      </c>
    </row>
    <row r="2714" spans="1:10" x14ac:dyDescent="0.35">
      <c r="A2714">
        <v>17638</v>
      </c>
      <c r="B2714" t="s">
        <v>44</v>
      </c>
      <c r="C2714" t="s">
        <v>596</v>
      </c>
      <c r="D2714" t="s">
        <v>92</v>
      </c>
      <c r="E2714" t="s">
        <v>639</v>
      </c>
      <c r="F2714" t="s">
        <v>244</v>
      </c>
      <c r="G2714" s="39">
        <v>45826</v>
      </c>
      <c r="J2714" t="s">
        <v>982</v>
      </c>
    </row>
    <row r="2715" spans="1:10" x14ac:dyDescent="0.35">
      <c r="A2715">
        <v>16654</v>
      </c>
      <c r="B2715" t="s">
        <v>44</v>
      </c>
      <c r="C2715" t="s">
        <v>596</v>
      </c>
      <c r="D2715" t="s">
        <v>92</v>
      </c>
      <c r="E2715" t="s">
        <v>639</v>
      </c>
      <c r="F2715" t="s">
        <v>244</v>
      </c>
      <c r="G2715" s="39">
        <v>45511</v>
      </c>
      <c r="J2715" t="s">
        <v>982</v>
      </c>
    </row>
    <row r="2716" spans="1:10" x14ac:dyDescent="0.35">
      <c r="A2716">
        <v>16986</v>
      </c>
      <c r="B2716" t="s">
        <v>44</v>
      </c>
      <c r="C2716" t="s">
        <v>596</v>
      </c>
      <c r="D2716" t="s">
        <v>92</v>
      </c>
      <c r="E2716" t="s">
        <v>640</v>
      </c>
      <c r="F2716" t="s">
        <v>244</v>
      </c>
      <c r="G2716" s="39">
        <v>45586</v>
      </c>
      <c r="J2716" t="s">
        <v>982</v>
      </c>
    </row>
    <row r="2717" spans="1:10" x14ac:dyDescent="0.35">
      <c r="A2717">
        <v>16112</v>
      </c>
      <c r="B2717" t="s">
        <v>44</v>
      </c>
      <c r="C2717" t="s">
        <v>596</v>
      </c>
      <c r="D2717" t="s">
        <v>92</v>
      </c>
      <c r="E2717" t="s">
        <v>639</v>
      </c>
      <c r="F2717" t="s">
        <v>244</v>
      </c>
      <c r="G2717" s="39">
        <v>45287</v>
      </c>
      <c r="J2717" t="s">
        <v>982</v>
      </c>
    </row>
    <row r="2718" spans="1:10" x14ac:dyDescent="0.35">
      <c r="A2718">
        <v>17919</v>
      </c>
      <c r="B2718" t="s">
        <v>44</v>
      </c>
      <c r="C2718" t="s">
        <v>596</v>
      </c>
      <c r="D2718" t="s">
        <v>92</v>
      </c>
      <c r="E2718" t="s">
        <v>639</v>
      </c>
      <c r="F2718" t="s">
        <v>244</v>
      </c>
      <c r="G2718" s="39">
        <v>45912</v>
      </c>
      <c r="J2718" t="s">
        <v>982</v>
      </c>
    </row>
    <row r="2719" spans="1:10" x14ac:dyDescent="0.35">
      <c r="A2719">
        <v>12889</v>
      </c>
      <c r="B2719" t="s">
        <v>44</v>
      </c>
      <c r="C2719" t="s">
        <v>596</v>
      </c>
      <c r="D2719" t="s">
        <v>92</v>
      </c>
      <c r="E2719" t="s">
        <v>639</v>
      </c>
      <c r="F2719" t="s">
        <v>244</v>
      </c>
      <c r="G2719" s="39">
        <v>44076</v>
      </c>
      <c r="J2719" t="s">
        <v>982</v>
      </c>
    </row>
    <row r="2720" spans="1:10" x14ac:dyDescent="0.35">
      <c r="A2720">
        <v>15904</v>
      </c>
      <c r="B2720" t="s">
        <v>87</v>
      </c>
      <c r="C2720" t="s">
        <v>92</v>
      </c>
      <c r="D2720" t="s">
        <v>92</v>
      </c>
      <c r="E2720" t="s">
        <v>641</v>
      </c>
      <c r="F2720" t="s">
        <v>244</v>
      </c>
      <c r="G2720" s="39">
        <v>45237</v>
      </c>
      <c r="J2720" t="s">
        <v>982</v>
      </c>
    </row>
    <row r="2721" spans="1:10" x14ac:dyDescent="0.35">
      <c r="A2721">
        <v>16310</v>
      </c>
      <c r="B2721" t="s">
        <v>44</v>
      </c>
      <c r="C2721" t="s">
        <v>636</v>
      </c>
      <c r="D2721" t="s">
        <v>92</v>
      </c>
      <c r="E2721" t="s">
        <v>389</v>
      </c>
      <c r="F2721" t="s">
        <v>244</v>
      </c>
      <c r="G2721" s="39">
        <v>45355</v>
      </c>
      <c r="J2721" t="s">
        <v>982</v>
      </c>
    </row>
    <row r="2722" spans="1:10" x14ac:dyDescent="0.35">
      <c r="A2722">
        <v>15110</v>
      </c>
      <c r="B2722" t="s">
        <v>45</v>
      </c>
      <c r="C2722" t="s">
        <v>92</v>
      </c>
      <c r="D2722" t="s">
        <v>92</v>
      </c>
      <c r="E2722" t="s">
        <v>202</v>
      </c>
      <c r="F2722" t="s">
        <v>244</v>
      </c>
      <c r="G2722" s="39">
        <v>44952</v>
      </c>
      <c r="J2722" t="s">
        <v>982</v>
      </c>
    </row>
    <row r="2723" spans="1:10" x14ac:dyDescent="0.35">
      <c r="A2723">
        <v>18722</v>
      </c>
      <c r="B2723" t="s">
        <v>45</v>
      </c>
      <c r="C2723" t="s">
        <v>92</v>
      </c>
      <c r="D2723" t="s">
        <v>92</v>
      </c>
      <c r="E2723" t="s">
        <v>202</v>
      </c>
      <c r="F2723" t="s">
        <v>244</v>
      </c>
      <c r="G2723" s="39">
        <v>46192</v>
      </c>
      <c r="H2723" t="s">
        <v>249</v>
      </c>
      <c r="J2723" t="s">
        <v>982</v>
      </c>
    </row>
    <row r="2724" spans="1:10" x14ac:dyDescent="0.35">
      <c r="A2724">
        <v>18905</v>
      </c>
      <c r="B2724" t="s">
        <v>45</v>
      </c>
      <c r="C2724" t="s">
        <v>92</v>
      </c>
      <c r="D2724" t="s">
        <v>92</v>
      </c>
      <c r="E2724" t="s">
        <v>202</v>
      </c>
      <c r="F2724" t="s">
        <v>244</v>
      </c>
      <c r="G2724" s="39">
        <v>46239</v>
      </c>
      <c r="J2724" t="s">
        <v>982</v>
      </c>
    </row>
    <row r="2725" spans="1:10" x14ac:dyDescent="0.35">
      <c r="A2725">
        <v>15220</v>
      </c>
      <c r="B2725" t="s">
        <v>45</v>
      </c>
      <c r="C2725" t="s">
        <v>92</v>
      </c>
      <c r="D2725" t="s">
        <v>92</v>
      </c>
      <c r="E2725" t="s">
        <v>202</v>
      </c>
      <c r="F2725" t="s">
        <v>244</v>
      </c>
      <c r="G2725" s="39">
        <v>44991</v>
      </c>
      <c r="J2725" t="s">
        <v>982</v>
      </c>
    </row>
    <row r="2726" spans="1:10" x14ac:dyDescent="0.35">
      <c r="A2726">
        <v>19165</v>
      </c>
      <c r="B2726" t="s">
        <v>45</v>
      </c>
      <c r="C2726" t="s">
        <v>92</v>
      </c>
      <c r="D2726" t="s">
        <v>92</v>
      </c>
      <c r="E2726" t="s">
        <v>202</v>
      </c>
      <c r="F2726" t="s">
        <v>244</v>
      </c>
      <c r="G2726" s="39">
        <v>46272</v>
      </c>
      <c r="H2726" t="s">
        <v>249</v>
      </c>
      <c r="J2726" t="s">
        <v>982</v>
      </c>
    </row>
    <row r="2727" spans="1:10" x14ac:dyDescent="0.35">
      <c r="A2727">
        <v>18718</v>
      </c>
      <c r="B2727" t="s">
        <v>45</v>
      </c>
      <c r="C2727" t="s">
        <v>92</v>
      </c>
      <c r="D2727" t="s">
        <v>92</v>
      </c>
      <c r="E2727" t="s">
        <v>202</v>
      </c>
      <c r="F2727" t="s">
        <v>244</v>
      </c>
      <c r="G2727" s="39">
        <v>46192</v>
      </c>
      <c r="H2727" t="s">
        <v>249</v>
      </c>
      <c r="J2727" t="s">
        <v>982</v>
      </c>
    </row>
    <row r="2728" spans="1:10" x14ac:dyDescent="0.35">
      <c r="A2728">
        <v>16068</v>
      </c>
      <c r="B2728" t="s">
        <v>87</v>
      </c>
      <c r="C2728" t="s">
        <v>92</v>
      </c>
      <c r="D2728" t="s">
        <v>92</v>
      </c>
      <c r="E2728" t="s">
        <v>202</v>
      </c>
      <c r="F2728" t="s">
        <v>244</v>
      </c>
      <c r="G2728" s="39">
        <v>45278</v>
      </c>
      <c r="J2728" t="s">
        <v>982</v>
      </c>
    </row>
    <row r="2729" spans="1:10" x14ac:dyDescent="0.35">
      <c r="A2729">
        <v>13768</v>
      </c>
      <c r="B2729" t="s">
        <v>87</v>
      </c>
      <c r="C2729" t="s">
        <v>92</v>
      </c>
      <c r="D2729" t="s">
        <v>92</v>
      </c>
      <c r="E2729" t="s">
        <v>202</v>
      </c>
      <c r="F2729" t="s">
        <v>244</v>
      </c>
      <c r="G2729" s="39">
        <v>44571</v>
      </c>
      <c r="J2729" t="s">
        <v>982</v>
      </c>
    </row>
    <row r="2730" spans="1:10" x14ac:dyDescent="0.35">
      <c r="A2730">
        <v>17133</v>
      </c>
      <c r="B2730" t="s">
        <v>45</v>
      </c>
      <c r="C2730" t="s">
        <v>92</v>
      </c>
      <c r="D2730" t="s">
        <v>92</v>
      </c>
      <c r="E2730" t="s">
        <v>202</v>
      </c>
      <c r="F2730" t="s">
        <v>244</v>
      </c>
      <c r="G2730" s="39">
        <v>45642</v>
      </c>
      <c r="J2730" t="s">
        <v>982</v>
      </c>
    </row>
    <row r="2731" spans="1:10" x14ac:dyDescent="0.35">
      <c r="A2731">
        <v>18747</v>
      </c>
      <c r="B2731" t="s">
        <v>45</v>
      </c>
      <c r="C2731" t="s">
        <v>92</v>
      </c>
      <c r="D2731" t="s">
        <v>92</v>
      </c>
      <c r="E2731" t="s">
        <v>202</v>
      </c>
      <c r="F2731" t="s">
        <v>244</v>
      </c>
      <c r="G2731" s="39">
        <v>46204</v>
      </c>
      <c r="J2731" t="s">
        <v>982</v>
      </c>
    </row>
    <row r="2732" spans="1:10" x14ac:dyDescent="0.35">
      <c r="A2732">
        <v>18818</v>
      </c>
      <c r="B2732" t="s">
        <v>45</v>
      </c>
      <c r="C2732" t="s">
        <v>92</v>
      </c>
      <c r="D2732" t="s">
        <v>92</v>
      </c>
      <c r="E2732" t="s">
        <v>202</v>
      </c>
      <c r="F2732" t="s">
        <v>244</v>
      </c>
      <c r="G2732" s="39">
        <v>46213</v>
      </c>
      <c r="H2732" t="s">
        <v>249</v>
      </c>
      <c r="J2732" t="s">
        <v>982</v>
      </c>
    </row>
    <row r="2733" spans="1:10" x14ac:dyDescent="0.35">
      <c r="A2733">
        <v>15330</v>
      </c>
      <c r="B2733" t="s">
        <v>44</v>
      </c>
      <c r="C2733" t="s">
        <v>636</v>
      </c>
      <c r="D2733" t="s">
        <v>92</v>
      </c>
      <c r="E2733" t="s">
        <v>638</v>
      </c>
      <c r="F2733" t="s">
        <v>244</v>
      </c>
      <c r="G2733" s="39">
        <v>45029</v>
      </c>
      <c r="J2733" t="s">
        <v>982</v>
      </c>
    </row>
    <row r="2734" spans="1:10" x14ac:dyDescent="0.35">
      <c r="A2734">
        <v>12519</v>
      </c>
      <c r="B2734" t="s">
        <v>44</v>
      </c>
      <c r="C2734" t="s">
        <v>636</v>
      </c>
      <c r="D2734" t="s">
        <v>92</v>
      </c>
      <c r="E2734" t="s">
        <v>638</v>
      </c>
      <c r="F2734" t="s">
        <v>244</v>
      </c>
      <c r="G2734" s="39">
        <v>43794</v>
      </c>
      <c r="J2734" t="s">
        <v>982</v>
      </c>
    </row>
    <row r="2735" spans="1:10" x14ac:dyDescent="0.35">
      <c r="A2735">
        <v>14758</v>
      </c>
      <c r="B2735" t="s">
        <v>87</v>
      </c>
      <c r="C2735" t="s">
        <v>92</v>
      </c>
      <c r="D2735" t="s">
        <v>92</v>
      </c>
      <c r="E2735" t="s">
        <v>202</v>
      </c>
      <c r="F2735" t="s">
        <v>244</v>
      </c>
      <c r="G2735" s="39">
        <v>44858</v>
      </c>
      <c r="J2735" t="s">
        <v>982</v>
      </c>
    </row>
    <row r="2736" spans="1:10" x14ac:dyDescent="0.35">
      <c r="A2736">
        <v>15329</v>
      </c>
      <c r="B2736" t="s">
        <v>87</v>
      </c>
      <c r="C2736" t="s">
        <v>92</v>
      </c>
      <c r="D2736" t="s">
        <v>92</v>
      </c>
      <c r="E2736" t="s">
        <v>202</v>
      </c>
      <c r="F2736" t="s">
        <v>244</v>
      </c>
      <c r="G2736" s="39">
        <v>45029</v>
      </c>
      <c r="J2736" t="s">
        <v>982</v>
      </c>
    </row>
    <row r="2737" spans="1:10" x14ac:dyDescent="0.35">
      <c r="A2737">
        <v>15375</v>
      </c>
      <c r="B2737" t="s">
        <v>44</v>
      </c>
      <c r="C2737" t="s">
        <v>636</v>
      </c>
      <c r="D2737" t="s">
        <v>92</v>
      </c>
      <c r="E2737" t="s">
        <v>389</v>
      </c>
      <c r="F2737" t="s">
        <v>244</v>
      </c>
      <c r="G2737" s="39">
        <v>45050</v>
      </c>
      <c r="J2737" t="s">
        <v>982</v>
      </c>
    </row>
    <row r="2738" spans="1:10" x14ac:dyDescent="0.35">
      <c r="A2738">
        <v>15983</v>
      </c>
      <c r="B2738" t="s">
        <v>87</v>
      </c>
      <c r="C2738" t="s">
        <v>92</v>
      </c>
      <c r="D2738" t="s">
        <v>92</v>
      </c>
      <c r="E2738" t="s">
        <v>202</v>
      </c>
      <c r="F2738" t="s">
        <v>244</v>
      </c>
      <c r="G2738" s="39">
        <v>45254</v>
      </c>
      <c r="J2738" t="s">
        <v>982</v>
      </c>
    </row>
    <row r="2739" spans="1:10" x14ac:dyDescent="0.35">
      <c r="A2739">
        <v>16032</v>
      </c>
      <c r="B2739" t="s">
        <v>44</v>
      </c>
      <c r="C2739" t="s">
        <v>636</v>
      </c>
      <c r="D2739" t="s">
        <v>92</v>
      </c>
      <c r="E2739" t="s">
        <v>638</v>
      </c>
      <c r="F2739" t="s">
        <v>244</v>
      </c>
      <c r="G2739" s="39">
        <v>45268</v>
      </c>
      <c r="J2739" t="s">
        <v>982</v>
      </c>
    </row>
    <row r="2740" spans="1:10" x14ac:dyDescent="0.35">
      <c r="A2740">
        <v>16726</v>
      </c>
      <c r="B2740" t="s">
        <v>44</v>
      </c>
      <c r="C2740" t="s">
        <v>636</v>
      </c>
      <c r="D2740" t="s">
        <v>92</v>
      </c>
      <c r="E2740" t="s">
        <v>389</v>
      </c>
      <c r="F2740" t="s">
        <v>244</v>
      </c>
      <c r="G2740" s="39">
        <v>45545</v>
      </c>
      <c r="J2740" t="s">
        <v>982</v>
      </c>
    </row>
    <row r="2741" spans="1:10" x14ac:dyDescent="0.35">
      <c r="A2741">
        <v>16823</v>
      </c>
      <c r="B2741" t="s">
        <v>87</v>
      </c>
      <c r="C2741" t="s">
        <v>92</v>
      </c>
      <c r="D2741" t="s">
        <v>92</v>
      </c>
      <c r="E2741" t="s">
        <v>202</v>
      </c>
      <c r="F2741" t="s">
        <v>244</v>
      </c>
      <c r="G2741" s="39">
        <v>45560</v>
      </c>
      <c r="J2741" t="s">
        <v>982</v>
      </c>
    </row>
    <row r="2742" spans="1:10" x14ac:dyDescent="0.35">
      <c r="A2742">
        <v>18067</v>
      </c>
      <c r="B2742" t="s">
        <v>44</v>
      </c>
      <c r="C2742" t="s">
        <v>636</v>
      </c>
      <c r="D2742" t="s">
        <v>92</v>
      </c>
      <c r="E2742" t="s">
        <v>638</v>
      </c>
      <c r="F2742" t="s">
        <v>244</v>
      </c>
      <c r="G2742" s="39">
        <v>45982</v>
      </c>
      <c r="J2742" t="s">
        <v>982</v>
      </c>
    </row>
    <row r="2743" spans="1:10" x14ac:dyDescent="0.35">
      <c r="A2743">
        <v>18161</v>
      </c>
      <c r="B2743" t="s">
        <v>45</v>
      </c>
      <c r="C2743" t="s">
        <v>92</v>
      </c>
      <c r="D2743" t="s">
        <v>92</v>
      </c>
      <c r="E2743" t="s">
        <v>642</v>
      </c>
      <c r="F2743" t="s">
        <v>244</v>
      </c>
      <c r="G2743" s="39">
        <v>46028</v>
      </c>
      <c r="J2743" t="s">
        <v>982</v>
      </c>
    </row>
    <row r="2744" spans="1:10" x14ac:dyDescent="0.35">
      <c r="A2744">
        <v>15820</v>
      </c>
      <c r="B2744" t="s">
        <v>44</v>
      </c>
      <c r="C2744" t="s">
        <v>636</v>
      </c>
      <c r="D2744" t="s">
        <v>92</v>
      </c>
      <c r="E2744" t="s">
        <v>96</v>
      </c>
      <c r="F2744" t="s">
        <v>244</v>
      </c>
      <c r="G2744" s="39">
        <v>45204</v>
      </c>
      <c r="J2744" t="s">
        <v>982</v>
      </c>
    </row>
    <row r="2745" spans="1:10" x14ac:dyDescent="0.35">
      <c r="A2745">
        <v>15823</v>
      </c>
      <c r="B2745" t="s">
        <v>29</v>
      </c>
      <c r="C2745" t="s">
        <v>200</v>
      </c>
      <c r="D2745" t="s">
        <v>643</v>
      </c>
      <c r="E2745" t="s">
        <v>109</v>
      </c>
      <c r="F2745" t="s">
        <v>244</v>
      </c>
      <c r="G2745" s="39">
        <v>45205</v>
      </c>
      <c r="J2745" t="s">
        <v>982</v>
      </c>
    </row>
    <row r="2746" spans="1:10" x14ac:dyDescent="0.35">
      <c r="A2746">
        <v>12252</v>
      </c>
      <c r="B2746" t="s">
        <v>44</v>
      </c>
      <c r="C2746" t="s">
        <v>636</v>
      </c>
      <c r="D2746" t="s">
        <v>92</v>
      </c>
      <c r="E2746" t="s">
        <v>389</v>
      </c>
      <c r="F2746" t="s">
        <v>244</v>
      </c>
      <c r="G2746" s="39">
        <v>43647</v>
      </c>
      <c r="J2746" t="s">
        <v>982</v>
      </c>
    </row>
    <row r="2747" spans="1:10" x14ac:dyDescent="0.35">
      <c r="A2747">
        <v>13833</v>
      </c>
      <c r="B2747" t="s">
        <v>44</v>
      </c>
      <c r="C2747" t="s">
        <v>636</v>
      </c>
      <c r="D2747" t="s">
        <v>92</v>
      </c>
      <c r="E2747" t="s">
        <v>389</v>
      </c>
      <c r="F2747" t="s">
        <v>244</v>
      </c>
      <c r="G2747" s="39">
        <v>44600</v>
      </c>
      <c r="J2747" t="s">
        <v>982</v>
      </c>
    </row>
    <row r="2748" spans="1:10" x14ac:dyDescent="0.35">
      <c r="A2748">
        <v>16489</v>
      </c>
      <c r="B2748" t="s">
        <v>44</v>
      </c>
      <c r="C2748" t="s">
        <v>636</v>
      </c>
      <c r="D2748" t="s">
        <v>92</v>
      </c>
      <c r="E2748" t="s">
        <v>389</v>
      </c>
      <c r="F2748" t="s">
        <v>244</v>
      </c>
      <c r="G2748" s="39">
        <v>45435</v>
      </c>
      <c r="J2748" t="s">
        <v>982</v>
      </c>
    </row>
    <row r="2749" spans="1:10" x14ac:dyDescent="0.35">
      <c r="A2749">
        <v>16975</v>
      </c>
      <c r="B2749" t="s">
        <v>44</v>
      </c>
      <c r="C2749" t="s">
        <v>636</v>
      </c>
      <c r="D2749" t="s">
        <v>92</v>
      </c>
      <c r="E2749" t="s">
        <v>389</v>
      </c>
      <c r="F2749" t="s">
        <v>244</v>
      </c>
      <c r="G2749" s="39">
        <v>45593</v>
      </c>
      <c r="J2749" t="s">
        <v>982</v>
      </c>
    </row>
    <row r="2750" spans="1:10" x14ac:dyDescent="0.35">
      <c r="A2750">
        <v>17920</v>
      </c>
      <c r="B2750" t="s">
        <v>44</v>
      </c>
      <c r="C2750" t="s">
        <v>636</v>
      </c>
      <c r="D2750" t="s">
        <v>92</v>
      </c>
      <c r="E2750" t="s">
        <v>644</v>
      </c>
      <c r="F2750" t="s">
        <v>244</v>
      </c>
      <c r="G2750" s="39">
        <v>45912</v>
      </c>
      <c r="J2750" t="s">
        <v>982</v>
      </c>
    </row>
    <row r="2751" spans="1:10" x14ac:dyDescent="0.35">
      <c r="A2751">
        <v>18031</v>
      </c>
      <c r="B2751" t="s">
        <v>44</v>
      </c>
      <c r="C2751" t="s">
        <v>636</v>
      </c>
      <c r="D2751" t="s">
        <v>92</v>
      </c>
      <c r="E2751" t="s">
        <v>389</v>
      </c>
      <c r="F2751" t="s">
        <v>244</v>
      </c>
      <c r="G2751" s="39">
        <v>45967</v>
      </c>
      <c r="J2751" t="s">
        <v>982</v>
      </c>
    </row>
    <row r="2752" spans="1:10" x14ac:dyDescent="0.35">
      <c r="A2752">
        <v>18204</v>
      </c>
      <c r="B2752" t="s">
        <v>45</v>
      </c>
      <c r="C2752" t="s">
        <v>92</v>
      </c>
      <c r="D2752" t="s">
        <v>92</v>
      </c>
      <c r="E2752" t="s">
        <v>389</v>
      </c>
      <c r="F2752" t="s">
        <v>244</v>
      </c>
      <c r="G2752" s="39">
        <v>46055</v>
      </c>
      <c r="J2752" t="s">
        <v>982</v>
      </c>
    </row>
    <row r="2753" spans="1:10" x14ac:dyDescent="0.35">
      <c r="A2753">
        <v>18932</v>
      </c>
      <c r="B2753" t="s">
        <v>45</v>
      </c>
      <c r="C2753" t="s">
        <v>92</v>
      </c>
      <c r="D2753" t="s">
        <v>92</v>
      </c>
      <c r="E2753" t="s">
        <v>389</v>
      </c>
      <c r="F2753" t="s">
        <v>244</v>
      </c>
      <c r="G2753" s="39">
        <v>46245</v>
      </c>
      <c r="J2753" t="s">
        <v>982</v>
      </c>
    </row>
    <row r="2754" spans="1:10" x14ac:dyDescent="0.35">
      <c r="A2754">
        <v>18061</v>
      </c>
      <c r="B2754" t="s">
        <v>87</v>
      </c>
      <c r="C2754" t="s">
        <v>92</v>
      </c>
      <c r="D2754" t="s">
        <v>92</v>
      </c>
      <c r="E2754" t="s">
        <v>389</v>
      </c>
      <c r="F2754" t="s">
        <v>244</v>
      </c>
      <c r="G2754" s="39">
        <v>45980</v>
      </c>
      <c r="J2754" t="s">
        <v>982</v>
      </c>
    </row>
    <row r="2755" spans="1:10" x14ac:dyDescent="0.35">
      <c r="A2755">
        <v>18160</v>
      </c>
      <c r="B2755" t="s">
        <v>87</v>
      </c>
      <c r="C2755" t="s">
        <v>92</v>
      </c>
      <c r="D2755" t="s">
        <v>92</v>
      </c>
      <c r="E2755" t="s">
        <v>389</v>
      </c>
      <c r="F2755" t="s">
        <v>244</v>
      </c>
      <c r="G2755" s="39">
        <v>46028</v>
      </c>
      <c r="J2755" t="s">
        <v>982</v>
      </c>
    </row>
    <row r="2756" spans="1:10" x14ac:dyDescent="0.35">
      <c r="A2756">
        <v>17125</v>
      </c>
      <c r="B2756" t="s">
        <v>45</v>
      </c>
      <c r="C2756" t="s">
        <v>92</v>
      </c>
      <c r="D2756" t="s">
        <v>92</v>
      </c>
      <c r="E2756" t="s">
        <v>645</v>
      </c>
      <c r="F2756" t="s">
        <v>244</v>
      </c>
      <c r="G2756" s="39">
        <v>45642</v>
      </c>
      <c r="J2756" t="s">
        <v>982</v>
      </c>
    </row>
    <row r="2757" spans="1:10" x14ac:dyDescent="0.35">
      <c r="A2757">
        <v>17775</v>
      </c>
      <c r="B2757" t="s">
        <v>87</v>
      </c>
      <c r="C2757" t="s">
        <v>92</v>
      </c>
      <c r="D2757" t="s">
        <v>92</v>
      </c>
      <c r="E2757" t="s">
        <v>645</v>
      </c>
      <c r="F2757" t="s">
        <v>244</v>
      </c>
      <c r="G2757" s="39">
        <v>45875</v>
      </c>
      <c r="J2757" t="s">
        <v>982</v>
      </c>
    </row>
    <row r="2758" spans="1:10" x14ac:dyDescent="0.35">
      <c r="A2758">
        <v>18310</v>
      </c>
      <c r="B2758" t="s">
        <v>87</v>
      </c>
      <c r="C2758" t="s">
        <v>92</v>
      </c>
      <c r="D2758" t="s">
        <v>92</v>
      </c>
      <c r="E2758" t="s">
        <v>645</v>
      </c>
      <c r="F2758" t="s">
        <v>244</v>
      </c>
      <c r="G2758" s="39">
        <v>46085</v>
      </c>
      <c r="J2758" t="s">
        <v>982</v>
      </c>
    </row>
    <row r="2759" spans="1:10" x14ac:dyDescent="0.35">
      <c r="A2759">
        <v>14242</v>
      </c>
      <c r="B2759" t="s">
        <v>44</v>
      </c>
      <c r="C2759" t="s">
        <v>596</v>
      </c>
      <c r="D2759" t="s">
        <v>92</v>
      </c>
      <c r="E2759" t="s">
        <v>645</v>
      </c>
      <c r="F2759" t="s">
        <v>244</v>
      </c>
      <c r="G2759" s="39">
        <v>44701</v>
      </c>
      <c r="J2759" t="s">
        <v>982</v>
      </c>
    </row>
    <row r="2760" spans="1:10" x14ac:dyDescent="0.35">
      <c r="A2760">
        <v>14305</v>
      </c>
      <c r="B2760" t="s">
        <v>29</v>
      </c>
      <c r="C2760" t="s">
        <v>200</v>
      </c>
      <c r="D2760" t="s">
        <v>643</v>
      </c>
      <c r="E2760" t="s">
        <v>102</v>
      </c>
      <c r="F2760" t="s">
        <v>244</v>
      </c>
      <c r="G2760" s="39">
        <v>44725</v>
      </c>
      <c r="J2760" t="s">
        <v>982</v>
      </c>
    </row>
    <row r="2761" spans="1:10" x14ac:dyDescent="0.35">
      <c r="A2761">
        <v>12035</v>
      </c>
      <c r="B2761" t="s">
        <v>87</v>
      </c>
      <c r="C2761" t="s">
        <v>92</v>
      </c>
      <c r="D2761" t="s">
        <v>92</v>
      </c>
      <c r="E2761" t="s">
        <v>645</v>
      </c>
      <c r="F2761" t="s">
        <v>244</v>
      </c>
      <c r="G2761" s="39">
        <v>43395</v>
      </c>
      <c r="J2761" t="s">
        <v>982</v>
      </c>
    </row>
    <row r="2762" spans="1:10" x14ac:dyDescent="0.35">
      <c r="A2762">
        <v>18091</v>
      </c>
      <c r="B2762" t="s">
        <v>44</v>
      </c>
      <c r="C2762" t="s">
        <v>596</v>
      </c>
      <c r="D2762" t="s">
        <v>92</v>
      </c>
      <c r="E2762" t="s">
        <v>645</v>
      </c>
      <c r="F2762" t="s">
        <v>244</v>
      </c>
      <c r="G2762" s="39">
        <v>45993</v>
      </c>
      <c r="J2762" t="s">
        <v>982</v>
      </c>
    </row>
    <row r="2763" spans="1:10" x14ac:dyDescent="0.35">
      <c r="A2763">
        <v>12723</v>
      </c>
      <c r="B2763" t="s">
        <v>87</v>
      </c>
      <c r="C2763" t="s">
        <v>92</v>
      </c>
      <c r="D2763" t="s">
        <v>92</v>
      </c>
      <c r="E2763" t="s">
        <v>645</v>
      </c>
      <c r="F2763" t="s">
        <v>244</v>
      </c>
      <c r="G2763" s="39">
        <v>43878</v>
      </c>
      <c r="J2763" t="s">
        <v>982</v>
      </c>
    </row>
    <row r="2764" spans="1:10" x14ac:dyDescent="0.35">
      <c r="A2764">
        <v>13592</v>
      </c>
      <c r="B2764" t="s">
        <v>87</v>
      </c>
      <c r="C2764" t="s">
        <v>92</v>
      </c>
      <c r="D2764" t="s">
        <v>92</v>
      </c>
      <c r="E2764" t="s">
        <v>645</v>
      </c>
      <c r="F2764" t="s">
        <v>244</v>
      </c>
      <c r="G2764" s="39">
        <v>44503</v>
      </c>
      <c r="J2764" t="s">
        <v>982</v>
      </c>
    </row>
    <row r="2765" spans="1:10" x14ac:dyDescent="0.35">
      <c r="A2765">
        <v>14924</v>
      </c>
      <c r="B2765" t="s">
        <v>45</v>
      </c>
      <c r="C2765" t="s">
        <v>92</v>
      </c>
      <c r="D2765" t="s">
        <v>92</v>
      </c>
      <c r="E2765" t="s">
        <v>645</v>
      </c>
      <c r="F2765" t="s">
        <v>244</v>
      </c>
      <c r="G2765" s="39">
        <v>44896</v>
      </c>
      <c r="J2765" t="s">
        <v>982</v>
      </c>
    </row>
    <row r="2766" spans="1:10" x14ac:dyDescent="0.35">
      <c r="A2766">
        <v>15942</v>
      </c>
      <c r="B2766" t="s">
        <v>45</v>
      </c>
      <c r="C2766" t="s">
        <v>92</v>
      </c>
      <c r="D2766" t="s">
        <v>92</v>
      </c>
      <c r="E2766" t="s">
        <v>645</v>
      </c>
      <c r="F2766" t="s">
        <v>244</v>
      </c>
      <c r="G2766" s="39">
        <v>45247</v>
      </c>
      <c r="J2766" t="s">
        <v>982</v>
      </c>
    </row>
    <row r="2767" spans="1:10" x14ac:dyDescent="0.35">
      <c r="A2767">
        <v>16259</v>
      </c>
      <c r="B2767" t="s">
        <v>45</v>
      </c>
      <c r="C2767" t="s">
        <v>92</v>
      </c>
      <c r="D2767" t="s">
        <v>92</v>
      </c>
      <c r="E2767" t="s">
        <v>645</v>
      </c>
      <c r="F2767" t="s">
        <v>244</v>
      </c>
      <c r="G2767" s="39">
        <v>45331</v>
      </c>
      <c r="J2767" t="s">
        <v>982</v>
      </c>
    </row>
    <row r="2768" spans="1:10" x14ac:dyDescent="0.35">
      <c r="A2768">
        <v>16592</v>
      </c>
      <c r="B2768" t="s">
        <v>29</v>
      </c>
      <c r="C2768" t="s">
        <v>200</v>
      </c>
      <c r="D2768" t="s">
        <v>643</v>
      </c>
      <c r="E2768" t="s">
        <v>103</v>
      </c>
      <c r="F2768" t="s">
        <v>244</v>
      </c>
      <c r="G2768" s="39">
        <v>45485</v>
      </c>
      <c r="J2768" t="s">
        <v>982</v>
      </c>
    </row>
    <row r="2769" spans="1:10" x14ac:dyDescent="0.35">
      <c r="A2769">
        <v>15696</v>
      </c>
      <c r="B2769" t="s">
        <v>40</v>
      </c>
      <c r="C2769" t="s">
        <v>92</v>
      </c>
      <c r="D2769" t="s">
        <v>92</v>
      </c>
      <c r="E2769" t="s">
        <v>383</v>
      </c>
      <c r="F2769" t="s">
        <v>244</v>
      </c>
      <c r="G2769" s="39">
        <v>45163</v>
      </c>
      <c r="J2769" t="s">
        <v>982</v>
      </c>
    </row>
    <row r="2770" spans="1:10" x14ac:dyDescent="0.35">
      <c r="A2770">
        <v>12815</v>
      </c>
      <c r="B2770" t="s">
        <v>89</v>
      </c>
      <c r="C2770" t="s">
        <v>92</v>
      </c>
      <c r="D2770" t="s">
        <v>92</v>
      </c>
      <c r="E2770" t="s">
        <v>646</v>
      </c>
      <c r="F2770" t="s">
        <v>244</v>
      </c>
      <c r="G2770" s="39">
        <v>43955</v>
      </c>
      <c r="J2770" t="s">
        <v>982</v>
      </c>
    </row>
    <row r="2771" spans="1:10" x14ac:dyDescent="0.35">
      <c r="A2771">
        <v>15347</v>
      </c>
      <c r="B2771" t="s">
        <v>41</v>
      </c>
      <c r="C2771" t="s">
        <v>92</v>
      </c>
      <c r="D2771" t="s">
        <v>92</v>
      </c>
      <c r="E2771" t="s">
        <v>646</v>
      </c>
      <c r="F2771" t="s">
        <v>244</v>
      </c>
      <c r="G2771" s="39">
        <v>45036</v>
      </c>
      <c r="J2771" t="s">
        <v>982</v>
      </c>
    </row>
    <row r="2772" spans="1:10" x14ac:dyDescent="0.35">
      <c r="A2772">
        <v>17900</v>
      </c>
      <c r="B2772" t="s">
        <v>89</v>
      </c>
      <c r="C2772" t="s">
        <v>92</v>
      </c>
      <c r="D2772" t="s">
        <v>92</v>
      </c>
      <c r="E2772" t="s">
        <v>646</v>
      </c>
      <c r="F2772" t="s">
        <v>244</v>
      </c>
      <c r="G2772" s="39">
        <v>45902</v>
      </c>
      <c r="J2772" t="s">
        <v>982</v>
      </c>
    </row>
    <row r="2773" spans="1:10" x14ac:dyDescent="0.35">
      <c r="A2773">
        <v>15511</v>
      </c>
      <c r="B2773" t="s">
        <v>41</v>
      </c>
      <c r="C2773" t="s">
        <v>92</v>
      </c>
      <c r="D2773" t="s">
        <v>92</v>
      </c>
      <c r="E2773" t="s">
        <v>646</v>
      </c>
      <c r="F2773" t="s">
        <v>244</v>
      </c>
      <c r="G2773" s="39">
        <v>45100</v>
      </c>
      <c r="J2773" t="s">
        <v>982</v>
      </c>
    </row>
    <row r="2774" spans="1:10" x14ac:dyDescent="0.35">
      <c r="A2774">
        <v>18840</v>
      </c>
      <c r="B2774" t="s">
        <v>41</v>
      </c>
      <c r="C2774" t="s">
        <v>92</v>
      </c>
      <c r="D2774" t="s">
        <v>92</v>
      </c>
      <c r="E2774" t="s">
        <v>646</v>
      </c>
      <c r="F2774" t="s">
        <v>244</v>
      </c>
      <c r="G2774" s="39">
        <v>46231</v>
      </c>
      <c r="J2774" t="s">
        <v>982</v>
      </c>
    </row>
    <row r="2775" spans="1:10" x14ac:dyDescent="0.35">
      <c r="A2775">
        <v>16422</v>
      </c>
      <c r="B2775" t="s">
        <v>41</v>
      </c>
      <c r="C2775" t="s">
        <v>92</v>
      </c>
      <c r="D2775" t="s">
        <v>92</v>
      </c>
      <c r="E2775" t="s">
        <v>646</v>
      </c>
      <c r="F2775" t="s">
        <v>244</v>
      </c>
      <c r="G2775" s="39">
        <v>45385</v>
      </c>
      <c r="J2775" t="s">
        <v>982</v>
      </c>
    </row>
    <row r="2776" spans="1:10" x14ac:dyDescent="0.35">
      <c r="A2776">
        <v>16764</v>
      </c>
      <c r="B2776" t="s">
        <v>52</v>
      </c>
      <c r="C2776" t="s">
        <v>92</v>
      </c>
      <c r="D2776" t="s">
        <v>92</v>
      </c>
      <c r="E2776" t="s">
        <v>96</v>
      </c>
      <c r="F2776" t="s">
        <v>244</v>
      </c>
      <c r="G2776" s="39">
        <v>45540</v>
      </c>
      <c r="J2776" t="s">
        <v>982</v>
      </c>
    </row>
    <row r="2777" spans="1:10" x14ac:dyDescent="0.35">
      <c r="A2777">
        <v>18871</v>
      </c>
      <c r="B2777" t="s">
        <v>52</v>
      </c>
      <c r="C2777" t="s">
        <v>203</v>
      </c>
      <c r="D2777" t="s">
        <v>92</v>
      </c>
      <c r="E2777" t="s">
        <v>96</v>
      </c>
      <c r="F2777" t="s">
        <v>244</v>
      </c>
      <c r="G2777" s="39">
        <v>46223</v>
      </c>
      <c r="H2777" t="s">
        <v>249</v>
      </c>
      <c r="J2777" t="s">
        <v>982</v>
      </c>
    </row>
    <row r="2778" spans="1:10" x14ac:dyDescent="0.35">
      <c r="A2778">
        <v>17222</v>
      </c>
      <c r="B2778" t="s">
        <v>40</v>
      </c>
      <c r="C2778" t="s">
        <v>92</v>
      </c>
      <c r="D2778" t="s">
        <v>92</v>
      </c>
      <c r="E2778" t="s">
        <v>647</v>
      </c>
      <c r="F2778" t="s">
        <v>244</v>
      </c>
      <c r="G2778" s="39">
        <v>45664</v>
      </c>
      <c r="J2778" t="s">
        <v>982</v>
      </c>
    </row>
    <row r="2779" spans="1:10" x14ac:dyDescent="0.35">
      <c r="A2779">
        <v>17406</v>
      </c>
      <c r="B2779" t="s">
        <v>40</v>
      </c>
      <c r="C2779" t="s">
        <v>92</v>
      </c>
      <c r="D2779" t="s">
        <v>92</v>
      </c>
      <c r="E2779" t="s">
        <v>647</v>
      </c>
      <c r="F2779" t="s">
        <v>244</v>
      </c>
      <c r="G2779" s="39">
        <v>45729</v>
      </c>
      <c r="J2779" t="s">
        <v>982</v>
      </c>
    </row>
    <row r="2780" spans="1:10" x14ac:dyDescent="0.35">
      <c r="A2780">
        <v>18155</v>
      </c>
      <c r="B2780" t="s">
        <v>40</v>
      </c>
      <c r="C2780" t="s">
        <v>92</v>
      </c>
      <c r="D2780" t="s">
        <v>92</v>
      </c>
      <c r="E2780" t="s">
        <v>647</v>
      </c>
      <c r="F2780" t="s">
        <v>244</v>
      </c>
      <c r="G2780" s="39">
        <v>46014</v>
      </c>
      <c r="J2780" t="s">
        <v>982</v>
      </c>
    </row>
    <row r="2781" spans="1:10" x14ac:dyDescent="0.35">
      <c r="A2781">
        <v>18372</v>
      </c>
      <c r="B2781" t="s">
        <v>40</v>
      </c>
      <c r="C2781" t="s">
        <v>92</v>
      </c>
      <c r="D2781" t="s">
        <v>92</v>
      </c>
      <c r="E2781" t="s">
        <v>647</v>
      </c>
      <c r="F2781" t="s">
        <v>244</v>
      </c>
      <c r="G2781" s="39">
        <v>46113</v>
      </c>
      <c r="J2781" t="s">
        <v>982</v>
      </c>
    </row>
    <row r="2782" spans="1:10" x14ac:dyDescent="0.35">
      <c r="A2782">
        <v>18026</v>
      </c>
      <c r="B2782" t="s">
        <v>40</v>
      </c>
      <c r="C2782" t="s">
        <v>92</v>
      </c>
      <c r="D2782" t="s">
        <v>92</v>
      </c>
      <c r="E2782" t="s">
        <v>647</v>
      </c>
      <c r="F2782" t="s">
        <v>244</v>
      </c>
      <c r="G2782" s="39">
        <v>45967</v>
      </c>
      <c r="J2782" t="s">
        <v>982</v>
      </c>
    </row>
    <row r="2783" spans="1:10" x14ac:dyDescent="0.35">
      <c r="A2783">
        <v>18548</v>
      </c>
      <c r="B2783" t="s">
        <v>89</v>
      </c>
      <c r="C2783" t="s">
        <v>92</v>
      </c>
      <c r="D2783" t="s">
        <v>92</v>
      </c>
      <c r="E2783" t="s">
        <v>646</v>
      </c>
      <c r="F2783" t="s">
        <v>244</v>
      </c>
      <c r="G2783" s="39">
        <v>46150</v>
      </c>
      <c r="J2783" t="s">
        <v>982</v>
      </c>
    </row>
    <row r="2784" spans="1:10" x14ac:dyDescent="0.35">
      <c r="A2784">
        <v>11852</v>
      </c>
      <c r="B2784" t="s">
        <v>44</v>
      </c>
      <c r="C2784" t="s">
        <v>596</v>
      </c>
      <c r="D2784" t="s">
        <v>92</v>
      </c>
      <c r="E2784" t="s">
        <v>647</v>
      </c>
      <c r="F2784" t="s">
        <v>244</v>
      </c>
      <c r="G2784" s="39">
        <v>43199</v>
      </c>
      <c r="J2784" t="s">
        <v>982</v>
      </c>
    </row>
    <row r="2785" spans="1:10" x14ac:dyDescent="0.35">
      <c r="A2785">
        <v>15019</v>
      </c>
      <c r="B2785" t="s">
        <v>44</v>
      </c>
      <c r="C2785" t="s">
        <v>596</v>
      </c>
      <c r="D2785" t="s">
        <v>92</v>
      </c>
      <c r="E2785" t="s">
        <v>640</v>
      </c>
      <c r="F2785" t="s">
        <v>244</v>
      </c>
      <c r="G2785" s="39">
        <v>44921</v>
      </c>
      <c r="J2785" t="s">
        <v>982</v>
      </c>
    </row>
    <row r="2786" spans="1:10" x14ac:dyDescent="0.35">
      <c r="A2786">
        <v>14731</v>
      </c>
      <c r="B2786" t="s">
        <v>44</v>
      </c>
      <c r="C2786" t="s">
        <v>596</v>
      </c>
      <c r="D2786" t="s">
        <v>92</v>
      </c>
      <c r="E2786" t="s">
        <v>640</v>
      </c>
      <c r="F2786" t="s">
        <v>244</v>
      </c>
      <c r="G2786" s="39">
        <v>44844</v>
      </c>
      <c r="J2786" t="s">
        <v>982</v>
      </c>
    </row>
    <row r="2787" spans="1:10" x14ac:dyDescent="0.35">
      <c r="A2787">
        <v>19076</v>
      </c>
      <c r="B2787" t="s">
        <v>44</v>
      </c>
      <c r="C2787" t="s">
        <v>596</v>
      </c>
      <c r="D2787" t="s">
        <v>92</v>
      </c>
      <c r="E2787" t="s">
        <v>640</v>
      </c>
      <c r="F2787" t="s">
        <v>244</v>
      </c>
      <c r="G2787" s="39">
        <v>46266</v>
      </c>
      <c r="J2787" t="s">
        <v>982</v>
      </c>
    </row>
    <row r="2788" spans="1:10" x14ac:dyDescent="0.35">
      <c r="A2788">
        <v>16258</v>
      </c>
      <c r="B2788" t="s">
        <v>40</v>
      </c>
      <c r="C2788" t="s">
        <v>92</v>
      </c>
      <c r="D2788" t="s">
        <v>92</v>
      </c>
      <c r="E2788" t="s">
        <v>647</v>
      </c>
      <c r="F2788" t="s">
        <v>244</v>
      </c>
      <c r="G2788" s="39">
        <v>45331</v>
      </c>
      <c r="J2788" t="s">
        <v>982</v>
      </c>
    </row>
    <row r="2789" spans="1:10" x14ac:dyDescent="0.35">
      <c r="A2789">
        <v>15518</v>
      </c>
      <c r="B2789" t="s">
        <v>52</v>
      </c>
      <c r="C2789" t="s">
        <v>203</v>
      </c>
      <c r="D2789" t="s">
        <v>92</v>
      </c>
      <c r="E2789" t="s">
        <v>388</v>
      </c>
      <c r="F2789" t="s">
        <v>244</v>
      </c>
      <c r="G2789" s="39">
        <v>45101</v>
      </c>
      <c r="J2789" t="s">
        <v>982</v>
      </c>
    </row>
    <row r="2790" spans="1:10" x14ac:dyDescent="0.35">
      <c r="A2790">
        <v>17195</v>
      </c>
      <c r="B2790" t="s">
        <v>52</v>
      </c>
      <c r="C2790" t="s">
        <v>203</v>
      </c>
      <c r="D2790" t="s">
        <v>92</v>
      </c>
      <c r="E2790" t="s">
        <v>204</v>
      </c>
      <c r="F2790" t="s">
        <v>244</v>
      </c>
      <c r="G2790" s="39">
        <v>45664</v>
      </c>
      <c r="J2790" t="s">
        <v>982</v>
      </c>
    </row>
    <row r="2791" spans="1:10" x14ac:dyDescent="0.35">
      <c r="A2791">
        <v>15941</v>
      </c>
      <c r="B2791" t="s">
        <v>52</v>
      </c>
      <c r="C2791" t="s">
        <v>203</v>
      </c>
      <c r="D2791" t="s">
        <v>92</v>
      </c>
      <c r="E2791" t="s">
        <v>205</v>
      </c>
      <c r="F2791" t="s">
        <v>244</v>
      </c>
      <c r="G2791" s="39">
        <v>45247</v>
      </c>
      <c r="J2791" t="s">
        <v>982</v>
      </c>
    </row>
    <row r="2792" spans="1:10" x14ac:dyDescent="0.35">
      <c r="A2792">
        <v>18876</v>
      </c>
      <c r="B2792" t="s">
        <v>52</v>
      </c>
      <c r="C2792" t="s">
        <v>203</v>
      </c>
      <c r="D2792" t="s">
        <v>92</v>
      </c>
      <c r="E2792" t="s">
        <v>205</v>
      </c>
      <c r="F2792" t="s">
        <v>244</v>
      </c>
      <c r="G2792" s="39">
        <v>46224</v>
      </c>
      <c r="H2792" t="s">
        <v>249</v>
      </c>
      <c r="J2792" t="s">
        <v>982</v>
      </c>
    </row>
    <row r="2793" spans="1:10" x14ac:dyDescent="0.35">
      <c r="A2793">
        <v>18919</v>
      </c>
      <c r="B2793" t="s">
        <v>52</v>
      </c>
      <c r="C2793" t="s">
        <v>206</v>
      </c>
      <c r="D2793" t="s">
        <v>92</v>
      </c>
      <c r="E2793" t="s">
        <v>205</v>
      </c>
      <c r="F2793" t="s">
        <v>244</v>
      </c>
      <c r="G2793" s="39">
        <v>46241</v>
      </c>
      <c r="J2793" t="s">
        <v>982</v>
      </c>
    </row>
    <row r="2794" spans="1:10" x14ac:dyDescent="0.35">
      <c r="A2794">
        <v>19096</v>
      </c>
      <c r="B2794" t="s">
        <v>52</v>
      </c>
      <c r="C2794" t="s">
        <v>206</v>
      </c>
      <c r="D2794" t="s">
        <v>92</v>
      </c>
      <c r="E2794" t="s">
        <v>205</v>
      </c>
      <c r="F2794" t="s">
        <v>244</v>
      </c>
      <c r="G2794" s="39">
        <v>46266</v>
      </c>
      <c r="J2794" t="s">
        <v>982</v>
      </c>
    </row>
    <row r="2795" spans="1:10" x14ac:dyDescent="0.35">
      <c r="A2795">
        <v>19085</v>
      </c>
      <c r="B2795" t="s">
        <v>52</v>
      </c>
      <c r="C2795" t="s">
        <v>206</v>
      </c>
      <c r="D2795" t="s">
        <v>92</v>
      </c>
      <c r="E2795" t="s">
        <v>205</v>
      </c>
      <c r="F2795" t="s">
        <v>244</v>
      </c>
      <c r="G2795" s="39">
        <v>46267</v>
      </c>
      <c r="J2795" t="s">
        <v>982</v>
      </c>
    </row>
    <row r="2796" spans="1:10" x14ac:dyDescent="0.35">
      <c r="A2796">
        <v>19177</v>
      </c>
      <c r="B2796" t="s">
        <v>52</v>
      </c>
      <c r="C2796" t="s">
        <v>206</v>
      </c>
      <c r="D2796" t="s">
        <v>92</v>
      </c>
      <c r="E2796" t="s">
        <v>205</v>
      </c>
      <c r="F2796" t="s">
        <v>244</v>
      </c>
      <c r="G2796" s="39">
        <v>46276</v>
      </c>
      <c r="J2796" t="s">
        <v>982</v>
      </c>
    </row>
    <row r="2797" spans="1:10" x14ac:dyDescent="0.35">
      <c r="A2797">
        <v>17535</v>
      </c>
      <c r="B2797" t="s">
        <v>52</v>
      </c>
      <c r="C2797" t="s">
        <v>206</v>
      </c>
      <c r="D2797" t="s">
        <v>92</v>
      </c>
      <c r="E2797" t="s">
        <v>204</v>
      </c>
      <c r="F2797" t="s">
        <v>244</v>
      </c>
      <c r="G2797" s="39">
        <v>45783</v>
      </c>
      <c r="J2797" t="s">
        <v>982</v>
      </c>
    </row>
    <row r="2798" spans="1:10" x14ac:dyDescent="0.35">
      <c r="A2798">
        <v>17682</v>
      </c>
      <c r="B2798" t="s">
        <v>52</v>
      </c>
      <c r="C2798" t="s">
        <v>203</v>
      </c>
      <c r="D2798" t="s">
        <v>92</v>
      </c>
      <c r="E2798" t="s">
        <v>205</v>
      </c>
      <c r="F2798" t="s">
        <v>244</v>
      </c>
      <c r="G2798" s="39">
        <v>45854</v>
      </c>
      <c r="J2798" t="s">
        <v>982</v>
      </c>
    </row>
    <row r="2799" spans="1:10" x14ac:dyDescent="0.35">
      <c r="A2799">
        <v>16728</v>
      </c>
      <c r="B2799" t="s">
        <v>52</v>
      </c>
      <c r="C2799" t="s">
        <v>203</v>
      </c>
      <c r="D2799" t="s">
        <v>92</v>
      </c>
      <c r="E2799" t="s">
        <v>205</v>
      </c>
      <c r="F2799" t="s">
        <v>244</v>
      </c>
      <c r="G2799" s="39">
        <v>45540</v>
      </c>
      <c r="J2799" t="s">
        <v>982</v>
      </c>
    </row>
    <row r="2800" spans="1:10" x14ac:dyDescent="0.35">
      <c r="A2800">
        <v>18024</v>
      </c>
      <c r="B2800" t="s">
        <v>51</v>
      </c>
      <c r="C2800" t="s">
        <v>203</v>
      </c>
      <c r="D2800" t="s">
        <v>92</v>
      </c>
      <c r="E2800" t="s">
        <v>205</v>
      </c>
      <c r="F2800" t="s">
        <v>244</v>
      </c>
      <c r="G2800" s="39">
        <v>45966</v>
      </c>
      <c r="J2800" t="s">
        <v>982</v>
      </c>
    </row>
    <row r="2801" spans="1:10" x14ac:dyDescent="0.35">
      <c r="A2801">
        <v>18307</v>
      </c>
      <c r="B2801" t="s">
        <v>51</v>
      </c>
      <c r="C2801" t="s">
        <v>203</v>
      </c>
      <c r="D2801" t="s">
        <v>92</v>
      </c>
      <c r="E2801" t="s">
        <v>205</v>
      </c>
      <c r="F2801" t="s">
        <v>244</v>
      </c>
      <c r="G2801" s="39">
        <v>46084</v>
      </c>
      <c r="J2801" t="s">
        <v>982</v>
      </c>
    </row>
    <row r="2802" spans="1:10" x14ac:dyDescent="0.35">
      <c r="A2802">
        <v>12140</v>
      </c>
      <c r="B2802" t="s">
        <v>51</v>
      </c>
      <c r="C2802" t="s">
        <v>203</v>
      </c>
      <c r="D2802" t="s">
        <v>92</v>
      </c>
      <c r="E2802" t="s">
        <v>205</v>
      </c>
      <c r="F2802" t="s">
        <v>244</v>
      </c>
      <c r="G2802" s="39">
        <v>43515</v>
      </c>
      <c r="J2802" t="s">
        <v>982</v>
      </c>
    </row>
    <row r="2803" spans="1:10" x14ac:dyDescent="0.35">
      <c r="A2803">
        <v>19142</v>
      </c>
      <c r="B2803" t="s">
        <v>51</v>
      </c>
      <c r="C2803" t="s">
        <v>203</v>
      </c>
      <c r="D2803" t="s">
        <v>92</v>
      </c>
      <c r="E2803" t="s">
        <v>205</v>
      </c>
      <c r="F2803" t="s">
        <v>244</v>
      </c>
      <c r="G2803" s="39">
        <v>46274</v>
      </c>
      <c r="J2803" t="s">
        <v>982</v>
      </c>
    </row>
    <row r="2804" spans="1:10" x14ac:dyDescent="0.35">
      <c r="A2804">
        <v>18162</v>
      </c>
      <c r="B2804" t="s">
        <v>51</v>
      </c>
      <c r="C2804" t="s">
        <v>203</v>
      </c>
      <c r="D2804" t="s">
        <v>92</v>
      </c>
      <c r="E2804" t="s">
        <v>205</v>
      </c>
      <c r="F2804" t="s">
        <v>244</v>
      </c>
      <c r="G2804" s="39">
        <v>46015</v>
      </c>
      <c r="J2804" t="s">
        <v>982</v>
      </c>
    </row>
    <row r="2805" spans="1:10" x14ac:dyDescent="0.35">
      <c r="A2805">
        <v>16760</v>
      </c>
      <c r="B2805" t="s">
        <v>51</v>
      </c>
      <c r="C2805" t="s">
        <v>203</v>
      </c>
      <c r="D2805" t="s">
        <v>92</v>
      </c>
      <c r="E2805" t="s">
        <v>205</v>
      </c>
      <c r="F2805" t="s">
        <v>244</v>
      </c>
      <c r="G2805" s="39">
        <v>45540</v>
      </c>
      <c r="J2805" t="s">
        <v>982</v>
      </c>
    </row>
    <row r="2806" spans="1:10" x14ac:dyDescent="0.35">
      <c r="A2806">
        <v>16755</v>
      </c>
      <c r="B2806" t="s">
        <v>44</v>
      </c>
      <c r="C2806" t="s">
        <v>201</v>
      </c>
      <c r="D2806" t="s">
        <v>92</v>
      </c>
      <c r="E2806" t="s">
        <v>205</v>
      </c>
      <c r="F2806" t="s">
        <v>244</v>
      </c>
      <c r="G2806" s="39">
        <v>45540</v>
      </c>
      <c r="J2806" t="s">
        <v>982</v>
      </c>
    </row>
    <row r="2807" spans="1:10" x14ac:dyDescent="0.35">
      <c r="A2807">
        <v>16704</v>
      </c>
      <c r="B2807" t="s">
        <v>52</v>
      </c>
      <c r="C2807" t="s">
        <v>203</v>
      </c>
      <c r="D2807" t="s">
        <v>92</v>
      </c>
      <c r="E2807" t="s">
        <v>205</v>
      </c>
      <c r="F2807" t="s">
        <v>244</v>
      </c>
      <c r="G2807" s="39">
        <v>45531</v>
      </c>
      <c r="J2807" t="s">
        <v>982</v>
      </c>
    </row>
    <row r="2808" spans="1:10" x14ac:dyDescent="0.35">
      <c r="A2808">
        <v>17592</v>
      </c>
      <c r="B2808" t="s">
        <v>52</v>
      </c>
      <c r="C2808" t="s">
        <v>203</v>
      </c>
      <c r="D2808" t="s">
        <v>92</v>
      </c>
      <c r="E2808" t="s">
        <v>205</v>
      </c>
      <c r="F2808" t="s">
        <v>244</v>
      </c>
      <c r="G2808" s="39">
        <v>45810</v>
      </c>
      <c r="J2808" t="s">
        <v>982</v>
      </c>
    </row>
    <row r="2809" spans="1:10" x14ac:dyDescent="0.35">
      <c r="A2809">
        <v>17987</v>
      </c>
      <c r="B2809" t="s">
        <v>44</v>
      </c>
      <c r="C2809" t="s">
        <v>201</v>
      </c>
      <c r="D2809" t="s">
        <v>92</v>
      </c>
      <c r="E2809" t="s">
        <v>205</v>
      </c>
      <c r="F2809" t="s">
        <v>244</v>
      </c>
      <c r="G2809" s="39">
        <v>45947</v>
      </c>
      <c r="J2809" t="s">
        <v>982</v>
      </c>
    </row>
    <row r="2810" spans="1:10" x14ac:dyDescent="0.35">
      <c r="A2810">
        <v>18803</v>
      </c>
      <c r="B2810" t="s">
        <v>51</v>
      </c>
      <c r="C2810" t="s">
        <v>203</v>
      </c>
      <c r="D2810" t="s">
        <v>92</v>
      </c>
      <c r="E2810" t="s">
        <v>205</v>
      </c>
      <c r="F2810" t="s">
        <v>244</v>
      </c>
      <c r="G2810" s="39">
        <v>46218</v>
      </c>
      <c r="J2810" t="s">
        <v>982</v>
      </c>
    </row>
    <row r="2811" spans="1:10" x14ac:dyDescent="0.35">
      <c r="A2811">
        <v>18831</v>
      </c>
      <c r="B2811" t="s">
        <v>51</v>
      </c>
      <c r="C2811" t="s">
        <v>203</v>
      </c>
      <c r="D2811" t="s">
        <v>92</v>
      </c>
      <c r="E2811" t="s">
        <v>205</v>
      </c>
      <c r="F2811" t="s">
        <v>244</v>
      </c>
      <c r="G2811" s="39">
        <v>46220</v>
      </c>
      <c r="J2811" t="s">
        <v>982</v>
      </c>
    </row>
    <row r="2812" spans="1:10" x14ac:dyDescent="0.35">
      <c r="A2812">
        <v>18880</v>
      </c>
      <c r="B2812" t="s">
        <v>51</v>
      </c>
      <c r="C2812" t="s">
        <v>203</v>
      </c>
      <c r="D2812" t="s">
        <v>92</v>
      </c>
      <c r="E2812" t="s">
        <v>205</v>
      </c>
      <c r="F2812" t="s">
        <v>244</v>
      </c>
      <c r="G2812" s="39">
        <v>46231</v>
      </c>
      <c r="J2812" t="s">
        <v>982</v>
      </c>
    </row>
    <row r="2813" spans="1:10" x14ac:dyDescent="0.35">
      <c r="A2813">
        <v>18907</v>
      </c>
      <c r="B2813" t="s">
        <v>51</v>
      </c>
      <c r="C2813" t="s">
        <v>203</v>
      </c>
      <c r="D2813" t="s">
        <v>92</v>
      </c>
      <c r="E2813" t="s">
        <v>205</v>
      </c>
      <c r="F2813" t="s">
        <v>244</v>
      </c>
      <c r="G2813" s="39">
        <v>46237</v>
      </c>
      <c r="J2813" t="s">
        <v>982</v>
      </c>
    </row>
    <row r="2814" spans="1:10" x14ac:dyDescent="0.35">
      <c r="A2814">
        <v>18888</v>
      </c>
      <c r="B2814" t="s">
        <v>51</v>
      </c>
      <c r="C2814" t="s">
        <v>203</v>
      </c>
      <c r="D2814" t="s">
        <v>92</v>
      </c>
      <c r="E2814" t="s">
        <v>205</v>
      </c>
      <c r="F2814" t="s">
        <v>244</v>
      </c>
      <c r="G2814" s="39">
        <v>46232</v>
      </c>
      <c r="J2814" t="s">
        <v>982</v>
      </c>
    </row>
    <row r="2815" spans="1:10" x14ac:dyDescent="0.35">
      <c r="A2815">
        <v>18017</v>
      </c>
      <c r="B2815" t="s">
        <v>52</v>
      </c>
      <c r="C2815" t="s">
        <v>203</v>
      </c>
      <c r="D2815" t="s">
        <v>92</v>
      </c>
      <c r="E2815" t="s">
        <v>644</v>
      </c>
      <c r="F2815" t="s">
        <v>244</v>
      </c>
      <c r="G2815" s="39">
        <v>45965</v>
      </c>
      <c r="J2815" t="s">
        <v>982</v>
      </c>
    </row>
    <row r="2816" spans="1:10" x14ac:dyDescent="0.35">
      <c r="A2816">
        <v>14647</v>
      </c>
      <c r="B2816" t="s">
        <v>52</v>
      </c>
      <c r="C2816" t="s">
        <v>203</v>
      </c>
      <c r="D2816" t="s">
        <v>92</v>
      </c>
      <c r="E2816" t="s">
        <v>388</v>
      </c>
      <c r="F2816" t="s">
        <v>244</v>
      </c>
      <c r="G2816" s="39">
        <v>44813</v>
      </c>
      <c r="J2816" t="s">
        <v>982</v>
      </c>
    </row>
    <row r="2817" spans="1:10" x14ac:dyDescent="0.35">
      <c r="A2817">
        <v>15564</v>
      </c>
      <c r="B2817" t="s">
        <v>51</v>
      </c>
      <c r="C2817" t="s">
        <v>203</v>
      </c>
      <c r="D2817" t="s">
        <v>92</v>
      </c>
      <c r="E2817" t="s">
        <v>205</v>
      </c>
      <c r="F2817" t="s">
        <v>244</v>
      </c>
      <c r="G2817" s="39">
        <v>45127</v>
      </c>
      <c r="J2817" t="s">
        <v>982</v>
      </c>
    </row>
    <row r="2818" spans="1:10" x14ac:dyDescent="0.35">
      <c r="A2818">
        <v>16033</v>
      </c>
      <c r="B2818" t="s">
        <v>52</v>
      </c>
      <c r="C2818" t="s">
        <v>203</v>
      </c>
      <c r="D2818" t="s">
        <v>92</v>
      </c>
      <c r="E2818" t="s">
        <v>205</v>
      </c>
      <c r="F2818" t="s">
        <v>244</v>
      </c>
      <c r="G2818" s="39">
        <v>45268</v>
      </c>
      <c r="J2818" t="s">
        <v>982</v>
      </c>
    </row>
    <row r="2819" spans="1:10" x14ac:dyDescent="0.35">
      <c r="A2819">
        <v>18702</v>
      </c>
      <c r="B2819" t="s">
        <v>52</v>
      </c>
      <c r="C2819" t="s">
        <v>203</v>
      </c>
      <c r="D2819" t="s">
        <v>92</v>
      </c>
      <c r="E2819" t="s">
        <v>205</v>
      </c>
      <c r="F2819" t="s">
        <v>244</v>
      </c>
      <c r="G2819" s="39">
        <v>46189</v>
      </c>
      <c r="H2819" t="s">
        <v>249</v>
      </c>
      <c r="J2819" t="s">
        <v>982</v>
      </c>
    </row>
    <row r="2820" spans="1:10" x14ac:dyDescent="0.35">
      <c r="A2820">
        <v>13110</v>
      </c>
      <c r="B2820" t="s">
        <v>51</v>
      </c>
      <c r="C2820" t="s">
        <v>203</v>
      </c>
      <c r="D2820" t="s">
        <v>92</v>
      </c>
      <c r="E2820" t="s">
        <v>204</v>
      </c>
      <c r="F2820" t="s">
        <v>411</v>
      </c>
      <c r="G2820" s="39">
        <v>44260</v>
      </c>
      <c r="J2820" t="s">
        <v>982</v>
      </c>
    </row>
    <row r="2821" spans="1:10" x14ac:dyDescent="0.35">
      <c r="A2821">
        <v>13031</v>
      </c>
      <c r="B2821" t="s">
        <v>52</v>
      </c>
      <c r="C2821" t="s">
        <v>203</v>
      </c>
      <c r="D2821" t="s">
        <v>92</v>
      </c>
      <c r="E2821" t="s">
        <v>204</v>
      </c>
      <c r="F2821" t="s">
        <v>244</v>
      </c>
      <c r="G2821" s="39">
        <v>44207</v>
      </c>
      <c r="J2821" t="s">
        <v>982</v>
      </c>
    </row>
    <row r="2822" spans="1:10" x14ac:dyDescent="0.35">
      <c r="A2822">
        <v>13145</v>
      </c>
      <c r="B2822" t="s">
        <v>52</v>
      </c>
      <c r="C2822" t="s">
        <v>203</v>
      </c>
      <c r="D2822" t="s">
        <v>92</v>
      </c>
      <c r="E2822" t="s">
        <v>204</v>
      </c>
      <c r="F2822" t="s">
        <v>244</v>
      </c>
      <c r="G2822" s="39">
        <v>44288</v>
      </c>
      <c r="J2822" t="s">
        <v>982</v>
      </c>
    </row>
    <row r="2823" spans="1:10" x14ac:dyDescent="0.35">
      <c r="A2823">
        <v>16172</v>
      </c>
      <c r="B2823" t="s">
        <v>52</v>
      </c>
      <c r="C2823" t="s">
        <v>203</v>
      </c>
      <c r="D2823" t="s">
        <v>92</v>
      </c>
      <c r="E2823" t="s">
        <v>204</v>
      </c>
      <c r="F2823" t="s">
        <v>244</v>
      </c>
      <c r="G2823" s="39">
        <v>45309</v>
      </c>
      <c r="J2823" t="s">
        <v>982</v>
      </c>
    </row>
    <row r="2824" spans="1:10" x14ac:dyDescent="0.35">
      <c r="A2824">
        <v>12559</v>
      </c>
      <c r="B2824" t="s">
        <v>52</v>
      </c>
      <c r="C2824" t="s">
        <v>203</v>
      </c>
      <c r="D2824" t="s">
        <v>92</v>
      </c>
      <c r="E2824" t="s">
        <v>204</v>
      </c>
      <c r="F2824" t="s">
        <v>244</v>
      </c>
      <c r="G2824" s="39">
        <v>43811</v>
      </c>
      <c r="J2824" t="s">
        <v>982</v>
      </c>
    </row>
    <row r="2825" spans="1:10" x14ac:dyDescent="0.35">
      <c r="A2825">
        <v>16156</v>
      </c>
      <c r="B2825" t="s">
        <v>52</v>
      </c>
      <c r="C2825" t="s">
        <v>203</v>
      </c>
      <c r="D2825" t="s">
        <v>92</v>
      </c>
      <c r="E2825" t="s">
        <v>204</v>
      </c>
      <c r="F2825" t="s">
        <v>244</v>
      </c>
      <c r="G2825" s="39">
        <v>45306</v>
      </c>
      <c r="J2825" t="s">
        <v>982</v>
      </c>
    </row>
    <row r="2826" spans="1:10" x14ac:dyDescent="0.35">
      <c r="A2826">
        <v>17957</v>
      </c>
      <c r="B2826" t="s">
        <v>52</v>
      </c>
      <c r="C2826" t="s">
        <v>203</v>
      </c>
      <c r="D2826" t="s">
        <v>92</v>
      </c>
      <c r="E2826" t="s">
        <v>204</v>
      </c>
      <c r="F2826" t="s">
        <v>244</v>
      </c>
      <c r="G2826" s="39">
        <v>45936</v>
      </c>
      <c r="J2826" t="s">
        <v>982</v>
      </c>
    </row>
    <row r="2827" spans="1:10" x14ac:dyDescent="0.35">
      <c r="A2827">
        <v>15940</v>
      </c>
      <c r="B2827" t="s">
        <v>52</v>
      </c>
      <c r="C2827" t="s">
        <v>203</v>
      </c>
      <c r="D2827" t="s">
        <v>92</v>
      </c>
      <c r="E2827" t="s">
        <v>204</v>
      </c>
      <c r="F2827" t="s">
        <v>244</v>
      </c>
      <c r="G2827" s="39">
        <v>45246</v>
      </c>
      <c r="J2827" t="s">
        <v>982</v>
      </c>
    </row>
    <row r="2828" spans="1:10" x14ac:dyDescent="0.35">
      <c r="A2828">
        <v>18724</v>
      </c>
      <c r="B2828" t="s">
        <v>52</v>
      </c>
      <c r="C2828" t="s">
        <v>203</v>
      </c>
      <c r="D2828" t="s">
        <v>92</v>
      </c>
      <c r="E2828" t="s">
        <v>204</v>
      </c>
      <c r="F2828" t="s">
        <v>244</v>
      </c>
      <c r="G2828" s="39">
        <v>46192</v>
      </c>
      <c r="H2828" t="s">
        <v>249</v>
      </c>
      <c r="J2828" t="s">
        <v>982</v>
      </c>
    </row>
    <row r="2829" spans="1:10" x14ac:dyDescent="0.35">
      <c r="A2829">
        <v>18723</v>
      </c>
      <c r="B2829" t="s">
        <v>52</v>
      </c>
      <c r="C2829" t="s">
        <v>203</v>
      </c>
      <c r="D2829" t="s">
        <v>92</v>
      </c>
      <c r="E2829" t="s">
        <v>204</v>
      </c>
      <c r="F2829" t="s">
        <v>244</v>
      </c>
      <c r="G2829" s="39">
        <v>46192</v>
      </c>
      <c r="H2829" t="s">
        <v>249</v>
      </c>
      <c r="J2829" t="s">
        <v>982</v>
      </c>
    </row>
    <row r="2830" spans="1:10" x14ac:dyDescent="0.35">
      <c r="A2830">
        <v>15177</v>
      </c>
      <c r="B2830" t="s">
        <v>52</v>
      </c>
      <c r="C2830" t="s">
        <v>203</v>
      </c>
      <c r="D2830" t="s">
        <v>92</v>
      </c>
      <c r="E2830" t="s">
        <v>204</v>
      </c>
      <c r="F2830" t="s">
        <v>244</v>
      </c>
      <c r="G2830" s="39">
        <v>44973</v>
      </c>
      <c r="J2830" t="s">
        <v>982</v>
      </c>
    </row>
    <row r="2831" spans="1:10" x14ac:dyDescent="0.35">
      <c r="A2831">
        <v>13531</v>
      </c>
      <c r="B2831" t="s">
        <v>52</v>
      </c>
      <c r="C2831" t="s">
        <v>203</v>
      </c>
      <c r="D2831" t="s">
        <v>92</v>
      </c>
      <c r="E2831" t="s">
        <v>204</v>
      </c>
      <c r="F2831" t="s">
        <v>244</v>
      </c>
      <c r="G2831" s="39">
        <v>44487</v>
      </c>
      <c r="J2831" t="s">
        <v>982</v>
      </c>
    </row>
    <row r="2832" spans="1:10" x14ac:dyDescent="0.35">
      <c r="A2832">
        <v>13868</v>
      </c>
      <c r="B2832" t="s">
        <v>52</v>
      </c>
      <c r="C2832" t="s">
        <v>203</v>
      </c>
      <c r="D2832" t="s">
        <v>92</v>
      </c>
      <c r="E2832" t="s">
        <v>204</v>
      </c>
      <c r="F2832" t="s">
        <v>244</v>
      </c>
      <c r="G2832" s="39">
        <v>44613</v>
      </c>
      <c r="J2832" t="s">
        <v>982</v>
      </c>
    </row>
    <row r="2833" spans="1:10" x14ac:dyDescent="0.35">
      <c r="A2833">
        <v>13869</v>
      </c>
      <c r="B2833" t="s">
        <v>52</v>
      </c>
      <c r="C2833" t="s">
        <v>203</v>
      </c>
      <c r="D2833" t="s">
        <v>92</v>
      </c>
      <c r="E2833" t="s">
        <v>204</v>
      </c>
      <c r="F2833" t="s">
        <v>244</v>
      </c>
      <c r="G2833" s="39">
        <v>44613</v>
      </c>
      <c r="J2833" t="s">
        <v>982</v>
      </c>
    </row>
    <row r="2834" spans="1:10" x14ac:dyDescent="0.35">
      <c r="A2834">
        <v>16785</v>
      </c>
      <c r="B2834" t="s">
        <v>51</v>
      </c>
      <c r="C2834" t="s">
        <v>203</v>
      </c>
      <c r="D2834" t="s">
        <v>92</v>
      </c>
      <c r="E2834" t="s">
        <v>641</v>
      </c>
      <c r="F2834" t="s">
        <v>244</v>
      </c>
      <c r="G2834" s="39">
        <v>45546</v>
      </c>
      <c r="J2834" t="s">
        <v>982</v>
      </c>
    </row>
    <row r="2835" spans="1:10" x14ac:dyDescent="0.35">
      <c r="A2835">
        <v>14749</v>
      </c>
      <c r="B2835" t="s">
        <v>51</v>
      </c>
      <c r="C2835" t="s">
        <v>203</v>
      </c>
      <c r="D2835" t="s">
        <v>92</v>
      </c>
      <c r="E2835" t="s">
        <v>204</v>
      </c>
      <c r="F2835" t="s">
        <v>244</v>
      </c>
      <c r="G2835" s="39">
        <v>44847</v>
      </c>
      <c r="J2835" t="s">
        <v>982</v>
      </c>
    </row>
    <row r="2836" spans="1:10" x14ac:dyDescent="0.35">
      <c r="A2836">
        <v>16215</v>
      </c>
      <c r="B2836" t="s">
        <v>51</v>
      </c>
      <c r="C2836" t="s">
        <v>203</v>
      </c>
      <c r="D2836" t="s">
        <v>92</v>
      </c>
      <c r="E2836" t="s">
        <v>204</v>
      </c>
      <c r="F2836" t="s">
        <v>244</v>
      </c>
      <c r="G2836" s="39">
        <v>45323</v>
      </c>
      <c r="J2836" t="s">
        <v>982</v>
      </c>
    </row>
    <row r="2837" spans="1:10" x14ac:dyDescent="0.35">
      <c r="A2837">
        <v>18844</v>
      </c>
      <c r="B2837" t="s">
        <v>51</v>
      </c>
      <c r="C2837" t="s">
        <v>203</v>
      </c>
      <c r="D2837" t="s">
        <v>92</v>
      </c>
      <c r="E2837" t="s">
        <v>650</v>
      </c>
      <c r="F2837" t="s">
        <v>244</v>
      </c>
      <c r="G2837" s="39">
        <v>46223</v>
      </c>
      <c r="J2837" t="s">
        <v>982</v>
      </c>
    </row>
    <row r="2838" spans="1:10" x14ac:dyDescent="0.35">
      <c r="A2838">
        <v>10100</v>
      </c>
      <c r="B2838" t="s">
        <v>51</v>
      </c>
      <c r="C2838" t="s">
        <v>203</v>
      </c>
      <c r="D2838" t="s">
        <v>92</v>
      </c>
      <c r="E2838" t="s">
        <v>204</v>
      </c>
      <c r="F2838" t="s">
        <v>244</v>
      </c>
      <c r="G2838" s="39">
        <v>36711</v>
      </c>
      <c r="J2838" t="s">
        <v>982</v>
      </c>
    </row>
    <row r="2839" spans="1:10" x14ac:dyDescent="0.35">
      <c r="A2839">
        <v>11484</v>
      </c>
      <c r="B2839" t="s">
        <v>51</v>
      </c>
      <c r="C2839" t="s">
        <v>203</v>
      </c>
      <c r="D2839" t="s">
        <v>92</v>
      </c>
      <c r="E2839" t="s">
        <v>204</v>
      </c>
      <c r="F2839" t="s">
        <v>244</v>
      </c>
      <c r="G2839" s="39">
        <v>42751</v>
      </c>
      <c r="J2839" t="s">
        <v>982</v>
      </c>
    </row>
    <row r="2840" spans="1:10" x14ac:dyDescent="0.35">
      <c r="A2840">
        <v>17221</v>
      </c>
      <c r="B2840" t="s">
        <v>51</v>
      </c>
      <c r="C2840" t="s">
        <v>203</v>
      </c>
      <c r="D2840" t="s">
        <v>92</v>
      </c>
      <c r="E2840" t="s">
        <v>204</v>
      </c>
      <c r="F2840" t="s">
        <v>244</v>
      </c>
      <c r="G2840" s="39">
        <v>45666</v>
      </c>
      <c r="J2840" t="s">
        <v>982</v>
      </c>
    </row>
    <row r="2841" spans="1:10" x14ac:dyDescent="0.35">
      <c r="A2841">
        <v>15536</v>
      </c>
      <c r="B2841" t="s">
        <v>51</v>
      </c>
      <c r="C2841" t="s">
        <v>203</v>
      </c>
      <c r="D2841" t="s">
        <v>92</v>
      </c>
      <c r="E2841" t="s">
        <v>651</v>
      </c>
      <c r="F2841" t="s">
        <v>244</v>
      </c>
      <c r="G2841" s="39">
        <v>45113</v>
      </c>
      <c r="J2841" t="s">
        <v>982</v>
      </c>
    </row>
    <row r="2842" spans="1:10" x14ac:dyDescent="0.35">
      <c r="A2842">
        <v>17227</v>
      </c>
      <c r="B2842" t="s">
        <v>51</v>
      </c>
      <c r="C2842" t="s">
        <v>203</v>
      </c>
      <c r="D2842" t="s">
        <v>92</v>
      </c>
      <c r="E2842" t="s">
        <v>204</v>
      </c>
      <c r="F2842" t="s">
        <v>244</v>
      </c>
      <c r="G2842" s="39">
        <v>45678</v>
      </c>
      <c r="J2842" t="s">
        <v>982</v>
      </c>
    </row>
    <row r="2843" spans="1:10" x14ac:dyDescent="0.35">
      <c r="A2843">
        <v>17232</v>
      </c>
      <c r="B2843" t="s">
        <v>51</v>
      </c>
      <c r="C2843" t="s">
        <v>203</v>
      </c>
      <c r="D2843" t="s">
        <v>92</v>
      </c>
      <c r="E2843" t="s">
        <v>204</v>
      </c>
      <c r="F2843" t="s">
        <v>244</v>
      </c>
      <c r="G2843" s="39">
        <v>45678</v>
      </c>
      <c r="J2843" t="s">
        <v>982</v>
      </c>
    </row>
    <row r="2844" spans="1:10" x14ac:dyDescent="0.35">
      <c r="A2844">
        <v>16004</v>
      </c>
      <c r="B2844" t="s">
        <v>51</v>
      </c>
      <c r="C2844" t="s">
        <v>203</v>
      </c>
      <c r="D2844" t="s">
        <v>92</v>
      </c>
      <c r="E2844" t="s">
        <v>204</v>
      </c>
      <c r="F2844" t="s">
        <v>244</v>
      </c>
      <c r="G2844" s="39">
        <v>45261</v>
      </c>
      <c r="J2844" t="s">
        <v>982</v>
      </c>
    </row>
    <row r="2845" spans="1:10" x14ac:dyDescent="0.35">
      <c r="A2845">
        <v>17960</v>
      </c>
      <c r="B2845" t="s">
        <v>51</v>
      </c>
      <c r="C2845" t="s">
        <v>203</v>
      </c>
      <c r="D2845" t="s">
        <v>92</v>
      </c>
      <c r="E2845" t="s">
        <v>204</v>
      </c>
      <c r="F2845" t="s">
        <v>244</v>
      </c>
      <c r="G2845" s="39">
        <v>45938</v>
      </c>
      <c r="J2845" t="s">
        <v>982</v>
      </c>
    </row>
    <row r="2846" spans="1:10" x14ac:dyDescent="0.35">
      <c r="A2846">
        <v>15995</v>
      </c>
      <c r="B2846" t="s">
        <v>52</v>
      </c>
      <c r="C2846" t="s">
        <v>203</v>
      </c>
      <c r="D2846" t="s">
        <v>92</v>
      </c>
      <c r="E2846" t="s">
        <v>204</v>
      </c>
      <c r="F2846" t="s">
        <v>244</v>
      </c>
      <c r="G2846" s="39">
        <v>45261</v>
      </c>
      <c r="J2846" t="s">
        <v>982</v>
      </c>
    </row>
    <row r="2847" spans="1:10" x14ac:dyDescent="0.35">
      <c r="A2847">
        <v>16984</v>
      </c>
      <c r="B2847" t="s">
        <v>51</v>
      </c>
      <c r="C2847" t="s">
        <v>203</v>
      </c>
      <c r="D2847" t="s">
        <v>92</v>
      </c>
      <c r="E2847" t="s">
        <v>204</v>
      </c>
      <c r="F2847" t="s">
        <v>244</v>
      </c>
      <c r="G2847" s="39">
        <v>45583</v>
      </c>
      <c r="J2847" t="s">
        <v>982</v>
      </c>
    </row>
    <row r="2848" spans="1:10" x14ac:dyDescent="0.35">
      <c r="A2848">
        <v>17090</v>
      </c>
      <c r="B2848" t="s">
        <v>51</v>
      </c>
      <c r="C2848" t="s">
        <v>203</v>
      </c>
      <c r="D2848" t="s">
        <v>92</v>
      </c>
      <c r="E2848" t="s">
        <v>204</v>
      </c>
      <c r="F2848" t="s">
        <v>244</v>
      </c>
      <c r="G2848" s="39">
        <v>45630</v>
      </c>
      <c r="J2848" t="s">
        <v>982</v>
      </c>
    </row>
    <row r="2849" spans="1:10" x14ac:dyDescent="0.35">
      <c r="A2849">
        <v>12489</v>
      </c>
      <c r="B2849" t="s">
        <v>51</v>
      </c>
      <c r="C2849" t="s">
        <v>203</v>
      </c>
      <c r="D2849" t="s">
        <v>92</v>
      </c>
      <c r="E2849" t="s">
        <v>650</v>
      </c>
      <c r="F2849" t="s">
        <v>244</v>
      </c>
      <c r="G2849" s="39">
        <v>43774</v>
      </c>
      <c r="J2849" t="s">
        <v>982</v>
      </c>
    </row>
    <row r="2850" spans="1:10" x14ac:dyDescent="0.35">
      <c r="A2850">
        <v>13092</v>
      </c>
      <c r="B2850" t="s">
        <v>51</v>
      </c>
      <c r="C2850" t="s">
        <v>203</v>
      </c>
      <c r="D2850" t="s">
        <v>92</v>
      </c>
      <c r="E2850" t="s">
        <v>388</v>
      </c>
      <c r="F2850" t="s">
        <v>244</v>
      </c>
      <c r="G2850" s="39">
        <v>44250</v>
      </c>
      <c r="J2850" t="s">
        <v>982</v>
      </c>
    </row>
    <row r="2851" spans="1:10" x14ac:dyDescent="0.35">
      <c r="A2851">
        <v>13009</v>
      </c>
      <c r="B2851" t="s">
        <v>51</v>
      </c>
      <c r="C2851" t="s">
        <v>203</v>
      </c>
      <c r="D2851" t="s">
        <v>92</v>
      </c>
      <c r="E2851" t="s">
        <v>204</v>
      </c>
      <c r="F2851" t="s">
        <v>244</v>
      </c>
      <c r="G2851" s="39">
        <v>44190</v>
      </c>
      <c r="J2851" t="s">
        <v>982</v>
      </c>
    </row>
    <row r="2852" spans="1:10" x14ac:dyDescent="0.35">
      <c r="A2852">
        <v>18915</v>
      </c>
      <c r="B2852" t="s">
        <v>51</v>
      </c>
      <c r="C2852" t="s">
        <v>206</v>
      </c>
      <c r="D2852" t="s">
        <v>92</v>
      </c>
      <c r="E2852" t="s">
        <v>204</v>
      </c>
      <c r="F2852" t="s">
        <v>244</v>
      </c>
      <c r="G2852" s="39">
        <v>46237</v>
      </c>
      <c r="H2852" t="s">
        <v>249</v>
      </c>
      <c r="J2852" t="s">
        <v>982</v>
      </c>
    </row>
    <row r="2853" spans="1:10" x14ac:dyDescent="0.35">
      <c r="A2853">
        <v>13008</v>
      </c>
      <c r="B2853" t="s">
        <v>51</v>
      </c>
      <c r="C2853" t="s">
        <v>203</v>
      </c>
      <c r="D2853" t="s">
        <v>92</v>
      </c>
      <c r="E2853" t="s">
        <v>204</v>
      </c>
      <c r="F2853" t="s">
        <v>244</v>
      </c>
      <c r="G2853" s="39">
        <v>44190</v>
      </c>
      <c r="J2853" t="s">
        <v>982</v>
      </c>
    </row>
    <row r="2854" spans="1:10" x14ac:dyDescent="0.35">
      <c r="A2854">
        <v>13010</v>
      </c>
      <c r="B2854" t="s">
        <v>51</v>
      </c>
      <c r="C2854" t="s">
        <v>203</v>
      </c>
      <c r="D2854" t="s">
        <v>92</v>
      </c>
      <c r="E2854" t="s">
        <v>204</v>
      </c>
      <c r="F2854" t="s">
        <v>244</v>
      </c>
      <c r="G2854" s="39">
        <v>44204</v>
      </c>
      <c r="J2854" t="s">
        <v>982</v>
      </c>
    </row>
    <row r="2855" spans="1:10" x14ac:dyDescent="0.35">
      <c r="A2855">
        <v>16233</v>
      </c>
      <c r="B2855" t="s">
        <v>52</v>
      </c>
      <c r="C2855" t="s">
        <v>203</v>
      </c>
      <c r="D2855" t="s">
        <v>92</v>
      </c>
      <c r="E2855" t="s">
        <v>204</v>
      </c>
      <c r="F2855" t="s">
        <v>244</v>
      </c>
      <c r="G2855" s="39">
        <v>45327</v>
      </c>
      <c r="J2855" t="s">
        <v>982</v>
      </c>
    </row>
    <row r="2856" spans="1:10" x14ac:dyDescent="0.35">
      <c r="A2856">
        <v>11299</v>
      </c>
      <c r="B2856" t="s">
        <v>52</v>
      </c>
      <c r="C2856" t="s">
        <v>203</v>
      </c>
      <c r="D2856" t="s">
        <v>92</v>
      </c>
      <c r="E2856" t="s">
        <v>96</v>
      </c>
      <c r="F2856" t="s">
        <v>244</v>
      </c>
      <c r="G2856" s="39">
        <v>42506</v>
      </c>
      <c r="J2856" t="s">
        <v>982</v>
      </c>
    </row>
    <row r="2857" spans="1:10" x14ac:dyDescent="0.35">
      <c r="A2857">
        <v>17660</v>
      </c>
      <c r="B2857" t="s">
        <v>52</v>
      </c>
      <c r="C2857" t="s">
        <v>203</v>
      </c>
      <c r="D2857" t="s">
        <v>92</v>
      </c>
      <c r="E2857" t="s">
        <v>204</v>
      </c>
      <c r="F2857" t="s">
        <v>244</v>
      </c>
      <c r="G2857" s="39">
        <v>45839</v>
      </c>
      <c r="J2857" t="s">
        <v>982</v>
      </c>
    </row>
    <row r="2858" spans="1:10" x14ac:dyDescent="0.35">
      <c r="A2858">
        <v>11629</v>
      </c>
      <c r="B2858" t="s">
        <v>13</v>
      </c>
      <c r="C2858" t="s">
        <v>92</v>
      </c>
      <c r="D2858" t="s">
        <v>92</v>
      </c>
      <c r="E2858" t="s">
        <v>109</v>
      </c>
      <c r="F2858" t="s">
        <v>244</v>
      </c>
      <c r="G2858" s="39">
        <v>42949</v>
      </c>
      <c r="J2858" t="s">
        <v>982</v>
      </c>
    </row>
    <row r="2859" spans="1:10" x14ac:dyDescent="0.35">
      <c r="A2859">
        <v>18034</v>
      </c>
      <c r="B2859" t="s">
        <v>52</v>
      </c>
      <c r="C2859" t="s">
        <v>203</v>
      </c>
      <c r="D2859" t="s">
        <v>92</v>
      </c>
      <c r="E2859" t="s">
        <v>204</v>
      </c>
      <c r="F2859" t="s">
        <v>244</v>
      </c>
      <c r="G2859" s="39">
        <v>45974</v>
      </c>
      <c r="J2859" t="s">
        <v>982</v>
      </c>
    </row>
    <row r="2860" spans="1:10" x14ac:dyDescent="0.35">
      <c r="A2860">
        <v>18046</v>
      </c>
      <c r="B2860" t="s">
        <v>52</v>
      </c>
      <c r="C2860" t="s">
        <v>203</v>
      </c>
      <c r="D2860" t="s">
        <v>92</v>
      </c>
      <c r="E2860" t="s">
        <v>204</v>
      </c>
      <c r="F2860" t="s">
        <v>244</v>
      </c>
      <c r="G2860" s="39">
        <v>45975</v>
      </c>
      <c r="J2860" t="s">
        <v>982</v>
      </c>
    </row>
    <row r="2861" spans="1:10" x14ac:dyDescent="0.35">
      <c r="A2861">
        <v>11877</v>
      </c>
      <c r="B2861" t="s">
        <v>52</v>
      </c>
      <c r="C2861" t="s">
        <v>203</v>
      </c>
      <c r="D2861" t="s">
        <v>92</v>
      </c>
      <c r="E2861" t="s">
        <v>204</v>
      </c>
      <c r="F2861" t="s">
        <v>244</v>
      </c>
      <c r="G2861" s="39">
        <v>43230</v>
      </c>
      <c r="J2861" t="s">
        <v>982</v>
      </c>
    </row>
    <row r="2862" spans="1:10" x14ac:dyDescent="0.35">
      <c r="A2862">
        <v>12022</v>
      </c>
      <c r="B2862" t="s">
        <v>52</v>
      </c>
      <c r="C2862" t="s">
        <v>203</v>
      </c>
      <c r="D2862" t="s">
        <v>92</v>
      </c>
      <c r="E2862" t="s">
        <v>204</v>
      </c>
      <c r="F2862" t="s">
        <v>244</v>
      </c>
      <c r="G2862" s="39">
        <v>43391</v>
      </c>
      <c r="J2862" t="s">
        <v>982</v>
      </c>
    </row>
    <row r="2863" spans="1:10" x14ac:dyDescent="0.35">
      <c r="A2863">
        <v>10841</v>
      </c>
      <c r="B2863" t="s">
        <v>52</v>
      </c>
      <c r="C2863" t="s">
        <v>203</v>
      </c>
      <c r="D2863" t="s">
        <v>92</v>
      </c>
      <c r="E2863" t="s">
        <v>204</v>
      </c>
      <c r="F2863" t="s">
        <v>244</v>
      </c>
      <c r="G2863" s="39">
        <v>41975</v>
      </c>
      <c r="J2863" t="s">
        <v>982</v>
      </c>
    </row>
    <row r="2864" spans="1:10" x14ac:dyDescent="0.35">
      <c r="A2864">
        <v>13209</v>
      </c>
      <c r="B2864" t="s">
        <v>52</v>
      </c>
      <c r="C2864" t="s">
        <v>203</v>
      </c>
      <c r="D2864" t="s">
        <v>92</v>
      </c>
      <c r="E2864" t="s">
        <v>204</v>
      </c>
      <c r="F2864" t="s">
        <v>244</v>
      </c>
      <c r="G2864" s="39">
        <v>44322</v>
      </c>
      <c r="J2864" t="s">
        <v>982</v>
      </c>
    </row>
    <row r="2865" spans="1:10" x14ac:dyDescent="0.35">
      <c r="A2865">
        <v>18630</v>
      </c>
      <c r="B2865" t="s">
        <v>52</v>
      </c>
      <c r="C2865" t="s">
        <v>203</v>
      </c>
      <c r="D2865" t="s">
        <v>92</v>
      </c>
      <c r="E2865" t="s">
        <v>204</v>
      </c>
      <c r="F2865" t="s">
        <v>244</v>
      </c>
      <c r="G2865" s="39">
        <v>46177</v>
      </c>
      <c r="J2865" t="s">
        <v>982</v>
      </c>
    </row>
    <row r="2866" spans="1:10" x14ac:dyDescent="0.35">
      <c r="A2866">
        <v>11978</v>
      </c>
      <c r="B2866" t="s">
        <v>52</v>
      </c>
      <c r="C2866" t="s">
        <v>203</v>
      </c>
      <c r="D2866" t="s">
        <v>92</v>
      </c>
      <c r="E2866" t="s">
        <v>204</v>
      </c>
      <c r="F2866" t="s">
        <v>244</v>
      </c>
      <c r="G2866" s="39">
        <v>43353</v>
      </c>
      <c r="J2866" t="s">
        <v>982</v>
      </c>
    </row>
    <row r="2867" spans="1:10" x14ac:dyDescent="0.35">
      <c r="A2867">
        <v>12951</v>
      </c>
      <c r="B2867" t="s">
        <v>52</v>
      </c>
      <c r="C2867" t="s">
        <v>203</v>
      </c>
      <c r="D2867" t="s">
        <v>92</v>
      </c>
      <c r="E2867" t="s">
        <v>204</v>
      </c>
      <c r="F2867" t="s">
        <v>244</v>
      </c>
      <c r="G2867" s="39">
        <v>44139</v>
      </c>
      <c r="J2867" t="s">
        <v>982</v>
      </c>
    </row>
    <row r="2868" spans="1:10" x14ac:dyDescent="0.35">
      <c r="A2868">
        <v>13160</v>
      </c>
      <c r="B2868" t="s">
        <v>52</v>
      </c>
      <c r="C2868" t="s">
        <v>203</v>
      </c>
      <c r="D2868" t="s">
        <v>92</v>
      </c>
      <c r="E2868" t="s">
        <v>204</v>
      </c>
      <c r="F2868" t="s">
        <v>244</v>
      </c>
      <c r="G2868" s="39">
        <v>44293</v>
      </c>
      <c r="J2868" t="s">
        <v>982</v>
      </c>
    </row>
    <row r="2869" spans="1:10" x14ac:dyDescent="0.35">
      <c r="A2869">
        <v>11359</v>
      </c>
      <c r="B2869" t="s">
        <v>52</v>
      </c>
      <c r="C2869" t="s">
        <v>203</v>
      </c>
      <c r="D2869" t="s">
        <v>92</v>
      </c>
      <c r="E2869" t="s">
        <v>96</v>
      </c>
      <c r="F2869" t="s">
        <v>244</v>
      </c>
      <c r="G2869" s="39">
        <v>42590</v>
      </c>
      <c r="J2869" t="s">
        <v>982</v>
      </c>
    </row>
    <row r="2870" spans="1:10" x14ac:dyDescent="0.35">
      <c r="A2870">
        <v>12131</v>
      </c>
      <c r="B2870" t="s">
        <v>52</v>
      </c>
      <c r="C2870" t="s">
        <v>203</v>
      </c>
      <c r="D2870" t="s">
        <v>92</v>
      </c>
      <c r="E2870" t="s">
        <v>204</v>
      </c>
      <c r="F2870" t="s">
        <v>244</v>
      </c>
      <c r="G2870" s="39">
        <v>43508</v>
      </c>
      <c r="J2870" t="s">
        <v>982</v>
      </c>
    </row>
    <row r="2871" spans="1:10" x14ac:dyDescent="0.35">
      <c r="A2871">
        <v>17555</v>
      </c>
      <c r="B2871" t="s">
        <v>52</v>
      </c>
      <c r="C2871" t="s">
        <v>203</v>
      </c>
      <c r="D2871" t="s">
        <v>92</v>
      </c>
      <c r="E2871" t="s">
        <v>204</v>
      </c>
      <c r="F2871" t="s">
        <v>244</v>
      </c>
      <c r="G2871" s="39">
        <v>45789</v>
      </c>
      <c r="J2871" t="s">
        <v>982</v>
      </c>
    </row>
    <row r="2872" spans="1:10" x14ac:dyDescent="0.35">
      <c r="A2872">
        <v>13043</v>
      </c>
      <c r="B2872" t="s">
        <v>52</v>
      </c>
      <c r="C2872" t="s">
        <v>203</v>
      </c>
      <c r="D2872" t="s">
        <v>92</v>
      </c>
      <c r="E2872" t="s">
        <v>204</v>
      </c>
      <c r="F2872" t="s">
        <v>244</v>
      </c>
      <c r="G2872" s="39">
        <v>44214</v>
      </c>
      <c r="J2872" t="s">
        <v>982</v>
      </c>
    </row>
    <row r="2873" spans="1:10" x14ac:dyDescent="0.35">
      <c r="A2873">
        <v>13402</v>
      </c>
      <c r="B2873" t="s">
        <v>52</v>
      </c>
      <c r="C2873" t="s">
        <v>203</v>
      </c>
      <c r="D2873" t="s">
        <v>92</v>
      </c>
      <c r="E2873" t="s">
        <v>204</v>
      </c>
      <c r="F2873" t="s">
        <v>244</v>
      </c>
      <c r="G2873" s="39">
        <v>44425</v>
      </c>
      <c r="J2873" t="s">
        <v>982</v>
      </c>
    </row>
    <row r="2874" spans="1:10" x14ac:dyDescent="0.35">
      <c r="A2874">
        <v>15399</v>
      </c>
      <c r="B2874" t="s">
        <v>52</v>
      </c>
      <c r="C2874" t="s">
        <v>203</v>
      </c>
      <c r="D2874" t="s">
        <v>92</v>
      </c>
      <c r="E2874" t="s">
        <v>204</v>
      </c>
      <c r="F2874" t="s">
        <v>244</v>
      </c>
      <c r="G2874" s="39">
        <v>45057</v>
      </c>
      <c r="J2874" t="s">
        <v>982</v>
      </c>
    </row>
    <row r="2875" spans="1:10" x14ac:dyDescent="0.35">
      <c r="A2875">
        <v>17361</v>
      </c>
      <c r="B2875" t="s">
        <v>44</v>
      </c>
      <c r="C2875" t="s">
        <v>201</v>
      </c>
      <c r="D2875" t="s">
        <v>92</v>
      </c>
      <c r="E2875" t="s">
        <v>204</v>
      </c>
      <c r="F2875" t="s">
        <v>244</v>
      </c>
      <c r="G2875" s="39">
        <v>45719</v>
      </c>
      <c r="J2875" t="s">
        <v>982</v>
      </c>
    </row>
    <row r="2876" spans="1:10" x14ac:dyDescent="0.35">
      <c r="A2876">
        <v>16792</v>
      </c>
      <c r="B2876" t="s">
        <v>44</v>
      </c>
      <c r="C2876" t="s">
        <v>201</v>
      </c>
      <c r="D2876" t="s">
        <v>92</v>
      </c>
      <c r="E2876" t="s">
        <v>205</v>
      </c>
      <c r="F2876" t="s">
        <v>244</v>
      </c>
      <c r="G2876" s="39">
        <v>45546</v>
      </c>
      <c r="J2876" t="s">
        <v>982</v>
      </c>
    </row>
    <row r="2877" spans="1:10" x14ac:dyDescent="0.35">
      <c r="A2877">
        <v>18013</v>
      </c>
      <c r="B2877" t="s">
        <v>44</v>
      </c>
      <c r="C2877" t="s">
        <v>201</v>
      </c>
      <c r="D2877" t="s">
        <v>92</v>
      </c>
      <c r="E2877" t="s">
        <v>205</v>
      </c>
      <c r="F2877" t="s">
        <v>244</v>
      </c>
      <c r="G2877" s="39">
        <v>45964</v>
      </c>
      <c r="J2877" t="s">
        <v>982</v>
      </c>
    </row>
    <row r="2878" spans="1:10" x14ac:dyDescent="0.35">
      <c r="A2878">
        <v>18101</v>
      </c>
      <c r="B2878" t="s">
        <v>51</v>
      </c>
      <c r="C2878" t="s">
        <v>203</v>
      </c>
      <c r="D2878" t="s">
        <v>92</v>
      </c>
      <c r="E2878" t="s">
        <v>205</v>
      </c>
      <c r="F2878" t="s">
        <v>244</v>
      </c>
      <c r="G2878" s="39">
        <v>45995</v>
      </c>
      <c r="J2878" t="s">
        <v>982</v>
      </c>
    </row>
    <row r="2879" spans="1:10" x14ac:dyDescent="0.35">
      <c r="A2879">
        <v>17603</v>
      </c>
      <c r="B2879" t="s">
        <v>44</v>
      </c>
      <c r="C2879" t="s">
        <v>201</v>
      </c>
      <c r="D2879" t="s">
        <v>92</v>
      </c>
      <c r="E2879" t="s">
        <v>388</v>
      </c>
      <c r="F2879" t="s">
        <v>244</v>
      </c>
      <c r="G2879" s="39">
        <v>45825</v>
      </c>
      <c r="J2879" t="s">
        <v>982</v>
      </c>
    </row>
    <row r="2880" spans="1:10" x14ac:dyDescent="0.35">
      <c r="A2880">
        <v>18343</v>
      </c>
      <c r="B2880" t="s">
        <v>44</v>
      </c>
      <c r="C2880" t="s">
        <v>201</v>
      </c>
      <c r="D2880" t="s">
        <v>92</v>
      </c>
      <c r="E2880" t="s">
        <v>205</v>
      </c>
      <c r="F2880" t="s">
        <v>244</v>
      </c>
      <c r="G2880" s="39">
        <v>46097</v>
      </c>
      <c r="J2880" t="s">
        <v>982</v>
      </c>
    </row>
    <row r="2881" spans="1:10" x14ac:dyDescent="0.35">
      <c r="A2881">
        <v>17588</v>
      </c>
      <c r="B2881" t="s">
        <v>44</v>
      </c>
      <c r="C2881" t="s">
        <v>201</v>
      </c>
      <c r="D2881" t="s">
        <v>92</v>
      </c>
      <c r="E2881" t="s">
        <v>388</v>
      </c>
      <c r="F2881" t="s">
        <v>244</v>
      </c>
      <c r="G2881" s="39">
        <v>45810</v>
      </c>
      <c r="J2881" t="s">
        <v>982</v>
      </c>
    </row>
    <row r="2882" spans="1:10" x14ac:dyDescent="0.35">
      <c r="A2882">
        <v>16528</v>
      </c>
      <c r="B2882" t="s">
        <v>52</v>
      </c>
      <c r="C2882" t="s">
        <v>203</v>
      </c>
      <c r="D2882" t="s">
        <v>92</v>
      </c>
      <c r="E2882" t="s">
        <v>205</v>
      </c>
      <c r="F2882" t="s">
        <v>244</v>
      </c>
      <c r="G2882" s="39">
        <v>45446</v>
      </c>
      <c r="J2882" t="s">
        <v>982</v>
      </c>
    </row>
    <row r="2883" spans="1:10" x14ac:dyDescent="0.35">
      <c r="A2883">
        <v>18012</v>
      </c>
      <c r="B2883" t="s">
        <v>44</v>
      </c>
      <c r="C2883" t="s">
        <v>201</v>
      </c>
      <c r="D2883" t="s">
        <v>92</v>
      </c>
      <c r="E2883" t="s">
        <v>205</v>
      </c>
      <c r="F2883" t="s">
        <v>244</v>
      </c>
      <c r="G2883" s="39">
        <v>45965</v>
      </c>
      <c r="J2883" t="s">
        <v>982</v>
      </c>
    </row>
    <row r="2884" spans="1:10" x14ac:dyDescent="0.35">
      <c r="A2884">
        <v>18388</v>
      </c>
      <c r="B2884" t="s">
        <v>44</v>
      </c>
      <c r="C2884" t="s">
        <v>201</v>
      </c>
      <c r="D2884" t="s">
        <v>92</v>
      </c>
      <c r="E2884" t="s">
        <v>205</v>
      </c>
      <c r="F2884" t="s">
        <v>244</v>
      </c>
      <c r="G2884" s="39">
        <v>46119</v>
      </c>
      <c r="J2884" t="s">
        <v>982</v>
      </c>
    </row>
    <row r="2885" spans="1:10" x14ac:dyDescent="0.35">
      <c r="A2885">
        <v>17975</v>
      </c>
      <c r="B2885" t="s">
        <v>52</v>
      </c>
      <c r="C2885" t="s">
        <v>203</v>
      </c>
      <c r="D2885" t="s">
        <v>92</v>
      </c>
      <c r="E2885" t="s">
        <v>205</v>
      </c>
      <c r="F2885" t="s">
        <v>244</v>
      </c>
      <c r="G2885" s="39">
        <v>45944</v>
      </c>
      <c r="J2885" t="s">
        <v>982</v>
      </c>
    </row>
    <row r="2886" spans="1:10" x14ac:dyDescent="0.35">
      <c r="A2886">
        <v>17578</v>
      </c>
      <c r="B2886" t="s">
        <v>52</v>
      </c>
      <c r="C2886" t="s">
        <v>203</v>
      </c>
      <c r="D2886" t="s">
        <v>92</v>
      </c>
      <c r="E2886" t="s">
        <v>205</v>
      </c>
      <c r="F2886" t="s">
        <v>244</v>
      </c>
      <c r="G2886" s="39">
        <v>45798</v>
      </c>
      <c r="J2886" t="s">
        <v>982</v>
      </c>
    </row>
    <row r="2887" spans="1:10" x14ac:dyDescent="0.35">
      <c r="A2887">
        <v>13288</v>
      </c>
      <c r="B2887" t="s">
        <v>51</v>
      </c>
      <c r="C2887" t="s">
        <v>203</v>
      </c>
      <c r="D2887" t="s">
        <v>92</v>
      </c>
      <c r="E2887" t="s">
        <v>388</v>
      </c>
      <c r="F2887" t="s">
        <v>244</v>
      </c>
      <c r="G2887" s="39">
        <v>44368</v>
      </c>
      <c r="J2887" t="s">
        <v>982</v>
      </c>
    </row>
    <row r="2888" spans="1:10" x14ac:dyDescent="0.35">
      <c r="A2888">
        <v>17433</v>
      </c>
      <c r="B2888" t="s">
        <v>51</v>
      </c>
      <c r="C2888" t="s">
        <v>203</v>
      </c>
      <c r="D2888" t="s">
        <v>92</v>
      </c>
      <c r="E2888" t="s">
        <v>205</v>
      </c>
      <c r="F2888" t="s">
        <v>244</v>
      </c>
      <c r="G2888" s="39">
        <v>45770</v>
      </c>
      <c r="J2888" t="s">
        <v>982</v>
      </c>
    </row>
    <row r="2889" spans="1:10" x14ac:dyDescent="0.35">
      <c r="A2889">
        <v>13785</v>
      </c>
      <c r="B2889" t="s">
        <v>44</v>
      </c>
      <c r="C2889" t="s">
        <v>201</v>
      </c>
      <c r="D2889" t="s">
        <v>92</v>
      </c>
      <c r="E2889" t="s">
        <v>388</v>
      </c>
      <c r="F2889" t="s">
        <v>244</v>
      </c>
      <c r="G2889" s="39">
        <v>44575</v>
      </c>
      <c r="J2889" t="s">
        <v>982</v>
      </c>
    </row>
    <row r="2890" spans="1:10" x14ac:dyDescent="0.35">
      <c r="A2890">
        <v>13289</v>
      </c>
      <c r="B2890" t="s">
        <v>51</v>
      </c>
      <c r="C2890" t="s">
        <v>203</v>
      </c>
      <c r="D2890" t="s">
        <v>92</v>
      </c>
      <c r="E2890" t="s">
        <v>205</v>
      </c>
      <c r="F2890" t="s">
        <v>244</v>
      </c>
      <c r="G2890" s="39">
        <v>44368</v>
      </c>
      <c r="J2890" t="s">
        <v>982</v>
      </c>
    </row>
    <row r="2891" spans="1:10" x14ac:dyDescent="0.35">
      <c r="A2891">
        <v>16379</v>
      </c>
      <c r="B2891" t="s">
        <v>52</v>
      </c>
      <c r="C2891" t="s">
        <v>203</v>
      </c>
      <c r="D2891" t="s">
        <v>92</v>
      </c>
      <c r="E2891" t="s">
        <v>205</v>
      </c>
      <c r="F2891" t="s">
        <v>244</v>
      </c>
      <c r="G2891" s="39">
        <v>45384</v>
      </c>
      <c r="J2891" t="s">
        <v>982</v>
      </c>
    </row>
    <row r="2892" spans="1:10" x14ac:dyDescent="0.35">
      <c r="A2892">
        <v>11819</v>
      </c>
      <c r="B2892" t="s">
        <v>52</v>
      </c>
      <c r="C2892" t="s">
        <v>203</v>
      </c>
      <c r="D2892" t="s">
        <v>92</v>
      </c>
      <c r="E2892" t="s">
        <v>96</v>
      </c>
      <c r="F2892" t="s">
        <v>244</v>
      </c>
      <c r="G2892" s="39">
        <v>43161</v>
      </c>
      <c r="J2892" t="s">
        <v>982</v>
      </c>
    </row>
    <row r="2893" spans="1:10" x14ac:dyDescent="0.35">
      <c r="A2893">
        <v>12260</v>
      </c>
      <c r="B2893" t="s">
        <v>52</v>
      </c>
      <c r="C2893" t="s">
        <v>203</v>
      </c>
      <c r="D2893" t="s">
        <v>92</v>
      </c>
      <c r="E2893" t="s">
        <v>204</v>
      </c>
      <c r="F2893" t="s">
        <v>244</v>
      </c>
      <c r="G2893" s="39">
        <v>43650</v>
      </c>
      <c r="J2893" t="s">
        <v>982</v>
      </c>
    </row>
    <row r="2894" spans="1:10" x14ac:dyDescent="0.35">
      <c r="A2894">
        <v>12496</v>
      </c>
      <c r="B2894" t="s">
        <v>52</v>
      </c>
      <c r="C2894" t="s">
        <v>203</v>
      </c>
      <c r="D2894" t="s">
        <v>92</v>
      </c>
      <c r="E2894" t="s">
        <v>204</v>
      </c>
      <c r="F2894" t="s">
        <v>244</v>
      </c>
      <c r="G2894" s="39">
        <v>43777</v>
      </c>
      <c r="J2894" t="s">
        <v>982</v>
      </c>
    </row>
    <row r="2895" spans="1:10" x14ac:dyDescent="0.35">
      <c r="A2895">
        <v>17593</v>
      </c>
      <c r="B2895" t="s">
        <v>51</v>
      </c>
      <c r="C2895" t="s">
        <v>203</v>
      </c>
      <c r="D2895" t="s">
        <v>92</v>
      </c>
      <c r="E2895" t="s">
        <v>204</v>
      </c>
      <c r="F2895" t="s">
        <v>244</v>
      </c>
      <c r="G2895" s="39">
        <v>45811</v>
      </c>
      <c r="J2895" t="s">
        <v>982</v>
      </c>
    </row>
    <row r="2896" spans="1:10" x14ac:dyDescent="0.35">
      <c r="A2896">
        <v>12901</v>
      </c>
      <c r="B2896" t="s">
        <v>51</v>
      </c>
      <c r="C2896" t="s">
        <v>203</v>
      </c>
      <c r="D2896" t="s">
        <v>92</v>
      </c>
      <c r="E2896" t="s">
        <v>651</v>
      </c>
      <c r="F2896" t="s">
        <v>244</v>
      </c>
      <c r="G2896" s="39">
        <v>44091</v>
      </c>
      <c r="J2896" t="s">
        <v>982</v>
      </c>
    </row>
    <row r="2897" spans="1:10" x14ac:dyDescent="0.35">
      <c r="A2897">
        <v>11975</v>
      </c>
      <c r="B2897" t="s">
        <v>51</v>
      </c>
      <c r="C2897" t="s">
        <v>203</v>
      </c>
      <c r="D2897" t="s">
        <v>92</v>
      </c>
      <c r="E2897" t="s">
        <v>205</v>
      </c>
      <c r="F2897" t="s">
        <v>244</v>
      </c>
      <c r="G2897" s="39">
        <v>43347</v>
      </c>
      <c r="J2897" t="s">
        <v>982</v>
      </c>
    </row>
    <row r="2898" spans="1:10" x14ac:dyDescent="0.35">
      <c r="A2898">
        <v>14762</v>
      </c>
      <c r="B2898" t="s">
        <v>51</v>
      </c>
      <c r="C2898" t="s">
        <v>203</v>
      </c>
      <c r="D2898" t="s">
        <v>92</v>
      </c>
      <c r="E2898" t="s">
        <v>205</v>
      </c>
      <c r="F2898" t="s">
        <v>244</v>
      </c>
      <c r="G2898" s="39">
        <v>44852</v>
      </c>
      <c r="J2898" t="s">
        <v>982</v>
      </c>
    </row>
    <row r="2899" spans="1:10" x14ac:dyDescent="0.35">
      <c r="A2899">
        <v>17938</v>
      </c>
      <c r="B2899" t="s">
        <v>51</v>
      </c>
      <c r="C2899" t="s">
        <v>203</v>
      </c>
      <c r="D2899" t="s">
        <v>92</v>
      </c>
      <c r="E2899" t="s">
        <v>205</v>
      </c>
      <c r="F2899" t="s">
        <v>244</v>
      </c>
      <c r="G2899" s="39">
        <v>45931</v>
      </c>
      <c r="J2899" t="s">
        <v>982</v>
      </c>
    </row>
    <row r="2900" spans="1:10" x14ac:dyDescent="0.35">
      <c r="A2900">
        <v>15313</v>
      </c>
      <c r="B2900" t="s">
        <v>51</v>
      </c>
      <c r="C2900" t="s">
        <v>203</v>
      </c>
      <c r="D2900" t="s">
        <v>92</v>
      </c>
      <c r="E2900" t="s">
        <v>204</v>
      </c>
      <c r="F2900" t="s">
        <v>244</v>
      </c>
      <c r="G2900" s="39">
        <v>45023</v>
      </c>
      <c r="J2900" t="s">
        <v>982</v>
      </c>
    </row>
    <row r="2901" spans="1:10" x14ac:dyDescent="0.35">
      <c r="A2901">
        <v>13886</v>
      </c>
      <c r="B2901" t="s">
        <v>21</v>
      </c>
      <c r="C2901" t="s">
        <v>92</v>
      </c>
      <c r="D2901" t="s">
        <v>92</v>
      </c>
      <c r="E2901" t="s">
        <v>651</v>
      </c>
      <c r="F2901" t="s">
        <v>244</v>
      </c>
      <c r="G2901" s="39">
        <v>44616</v>
      </c>
      <c r="J2901" t="s">
        <v>982</v>
      </c>
    </row>
    <row r="2902" spans="1:10" x14ac:dyDescent="0.35">
      <c r="A2902">
        <v>15363</v>
      </c>
      <c r="B2902" t="s">
        <v>52</v>
      </c>
      <c r="C2902" t="s">
        <v>203</v>
      </c>
      <c r="D2902" t="s">
        <v>92</v>
      </c>
      <c r="E2902" t="s">
        <v>205</v>
      </c>
      <c r="F2902" t="s">
        <v>244</v>
      </c>
      <c r="G2902" s="39">
        <v>45047</v>
      </c>
      <c r="J2902" t="s">
        <v>982</v>
      </c>
    </row>
    <row r="2903" spans="1:10" x14ac:dyDescent="0.35">
      <c r="A2903">
        <v>17575</v>
      </c>
      <c r="B2903" t="s">
        <v>52</v>
      </c>
      <c r="C2903" t="s">
        <v>203</v>
      </c>
      <c r="D2903" t="s">
        <v>92</v>
      </c>
      <c r="E2903" t="s">
        <v>644</v>
      </c>
      <c r="F2903" t="s">
        <v>244</v>
      </c>
      <c r="G2903" s="39">
        <v>45796</v>
      </c>
      <c r="J2903" t="s">
        <v>982</v>
      </c>
    </row>
    <row r="2904" spans="1:10" x14ac:dyDescent="0.35">
      <c r="A2904">
        <v>13784</v>
      </c>
      <c r="B2904" t="s">
        <v>44</v>
      </c>
      <c r="C2904" t="s">
        <v>201</v>
      </c>
      <c r="D2904" t="s">
        <v>92</v>
      </c>
      <c r="E2904" t="s">
        <v>205</v>
      </c>
      <c r="F2904" t="s">
        <v>244</v>
      </c>
      <c r="G2904" s="39">
        <v>44575</v>
      </c>
      <c r="J2904" t="s">
        <v>982</v>
      </c>
    </row>
    <row r="2905" spans="1:10" x14ac:dyDescent="0.35">
      <c r="A2905">
        <v>18366</v>
      </c>
      <c r="B2905" t="s">
        <v>52</v>
      </c>
      <c r="C2905" t="s">
        <v>203</v>
      </c>
      <c r="D2905" t="s">
        <v>92</v>
      </c>
      <c r="E2905" t="s">
        <v>205</v>
      </c>
      <c r="F2905" t="s">
        <v>244</v>
      </c>
      <c r="G2905" s="39">
        <v>46114</v>
      </c>
      <c r="J2905" t="s">
        <v>982</v>
      </c>
    </row>
    <row r="2906" spans="1:10" x14ac:dyDescent="0.35">
      <c r="A2906">
        <v>13787</v>
      </c>
      <c r="B2906" t="s">
        <v>52</v>
      </c>
      <c r="C2906" t="s">
        <v>203</v>
      </c>
      <c r="D2906" t="s">
        <v>92</v>
      </c>
      <c r="E2906" t="s">
        <v>205</v>
      </c>
      <c r="F2906" t="s">
        <v>244</v>
      </c>
      <c r="G2906" s="39">
        <v>44575</v>
      </c>
      <c r="J2906" t="s">
        <v>982</v>
      </c>
    </row>
    <row r="2907" spans="1:10" x14ac:dyDescent="0.35">
      <c r="A2907">
        <v>17967</v>
      </c>
      <c r="B2907" t="s">
        <v>51</v>
      </c>
      <c r="C2907" t="s">
        <v>203</v>
      </c>
      <c r="D2907" t="s">
        <v>92</v>
      </c>
      <c r="E2907" t="s">
        <v>205</v>
      </c>
      <c r="F2907" t="s">
        <v>244</v>
      </c>
      <c r="G2907" s="39">
        <v>45943</v>
      </c>
      <c r="J2907" t="s">
        <v>982</v>
      </c>
    </row>
    <row r="2908" spans="1:10" x14ac:dyDescent="0.35">
      <c r="A2908">
        <v>13783</v>
      </c>
      <c r="B2908" t="s">
        <v>44</v>
      </c>
      <c r="C2908" t="s">
        <v>201</v>
      </c>
      <c r="D2908" t="s">
        <v>92</v>
      </c>
      <c r="E2908" t="s">
        <v>205</v>
      </c>
      <c r="F2908" t="s">
        <v>244</v>
      </c>
      <c r="G2908" s="39">
        <v>44575</v>
      </c>
      <c r="J2908" t="s">
        <v>982</v>
      </c>
    </row>
    <row r="2909" spans="1:10" x14ac:dyDescent="0.35">
      <c r="A2909">
        <v>14302</v>
      </c>
      <c r="B2909" t="s">
        <v>44</v>
      </c>
      <c r="C2909" t="s">
        <v>201</v>
      </c>
      <c r="D2909" t="s">
        <v>92</v>
      </c>
      <c r="E2909" t="s">
        <v>96</v>
      </c>
      <c r="F2909" t="s">
        <v>244</v>
      </c>
      <c r="G2909" s="39">
        <v>44721</v>
      </c>
      <c r="J2909" t="s">
        <v>982</v>
      </c>
    </row>
    <row r="2910" spans="1:10" x14ac:dyDescent="0.35">
      <c r="A2910">
        <v>12421</v>
      </c>
      <c r="B2910" t="s">
        <v>44</v>
      </c>
      <c r="C2910" t="s">
        <v>201</v>
      </c>
      <c r="D2910" t="s">
        <v>92</v>
      </c>
      <c r="E2910" t="s">
        <v>644</v>
      </c>
      <c r="F2910" t="s">
        <v>244</v>
      </c>
      <c r="G2910" s="39">
        <v>43740</v>
      </c>
      <c r="J2910" t="s">
        <v>982</v>
      </c>
    </row>
    <row r="2911" spans="1:10" x14ac:dyDescent="0.35">
      <c r="A2911">
        <v>15603</v>
      </c>
      <c r="B2911" t="s">
        <v>44</v>
      </c>
      <c r="C2911" t="s">
        <v>201</v>
      </c>
      <c r="D2911" t="s">
        <v>92</v>
      </c>
      <c r="E2911" t="s">
        <v>653</v>
      </c>
      <c r="F2911" t="s">
        <v>244</v>
      </c>
      <c r="G2911" s="39">
        <v>45133</v>
      </c>
      <c r="J2911" t="s">
        <v>982</v>
      </c>
    </row>
    <row r="2912" spans="1:10" x14ac:dyDescent="0.35">
      <c r="A2912">
        <v>16696</v>
      </c>
      <c r="B2912" t="s">
        <v>44</v>
      </c>
      <c r="C2912" t="s">
        <v>201</v>
      </c>
      <c r="D2912" t="s">
        <v>92</v>
      </c>
      <c r="E2912" t="s">
        <v>653</v>
      </c>
      <c r="F2912" t="s">
        <v>244</v>
      </c>
      <c r="G2912" s="39">
        <v>45527</v>
      </c>
      <c r="J2912" t="s">
        <v>982</v>
      </c>
    </row>
    <row r="2913" spans="1:10" x14ac:dyDescent="0.35">
      <c r="A2913">
        <v>18402</v>
      </c>
      <c r="B2913" t="s">
        <v>51</v>
      </c>
      <c r="C2913" t="s">
        <v>203</v>
      </c>
      <c r="D2913" t="s">
        <v>92</v>
      </c>
      <c r="E2913" t="s">
        <v>653</v>
      </c>
      <c r="F2913" t="s">
        <v>244</v>
      </c>
      <c r="G2913" s="39">
        <v>46136</v>
      </c>
      <c r="J2913" t="s">
        <v>982</v>
      </c>
    </row>
    <row r="2914" spans="1:10" x14ac:dyDescent="0.35">
      <c r="A2914">
        <v>18436</v>
      </c>
      <c r="B2914" t="s">
        <v>51</v>
      </c>
      <c r="C2914" t="s">
        <v>203</v>
      </c>
      <c r="D2914" t="s">
        <v>92</v>
      </c>
      <c r="E2914" t="s">
        <v>204</v>
      </c>
      <c r="F2914" t="s">
        <v>244</v>
      </c>
      <c r="G2914" s="39">
        <v>46143</v>
      </c>
      <c r="J2914" t="s">
        <v>982</v>
      </c>
    </row>
    <row r="2915" spans="1:10" x14ac:dyDescent="0.35">
      <c r="A2915">
        <v>13794</v>
      </c>
      <c r="B2915" t="s">
        <v>44</v>
      </c>
      <c r="C2915" t="s">
        <v>201</v>
      </c>
      <c r="D2915" t="s">
        <v>92</v>
      </c>
      <c r="E2915" t="s">
        <v>653</v>
      </c>
      <c r="F2915" t="s">
        <v>244</v>
      </c>
      <c r="G2915" s="39">
        <v>44579</v>
      </c>
      <c r="J2915" t="s">
        <v>982</v>
      </c>
    </row>
    <row r="2916" spans="1:10" x14ac:dyDescent="0.35">
      <c r="A2916">
        <v>13786</v>
      </c>
      <c r="B2916" t="s">
        <v>52</v>
      </c>
      <c r="C2916" t="s">
        <v>203</v>
      </c>
      <c r="D2916" t="s">
        <v>92</v>
      </c>
      <c r="E2916" t="s">
        <v>653</v>
      </c>
      <c r="F2916" t="s">
        <v>244</v>
      </c>
      <c r="G2916" s="39">
        <v>44575</v>
      </c>
      <c r="J2916" t="s">
        <v>982</v>
      </c>
    </row>
    <row r="2917" spans="1:10" x14ac:dyDescent="0.35">
      <c r="A2917">
        <v>16615</v>
      </c>
      <c r="B2917" t="s">
        <v>44</v>
      </c>
      <c r="C2917" t="s">
        <v>201</v>
      </c>
      <c r="D2917" t="s">
        <v>92</v>
      </c>
      <c r="E2917" t="s">
        <v>653</v>
      </c>
      <c r="F2917" t="s">
        <v>244</v>
      </c>
      <c r="G2917" s="39">
        <v>45497</v>
      </c>
      <c r="J2917" t="s">
        <v>982</v>
      </c>
    </row>
    <row r="2918" spans="1:10" x14ac:dyDescent="0.35">
      <c r="A2918">
        <v>16175</v>
      </c>
      <c r="B2918" t="s">
        <v>52</v>
      </c>
      <c r="C2918" t="s">
        <v>203</v>
      </c>
      <c r="D2918" t="s">
        <v>92</v>
      </c>
      <c r="E2918" t="s">
        <v>653</v>
      </c>
      <c r="F2918" t="s">
        <v>244</v>
      </c>
      <c r="G2918" s="39">
        <v>45310</v>
      </c>
      <c r="J2918" t="s">
        <v>982</v>
      </c>
    </row>
    <row r="2919" spans="1:10" x14ac:dyDescent="0.35">
      <c r="A2919">
        <v>15377</v>
      </c>
      <c r="B2919" t="s">
        <v>51</v>
      </c>
      <c r="C2919" t="s">
        <v>203</v>
      </c>
      <c r="D2919" t="s">
        <v>92</v>
      </c>
      <c r="E2919" t="s">
        <v>641</v>
      </c>
      <c r="F2919" t="s">
        <v>244</v>
      </c>
      <c r="G2919" s="39">
        <v>45050</v>
      </c>
      <c r="J2919" t="s">
        <v>982</v>
      </c>
    </row>
    <row r="2920" spans="1:10" x14ac:dyDescent="0.35">
      <c r="A2920">
        <v>18094</v>
      </c>
      <c r="B2920" t="s">
        <v>51</v>
      </c>
      <c r="C2920" t="s">
        <v>203</v>
      </c>
      <c r="D2920" t="s">
        <v>92</v>
      </c>
      <c r="E2920" t="s">
        <v>653</v>
      </c>
      <c r="F2920" t="s">
        <v>244</v>
      </c>
      <c r="G2920" s="39">
        <v>45987</v>
      </c>
      <c r="J2920" t="s">
        <v>982</v>
      </c>
    </row>
    <row r="2921" spans="1:10" x14ac:dyDescent="0.35">
      <c r="A2921">
        <v>18142</v>
      </c>
      <c r="B2921" t="s">
        <v>52</v>
      </c>
      <c r="C2921" t="s">
        <v>203</v>
      </c>
      <c r="D2921" t="s">
        <v>92</v>
      </c>
      <c r="E2921" t="s">
        <v>653</v>
      </c>
      <c r="F2921" t="s">
        <v>244</v>
      </c>
      <c r="G2921" s="39">
        <v>46010</v>
      </c>
      <c r="J2921" t="s">
        <v>982</v>
      </c>
    </row>
    <row r="2922" spans="1:10" x14ac:dyDescent="0.35">
      <c r="A2922">
        <v>13013</v>
      </c>
      <c r="B2922" t="s">
        <v>44</v>
      </c>
      <c r="C2922" t="s">
        <v>201</v>
      </c>
      <c r="D2922" t="s">
        <v>92</v>
      </c>
      <c r="E2922" t="s">
        <v>653</v>
      </c>
      <c r="F2922" t="s">
        <v>244</v>
      </c>
      <c r="G2922" s="39">
        <v>44202</v>
      </c>
      <c r="J2922" t="s">
        <v>982</v>
      </c>
    </row>
    <row r="2923" spans="1:10" x14ac:dyDescent="0.35">
      <c r="A2923">
        <v>17358</v>
      </c>
      <c r="B2923" t="s">
        <v>51</v>
      </c>
      <c r="C2923" t="s">
        <v>203</v>
      </c>
      <c r="D2923" t="s">
        <v>92</v>
      </c>
      <c r="E2923" t="s">
        <v>653</v>
      </c>
      <c r="F2923" t="s">
        <v>244</v>
      </c>
      <c r="G2923" s="39">
        <v>45720</v>
      </c>
      <c r="J2923" t="s">
        <v>982</v>
      </c>
    </row>
    <row r="2924" spans="1:10" x14ac:dyDescent="0.35">
      <c r="A2924">
        <v>18010</v>
      </c>
      <c r="B2924" t="s">
        <v>52</v>
      </c>
      <c r="C2924" t="s">
        <v>203</v>
      </c>
      <c r="D2924" t="s">
        <v>92</v>
      </c>
      <c r="E2924" t="s">
        <v>653</v>
      </c>
      <c r="F2924" t="s">
        <v>244</v>
      </c>
      <c r="G2924" s="39">
        <v>45964</v>
      </c>
      <c r="J2924" t="s">
        <v>982</v>
      </c>
    </row>
    <row r="2925" spans="1:10" x14ac:dyDescent="0.35">
      <c r="A2925">
        <v>14362</v>
      </c>
      <c r="B2925" t="s">
        <v>44</v>
      </c>
      <c r="C2925" t="s">
        <v>201</v>
      </c>
      <c r="D2925" t="s">
        <v>92</v>
      </c>
      <c r="E2925" t="s">
        <v>653</v>
      </c>
      <c r="F2925" t="s">
        <v>244</v>
      </c>
      <c r="G2925" s="39">
        <v>44743</v>
      </c>
      <c r="J2925" t="s">
        <v>982</v>
      </c>
    </row>
    <row r="2926" spans="1:10" x14ac:dyDescent="0.35">
      <c r="A2926">
        <v>18315</v>
      </c>
      <c r="B2926" t="s">
        <v>51</v>
      </c>
      <c r="C2926" t="s">
        <v>203</v>
      </c>
      <c r="D2926" t="s">
        <v>92</v>
      </c>
      <c r="E2926" t="s">
        <v>653</v>
      </c>
      <c r="F2926" t="s">
        <v>244</v>
      </c>
      <c r="G2926" s="39">
        <v>46086</v>
      </c>
      <c r="J2926" t="s">
        <v>982</v>
      </c>
    </row>
    <row r="2927" spans="1:10" x14ac:dyDescent="0.35">
      <c r="A2927">
        <v>16776</v>
      </c>
      <c r="B2927" t="s">
        <v>52</v>
      </c>
      <c r="C2927" t="s">
        <v>203</v>
      </c>
      <c r="D2927" t="s">
        <v>92</v>
      </c>
      <c r="E2927" t="s">
        <v>653</v>
      </c>
      <c r="F2927" t="s">
        <v>244</v>
      </c>
      <c r="G2927" s="39">
        <v>45552</v>
      </c>
      <c r="J2927" t="s">
        <v>982</v>
      </c>
    </row>
    <row r="2928" spans="1:10" x14ac:dyDescent="0.35">
      <c r="A2928">
        <v>16821</v>
      </c>
      <c r="B2928" t="s">
        <v>51</v>
      </c>
      <c r="C2928" t="s">
        <v>203</v>
      </c>
      <c r="D2928" t="s">
        <v>92</v>
      </c>
      <c r="E2928" t="s">
        <v>653</v>
      </c>
      <c r="F2928" t="s">
        <v>244</v>
      </c>
      <c r="G2928" s="39">
        <v>45560</v>
      </c>
      <c r="J2928" t="s">
        <v>982</v>
      </c>
    </row>
    <row r="2929" spans="1:10" x14ac:dyDescent="0.35">
      <c r="A2929">
        <v>13074</v>
      </c>
      <c r="B2929" t="s">
        <v>51</v>
      </c>
      <c r="C2929" t="s">
        <v>203</v>
      </c>
      <c r="D2929" t="s">
        <v>92</v>
      </c>
      <c r="E2929" t="s">
        <v>653</v>
      </c>
      <c r="F2929" t="s">
        <v>244</v>
      </c>
      <c r="G2929" s="39">
        <v>44238</v>
      </c>
      <c r="J2929" t="s">
        <v>982</v>
      </c>
    </row>
    <row r="2930" spans="1:10" x14ac:dyDescent="0.35">
      <c r="A2930">
        <v>13014</v>
      </c>
      <c r="B2930" t="s">
        <v>51</v>
      </c>
      <c r="C2930" t="s">
        <v>203</v>
      </c>
      <c r="D2930" t="s">
        <v>92</v>
      </c>
      <c r="E2930" t="s">
        <v>641</v>
      </c>
      <c r="F2930" t="s">
        <v>244</v>
      </c>
      <c r="G2930" s="39">
        <v>44202</v>
      </c>
      <c r="J2930" t="s">
        <v>982</v>
      </c>
    </row>
    <row r="2931" spans="1:10" x14ac:dyDescent="0.35">
      <c r="A2931">
        <v>14829</v>
      </c>
      <c r="B2931" t="s">
        <v>51</v>
      </c>
      <c r="C2931" t="s">
        <v>203</v>
      </c>
      <c r="D2931" t="s">
        <v>92</v>
      </c>
      <c r="E2931" t="s">
        <v>653</v>
      </c>
      <c r="F2931" t="s">
        <v>244</v>
      </c>
      <c r="G2931" s="39">
        <v>44869</v>
      </c>
      <c r="J2931" t="s">
        <v>982</v>
      </c>
    </row>
    <row r="2932" spans="1:10" x14ac:dyDescent="0.35">
      <c r="A2932">
        <v>18093</v>
      </c>
      <c r="B2932" t="s">
        <v>51</v>
      </c>
      <c r="C2932" t="s">
        <v>203</v>
      </c>
      <c r="D2932" t="s">
        <v>92</v>
      </c>
      <c r="E2932" t="s">
        <v>653</v>
      </c>
      <c r="F2932" t="s">
        <v>244</v>
      </c>
      <c r="G2932" s="39">
        <v>45987</v>
      </c>
      <c r="J2932" t="s">
        <v>982</v>
      </c>
    </row>
    <row r="2933" spans="1:10" x14ac:dyDescent="0.35">
      <c r="A2933">
        <v>13349</v>
      </c>
      <c r="B2933" t="s">
        <v>51</v>
      </c>
      <c r="C2933" t="s">
        <v>203</v>
      </c>
      <c r="D2933" t="s">
        <v>92</v>
      </c>
      <c r="E2933" t="s">
        <v>653</v>
      </c>
      <c r="F2933" t="s">
        <v>244</v>
      </c>
      <c r="G2933" s="39">
        <v>44399</v>
      </c>
      <c r="J2933" t="s">
        <v>982</v>
      </c>
    </row>
    <row r="2934" spans="1:10" x14ac:dyDescent="0.35">
      <c r="A2934">
        <v>18657</v>
      </c>
      <c r="B2934" t="s">
        <v>51</v>
      </c>
      <c r="C2934" t="s">
        <v>203</v>
      </c>
      <c r="D2934" t="s">
        <v>92</v>
      </c>
      <c r="E2934" t="s">
        <v>653</v>
      </c>
      <c r="F2934" t="s">
        <v>244</v>
      </c>
      <c r="G2934" s="39">
        <v>46196</v>
      </c>
      <c r="J2934" t="s">
        <v>982</v>
      </c>
    </row>
    <row r="2935" spans="1:10" x14ac:dyDescent="0.35">
      <c r="A2935">
        <v>18004</v>
      </c>
      <c r="B2935" t="s">
        <v>44</v>
      </c>
      <c r="C2935" t="s">
        <v>201</v>
      </c>
      <c r="D2935" t="s">
        <v>92</v>
      </c>
      <c r="E2935" t="s">
        <v>653</v>
      </c>
      <c r="F2935" t="s">
        <v>244</v>
      </c>
      <c r="G2935" s="39">
        <v>45954</v>
      </c>
      <c r="J2935" t="s">
        <v>982</v>
      </c>
    </row>
    <row r="2936" spans="1:10" x14ac:dyDescent="0.35">
      <c r="A2936">
        <v>17538</v>
      </c>
      <c r="B2936" t="s">
        <v>44</v>
      </c>
      <c r="C2936" t="s">
        <v>201</v>
      </c>
      <c r="D2936" t="s">
        <v>92</v>
      </c>
      <c r="E2936" t="s">
        <v>653</v>
      </c>
      <c r="F2936" t="s">
        <v>244</v>
      </c>
      <c r="G2936" s="39">
        <v>45779</v>
      </c>
      <c r="J2936" t="s">
        <v>982</v>
      </c>
    </row>
    <row r="2937" spans="1:10" x14ac:dyDescent="0.35">
      <c r="A2937">
        <v>17380</v>
      </c>
      <c r="B2937" t="s">
        <v>52</v>
      </c>
      <c r="C2937" t="s">
        <v>203</v>
      </c>
      <c r="D2937" t="s">
        <v>92</v>
      </c>
      <c r="E2937" t="s">
        <v>653</v>
      </c>
      <c r="F2937" t="s">
        <v>411</v>
      </c>
      <c r="G2937" s="39">
        <v>45729</v>
      </c>
      <c r="J2937" t="s">
        <v>982</v>
      </c>
    </row>
    <row r="2938" spans="1:10" x14ac:dyDescent="0.35">
      <c r="A2938">
        <v>18178</v>
      </c>
      <c r="B2938" t="s">
        <v>52</v>
      </c>
      <c r="C2938" t="s">
        <v>203</v>
      </c>
      <c r="D2938" t="s">
        <v>92</v>
      </c>
      <c r="E2938" t="s">
        <v>656</v>
      </c>
      <c r="F2938" t="s">
        <v>244</v>
      </c>
      <c r="G2938" s="39">
        <v>46034</v>
      </c>
      <c r="J2938" t="s">
        <v>982</v>
      </c>
    </row>
    <row r="2939" spans="1:10" x14ac:dyDescent="0.35">
      <c r="A2939">
        <v>16620</v>
      </c>
      <c r="B2939" t="s">
        <v>44</v>
      </c>
      <c r="C2939" t="s">
        <v>201</v>
      </c>
      <c r="D2939" t="s">
        <v>92</v>
      </c>
      <c r="E2939" t="s">
        <v>653</v>
      </c>
      <c r="F2939" t="s">
        <v>244</v>
      </c>
      <c r="G2939" s="39">
        <v>45498</v>
      </c>
      <c r="J2939" t="s">
        <v>982</v>
      </c>
    </row>
    <row r="2940" spans="1:10" x14ac:dyDescent="0.35">
      <c r="A2940">
        <v>16697</v>
      </c>
      <c r="B2940" t="s">
        <v>52</v>
      </c>
      <c r="C2940" t="s">
        <v>203</v>
      </c>
      <c r="D2940" t="s">
        <v>92</v>
      </c>
      <c r="E2940" t="s">
        <v>653</v>
      </c>
      <c r="F2940" t="s">
        <v>244</v>
      </c>
      <c r="G2940" s="39">
        <v>45527</v>
      </c>
      <c r="J2940" t="s">
        <v>982</v>
      </c>
    </row>
    <row r="2941" spans="1:10" x14ac:dyDescent="0.35">
      <c r="A2941">
        <v>15798</v>
      </c>
      <c r="B2941" t="s">
        <v>52</v>
      </c>
      <c r="C2941" t="s">
        <v>203</v>
      </c>
      <c r="D2941" t="s">
        <v>92</v>
      </c>
      <c r="E2941" t="s">
        <v>96</v>
      </c>
      <c r="F2941" t="s">
        <v>244</v>
      </c>
      <c r="G2941" s="39">
        <v>45201</v>
      </c>
      <c r="J2941" t="s">
        <v>982</v>
      </c>
    </row>
    <row r="2942" spans="1:10" x14ac:dyDescent="0.35">
      <c r="A2942">
        <v>16272</v>
      </c>
      <c r="B2942" t="s">
        <v>52</v>
      </c>
      <c r="C2942" t="s">
        <v>203</v>
      </c>
      <c r="D2942" t="s">
        <v>92</v>
      </c>
      <c r="E2942" t="s">
        <v>653</v>
      </c>
      <c r="F2942" t="s">
        <v>244</v>
      </c>
      <c r="G2942" s="39">
        <v>45341</v>
      </c>
      <c r="J2942" t="s">
        <v>982</v>
      </c>
    </row>
    <row r="2943" spans="1:10" x14ac:dyDescent="0.35">
      <c r="A2943">
        <v>18073</v>
      </c>
      <c r="B2943" t="s">
        <v>52</v>
      </c>
      <c r="C2943" t="s">
        <v>203</v>
      </c>
      <c r="D2943" t="s">
        <v>92</v>
      </c>
      <c r="E2943" t="s">
        <v>653</v>
      </c>
      <c r="F2943" t="s">
        <v>244</v>
      </c>
      <c r="G2943" s="39">
        <v>45985</v>
      </c>
      <c r="J2943" t="s">
        <v>982</v>
      </c>
    </row>
    <row r="2944" spans="1:10" x14ac:dyDescent="0.35">
      <c r="A2944">
        <v>15841</v>
      </c>
      <c r="B2944" t="s">
        <v>44</v>
      </c>
      <c r="C2944" t="s">
        <v>201</v>
      </c>
      <c r="D2944" t="s">
        <v>92</v>
      </c>
      <c r="E2944" t="s">
        <v>653</v>
      </c>
      <c r="F2944" t="s">
        <v>244</v>
      </c>
      <c r="G2944" s="39">
        <v>45212</v>
      </c>
      <c r="J2944" t="s">
        <v>982</v>
      </c>
    </row>
    <row r="2945" spans="1:10" x14ac:dyDescent="0.35">
      <c r="A2945">
        <v>16191</v>
      </c>
      <c r="B2945" t="s">
        <v>52</v>
      </c>
      <c r="C2945" t="s">
        <v>203</v>
      </c>
      <c r="D2945" t="s">
        <v>92</v>
      </c>
      <c r="E2945" t="s">
        <v>653</v>
      </c>
      <c r="F2945" t="s">
        <v>244</v>
      </c>
      <c r="G2945" s="39">
        <v>45314</v>
      </c>
      <c r="J2945" t="s">
        <v>982</v>
      </c>
    </row>
    <row r="2946" spans="1:10" x14ac:dyDescent="0.35">
      <c r="A2946">
        <v>17993</v>
      </c>
      <c r="B2946" t="s">
        <v>52</v>
      </c>
      <c r="C2946" t="s">
        <v>203</v>
      </c>
      <c r="D2946" t="s">
        <v>92</v>
      </c>
      <c r="E2946" t="s">
        <v>653</v>
      </c>
      <c r="F2946" t="s">
        <v>244</v>
      </c>
      <c r="G2946" s="39">
        <v>45951</v>
      </c>
      <c r="J2946" t="s">
        <v>982</v>
      </c>
    </row>
    <row r="2947" spans="1:10" x14ac:dyDescent="0.35">
      <c r="A2947">
        <v>18030</v>
      </c>
      <c r="B2947" t="s">
        <v>52</v>
      </c>
      <c r="C2947" t="s">
        <v>203</v>
      </c>
      <c r="D2947" t="s">
        <v>92</v>
      </c>
      <c r="E2947" t="s">
        <v>653</v>
      </c>
      <c r="F2947" t="s">
        <v>244</v>
      </c>
      <c r="G2947" s="39">
        <v>45967</v>
      </c>
      <c r="J2947" t="s">
        <v>982</v>
      </c>
    </row>
    <row r="2948" spans="1:10" x14ac:dyDescent="0.35">
      <c r="A2948">
        <v>18023</v>
      </c>
      <c r="B2948" t="s">
        <v>44</v>
      </c>
      <c r="C2948" t="s">
        <v>201</v>
      </c>
      <c r="D2948" t="s">
        <v>92</v>
      </c>
      <c r="E2948" t="s">
        <v>653</v>
      </c>
      <c r="F2948" t="s">
        <v>244</v>
      </c>
      <c r="G2948" s="39">
        <v>45966</v>
      </c>
      <c r="J2948" t="s">
        <v>982</v>
      </c>
    </row>
    <row r="2949" spans="1:10" x14ac:dyDescent="0.35">
      <c r="A2949">
        <v>14700</v>
      </c>
      <c r="B2949" t="s">
        <v>51</v>
      </c>
      <c r="C2949" t="s">
        <v>203</v>
      </c>
      <c r="D2949" t="s">
        <v>92</v>
      </c>
      <c r="E2949" t="s">
        <v>653</v>
      </c>
      <c r="F2949" t="s">
        <v>244</v>
      </c>
      <c r="G2949" s="39">
        <v>44830</v>
      </c>
      <c r="J2949" t="s">
        <v>982</v>
      </c>
    </row>
    <row r="2950" spans="1:10" x14ac:dyDescent="0.35">
      <c r="A2950">
        <v>16198</v>
      </c>
      <c r="B2950" t="s">
        <v>44</v>
      </c>
      <c r="C2950" t="s">
        <v>201</v>
      </c>
      <c r="D2950" t="s">
        <v>92</v>
      </c>
      <c r="E2950" t="s">
        <v>653</v>
      </c>
      <c r="F2950" t="s">
        <v>244</v>
      </c>
      <c r="G2950" s="39">
        <v>45316</v>
      </c>
      <c r="J2950" t="s">
        <v>982</v>
      </c>
    </row>
    <row r="2951" spans="1:10" x14ac:dyDescent="0.35">
      <c r="A2951">
        <v>13073</v>
      </c>
      <c r="B2951" t="s">
        <v>52</v>
      </c>
      <c r="C2951" t="s">
        <v>203</v>
      </c>
      <c r="D2951" t="s">
        <v>92</v>
      </c>
      <c r="E2951" t="s">
        <v>653</v>
      </c>
      <c r="F2951" t="s">
        <v>244</v>
      </c>
      <c r="G2951" s="39">
        <v>44238</v>
      </c>
      <c r="J2951" t="s">
        <v>982</v>
      </c>
    </row>
    <row r="2952" spans="1:10" x14ac:dyDescent="0.35">
      <c r="A2952">
        <v>16103</v>
      </c>
      <c r="B2952" t="s">
        <v>52</v>
      </c>
      <c r="C2952" t="s">
        <v>203</v>
      </c>
      <c r="D2952" t="s">
        <v>92</v>
      </c>
      <c r="E2952" t="s">
        <v>653</v>
      </c>
      <c r="F2952" t="s">
        <v>244</v>
      </c>
      <c r="G2952" s="39">
        <v>45286</v>
      </c>
      <c r="J2952" t="s">
        <v>982</v>
      </c>
    </row>
    <row r="2953" spans="1:10" x14ac:dyDescent="0.35">
      <c r="A2953">
        <v>16797</v>
      </c>
      <c r="B2953" t="s">
        <v>52</v>
      </c>
      <c r="C2953" t="s">
        <v>203</v>
      </c>
      <c r="D2953" t="s">
        <v>92</v>
      </c>
      <c r="E2953" t="s">
        <v>653</v>
      </c>
      <c r="F2953" t="s">
        <v>244</v>
      </c>
      <c r="G2953" s="39">
        <v>45568</v>
      </c>
      <c r="J2953" t="s">
        <v>982</v>
      </c>
    </row>
    <row r="2954" spans="1:10" x14ac:dyDescent="0.35">
      <c r="A2954">
        <v>15422</v>
      </c>
      <c r="B2954" t="s">
        <v>51</v>
      </c>
      <c r="C2954" t="s">
        <v>203</v>
      </c>
      <c r="D2954" t="s">
        <v>92</v>
      </c>
      <c r="E2954" t="s">
        <v>204</v>
      </c>
      <c r="F2954" t="s">
        <v>244</v>
      </c>
      <c r="G2954" s="39">
        <v>45064</v>
      </c>
      <c r="J2954" t="s">
        <v>982</v>
      </c>
    </row>
    <row r="2955" spans="1:10" x14ac:dyDescent="0.35">
      <c r="A2955">
        <v>13177</v>
      </c>
      <c r="B2955" t="s">
        <v>44</v>
      </c>
      <c r="C2955" t="s">
        <v>201</v>
      </c>
      <c r="D2955" t="s">
        <v>92</v>
      </c>
      <c r="E2955" t="s">
        <v>388</v>
      </c>
      <c r="F2955" t="s">
        <v>244</v>
      </c>
      <c r="G2955" s="39">
        <v>44302</v>
      </c>
      <c r="J2955" t="s">
        <v>982</v>
      </c>
    </row>
    <row r="2956" spans="1:10" x14ac:dyDescent="0.35">
      <c r="A2956">
        <v>13803</v>
      </c>
      <c r="B2956" t="s">
        <v>44</v>
      </c>
      <c r="C2956" t="s">
        <v>201</v>
      </c>
      <c r="D2956" t="s">
        <v>92</v>
      </c>
      <c r="E2956" t="s">
        <v>204</v>
      </c>
      <c r="F2956" t="s">
        <v>244</v>
      </c>
      <c r="G2956" s="39">
        <v>44582</v>
      </c>
      <c r="J2956" t="s">
        <v>982</v>
      </c>
    </row>
    <row r="2957" spans="1:10" x14ac:dyDescent="0.35">
      <c r="A2957">
        <v>16200</v>
      </c>
      <c r="B2957" t="s">
        <v>44</v>
      </c>
      <c r="C2957" t="s">
        <v>201</v>
      </c>
      <c r="D2957" t="s">
        <v>92</v>
      </c>
      <c r="E2957" t="s">
        <v>388</v>
      </c>
      <c r="F2957" t="s">
        <v>244</v>
      </c>
      <c r="G2957" s="39">
        <v>45317</v>
      </c>
      <c r="J2957" t="s">
        <v>982</v>
      </c>
    </row>
    <row r="2958" spans="1:10" x14ac:dyDescent="0.35">
      <c r="A2958">
        <v>11956</v>
      </c>
      <c r="B2958" t="s">
        <v>51</v>
      </c>
      <c r="C2958" t="s">
        <v>203</v>
      </c>
      <c r="D2958" t="s">
        <v>92</v>
      </c>
      <c r="E2958" t="s">
        <v>641</v>
      </c>
      <c r="F2958" t="s">
        <v>244</v>
      </c>
      <c r="G2958" s="39">
        <v>43333</v>
      </c>
      <c r="J2958" t="s">
        <v>982</v>
      </c>
    </row>
    <row r="2959" spans="1:10" x14ac:dyDescent="0.35">
      <c r="A2959">
        <v>12312</v>
      </c>
      <c r="B2959" t="s">
        <v>51</v>
      </c>
      <c r="C2959" t="s">
        <v>203</v>
      </c>
      <c r="D2959" t="s">
        <v>92</v>
      </c>
      <c r="E2959" t="s">
        <v>205</v>
      </c>
      <c r="F2959" t="s">
        <v>244</v>
      </c>
      <c r="G2959" s="39">
        <v>43678</v>
      </c>
      <c r="J2959" t="s">
        <v>982</v>
      </c>
    </row>
    <row r="2960" spans="1:10" x14ac:dyDescent="0.35">
      <c r="A2960">
        <v>15736</v>
      </c>
      <c r="B2960" t="s">
        <v>51</v>
      </c>
      <c r="C2960" t="s">
        <v>203</v>
      </c>
      <c r="D2960" t="s">
        <v>92</v>
      </c>
      <c r="E2960" t="s">
        <v>204</v>
      </c>
      <c r="F2960" t="s">
        <v>244</v>
      </c>
      <c r="G2960" s="39">
        <v>45176</v>
      </c>
      <c r="J2960" t="s">
        <v>982</v>
      </c>
    </row>
    <row r="2961" spans="1:10" x14ac:dyDescent="0.35">
      <c r="A2961">
        <v>17769</v>
      </c>
      <c r="B2961" t="s">
        <v>51</v>
      </c>
      <c r="C2961" t="s">
        <v>203</v>
      </c>
      <c r="D2961" t="s">
        <v>92</v>
      </c>
      <c r="E2961" t="s">
        <v>204</v>
      </c>
      <c r="F2961" t="s">
        <v>244</v>
      </c>
      <c r="G2961" s="39">
        <v>45874</v>
      </c>
      <c r="J2961" t="s">
        <v>982</v>
      </c>
    </row>
    <row r="2962" spans="1:10" x14ac:dyDescent="0.35">
      <c r="A2962">
        <v>17796</v>
      </c>
      <c r="B2962" t="s">
        <v>44</v>
      </c>
      <c r="C2962" t="s">
        <v>201</v>
      </c>
      <c r="D2962" t="s">
        <v>92</v>
      </c>
      <c r="E2962" t="s">
        <v>205</v>
      </c>
      <c r="F2962" t="s">
        <v>244</v>
      </c>
      <c r="G2962" s="39">
        <v>45877</v>
      </c>
      <c r="J2962" t="s">
        <v>982</v>
      </c>
    </row>
    <row r="2963" spans="1:10" x14ac:dyDescent="0.35">
      <c r="A2963">
        <v>18936</v>
      </c>
      <c r="B2963" t="s">
        <v>44</v>
      </c>
      <c r="C2963" t="s">
        <v>201</v>
      </c>
      <c r="D2963" t="s">
        <v>92</v>
      </c>
      <c r="E2963" t="s">
        <v>205</v>
      </c>
      <c r="F2963" t="s">
        <v>244</v>
      </c>
      <c r="G2963" s="39">
        <v>46244</v>
      </c>
      <c r="J2963" t="s">
        <v>982</v>
      </c>
    </row>
    <row r="2964" spans="1:10" x14ac:dyDescent="0.35">
      <c r="A2964">
        <v>14612</v>
      </c>
      <c r="B2964" t="s">
        <v>51</v>
      </c>
      <c r="C2964" t="s">
        <v>203</v>
      </c>
      <c r="D2964" t="s">
        <v>92</v>
      </c>
      <c r="E2964" t="s">
        <v>204</v>
      </c>
      <c r="F2964" t="s">
        <v>244</v>
      </c>
      <c r="G2964" s="39">
        <v>44805</v>
      </c>
      <c r="J2964" t="s">
        <v>982</v>
      </c>
    </row>
    <row r="2965" spans="1:10" x14ac:dyDescent="0.35">
      <c r="A2965">
        <v>14046</v>
      </c>
      <c r="B2965" t="s">
        <v>51</v>
      </c>
      <c r="C2965" t="s">
        <v>203</v>
      </c>
      <c r="D2965" t="s">
        <v>92</v>
      </c>
      <c r="E2965" t="s">
        <v>204</v>
      </c>
      <c r="F2965" t="s">
        <v>244</v>
      </c>
      <c r="G2965" s="39">
        <v>44634</v>
      </c>
      <c r="J2965" t="s">
        <v>982</v>
      </c>
    </row>
    <row r="2966" spans="1:10" x14ac:dyDescent="0.35">
      <c r="A2966">
        <v>15228</v>
      </c>
      <c r="B2966" t="s">
        <v>51</v>
      </c>
      <c r="C2966" t="s">
        <v>203</v>
      </c>
      <c r="D2966" t="s">
        <v>92</v>
      </c>
      <c r="E2966" t="s">
        <v>204</v>
      </c>
      <c r="F2966" t="s">
        <v>244</v>
      </c>
      <c r="G2966" s="39">
        <v>44994</v>
      </c>
      <c r="J2966" t="s">
        <v>982</v>
      </c>
    </row>
    <row r="2967" spans="1:10" x14ac:dyDescent="0.35">
      <c r="A2967">
        <v>15223</v>
      </c>
      <c r="B2967" t="s">
        <v>51</v>
      </c>
      <c r="C2967" t="s">
        <v>203</v>
      </c>
      <c r="D2967" t="s">
        <v>92</v>
      </c>
      <c r="E2967" t="s">
        <v>204</v>
      </c>
      <c r="F2967" t="s">
        <v>244</v>
      </c>
      <c r="G2967" s="39">
        <v>44994</v>
      </c>
      <c r="J2967" t="s">
        <v>982</v>
      </c>
    </row>
    <row r="2968" spans="1:10" x14ac:dyDescent="0.35">
      <c r="A2968">
        <v>14097</v>
      </c>
      <c r="B2968" t="s">
        <v>51</v>
      </c>
      <c r="C2968" t="s">
        <v>203</v>
      </c>
      <c r="D2968" t="s">
        <v>92</v>
      </c>
      <c r="E2968" t="s">
        <v>204</v>
      </c>
      <c r="F2968" t="s">
        <v>244</v>
      </c>
      <c r="G2968" s="39">
        <v>44658</v>
      </c>
      <c r="J2968" t="s">
        <v>982</v>
      </c>
    </row>
    <row r="2969" spans="1:10" x14ac:dyDescent="0.35">
      <c r="A2969">
        <v>14047</v>
      </c>
      <c r="B2969" t="s">
        <v>51</v>
      </c>
      <c r="C2969" t="s">
        <v>203</v>
      </c>
      <c r="D2969" t="s">
        <v>92</v>
      </c>
      <c r="E2969" t="s">
        <v>204</v>
      </c>
      <c r="F2969" t="s">
        <v>244</v>
      </c>
      <c r="G2969" s="39">
        <v>44634</v>
      </c>
      <c r="J2969" t="s">
        <v>982</v>
      </c>
    </row>
    <row r="2970" spans="1:10" x14ac:dyDescent="0.35">
      <c r="A2970">
        <v>16144</v>
      </c>
      <c r="B2970" t="s">
        <v>44</v>
      </c>
      <c r="C2970" t="s">
        <v>201</v>
      </c>
      <c r="D2970" t="s">
        <v>92</v>
      </c>
      <c r="E2970" t="s">
        <v>657</v>
      </c>
      <c r="F2970" t="s">
        <v>244</v>
      </c>
      <c r="G2970" s="39">
        <v>45302</v>
      </c>
      <c r="J2970" t="s">
        <v>982</v>
      </c>
    </row>
    <row r="2971" spans="1:10" x14ac:dyDescent="0.35">
      <c r="A2971">
        <v>11700</v>
      </c>
      <c r="B2971" t="s">
        <v>52</v>
      </c>
      <c r="C2971" t="s">
        <v>203</v>
      </c>
      <c r="D2971" t="s">
        <v>92</v>
      </c>
      <c r="E2971" t="s">
        <v>388</v>
      </c>
      <c r="F2971" t="s">
        <v>244</v>
      </c>
      <c r="G2971" s="39">
        <v>43028</v>
      </c>
      <c r="J2971" t="s">
        <v>982</v>
      </c>
    </row>
    <row r="2972" spans="1:10" x14ac:dyDescent="0.35">
      <c r="A2972">
        <v>16453</v>
      </c>
      <c r="B2972" t="s">
        <v>52</v>
      </c>
      <c r="C2972" t="s">
        <v>203</v>
      </c>
      <c r="D2972" t="s">
        <v>92</v>
      </c>
      <c r="E2972" t="s">
        <v>96</v>
      </c>
      <c r="F2972" t="s">
        <v>244</v>
      </c>
      <c r="G2972" s="39">
        <v>45446</v>
      </c>
      <c r="J2972" t="s">
        <v>982</v>
      </c>
    </row>
    <row r="2973" spans="1:10" x14ac:dyDescent="0.35">
      <c r="A2973">
        <v>15491</v>
      </c>
      <c r="B2973" t="s">
        <v>52</v>
      </c>
      <c r="C2973" t="s">
        <v>203</v>
      </c>
      <c r="D2973" t="s">
        <v>92</v>
      </c>
      <c r="E2973" t="s">
        <v>204</v>
      </c>
      <c r="F2973" t="s">
        <v>244</v>
      </c>
      <c r="G2973" s="39">
        <v>45093</v>
      </c>
      <c r="J2973" t="s">
        <v>982</v>
      </c>
    </row>
    <row r="2974" spans="1:10" x14ac:dyDescent="0.35">
      <c r="A2974">
        <v>17639</v>
      </c>
      <c r="B2974" t="s">
        <v>52</v>
      </c>
      <c r="C2974" t="s">
        <v>203</v>
      </c>
      <c r="D2974" t="s">
        <v>92</v>
      </c>
      <c r="E2974" t="s">
        <v>205</v>
      </c>
      <c r="F2974" t="s">
        <v>244</v>
      </c>
      <c r="G2974" s="39">
        <v>45826</v>
      </c>
      <c r="J2974" t="s">
        <v>982</v>
      </c>
    </row>
    <row r="2975" spans="1:10" x14ac:dyDescent="0.35">
      <c r="A2975">
        <v>17527</v>
      </c>
      <c r="B2975" t="s">
        <v>52</v>
      </c>
      <c r="C2975" t="s">
        <v>203</v>
      </c>
      <c r="D2975" t="s">
        <v>92</v>
      </c>
      <c r="E2975" t="s">
        <v>205</v>
      </c>
      <c r="F2975" t="s">
        <v>244</v>
      </c>
      <c r="G2975" s="39">
        <v>45792</v>
      </c>
      <c r="J2975" t="s">
        <v>982</v>
      </c>
    </row>
    <row r="2976" spans="1:10" x14ac:dyDescent="0.35">
      <c r="A2976">
        <v>18482</v>
      </c>
      <c r="B2976" t="s">
        <v>52</v>
      </c>
      <c r="C2976" t="s">
        <v>203</v>
      </c>
      <c r="D2976" t="s">
        <v>92</v>
      </c>
      <c r="E2976" t="s">
        <v>205</v>
      </c>
      <c r="F2976" t="s">
        <v>244</v>
      </c>
      <c r="G2976" s="39">
        <v>46136</v>
      </c>
      <c r="J2976" t="s">
        <v>982</v>
      </c>
    </row>
    <row r="2977" spans="1:10" x14ac:dyDescent="0.35">
      <c r="A2977">
        <v>12957</v>
      </c>
      <c r="B2977" t="s">
        <v>52</v>
      </c>
      <c r="C2977" t="s">
        <v>203</v>
      </c>
      <c r="D2977" t="s">
        <v>92</v>
      </c>
      <c r="E2977" t="s">
        <v>388</v>
      </c>
      <c r="F2977" t="s">
        <v>244</v>
      </c>
      <c r="G2977" s="39">
        <v>44147</v>
      </c>
      <c r="J2977" t="s">
        <v>982</v>
      </c>
    </row>
    <row r="2978" spans="1:10" x14ac:dyDescent="0.35">
      <c r="A2978">
        <v>13061</v>
      </c>
      <c r="B2978" t="s">
        <v>52</v>
      </c>
      <c r="C2978" t="s">
        <v>203</v>
      </c>
      <c r="D2978" t="s">
        <v>92</v>
      </c>
      <c r="E2978" t="s">
        <v>388</v>
      </c>
      <c r="F2978" t="s">
        <v>244</v>
      </c>
      <c r="G2978" s="39">
        <v>44230</v>
      </c>
      <c r="J2978" t="s">
        <v>982</v>
      </c>
    </row>
    <row r="2979" spans="1:10" x14ac:dyDescent="0.35">
      <c r="A2979">
        <v>14295</v>
      </c>
      <c r="B2979" t="s">
        <v>44</v>
      </c>
      <c r="C2979" t="s">
        <v>201</v>
      </c>
      <c r="D2979" t="s">
        <v>92</v>
      </c>
      <c r="E2979" t="s">
        <v>205</v>
      </c>
      <c r="F2979" t="s">
        <v>244</v>
      </c>
      <c r="G2979" s="39">
        <v>44718</v>
      </c>
      <c r="J2979" t="s">
        <v>982</v>
      </c>
    </row>
    <row r="2980" spans="1:10" x14ac:dyDescent="0.35">
      <c r="A2980">
        <v>18238</v>
      </c>
      <c r="B2980" t="s">
        <v>44</v>
      </c>
      <c r="C2980" t="s">
        <v>201</v>
      </c>
      <c r="D2980" t="s">
        <v>92</v>
      </c>
      <c r="E2980" t="s">
        <v>388</v>
      </c>
      <c r="F2980" t="s">
        <v>244</v>
      </c>
      <c r="G2980" s="39">
        <v>46065</v>
      </c>
      <c r="J2980" t="s">
        <v>982</v>
      </c>
    </row>
    <row r="2981" spans="1:10" x14ac:dyDescent="0.35">
      <c r="A2981">
        <v>17000</v>
      </c>
      <c r="B2981" t="s">
        <v>52</v>
      </c>
      <c r="C2981" t="s">
        <v>203</v>
      </c>
      <c r="D2981" t="s">
        <v>92</v>
      </c>
      <c r="E2981" t="s">
        <v>388</v>
      </c>
      <c r="F2981" t="s">
        <v>244</v>
      </c>
      <c r="G2981" s="39">
        <v>45593</v>
      </c>
      <c r="J2981" t="s">
        <v>982</v>
      </c>
    </row>
    <row r="2982" spans="1:10" x14ac:dyDescent="0.35">
      <c r="A2982">
        <v>17367</v>
      </c>
      <c r="B2982" t="s">
        <v>52</v>
      </c>
      <c r="C2982" t="s">
        <v>203</v>
      </c>
      <c r="D2982" t="s">
        <v>92</v>
      </c>
      <c r="E2982" t="s">
        <v>388</v>
      </c>
      <c r="F2982" t="s">
        <v>244</v>
      </c>
      <c r="G2982" s="39">
        <v>45722</v>
      </c>
      <c r="J2982" t="s">
        <v>982</v>
      </c>
    </row>
    <row r="2983" spans="1:10" x14ac:dyDescent="0.35">
      <c r="A2983">
        <v>18217</v>
      </c>
      <c r="B2983" t="s">
        <v>52</v>
      </c>
      <c r="C2983" t="s">
        <v>203</v>
      </c>
      <c r="D2983" t="s">
        <v>92</v>
      </c>
      <c r="E2983" t="s">
        <v>205</v>
      </c>
      <c r="F2983" t="s">
        <v>244</v>
      </c>
      <c r="G2983" s="39">
        <v>46063</v>
      </c>
      <c r="J2983" t="s">
        <v>982</v>
      </c>
    </row>
    <row r="2984" spans="1:10" x14ac:dyDescent="0.35">
      <c r="A2984">
        <v>18468</v>
      </c>
      <c r="B2984" t="s">
        <v>52</v>
      </c>
      <c r="C2984" t="s">
        <v>203</v>
      </c>
      <c r="D2984" t="s">
        <v>92</v>
      </c>
      <c r="E2984" t="s">
        <v>205</v>
      </c>
      <c r="F2984" t="s">
        <v>244</v>
      </c>
      <c r="G2984" s="39">
        <v>46133</v>
      </c>
      <c r="J2984" t="s">
        <v>982</v>
      </c>
    </row>
    <row r="2985" spans="1:10" x14ac:dyDescent="0.35">
      <c r="A2985">
        <v>18493</v>
      </c>
      <c r="B2985" t="s">
        <v>52</v>
      </c>
      <c r="C2985" t="s">
        <v>203</v>
      </c>
      <c r="D2985" t="s">
        <v>92</v>
      </c>
      <c r="E2985" t="s">
        <v>96</v>
      </c>
      <c r="F2985" t="s">
        <v>244</v>
      </c>
      <c r="G2985" s="39">
        <v>46136</v>
      </c>
      <c r="H2985" t="s">
        <v>249</v>
      </c>
      <c r="J2985" t="s">
        <v>982</v>
      </c>
    </row>
    <row r="2986" spans="1:10" x14ac:dyDescent="0.35">
      <c r="A2986">
        <v>16607</v>
      </c>
      <c r="B2986" t="s">
        <v>52</v>
      </c>
      <c r="C2986" t="s">
        <v>203</v>
      </c>
      <c r="D2986" t="s">
        <v>92</v>
      </c>
      <c r="E2986" t="s">
        <v>205</v>
      </c>
      <c r="F2986" t="s">
        <v>244</v>
      </c>
      <c r="G2986" s="39">
        <v>45496</v>
      </c>
      <c r="J2986" t="s">
        <v>982</v>
      </c>
    </row>
    <row r="2987" spans="1:10" x14ac:dyDescent="0.35">
      <c r="A2987">
        <v>17939</v>
      </c>
      <c r="B2987" t="s">
        <v>52</v>
      </c>
      <c r="C2987" t="s">
        <v>203</v>
      </c>
      <c r="D2987" t="s">
        <v>92</v>
      </c>
      <c r="E2987" t="s">
        <v>205</v>
      </c>
      <c r="F2987" t="s">
        <v>244</v>
      </c>
      <c r="G2987" s="39">
        <v>45931</v>
      </c>
      <c r="J2987" t="s">
        <v>982</v>
      </c>
    </row>
    <row r="2988" spans="1:10" x14ac:dyDescent="0.35">
      <c r="A2988">
        <v>18175</v>
      </c>
      <c r="B2988" t="s">
        <v>52</v>
      </c>
      <c r="C2988" t="s">
        <v>203</v>
      </c>
      <c r="D2988" t="s">
        <v>92</v>
      </c>
      <c r="E2988" t="s">
        <v>205</v>
      </c>
      <c r="F2988" t="s">
        <v>244</v>
      </c>
      <c r="G2988" s="39">
        <v>46029</v>
      </c>
      <c r="J2988" t="s">
        <v>982</v>
      </c>
    </row>
    <row r="2989" spans="1:10" x14ac:dyDescent="0.35">
      <c r="A2989">
        <v>17418</v>
      </c>
      <c r="B2989" t="s">
        <v>52</v>
      </c>
      <c r="C2989" t="s">
        <v>203</v>
      </c>
      <c r="D2989" t="s">
        <v>92</v>
      </c>
      <c r="E2989" t="s">
        <v>388</v>
      </c>
      <c r="F2989" t="s">
        <v>244</v>
      </c>
      <c r="G2989" s="39">
        <v>45755</v>
      </c>
      <c r="J2989" t="s">
        <v>982</v>
      </c>
    </row>
    <row r="2990" spans="1:10" x14ac:dyDescent="0.35">
      <c r="A2990">
        <v>18037</v>
      </c>
      <c r="B2990" t="s">
        <v>52</v>
      </c>
      <c r="C2990" t="s">
        <v>203</v>
      </c>
      <c r="D2990" t="s">
        <v>92</v>
      </c>
      <c r="E2990" t="s">
        <v>388</v>
      </c>
      <c r="F2990" t="s">
        <v>244</v>
      </c>
      <c r="G2990" s="39">
        <v>45973</v>
      </c>
      <c r="J2990" t="s">
        <v>982</v>
      </c>
    </row>
    <row r="2991" spans="1:10" x14ac:dyDescent="0.35">
      <c r="A2991">
        <v>11973</v>
      </c>
      <c r="B2991" t="s">
        <v>52</v>
      </c>
      <c r="C2991" t="s">
        <v>203</v>
      </c>
      <c r="D2991" t="s">
        <v>92</v>
      </c>
      <c r="E2991" t="s">
        <v>205</v>
      </c>
      <c r="F2991" t="s">
        <v>244</v>
      </c>
      <c r="G2991" s="39">
        <v>43349</v>
      </c>
      <c r="J2991" t="s">
        <v>982</v>
      </c>
    </row>
    <row r="2992" spans="1:10" x14ac:dyDescent="0.35">
      <c r="A2992">
        <v>17867</v>
      </c>
      <c r="B2992" t="s">
        <v>52</v>
      </c>
      <c r="C2992" t="s">
        <v>203</v>
      </c>
      <c r="D2992" t="s">
        <v>92</v>
      </c>
      <c r="E2992" t="s">
        <v>205</v>
      </c>
      <c r="F2992" t="s">
        <v>244</v>
      </c>
      <c r="G2992" s="39">
        <v>45901</v>
      </c>
      <c r="J2992" t="s">
        <v>982</v>
      </c>
    </row>
    <row r="2993" spans="1:10" x14ac:dyDescent="0.35">
      <c r="A2993">
        <v>17755</v>
      </c>
      <c r="B2993" t="s">
        <v>52</v>
      </c>
      <c r="C2993" t="s">
        <v>203</v>
      </c>
      <c r="D2993" t="s">
        <v>92</v>
      </c>
      <c r="E2993" t="s">
        <v>205</v>
      </c>
      <c r="F2993" t="s">
        <v>244</v>
      </c>
      <c r="G2993" s="39">
        <v>45866</v>
      </c>
      <c r="J2993" t="s">
        <v>982</v>
      </c>
    </row>
    <row r="2994" spans="1:10" x14ac:dyDescent="0.35">
      <c r="A2994">
        <v>17373</v>
      </c>
      <c r="B2994" t="s">
        <v>52</v>
      </c>
      <c r="C2994" t="s">
        <v>203</v>
      </c>
      <c r="D2994" t="s">
        <v>92</v>
      </c>
      <c r="E2994" t="s">
        <v>644</v>
      </c>
      <c r="F2994" t="s">
        <v>244</v>
      </c>
      <c r="G2994" s="39">
        <v>45726</v>
      </c>
      <c r="J2994" t="s">
        <v>982</v>
      </c>
    </row>
    <row r="2995" spans="1:10" x14ac:dyDescent="0.35">
      <c r="A2995">
        <v>17432</v>
      </c>
      <c r="B2995" t="s">
        <v>52</v>
      </c>
      <c r="C2995" t="s">
        <v>203</v>
      </c>
      <c r="D2995" t="s">
        <v>92</v>
      </c>
      <c r="E2995" t="s">
        <v>205</v>
      </c>
      <c r="F2995" t="s">
        <v>244</v>
      </c>
      <c r="G2995" s="39">
        <v>45761</v>
      </c>
      <c r="J2995" t="s">
        <v>982</v>
      </c>
    </row>
    <row r="2996" spans="1:10" x14ac:dyDescent="0.35">
      <c r="A2996">
        <v>12953</v>
      </c>
      <c r="B2996" t="s">
        <v>51</v>
      </c>
      <c r="C2996" t="s">
        <v>203</v>
      </c>
      <c r="D2996" t="s">
        <v>92</v>
      </c>
      <c r="E2996" t="s">
        <v>205</v>
      </c>
      <c r="F2996" t="s">
        <v>244</v>
      </c>
      <c r="G2996" s="39">
        <v>44139</v>
      </c>
      <c r="J2996" t="s">
        <v>982</v>
      </c>
    </row>
    <row r="2997" spans="1:10" x14ac:dyDescent="0.35">
      <c r="A2997">
        <v>12143</v>
      </c>
      <c r="B2997" t="s">
        <v>52</v>
      </c>
      <c r="C2997" t="s">
        <v>203</v>
      </c>
      <c r="D2997" t="s">
        <v>92</v>
      </c>
      <c r="E2997" t="s">
        <v>205</v>
      </c>
      <c r="F2997" t="s">
        <v>244</v>
      </c>
      <c r="G2997" s="39">
        <v>43516</v>
      </c>
      <c r="J2997" t="s">
        <v>982</v>
      </c>
    </row>
    <row r="2998" spans="1:10" x14ac:dyDescent="0.35">
      <c r="A2998">
        <v>16658</v>
      </c>
      <c r="B2998" t="s">
        <v>52</v>
      </c>
      <c r="C2998" t="s">
        <v>203</v>
      </c>
      <c r="D2998" t="s">
        <v>92</v>
      </c>
      <c r="E2998" t="s">
        <v>205</v>
      </c>
      <c r="F2998" t="s">
        <v>244</v>
      </c>
      <c r="G2998" s="39">
        <v>45516</v>
      </c>
      <c r="J2998" t="s">
        <v>982</v>
      </c>
    </row>
    <row r="2999" spans="1:10" x14ac:dyDescent="0.35">
      <c r="A2999">
        <v>14768</v>
      </c>
      <c r="B2999" t="s">
        <v>52</v>
      </c>
      <c r="C2999" t="s">
        <v>203</v>
      </c>
      <c r="D2999" t="s">
        <v>92</v>
      </c>
      <c r="E2999" t="s">
        <v>388</v>
      </c>
      <c r="F2999" t="s">
        <v>244</v>
      </c>
      <c r="G2999" s="39">
        <v>44854</v>
      </c>
      <c r="J2999" t="s">
        <v>982</v>
      </c>
    </row>
    <row r="3000" spans="1:10" x14ac:dyDescent="0.35">
      <c r="A3000">
        <v>17080</v>
      </c>
      <c r="B3000" t="s">
        <v>88</v>
      </c>
      <c r="C3000" t="s">
        <v>92</v>
      </c>
      <c r="D3000" t="s">
        <v>92</v>
      </c>
      <c r="E3000" t="s">
        <v>641</v>
      </c>
      <c r="F3000" t="s">
        <v>244</v>
      </c>
      <c r="G3000" s="39">
        <v>45624</v>
      </c>
      <c r="J3000" t="s">
        <v>982</v>
      </c>
    </row>
    <row r="3001" spans="1:10" x14ac:dyDescent="0.35">
      <c r="A3001">
        <v>18637</v>
      </c>
      <c r="B3001" t="s">
        <v>88</v>
      </c>
      <c r="C3001" t="s">
        <v>92</v>
      </c>
      <c r="D3001" t="s">
        <v>92</v>
      </c>
      <c r="E3001" t="s">
        <v>646</v>
      </c>
      <c r="F3001" t="s">
        <v>244</v>
      </c>
      <c r="G3001" s="39">
        <v>46178</v>
      </c>
      <c r="J3001" t="s">
        <v>982</v>
      </c>
    </row>
    <row r="3002" spans="1:10" x14ac:dyDescent="0.35">
      <c r="A3002">
        <v>18787</v>
      </c>
      <c r="B3002" t="s">
        <v>88</v>
      </c>
      <c r="C3002" t="s">
        <v>92</v>
      </c>
      <c r="D3002" t="s">
        <v>92</v>
      </c>
      <c r="E3002" t="s">
        <v>647</v>
      </c>
      <c r="F3002" t="s">
        <v>244</v>
      </c>
      <c r="G3002" s="39">
        <v>46212</v>
      </c>
      <c r="J3002" t="s">
        <v>982</v>
      </c>
    </row>
    <row r="3003" spans="1:10" x14ac:dyDescent="0.35">
      <c r="A3003">
        <v>13791</v>
      </c>
      <c r="B3003" t="s">
        <v>52</v>
      </c>
      <c r="C3003" t="s">
        <v>203</v>
      </c>
      <c r="D3003" t="s">
        <v>92</v>
      </c>
      <c r="E3003" t="s">
        <v>388</v>
      </c>
      <c r="F3003" t="s">
        <v>244</v>
      </c>
      <c r="G3003" s="39">
        <v>44578</v>
      </c>
      <c r="J3003" t="s">
        <v>982</v>
      </c>
    </row>
    <row r="3004" spans="1:10" x14ac:dyDescent="0.35">
      <c r="A3004">
        <v>18935</v>
      </c>
      <c r="B3004" t="s">
        <v>52</v>
      </c>
      <c r="C3004" t="s">
        <v>203</v>
      </c>
      <c r="D3004" t="s">
        <v>92</v>
      </c>
      <c r="E3004" t="s">
        <v>388</v>
      </c>
      <c r="F3004" t="s">
        <v>244</v>
      </c>
      <c r="G3004" s="39">
        <v>46245</v>
      </c>
      <c r="J3004" t="s">
        <v>982</v>
      </c>
    </row>
    <row r="3005" spans="1:10" x14ac:dyDescent="0.35">
      <c r="A3005">
        <v>17810</v>
      </c>
      <c r="B3005" t="s">
        <v>52</v>
      </c>
      <c r="C3005" t="s">
        <v>203</v>
      </c>
      <c r="D3005" t="s">
        <v>92</v>
      </c>
      <c r="E3005" t="s">
        <v>205</v>
      </c>
      <c r="F3005" t="s">
        <v>244</v>
      </c>
      <c r="G3005" s="39">
        <v>45888</v>
      </c>
      <c r="J3005" t="s">
        <v>982</v>
      </c>
    </row>
    <row r="3006" spans="1:10" x14ac:dyDescent="0.35">
      <c r="A3006">
        <v>17646</v>
      </c>
      <c r="B3006" t="s">
        <v>52</v>
      </c>
      <c r="C3006" t="s">
        <v>203</v>
      </c>
      <c r="D3006" t="s">
        <v>92</v>
      </c>
      <c r="E3006" t="s">
        <v>205</v>
      </c>
      <c r="F3006" t="s">
        <v>244</v>
      </c>
      <c r="G3006" s="39">
        <v>45827</v>
      </c>
      <c r="J3006" t="s">
        <v>982</v>
      </c>
    </row>
    <row r="3007" spans="1:10" x14ac:dyDescent="0.35">
      <c r="A3007">
        <v>13804</v>
      </c>
      <c r="B3007" t="s">
        <v>52</v>
      </c>
      <c r="C3007" t="s">
        <v>203</v>
      </c>
      <c r="D3007" t="s">
        <v>92</v>
      </c>
      <c r="E3007" t="s">
        <v>205</v>
      </c>
      <c r="F3007" t="s">
        <v>244</v>
      </c>
      <c r="G3007" s="39">
        <v>44582</v>
      </c>
      <c r="J3007" t="s">
        <v>982</v>
      </c>
    </row>
    <row r="3008" spans="1:10" x14ac:dyDescent="0.35">
      <c r="A3008">
        <v>14769</v>
      </c>
      <c r="B3008" t="s">
        <v>44</v>
      </c>
      <c r="C3008" t="s">
        <v>201</v>
      </c>
      <c r="D3008" t="s">
        <v>92</v>
      </c>
      <c r="E3008" t="s">
        <v>205</v>
      </c>
      <c r="F3008" t="s">
        <v>244</v>
      </c>
      <c r="G3008" s="39">
        <v>44854</v>
      </c>
      <c r="J3008" t="s">
        <v>982</v>
      </c>
    </row>
    <row r="3009" spans="1:10" x14ac:dyDescent="0.35">
      <c r="A3009">
        <v>17952</v>
      </c>
      <c r="B3009" t="s">
        <v>44</v>
      </c>
      <c r="C3009" t="s">
        <v>201</v>
      </c>
      <c r="D3009" t="s">
        <v>92</v>
      </c>
      <c r="E3009" t="s">
        <v>205</v>
      </c>
      <c r="F3009" t="s">
        <v>244</v>
      </c>
      <c r="G3009" s="39">
        <v>45936</v>
      </c>
      <c r="J3009" t="s">
        <v>982</v>
      </c>
    </row>
    <row r="3010" spans="1:10" x14ac:dyDescent="0.35">
      <c r="A3010">
        <v>14973</v>
      </c>
      <c r="B3010" t="s">
        <v>51</v>
      </c>
      <c r="C3010" t="s">
        <v>203</v>
      </c>
      <c r="D3010" t="s">
        <v>92</v>
      </c>
      <c r="E3010" t="s">
        <v>388</v>
      </c>
      <c r="F3010" t="s">
        <v>244</v>
      </c>
      <c r="G3010" s="39">
        <v>44908</v>
      </c>
      <c r="J3010" t="s">
        <v>982</v>
      </c>
    </row>
    <row r="3011" spans="1:10" x14ac:dyDescent="0.35">
      <c r="A3011">
        <v>16790</v>
      </c>
      <c r="B3011" t="s">
        <v>51</v>
      </c>
      <c r="C3011" t="s">
        <v>203</v>
      </c>
      <c r="D3011" t="s">
        <v>92</v>
      </c>
      <c r="E3011" t="s">
        <v>207</v>
      </c>
      <c r="F3011" t="s">
        <v>244</v>
      </c>
      <c r="G3011" s="39">
        <v>45548</v>
      </c>
      <c r="J3011" t="s">
        <v>982</v>
      </c>
    </row>
    <row r="3012" spans="1:10" x14ac:dyDescent="0.35">
      <c r="A3012">
        <v>16228</v>
      </c>
      <c r="B3012" t="s">
        <v>51</v>
      </c>
      <c r="C3012" t="s">
        <v>203</v>
      </c>
      <c r="D3012" t="s">
        <v>92</v>
      </c>
      <c r="E3012" t="s">
        <v>204</v>
      </c>
      <c r="F3012" t="s">
        <v>244</v>
      </c>
      <c r="G3012" s="39">
        <v>45324</v>
      </c>
      <c r="J3012" t="s">
        <v>982</v>
      </c>
    </row>
    <row r="3013" spans="1:10" x14ac:dyDescent="0.35">
      <c r="A3013">
        <v>12941</v>
      </c>
      <c r="B3013" t="s">
        <v>51</v>
      </c>
      <c r="C3013" t="s">
        <v>203</v>
      </c>
      <c r="D3013" t="s">
        <v>92</v>
      </c>
      <c r="E3013" t="s">
        <v>641</v>
      </c>
      <c r="F3013" t="s">
        <v>244</v>
      </c>
      <c r="G3013" s="39">
        <v>44124</v>
      </c>
      <c r="J3013" t="s">
        <v>982</v>
      </c>
    </row>
    <row r="3014" spans="1:10" x14ac:dyDescent="0.35">
      <c r="A3014">
        <v>16610</v>
      </c>
      <c r="B3014" t="s">
        <v>51</v>
      </c>
      <c r="C3014" t="s">
        <v>203</v>
      </c>
      <c r="D3014" t="s">
        <v>92</v>
      </c>
      <c r="E3014" t="s">
        <v>204</v>
      </c>
      <c r="F3014" t="s">
        <v>244</v>
      </c>
      <c r="G3014" s="39">
        <v>45495</v>
      </c>
      <c r="J3014" t="s">
        <v>982</v>
      </c>
    </row>
    <row r="3015" spans="1:10" x14ac:dyDescent="0.35">
      <c r="A3015">
        <v>17811</v>
      </c>
      <c r="B3015" t="s">
        <v>51</v>
      </c>
      <c r="C3015" t="s">
        <v>203</v>
      </c>
      <c r="D3015" t="s">
        <v>92</v>
      </c>
      <c r="E3015" t="s">
        <v>204</v>
      </c>
      <c r="F3015" t="s">
        <v>244</v>
      </c>
      <c r="G3015" s="39">
        <v>45881</v>
      </c>
      <c r="J3015" t="s">
        <v>982</v>
      </c>
    </row>
    <row r="3016" spans="1:10" x14ac:dyDescent="0.35">
      <c r="A3016">
        <v>17865</v>
      </c>
      <c r="B3016" t="s">
        <v>51</v>
      </c>
      <c r="C3016" t="s">
        <v>203</v>
      </c>
      <c r="D3016" t="s">
        <v>92</v>
      </c>
      <c r="E3016" t="s">
        <v>204</v>
      </c>
      <c r="F3016" t="s">
        <v>244</v>
      </c>
      <c r="G3016" s="39">
        <v>45896</v>
      </c>
      <c r="J3016" t="s">
        <v>982</v>
      </c>
    </row>
    <row r="3017" spans="1:10" x14ac:dyDescent="0.35">
      <c r="A3017">
        <v>16618</v>
      </c>
      <c r="B3017" t="s">
        <v>51</v>
      </c>
      <c r="C3017" t="s">
        <v>203</v>
      </c>
      <c r="D3017" t="s">
        <v>92</v>
      </c>
      <c r="E3017" t="s">
        <v>204</v>
      </c>
      <c r="F3017" t="s">
        <v>244</v>
      </c>
      <c r="G3017" s="39">
        <v>45497</v>
      </c>
      <c r="J3017" t="s">
        <v>982</v>
      </c>
    </row>
    <row r="3018" spans="1:10" x14ac:dyDescent="0.35">
      <c r="A3018">
        <v>13204</v>
      </c>
      <c r="B3018" t="s">
        <v>52</v>
      </c>
      <c r="C3018" t="s">
        <v>203</v>
      </c>
      <c r="D3018" t="s">
        <v>92</v>
      </c>
      <c r="E3018" t="s">
        <v>204</v>
      </c>
      <c r="F3018" t="s">
        <v>244</v>
      </c>
      <c r="G3018" s="39">
        <v>44321</v>
      </c>
      <c r="J3018" t="s">
        <v>982</v>
      </c>
    </row>
    <row r="3019" spans="1:10" x14ac:dyDescent="0.35">
      <c r="A3019">
        <v>13205</v>
      </c>
      <c r="B3019" t="s">
        <v>51</v>
      </c>
      <c r="C3019" t="s">
        <v>203</v>
      </c>
      <c r="D3019" t="s">
        <v>92</v>
      </c>
      <c r="E3019" t="s">
        <v>204</v>
      </c>
      <c r="F3019" t="s">
        <v>244</v>
      </c>
      <c r="G3019" s="39">
        <v>44321</v>
      </c>
      <c r="J3019" t="s">
        <v>982</v>
      </c>
    </row>
    <row r="3020" spans="1:10" x14ac:dyDescent="0.35">
      <c r="A3020">
        <v>15958</v>
      </c>
      <c r="B3020" t="s">
        <v>51</v>
      </c>
      <c r="C3020" t="s">
        <v>203</v>
      </c>
      <c r="D3020" t="s">
        <v>92</v>
      </c>
      <c r="E3020" t="s">
        <v>204</v>
      </c>
      <c r="F3020" t="s">
        <v>244</v>
      </c>
      <c r="G3020" s="39">
        <v>45251</v>
      </c>
      <c r="J3020" t="s">
        <v>982</v>
      </c>
    </row>
    <row r="3021" spans="1:10" x14ac:dyDescent="0.35">
      <c r="A3021">
        <v>12340</v>
      </c>
      <c r="B3021" t="s">
        <v>51</v>
      </c>
      <c r="C3021" t="s">
        <v>203</v>
      </c>
      <c r="D3021" t="s">
        <v>92</v>
      </c>
      <c r="E3021" t="s">
        <v>641</v>
      </c>
      <c r="F3021" t="s">
        <v>244</v>
      </c>
      <c r="G3021" s="39">
        <v>43692</v>
      </c>
      <c r="J3021" t="s">
        <v>982</v>
      </c>
    </row>
    <row r="3022" spans="1:10" x14ac:dyDescent="0.35">
      <c r="A3022">
        <v>12578</v>
      </c>
      <c r="B3022" t="s">
        <v>51</v>
      </c>
      <c r="C3022" t="s">
        <v>203</v>
      </c>
      <c r="D3022" t="s">
        <v>92</v>
      </c>
      <c r="E3022" t="s">
        <v>205</v>
      </c>
      <c r="F3022" t="s">
        <v>244</v>
      </c>
      <c r="G3022" s="39">
        <v>43816</v>
      </c>
      <c r="J3022" t="s">
        <v>982</v>
      </c>
    </row>
    <row r="3023" spans="1:10" x14ac:dyDescent="0.35">
      <c r="A3023">
        <v>17954</v>
      </c>
      <c r="B3023" t="s">
        <v>51</v>
      </c>
      <c r="C3023" t="s">
        <v>203</v>
      </c>
      <c r="D3023" t="s">
        <v>92</v>
      </c>
      <c r="E3023" t="s">
        <v>205</v>
      </c>
      <c r="F3023" t="s">
        <v>244</v>
      </c>
      <c r="G3023" s="39">
        <v>45936</v>
      </c>
      <c r="J3023" t="s">
        <v>982</v>
      </c>
    </row>
    <row r="3024" spans="1:10" x14ac:dyDescent="0.35">
      <c r="A3024">
        <v>17530</v>
      </c>
      <c r="B3024" t="s">
        <v>51</v>
      </c>
      <c r="C3024" t="s">
        <v>203</v>
      </c>
      <c r="D3024" t="s">
        <v>92</v>
      </c>
      <c r="E3024" t="s">
        <v>205</v>
      </c>
      <c r="F3024" t="s">
        <v>244</v>
      </c>
      <c r="G3024" s="39">
        <v>45789</v>
      </c>
      <c r="J3024" t="s">
        <v>982</v>
      </c>
    </row>
    <row r="3025" spans="1:10" x14ac:dyDescent="0.35">
      <c r="A3025">
        <v>17883</v>
      </c>
      <c r="B3025" t="s">
        <v>51</v>
      </c>
      <c r="C3025" t="s">
        <v>203</v>
      </c>
      <c r="D3025" t="s">
        <v>92</v>
      </c>
      <c r="E3025" t="s">
        <v>205</v>
      </c>
      <c r="F3025" t="s">
        <v>244</v>
      </c>
      <c r="G3025" s="39">
        <v>45912</v>
      </c>
      <c r="J3025" t="s">
        <v>982</v>
      </c>
    </row>
    <row r="3026" spans="1:10" x14ac:dyDescent="0.35">
      <c r="A3026">
        <v>15682</v>
      </c>
      <c r="B3026" t="s">
        <v>51</v>
      </c>
      <c r="C3026" t="s">
        <v>203</v>
      </c>
      <c r="D3026" t="s">
        <v>92</v>
      </c>
      <c r="E3026" t="s">
        <v>644</v>
      </c>
      <c r="F3026" t="s">
        <v>244</v>
      </c>
      <c r="G3026" s="39">
        <v>45163</v>
      </c>
      <c r="J3026" t="s">
        <v>982</v>
      </c>
    </row>
    <row r="3027" spans="1:10" x14ac:dyDescent="0.35">
      <c r="A3027">
        <v>13054</v>
      </c>
      <c r="B3027" t="s">
        <v>52</v>
      </c>
      <c r="C3027" t="s">
        <v>203</v>
      </c>
      <c r="D3027" t="s">
        <v>92</v>
      </c>
      <c r="E3027" t="s">
        <v>388</v>
      </c>
      <c r="F3027" t="s">
        <v>244</v>
      </c>
      <c r="G3027" s="39">
        <v>44229</v>
      </c>
      <c r="J3027" t="s">
        <v>982</v>
      </c>
    </row>
    <row r="3028" spans="1:10" x14ac:dyDescent="0.35">
      <c r="A3028">
        <v>16242</v>
      </c>
      <c r="B3028" t="s">
        <v>51</v>
      </c>
      <c r="C3028" t="s">
        <v>203</v>
      </c>
      <c r="D3028" t="s">
        <v>92</v>
      </c>
      <c r="E3028" t="s">
        <v>205</v>
      </c>
      <c r="F3028" t="s">
        <v>244</v>
      </c>
      <c r="G3028" s="39">
        <v>45335</v>
      </c>
      <c r="J3028" t="s">
        <v>982</v>
      </c>
    </row>
    <row r="3029" spans="1:10" x14ac:dyDescent="0.35">
      <c r="A3029">
        <v>15486</v>
      </c>
      <c r="B3029" t="s">
        <v>51</v>
      </c>
      <c r="C3029" t="s">
        <v>203</v>
      </c>
      <c r="D3029" t="s">
        <v>92</v>
      </c>
      <c r="E3029" t="s">
        <v>205</v>
      </c>
      <c r="F3029" t="s">
        <v>244</v>
      </c>
      <c r="G3029" s="39">
        <v>45089</v>
      </c>
      <c r="J3029" t="s">
        <v>982</v>
      </c>
    </row>
    <row r="3030" spans="1:10" x14ac:dyDescent="0.35">
      <c r="A3030">
        <v>16549</v>
      </c>
      <c r="B3030" t="s">
        <v>51</v>
      </c>
      <c r="C3030" t="s">
        <v>203</v>
      </c>
      <c r="D3030" t="s">
        <v>92</v>
      </c>
      <c r="E3030" t="s">
        <v>205</v>
      </c>
      <c r="F3030" t="s">
        <v>244</v>
      </c>
      <c r="G3030" s="39">
        <v>45482</v>
      </c>
      <c r="J3030" t="s">
        <v>982</v>
      </c>
    </row>
    <row r="3031" spans="1:10" x14ac:dyDescent="0.35">
      <c r="A3031">
        <v>14347</v>
      </c>
      <c r="B3031" t="s">
        <v>51</v>
      </c>
      <c r="C3031" t="s">
        <v>203</v>
      </c>
      <c r="D3031" t="s">
        <v>92</v>
      </c>
      <c r="E3031" t="s">
        <v>205</v>
      </c>
      <c r="F3031" t="s">
        <v>244</v>
      </c>
      <c r="G3031" s="39">
        <v>44740</v>
      </c>
      <c r="J3031" t="s">
        <v>982</v>
      </c>
    </row>
    <row r="3032" spans="1:10" x14ac:dyDescent="0.35">
      <c r="A3032">
        <v>12650</v>
      </c>
      <c r="B3032" t="s">
        <v>51</v>
      </c>
      <c r="C3032" t="s">
        <v>203</v>
      </c>
      <c r="D3032" t="s">
        <v>92</v>
      </c>
      <c r="E3032" t="s">
        <v>205</v>
      </c>
      <c r="F3032" t="s">
        <v>244</v>
      </c>
      <c r="G3032" s="39">
        <v>43853</v>
      </c>
      <c r="J3032" t="s">
        <v>982</v>
      </c>
    </row>
    <row r="3033" spans="1:10" x14ac:dyDescent="0.35">
      <c r="A3033">
        <v>13473</v>
      </c>
      <c r="B3033" t="s">
        <v>51</v>
      </c>
      <c r="C3033" t="s">
        <v>203</v>
      </c>
      <c r="D3033" t="s">
        <v>92</v>
      </c>
      <c r="E3033" t="s">
        <v>205</v>
      </c>
      <c r="F3033" t="s">
        <v>244</v>
      </c>
      <c r="G3033" s="39">
        <v>44473</v>
      </c>
      <c r="J3033" t="s">
        <v>982</v>
      </c>
    </row>
    <row r="3034" spans="1:10" x14ac:dyDescent="0.35">
      <c r="A3034">
        <v>16529</v>
      </c>
      <c r="B3034" t="s">
        <v>51</v>
      </c>
      <c r="C3034" t="s">
        <v>203</v>
      </c>
      <c r="D3034" t="s">
        <v>92</v>
      </c>
      <c r="E3034" t="s">
        <v>205</v>
      </c>
      <c r="F3034" t="s">
        <v>244</v>
      </c>
      <c r="G3034" s="39">
        <v>45446</v>
      </c>
      <c r="J3034" t="s">
        <v>982</v>
      </c>
    </row>
    <row r="3035" spans="1:10" x14ac:dyDescent="0.35">
      <c r="A3035">
        <v>16477</v>
      </c>
      <c r="B3035" t="s">
        <v>51</v>
      </c>
      <c r="C3035" t="s">
        <v>203</v>
      </c>
      <c r="D3035" t="s">
        <v>92</v>
      </c>
      <c r="E3035" t="s">
        <v>205</v>
      </c>
      <c r="F3035" t="s">
        <v>244</v>
      </c>
      <c r="G3035" s="39">
        <v>45426</v>
      </c>
      <c r="J3035" t="s">
        <v>982</v>
      </c>
    </row>
    <row r="3036" spans="1:10" x14ac:dyDescent="0.35">
      <c r="A3036">
        <v>16796</v>
      </c>
      <c r="B3036" t="s">
        <v>51</v>
      </c>
      <c r="C3036" t="s">
        <v>203</v>
      </c>
      <c r="D3036" t="s">
        <v>92</v>
      </c>
      <c r="E3036" t="s">
        <v>388</v>
      </c>
      <c r="F3036" t="s">
        <v>244</v>
      </c>
      <c r="G3036" s="39">
        <v>45558</v>
      </c>
      <c r="J3036" t="s">
        <v>982</v>
      </c>
    </row>
    <row r="3037" spans="1:10" x14ac:dyDescent="0.35">
      <c r="A3037">
        <v>11699</v>
      </c>
      <c r="B3037" t="s">
        <v>52</v>
      </c>
      <c r="C3037" t="s">
        <v>203</v>
      </c>
      <c r="D3037" t="s">
        <v>92</v>
      </c>
      <c r="E3037" t="s">
        <v>205</v>
      </c>
      <c r="F3037" t="s">
        <v>244</v>
      </c>
      <c r="G3037" s="39">
        <v>43028</v>
      </c>
      <c r="J3037" t="s">
        <v>982</v>
      </c>
    </row>
    <row r="3038" spans="1:10" x14ac:dyDescent="0.35">
      <c r="A3038">
        <v>18720</v>
      </c>
      <c r="B3038" t="s">
        <v>52</v>
      </c>
      <c r="C3038" t="s">
        <v>203</v>
      </c>
      <c r="D3038" t="s">
        <v>92</v>
      </c>
      <c r="E3038" t="s">
        <v>205</v>
      </c>
      <c r="F3038" t="s">
        <v>244</v>
      </c>
      <c r="G3038" s="39">
        <v>46192</v>
      </c>
      <c r="H3038" t="s">
        <v>249</v>
      </c>
      <c r="J3038" t="s">
        <v>982</v>
      </c>
    </row>
    <row r="3039" spans="1:10" x14ac:dyDescent="0.35">
      <c r="A3039">
        <v>17756</v>
      </c>
      <c r="B3039" t="s">
        <v>51</v>
      </c>
      <c r="C3039" t="s">
        <v>203</v>
      </c>
      <c r="D3039" t="s">
        <v>92</v>
      </c>
      <c r="E3039" t="s">
        <v>205</v>
      </c>
      <c r="F3039" t="s">
        <v>244</v>
      </c>
      <c r="G3039" s="39">
        <v>45866</v>
      </c>
      <c r="J3039" t="s">
        <v>982</v>
      </c>
    </row>
    <row r="3040" spans="1:10" x14ac:dyDescent="0.35">
      <c r="A3040">
        <v>17051</v>
      </c>
      <c r="B3040" t="s">
        <v>51</v>
      </c>
      <c r="C3040" t="s">
        <v>203</v>
      </c>
      <c r="D3040" t="s">
        <v>92</v>
      </c>
      <c r="E3040" t="s">
        <v>205</v>
      </c>
      <c r="F3040" t="s">
        <v>244</v>
      </c>
      <c r="G3040" s="39">
        <v>45602</v>
      </c>
      <c r="J3040" t="s">
        <v>982</v>
      </c>
    </row>
    <row r="3041" spans="1:10" x14ac:dyDescent="0.35">
      <c r="A3041">
        <v>17457</v>
      </c>
      <c r="B3041" t="s">
        <v>52</v>
      </c>
      <c r="C3041" t="s">
        <v>203</v>
      </c>
      <c r="D3041" t="s">
        <v>92</v>
      </c>
      <c r="E3041" t="s">
        <v>205</v>
      </c>
      <c r="F3041" t="s">
        <v>244</v>
      </c>
      <c r="G3041" s="39">
        <v>45756</v>
      </c>
      <c r="J3041" t="s">
        <v>982</v>
      </c>
    </row>
    <row r="3042" spans="1:10" x14ac:dyDescent="0.35">
      <c r="A3042">
        <v>17463</v>
      </c>
      <c r="B3042" t="s">
        <v>51</v>
      </c>
      <c r="C3042" t="s">
        <v>203</v>
      </c>
      <c r="D3042" t="s">
        <v>92</v>
      </c>
      <c r="E3042" t="s">
        <v>205</v>
      </c>
      <c r="F3042" t="s">
        <v>244</v>
      </c>
      <c r="G3042" s="39">
        <v>45768</v>
      </c>
      <c r="J3042" t="s">
        <v>982</v>
      </c>
    </row>
    <row r="3043" spans="1:10" x14ac:dyDescent="0.35">
      <c r="A3043">
        <v>14863</v>
      </c>
      <c r="B3043" t="s">
        <v>51</v>
      </c>
      <c r="C3043" t="s">
        <v>203</v>
      </c>
      <c r="D3043" t="s">
        <v>92</v>
      </c>
      <c r="E3043" t="s">
        <v>205</v>
      </c>
      <c r="F3043" t="s">
        <v>244</v>
      </c>
      <c r="G3043" s="39">
        <v>44882</v>
      </c>
      <c r="J3043" t="s">
        <v>982</v>
      </c>
    </row>
    <row r="3044" spans="1:10" x14ac:dyDescent="0.35">
      <c r="A3044">
        <v>18352</v>
      </c>
      <c r="B3044" t="s">
        <v>51</v>
      </c>
      <c r="C3044" t="s">
        <v>203</v>
      </c>
      <c r="D3044" t="s">
        <v>92</v>
      </c>
      <c r="E3044" t="s">
        <v>205</v>
      </c>
      <c r="F3044" t="s">
        <v>244</v>
      </c>
      <c r="G3044" s="39">
        <v>46114</v>
      </c>
      <c r="J3044" t="s">
        <v>982</v>
      </c>
    </row>
    <row r="3045" spans="1:10" x14ac:dyDescent="0.35">
      <c r="A3045">
        <v>16735</v>
      </c>
      <c r="B3045" t="s">
        <v>51</v>
      </c>
      <c r="C3045" t="s">
        <v>203</v>
      </c>
      <c r="D3045" t="s">
        <v>92</v>
      </c>
      <c r="E3045" t="s">
        <v>205</v>
      </c>
      <c r="F3045" t="s">
        <v>244</v>
      </c>
      <c r="G3045" s="39">
        <v>45537</v>
      </c>
      <c r="J3045" t="s">
        <v>982</v>
      </c>
    </row>
    <row r="3046" spans="1:10" x14ac:dyDescent="0.35">
      <c r="A3046">
        <v>15685</v>
      </c>
      <c r="B3046" t="s">
        <v>51</v>
      </c>
      <c r="C3046" t="s">
        <v>203</v>
      </c>
      <c r="D3046" t="s">
        <v>92</v>
      </c>
      <c r="E3046" t="s">
        <v>205</v>
      </c>
      <c r="F3046" t="s">
        <v>244</v>
      </c>
      <c r="G3046" s="39">
        <v>45163</v>
      </c>
      <c r="J3046" t="s">
        <v>982</v>
      </c>
    </row>
    <row r="3047" spans="1:10" x14ac:dyDescent="0.35">
      <c r="A3047">
        <v>12341</v>
      </c>
      <c r="B3047" t="s">
        <v>51</v>
      </c>
      <c r="C3047" t="s">
        <v>203</v>
      </c>
      <c r="D3047" t="s">
        <v>92</v>
      </c>
      <c r="E3047" t="s">
        <v>641</v>
      </c>
      <c r="F3047" t="s">
        <v>244</v>
      </c>
      <c r="G3047" s="39">
        <v>43692</v>
      </c>
      <c r="J3047" t="s">
        <v>982</v>
      </c>
    </row>
    <row r="3048" spans="1:10" x14ac:dyDescent="0.35">
      <c r="A3048">
        <v>16154</v>
      </c>
      <c r="B3048" t="s">
        <v>51</v>
      </c>
      <c r="C3048" t="s">
        <v>203</v>
      </c>
      <c r="D3048" t="s">
        <v>92</v>
      </c>
      <c r="E3048" t="s">
        <v>205</v>
      </c>
      <c r="F3048" t="s">
        <v>244</v>
      </c>
      <c r="G3048" s="39">
        <v>45306</v>
      </c>
      <c r="J3048" t="s">
        <v>982</v>
      </c>
    </row>
    <row r="3049" spans="1:10" x14ac:dyDescent="0.35">
      <c r="A3049">
        <v>18147</v>
      </c>
      <c r="B3049" t="s">
        <v>51</v>
      </c>
      <c r="C3049" t="s">
        <v>203</v>
      </c>
      <c r="D3049" t="s">
        <v>92</v>
      </c>
      <c r="E3049" t="s">
        <v>205</v>
      </c>
      <c r="F3049" t="s">
        <v>244</v>
      </c>
      <c r="G3049" s="39">
        <v>46014</v>
      </c>
      <c r="J3049" t="s">
        <v>982</v>
      </c>
    </row>
    <row r="3050" spans="1:10" x14ac:dyDescent="0.35">
      <c r="A3050">
        <v>17683</v>
      </c>
      <c r="B3050" t="s">
        <v>51</v>
      </c>
      <c r="C3050" t="s">
        <v>203</v>
      </c>
      <c r="D3050" t="s">
        <v>92</v>
      </c>
      <c r="E3050" t="s">
        <v>205</v>
      </c>
      <c r="F3050" t="s">
        <v>244</v>
      </c>
      <c r="G3050" s="39">
        <v>45845</v>
      </c>
      <c r="J3050" t="s">
        <v>982</v>
      </c>
    </row>
    <row r="3051" spans="1:10" x14ac:dyDescent="0.35">
      <c r="A3051">
        <v>17409</v>
      </c>
      <c r="B3051" t="s">
        <v>51</v>
      </c>
      <c r="C3051" t="s">
        <v>203</v>
      </c>
      <c r="D3051" t="s">
        <v>92</v>
      </c>
      <c r="E3051" t="s">
        <v>205</v>
      </c>
      <c r="F3051" t="s">
        <v>244</v>
      </c>
      <c r="G3051" s="39">
        <v>45733</v>
      </c>
      <c r="J3051" t="s">
        <v>982</v>
      </c>
    </row>
    <row r="3052" spans="1:10" x14ac:dyDescent="0.35">
      <c r="A3052">
        <v>17211</v>
      </c>
      <c r="B3052" t="s">
        <v>51</v>
      </c>
      <c r="C3052" t="s">
        <v>203</v>
      </c>
      <c r="D3052" t="s">
        <v>92</v>
      </c>
      <c r="E3052" t="s">
        <v>205</v>
      </c>
      <c r="F3052" t="s">
        <v>244</v>
      </c>
      <c r="G3052" s="39">
        <v>45664</v>
      </c>
      <c r="J3052" t="s">
        <v>982</v>
      </c>
    </row>
    <row r="3053" spans="1:10" x14ac:dyDescent="0.35">
      <c r="A3053">
        <v>16136</v>
      </c>
      <c r="B3053" t="s">
        <v>51</v>
      </c>
      <c r="C3053" t="s">
        <v>203</v>
      </c>
      <c r="D3053" t="s">
        <v>92</v>
      </c>
      <c r="E3053" t="s">
        <v>205</v>
      </c>
      <c r="F3053" t="s">
        <v>244</v>
      </c>
      <c r="G3053" s="39">
        <v>45300</v>
      </c>
      <c r="J3053" t="s">
        <v>982</v>
      </c>
    </row>
    <row r="3054" spans="1:10" x14ac:dyDescent="0.35">
      <c r="A3054">
        <v>18758</v>
      </c>
      <c r="B3054" t="s">
        <v>51</v>
      </c>
      <c r="C3054" t="s">
        <v>203</v>
      </c>
      <c r="D3054" t="s">
        <v>92</v>
      </c>
      <c r="E3054" t="s">
        <v>205</v>
      </c>
      <c r="F3054" t="s">
        <v>244</v>
      </c>
      <c r="G3054" s="39">
        <v>46206</v>
      </c>
      <c r="J3054" t="s">
        <v>982</v>
      </c>
    </row>
    <row r="3055" spans="1:10" x14ac:dyDescent="0.35">
      <c r="A3055">
        <v>14824</v>
      </c>
      <c r="B3055" t="s">
        <v>51</v>
      </c>
      <c r="C3055" t="s">
        <v>203</v>
      </c>
      <c r="D3055" t="s">
        <v>92</v>
      </c>
      <c r="E3055" t="s">
        <v>644</v>
      </c>
      <c r="F3055" t="s">
        <v>244</v>
      </c>
      <c r="G3055" s="39">
        <v>44868</v>
      </c>
      <c r="J3055" t="s">
        <v>982</v>
      </c>
    </row>
    <row r="3056" spans="1:10" x14ac:dyDescent="0.35">
      <c r="A3056">
        <v>15766</v>
      </c>
      <c r="B3056" t="s">
        <v>51</v>
      </c>
      <c r="C3056" t="s">
        <v>203</v>
      </c>
      <c r="D3056" t="s">
        <v>92</v>
      </c>
      <c r="E3056" t="s">
        <v>205</v>
      </c>
      <c r="F3056" t="s">
        <v>244</v>
      </c>
      <c r="G3056" s="39">
        <v>45191</v>
      </c>
      <c r="J3056" t="s">
        <v>982</v>
      </c>
    </row>
    <row r="3057" spans="1:10" x14ac:dyDescent="0.35">
      <c r="A3057">
        <v>12954</v>
      </c>
      <c r="B3057" t="s">
        <v>51</v>
      </c>
      <c r="C3057" t="s">
        <v>203</v>
      </c>
      <c r="D3057" t="s">
        <v>92</v>
      </c>
      <c r="E3057" t="s">
        <v>205</v>
      </c>
      <c r="F3057" t="s">
        <v>411</v>
      </c>
      <c r="G3057" s="39">
        <v>44139</v>
      </c>
      <c r="J3057" t="s">
        <v>982</v>
      </c>
    </row>
    <row r="3058" spans="1:10" x14ac:dyDescent="0.35">
      <c r="A3058">
        <v>14202</v>
      </c>
      <c r="B3058" t="s">
        <v>51</v>
      </c>
      <c r="C3058" t="s">
        <v>203</v>
      </c>
      <c r="D3058" t="s">
        <v>92</v>
      </c>
      <c r="E3058" t="s">
        <v>641</v>
      </c>
      <c r="F3058" t="s">
        <v>244</v>
      </c>
      <c r="G3058" s="39">
        <v>44694</v>
      </c>
      <c r="J3058" t="s">
        <v>982</v>
      </c>
    </row>
    <row r="3059" spans="1:10" x14ac:dyDescent="0.35">
      <c r="A3059">
        <v>15889</v>
      </c>
      <c r="B3059" t="s">
        <v>51</v>
      </c>
      <c r="C3059" t="s">
        <v>203</v>
      </c>
      <c r="D3059" t="s">
        <v>92</v>
      </c>
      <c r="E3059" t="s">
        <v>207</v>
      </c>
      <c r="F3059" t="s">
        <v>244</v>
      </c>
      <c r="G3059" s="39">
        <v>45233</v>
      </c>
      <c r="J3059" t="s">
        <v>982</v>
      </c>
    </row>
    <row r="3060" spans="1:10" x14ac:dyDescent="0.35">
      <c r="A3060">
        <v>17874</v>
      </c>
      <c r="B3060" t="s">
        <v>51</v>
      </c>
      <c r="C3060" t="s">
        <v>203</v>
      </c>
      <c r="D3060" t="s">
        <v>92</v>
      </c>
      <c r="E3060" t="s">
        <v>207</v>
      </c>
      <c r="F3060" t="s">
        <v>244</v>
      </c>
      <c r="G3060" s="39">
        <v>45901</v>
      </c>
      <c r="J3060" t="s">
        <v>982</v>
      </c>
    </row>
    <row r="3061" spans="1:10" x14ac:dyDescent="0.35">
      <c r="A3061">
        <v>17537</v>
      </c>
      <c r="B3061" t="s">
        <v>52</v>
      </c>
      <c r="C3061" t="s">
        <v>203</v>
      </c>
      <c r="D3061" t="s">
        <v>92</v>
      </c>
      <c r="E3061" t="s">
        <v>207</v>
      </c>
      <c r="F3061" t="s">
        <v>244</v>
      </c>
      <c r="G3061" s="39">
        <v>45783</v>
      </c>
      <c r="J3061" t="s">
        <v>982</v>
      </c>
    </row>
    <row r="3062" spans="1:10" x14ac:dyDescent="0.35">
      <c r="A3062">
        <v>18717</v>
      </c>
      <c r="B3062" t="s">
        <v>52</v>
      </c>
      <c r="C3062" t="s">
        <v>203</v>
      </c>
      <c r="D3062" t="s">
        <v>92</v>
      </c>
      <c r="E3062" t="s">
        <v>207</v>
      </c>
      <c r="F3062" t="s">
        <v>244</v>
      </c>
      <c r="G3062" s="39">
        <v>46192</v>
      </c>
      <c r="H3062" t="s">
        <v>249</v>
      </c>
      <c r="J3062" t="s">
        <v>982</v>
      </c>
    </row>
    <row r="3063" spans="1:10" x14ac:dyDescent="0.35">
      <c r="A3063">
        <v>18820</v>
      </c>
      <c r="B3063" t="s">
        <v>52</v>
      </c>
      <c r="C3063" t="s">
        <v>203</v>
      </c>
      <c r="D3063" t="s">
        <v>92</v>
      </c>
      <c r="E3063" t="s">
        <v>207</v>
      </c>
      <c r="F3063" t="s">
        <v>244</v>
      </c>
      <c r="G3063" s="39">
        <v>46213</v>
      </c>
      <c r="H3063" t="s">
        <v>249</v>
      </c>
      <c r="J3063" t="s">
        <v>982</v>
      </c>
    </row>
    <row r="3064" spans="1:10" x14ac:dyDescent="0.35">
      <c r="A3064">
        <v>17448</v>
      </c>
      <c r="B3064" t="s">
        <v>51</v>
      </c>
      <c r="C3064" t="s">
        <v>203</v>
      </c>
      <c r="D3064" t="s">
        <v>92</v>
      </c>
      <c r="E3064" t="s">
        <v>207</v>
      </c>
      <c r="F3064" t="s">
        <v>244</v>
      </c>
      <c r="G3064" s="39">
        <v>45754</v>
      </c>
      <c r="J3064" t="s">
        <v>982</v>
      </c>
    </row>
    <row r="3065" spans="1:10" x14ac:dyDescent="0.35">
      <c r="A3065">
        <v>17379</v>
      </c>
      <c r="B3065" t="s">
        <v>51</v>
      </c>
      <c r="C3065" t="s">
        <v>203</v>
      </c>
      <c r="D3065" t="s">
        <v>92</v>
      </c>
      <c r="E3065" t="s">
        <v>207</v>
      </c>
      <c r="F3065" t="s">
        <v>244</v>
      </c>
      <c r="G3065" s="39">
        <v>45727</v>
      </c>
      <c r="J3065" t="s">
        <v>982</v>
      </c>
    </row>
    <row r="3066" spans="1:10" x14ac:dyDescent="0.35">
      <c r="A3066">
        <v>17172</v>
      </c>
      <c r="B3066" t="s">
        <v>51</v>
      </c>
      <c r="C3066" t="s">
        <v>203</v>
      </c>
      <c r="D3066" t="s">
        <v>92</v>
      </c>
      <c r="E3066" t="s">
        <v>207</v>
      </c>
      <c r="F3066" t="s">
        <v>244</v>
      </c>
      <c r="G3066" s="39">
        <v>45653</v>
      </c>
      <c r="J3066" t="s">
        <v>982</v>
      </c>
    </row>
    <row r="3067" spans="1:10" x14ac:dyDescent="0.35">
      <c r="A3067">
        <v>13535</v>
      </c>
      <c r="B3067" t="s">
        <v>51</v>
      </c>
      <c r="C3067" t="s">
        <v>203</v>
      </c>
      <c r="D3067" t="s">
        <v>92</v>
      </c>
      <c r="E3067" t="s">
        <v>207</v>
      </c>
      <c r="F3067" t="s">
        <v>244</v>
      </c>
      <c r="G3067" s="39">
        <v>44489</v>
      </c>
      <c r="J3067" t="s">
        <v>982</v>
      </c>
    </row>
    <row r="3068" spans="1:10" x14ac:dyDescent="0.35">
      <c r="A3068">
        <v>12715</v>
      </c>
      <c r="B3068" t="s">
        <v>51</v>
      </c>
      <c r="C3068" t="s">
        <v>203</v>
      </c>
      <c r="D3068" t="s">
        <v>92</v>
      </c>
      <c r="E3068" t="s">
        <v>207</v>
      </c>
      <c r="F3068" t="s">
        <v>244</v>
      </c>
      <c r="G3068" s="39">
        <v>43875</v>
      </c>
      <c r="J3068" t="s">
        <v>982</v>
      </c>
    </row>
    <row r="3069" spans="1:10" x14ac:dyDescent="0.35">
      <c r="A3069">
        <v>16029</v>
      </c>
      <c r="B3069" t="s">
        <v>51</v>
      </c>
      <c r="C3069" t="s">
        <v>203</v>
      </c>
      <c r="D3069" t="s">
        <v>92</v>
      </c>
      <c r="E3069" t="s">
        <v>207</v>
      </c>
      <c r="F3069" t="s">
        <v>244</v>
      </c>
      <c r="G3069" s="39">
        <v>45267</v>
      </c>
      <c r="J3069" t="s">
        <v>982</v>
      </c>
    </row>
    <row r="3070" spans="1:10" x14ac:dyDescent="0.35">
      <c r="A3070">
        <v>16199</v>
      </c>
      <c r="B3070" t="s">
        <v>52</v>
      </c>
      <c r="C3070" t="s">
        <v>203</v>
      </c>
      <c r="D3070" t="s">
        <v>92</v>
      </c>
      <c r="E3070" t="s">
        <v>207</v>
      </c>
      <c r="F3070" t="s">
        <v>244</v>
      </c>
      <c r="G3070" s="39">
        <v>45316</v>
      </c>
      <c r="J3070" t="s">
        <v>982</v>
      </c>
    </row>
    <row r="3071" spans="1:10" x14ac:dyDescent="0.35">
      <c r="A3071">
        <v>17970</v>
      </c>
      <c r="B3071" t="s">
        <v>51</v>
      </c>
      <c r="C3071" t="s">
        <v>203</v>
      </c>
      <c r="D3071" t="s">
        <v>92</v>
      </c>
      <c r="E3071" t="s">
        <v>207</v>
      </c>
      <c r="F3071" t="s">
        <v>244</v>
      </c>
      <c r="G3071" s="39">
        <v>45940</v>
      </c>
      <c r="J3071" t="s">
        <v>982</v>
      </c>
    </row>
    <row r="3072" spans="1:10" x14ac:dyDescent="0.35">
      <c r="A3072">
        <v>17308</v>
      </c>
      <c r="B3072" t="s">
        <v>51</v>
      </c>
      <c r="C3072" t="s">
        <v>203</v>
      </c>
      <c r="D3072" t="s">
        <v>92</v>
      </c>
      <c r="E3072" t="s">
        <v>653</v>
      </c>
      <c r="F3072" t="s">
        <v>244</v>
      </c>
      <c r="G3072" s="39">
        <v>45705</v>
      </c>
      <c r="J3072" t="s">
        <v>982</v>
      </c>
    </row>
    <row r="3073" spans="1:10" x14ac:dyDescent="0.35">
      <c r="A3073">
        <v>13093</v>
      </c>
      <c r="B3073" t="s">
        <v>51</v>
      </c>
      <c r="C3073" t="s">
        <v>203</v>
      </c>
      <c r="D3073" t="s">
        <v>92</v>
      </c>
      <c r="E3073" t="s">
        <v>388</v>
      </c>
      <c r="F3073" t="s">
        <v>244</v>
      </c>
      <c r="G3073" s="39">
        <v>44256</v>
      </c>
      <c r="J3073" t="s">
        <v>982</v>
      </c>
    </row>
    <row r="3074" spans="1:10" x14ac:dyDescent="0.35">
      <c r="A3074">
        <v>16301</v>
      </c>
      <c r="B3074" t="s">
        <v>51</v>
      </c>
      <c r="C3074" t="s">
        <v>203</v>
      </c>
      <c r="D3074" t="s">
        <v>92</v>
      </c>
      <c r="E3074" t="s">
        <v>653</v>
      </c>
      <c r="F3074" t="s">
        <v>244</v>
      </c>
      <c r="G3074" s="39">
        <v>45343</v>
      </c>
      <c r="J3074" t="s">
        <v>982</v>
      </c>
    </row>
    <row r="3075" spans="1:10" x14ac:dyDescent="0.35">
      <c r="A3075">
        <v>17888</v>
      </c>
      <c r="B3075" t="s">
        <v>51</v>
      </c>
      <c r="C3075" t="s">
        <v>203</v>
      </c>
      <c r="D3075" t="s">
        <v>92</v>
      </c>
      <c r="E3075" t="s">
        <v>653</v>
      </c>
      <c r="F3075" t="s">
        <v>244</v>
      </c>
      <c r="G3075" s="39">
        <v>45904</v>
      </c>
      <c r="J3075" t="s">
        <v>982</v>
      </c>
    </row>
    <row r="3076" spans="1:10" x14ac:dyDescent="0.35">
      <c r="A3076">
        <v>17797</v>
      </c>
      <c r="B3076" t="s">
        <v>51</v>
      </c>
      <c r="C3076" t="s">
        <v>203</v>
      </c>
      <c r="D3076" t="s">
        <v>92</v>
      </c>
      <c r="E3076" t="s">
        <v>653</v>
      </c>
      <c r="F3076" t="s">
        <v>244</v>
      </c>
      <c r="G3076" s="39">
        <v>45881</v>
      </c>
      <c r="J3076" t="s">
        <v>982</v>
      </c>
    </row>
    <row r="3077" spans="1:10" x14ac:dyDescent="0.35">
      <c r="A3077">
        <v>19005</v>
      </c>
      <c r="B3077" t="s">
        <v>51</v>
      </c>
      <c r="C3077" t="s">
        <v>203</v>
      </c>
      <c r="D3077" t="s">
        <v>92</v>
      </c>
      <c r="E3077" t="s">
        <v>653</v>
      </c>
      <c r="F3077" t="s">
        <v>244</v>
      </c>
      <c r="G3077" s="39">
        <v>46259</v>
      </c>
      <c r="J3077" t="s">
        <v>982</v>
      </c>
    </row>
    <row r="3078" spans="1:10" x14ac:dyDescent="0.35">
      <c r="A3078">
        <v>12860</v>
      </c>
      <c r="B3078" t="s">
        <v>51</v>
      </c>
      <c r="C3078" t="s">
        <v>203</v>
      </c>
      <c r="D3078" t="s">
        <v>92</v>
      </c>
      <c r="E3078" t="s">
        <v>644</v>
      </c>
      <c r="F3078" t="s">
        <v>244</v>
      </c>
      <c r="G3078" s="39">
        <v>44054</v>
      </c>
      <c r="J3078" t="s">
        <v>982</v>
      </c>
    </row>
    <row r="3079" spans="1:10" x14ac:dyDescent="0.35">
      <c r="A3079">
        <v>16383</v>
      </c>
      <c r="B3079" t="s">
        <v>52</v>
      </c>
      <c r="C3079" t="s">
        <v>203</v>
      </c>
      <c r="D3079" t="s">
        <v>92</v>
      </c>
      <c r="E3079" t="s">
        <v>653</v>
      </c>
      <c r="F3079" t="s">
        <v>244</v>
      </c>
      <c r="G3079" s="39">
        <v>45365</v>
      </c>
      <c r="J3079" t="s">
        <v>982</v>
      </c>
    </row>
    <row r="3080" spans="1:10" x14ac:dyDescent="0.35">
      <c r="A3080">
        <v>16404</v>
      </c>
      <c r="B3080" t="s">
        <v>51</v>
      </c>
      <c r="C3080" t="s">
        <v>203</v>
      </c>
      <c r="D3080" t="s">
        <v>92</v>
      </c>
      <c r="E3080" t="s">
        <v>653</v>
      </c>
      <c r="F3080" t="s">
        <v>244</v>
      </c>
      <c r="G3080" s="39">
        <v>45383</v>
      </c>
      <c r="J3080" t="s">
        <v>982</v>
      </c>
    </row>
    <row r="3081" spans="1:10" x14ac:dyDescent="0.35">
      <c r="A3081">
        <v>18784</v>
      </c>
      <c r="B3081" t="s">
        <v>51</v>
      </c>
      <c r="C3081" t="s">
        <v>203</v>
      </c>
      <c r="D3081" t="s">
        <v>92</v>
      </c>
      <c r="E3081" t="s">
        <v>653</v>
      </c>
      <c r="F3081" t="s">
        <v>244</v>
      </c>
      <c r="G3081" s="39">
        <v>46211</v>
      </c>
      <c r="J3081" t="s">
        <v>982</v>
      </c>
    </row>
    <row r="3082" spans="1:10" x14ac:dyDescent="0.35">
      <c r="A3082">
        <v>17141</v>
      </c>
      <c r="B3082" t="s">
        <v>51</v>
      </c>
      <c r="C3082" t="s">
        <v>203</v>
      </c>
      <c r="D3082" t="s">
        <v>92</v>
      </c>
      <c r="E3082" t="s">
        <v>653</v>
      </c>
      <c r="F3082" t="s">
        <v>244</v>
      </c>
      <c r="G3082" s="39">
        <v>45646</v>
      </c>
      <c r="J3082" t="s">
        <v>982</v>
      </c>
    </row>
    <row r="3083" spans="1:10" x14ac:dyDescent="0.35">
      <c r="A3083">
        <v>18394</v>
      </c>
      <c r="B3083" t="s">
        <v>51</v>
      </c>
      <c r="C3083" t="s">
        <v>203</v>
      </c>
      <c r="D3083" t="s">
        <v>92</v>
      </c>
      <c r="E3083" t="s">
        <v>653</v>
      </c>
      <c r="F3083" t="s">
        <v>244</v>
      </c>
      <c r="G3083" s="39">
        <v>46120</v>
      </c>
      <c r="J3083" t="s">
        <v>982</v>
      </c>
    </row>
    <row r="3084" spans="1:10" x14ac:dyDescent="0.35">
      <c r="A3084">
        <v>16454</v>
      </c>
      <c r="B3084" t="s">
        <v>51</v>
      </c>
      <c r="C3084" t="s">
        <v>203</v>
      </c>
      <c r="D3084" t="s">
        <v>92</v>
      </c>
      <c r="E3084" t="s">
        <v>641</v>
      </c>
      <c r="F3084" t="s">
        <v>244</v>
      </c>
      <c r="G3084" s="39">
        <v>45418</v>
      </c>
      <c r="J3084" t="s">
        <v>982</v>
      </c>
    </row>
    <row r="3085" spans="1:10" x14ac:dyDescent="0.35">
      <c r="A3085">
        <v>13064</v>
      </c>
      <c r="B3085" t="s">
        <v>51</v>
      </c>
      <c r="C3085" t="s">
        <v>203</v>
      </c>
      <c r="D3085" t="s">
        <v>92</v>
      </c>
      <c r="E3085" t="s">
        <v>653</v>
      </c>
      <c r="F3085" t="s">
        <v>244</v>
      </c>
      <c r="G3085" s="39">
        <v>44236</v>
      </c>
      <c r="J3085" t="s">
        <v>982</v>
      </c>
    </row>
    <row r="3086" spans="1:10" x14ac:dyDescent="0.35">
      <c r="A3086">
        <v>17857</v>
      </c>
      <c r="B3086" t="s">
        <v>51</v>
      </c>
      <c r="C3086" t="s">
        <v>203</v>
      </c>
      <c r="D3086" t="s">
        <v>92</v>
      </c>
      <c r="E3086" t="s">
        <v>653</v>
      </c>
      <c r="F3086" t="s">
        <v>244</v>
      </c>
      <c r="G3086" s="39">
        <v>45891</v>
      </c>
      <c r="J3086" t="s">
        <v>982</v>
      </c>
    </row>
    <row r="3087" spans="1:10" x14ac:dyDescent="0.35">
      <c r="A3087">
        <v>17839</v>
      </c>
      <c r="B3087" t="s">
        <v>52</v>
      </c>
      <c r="C3087" t="s">
        <v>203</v>
      </c>
      <c r="D3087" t="s">
        <v>92</v>
      </c>
      <c r="E3087" t="s">
        <v>653</v>
      </c>
      <c r="F3087" t="s">
        <v>244</v>
      </c>
      <c r="G3087" s="39">
        <v>45894</v>
      </c>
      <c r="J3087" t="s">
        <v>982</v>
      </c>
    </row>
    <row r="3088" spans="1:10" x14ac:dyDescent="0.35">
      <c r="A3088">
        <v>17365</v>
      </c>
      <c r="B3088" t="s">
        <v>51</v>
      </c>
      <c r="C3088" t="s">
        <v>203</v>
      </c>
      <c r="D3088" t="s">
        <v>92</v>
      </c>
      <c r="E3088" t="s">
        <v>653</v>
      </c>
      <c r="F3088" t="s">
        <v>244</v>
      </c>
      <c r="G3088" s="39">
        <v>45721</v>
      </c>
      <c r="J3088" t="s">
        <v>982</v>
      </c>
    </row>
    <row r="3089" spans="1:10" x14ac:dyDescent="0.35">
      <c r="A3089">
        <v>18210</v>
      </c>
      <c r="B3089" t="s">
        <v>51</v>
      </c>
      <c r="C3089" t="s">
        <v>203</v>
      </c>
      <c r="D3089" t="s">
        <v>92</v>
      </c>
      <c r="E3089" t="s">
        <v>653</v>
      </c>
      <c r="F3089" t="s">
        <v>244</v>
      </c>
      <c r="G3089" s="39">
        <v>46056</v>
      </c>
      <c r="J3089" t="s">
        <v>982</v>
      </c>
    </row>
    <row r="3090" spans="1:10" x14ac:dyDescent="0.35">
      <c r="A3090">
        <v>17663</v>
      </c>
      <c r="B3090" t="s">
        <v>51</v>
      </c>
      <c r="C3090" t="s">
        <v>203</v>
      </c>
      <c r="D3090" t="s">
        <v>92</v>
      </c>
      <c r="E3090" t="s">
        <v>653</v>
      </c>
      <c r="F3090" t="s">
        <v>244</v>
      </c>
      <c r="G3090" s="39">
        <v>45848</v>
      </c>
      <c r="J3090" t="s">
        <v>982</v>
      </c>
    </row>
    <row r="3091" spans="1:10" x14ac:dyDescent="0.35">
      <c r="A3091">
        <v>13072</v>
      </c>
      <c r="B3091" t="s">
        <v>44</v>
      </c>
      <c r="C3091" t="s">
        <v>201</v>
      </c>
      <c r="D3091" t="s">
        <v>92</v>
      </c>
      <c r="E3091" t="s">
        <v>96</v>
      </c>
      <c r="F3091" t="s">
        <v>244</v>
      </c>
      <c r="G3091" s="39">
        <v>44238</v>
      </c>
      <c r="J3091" t="s">
        <v>982</v>
      </c>
    </row>
    <row r="3092" spans="1:10" x14ac:dyDescent="0.35">
      <c r="A3092">
        <v>17259</v>
      </c>
      <c r="B3092" t="s">
        <v>51</v>
      </c>
      <c r="C3092" t="s">
        <v>203</v>
      </c>
      <c r="D3092" t="s">
        <v>92</v>
      </c>
      <c r="E3092" t="s">
        <v>653</v>
      </c>
      <c r="F3092" t="s">
        <v>244</v>
      </c>
      <c r="G3092" s="39">
        <v>45691</v>
      </c>
      <c r="J3092" t="s">
        <v>982</v>
      </c>
    </row>
    <row r="3093" spans="1:10" x14ac:dyDescent="0.35">
      <c r="A3093">
        <v>17536</v>
      </c>
      <c r="B3093" t="s">
        <v>52</v>
      </c>
      <c r="C3093" t="s">
        <v>203</v>
      </c>
      <c r="D3093" t="s">
        <v>92</v>
      </c>
      <c r="E3093" t="s">
        <v>653</v>
      </c>
      <c r="F3093" t="s">
        <v>244</v>
      </c>
      <c r="G3093" s="39">
        <v>45790</v>
      </c>
      <c r="J3093" t="s">
        <v>982</v>
      </c>
    </row>
    <row r="3094" spans="1:10" x14ac:dyDescent="0.35">
      <c r="A3094">
        <v>16685</v>
      </c>
      <c r="B3094" t="s">
        <v>51</v>
      </c>
      <c r="C3094" t="s">
        <v>203</v>
      </c>
      <c r="D3094" t="s">
        <v>92</v>
      </c>
      <c r="E3094" t="s">
        <v>653</v>
      </c>
      <c r="F3094" t="s">
        <v>244</v>
      </c>
      <c r="G3094" s="39">
        <v>45524</v>
      </c>
      <c r="J3094" t="s">
        <v>982</v>
      </c>
    </row>
    <row r="3095" spans="1:10" x14ac:dyDescent="0.35">
      <c r="A3095">
        <v>16751</v>
      </c>
      <c r="B3095" t="s">
        <v>51</v>
      </c>
      <c r="C3095" t="s">
        <v>203</v>
      </c>
      <c r="D3095" t="s">
        <v>92</v>
      </c>
      <c r="E3095" t="s">
        <v>653</v>
      </c>
      <c r="F3095" t="s">
        <v>244</v>
      </c>
      <c r="G3095" s="39">
        <v>45539</v>
      </c>
      <c r="J3095" t="s">
        <v>982</v>
      </c>
    </row>
    <row r="3096" spans="1:10" x14ac:dyDescent="0.35">
      <c r="A3096">
        <v>16688</v>
      </c>
      <c r="B3096" t="s">
        <v>44</v>
      </c>
      <c r="C3096" t="s">
        <v>201</v>
      </c>
      <c r="D3096" t="s">
        <v>92</v>
      </c>
      <c r="E3096" t="s">
        <v>653</v>
      </c>
      <c r="F3096" t="s">
        <v>244</v>
      </c>
      <c r="G3096" s="39">
        <v>45524</v>
      </c>
      <c r="J3096" t="s">
        <v>982</v>
      </c>
    </row>
    <row r="3097" spans="1:10" x14ac:dyDescent="0.35">
      <c r="A3097">
        <v>18651</v>
      </c>
      <c r="B3097" t="s">
        <v>44</v>
      </c>
      <c r="C3097" t="s">
        <v>201</v>
      </c>
      <c r="D3097" t="s">
        <v>92</v>
      </c>
      <c r="E3097" t="s">
        <v>653</v>
      </c>
      <c r="F3097" t="s">
        <v>244</v>
      </c>
      <c r="G3097" s="39">
        <v>46184</v>
      </c>
      <c r="J3097" t="s">
        <v>982</v>
      </c>
    </row>
    <row r="3098" spans="1:10" x14ac:dyDescent="0.35">
      <c r="A3098">
        <v>12543</v>
      </c>
      <c r="B3098" t="s">
        <v>44</v>
      </c>
      <c r="C3098" t="s">
        <v>201</v>
      </c>
      <c r="D3098" t="s">
        <v>92</v>
      </c>
      <c r="E3098" t="s">
        <v>204</v>
      </c>
      <c r="F3098" t="s">
        <v>244</v>
      </c>
      <c r="G3098" s="39">
        <v>43805</v>
      </c>
      <c r="J3098" t="s">
        <v>982</v>
      </c>
    </row>
    <row r="3099" spans="1:10" x14ac:dyDescent="0.35">
      <c r="A3099">
        <v>16605</v>
      </c>
      <c r="B3099" t="s">
        <v>51</v>
      </c>
      <c r="C3099" t="s">
        <v>203</v>
      </c>
      <c r="D3099" t="s">
        <v>92</v>
      </c>
      <c r="E3099" t="s">
        <v>653</v>
      </c>
      <c r="F3099" t="s">
        <v>244</v>
      </c>
      <c r="G3099" s="39">
        <v>45492</v>
      </c>
      <c r="J3099" t="s">
        <v>982</v>
      </c>
    </row>
    <row r="3100" spans="1:10" x14ac:dyDescent="0.35">
      <c r="A3100">
        <v>11835</v>
      </c>
      <c r="B3100" t="s">
        <v>51</v>
      </c>
      <c r="C3100" t="s">
        <v>203</v>
      </c>
      <c r="D3100" t="s">
        <v>92</v>
      </c>
      <c r="E3100" t="s">
        <v>204</v>
      </c>
      <c r="F3100" t="s">
        <v>244</v>
      </c>
      <c r="G3100" s="39">
        <v>43175</v>
      </c>
      <c r="J3100" t="s">
        <v>982</v>
      </c>
    </row>
    <row r="3101" spans="1:10" x14ac:dyDescent="0.35">
      <c r="A3101">
        <v>16784</v>
      </c>
      <c r="B3101" t="s">
        <v>51</v>
      </c>
      <c r="C3101" t="s">
        <v>203</v>
      </c>
      <c r="D3101" t="s">
        <v>92</v>
      </c>
      <c r="E3101" t="s">
        <v>204</v>
      </c>
      <c r="F3101" t="s">
        <v>244</v>
      </c>
      <c r="G3101" s="39">
        <v>45548</v>
      </c>
      <c r="J3101" t="s">
        <v>982</v>
      </c>
    </row>
    <row r="3102" spans="1:10" x14ac:dyDescent="0.35">
      <c r="A3102">
        <v>12023</v>
      </c>
      <c r="B3102" t="s">
        <v>51</v>
      </c>
      <c r="C3102" t="s">
        <v>203</v>
      </c>
      <c r="D3102" t="s">
        <v>92</v>
      </c>
      <c r="E3102" t="s">
        <v>641</v>
      </c>
      <c r="F3102" t="s">
        <v>244</v>
      </c>
      <c r="G3102" s="39">
        <v>43391</v>
      </c>
      <c r="J3102" t="s">
        <v>982</v>
      </c>
    </row>
    <row r="3103" spans="1:10" x14ac:dyDescent="0.35">
      <c r="A3103">
        <v>12392</v>
      </c>
      <c r="B3103" t="s">
        <v>52</v>
      </c>
      <c r="C3103" t="s">
        <v>203</v>
      </c>
      <c r="D3103" t="s">
        <v>92</v>
      </c>
      <c r="E3103" t="s">
        <v>205</v>
      </c>
      <c r="F3103" t="s">
        <v>244</v>
      </c>
      <c r="G3103" s="39">
        <v>43728</v>
      </c>
      <c r="J3103" t="s">
        <v>982</v>
      </c>
    </row>
    <row r="3104" spans="1:10" x14ac:dyDescent="0.35">
      <c r="A3104">
        <v>17871</v>
      </c>
      <c r="B3104" t="s">
        <v>51</v>
      </c>
      <c r="C3104" t="s">
        <v>203</v>
      </c>
      <c r="D3104" t="s">
        <v>92</v>
      </c>
      <c r="E3104" t="s">
        <v>205</v>
      </c>
      <c r="F3104" t="s">
        <v>244</v>
      </c>
      <c r="G3104" s="39">
        <v>45901</v>
      </c>
      <c r="J3104" t="s">
        <v>982</v>
      </c>
    </row>
    <row r="3105" spans="1:10" x14ac:dyDescent="0.35">
      <c r="A3105">
        <v>15699</v>
      </c>
      <c r="B3105" t="s">
        <v>51</v>
      </c>
      <c r="C3105" t="s">
        <v>203</v>
      </c>
      <c r="D3105" t="s">
        <v>92</v>
      </c>
      <c r="E3105" t="s">
        <v>388</v>
      </c>
      <c r="F3105" t="s">
        <v>244</v>
      </c>
      <c r="G3105" s="39">
        <v>45170</v>
      </c>
      <c r="J3105" t="s">
        <v>982</v>
      </c>
    </row>
    <row r="3106" spans="1:10" x14ac:dyDescent="0.35">
      <c r="A3106">
        <v>17289</v>
      </c>
      <c r="B3106" t="s">
        <v>51</v>
      </c>
      <c r="C3106" t="s">
        <v>203</v>
      </c>
      <c r="D3106" t="s">
        <v>92</v>
      </c>
      <c r="E3106" t="s">
        <v>388</v>
      </c>
      <c r="F3106" t="s">
        <v>244</v>
      </c>
      <c r="G3106" s="39">
        <v>45693</v>
      </c>
      <c r="J3106" t="s">
        <v>982</v>
      </c>
    </row>
    <row r="3107" spans="1:10" x14ac:dyDescent="0.35">
      <c r="A3107">
        <v>16800</v>
      </c>
      <c r="B3107" t="s">
        <v>51</v>
      </c>
      <c r="C3107" t="s">
        <v>203</v>
      </c>
      <c r="D3107" t="s">
        <v>92</v>
      </c>
      <c r="E3107" t="s">
        <v>205</v>
      </c>
      <c r="F3107" t="s">
        <v>244</v>
      </c>
      <c r="G3107" s="39">
        <v>45567</v>
      </c>
      <c r="J3107" t="s">
        <v>982</v>
      </c>
    </row>
    <row r="3108" spans="1:10" x14ac:dyDescent="0.35">
      <c r="A3108">
        <v>13287</v>
      </c>
      <c r="B3108" t="s">
        <v>51</v>
      </c>
      <c r="C3108" t="s">
        <v>203</v>
      </c>
      <c r="D3108" t="s">
        <v>92</v>
      </c>
      <c r="E3108" t="s">
        <v>388</v>
      </c>
      <c r="F3108" t="s">
        <v>244</v>
      </c>
      <c r="G3108" s="39">
        <v>44368</v>
      </c>
      <c r="J3108" t="s">
        <v>982</v>
      </c>
    </row>
    <row r="3109" spans="1:10" x14ac:dyDescent="0.35">
      <c r="A3109">
        <v>13793</v>
      </c>
      <c r="B3109" t="s">
        <v>51</v>
      </c>
      <c r="C3109" t="s">
        <v>203</v>
      </c>
      <c r="D3109" t="s">
        <v>92</v>
      </c>
      <c r="E3109" t="s">
        <v>205</v>
      </c>
      <c r="F3109" t="s">
        <v>244</v>
      </c>
      <c r="G3109" s="39">
        <v>44579</v>
      </c>
      <c r="J3109" t="s">
        <v>982</v>
      </c>
    </row>
    <row r="3110" spans="1:10" x14ac:dyDescent="0.35">
      <c r="A3110">
        <v>13790</v>
      </c>
      <c r="B3110" t="s">
        <v>51</v>
      </c>
      <c r="C3110" t="s">
        <v>203</v>
      </c>
      <c r="D3110" t="s">
        <v>92</v>
      </c>
      <c r="E3110" t="s">
        <v>205</v>
      </c>
      <c r="F3110" t="s">
        <v>244</v>
      </c>
      <c r="G3110" s="39">
        <v>44578</v>
      </c>
      <c r="J3110" t="s">
        <v>982</v>
      </c>
    </row>
    <row r="3111" spans="1:10" x14ac:dyDescent="0.35">
      <c r="A3111">
        <v>12771</v>
      </c>
      <c r="B3111" t="s">
        <v>51</v>
      </c>
      <c r="C3111" t="s">
        <v>203</v>
      </c>
      <c r="D3111" t="s">
        <v>92</v>
      </c>
      <c r="E3111" t="s">
        <v>641</v>
      </c>
      <c r="F3111" t="s">
        <v>244</v>
      </c>
      <c r="G3111" s="39">
        <v>43906</v>
      </c>
      <c r="J3111" t="s">
        <v>982</v>
      </c>
    </row>
    <row r="3112" spans="1:10" x14ac:dyDescent="0.35">
      <c r="A3112">
        <v>15915</v>
      </c>
      <c r="B3112" t="s">
        <v>51</v>
      </c>
      <c r="C3112" t="s">
        <v>203</v>
      </c>
      <c r="D3112" t="s">
        <v>92</v>
      </c>
      <c r="E3112" t="s">
        <v>205</v>
      </c>
      <c r="F3112" t="s">
        <v>244</v>
      </c>
      <c r="G3112" s="39">
        <v>45237</v>
      </c>
      <c r="J3112" t="s">
        <v>982</v>
      </c>
    </row>
    <row r="3113" spans="1:10" x14ac:dyDescent="0.35">
      <c r="A3113">
        <v>18066</v>
      </c>
      <c r="B3113" t="s">
        <v>51</v>
      </c>
      <c r="C3113" t="s">
        <v>203</v>
      </c>
      <c r="D3113" t="s">
        <v>92</v>
      </c>
      <c r="E3113" t="s">
        <v>205</v>
      </c>
      <c r="F3113" t="s">
        <v>244</v>
      </c>
      <c r="G3113" s="39">
        <v>45978</v>
      </c>
      <c r="J3113" t="s">
        <v>982</v>
      </c>
    </row>
    <row r="3114" spans="1:10" x14ac:dyDescent="0.35">
      <c r="A3114">
        <v>17770</v>
      </c>
      <c r="B3114" t="s">
        <v>52</v>
      </c>
      <c r="C3114" t="s">
        <v>203</v>
      </c>
      <c r="D3114" t="s">
        <v>92</v>
      </c>
      <c r="E3114" t="s">
        <v>205</v>
      </c>
      <c r="F3114" t="s">
        <v>244</v>
      </c>
      <c r="G3114" s="39">
        <v>45874</v>
      </c>
      <c r="J3114" t="s">
        <v>982</v>
      </c>
    </row>
    <row r="3115" spans="1:10" x14ac:dyDescent="0.35">
      <c r="A3115">
        <v>17501</v>
      </c>
      <c r="B3115" t="s">
        <v>51</v>
      </c>
      <c r="C3115" t="s">
        <v>203</v>
      </c>
      <c r="D3115" t="s">
        <v>92</v>
      </c>
      <c r="E3115" t="s">
        <v>205</v>
      </c>
      <c r="F3115" t="s">
        <v>244</v>
      </c>
      <c r="G3115" s="39">
        <v>45778</v>
      </c>
      <c r="J3115" t="s">
        <v>982</v>
      </c>
    </row>
    <row r="3116" spans="1:10" x14ac:dyDescent="0.35">
      <c r="A3116">
        <v>17345</v>
      </c>
      <c r="B3116" t="s">
        <v>51</v>
      </c>
      <c r="C3116" t="s">
        <v>203</v>
      </c>
      <c r="D3116" t="s">
        <v>92</v>
      </c>
      <c r="E3116" t="s">
        <v>205</v>
      </c>
      <c r="F3116" t="s">
        <v>244</v>
      </c>
      <c r="G3116" s="39">
        <v>45719</v>
      </c>
      <c r="J3116" t="s">
        <v>982</v>
      </c>
    </row>
    <row r="3117" spans="1:10" x14ac:dyDescent="0.35">
      <c r="A3117">
        <v>14386</v>
      </c>
      <c r="B3117" t="s">
        <v>51</v>
      </c>
      <c r="C3117" t="s">
        <v>203</v>
      </c>
      <c r="D3117" t="s">
        <v>92</v>
      </c>
      <c r="E3117" t="s">
        <v>388</v>
      </c>
      <c r="F3117" t="s">
        <v>244</v>
      </c>
      <c r="G3117" s="39">
        <v>44743</v>
      </c>
      <c r="J3117" t="s">
        <v>982</v>
      </c>
    </row>
    <row r="3118" spans="1:10" x14ac:dyDescent="0.35">
      <c r="A3118">
        <v>12361</v>
      </c>
      <c r="B3118" t="s">
        <v>51</v>
      </c>
      <c r="C3118" t="s">
        <v>203</v>
      </c>
      <c r="D3118" t="s">
        <v>92</v>
      </c>
      <c r="E3118" t="s">
        <v>388</v>
      </c>
      <c r="F3118" t="s">
        <v>244</v>
      </c>
      <c r="G3118" s="39">
        <v>43710</v>
      </c>
      <c r="J3118" t="s">
        <v>982</v>
      </c>
    </row>
    <row r="3119" spans="1:10" x14ac:dyDescent="0.35">
      <c r="A3119">
        <v>14371</v>
      </c>
      <c r="B3119" t="s">
        <v>52</v>
      </c>
      <c r="C3119" t="s">
        <v>203</v>
      </c>
      <c r="D3119" t="s">
        <v>92</v>
      </c>
      <c r="E3119" t="s">
        <v>205</v>
      </c>
      <c r="F3119" t="s">
        <v>244</v>
      </c>
      <c r="G3119" s="39">
        <v>44743</v>
      </c>
      <c r="J3119" t="s">
        <v>982</v>
      </c>
    </row>
    <row r="3120" spans="1:10" x14ac:dyDescent="0.35">
      <c r="A3120">
        <v>11348</v>
      </c>
      <c r="B3120" t="s">
        <v>52</v>
      </c>
      <c r="C3120" t="s">
        <v>203</v>
      </c>
      <c r="D3120" t="s">
        <v>92</v>
      </c>
      <c r="E3120" t="s">
        <v>96</v>
      </c>
      <c r="F3120" t="s">
        <v>244</v>
      </c>
      <c r="G3120" s="39">
        <v>42573</v>
      </c>
      <c r="J3120" t="s">
        <v>982</v>
      </c>
    </row>
    <row r="3121" spans="1:10" x14ac:dyDescent="0.35">
      <c r="A3121">
        <v>18088</v>
      </c>
      <c r="B3121" t="s">
        <v>52</v>
      </c>
      <c r="C3121" t="s">
        <v>203</v>
      </c>
      <c r="D3121" t="s">
        <v>92</v>
      </c>
      <c r="E3121" t="s">
        <v>205</v>
      </c>
      <c r="F3121" t="s">
        <v>244</v>
      </c>
      <c r="G3121" s="39">
        <v>45992</v>
      </c>
      <c r="J3121" t="s">
        <v>982</v>
      </c>
    </row>
    <row r="3122" spans="1:10" x14ac:dyDescent="0.35">
      <c r="A3122">
        <v>18870</v>
      </c>
      <c r="B3122" t="s">
        <v>52</v>
      </c>
      <c r="C3122" t="s">
        <v>203</v>
      </c>
      <c r="D3122" t="s">
        <v>92</v>
      </c>
      <c r="E3122" t="s">
        <v>205</v>
      </c>
      <c r="F3122" t="s">
        <v>244</v>
      </c>
      <c r="G3122" s="39">
        <v>46223</v>
      </c>
      <c r="H3122" t="s">
        <v>249</v>
      </c>
      <c r="J3122" t="s">
        <v>982</v>
      </c>
    </row>
    <row r="3123" spans="1:10" x14ac:dyDescent="0.35">
      <c r="A3123">
        <v>18901</v>
      </c>
      <c r="B3123" t="s">
        <v>52</v>
      </c>
      <c r="C3123" t="s">
        <v>203</v>
      </c>
      <c r="D3123" t="s">
        <v>92</v>
      </c>
      <c r="E3123" t="s">
        <v>205</v>
      </c>
      <c r="F3123" t="s">
        <v>244</v>
      </c>
      <c r="G3123" s="39">
        <v>46238</v>
      </c>
      <c r="J3123" t="s">
        <v>982</v>
      </c>
    </row>
    <row r="3124" spans="1:10" x14ac:dyDescent="0.35">
      <c r="A3124">
        <v>19002</v>
      </c>
      <c r="B3124" t="s">
        <v>52</v>
      </c>
      <c r="C3124" t="s">
        <v>203</v>
      </c>
      <c r="D3124" t="s">
        <v>92</v>
      </c>
      <c r="E3124" t="s">
        <v>205</v>
      </c>
      <c r="F3124" t="s">
        <v>244</v>
      </c>
      <c r="G3124" s="39">
        <v>46259</v>
      </c>
      <c r="J3124" t="s">
        <v>982</v>
      </c>
    </row>
    <row r="3125" spans="1:10" x14ac:dyDescent="0.35">
      <c r="A3125">
        <v>13015</v>
      </c>
      <c r="B3125" t="s">
        <v>51</v>
      </c>
      <c r="C3125" t="s">
        <v>203</v>
      </c>
      <c r="D3125" t="s">
        <v>92</v>
      </c>
      <c r="E3125" t="s">
        <v>388</v>
      </c>
      <c r="F3125" t="s">
        <v>244</v>
      </c>
      <c r="G3125" s="39">
        <v>44202</v>
      </c>
      <c r="J3125" t="s">
        <v>982</v>
      </c>
    </row>
    <row r="3126" spans="1:10" x14ac:dyDescent="0.35">
      <c r="A3126">
        <v>12540</v>
      </c>
      <c r="B3126" t="s">
        <v>51</v>
      </c>
      <c r="C3126" t="s">
        <v>203</v>
      </c>
      <c r="D3126" t="s">
        <v>92</v>
      </c>
      <c r="E3126" t="s">
        <v>205</v>
      </c>
      <c r="F3126" t="s">
        <v>244</v>
      </c>
      <c r="G3126" s="39">
        <v>43803</v>
      </c>
      <c r="J3126" t="s">
        <v>982</v>
      </c>
    </row>
    <row r="3127" spans="1:10" x14ac:dyDescent="0.35">
      <c r="A3127">
        <v>18704</v>
      </c>
      <c r="B3127" t="s">
        <v>51</v>
      </c>
      <c r="C3127" t="s">
        <v>203</v>
      </c>
      <c r="D3127" t="s">
        <v>92</v>
      </c>
      <c r="E3127" t="s">
        <v>205</v>
      </c>
      <c r="F3127" t="s">
        <v>244</v>
      </c>
      <c r="G3127" s="39">
        <v>46195</v>
      </c>
      <c r="J3127" t="s">
        <v>982</v>
      </c>
    </row>
    <row r="3128" spans="1:10" x14ac:dyDescent="0.35">
      <c r="A3128">
        <v>17872</v>
      </c>
      <c r="B3128" t="s">
        <v>44</v>
      </c>
      <c r="C3128" t="s">
        <v>201</v>
      </c>
      <c r="D3128" t="s">
        <v>92</v>
      </c>
      <c r="E3128" t="s">
        <v>205</v>
      </c>
      <c r="F3128" t="s">
        <v>244</v>
      </c>
      <c r="G3128" s="39">
        <v>45902</v>
      </c>
      <c r="J3128" t="s">
        <v>982</v>
      </c>
    </row>
    <row r="3129" spans="1:10" x14ac:dyDescent="0.35">
      <c r="A3129">
        <v>17873</v>
      </c>
      <c r="B3129" t="s">
        <v>52</v>
      </c>
      <c r="C3129" t="s">
        <v>203</v>
      </c>
      <c r="D3129" t="s">
        <v>92</v>
      </c>
      <c r="E3129" t="s">
        <v>205</v>
      </c>
      <c r="F3129" t="s">
        <v>244</v>
      </c>
      <c r="G3129" s="39">
        <v>45902</v>
      </c>
      <c r="J3129" t="s">
        <v>982</v>
      </c>
    </row>
    <row r="3130" spans="1:10" x14ac:dyDescent="0.35">
      <c r="A3130">
        <v>17807</v>
      </c>
      <c r="B3130" t="s">
        <v>52</v>
      </c>
      <c r="C3130" t="s">
        <v>203</v>
      </c>
      <c r="D3130" t="s">
        <v>92</v>
      </c>
      <c r="E3130" t="s">
        <v>205</v>
      </c>
      <c r="F3130" t="s">
        <v>244</v>
      </c>
      <c r="G3130" s="39">
        <v>45887</v>
      </c>
      <c r="J3130" t="s">
        <v>982</v>
      </c>
    </row>
    <row r="3131" spans="1:10" x14ac:dyDescent="0.35">
      <c r="A3131">
        <v>17092</v>
      </c>
      <c r="B3131" t="s">
        <v>51</v>
      </c>
      <c r="C3131" t="s">
        <v>203</v>
      </c>
      <c r="D3131" t="s">
        <v>92</v>
      </c>
      <c r="E3131" t="s">
        <v>205</v>
      </c>
      <c r="F3131" t="s">
        <v>244</v>
      </c>
      <c r="G3131" s="39">
        <v>45629</v>
      </c>
      <c r="J3131" t="s">
        <v>982</v>
      </c>
    </row>
    <row r="3132" spans="1:10" x14ac:dyDescent="0.35">
      <c r="A3132">
        <v>12058</v>
      </c>
      <c r="B3132" t="s">
        <v>52</v>
      </c>
      <c r="C3132" t="s">
        <v>203</v>
      </c>
      <c r="D3132" t="s">
        <v>92</v>
      </c>
      <c r="E3132" t="s">
        <v>205</v>
      </c>
      <c r="F3132" t="s">
        <v>244</v>
      </c>
      <c r="G3132" s="39">
        <v>43437</v>
      </c>
      <c r="J3132" t="s">
        <v>982</v>
      </c>
    </row>
    <row r="3133" spans="1:10" x14ac:dyDescent="0.35">
      <c r="A3133">
        <v>15638</v>
      </c>
      <c r="B3133" t="s">
        <v>44</v>
      </c>
      <c r="C3133" t="s">
        <v>201</v>
      </c>
      <c r="D3133" t="s">
        <v>92</v>
      </c>
      <c r="E3133" t="s">
        <v>644</v>
      </c>
      <c r="F3133" t="s">
        <v>244</v>
      </c>
      <c r="G3133" s="39">
        <v>45149</v>
      </c>
      <c r="J3133" t="s">
        <v>982</v>
      </c>
    </row>
    <row r="3134" spans="1:10" x14ac:dyDescent="0.35">
      <c r="A3134">
        <v>13310</v>
      </c>
      <c r="B3134" t="s">
        <v>51</v>
      </c>
      <c r="C3134" t="s">
        <v>203</v>
      </c>
      <c r="D3134" t="s">
        <v>92</v>
      </c>
      <c r="E3134" t="s">
        <v>205</v>
      </c>
      <c r="F3134" t="s">
        <v>244</v>
      </c>
      <c r="G3134" s="39">
        <v>44379</v>
      </c>
      <c r="J3134" t="s">
        <v>982</v>
      </c>
    </row>
    <row r="3135" spans="1:10" x14ac:dyDescent="0.35">
      <c r="A3135">
        <v>14370</v>
      </c>
      <c r="B3135" t="s">
        <v>51</v>
      </c>
      <c r="C3135" t="s">
        <v>203</v>
      </c>
      <c r="D3135" t="s">
        <v>92</v>
      </c>
      <c r="E3135" t="s">
        <v>205</v>
      </c>
      <c r="F3135" t="s">
        <v>244</v>
      </c>
      <c r="G3135" s="39">
        <v>44743</v>
      </c>
      <c r="J3135" t="s">
        <v>982</v>
      </c>
    </row>
    <row r="3136" spans="1:10" x14ac:dyDescent="0.35">
      <c r="A3136">
        <v>14675</v>
      </c>
      <c r="B3136" t="s">
        <v>44</v>
      </c>
      <c r="C3136" t="s">
        <v>201</v>
      </c>
      <c r="D3136" t="s">
        <v>92</v>
      </c>
      <c r="E3136" t="s">
        <v>96</v>
      </c>
      <c r="F3136" t="s">
        <v>244</v>
      </c>
      <c r="G3136" s="39">
        <v>44819</v>
      </c>
      <c r="J3136" t="s">
        <v>982</v>
      </c>
    </row>
    <row r="3137" spans="1:10" x14ac:dyDescent="0.35">
      <c r="A3137">
        <v>18794</v>
      </c>
      <c r="B3137" t="s">
        <v>44</v>
      </c>
      <c r="C3137" t="s">
        <v>201</v>
      </c>
      <c r="D3137" t="s">
        <v>92</v>
      </c>
      <c r="E3137" t="s">
        <v>209</v>
      </c>
      <c r="F3137" t="s">
        <v>244</v>
      </c>
      <c r="G3137" s="39">
        <v>46216</v>
      </c>
      <c r="J3137" t="s">
        <v>982</v>
      </c>
    </row>
    <row r="3138" spans="1:10" x14ac:dyDescent="0.35">
      <c r="A3138">
        <v>17021</v>
      </c>
      <c r="B3138" t="s">
        <v>44</v>
      </c>
      <c r="C3138" t="s">
        <v>201</v>
      </c>
      <c r="D3138" t="s">
        <v>92</v>
      </c>
      <c r="E3138" t="s">
        <v>207</v>
      </c>
      <c r="F3138" t="s">
        <v>244</v>
      </c>
      <c r="G3138" s="39">
        <v>45622</v>
      </c>
      <c r="J3138" t="s">
        <v>982</v>
      </c>
    </row>
    <row r="3139" spans="1:10" x14ac:dyDescent="0.35">
      <c r="A3139">
        <v>12725</v>
      </c>
      <c r="B3139" t="s">
        <v>44</v>
      </c>
      <c r="C3139" t="s">
        <v>201</v>
      </c>
      <c r="D3139" t="s">
        <v>92</v>
      </c>
      <c r="E3139" t="s">
        <v>207</v>
      </c>
      <c r="F3139" t="s">
        <v>244</v>
      </c>
      <c r="G3139" s="39">
        <v>43879</v>
      </c>
      <c r="J3139" t="s">
        <v>982</v>
      </c>
    </row>
    <row r="3140" spans="1:10" x14ac:dyDescent="0.35">
      <c r="A3140">
        <v>18469</v>
      </c>
      <c r="B3140" t="s">
        <v>44</v>
      </c>
      <c r="C3140" t="s">
        <v>201</v>
      </c>
      <c r="D3140" t="s">
        <v>92</v>
      </c>
      <c r="E3140" t="s">
        <v>205</v>
      </c>
      <c r="F3140" t="s">
        <v>244</v>
      </c>
      <c r="G3140" s="39">
        <v>46134</v>
      </c>
      <c r="J3140" t="s">
        <v>982</v>
      </c>
    </row>
    <row r="3141" spans="1:10" x14ac:dyDescent="0.35">
      <c r="A3141">
        <v>12722</v>
      </c>
      <c r="B3141" t="s">
        <v>44</v>
      </c>
      <c r="C3141" t="s">
        <v>201</v>
      </c>
      <c r="D3141" t="s">
        <v>92</v>
      </c>
      <c r="E3141" t="s">
        <v>207</v>
      </c>
      <c r="F3141" t="s">
        <v>244</v>
      </c>
      <c r="G3141" s="39">
        <v>43878</v>
      </c>
      <c r="J3141" t="s">
        <v>982</v>
      </c>
    </row>
    <row r="3142" spans="1:10" x14ac:dyDescent="0.35">
      <c r="A3142">
        <v>12269</v>
      </c>
      <c r="B3142" t="s">
        <v>44</v>
      </c>
      <c r="C3142" t="s">
        <v>201</v>
      </c>
      <c r="D3142" t="s">
        <v>92</v>
      </c>
      <c r="E3142" t="s">
        <v>207</v>
      </c>
      <c r="F3142" t="s">
        <v>244</v>
      </c>
      <c r="G3142" s="39">
        <v>43657</v>
      </c>
      <c r="J3142" t="s">
        <v>982</v>
      </c>
    </row>
    <row r="3143" spans="1:10" x14ac:dyDescent="0.35">
      <c r="A3143">
        <v>12302</v>
      </c>
      <c r="B3143" t="s">
        <v>44</v>
      </c>
      <c r="C3143" t="s">
        <v>201</v>
      </c>
      <c r="D3143" t="s">
        <v>92</v>
      </c>
      <c r="E3143" t="s">
        <v>207</v>
      </c>
      <c r="F3143" t="s">
        <v>244</v>
      </c>
      <c r="G3143" s="39">
        <v>43671</v>
      </c>
      <c r="J3143" t="s">
        <v>982</v>
      </c>
    </row>
    <row r="3144" spans="1:10" x14ac:dyDescent="0.35">
      <c r="A3144">
        <v>12537</v>
      </c>
      <c r="B3144" t="s">
        <v>52</v>
      </c>
      <c r="C3144" t="s">
        <v>203</v>
      </c>
      <c r="D3144" t="s">
        <v>92</v>
      </c>
      <c r="E3144" t="s">
        <v>207</v>
      </c>
      <c r="F3144" t="s">
        <v>244</v>
      </c>
      <c r="G3144" s="39">
        <v>43801</v>
      </c>
      <c r="J3144" t="s">
        <v>982</v>
      </c>
    </row>
    <row r="3145" spans="1:10" x14ac:dyDescent="0.35">
      <c r="A3145">
        <v>12896</v>
      </c>
      <c r="B3145" t="s">
        <v>52</v>
      </c>
      <c r="C3145" t="s">
        <v>203</v>
      </c>
      <c r="D3145" t="s">
        <v>92</v>
      </c>
      <c r="E3145" t="s">
        <v>207</v>
      </c>
      <c r="F3145" t="s">
        <v>244</v>
      </c>
      <c r="G3145" s="39">
        <v>44084</v>
      </c>
      <c r="J3145" t="s">
        <v>982</v>
      </c>
    </row>
    <row r="3146" spans="1:10" x14ac:dyDescent="0.35">
      <c r="A3146">
        <v>12726</v>
      </c>
      <c r="B3146" t="s">
        <v>51</v>
      </c>
      <c r="C3146" t="s">
        <v>203</v>
      </c>
      <c r="D3146" t="s">
        <v>92</v>
      </c>
      <c r="E3146" t="s">
        <v>207</v>
      </c>
      <c r="F3146" t="s">
        <v>411</v>
      </c>
      <c r="G3146" s="39">
        <v>43879</v>
      </c>
      <c r="J3146" t="s">
        <v>982</v>
      </c>
    </row>
    <row r="3147" spans="1:10" x14ac:dyDescent="0.35">
      <c r="A3147">
        <v>17553</v>
      </c>
      <c r="B3147" t="s">
        <v>44</v>
      </c>
      <c r="C3147" t="s">
        <v>201</v>
      </c>
      <c r="D3147" t="s">
        <v>92</v>
      </c>
      <c r="E3147" t="s">
        <v>207</v>
      </c>
      <c r="F3147" t="s">
        <v>244</v>
      </c>
      <c r="G3147" s="39">
        <v>45790</v>
      </c>
      <c r="J3147" t="s">
        <v>982</v>
      </c>
    </row>
    <row r="3148" spans="1:10" x14ac:dyDescent="0.35">
      <c r="A3148">
        <v>18864</v>
      </c>
      <c r="B3148" t="s">
        <v>44</v>
      </c>
      <c r="C3148" t="s">
        <v>201</v>
      </c>
      <c r="D3148" t="s">
        <v>92</v>
      </c>
      <c r="E3148" t="s">
        <v>207</v>
      </c>
      <c r="F3148" t="s">
        <v>244</v>
      </c>
      <c r="G3148" s="39">
        <v>46220</v>
      </c>
      <c r="H3148" t="s">
        <v>57</v>
      </c>
      <c r="J3148" t="s">
        <v>982</v>
      </c>
    </row>
    <row r="3149" spans="1:10" x14ac:dyDescent="0.35">
      <c r="A3149">
        <v>16759</v>
      </c>
      <c r="B3149" t="s">
        <v>51</v>
      </c>
      <c r="C3149" t="s">
        <v>203</v>
      </c>
      <c r="D3149" t="s">
        <v>92</v>
      </c>
      <c r="E3149" t="s">
        <v>207</v>
      </c>
      <c r="F3149" t="s">
        <v>244</v>
      </c>
      <c r="G3149" s="39">
        <v>45540</v>
      </c>
      <c r="J3149" t="s">
        <v>982</v>
      </c>
    </row>
    <row r="3150" spans="1:10" x14ac:dyDescent="0.35">
      <c r="A3150">
        <v>16656</v>
      </c>
      <c r="B3150" t="s">
        <v>51</v>
      </c>
      <c r="C3150" t="s">
        <v>203</v>
      </c>
      <c r="D3150" t="s">
        <v>92</v>
      </c>
      <c r="E3150" t="s">
        <v>205</v>
      </c>
      <c r="F3150" t="s">
        <v>244</v>
      </c>
      <c r="G3150" s="39">
        <v>45516</v>
      </c>
      <c r="J3150" t="s">
        <v>982</v>
      </c>
    </row>
    <row r="3151" spans="1:10" x14ac:dyDescent="0.35">
      <c r="A3151">
        <v>13052</v>
      </c>
      <c r="B3151" t="s">
        <v>51</v>
      </c>
      <c r="C3151" t="s">
        <v>203</v>
      </c>
      <c r="D3151" t="s">
        <v>92</v>
      </c>
      <c r="E3151" t="s">
        <v>388</v>
      </c>
      <c r="F3151" t="s">
        <v>244</v>
      </c>
      <c r="G3151" s="39">
        <v>44228</v>
      </c>
      <c r="J3151" t="s">
        <v>982</v>
      </c>
    </row>
    <row r="3152" spans="1:10" x14ac:dyDescent="0.35">
      <c r="A3152">
        <v>12395</v>
      </c>
      <c r="B3152" t="s">
        <v>51</v>
      </c>
      <c r="C3152" t="s">
        <v>203</v>
      </c>
      <c r="D3152" t="s">
        <v>92</v>
      </c>
      <c r="E3152" t="s">
        <v>205</v>
      </c>
      <c r="F3152" t="s">
        <v>244</v>
      </c>
      <c r="G3152" s="39">
        <v>43728</v>
      </c>
      <c r="J3152" t="s">
        <v>982</v>
      </c>
    </row>
    <row r="3153" spans="1:10" x14ac:dyDescent="0.35">
      <c r="A3153">
        <v>13096</v>
      </c>
      <c r="B3153" t="s">
        <v>52</v>
      </c>
      <c r="C3153" t="s">
        <v>203</v>
      </c>
      <c r="D3153" t="s">
        <v>92</v>
      </c>
      <c r="E3153" t="s">
        <v>205</v>
      </c>
      <c r="F3153" t="s">
        <v>244</v>
      </c>
      <c r="G3153" s="39">
        <v>44250</v>
      </c>
      <c r="J3153" t="s">
        <v>982</v>
      </c>
    </row>
    <row r="3154" spans="1:10" x14ac:dyDescent="0.35">
      <c r="A3154">
        <v>12208</v>
      </c>
      <c r="B3154" t="s">
        <v>51</v>
      </c>
      <c r="C3154" t="s">
        <v>203</v>
      </c>
      <c r="D3154" t="s">
        <v>92</v>
      </c>
      <c r="E3154" t="s">
        <v>388</v>
      </c>
      <c r="F3154" t="s">
        <v>244</v>
      </c>
      <c r="G3154" s="39">
        <v>43587</v>
      </c>
      <c r="J3154" t="s">
        <v>982</v>
      </c>
    </row>
    <row r="3155" spans="1:10" x14ac:dyDescent="0.35">
      <c r="A3155">
        <v>12016</v>
      </c>
      <c r="B3155" t="s">
        <v>51</v>
      </c>
      <c r="C3155" t="s">
        <v>203</v>
      </c>
      <c r="D3155" t="s">
        <v>92</v>
      </c>
      <c r="E3155" t="s">
        <v>644</v>
      </c>
      <c r="F3155" t="s">
        <v>244</v>
      </c>
      <c r="G3155" s="39">
        <v>43385</v>
      </c>
      <c r="J3155" t="s">
        <v>982</v>
      </c>
    </row>
    <row r="3156" spans="1:10" x14ac:dyDescent="0.35">
      <c r="A3156">
        <v>16217</v>
      </c>
      <c r="B3156" t="s">
        <v>44</v>
      </c>
      <c r="C3156" t="s">
        <v>201</v>
      </c>
      <c r="D3156" t="s">
        <v>92</v>
      </c>
      <c r="E3156" t="s">
        <v>641</v>
      </c>
      <c r="F3156" t="s">
        <v>244</v>
      </c>
      <c r="G3156" s="39">
        <v>45323</v>
      </c>
      <c r="J3156" t="s">
        <v>982</v>
      </c>
    </row>
    <row r="3157" spans="1:10" x14ac:dyDescent="0.35">
      <c r="A3157">
        <v>12307</v>
      </c>
      <c r="B3157" t="s">
        <v>51</v>
      </c>
      <c r="C3157" t="s">
        <v>203</v>
      </c>
      <c r="D3157" t="s">
        <v>92</v>
      </c>
      <c r="E3157" t="s">
        <v>388</v>
      </c>
      <c r="F3157" t="s">
        <v>244</v>
      </c>
      <c r="G3157" s="39">
        <v>43672</v>
      </c>
      <c r="J3157" t="s">
        <v>982</v>
      </c>
    </row>
    <row r="3158" spans="1:10" x14ac:dyDescent="0.35">
      <c r="A3158">
        <v>15504</v>
      </c>
      <c r="B3158" t="s">
        <v>51</v>
      </c>
      <c r="C3158" t="s">
        <v>203</v>
      </c>
      <c r="D3158" t="s">
        <v>92</v>
      </c>
      <c r="E3158" t="s">
        <v>205</v>
      </c>
      <c r="F3158" t="s">
        <v>244</v>
      </c>
      <c r="G3158" s="39">
        <v>45099</v>
      </c>
      <c r="J3158" t="s">
        <v>982</v>
      </c>
    </row>
    <row r="3159" spans="1:10" x14ac:dyDescent="0.35">
      <c r="A3159">
        <v>17465</v>
      </c>
      <c r="B3159" t="s">
        <v>51</v>
      </c>
      <c r="C3159" t="s">
        <v>203</v>
      </c>
      <c r="D3159" t="s">
        <v>92</v>
      </c>
      <c r="E3159" t="s">
        <v>652</v>
      </c>
      <c r="F3159" t="s">
        <v>244</v>
      </c>
      <c r="G3159" s="39">
        <v>45758</v>
      </c>
      <c r="J3159" t="s">
        <v>982</v>
      </c>
    </row>
    <row r="3160" spans="1:10" x14ac:dyDescent="0.35">
      <c r="A3160">
        <v>14576</v>
      </c>
      <c r="B3160" t="s">
        <v>44</v>
      </c>
      <c r="C3160" t="s">
        <v>201</v>
      </c>
      <c r="D3160" t="s">
        <v>92</v>
      </c>
      <c r="E3160" t="s">
        <v>205</v>
      </c>
      <c r="F3160" t="s">
        <v>244</v>
      </c>
      <c r="G3160" s="39">
        <v>44791</v>
      </c>
      <c r="J3160" t="s">
        <v>982</v>
      </c>
    </row>
    <row r="3161" spans="1:10" x14ac:dyDescent="0.35">
      <c r="A3161">
        <v>17988</v>
      </c>
      <c r="B3161" t="s">
        <v>44</v>
      </c>
      <c r="C3161" t="s">
        <v>201</v>
      </c>
      <c r="D3161" t="s">
        <v>92</v>
      </c>
      <c r="E3161" t="s">
        <v>205</v>
      </c>
      <c r="F3161" t="s">
        <v>244</v>
      </c>
      <c r="G3161" s="39">
        <v>45947</v>
      </c>
      <c r="J3161" t="s">
        <v>982</v>
      </c>
    </row>
    <row r="3162" spans="1:10" x14ac:dyDescent="0.35">
      <c r="A3162">
        <v>16660</v>
      </c>
      <c r="B3162" t="s">
        <v>52</v>
      </c>
      <c r="C3162" t="s">
        <v>203</v>
      </c>
      <c r="D3162" t="s">
        <v>92</v>
      </c>
      <c r="E3162" t="s">
        <v>388</v>
      </c>
      <c r="F3162" t="s">
        <v>244</v>
      </c>
      <c r="G3162" s="39">
        <v>45516</v>
      </c>
      <c r="J3162" t="s">
        <v>982</v>
      </c>
    </row>
    <row r="3163" spans="1:10" x14ac:dyDescent="0.35">
      <c r="A3163">
        <v>18623</v>
      </c>
      <c r="B3163" t="s">
        <v>51</v>
      </c>
      <c r="C3163" t="s">
        <v>203</v>
      </c>
      <c r="D3163" t="s">
        <v>92</v>
      </c>
      <c r="E3163" t="s">
        <v>205</v>
      </c>
      <c r="F3163" t="s">
        <v>244</v>
      </c>
      <c r="G3163" s="39">
        <v>46174</v>
      </c>
      <c r="J3163" t="s">
        <v>982</v>
      </c>
    </row>
    <row r="3164" spans="1:10" x14ac:dyDescent="0.35">
      <c r="A3164">
        <v>18735</v>
      </c>
      <c r="B3164" t="s">
        <v>51</v>
      </c>
      <c r="C3164" t="s">
        <v>203</v>
      </c>
      <c r="D3164" t="s">
        <v>92</v>
      </c>
      <c r="E3164" t="s">
        <v>205</v>
      </c>
      <c r="F3164" t="s">
        <v>244</v>
      </c>
      <c r="G3164" s="39">
        <v>46198</v>
      </c>
      <c r="J3164" t="s">
        <v>982</v>
      </c>
    </row>
    <row r="3165" spans="1:10" x14ac:dyDescent="0.35">
      <c r="A3165">
        <v>11500</v>
      </c>
      <c r="B3165" t="s">
        <v>51</v>
      </c>
      <c r="C3165" t="s">
        <v>203</v>
      </c>
      <c r="D3165" t="s">
        <v>92</v>
      </c>
      <c r="E3165" t="s">
        <v>641</v>
      </c>
      <c r="F3165" t="s">
        <v>244</v>
      </c>
      <c r="G3165" s="39">
        <v>42768</v>
      </c>
      <c r="J3165" t="s">
        <v>982</v>
      </c>
    </row>
    <row r="3166" spans="1:10" x14ac:dyDescent="0.35">
      <c r="A3166">
        <v>12803</v>
      </c>
      <c r="B3166" t="s">
        <v>44</v>
      </c>
      <c r="C3166" t="s">
        <v>201</v>
      </c>
      <c r="D3166" t="s">
        <v>92</v>
      </c>
      <c r="E3166" t="s">
        <v>205</v>
      </c>
      <c r="F3166" t="s">
        <v>244</v>
      </c>
      <c r="G3166" s="39">
        <v>43936</v>
      </c>
      <c r="J3166" t="s">
        <v>982</v>
      </c>
    </row>
    <row r="3167" spans="1:10" x14ac:dyDescent="0.35">
      <c r="A3167">
        <v>15894</v>
      </c>
      <c r="B3167" t="s">
        <v>51</v>
      </c>
      <c r="C3167" t="s">
        <v>203</v>
      </c>
      <c r="D3167" t="s">
        <v>92</v>
      </c>
      <c r="E3167" t="s">
        <v>205</v>
      </c>
      <c r="F3167" t="s">
        <v>244</v>
      </c>
      <c r="G3167" s="39">
        <v>45233</v>
      </c>
      <c r="J3167" t="s">
        <v>982</v>
      </c>
    </row>
    <row r="3168" spans="1:10" x14ac:dyDescent="0.35">
      <c r="A3168">
        <v>17981</v>
      </c>
      <c r="B3168" t="s">
        <v>51</v>
      </c>
      <c r="C3168" t="s">
        <v>203</v>
      </c>
      <c r="D3168" t="s">
        <v>92</v>
      </c>
      <c r="E3168" t="s">
        <v>205</v>
      </c>
      <c r="F3168" t="s">
        <v>244</v>
      </c>
      <c r="G3168" s="39">
        <v>45945</v>
      </c>
      <c r="J3168" t="s">
        <v>982</v>
      </c>
    </row>
    <row r="3169" spans="1:10" x14ac:dyDescent="0.35">
      <c r="A3169">
        <v>17531</v>
      </c>
      <c r="B3169" t="s">
        <v>51</v>
      </c>
      <c r="C3169" t="s">
        <v>203</v>
      </c>
      <c r="D3169" t="s">
        <v>92</v>
      </c>
      <c r="E3169" t="s">
        <v>205</v>
      </c>
      <c r="F3169" t="s">
        <v>244</v>
      </c>
      <c r="G3169" s="39">
        <v>45789</v>
      </c>
      <c r="J3169" t="s">
        <v>982</v>
      </c>
    </row>
    <row r="3170" spans="1:10" x14ac:dyDescent="0.35">
      <c r="A3170">
        <v>18607</v>
      </c>
      <c r="B3170" t="s">
        <v>51</v>
      </c>
      <c r="C3170" t="s">
        <v>203</v>
      </c>
      <c r="D3170" t="s">
        <v>92</v>
      </c>
      <c r="E3170" t="s">
        <v>205</v>
      </c>
      <c r="F3170" t="s">
        <v>244</v>
      </c>
      <c r="G3170" s="39">
        <v>46164</v>
      </c>
      <c r="J3170" t="s">
        <v>982</v>
      </c>
    </row>
    <row r="3171" spans="1:10" x14ac:dyDescent="0.35">
      <c r="A3171">
        <v>17426</v>
      </c>
      <c r="B3171" t="s">
        <v>51</v>
      </c>
      <c r="C3171" t="s">
        <v>203</v>
      </c>
      <c r="D3171" t="s">
        <v>92</v>
      </c>
      <c r="E3171" t="s">
        <v>205</v>
      </c>
      <c r="F3171" t="s">
        <v>244</v>
      </c>
      <c r="G3171" s="39">
        <v>45750</v>
      </c>
      <c r="J3171" t="s">
        <v>982</v>
      </c>
    </row>
    <row r="3172" spans="1:10" x14ac:dyDescent="0.35">
      <c r="A3172">
        <v>17440</v>
      </c>
      <c r="B3172" t="s">
        <v>51</v>
      </c>
      <c r="C3172" t="s">
        <v>203</v>
      </c>
      <c r="D3172" t="s">
        <v>92</v>
      </c>
      <c r="E3172" t="s">
        <v>205</v>
      </c>
      <c r="F3172" t="s">
        <v>244</v>
      </c>
      <c r="G3172" s="39">
        <v>45751</v>
      </c>
      <c r="J3172" t="s">
        <v>982</v>
      </c>
    </row>
    <row r="3173" spans="1:10" x14ac:dyDescent="0.35">
      <c r="A3173">
        <v>12223</v>
      </c>
      <c r="B3173" t="s">
        <v>51</v>
      </c>
      <c r="C3173" t="s">
        <v>203</v>
      </c>
      <c r="D3173" t="s">
        <v>92</v>
      </c>
      <c r="E3173" t="s">
        <v>205</v>
      </c>
      <c r="F3173" t="s">
        <v>244</v>
      </c>
      <c r="G3173" s="39">
        <v>43619</v>
      </c>
      <c r="J3173" t="s">
        <v>982</v>
      </c>
    </row>
    <row r="3174" spans="1:10" x14ac:dyDescent="0.35">
      <c r="A3174">
        <v>16703</v>
      </c>
      <c r="B3174" t="s">
        <v>44</v>
      </c>
      <c r="C3174" t="s">
        <v>201</v>
      </c>
      <c r="D3174" t="s">
        <v>92</v>
      </c>
      <c r="E3174" t="s">
        <v>205</v>
      </c>
      <c r="F3174" t="s">
        <v>244</v>
      </c>
      <c r="G3174" s="39">
        <v>45531</v>
      </c>
      <c r="J3174" t="s">
        <v>982</v>
      </c>
    </row>
    <row r="3175" spans="1:10" x14ac:dyDescent="0.35">
      <c r="A3175">
        <v>13089</v>
      </c>
      <c r="B3175" t="s">
        <v>51</v>
      </c>
      <c r="C3175" t="s">
        <v>203</v>
      </c>
      <c r="D3175" t="s">
        <v>92</v>
      </c>
      <c r="E3175" t="s">
        <v>388</v>
      </c>
      <c r="F3175" t="s">
        <v>244</v>
      </c>
      <c r="G3175" s="39">
        <v>44246</v>
      </c>
      <c r="J3175" t="s">
        <v>982</v>
      </c>
    </row>
    <row r="3176" spans="1:10" x14ac:dyDescent="0.35">
      <c r="A3176">
        <v>13167</v>
      </c>
      <c r="B3176" t="s">
        <v>51</v>
      </c>
      <c r="C3176" t="s">
        <v>203</v>
      </c>
      <c r="D3176" t="s">
        <v>92</v>
      </c>
      <c r="E3176" t="s">
        <v>205</v>
      </c>
      <c r="F3176" t="s">
        <v>244</v>
      </c>
      <c r="G3176" s="39">
        <v>44299</v>
      </c>
      <c r="J3176" t="s">
        <v>982</v>
      </c>
    </row>
    <row r="3177" spans="1:10" x14ac:dyDescent="0.35">
      <c r="A3177">
        <v>14363</v>
      </c>
      <c r="B3177" t="s">
        <v>51</v>
      </c>
      <c r="C3177" t="s">
        <v>203</v>
      </c>
      <c r="D3177" t="s">
        <v>92</v>
      </c>
      <c r="E3177" t="s">
        <v>205</v>
      </c>
      <c r="F3177" t="s">
        <v>244</v>
      </c>
      <c r="G3177" s="39">
        <v>44743</v>
      </c>
      <c r="J3177" t="s">
        <v>982</v>
      </c>
    </row>
    <row r="3178" spans="1:10" x14ac:dyDescent="0.35">
      <c r="A3178">
        <v>12675</v>
      </c>
      <c r="B3178" t="s">
        <v>51</v>
      </c>
      <c r="C3178" t="s">
        <v>203</v>
      </c>
      <c r="D3178" t="s">
        <v>92</v>
      </c>
      <c r="E3178" t="s">
        <v>207</v>
      </c>
      <c r="F3178" t="s">
        <v>411</v>
      </c>
      <c r="G3178" s="39">
        <v>43864</v>
      </c>
      <c r="J3178" t="s">
        <v>982</v>
      </c>
    </row>
    <row r="3179" spans="1:10" x14ac:dyDescent="0.35">
      <c r="A3179">
        <v>17123</v>
      </c>
      <c r="B3179" t="s">
        <v>51</v>
      </c>
      <c r="C3179" t="s">
        <v>203</v>
      </c>
      <c r="D3179" t="s">
        <v>92</v>
      </c>
      <c r="E3179" t="s">
        <v>659</v>
      </c>
      <c r="F3179" t="s">
        <v>244</v>
      </c>
      <c r="G3179" s="39">
        <v>45639</v>
      </c>
      <c r="J3179" t="s">
        <v>982</v>
      </c>
    </row>
    <row r="3180" spans="1:10" x14ac:dyDescent="0.35">
      <c r="A3180">
        <v>13691</v>
      </c>
      <c r="B3180" t="s">
        <v>51</v>
      </c>
      <c r="C3180" t="s">
        <v>203</v>
      </c>
      <c r="D3180" t="s">
        <v>92</v>
      </c>
      <c r="E3180" t="s">
        <v>207</v>
      </c>
      <c r="F3180" t="s">
        <v>244</v>
      </c>
      <c r="G3180" s="39">
        <v>44537</v>
      </c>
      <c r="J3180" t="s">
        <v>982</v>
      </c>
    </row>
    <row r="3181" spans="1:10" x14ac:dyDescent="0.35">
      <c r="A3181">
        <v>18316</v>
      </c>
      <c r="B3181" t="s">
        <v>51</v>
      </c>
      <c r="C3181" t="s">
        <v>203</v>
      </c>
      <c r="D3181" t="s">
        <v>92</v>
      </c>
      <c r="E3181" t="s">
        <v>207</v>
      </c>
      <c r="F3181" t="s">
        <v>244</v>
      </c>
      <c r="G3181" s="39">
        <v>46086</v>
      </c>
      <c r="J3181" t="s">
        <v>982</v>
      </c>
    </row>
    <row r="3182" spans="1:10" x14ac:dyDescent="0.35">
      <c r="A3182">
        <v>14296</v>
      </c>
      <c r="B3182" t="s">
        <v>51</v>
      </c>
      <c r="C3182" t="s">
        <v>203</v>
      </c>
      <c r="D3182" t="s">
        <v>92</v>
      </c>
      <c r="E3182" t="s">
        <v>641</v>
      </c>
      <c r="F3182" t="s">
        <v>244</v>
      </c>
      <c r="G3182" s="39">
        <v>44718</v>
      </c>
      <c r="J3182" t="s">
        <v>982</v>
      </c>
    </row>
    <row r="3183" spans="1:10" x14ac:dyDescent="0.35">
      <c r="A3183">
        <v>13032</v>
      </c>
      <c r="B3183" t="s">
        <v>44</v>
      </c>
      <c r="C3183" t="s">
        <v>201</v>
      </c>
      <c r="D3183" t="s">
        <v>92</v>
      </c>
      <c r="E3183" t="s">
        <v>207</v>
      </c>
      <c r="F3183" t="s">
        <v>244</v>
      </c>
      <c r="G3183" s="39">
        <v>44207</v>
      </c>
      <c r="J3183" t="s">
        <v>982</v>
      </c>
    </row>
    <row r="3184" spans="1:10" x14ac:dyDescent="0.35">
      <c r="A3184">
        <v>13076</v>
      </c>
      <c r="B3184" t="s">
        <v>51</v>
      </c>
      <c r="C3184" t="s">
        <v>203</v>
      </c>
      <c r="D3184" t="s">
        <v>92</v>
      </c>
      <c r="E3184" t="s">
        <v>207</v>
      </c>
      <c r="F3184" t="s">
        <v>244</v>
      </c>
      <c r="G3184" s="39">
        <v>44238</v>
      </c>
      <c r="J3184" t="s">
        <v>982</v>
      </c>
    </row>
    <row r="3185" spans="1:10" x14ac:dyDescent="0.35">
      <c r="A3185">
        <v>15718</v>
      </c>
      <c r="B3185" t="s">
        <v>51</v>
      </c>
      <c r="C3185" t="s">
        <v>203</v>
      </c>
      <c r="D3185" t="s">
        <v>92</v>
      </c>
      <c r="E3185" t="s">
        <v>207</v>
      </c>
      <c r="F3185" t="s">
        <v>244</v>
      </c>
      <c r="G3185" s="39">
        <v>45176</v>
      </c>
      <c r="J3185" t="s">
        <v>982</v>
      </c>
    </row>
    <row r="3186" spans="1:10" x14ac:dyDescent="0.35">
      <c r="A3186">
        <v>14368</v>
      </c>
      <c r="B3186" t="s">
        <v>51</v>
      </c>
      <c r="C3186" t="s">
        <v>203</v>
      </c>
      <c r="D3186" t="s">
        <v>92</v>
      </c>
      <c r="E3186" t="s">
        <v>207</v>
      </c>
      <c r="F3186" t="s">
        <v>244</v>
      </c>
      <c r="G3186" s="39">
        <v>44743</v>
      </c>
      <c r="J3186" t="s">
        <v>982</v>
      </c>
    </row>
    <row r="3187" spans="1:10" x14ac:dyDescent="0.35">
      <c r="A3187">
        <v>13075</v>
      </c>
      <c r="B3187" t="s">
        <v>51</v>
      </c>
      <c r="C3187" t="s">
        <v>203</v>
      </c>
      <c r="D3187" t="s">
        <v>92</v>
      </c>
      <c r="E3187" t="s">
        <v>207</v>
      </c>
      <c r="F3187" t="s">
        <v>244</v>
      </c>
      <c r="G3187" s="39">
        <v>44238</v>
      </c>
      <c r="J3187" t="s">
        <v>982</v>
      </c>
    </row>
    <row r="3188" spans="1:10" x14ac:dyDescent="0.35">
      <c r="A3188">
        <v>15663</v>
      </c>
      <c r="B3188" t="s">
        <v>52</v>
      </c>
      <c r="C3188" t="s">
        <v>203</v>
      </c>
      <c r="D3188" t="s">
        <v>92</v>
      </c>
      <c r="E3188" t="s">
        <v>96</v>
      </c>
      <c r="F3188" t="s">
        <v>244</v>
      </c>
      <c r="G3188" s="39">
        <v>45159</v>
      </c>
      <c r="J3188" t="s">
        <v>982</v>
      </c>
    </row>
    <row r="3189" spans="1:10" x14ac:dyDescent="0.35">
      <c r="A3189">
        <v>15074</v>
      </c>
      <c r="B3189" t="s">
        <v>52</v>
      </c>
      <c r="C3189" t="s">
        <v>203</v>
      </c>
      <c r="D3189" t="s">
        <v>92</v>
      </c>
      <c r="E3189" t="s">
        <v>653</v>
      </c>
      <c r="F3189" t="s">
        <v>244</v>
      </c>
      <c r="G3189" s="39">
        <v>44942</v>
      </c>
      <c r="J3189" t="s">
        <v>982</v>
      </c>
    </row>
    <row r="3190" spans="1:10" x14ac:dyDescent="0.35">
      <c r="A3190">
        <v>18201</v>
      </c>
      <c r="B3190" t="s">
        <v>52</v>
      </c>
      <c r="C3190" t="s">
        <v>203</v>
      </c>
      <c r="D3190" t="s">
        <v>92</v>
      </c>
      <c r="E3190" t="s">
        <v>653</v>
      </c>
      <c r="F3190" t="s">
        <v>244</v>
      </c>
      <c r="G3190" s="39">
        <v>46057</v>
      </c>
      <c r="J3190" t="s">
        <v>982</v>
      </c>
    </row>
    <row r="3191" spans="1:10" x14ac:dyDescent="0.35">
      <c r="A3191">
        <v>18187</v>
      </c>
      <c r="B3191" t="s">
        <v>52</v>
      </c>
      <c r="C3191" t="s">
        <v>203</v>
      </c>
      <c r="D3191" t="s">
        <v>92</v>
      </c>
      <c r="E3191" t="s">
        <v>653</v>
      </c>
      <c r="F3191" t="s">
        <v>244</v>
      </c>
      <c r="G3191" s="39">
        <v>46038</v>
      </c>
      <c r="J3191" t="s">
        <v>982</v>
      </c>
    </row>
    <row r="3192" spans="1:10" x14ac:dyDescent="0.35">
      <c r="A3192">
        <v>17744</v>
      </c>
      <c r="B3192" t="s">
        <v>52</v>
      </c>
      <c r="C3192" t="s">
        <v>203</v>
      </c>
      <c r="D3192" t="s">
        <v>92</v>
      </c>
      <c r="E3192" t="s">
        <v>653</v>
      </c>
      <c r="F3192" t="s">
        <v>244</v>
      </c>
      <c r="G3192" s="39">
        <v>45861</v>
      </c>
      <c r="J3192" t="s">
        <v>982</v>
      </c>
    </row>
    <row r="3193" spans="1:10" x14ac:dyDescent="0.35">
      <c r="A3193">
        <v>17563</v>
      </c>
      <c r="B3193" t="s">
        <v>51</v>
      </c>
      <c r="C3193" t="s">
        <v>203</v>
      </c>
      <c r="D3193" t="s">
        <v>92</v>
      </c>
      <c r="E3193" t="s">
        <v>653</v>
      </c>
      <c r="F3193" t="s">
        <v>244</v>
      </c>
      <c r="G3193" s="39">
        <v>45796</v>
      </c>
      <c r="J3193" t="s">
        <v>982</v>
      </c>
    </row>
    <row r="3194" spans="1:10" x14ac:dyDescent="0.35">
      <c r="A3194">
        <v>17292</v>
      </c>
      <c r="B3194" t="s">
        <v>52</v>
      </c>
      <c r="C3194" t="s">
        <v>203</v>
      </c>
      <c r="D3194" t="s">
        <v>92</v>
      </c>
      <c r="E3194" t="s">
        <v>653</v>
      </c>
      <c r="F3194" t="s">
        <v>244</v>
      </c>
      <c r="G3194" s="39">
        <v>45698</v>
      </c>
      <c r="J3194" t="s">
        <v>982</v>
      </c>
    </row>
    <row r="3195" spans="1:10" x14ac:dyDescent="0.35">
      <c r="A3195">
        <v>16413</v>
      </c>
      <c r="B3195" t="s">
        <v>52</v>
      </c>
      <c r="C3195" t="s">
        <v>203</v>
      </c>
      <c r="D3195" t="s">
        <v>92</v>
      </c>
      <c r="E3195" t="s">
        <v>653</v>
      </c>
      <c r="F3195" t="s">
        <v>244</v>
      </c>
      <c r="G3195" s="39">
        <v>45384</v>
      </c>
      <c r="J3195" t="s">
        <v>982</v>
      </c>
    </row>
    <row r="3196" spans="1:10" x14ac:dyDescent="0.35">
      <c r="A3196">
        <v>16548</v>
      </c>
      <c r="B3196" t="s">
        <v>52</v>
      </c>
      <c r="C3196" t="s">
        <v>203</v>
      </c>
      <c r="D3196" t="s">
        <v>92</v>
      </c>
      <c r="E3196" t="s">
        <v>653</v>
      </c>
      <c r="F3196" t="s">
        <v>244</v>
      </c>
      <c r="G3196" s="39">
        <v>45482</v>
      </c>
      <c r="J3196" t="s">
        <v>982</v>
      </c>
    </row>
    <row r="3197" spans="1:10" x14ac:dyDescent="0.35">
      <c r="A3197">
        <v>12846</v>
      </c>
      <c r="B3197" t="s">
        <v>51</v>
      </c>
      <c r="C3197" t="s">
        <v>203</v>
      </c>
      <c r="D3197" t="s">
        <v>92</v>
      </c>
      <c r="E3197" t="s">
        <v>641</v>
      </c>
      <c r="F3197" t="s">
        <v>244</v>
      </c>
      <c r="G3197" s="39">
        <v>44032</v>
      </c>
      <c r="J3197" t="s">
        <v>982</v>
      </c>
    </row>
    <row r="3198" spans="1:10" x14ac:dyDescent="0.35">
      <c r="A3198">
        <v>17081</v>
      </c>
      <c r="B3198" t="s">
        <v>51</v>
      </c>
      <c r="C3198" t="s">
        <v>203</v>
      </c>
      <c r="D3198" t="s">
        <v>92</v>
      </c>
      <c r="E3198" t="s">
        <v>204</v>
      </c>
      <c r="F3198" t="s">
        <v>244</v>
      </c>
      <c r="G3198" s="39">
        <v>45621</v>
      </c>
      <c r="J3198" t="s">
        <v>982</v>
      </c>
    </row>
    <row r="3199" spans="1:10" x14ac:dyDescent="0.35">
      <c r="A3199">
        <v>15221</v>
      </c>
      <c r="B3199" t="s">
        <v>51</v>
      </c>
      <c r="C3199" t="s">
        <v>203</v>
      </c>
      <c r="D3199" t="s">
        <v>92</v>
      </c>
      <c r="E3199" t="s">
        <v>204</v>
      </c>
      <c r="F3199" t="s">
        <v>244</v>
      </c>
      <c r="G3199" s="39">
        <v>44992</v>
      </c>
      <c r="J3199" t="s">
        <v>982</v>
      </c>
    </row>
    <row r="3200" spans="1:10" x14ac:dyDescent="0.35">
      <c r="A3200">
        <v>15800</v>
      </c>
      <c r="B3200" t="s">
        <v>51</v>
      </c>
      <c r="C3200" t="s">
        <v>203</v>
      </c>
      <c r="D3200" t="s">
        <v>92</v>
      </c>
      <c r="E3200" t="s">
        <v>204</v>
      </c>
      <c r="F3200" t="s">
        <v>244</v>
      </c>
      <c r="G3200" s="39">
        <v>45196</v>
      </c>
      <c r="J3200" t="s">
        <v>982</v>
      </c>
    </row>
    <row r="3201" spans="1:10" x14ac:dyDescent="0.35">
      <c r="A3201">
        <v>16842</v>
      </c>
      <c r="B3201" t="s">
        <v>44</v>
      </c>
      <c r="C3201" t="s">
        <v>201</v>
      </c>
      <c r="D3201" t="s">
        <v>92</v>
      </c>
      <c r="E3201" t="s">
        <v>397</v>
      </c>
      <c r="F3201" t="s">
        <v>244</v>
      </c>
      <c r="G3201" s="39">
        <v>45567</v>
      </c>
      <c r="J3201" t="s">
        <v>982</v>
      </c>
    </row>
    <row r="3202" spans="1:10" x14ac:dyDescent="0.35">
      <c r="A3202">
        <v>17400</v>
      </c>
      <c r="B3202" t="s">
        <v>52</v>
      </c>
      <c r="C3202" t="s">
        <v>208</v>
      </c>
      <c r="D3202" t="s">
        <v>92</v>
      </c>
      <c r="E3202" t="s">
        <v>96</v>
      </c>
      <c r="F3202" t="s">
        <v>244</v>
      </c>
      <c r="G3202" s="39">
        <v>45748</v>
      </c>
      <c r="J3202" t="s">
        <v>982</v>
      </c>
    </row>
    <row r="3203" spans="1:10" x14ac:dyDescent="0.35">
      <c r="A3203">
        <v>15432</v>
      </c>
      <c r="B3203" t="s">
        <v>44</v>
      </c>
      <c r="C3203" t="s">
        <v>201</v>
      </c>
      <c r="D3203" t="s">
        <v>92</v>
      </c>
      <c r="E3203" t="s">
        <v>96</v>
      </c>
      <c r="F3203" t="s">
        <v>244</v>
      </c>
      <c r="G3203" s="39">
        <v>45070</v>
      </c>
      <c r="J3203" t="s">
        <v>982</v>
      </c>
    </row>
    <row r="3204" spans="1:10" x14ac:dyDescent="0.35">
      <c r="A3204">
        <v>18165</v>
      </c>
      <c r="B3204" t="s">
        <v>44</v>
      </c>
      <c r="C3204" t="s">
        <v>201</v>
      </c>
      <c r="D3204" t="s">
        <v>92</v>
      </c>
      <c r="E3204" t="s">
        <v>660</v>
      </c>
      <c r="F3204" t="s">
        <v>244</v>
      </c>
      <c r="G3204" s="39">
        <v>46029</v>
      </c>
      <c r="J3204" t="s">
        <v>982</v>
      </c>
    </row>
    <row r="3205" spans="1:10" x14ac:dyDescent="0.35">
      <c r="A3205">
        <v>17788</v>
      </c>
      <c r="B3205" t="s">
        <v>44</v>
      </c>
      <c r="C3205" t="s">
        <v>201</v>
      </c>
      <c r="D3205" t="s">
        <v>92</v>
      </c>
      <c r="E3205" t="s">
        <v>661</v>
      </c>
      <c r="F3205" t="s">
        <v>244</v>
      </c>
      <c r="G3205" s="39">
        <v>45870</v>
      </c>
      <c r="J3205" t="s">
        <v>982</v>
      </c>
    </row>
    <row r="3206" spans="1:10" x14ac:dyDescent="0.35">
      <c r="A3206">
        <v>18146</v>
      </c>
      <c r="B3206" t="s">
        <v>44</v>
      </c>
      <c r="C3206" t="s">
        <v>201</v>
      </c>
      <c r="D3206" t="s">
        <v>92</v>
      </c>
      <c r="E3206" t="s">
        <v>661</v>
      </c>
      <c r="F3206" t="s">
        <v>244</v>
      </c>
      <c r="G3206" s="39">
        <v>46010</v>
      </c>
      <c r="J3206" t="s">
        <v>982</v>
      </c>
    </row>
    <row r="3207" spans="1:10" x14ac:dyDescent="0.35">
      <c r="A3207">
        <v>18413</v>
      </c>
      <c r="B3207" t="s">
        <v>44</v>
      </c>
      <c r="C3207" t="s">
        <v>201</v>
      </c>
      <c r="D3207" t="s">
        <v>92</v>
      </c>
      <c r="E3207" t="s">
        <v>661</v>
      </c>
      <c r="F3207" t="s">
        <v>244</v>
      </c>
      <c r="G3207" s="39">
        <v>46125</v>
      </c>
      <c r="J3207" t="s">
        <v>982</v>
      </c>
    </row>
    <row r="3208" spans="1:10" x14ac:dyDescent="0.35">
      <c r="A3208">
        <v>18351</v>
      </c>
      <c r="B3208" t="s">
        <v>44</v>
      </c>
      <c r="C3208" t="s">
        <v>201</v>
      </c>
      <c r="D3208" t="s">
        <v>92</v>
      </c>
      <c r="E3208" t="s">
        <v>661</v>
      </c>
      <c r="F3208" t="s">
        <v>244</v>
      </c>
      <c r="G3208" s="39">
        <v>46097</v>
      </c>
      <c r="J3208" t="s">
        <v>982</v>
      </c>
    </row>
    <row r="3209" spans="1:10" x14ac:dyDescent="0.35">
      <c r="A3209">
        <v>17135</v>
      </c>
      <c r="B3209" t="s">
        <v>52</v>
      </c>
      <c r="C3209" t="s">
        <v>208</v>
      </c>
      <c r="D3209" t="s">
        <v>92</v>
      </c>
      <c r="E3209" t="s">
        <v>96</v>
      </c>
      <c r="F3209" t="s">
        <v>244</v>
      </c>
      <c r="G3209" s="39">
        <v>45644</v>
      </c>
      <c r="J3209" t="s">
        <v>982</v>
      </c>
    </row>
    <row r="3210" spans="1:10" x14ac:dyDescent="0.35">
      <c r="A3210">
        <v>18156</v>
      </c>
      <c r="B3210" t="s">
        <v>52</v>
      </c>
      <c r="C3210" t="s">
        <v>208</v>
      </c>
      <c r="D3210" t="s">
        <v>92</v>
      </c>
      <c r="E3210" t="s">
        <v>209</v>
      </c>
      <c r="F3210" t="s">
        <v>244</v>
      </c>
      <c r="G3210" s="39">
        <v>46016</v>
      </c>
      <c r="J3210" t="s">
        <v>982</v>
      </c>
    </row>
    <row r="3211" spans="1:10" x14ac:dyDescent="0.35">
      <c r="A3211">
        <v>17344</v>
      </c>
      <c r="B3211" t="s">
        <v>52</v>
      </c>
      <c r="C3211" t="s">
        <v>208</v>
      </c>
      <c r="D3211" t="s">
        <v>92</v>
      </c>
      <c r="E3211" t="s">
        <v>209</v>
      </c>
      <c r="F3211" t="s">
        <v>244</v>
      </c>
      <c r="G3211" s="39">
        <v>45708</v>
      </c>
      <c r="J3211" t="s">
        <v>982</v>
      </c>
    </row>
    <row r="3212" spans="1:10" x14ac:dyDescent="0.35">
      <c r="A3212">
        <v>17737</v>
      </c>
      <c r="B3212" t="s">
        <v>44</v>
      </c>
      <c r="C3212" t="s">
        <v>201</v>
      </c>
      <c r="D3212" t="s">
        <v>92</v>
      </c>
      <c r="E3212" t="s">
        <v>96</v>
      </c>
      <c r="F3212" t="s">
        <v>244</v>
      </c>
      <c r="G3212" s="39">
        <v>45866</v>
      </c>
      <c r="J3212" t="s">
        <v>982</v>
      </c>
    </row>
    <row r="3213" spans="1:10" x14ac:dyDescent="0.35">
      <c r="A3213">
        <v>17097</v>
      </c>
      <c r="B3213" t="s">
        <v>52</v>
      </c>
      <c r="C3213" t="s">
        <v>208</v>
      </c>
      <c r="D3213" t="s">
        <v>92</v>
      </c>
      <c r="E3213" t="s">
        <v>209</v>
      </c>
      <c r="F3213" t="s">
        <v>244</v>
      </c>
      <c r="G3213" s="39">
        <v>45624</v>
      </c>
      <c r="J3213" t="s">
        <v>982</v>
      </c>
    </row>
    <row r="3214" spans="1:10" x14ac:dyDescent="0.35">
      <c r="A3214">
        <v>17672</v>
      </c>
      <c r="B3214" t="s">
        <v>52</v>
      </c>
      <c r="C3214" t="s">
        <v>208</v>
      </c>
      <c r="D3214" t="s">
        <v>92</v>
      </c>
      <c r="E3214" t="s">
        <v>209</v>
      </c>
      <c r="F3214" t="s">
        <v>244</v>
      </c>
      <c r="G3214" s="39">
        <v>45845</v>
      </c>
      <c r="J3214" t="s">
        <v>982</v>
      </c>
    </row>
    <row r="3215" spans="1:10" x14ac:dyDescent="0.35">
      <c r="A3215">
        <v>18168</v>
      </c>
      <c r="B3215" t="s">
        <v>51</v>
      </c>
      <c r="C3215" t="s">
        <v>208</v>
      </c>
      <c r="D3215" t="s">
        <v>92</v>
      </c>
      <c r="E3215" t="s">
        <v>209</v>
      </c>
      <c r="F3215" t="s">
        <v>244</v>
      </c>
      <c r="G3215" s="39">
        <v>46031</v>
      </c>
      <c r="J3215" t="s">
        <v>982</v>
      </c>
    </row>
    <row r="3216" spans="1:10" x14ac:dyDescent="0.35">
      <c r="A3216">
        <v>18086</v>
      </c>
      <c r="B3216" t="s">
        <v>52</v>
      </c>
      <c r="C3216" t="s">
        <v>208</v>
      </c>
      <c r="D3216" t="s">
        <v>92</v>
      </c>
      <c r="E3216" t="s">
        <v>209</v>
      </c>
      <c r="F3216" t="s">
        <v>244</v>
      </c>
      <c r="G3216" s="39">
        <v>45992</v>
      </c>
      <c r="J3216" t="s">
        <v>982</v>
      </c>
    </row>
    <row r="3217" spans="1:10" x14ac:dyDescent="0.35">
      <c r="A3217">
        <v>19125</v>
      </c>
      <c r="B3217" t="s">
        <v>52</v>
      </c>
      <c r="C3217" t="s">
        <v>208</v>
      </c>
      <c r="D3217" t="s">
        <v>92</v>
      </c>
      <c r="E3217" t="s">
        <v>209</v>
      </c>
      <c r="F3217" t="s">
        <v>244</v>
      </c>
      <c r="G3217" s="39">
        <v>46273</v>
      </c>
      <c r="J3217" t="s">
        <v>981</v>
      </c>
    </row>
    <row r="3218" spans="1:10" x14ac:dyDescent="0.35">
      <c r="A3218">
        <v>19143</v>
      </c>
      <c r="B3218" t="s">
        <v>52</v>
      </c>
      <c r="C3218" t="s">
        <v>208</v>
      </c>
      <c r="D3218" t="s">
        <v>92</v>
      </c>
      <c r="E3218" t="s">
        <v>209</v>
      </c>
      <c r="F3218" t="s">
        <v>244</v>
      </c>
      <c r="G3218" s="39">
        <v>46274</v>
      </c>
      <c r="J3218" t="s">
        <v>982</v>
      </c>
    </row>
    <row r="3219" spans="1:10" x14ac:dyDescent="0.35">
      <c r="A3219">
        <v>18127</v>
      </c>
      <c r="B3219" t="s">
        <v>44</v>
      </c>
      <c r="C3219" t="s">
        <v>201</v>
      </c>
      <c r="D3219" t="s">
        <v>92</v>
      </c>
      <c r="E3219" t="s">
        <v>209</v>
      </c>
      <c r="F3219" t="s">
        <v>244</v>
      </c>
      <c r="G3219" s="39">
        <v>46007</v>
      </c>
      <c r="J3219" t="s">
        <v>982</v>
      </c>
    </row>
    <row r="3220" spans="1:10" x14ac:dyDescent="0.35">
      <c r="A3220">
        <v>19017</v>
      </c>
      <c r="B3220" t="s">
        <v>44</v>
      </c>
      <c r="C3220" t="s">
        <v>201</v>
      </c>
      <c r="D3220" t="s">
        <v>92</v>
      </c>
      <c r="E3220" t="s">
        <v>209</v>
      </c>
      <c r="F3220" t="s">
        <v>244</v>
      </c>
      <c r="G3220" s="39">
        <v>46259</v>
      </c>
      <c r="J3220" t="s">
        <v>982</v>
      </c>
    </row>
    <row r="3221" spans="1:10" x14ac:dyDescent="0.35">
      <c r="A3221">
        <v>19032</v>
      </c>
      <c r="B3221" t="s">
        <v>44</v>
      </c>
      <c r="C3221" t="s">
        <v>201</v>
      </c>
      <c r="D3221" t="s">
        <v>92</v>
      </c>
      <c r="E3221" t="s">
        <v>209</v>
      </c>
      <c r="F3221" t="s">
        <v>244</v>
      </c>
      <c r="G3221" s="39">
        <v>46260</v>
      </c>
      <c r="J3221" t="s">
        <v>982</v>
      </c>
    </row>
    <row r="3222" spans="1:10" x14ac:dyDescent="0.35">
      <c r="A3222">
        <v>18544</v>
      </c>
      <c r="B3222" t="s">
        <v>44</v>
      </c>
      <c r="C3222" t="s">
        <v>201</v>
      </c>
      <c r="D3222" t="s">
        <v>92</v>
      </c>
      <c r="E3222" t="s">
        <v>209</v>
      </c>
      <c r="F3222" t="s">
        <v>244</v>
      </c>
      <c r="G3222" s="39">
        <v>46154</v>
      </c>
      <c r="J3222" t="s">
        <v>982</v>
      </c>
    </row>
    <row r="3223" spans="1:10" x14ac:dyDescent="0.35">
      <c r="A3223">
        <v>18865</v>
      </c>
      <c r="B3223" t="s">
        <v>44</v>
      </c>
      <c r="C3223" t="s">
        <v>201</v>
      </c>
      <c r="D3223" t="s">
        <v>92</v>
      </c>
      <c r="E3223" t="s">
        <v>209</v>
      </c>
      <c r="F3223" t="s">
        <v>244</v>
      </c>
      <c r="G3223" s="39">
        <v>46220</v>
      </c>
      <c r="H3223" t="s">
        <v>57</v>
      </c>
      <c r="J3223" t="s">
        <v>982</v>
      </c>
    </row>
    <row r="3224" spans="1:10" x14ac:dyDescent="0.35">
      <c r="A3224">
        <v>18309</v>
      </c>
      <c r="B3224" t="s">
        <v>52</v>
      </c>
      <c r="C3224" t="s">
        <v>208</v>
      </c>
      <c r="D3224" t="s">
        <v>92</v>
      </c>
      <c r="E3224" t="s">
        <v>209</v>
      </c>
      <c r="F3224" t="s">
        <v>244</v>
      </c>
      <c r="G3224" s="39">
        <v>46084</v>
      </c>
      <c r="J3224" t="s">
        <v>982</v>
      </c>
    </row>
    <row r="3225" spans="1:10" x14ac:dyDescent="0.35">
      <c r="A3225">
        <v>19108</v>
      </c>
      <c r="B3225" t="s">
        <v>52</v>
      </c>
      <c r="C3225" t="s">
        <v>208</v>
      </c>
      <c r="D3225" t="s">
        <v>92</v>
      </c>
      <c r="E3225" t="s">
        <v>209</v>
      </c>
      <c r="F3225" t="s">
        <v>244</v>
      </c>
      <c r="G3225" s="39">
        <v>46272</v>
      </c>
      <c r="J3225" t="s">
        <v>982</v>
      </c>
    </row>
    <row r="3226" spans="1:10" x14ac:dyDescent="0.35">
      <c r="A3226">
        <v>19107</v>
      </c>
      <c r="B3226" t="s">
        <v>52</v>
      </c>
      <c r="C3226" t="s">
        <v>208</v>
      </c>
      <c r="D3226" t="s">
        <v>92</v>
      </c>
      <c r="E3226" t="s">
        <v>209</v>
      </c>
      <c r="F3226" t="s">
        <v>244</v>
      </c>
      <c r="G3226" s="39">
        <v>46272</v>
      </c>
      <c r="J3226" t="s">
        <v>982</v>
      </c>
    </row>
    <row r="3227" spans="1:10" x14ac:dyDescent="0.35">
      <c r="A3227">
        <v>19178</v>
      </c>
      <c r="B3227" t="s">
        <v>52</v>
      </c>
      <c r="C3227" t="s">
        <v>208</v>
      </c>
      <c r="D3227" t="s">
        <v>92</v>
      </c>
      <c r="E3227" t="s">
        <v>209</v>
      </c>
      <c r="F3227" t="s">
        <v>244</v>
      </c>
      <c r="G3227" s="39">
        <v>46281</v>
      </c>
      <c r="J3227" t="s">
        <v>982</v>
      </c>
    </row>
    <row r="3228" spans="1:10" x14ac:dyDescent="0.35">
      <c r="A3228">
        <v>18615</v>
      </c>
      <c r="B3228" t="s">
        <v>52</v>
      </c>
      <c r="C3228" t="s">
        <v>208</v>
      </c>
      <c r="D3228" t="s">
        <v>92</v>
      </c>
      <c r="E3228" t="s">
        <v>209</v>
      </c>
      <c r="F3228" t="s">
        <v>244</v>
      </c>
      <c r="G3228" s="39">
        <v>46174</v>
      </c>
      <c r="J3228" t="s">
        <v>982</v>
      </c>
    </row>
    <row r="3229" spans="1:10" x14ac:dyDescent="0.35">
      <c r="A3229">
        <v>18656</v>
      </c>
      <c r="B3229" t="s">
        <v>52</v>
      </c>
      <c r="C3229" t="s">
        <v>208</v>
      </c>
      <c r="D3229" t="s">
        <v>92</v>
      </c>
      <c r="E3229" t="s">
        <v>209</v>
      </c>
      <c r="F3229" t="s">
        <v>244</v>
      </c>
      <c r="G3229" s="39">
        <v>46190</v>
      </c>
      <c r="J3229" t="s">
        <v>982</v>
      </c>
    </row>
    <row r="3230" spans="1:10" x14ac:dyDescent="0.35">
      <c r="A3230">
        <v>18721</v>
      </c>
      <c r="B3230" t="s">
        <v>52</v>
      </c>
      <c r="C3230" t="s">
        <v>208</v>
      </c>
      <c r="D3230" t="s">
        <v>92</v>
      </c>
      <c r="E3230" t="s">
        <v>209</v>
      </c>
      <c r="F3230" t="s">
        <v>244</v>
      </c>
      <c r="G3230" s="39">
        <v>46192</v>
      </c>
      <c r="H3230" t="s">
        <v>249</v>
      </c>
      <c r="J3230" t="s">
        <v>982</v>
      </c>
    </row>
    <row r="3231" spans="1:10" x14ac:dyDescent="0.35">
      <c r="A3231">
        <v>18400</v>
      </c>
      <c r="B3231" t="s">
        <v>51</v>
      </c>
      <c r="C3231" t="s">
        <v>208</v>
      </c>
      <c r="D3231" t="s">
        <v>92</v>
      </c>
      <c r="E3231" t="s">
        <v>209</v>
      </c>
      <c r="F3231" t="s">
        <v>244</v>
      </c>
      <c r="G3231" s="39">
        <v>46136</v>
      </c>
      <c r="J3231" t="s">
        <v>982</v>
      </c>
    </row>
    <row r="3232" spans="1:10" x14ac:dyDescent="0.35">
      <c r="A3232">
        <v>18062</v>
      </c>
      <c r="B3232" t="s">
        <v>52</v>
      </c>
      <c r="C3232" t="s">
        <v>208</v>
      </c>
      <c r="D3232" t="s">
        <v>92</v>
      </c>
      <c r="E3232" t="s">
        <v>209</v>
      </c>
      <c r="F3232" t="s">
        <v>244</v>
      </c>
      <c r="G3232" s="39">
        <v>45980</v>
      </c>
      <c r="J3232" t="s">
        <v>982</v>
      </c>
    </row>
    <row r="3233" spans="1:10" x14ac:dyDescent="0.35">
      <c r="A3233">
        <v>17630</v>
      </c>
      <c r="B3233" t="s">
        <v>51</v>
      </c>
      <c r="C3233" t="s">
        <v>208</v>
      </c>
      <c r="D3233" t="s">
        <v>92</v>
      </c>
      <c r="E3233" t="s">
        <v>209</v>
      </c>
      <c r="F3233" t="s">
        <v>411</v>
      </c>
      <c r="G3233" s="39">
        <v>45825</v>
      </c>
      <c r="J3233" t="s">
        <v>982</v>
      </c>
    </row>
    <row r="3234" spans="1:10" x14ac:dyDescent="0.35">
      <c r="A3234">
        <v>18186</v>
      </c>
      <c r="B3234" t="s">
        <v>51</v>
      </c>
      <c r="C3234" t="s">
        <v>208</v>
      </c>
      <c r="D3234" t="s">
        <v>92</v>
      </c>
      <c r="E3234" t="s">
        <v>662</v>
      </c>
      <c r="F3234" t="s">
        <v>244</v>
      </c>
      <c r="G3234" s="39">
        <v>46036</v>
      </c>
      <c r="J3234" t="s">
        <v>982</v>
      </c>
    </row>
    <row r="3235" spans="1:10" x14ac:dyDescent="0.35">
      <c r="A3235">
        <v>17533</v>
      </c>
      <c r="B3235" t="s">
        <v>52</v>
      </c>
      <c r="C3235" t="s">
        <v>208</v>
      </c>
      <c r="D3235" t="s">
        <v>92</v>
      </c>
      <c r="E3235" t="s">
        <v>209</v>
      </c>
      <c r="F3235" t="s">
        <v>244</v>
      </c>
      <c r="G3235" s="39">
        <v>45783</v>
      </c>
      <c r="J3235" t="s">
        <v>982</v>
      </c>
    </row>
    <row r="3236" spans="1:10" x14ac:dyDescent="0.35">
      <c r="A3236">
        <v>17442</v>
      </c>
      <c r="B3236" t="s">
        <v>51</v>
      </c>
      <c r="C3236" t="s">
        <v>208</v>
      </c>
      <c r="D3236" t="s">
        <v>92</v>
      </c>
      <c r="E3236" t="s">
        <v>209</v>
      </c>
      <c r="F3236" t="s">
        <v>244</v>
      </c>
      <c r="G3236" s="39">
        <v>45754</v>
      </c>
      <c r="J3236" t="s">
        <v>982</v>
      </c>
    </row>
    <row r="3237" spans="1:10" x14ac:dyDescent="0.35">
      <c r="A3237">
        <v>17459</v>
      </c>
      <c r="B3237" t="s">
        <v>52</v>
      </c>
      <c r="C3237" t="s">
        <v>208</v>
      </c>
      <c r="D3237" t="s">
        <v>92</v>
      </c>
      <c r="E3237" t="s">
        <v>209</v>
      </c>
      <c r="F3237" t="s">
        <v>244</v>
      </c>
      <c r="G3237" s="39">
        <v>45757</v>
      </c>
      <c r="J3237" t="s">
        <v>982</v>
      </c>
    </row>
    <row r="3238" spans="1:10" x14ac:dyDescent="0.35">
      <c r="A3238">
        <v>17460</v>
      </c>
      <c r="B3238" t="s">
        <v>52</v>
      </c>
      <c r="C3238" t="s">
        <v>208</v>
      </c>
      <c r="D3238" t="s">
        <v>92</v>
      </c>
      <c r="E3238" t="s">
        <v>209</v>
      </c>
      <c r="F3238" t="s">
        <v>244</v>
      </c>
      <c r="G3238" s="39">
        <v>45757</v>
      </c>
      <c r="J3238" t="s">
        <v>982</v>
      </c>
    </row>
    <row r="3239" spans="1:10" x14ac:dyDescent="0.35">
      <c r="A3239">
        <v>18648</v>
      </c>
      <c r="B3239" t="s">
        <v>52</v>
      </c>
      <c r="C3239" t="s">
        <v>208</v>
      </c>
      <c r="D3239" t="s">
        <v>92</v>
      </c>
      <c r="E3239" t="s">
        <v>209</v>
      </c>
      <c r="F3239" t="s">
        <v>244</v>
      </c>
      <c r="G3239" s="39">
        <v>46182</v>
      </c>
      <c r="J3239" t="s">
        <v>982</v>
      </c>
    </row>
    <row r="3240" spans="1:10" x14ac:dyDescent="0.35">
      <c r="A3240">
        <v>17483</v>
      </c>
      <c r="B3240" t="s">
        <v>51</v>
      </c>
      <c r="C3240" t="s">
        <v>208</v>
      </c>
      <c r="D3240" t="s">
        <v>92</v>
      </c>
      <c r="E3240" t="s">
        <v>209</v>
      </c>
      <c r="F3240" t="s">
        <v>244</v>
      </c>
      <c r="G3240" s="39">
        <v>45770</v>
      </c>
      <c r="J3240" t="s">
        <v>982</v>
      </c>
    </row>
    <row r="3241" spans="1:10" x14ac:dyDescent="0.35">
      <c r="A3241">
        <v>17356</v>
      </c>
      <c r="B3241" t="s">
        <v>52</v>
      </c>
      <c r="C3241" t="s">
        <v>208</v>
      </c>
      <c r="D3241" t="s">
        <v>92</v>
      </c>
      <c r="E3241" t="s">
        <v>209</v>
      </c>
      <c r="F3241" t="s">
        <v>244</v>
      </c>
      <c r="G3241" s="39">
        <v>45719</v>
      </c>
      <c r="J3241" t="s">
        <v>982</v>
      </c>
    </row>
    <row r="3242" spans="1:10" x14ac:dyDescent="0.35">
      <c r="A3242">
        <v>17402</v>
      </c>
      <c r="B3242" t="s">
        <v>52</v>
      </c>
      <c r="C3242" t="s">
        <v>208</v>
      </c>
      <c r="D3242" t="s">
        <v>92</v>
      </c>
      <c r="E3242" t="s">
        <v>209</v>
      </c>
      <c r="F3242" t="s">
        <v>244</v>
      </c>
      <c r="G3242" s="39">
        <v>45765</v>
      </c>
      <c r="J3242" t="s">
        <v>982</v>
      </c>
    </row>
    <row r="3243" spans="1:10" x14ac:dyDescent="0.35">
      <c r="A3243">
        <v>16467</v>
      </c>
      <c r="B3243" t="s">
        <v>51</v>
      </c>
      <c r="C3243" t="s">
        <v>208</v>
      </c>
      <c r="D3243" t="s">
        <v>92</v>
      </c>
      <c r="E3243" t="s">
        <v>209</v>
      </c>
      <c r="F3243" t="s">
        <v>244</v>
      </c>
      <c r="G3243" s="39">
        <v>45418</v>
      </c>
      <c r="J3243" t="s">
        <v>982</v>
      </c>
    </row>
    <row r="3244" spans="1:10" x14ac:dyDescent="0.35">
      <c r="A3244">
        <v>18788</v>
      </c>
      <c r="B3244" t="s">
        <v>51</v>
      </c>
      <c r="C3244" t="s">
        <v>208</v>
      </c>
      <c r="D3244" t="s">
        <v>92</v>
      </c>
      <c r="E3244" t="s">
        <v>209</v>
      </c>
      <c r="F3244" t="s">
        <v>244</v>
      </c>
      <c r="G3244" s="39">
        <v>46212</v>
      </c>
      <c r="J3244" t="s">
        <v>982</v>
      </c>
    </row>
    <row r="3245" spans="1:10" x14ac:dyDescent="0.35">
      <c r="A3245">
        <v>18805</v>
      </c>
      <c r="B3245" t="s">
        <v>51</v>
      </c>
      <c r="C3245" t="s">
        <v>208</v>
      </c>
      <c r="D3245" t="s">
        <v>92</v>
      </c>
      <c r="E3245" t="s">
        <v>209</v>
      </c>
      <c r="F3245" t="s">
        <v>244</v>
      </c>
      <c r="G3245" s="39">
        <v>46218</v>
      </c>
      <c r="J3245" t="s">
        <v>982</v>
      </c>
    </row>
    <row r="3246" spans="1:10" x14ac:dyDescent="0.35">
      <c r="A3246">
        <v>13172</v>
      </c>
      <c r="B3246" t="s">
        <v>52</v>
      </c>
      <c r="C3246" t="s">
        <v>208</v>
      </c>
      <c r="D3246" t="s">
        <v>92</v>
      </c>
      <c r="E3246" t="s">
        <v>209</v>
      </c>
      <c r="F3246" t="s">
        <v>244</v>
      </c>
      <c r="G3246" s="39">
        <v>44301</v>
      </c>
      <c r="J3246" t="s">
        <v>982</v>
      </c>
    </row>
    <row r="3247" spans="1:10" x14ac:dyDescent="0.35">
      <c r="A3247">
        <v>17022</v>
      </c>
      <c r="B3247" t="s">
        <v>52</v>
      </c>
      <c r="C3247" t="s">
        <v>208</v>
      </c>
      <c r="D3247" t="s">
        <v>92</v>
      </c>
      <c r="E3247" t="s">
        <v>209</v>
      </c>
      <c r="F3247" t="s">
        <v>244</v>
      </c>
      <c r="G3247" s="39">
        <v>45622</v>
      </c>
      <c r="J3247" t="s">
        <v>982</v>
      </c>
    </row>
    <row r="3248" spans="1:10" x14ac:dyDescent="0.35">
      <c r="A3248">
        <v>18999</v>
      </c>
      <c r="B3248" t="s">
        <v>52</v>
      </c>
      <c r="C3248" t="s">
        <v>208</v>
      </c>
      <c r="D3248" t="s">
        <v>92</v>
      </c>
      <c r="E3248" t="s">
        <v>209</v>
      </c>
      <c r="F3248" t="s">
        <v>244</v>
      </c>
      <c r="G3248" s="39">
        <v>46253</v>
      </c>
      <c r="J3248" t="s">
        <v>982</v>
      </c>
    </row>
    <row r="3249" spans="1:10" x14ac:dyDescent="0.35">
      <c r="A3249">
        <v>17377</v>
      </c>
      <c r="B3249" t="s">
        <v>51</v>
      </c>
      <c r="C3249" t="s">
        <v>208</v>
      </c>
      <c r="D3249" t="s">
        <v>92</v>
      </c>
      <c r="E3249" t="s">
        <v>209</v>
      </c>
      <c r="F3249" t="s">
        <v>244</v>
      </c>
      <c r="G3249" s="39">
        <v>45749</v>
      </c>
      <c r="J3249" t="s">
        <v>982</v>
      </c>
    </row>
    <row r="3250" spans="1:10" x14ac:dyDescent="0.35">
      <c r="A3250">
        <v>16384</v>
      </c>
      <c r="B3250" t="s">
        <v>51</v>
      </c>
      <c r="C3250" t="s">
        <v>208</v>
      </c>
      <c r="D3250" t="s">
        <v>92</v>
      </c>
      <c r="E3250" t="s">
        <v>209</v>
      </c>
      <c r="F3250" t="s">
        <v>244</v>
      </c>
      <c r="G3250" s="39">
        <v>45384</v>
      </c>
      <c r="J3250" t="s">
        <v>982</v>
      </c>
    </row>
    <row r="3251" spans="1:10" x14ac:dyDescent="0.35">
      <c r="A3251">
        <v>18511</v>
      </c>
      <c r="B3251" t="s">
        <v>51</v>
      </c>
      <c r="C3251" t="s">
        <v>208</v>
      </c>
      <c r="D3251" t="s">
        <v>92</v>
      </c>
      <c r="E3251" t="s">
        <v>209</v>
      </c>
      <c r="F3251" t="s">
        <v>244</v>
      </c>
      <c r="G3251" s="39">
        <v>46146</v>
      </c>
      <c r="J3251" t="s">
        <v>982</v>
      </c>
    </row>
    <row r="3252" spans="1:10" x14ac:dyDescent="0.35">
      <c r="A3252">
        <v>18550</v>
      </c>
      <c r="B3252" t="s">
        <v>51</v>
      </c>
      <c r="C3252" t="s">
        <v>208</v>
      </c>
      <c r="D3252" t="s">
        <v>92</v>
      </c>
      <c r="E3252" t="s">
        <v>209</v>
      </c>
      <c r="F3252" t="s">
        <v>244</v>
      </c>
      <c r="G3252" s="39">
        <v>46160</v>
      </c>
      <c r="J3252" t="s">
        <v>982</v>
      </c>
    </row>
    <row r="3253" spans="1:10" x14ac:dyDescent="0.35">
      <c r="A3253">
        <v>16394</v>
      </c>
      <c r="B3253" t="s">
        <v>51</v>
      </c>
      <c r="C3253" t="s">
        <v>208</v>
      </c>
      <c r="D3253" t="s">
        <v>92</v>
      </c>
      <c r="E3253" t="s">
        <v>209</v>
      </c>
      <c r="F3253" t="s">
        <v>244</v>
      </c>
      <c r="G3253" s="39">
        <v>45383</v>
      </c>
      <c r="J3253" t="s">
        <v>982</v>
      </c>
    </row>
    <row r="3254" spans="1:10" x14ac:dyDescent="0.35">
      <c r="A3254">
        <v>14726</v>
      </c>
      <c r="B3254" t="s">
        <v>52</v>
      </c>
      <c r="C3254" t="s">
        <v>208</v>
      </c>
      <c r="D3254" t="s">
        <v>92</v>
      </c>
      <c r="E3254" t="s">
        <v>209</v>
      </c>
      <c r="F3254" t="s">
        <v>244</v>
      </c>
      <c r="G3254" s="39">
        <v>44840</v>
      </c>
      <c r="J3254" t="s">
        <v>982</v>
      </c>
    </row>
    <row r="3255" spans="1:10" x14ac:dyDescent="0.35">
      <c r="A3255">
        <v>18350</v>
      </c>
      <c r="B3255" t="s">
        <v>52</v>
      </c>
      <c r="C3255" t="s">
        <v>208</v>
      </c>
      <c r="D3255" t="s">
        <v>92</v>
      </c>
      <c r="E3255" t="s">
        <v>209</v>
      </c>
      <c r="F3255" t="s">
        <v>244</v>
      </c>
      <c r="G3255" s="39">
        <v>46098</v>
      </c>
      <c r="J3255" t="s">
        <v>982</v>
      </c>
    </row>
    <row r="3256" spans="1:10" x14ac:dyDescent="0.35">
      <c r="A3256">
        <v>16322</v>
      </c>
      <c r="B3256" t="s">
        <v>44</v>
      </c>
      <c r="C3256" t="s">
        <v>201</v>
      </c>
      <c r="D3256" t="s">
        <v>92</v>
      </c>
      <c r="E3256" t="s">
        <v>660</v>
      </c>
      <c r="F3256" t="s">
        <v>244</v>
      </c>
      <c r="G3256" s="39">
        <v>45349</v>
      </c>
      <c r="J3256" t="s">
        <v>982</v>
      </c>
    </row>
    <row r="3257" spans="1:10" x14ac:dyDescent="0.35">
      <c r="A3257">
        <v>16246</v>
      </c>
      <c r="B3257" t="s">
        <v>44</v>
      </c>
      <c r="C3257" t="s">
        <v>201</v>
      </c>
      <c r="D3257" t="s">
        <v>92</v>
      </c>
      <c r="E3257" t="s">
        <v>660</v>
      </c>
      <c r="F3257" t="s">
        <v>244</v>
      </c>
      <c r="G3257" s="39">
        <v>45335</v>
      </c>
      <c r="J3257" t="s">
        <v>982</v>
      </c>
    </row>
    <row r="3258" spans="1:10" x14ac:dyDescent="0.35">
      <c r="A3258">
        <v>18207</v>
      </c>
      <c r="B3258" t="s">
        <v>51</v>
      </c>
      <c r="C3258" t="s">
        <v>208</v>
      </c>
      <c r="D3258" t="s">
        <v>92</v>
      </c>
      <c r="E3258" t="s">
        <v>209</v>
      </c>
      <c r="F3258" t="s">
        <v>244</v>
      </c>
      <c r="G3258" s="39">
        <v>46055</v>
      </c>
      <c r="J3258" t="s">
        <v>982</v>
      </c>
    </row>
    <row r="3259" spans="1:10" x14ac:dyDescent="0.35">
      <c r="A3259">
        <v>15109</v>
      </c>
      <c r="B3259" t="s">
        <v>52</v>
      </c>
      <c r="C3259" t="s">
        <v>208</v>
      </c>
      <c r="D3259" t="s">
        <v>92</v>
      </c>
      <c r="E3259" t="s">
        <v>209</v>
      </c>
      <c r="F3259" t="s">
        <v>244</v>
      </c>
      <c r="G3259" s="39">
        <v>44952</v>
      </c>
      <c r="J3259" t="s">
        <v>982</v>
      </c>
    </row>
    <row r="3260" spans="1:10" x14ac:dyDescent="0.35">
      <c r="A3260">
        <v>14086</v>
      </c>
      <c r="B3260" t="s">
        <v>52</v>
      </c>
      <c r="C3260" t="s">
        <v>208</v>
      </c>
      <c r="D3260" t="s">
        <v>92</v>
      </c>
      <c r="E3260" t="s">
        <v>209</v>
      </c>
      <c r="F3260" t="s">
        <v>244</v>
      </c>
      <c r="G3260" s="39">
        <v>44655</v>
      </c>
      <c r="J3260" t="s">
        <v>982</v>
      </c>
    </row>
    <row r="3261" spans="1:10" x14ac:dyDescent="0.35">
      <c r="A3261">
        <v>16023</v>
      </c>
      <c r="B3261" t="s">
        <v>51</v>
      </c>
      <c r="C3261" t="s">
        <v>208</v>
      </c>
      <c r="D3261" t="s">
        <v>92</v>
      </c>
      <c r="E3261" t="s">
        <v>641</v>
      </c>
      <c r="F3261" t="s">
        <v>244</v>
      </c>
      <c r="G3261" s="39">
        <v>45267</v>
      </c>
      <c r="J3261" t="s">
        <v>982</v>
      </c>
    </row>
    <row r="3262" spans="1:10" x14ac:dyDescent="0.35">
      <c r="A3262">
        <v>17370</v>
      </c>
      <c r="B3262" t="s">
        <v>44</v>
      </c>
      <c r="C3262" t="s">
        <v>201</v>
      </c>
      <c r="D3262" t="s">
        <v>92</v>
      </c>
      <c r="E3262" t="s">
        <v>209</v>
      </c>
      <c r="F3262" t="s">
        <v>244</v>
      </c>
      <c r="G3262" s="39">
        <v>45729</v>
      </c>
      <c r="J3262" t="s">
        <v>982</v>
      </c>
    </row>
    <row r="3263" spans="1:10" x14ac:dyDescent="0.35">
      <c r="A3263">
        <v>18884</v>
      </c>
      <c r="B3263" t="s">
        <v>44</v>
      </c>
      <c r="C3263" t="s">
        <v>201</v>
      </c>
      <c r="D3263" t="s">
        <v>92</v>
      </c>
      <c r="E3263" t="s">
        <v>209</v>
      </c>
      <c r="F3263" t="s">
        <v>244</v>
      </c>
      <c r="G3263" s="39">
        <v>46226</v>
      </c>
      <c r="J3263" t="s">
        <v>982</v>
      </c>
    </row>
    <row r="3264" spans="1:10" x14ac:dyDescent="0.35">
      <c r="A3264">
        <v>18595</v>
      </c>
      <c r="B3264" t="s">
        <v>44</v>
      </c>
      <c r="C3264" t="s">
        <v>201</v>
      </c>
      <c r="D3264" t="s">
        <v>92</v>
      </c>
      <c r="E3264" t="s">
        <v>209</v>
      </c>
      <c r="F3264" t="s">
        <v>244</v>
      </c>
      <c r="G3264" s="39">
        <v>46163</v>
      </c>
      <c r="J3264" t="s">
        <v>982</v>
      </c>
    </row>
    <row r="3265" spans="1:10" x14ac:dyDescent="0.35">
      <c r="A3265">
        <v>17765</v>
      </c>
      <c r="B3265" t="s">
        <v>51</v>
      </c>
      <c r="C3265" t="s">
        <v>208</v>
      </c>
      <c r="D3265" t="s">
        <v>92</v>
      </c>
      <c r="E3265" t="s">
        <v>209</v>
      </c>
      <c r="F3265" t="s">
        <v>244</v>
      </c>
      <c r="G3265" s="39">
        <v>45873</v>
      </c>
      <c r="J3265" t="s">
        <v>982</v>
      </c>
    </row>
    <row r="3266" spans="1:10" x14ac:dyDescent="0.35">
      <c r="A3266">
        <v>17766</v>
      </c>
      <c r="B3266" t="s">
        <v>51</v>
      </c>
      <c r="C3266" t="s">
        <v>208</v>
      </c>
      <c r="D3266" t="s">
        <v>92</v>
      </c>
      <c r="E3266" t="s">
        <v>209</v>
      </c>
      <c r="F3266" t="s">
        <v>244</v>
      </c>
      <c r="G3266" s="39">
        <v>45873</v>
      </c>
      <c r="J3266" t="s">
        <v>982</v>
      </c>
    </row>
    <row r="3267" spans="1:10" x14ac:dyDescent="0.35">
      <c r="A3267">
        <v>18837</v>
      </c>
      <c r="B3267" t="s">
        <v>51</v>
      </c>
      <c r="C3267" t="s">
        <v>208</v>
      </c>
      <c r="D3267" t="s">
        <v>92</v>
      </c>
      <c r="E3267" t="s">
        <v>209</v>
      </c>
      <c r="F3267" t="s">
        <v>244</v>
      </c>
      <c r="G3267" s="39">
        <v>46224</v>
      </c>
      <c r="J3267" t="s">
        <v>982</v>
      </c>
    </row>
    <row r="3268" spans="1:10" x14ac:dyDescent="0.35">
      <c r="A3268">
        <v>12235</v>
      </c>
      <c r="B3268" t="s">
        <v>44</v>
      </c>
      <c r="C3268" t="s">
        <v>201</v>
      </c>
      <c r="D3268" t="s">
        <v>92</v>
      </c>
      <c r="E3268" t="s">
        <v>209</v>
      </c>
      <c r="F3268" t="s">
        <v>411</v>
      </c>
      <c r="G3268" s="39">
        <v>43623</v>
      </c>
      <c r="J3268" t="s">
        <v>982</v>
      </c>
    </row>
    <row r="3269" spans="1:10" x14ac:dyDescent="0.35">
      <c r="A3269">
        <v>18363</v>
      </c>
      <c r="B3269" t="s">
        <v>44</v>
      </c>
      <c r="C3269" t="s">
        <v>201</v>
      </c>
      <c r="D3269" t="s">
        <v>92</v>
      </c>
      <c r="E3269" t="s">
        <v>662</v>
      </c>
      <c r="F3269" t="s">
        <v>244</v>
      </c>
      <c r="G3269" s="39">
        <v>46113</v>
      </c>
      <c r="J3269" t="s">
        <v>982</v>
      </c>
    </row>
    <row r="3270" spans="1:10" x14ac:dyDescent="0.35">
      <c r="A3270">
        <v>17669</v>
      </c>
      <c r="B3270" t="s">
        <v>44</v>
      </c>
      <c r="C3270" t="s">
        <v>201</v>
      </c>
      <c r="D3270" t="s">
        <v>92</v>
      </c>
      <c r="E3270" t="s">
        <v>209</v>
      </c>
      <c r="F3270" t="s">
        <v>244</v>
      </c>
      <c r="G3270" s="39">
        <v>45839</v>
      </c>
      <c r="J3270" t="s">
        <v>982</v>
      </c>
    </row>
    <row r="3271" spans="1:10" x14ac:dyDescent="0.35">
      <c r="A3271">
        <v>17681</v>
      </c>
      <c r="B3271" t="s">
        <v>44</v>
      </c>
      <c r="C3271" t="s">
        <v>201</v>
      </c>
      <c r="D3271" t="s">
        <v>92</v>
      </c>
      <c r="E3271" t="s">
        <v>209</v>
      </c>
      <c r="F3271" t="s">
        <v>244</v>
      </c>
      <c r="G3271" s="39">
        <v>45839</v>
      </c>
      <c r="J3271" t="s">
        <v>982</v>
      </c>
    </row>
    <row r="3272" spans="1:10" x14ac:dyDescent="0.35">
      <c r="A3272">
        <v>17671</v>
      </c>
      <c r="B3272" t="s">
        <v>44</v>
      </c>
      <c r="C3272" t="s">
        <v>201</v>
      </c>
      <c r="D3272" t="s">
        <v>92</v>
      </c>
      <c r="E3272" t="s">
        <v>209</v>
      </c>
      <c r="F3272" t="s">
        <v>244</v>
      </c>
      <c r="G3272" s="39">
        <v>45840</v>
      </c>
      <c r="J3272" t="s">
        <v>982</v>
      </c>
    </row>
    <row r="3273" spans="1:10" x14ac:dyDescent="0.35">
      <c r="A3273">
        <v>17728</v>
      </c>
      <c r="B3273" t="s">
        <v>51</v>
      </c>
      <c r="C3273" t="s">
        <v>208</v>
      </c>
      <c r="D3273" t="s">
        <v>92</v>
      </c>
      <c r="E3273" t="s">
        <v>209</v>
      </c>
      <c r="F3273" t="s">
        <v>244</v>
      </c>
      <c r="G3273" s="39">
        <v>45855</v>
      </c>
      <c r="J3273" t="s">
        <v>982</v>
      </c>
    </row>
    <row r="3274" spans="1:10" x14ac:dyDescent="0.35">
      <c r="A3274">
        <v>15843</v>
      </c>
      <c r="B3274" t="s">
        <v>51</v>
      </c>
      <c r="C3274" t="s">
        <v>208</v>
      </c>
      <c r="D3274" t="s">
        <v>92</v>
      </c>
      <c r="E3274" t="s">
        <v>209</v>
      </c>
      <c r="F3274" t="s">
        <v>244</v>
      </c>
      <c r="G3274" s="39">
        <v>45211</v>
      </c>
      <c r="J3274" t="s">
        <v>982</v>
      </c>
    </row>
    <row r="3275" spans="1:10" x14ac:dyDescent="0.35">
      <c r="A3275">
        <v>18933</v>
      </c>
      <c r="B3275" t="s">
        <v>51</v>
      </c>
      <c r="C3275" t="s">
        <v>208</v>
      </c>
      <c r="D3275" t="s">
        <v>92</v>
      </c>
      <c r="E3275" t="s">
        <v>209</v>
      </c>
      <c r="F3275" t="s">
        <v>244</v>
      </c>
      <c r="G3275" s="39">
        <v>46245</v>
      </c>
      <c r="J3275" t="s">
        <v>982</v>
      </c>
    </row>
    <row r="3276" spans="1:10" x14ac:dyDescent="0.35">
      <c r="A3276">
        <v>17534</v>
      </c>
      <c r="B3276" t="s">
        <v>51</v>
      </c>
      <c r="C3276" t="s">
        <v>208</v>
      </c>
      <c r="D3276" t="s">
        <v>92</v>
      </c>
      <c r="E3276" t="s">
        <v>209</v>
      </c>
      <c r="F3276" t="s">
        <v>244</v>
      </c>
      <c r="G3276" s="39">
        <v>45782</v>
      </c>
      <c r="J3276" t="s">
        <v>982</v>
      </c>
    </row>
    <row r="3277" spans="1:10" x14ac:dyDescent="0.35">
      <c r="A3277">
        <v>19183</v>
      </c>
      <c r="B3277" t="s">
        <v>51</v>
      </c>
      <c r="C3277" t="s">
        <v>208</v>
      </c>
      <c r="D3277" t="s">
        <v>92</v>
      </c>
      <c r="E3277" t="s">
        <v>209</v>
      </c>
      <c r="F3277" t="s">
        <v>244</v>
      </c>
      <c r="G3277" s="39">
        <v>46279</v>
      </c>
      <c r="J3277" t="s">
        <v>982</v>
      </c>
    </row>
    <row r="3278" spans="1:10" x14ac:dyDescent="0.35">
      <c r="A3278">
        <v>18975</v>
      </c>
      <c r="B3278" t="s">
        <v>51</v>
      </c>
      <c r="C3278" t="s">
        <v>208</v>
      </c>
      <c r="D3278" t="s">
        <v>92</v>
      </c>
      <c r="E3278" t="s">
        <v>209</v>
      </c>
      <c r="F3278" t="s">
        <v>244</v>
      </c>
      <c r="G3278" s="39">
        <v>46254</v>
      </c>
      <c r="J3278" t="s">
        <v>982</v>
      </c>
    </row>
    <row r="3279" spans="1:10" x14ac:dyDescent="0.35">
      <c r="A3279">
        <v>18428</v>
      </c>
      <c r="B3279" t="s">
        <v>52</v>
      </c>
      <c r="C3279" t="s">
        <v>208</v>
      </c>
      <c r="D3279" t="s">
        <v>92</v>
      </c>
      <c r="E3279" t="s">
        <v>209</v>
      </c>
      <c r="F3279" t="s">
        <v>244</v>
      </c>
      <c r="G3279" s="39">
        <v>46128</v>
      </c>
      <c r="J3279" t="s">
        <v>982</v>
      </c>
    </row>
    <row r="3280" spans="1:10" x14ac:dyDescent="0.35">
      <c r="A3280">
        <v>18797</v>
      </c>
      <c r="B3280" t="s">
        <v>52</v>
      </c>
      <c r="C3280" t="s">
        <v>208</v>
      </c>
      <c r="D3280" t="s">
        <v>92</v>
      </c>
      <c r="E3280" t="s">
        <v>209</v>
      </c>
      <c r="F3280" t="s">
        <v>244</v>
      </c>
      <c r="G3280" s="39">
        <v>46213</v>
      </c>
      <c r="J3280" t="s">
        <v>982</v>
      </c>
    </row>
    <row r="3281" spans="1:10" x14ac:dyDescent="0.35">
      <c r="A3281">
        <v>12463</v>
      </c>
      <c r="B3281" t="s">
        <v>44</v>
      </c>
      <c r="C3281" t="s">
        <v>201</v>
      </c>
      <c r="D3281" t="s">
        <v>92</v>
      </c>
      <c r="E3281" t="s">
        <v>209</v>
      </c>
      <c r="F3281" t="s">
        <v>244</v>
      </c>
      <c r="G3281" s="39">
        <v>43759</v>
      </c>
      <c r="J3281" t="s">
        <v>982</v>
      </c>
    </row>
    <row r="3282" spans="1:10" x14ac:dyDescent="0.35">
      <c r="A3282">
        <v>17996</v>
      </c>
      <c r="B3282" t="s">
        <v>52</v>
      </c>
      <c r="C3282" t="s">
        <v>208</v>
      </c>
      <c r="D3282" t="s">
        <v>92</v>
      </c>
      <c r="E3282" t="s">
        <v>209</v>
      </c>
      <c r="F3282" t="s">
        <v>244</v>
      </c>
      <c r="G3282" s="39">
        <v>45952</v>
      </c>
      <c r="J3282" t="s">
        <v>982</v>
      </c>
    </row>
    <row r="3283" spans="1:10" x14ac:dyDescent="0.35">
      <c r="A3283">
        <v>17233</v>
      </c>
      <c r="B3283" t="s">
        <v>52</v>
      </c>
      <c r="C3283" t="s">
        <v>208</v>
      </c>
      <c r="D3283" t="s">
        <v>92</v>
      </c>
      <c r="E3283" t="s">
        <v>209</v>
      </c>
      <c r="F3283" t="s">
        <v>244</v>
      </c>
      <c r="G3283" s="39">
        <v>45678</v>
      </c>
      <c r="J3283" t="s">
        <v>982</v>
      </c>
    </row>
    <row r="3284" spans="1:10" x14ac:dyDescent="0.35">
      <c r="A3284">
        <v>17529</v>
      </c>
      <c r="B3284" t="s">
        <v>51</v>
      </c>
      <c r="C3284" t="s">
        <v>208</v>
      </c>
      <c r="D3284" t="s">
        <v>92</v>
      </c>
      <c r="E3284" t="s">
        <v>209</v>
      </c>
      <c r="F3284" t="s">
        <v>244</v>
      </c>
      <c r="G3284" s="39">
        <v>45783</v>
      </c>
      <c r="J3284" t="s">
        <v>982</v>
      </c>
    </row>
    <row r="3285" spans="1:10" x14ac:dyDescent="0.35">
      <c r="A3285">
        <v>18330</v>
      </c>
      <c r="B3285" t="s">
        <v>51</v>
      </c>
      <c r="C3285" t="s">
        <v>208</v>
      </c>
      <c r="D3285" t="s">
        <v>92</v>
      </c>
      <c r="E3285" t="s">
        <v>209</v>
      </c>
      <c r="F3285" t="s">
        <v>244</v>
      </c>
      <c r="G3285" s="39">
        <v>46092</v>
      </c>
      <c r="J3285" t="s">
        <v>982</v>
      </c>
    </row>
    <row r="3286" spans="1:10" x14ac:dyDescent="0.35">
      <c r="A3286">
        <v>15936</v>
      </c>
      <c r="B3286" t="s">
        <v>44</v>
      </c>
      <c r="C3286" t="s">
        <v>201</v>
      </c>
      <c r="D3286" t="s">
        <v>92</v>
      </c>
      <c r="E3286" t="s">
        <v>209</v>
      </c>
      <c r="F3286" t="s">
        <v>244</v>
      </c>
      <c r="G3286" s="39">
        <v>45244</v>
      </c>
      <c r="J3286" t="s">
        <v>982</v>
      </c>
    </row>
    <row r="3287" spans="1:10" x14ac:dyDescent="0.35">
      <c r="A3287">
        <v>11298</v>
      </c>
      <c r="B3287" t="s">
        <v>51</v>
      </c>
      <c r="C3287" t="s">
        <v>208</v>
      </c>
      <c r="D3287" t="s">
        <v>92</v>
      </c>
      <c r="E3287" t="s">
        <v>209</v>
      </c>
      <c r="F3287" t="s">
        <v>244</v>
      </c>
      <c r="G3287" s="39">
        <v>42506</v>
      </c>
      <c r="J3287" t="s">
        <v>982</v>
      </c>
    </row>
    <row r="3288" spans="1:10" x14ac:dyDescent="0.35">
      <c r="A3288">
        <v>16426</v>
      </c>
      <c r="B3288" t="s">
        <v>51</v>
      </c>
      <c r="C3288" t="s">
        <v>208</v>
      </c>
      <c r="D3288" t="s">
        <v>92</v>
      </c>
      <c r="E3288" t="s">
        <v>209</v>
      </c>
      <c r="F3288" t="s">
        <v>244</v>
      </c>
      <c r="G3288" s="39">
        <v>45397</v>
      </c>
      <c r="J3288" t="s">
        <v>982</v>
      </c>
    </row>
    <row r="3289" spans="1:10" x14ac:dyDescent="0.35">
      <c r="A3289">
        <v>16206</v>
      </c>
      <c r="B3289" t="s">
        <v>44</v>
      </c>
      <c r="C3289" t="s">
        <v>201</v>
      </c>
      <c r="D3289" t="s">
        <v>92</v>
      </c>
      <c r="E3289" t="s">
        <v>209</v>
      </c>
      <c r="F3289" t="s">
        <v>244</v>
      </c>
      <c r="G3289" s="39">
        <v>45317</v>
      </c>
      <c r="J3289" t="s">
        <v>982</v>
      </c>
    </row>
    <row r="3290" spans="1:10" x14ac:dyDescent="0.35">
      <c r="A3290">
        <v>16239</v>
      </c>
      <c r="B3290" t="s">
        <v>52</v>
      </c>
      <c r="C3290" t="s">
        <v>208</v>
      </c>
      <c r="D3290" t="s">
        <v>92</v>
      </c>
      <c r="E3290" t="s">
        <v>209</v>
      </c>
      <c r="F3290" t="s">
        <v>244</v>
      </c>
      <c r="G3290" s="39">
        <v>45328</v>
      </c>
      <c r="J3290" t="s">
        <v>982</v>
      </c>
    </row>
    <row r="3291" spans="1:10" x14ac:dyDescent="0.35">
      <c r="A3291">
        <v>16292</v>
      </c>
      <c r="B3291" t="s">
        <v>51</v>
      </c>
      <c r="C3291" t="s">
        <v>208</v>
      </c>
      <c r="D3291" t="s">
        <v>92</v>
      </c>
      <c r="E3291" t="s">
        <v>209</v>
      </c>
      <c r="F3291" t="s">
        <v>244</v>
      </c>
      <c r="G3291" s="39">
        <v>45342</v>
      </c>
      <c r="J3291" t="s">
        <v>982</v>
      </c>
    </row>
    <row r="3292" spans="1:10" x14ac:dyDescent="0.35">
      <c r="A3292">
        <v>16299</v>
      </c>
      <c r="B3292" t="s">
        <v>52</v>
      </c>
      <c r="C3292" t="s">
        <v>208</v>
      </c>
      <c r="D3292" t="s">
        <v>92</v>
      </c>
      <c r="E3292" t="s">
        <v>209</v>
      </c>
      <c r="F3292" t="s">
        <v>245</v>
      </c>
      <c r="G3292" s="39">
        <v>45345</v>
      </c>
      <c r="J3292" t="s">
        <v>982</v>
      </c>
    </row>
    <row r="3293" spans="1:10" x14ac:dyDescent="0.35">
      <c r="A3293">
        <v>16077</v>
      </c>
      <c r="B3293" t="s">
        <v>51</v>
      </c>
      <c r="C3293" t="s">
        <v>208</v>
      </c>
      <c r="D3293" t="s">
        <v>92</v>
      </c>
      <c r="E3293" t="s">
        <v>209</v>
      </c>
      <c r="F3293" t="s">
        <v>244</v>
      </c>
      <c r="G3293" s="39">
        <v>45279</v>
      </c>
      <c r="J3293" t="s">
        <v>982</v>
      </c>
    </row>
    <row r="3294" spans="1:10" x14ac:dyDescent="0.35">
      <c r="A3294">
        <v>16078</v>
      </c>
      <c r="B3294" t="s">
        <v>52</v>
      </c>
      <c r="C3294" t="s">
        <v>208</v>
      </c>
      <c r="D3294" t="s">
        <v>92</v>
      </c>
      <c r="E3294" t="s">
        <v>209</v>
      </c>
      <c r="F3294" t="s">
        <v>244</v>
      </c>
      <c r="G3294" s="39">
        <v>45279</v>
      </c>
      <c r="J3294" t="s">
        <v>982</v>
      </c>
    </row>
    <row r="3295" spans="1:10" x14ac:dyDescent="0.35">
      <c r="A3295">
        <v>16082</v>
      </c>
      <c r="B3295" t="s">
        <v>52</v>
      </c>
      <c r="C3295" t="s">
        <v>208</v>
      </c>
      <c r="D3295" t="s">
        <v>92</v>
      </c>
      <c r="E3295" t="s">
        <v>209</v>
      </c>
      <c r="F3295" t="s">
        <v>244</v>
      </c>
      <c r="G3295" s="39">
        <v>45279</v>
      </c>
      <c r="J3295" t="s">
        <v>982</v>
      </c>
    </row>
    <row r="3296" spans="1:10" x14ac:dyDescent="0.35">
      <c r="A3296">
        <v>17613</v>
      </c>
      <c r="B3296" t="s">
        <v>51</v>
      </c>
      <c r="C3296" t="s">
        <v>208</v>
      </c>
      <c r="D3296" t="s">
        <v>92</v>
      </c>
      <c r="E3296" t="s">
        <v>209</v>
      </c>
      <c r="F3296" t="s">
        <v>244</v>
      </c>
      <c r="G3296" s="39">
        <v>45812</v>
      </c>
      <c r="J3296" t="s">
        <v>982</v>
      </c>
    </row>
    <row r="3297" spans="1:10" x14ac:dyDescent="0.35">
      <c r="A3297">
        <v>12017</v>
      </c>
      <c r="B3297" t="s">
        <v>51</v>
      </c>
      <c r="C3297" t="s">
        <v>208</v>
      </c>
      <c r="D3297" t="s">
        <v>92</v>
      </c>
      <c r="E3297" t="s">
        <v>641</v>
      </c>
      <c r="F3297" t="s">
        <v>244</v>
      </c>
      <c r="G3297" s="39">
        <v>43385</v>
      </c>
      <c r="J3297" t="s">
        <v>982</v>
      </c>
    </row>
    <row r="3298" spans="1:10" x14ac:dyDescent="0.35">
      <c r="A3298">
        <v>17896</v>
      </c>
      <c r="B3298" t="s">
        <v>51</v>
      </c>
      <c r="C3298" t="s">
        <v>208</v>
      </c>
      <c r="D3298" t="s">
        <v>92</v>
      </c>
      <c r="E3298" t="s">
        <v>209</v>
      </c>
      <c r="F3298" t="s">
        <v>244</v>
      </c>
      <c r="G3298" s="39">
        <v>45915</v>
      </c>
      <c r="J3298" t="s">
        <v>982</v>
      </c>
    </row>
    <row r="3299" spans="1:10" x14ac:dyDescent="0.35">
      <c r="A3299">
        <v>18158</v>
      </c>
      <c r="B3299" t="s">
        <v>51</v>
      </c>
      <c r="C3299" t="s">
        <v>208</v>
      </c>
      <c r="D3299" t="s">
        <v>92</v>
      </c>
      <c r="E3299" t="s">
        <v>209</v>
      </c>
      <c r="F3299" t="s">
        <v>244</v>
      </c>
      <c r="G3299" s="39">
        <v>46028</v>
      </c>
      <c r="J3299" t="s">
        <v>982</v>
      </c>
    </row>
    <row r="3300" spans="1:10" x14ac:dyDescent="0.35">
      <c r="A3300">
        <v>15429</v>
      </c>
      <c r="B3300" t="s">
        <v>51</v>
      </c>
      <c r="C3300" t="s">
        <v>208</v>
      </c>
      <c r="D3300" t="s">
        <v>92</v>
      </c>
      <c r="E3300" t="s">
        <v>641</v>
      </c>
      <c r="F3300" t="s">
        <v>244</v>
      </c>
      <c r="G3300" s="39">
        <v>45069</v>
      </c>
      <c r="J3300" t="s">
        <v>982</v>
      </c>
    </row>
    <row r="3301" spans="1:10" x14ac:dyDescent="0.35">
      <c r="A3301">
        <v>16641</v>
      </c>
      <c r="B3301" t="s">
        <v>51</v>
      </c>
      <c r="C3301" t="s">
        <v>208</v>
      </c>
      <c r="D3301" t="s">
        <v>92</v>
      </c>
      <c r="E3301" t="s">
        <v>209</v>
      </c>
      <c r="F3301" t="s">
        <v>244</v>
      </c>
      <c r="G3301" s="39">
        <v>45506</v>
      </c>
      <c r="J3301" t="s">
        <v>982</v>
      </c>
    </row>
    <row r="3302" spans="1:10" x14ac:dyDescent="0.35">
      <c r="A3302">
        <v>17869</v>
      </c>
      <c r="B3302" t="s">
        <v>51</v>
      </c>
      <c r="C3302" t="s">
        <v>208</v>
      </c>
      <c r="D3302" t="s">
        <v>92</v>
      </c>
      <c r="E3302" t="s">
        <v>209</v>
      </c>
      <c r="F3302" t="s">
        <v>244</v>
      </c>
      <c r="G3302" s="39">
        <v>45902</v>
      </c>
      <c r="J3302" t="s">
        <v>982</v>
      </c>
    </row>
    <row r="3303" spans="1:10" x14ac:dyDescent="0.35">
      <c r="A3303">
        <v>18628</v>
      </c>
      <c r="B3303" t="s">
        <v>51</v>
      </c>
      <c r="C3303" t="s">
        <v>208</v>
      </c>
      <c r="D3303" t="s">
        <v>92</v>
      </c>
      <c r="E3303" t="s">
        <v>209</v>
      </c>
      <c r="F3303" t="s">
        <v>244</v>
      </c>
      <c r="G3303" s="39">
        <v>46176</v>
      </c>
      <c r="J3303" t="s">
        <v>982</v>
      </c>
    </row>
    <row r="3304" spans="1:10" x14ac:dyDescent="0.35">
      <c r="A3304">
        <v>17761</v>
      </c>
      <c r="B3304" t="s">
        <v>51</v>
      </c>
      <c r="C3304" t="s">
        <v>208</v>
      </c>
      <c r="D3304" t="s">
        <v>92</v>
      </c>
      <c r="E3304" t="s">
        <v>209</v>
      </c>
      <c r="F3304" t="s">
        <v>244</v>
      </c>
      <c r="G3304" s="39">
        <v>45870</v>
      </c>
      <c r="J3304" t="s">
        <v>982</v>
      </c>
    </row>
    <row r="3305" spans="1:10" x14ac:dyDescent="0.35">
      <c r="A3305">
        <v>17800</v>
      </c>
      <c r="B3305" t="s">
        <v>44</v>
      </c>
      <c r="C3305" t="s">
        <v>201</v>
      </c>
      <c r="D3305" t="s">
        <v>92</v>
      </c>
      <c r="E3305" t="s">
        <v>663</v>
      </c>
      <c r="F3305" t="s">
        <v>244</v>
      </c>
      <c r="G3305" s="39">
        <v>45882</v>
      </c>
      <c r="J3305" t="s">
        <v>982</v>
      </c>
    </row>
    <row r="3306" spans="1:10" x14ac:dyDescent="0.35">
      <c r="A3306">
        <v>18992</v>
      </c>
      <c r="B3306" t="s">
        <v>44</v>
      </c>
      <c r="C3306" t="s">
        <v>201</v>
      </c>
      <c r="D3306" t="s">
        <v>92</v>
      </c>
      <c r="E3306" t="s">
        <v>660</v>
      </c>
      <c r="F3306" t="s">
        <v>244</v>
      </c>
      <c r="G3306" s="39">
        <v>46255</v>
      </c>
      <c r="J3306" t="s">
        <v>982</v>
      </c>
    </row>
    <row r="3307" spans="1:10" x14ac:dyDescent="0.35">
      <c r="A3307">
        <v>17664</v>
      </c>
      <c r="B3307" t="s">
        <v>51</v>
      </c>
      <c r="C3307" t="s">
        <v>208</v>
      </c>
      <c r="D3307" t="s">
        <v>92</v>
      </c>
      <c r="E3307" t="s">
        <v>209</v>
      </c>
      <c r="F3307" t="s">
        <v>244</v>
      </c>
      <c r="G3307" s="39">
        <v>45852</v>
      </c>
      <c r="J3307" t="s">
        <v>982</v>
      </c>
    </row>
    <row r="3308" spans="1:10" x14ac:dyDescent="0.35">
      <c r="A3308">
        <v>18000</v>
      </c>
      <c r="B3308" t="s">
        <v>51</v>
      </c>
      <c r="C3308" t="s">
        <v>208</v>
      </c>
      <c r="D3308" t="s">
        <v>92</v>
      </c>
      <c r="E3308" t="s">
        <v>209</v>
      </c>
      <c r="F3308" t="s">
        <v>244</v>
      </c>
      <c r="G3308" s="39">
        <v>45953</v>
      </c>
      <c r="J3308" t="s">
        <v>982</v>
      </c>
    </row>
    <row r="3309" spans="1:10" x14ac:dyDescent="0.35">
      <c r="A3309">
        <v>17616</v>
      </c>
      <c r="B3309" t="s">
        <v>51</v>
      </c>
      <c r="C3309" t="s">
        <v>208</v>
      </c>
      <c r="D3309" t="s">
        <v>92</v>
      </c>
      <c r="E3309" t="s">
        <v>209</v>
      </c>
      <c r="F3309" t="s">
        <v>244</v>
      </c>
      <c r="G3309" s="39">
        <v>45818</v>
      </c>
      <c r="J3309" t="s">
        <v>982</v>
      </c>
    </row>
    <row r="3310" spans="1:10" x14ac:dyDescent="0.35">
      <c r="A3310">
        <v>13046</v>
      </c>
      <c r="B3310" t="s">
        <v>51</v>
      </c>
      <c r="C3310" t="s">
        <v>208</v>
      </c>
      <c r="D3310" t="s">
        <v>92</v>
      </c>
      <c r="E3310" t="s">
        <v>209</v>
      </c>
      <c r="F3310" t="s">
        <v>244</v>
      </c>
      <c r="G3310" s="39">
        <v>44218</v>
      </c>
      <c r="J3310" t="s">
        <v>982</v>
      </c>
    </row>
    <row r="3311" spans="1:10" x14ac:dyDescent="0.35">
      <c r="A3311">
        <v>16130</v>
      </c>
      <c r="B3311" t="s">
        <v>51</v>
      </c>
      <c r="C3311" t="s">
        <v>208</v>
      </c>
      <c r="D3311" t="s">
        <v>92</v>
      </c>
      <c r="E3311" t="s">
        <v>209</v>
      </c>
      <c r="F3311" t="s">
        <v>244</v>
      </c>
      <c r="G3311" s="39">
        <v>45298</v>
      </c>
      <c r="J3311" t="s">
        <v>982</v>
      </c>
    </row>
    <row r="3312" spans="1:10" x14ac:dyDescent="0.35">
      <c r="A3312">
        <v>18665</v>
      </c>
      <c r="B3312" t="s">
        <v>51</v>
      </c>
      <c r="C3312" t="s">
        <v>208</v>
      </c>
      <c r="D3312" t="s">
        <v>92</v>
      </c>
      <c r="E3312" t="s">
        <v>209</v>
      </c>
      <c r="F3312" t="s">
        <v>244</v>
      </c>
      <c r="G3312" s="39">
        <v>46190</v>
      </c>
      <c r="J3312" t="s">
        <v>982</v>
      </c>
    </row>
    <row r="3313" spans="1:10" x14ac:dyDescent="0.35">
      <c r="A3313">
        <v>13118</v>
      </c>
      <c r="B3313" t="s">
        <v>51</v>
      </c>
      <c r="C3313" t="s">
        <v>208</v>
      </c>
      <c r="D3313" t="s">
        <v>92</v>
      </c>
      <c r="E3313" t="s">
        <v>209</v>
      </c>
      <c r="F3313" t="s">
        <v>244</v>
      </c>
      <c r="G3313" s="39">
        <v>44266</v>
      </c>
      <c r="J3313" t="s">
        <v>982</v>
      </c>
    </row>
    <row r="3314" spans="1:10" x14ac:dyDescent="0.35">
      <c r="A3314">
        <v>17157</v>
      </c>
      <c r="B3314" t="s">
        <v>51</v>
      </c>
      <c r="C3314" t="s">
        <v>208</v>
      </c>
      <c r="D3314" t="s">
        <v>92</v>
      </c>
      <c r="E3314" t="s">
        <v>209</v>
      </c>
      <c r="F3314" t="s">
        <v>244</v>
      </c>
      <c r="G3314" s="39">
        <v>45652</v>
      </c>
      <c r="J3314" t="s">
        <v>982</v>
      </c>
    </row>
    <row r="3315" spans="1:10" x14ac:dyDescent="0.35">
      <c r="A3315">
        <v>16631</v>
      </c>
      <c r="B3315" t="s">
        <v>51</v>
      </c>
      <c r="C3315" t="s">
        <v>208</v>
      </c>
      <c r="D3315" t="s">
        <v>92</v>
      </c>
      <c r="E3315" t="s">
        <v>209</v>
      </c>
      <c r="F3315" t="s">
        <v>244</v>
      </c>
      <c r="G3315" s="39">
        <v>45505</v>
      </c>
      <c r="J3315" t="s">
        <v>982</v>
      </c>
    </row>
    <row r="3316" spans="1:10" x14ac:dyDescent="0.35">
      <c r="A3316">
        <v>16676</v>
      </c>
      <c r="B3316" t="s">
        <v>51</v>
      </c>
      <c r="C3316" t="s">
        <v>208</v>
      </c>
      <c r="D3316" t="s">
        <v>92</v>
      </c>
      <c r="E3316" t="s">
        <v>209</v>
      </c>
      <c r="F3316" t="s">
        <v>244</v>
      </c>
      <c r="G3316" s="39">
        <v>45517</v>
      </c>
      <c r="J3316" t="s">
        <v>982</v>
      </c>
    </row>
    <row r="3317" spans="1:10" x14ac:dyDescent="0.35">
      <c r="A3317">
        <v>17249</v>
      </c>
      <c r="B3317" t="s">
        <v>51</v>
      </c>
      <c r="C3317" t="s">
        <v>208</v>
      </c>
      <c r="D3317" t="s">
        <v>92</v>
      </c>
      <c r="E3317" t="s">
        <v>209</v>
      </c>
      <c r="F3317" t="s">
        <v>244</v>
      </c>
      <c r="G3317" s="39">
        <v>45681</v>
      </c>
      <c r="J3317" t="s">
        <v>982</v>
      </c>
    </row>
    <row r="3318" spans="1:10" x14ac:dyDescent="0.35">
      <c r="A3318">
        <v>15914</v>
      </c>
      <c r="B3318" t="s">
        <v>51</v>
      </c>
      <c r="C3318" t="s">
        <v>208</v>
      </c>
      <c r="D3318" t="s">
        <v>92</v>
      </c>
      <c r="E3318" t="s">
        <v>209</v>
      </c>
      <c r="F3318" t="s">
        <v>244</v>
      </c>
      <c r="G3318" s="39">
        <v>45237</v>
      </c>
      <c r="J3318" t="s">
        <v>982</v>
      </c>
    </row>
    <row r="3319" spans="1:10" x14ac:dyDescent="0.35">
      <c r="A3319">
        <v>18231</v>
      </c>
      <c r="B3319" t="s">
        <v>51</v>
      </c>
      <c r="C3319" t="s">
        <v>208</v>
      </c>
      <c r="D3319" t="s">
        <v>92</v>
      </c>
      <c r="E3319" t="s">
        <v>209</v>
      </c>
      <c r="F3319" t="s">
        <v>244</v>
      </c>
      <c r="G3319" s="39">
        <v>46065</v>
      </c>
      <c r="J3319" t="s">
        <v>982</v>
      </c>
    </row>
    <row r="3320" spans="1:10" x14ac:dyDescent="0.35">
      <c r="A3320">
        <v>16083</v>
      </c>
      <c r="B3320" t="s">
        <v>51</v>
      </c>
      <c r="C3320" t="s">
        <v>208</v>
      </c>
      <c r="D3320" t="s">
        <v>92</v>
      </c>
      <c r="E3320" t="s">
        <v>209</v>
      </c>
      <c r="F3320" t="s">
        <v>244</v>
      </c>
      <c r="G3320" s="39">
        <v>45279</v>
      </c>
      <c r="J3320" t="s">
        <v>982</v>
      </c>
    </row>
    <row r="3321" spans="1:10" x14ac:dyDescent="0.35">
      <c r="A3321">
        <v>15912</v>
      </c>
      <c r="B3321" t="s">
        <v>44</v>
      </c>
      <c r="C3321" t="s">
        <v>201</v>
      </c>
      <c r="D3321" t="s">
        <v>92</v>
      </c>
      <c r="E3321" t="s">
        <v>660</v>
      </c>
      <c r="F3321" t="s">
        <v>244</v>
      </c>
      <c r="G3321" s="39">
        <v>45237</v>
      </c>
      <c r="J3321" t="s">
        <v>982</v>
      </c>
    </row>
    <row r="3322" spans="1:10" x14ac:dyDescent="0.35">
      <c r="A3322">
        <v>16954</v>
      </c>
      <c r="B3322" t="s">
        <v>51</v>
      </c>
      <c r="C3322" t="s">
        <v>208</v>
      </c>
      <c r="D3322" t="s">
        <v>92</v>
      </c>
      <c r="E3322" t="s">
        <v>209</v>
      </c>
      <c r="F3322" t="s">
        <v>244</v>
      </c>
      <c r="G3322" s="39">
        <v>45576</v>
      </c>
      <c r="J3322" t="s">
        <v>982</v>
      </c>
    </row>
    <row r="3323" spans="1:10" x14ac:dyDescent="0.35">
      <c r="A3323">
        <v>16197</v>
      </c>
      <c r="B3323" t="s">
        <v>52</v>
      </c>
      <c r="C3323" t="s">
        <v>208</v>
      </c>
      <c r="D3323" t="s">
        <v>92</v>
      </c>
      <c r="E3323" t="s">
        <v>209</v>
      </c>
      <c r="F3323" t="s">
        <v>244</v>
      </c>
      <c r="G3323" s="39">
        <v>45316</v>
      </c>
      <c r="J3323" t="s">
        <v>982</v>
      </c>
    </row>
    <row r="3324" spans="1:10" x14ac:dyDescent="0.35">
      <c r="A3324">
        <v>17413</v>
      </c>
      <c r="B3324" t="s">
        <v>44</v>
      </c>
      <c r="C3324" t="s">
        <v>201</v>
      </c>
      <c r="D3324" t="s">
        <v>92</v>
      </c>
      <c r="E3324" t="s">
        <v>660</v>
      </c>
      <c r="F3324" t="s">
        <v>244</v>
      </c>
      <c r="G3324" s="39">
        <v>45748</v>
      </c>
      <c r="J3324" t="s">
        <v>982</v>
      </c>
    </row>
    <row r="3325" spans="1:10" x14ac:dyDescent="0.35">
      <c r="A3325">
        <v>17357</v>
      </c>
      <c r="B3325" t="s">
        <v>52</v>
      </c>
      <c r="C3325" t="s">
        <v>162</v>
      </c>
      <c r="D3325" t="s">
        <v>92</v>
      </c>
      <c r="E3325" t="s">
        <v>186</v>
      </c>
      <c r="F3325" t="s">
        <v>244</v>
      </c>
      <c r="G3325" s="39">
        <v>45719</v>
      </c>
      <c r="J3325" t="s">
        <v>982</v>
      </c>
    </row>
    <row r="3326" spans="1:10" x14ac:dyDescent="0.35">
      <c r="A3326">
        <v>17197</v>
      </c>
      <c r="B3326" t="s">
        <v>44</v>
      </c>
      <c r="C3326" t="s">
        <v>201</v>
      </c>
      <c r="D3326" t="s">
        <v>92</v>
      </c>
      <c r="E3326" t="s">
        <v>428</v>
      </c>
      <c r="F3326" t="s">
        <v>244</v>
      </c>
      <c r="G3326" s="39">
        <v>45664</v>
      </c>
      <c r="J3326" t="s">
        <v>982</v>
      </c>
    </row>
    <row r="3327" spans="1:10" x14ac:dyDescent="0.35">
      <c r="A3327">
        <v>11410</v>
      </c>
      <c r="B3327" t="s">
        <v>44</v>
      </c>
      <c r="C3327" t="s">
        <v>201</v>
      </c>
      <c r="D3327" t="s">
        <v>92</v>
      </c>
      <c r="E3327" t="s">
        <v>428</v>
      </c>
      <c r="F3327" t="s">
        <v>244</v>
      </c>
      <c r="G3327" s="39">
        <v>42667</v>
      </c>
      <c r="J3327" t="s">
        <v>982</v>
      </c>
    </row>
    <row r="3328" spans="1:10" x14ac:dyDescent="0.35">
      <c r="A3328">
        <v>18877</v>
      </c>
      <c r="B3328" t="s">
        <v>44</v>
      </c>
      <c r="C3328" t="s">
        <v>201</v>
      </c>
      <c r="D3328" t="s">
        <v>92</v>
      </c>
      <c r="E3328" t="s">
        <v>428</v>
      </c>
      <c r="F3328" t="s">
        <v>244</v>
      </c>
      <c r="G3328" s="39">
        <v>46227</v>
      </c>
      <c r="J3328" t="s">
        <v>982</v>
      </c>
    </row>
    <row r="3329" spans="1:10" x14ac:dyDescent="0.35">
      <c r="A3329">
        <v>12164</v>
      </c>
      <c r="B3329" t="s">
        <v>20</v>
      </c>
      <c r="C3329" t="s">
        <v>664</v>
      </c>
      <c r="D3329" t="s">
        <v>92</v>
      </c>
      <c r="E3329" t="s">
        <v>98</v>
      </c>
      <c r="F3329" t="s">
        <v>244</v>
      </c>
      <c r="G3329" s="39">
        <v>43535</v>
      </c>
      <c r="J3329" t="s">
        <v>982</v>
      </c>
    </row>
    <row r="3330" spans="1:10" x14ac:dyDescent="0.35">
      <c r="A3330">
        <v>12617</v>
      </c>
      <c r="B3330" t="s">
        <v>44</v>
      </c>
      <c r="C3330" t="s">
        <v>201</v>
      </c>
      <c r="D3330" t="s">
        <v>92</v>
      </c>
      <c r="E3330" t="s">
        <v>428</v>
      </c>
      <c r="F3330" t="s">
        <v>244</v>
      </c>
      <c r="G3330" s="39">
        <v>43839</v>
      </c>
      <c r="J3330" t="s">
        <v>982</v>
      </c>
    </row>
    <row r="3331" spans="1:10" x14ac:dyDescent="0.35">
      <c r="A3331">
        <v>17893</v>
      </c>
      <c r="B3331" t="s">
        <v>51</v>
      </c>
      <c r="C3331" t="s">
        <v>162</v>
      </c>
      <c r="D3331" t="s">
        <v>92</v>
      </c>
      <c r="E3331" t="s">
        <v>428</v>
      </c>
      <c r="F3331" t="s">
        <v>244</v>
      </c>
      <c r="G3331" s="39">
        <v>45910</v>
      </c>
      <c r="J3331" t="s">
        <v>982</v>
      </c>
    </row>
    <row r="3332" spans="1:10" x14ac:dyDescent="0.35">
      <c r="A3332">
        <v>13247</v>
      </c>
      <c r="B3332" t="s">
        <v>36</v>
      </c>
      <c r="C3332" t="s">
        <v>489</v>
      </c>
      <c r="D3332" t="s">
        <v>92</v>
      </c>
      <c r="E3332" t="s">
        <v>103</v>
      </c>
      <c r="F3332" t="s">
        <v>244</v>
      </c>
      <c r="G3332" s="39">
        <v>44337</v>
      </c>
      <c r="J3332" t="s">
        <v>981</v>
      </c>
    </row>
    <row r="3333" spans="1:10" x14ac:dyDescent="0.35">
      <c r="A3333">
        <v>17414</v>
      </c>
      <c r="B3333" t="s">
        <v>51</v>
      </c>
      <c r="C3333" t="s">
        <v>162</v>
      </c>
      <c r="D3333" t="s">
        <v>92</v>
      </c>
      <c r="E3333" t="s">
        <v>428</v>
      </c>
      <c r="F3333" t="s">
        <v>244</v>
      </c>
      <c r="G3333" s="39">
        <v>45748</v>
      </c>
      <c r="J3333" t="s">
        <v>982</v>
      </c>
    </row>
    <row r="3334" spans="1:10" x14ac:dyDescent="0.35">
      <c r="A3334">
        <v>17381</v>
      </c>
      <c r="B3334" t="s">
        <v>51</v>
      </c>
      <c r="C3334" t="s">
        <v>162</v>
      </c>
      <c r="D3334" t="s">
        <v>92</v>
      </c>
      <c r="E3334" t="s">
        <v>428</v>
      </c>
      <c r="F3334" t="s">
        <v>244</v>
      </c>
      <c r="G3334" s="39">
        <v>45749</v>
      </c>
      <c r="J3334" t="s">
        <v>982</v>
      </c>
    </row>
    <row r="3335" spans="1:10" x14ac:dyDescent="0.35">
      <c r="A3335">
        <v>17425</v>
      </c>
      <c r="B3335" t="s">
        <v>52</v>
      </c>
      <c r="C3335" t="s">
        <v>162</v>
      </c>
      <c r="D3335" t="s">
        <v>92</v>
      </c>
      <c r="E3335" t="s">
        <v>428</v>
      </c>
      <c r="F3335" t="s">
        <v>244</v>
      </c>
      <c r="G3335" s="39">
        <v>45749</v>
      </c>
      <c r="J3335" t="s">
        <v>982</v>
      </c>
    </row>
    <row r="3336" spans="1:10" x14ac:dyDescent="0.35">
      <c r="A3336">
        <v>13226</v>
      </c>
      <c r="B3336" t="s">
        <v>44</v>
      </c>
      <c r="C3336" t="s">
        <v>201</v>
      </c>
      <c r="D3336" t="s">
        <v>92</v>
      </c>
      <c r="E3336" t="s">
        <v>428</v>
      </c>
      <c r="F3336" t="s">
        <v>244</v>
      </c>
      <c r="G3336" s="39">
        <v>44324</v>
      </c>
      <c r="J3336" t="s">
        <v>982</v>
      </c>
    </row>
    <row r="3337" spans="1:10" x14ac:dyDescent="0.35">
      <c r="A3337">
        <v>16388</v>
      </c>
      <c r="B3337" t="s">
        <v>52</v>
      </c>
      <c r="C3337" t="s">
        <v>162</v>
      </c>
      <c r="D3337" t="s">
        <v>92</v>
      </c>
      <c r="E3337" t="s">
        <v>428</v>
      </c>
      <c r="F3337" t="s">
        <v>244</v>
      </c>
      <c r="G3337" s="39">
        <v>45383</v>
      </c>
      <c r="J3337" t="s">
        <v>982</v>
      </c>
    </row>
    <row r="3338" spans="1:10" x14ac:dyDescent="0.35">
      <c r="A3338">
        <v>19121</v>
      </c>
      <c r="B3338" t="s">
        <v>52</v>
      </c>
      <c r="C3338" t="s">
        <v>162</v>
      </c>
      <c r="D3338" t="s">
        <v>92</v>
      </c>
      <c r="E3338" t="s">
        <v>210</v>
      </c>
      <c r="F3338" t="s">
        <v>244</v>
      </c>
      <c r="G3338" s="39">
        <v>46267</v>
      </c>
      <c r="H3338" t="s">
        <v>249</v>
      </c>
      <c r="J3338" t="s">
        <v>982</v>
      </c>
    </row>
    <row r="3339" spans="1:10" x14ac:dyDescent="0.35">
      <c r="A3339">
        <v>11367</v>
      </c>
      <c r="B3339" t="s">
        <v>51</v>
      </c>
      <c r="C3339" t="s">
        <v>162</v>
      </c>
      <c r="D3339" t="s">
        <v>92</v>
      </c>
      <c r="E3339" t="s">
        <v>428</v>
      </c>
      <c r="F3339" t="s">
        <v>244</v>
      </c>
      <c r="G3339" s="39">
        <v>42597</v>
      </c>
      <c r="J3339" t="s">
        <v>982</v>
      </c>
    </row>
    <row r="3340" spans="1:10" x14ac:dyDescent="0.35">
      <c r="A3340">
        <v>660035</v>
      </c>
      <c r="B3340" t="s">
        <v>51</v>
      </c>
      <c r="C3340" t="s">
        <v>162</v>
      </c>
      <c r="D3340" t="s">
        <v>92</v>
      </c>
      <c r="E3340" t="s">
        <v>428</v>
      </c>
      <c r="F3340" t="s">
        <v>244</v>
      </c>
      <c r="G3340" s="39">
        <v>43063</v>
      </c>
      <c r="J3340" t="s">
        <v>982</v>
      </c>
    </row>
    <row r="3341" spans="1:10" x14ac:dyDescent="0.35">
      <c r="A3341">
        <v>11368</v>
      </c>
      <c r="B3341" t="s">
        <v>52</v>
      </c>
      <c r="C3341" t="s">
        <v>162</v>
      </c>
      <c r="D3341" t="s">
        <v>92</v>
      </c>
      <c r="E3341" t="s">
        <v>428</v>
      </c>
      <c r="F3341" t="s">
        <v>411</v>
      </c>
      <c r="G3341" s="39">
        <v>42597</v>
      </c>
      <c r="J3341" t="s">
        <v>982</v>
      </c>
    </row>
    <row r="3342" spans="1:10" x14ac:dyDescent="0.35">
      <c r="A3342">
        <v>300073</v>
      </c>
      <c r="B3342" t="s">
        <v>7</v>
      </c>
      <c r="C3342" t="s">
        <v>161</v>
      </c>
      <c r="D3342" t="s">
        <v>92</v>
      </c>
      <c r="E3342" t="s">
        <v>102</v>
      </c>
      <c r="F3342" t="s">
        <v>244</v>
      </c>
      <c r="G3342" s="39">
        <v>42839</v>
      </c>
      <c r="J3342" t="s">
        <v>982</v>
      </c>
    </row>
    <row r="3343" spans="1:10" x14ac:dyDescent="0.35">
      <c r="A3343">
        <v>15526</v>
      </c>
      <c r="B3343" t="s">
        <v>51</v>
      </c>
      <c r="C3343" t="s">
        <v>162</v>
      </c>
      <c r="D3343" t="s">
        <v>92</v>
      </c>
      <c r="E3343" t="s">
        <v>428</v>
      </c>
      <c r="F3343" t="s">
        <v>244</v>
      </c>
      <c r="G3343" s="39">
        <v>45101</v>
      </c>
      <c r="J3343" t="s">
        <v>982</v>
      </c>
    </row>
    <row r="3344" spans="1:10" x14ac:dyDescent="0.35">
      <c r="A3344">
        <v>12079</v>
      </c>
      <c r="B3344" t="s">
        <v>52</v>
      </c>
      <c r="C3344" t="s">
        <v>162</v>
      </c>
      <c r="D3344" t="s">
        <v>92</v>
      </c>
      <c r="E3344" t="s">
        <v>96</v>
      </c>
      <c r="F3344" t="s">
        <v>244</v>
      </c>
      <c r="G3344" s="39">
        <v>43455</v>
      </c>
      <c r="J3344" t="s">
        <v>982</v>
      </c>
    </row>
    <row r="3345" spans="1:10" x14ac:dyDescent="0.35">
      <c r="A3345">
        <v>12679</v>
      </c>
      <c r="B3345" t="s">
        <v>52</v>
      </c>
      <c r="C3345" t="s">
        <v>162</v>
      </c>
      <c r="D3345" t="s">
        <v>92</v>
      </c>
      <c r="E3345" t="s">
        <v>428</v>
      </c>
      <c r="F3345" t="s">
        <v>244</v>
      </c>
      <c r="G3345" s="39">
        <v>43866</v>
      </c>
      <c r="J3345" t="s">
        <v>982</v>
      </c>
    </row>
    <row r="3346" spans="1:10" x14ac:dyDescent="0.35">
      <c r="A3346">
        <v>11889</v>
      </c>
      <c r="B3346" t="s">
        <v>44</v>
      </c>
      <c r="C3346" t="s">
        <v>201</v>
      </c>
      <c r="D3346" t="s">
        <v>92</v>
      </c>
      <c r="E3346" t="s">
        <v>428</v>
      </c>
      <c r="F3346" t="s">
        <v>244</v>
      </c>
      <c r="G3346" s="39">
        <v>43242</v>
      </c>
      <c r="J3346" t="s">
        <v>982</v>
      </c>
    </row>
    <row r="3347" spans="1:10" x14ac:dyDescent="0.35">
      <c r="A3347">
        <v>17868</v>
      </c>
      <c r="B3347" t="s">
        <v>52</v>
      </c>
      <c r="C3347" t="s">
        <v>162</v>
      </c>
      <c r="D3347" t="s">
        <v>92</v>
      </c>
      <c r="E3347" t="s">
        <v>428</v>
      </c>
      <c r="F3347" t="s">
        <v>244</v>
      </c>
      <c r="G3347" s="39">
        <v>45908</v>
      </c>
      <c r="J3347" t="s">
        <v>982</v>
      </c>
    </row>
    <row r="3348" spans="1:10" x14ac:dyDescent="0.35">
      <c r="A3348">
        <v>18959</v>
      </c>
      <c r="B3348" t="s">
        <v>52</v>
      </c>
      <c r="C3348" t="s">
        <v>162</v>
      </c>
      <c r="D3348" t="s">
        <v>92</v>
      </c>
      <c r="E3348" t="s">
        <v>428</v>
      </c>
      <c r="F3348" t="s">
        <v>244</v>
      </c>
      <c r="G3348" s="39">
        <v>46252</v>
      </c>
      <c r="J3348" t="s">
        <v>982</v>
      </c>
    </row>
    <row r="3349" spans="1:10" x14ac:dyDescent="0.35">
      <c r="A3349">
        <v>18990</v>
      </c>
      <c r="B3349" t="s">
        <v>52</v>
      </c>
      <c r="C3349" t="s">
        <v>162</v>
      </c>
      <c r="D3349" t="s">
        <v>92</v>
      </c>
      <c r="E3349" t="s">
        <v>428</v>
      </c>
      <c r="F3349" t="s">
        <v>244</v>
      </c>
      <c r="G3349" s="39">
        <v>46255</v>
      </c>
      <c r="J3349" t="s">
        <v>982</v>
      </c>
    </row>
    <row r="3350" spans="1:10" x14ac:dyDescent="0.35">
      <c r="A3350">
        <v>19006</v>
      </c>
      <c r="B3350" t="s">
        <v>52</v>
      </c>
      <c r="C3350" t="s">
        <v>162</v>
      </c>
      <c r="D3350" t="s">
        <v>92</v>
      </c>
      <c r="E3350" t="s">
        <v>428</v>
      </c>
      <c r="F3350" t="s">
        <v>244</v>
      </c>
      <c r="G3350" s="39">
        <v>46259</v>
      </c>
      <c r="J3350" t="s">
        <v>982</v>
      </c>
    </row>
    <row r="3351" spans="1:10" x14ac:dyDescent="0.35">
      <c r="A3351">
        <v>18419</v>
      </c>
      <c r="B3351" t="s">
        <v>52</v>
      </c>
      <c r="C3351" t="s">
        <v>162</v>
      </c>
      <c r="D3351" t="s">
        <v>92</v>
      </c>
      <c r="E3351" t="s">
        <v>428</v>
      </c>
      <c r="F3351" t="s">
        <v>244</v>
      </c>
      <c r="G3351" s="39">
        <v>46127</v>
      </c>
      <c r="J3351" t="s">
        <v>982</v>
      </c>
    </row>
    <row r="3352" spans="1:10" x14ac:dyDescent="0.35">
      <c r="A3352">
        <v>12502</v>
      </c>
      <c r="B3352" t="s">
        <v>52</v>
      </c>
      <c r="C3352" t="s">
        <v>162</v>
      </c>
      <c r="D3352" t="s">
        <v>92</v>
      </c>
      <c r="E3352" t="s">
        <v>428</v>
      </c>
      <c r="F3352" t="s">
        <v>411</v>
      </c>
      <c r="G3352" s="39">
        <v>43777</v>
      </c>
      <c r="J3352" t="s">
        <v>982</v>
      </c>
    </row>
    <row r="3353" spans="1:10" x14ac:dyDescent="0.35">
      <c r="A3353">
        <v>17260</v>
      </c>
      <c r="B3353" t="s">
        <v>51</v>
      </c>
      <c r="C3353" t="s">
        <v>162</v>
      </c>
      <c r="D3353" t="s">
        <v>92</v>
      </c>
      <c r="E3353" t="s">
        <v>428</v>
      </c>
      <c r="F3353" t="s">
        <v>244</v>
      </c>
      <c r="G3353" s="39">
        <v>45692</v>
      </c>
      <c r="J3353" t="s">
        <v>982</v>
      </c>
    </row>
    <row r="3354" spans="1:10" x14ac:dyDescent="0.35">
      <c r="A3354">
        <v>18785</v>
      </c>
      <c r="B3354" t="s">
        <v>51</v>
      </c>
      <c r="C3354" t="s">
        <v>162</v>
      </c>
      <c r="D3354" t="s">
        <v>92</v>
      </c>
      <c r="E3354" t="s">
        <v>428</v>
      </c>
      <c r="F3354" t="s">
        <v>244</v>
      </c>
      <c r="G3354" s="39">
        <v>46211</v>
      </c>
      <c r="J3354" t="s">
        <v>982</v>
      </c>
    </row>
    <row r="3355" spans="1:10" x14ac:dyDescent="0.35">
      <c r="A3355">
        <v>18771</v>
      </c>
      <c r="B3355" t="s">
        <v>51</v>
      </c>
      <c r="C3355" t="s">
        <v>162</v>
      </c>
      <c r="D3355" t="s">
        <v>92</v>
      </c>
      <c r="E3355" t="s">
        <v>428</v>
      </c>
      <c r="F3355" t="s">
        <v>244</v>
      </c>
      <c r="G3355" s="39">
        <v>46216</v>
      </c>
      <c r="J3355" t="s">
        <v>982</v>
      </c>
    </row>
    <row r="3356" spans="1:10" x14ac:dyDescent="0.35">
      <c r="A3356">
        <v>13528</v>
      </c>
      <c r="B3356" t="s">
        <v>52</v>
      </c>
      <c r="C3356" t="s">
        <v>162</v>
      </c>
      <c r="D3356" t="s">
        <v>92</v>
      </c>
      <c r="E3356" t="s">
        <v>428</v>
      </c>
      <c r="F3356" t="s">
        <v>244</v>
      </c>
      <c r="G3356" s="39">
        <v>44483</v>
      </c>
      <c r="J3356" t="s">
        <v>982</v>
      </c>
    </row>
    <row r="3357" spans="1:10" x14ac:dyDescent="0.35">
      <c r="A3357">
        <v>17407</v>
      </c>
      <c r="B3357" t="s">
        <v>52</v>
      </c>
      <c r="C3357" t="s">
        <v>162</v>
      </c>
      <c r="D3357" t="s">
        <v>92</v>
      </c>
      <c r="E3357" t="s">
        <v>428</v>
      </c>
      <c r="F3357" t="s">
        <v>244</v>
      </c>
      <c r="G3357" s="39">
        <v>45730</v>
      </c>
      <c r="J3357" t="s">
        <v>982</v>
      </c>
    </row>
    <row r="3358" spans="1:10" x14ac:dyDescent="0.35">
      <c r="A3358">
        <v>12498</v>
      </c>
      <c r="B3358" t="s">
        <v>52</v>
      </c>
      <c r="C3358" t="s">
        <v>162</v>
      </c>
      <c r="D3358" t="s">
        <v>92</v>
      </c>
      <c r="E3358" t="s">
        <v>428</v>
      </c>
      <c r="F3358" t="s">
        <v>244</v>
      </c>
      <c r="G3358" s="39">
        <v>43777</v>
      </c>
      <c r="J3358" t="s">
        <v>982</v>
      </c>
    </row>
    <row r="3359" spans="1:10" x14ac:dyDescent="0.35">
      <c r="A3359">
        <v>12577</v>
      </c>
      <c r="B3359" t="s">
        <v>52</v>
      </c>
      <c r="C3359" t="s">
        <v>666</v>
      </c>
      <c r="D3359" t="s">
        <v>92</v>
      </c>
      <c r="E3359" t="s">
        <v>428</v>
      </c>
      <c r="F3359" t="s">
        <v>244</v>
      </c>
      <c r="G3359" s="39">
        <v>43816</v>
      </c>
      <c r="J3359" t="s">
        <v>982</v>
      </c>
    </row>
    <row r="3360" spans="1:10" x14ac:dyDescent="0.35">
      <c r="A3360">
        <v>600017</v>
      </c>
      <c r="B3360" t="s">
        <v>51</v>
      </c>
      <c r="C3360" t="s">
        <v>162</v>
      </c>
      <c r="D3360" t="s">
        <v>92</v>
      </c>
      <c r="E3360" t="s">
        <v>428</v>
      </c>
      <c r="F3360" t="s">
        <v>244</v>
      </c>
      <c r="G3360" s="39">
        <v>40093</v>
      </c>
      <c r="J3360" t="s">
        <v>982</v>
      </c>
    </row>
    <row r="3361" spans="1:10" x14ac:dyDescent="0.35">
      <c r="A3361">
        <v>230024</v>
      </c>
      <c r="B3361" t="s">
        <v>51</v>
      </c>
      <c r="C3361" t="s">
        <v>162</v>
      </c>
      <c r="D3361" t="s">
        <v>92</v>
      </c>
      <c r="E3361" t="s">
        <v>428</v>
      </c>
      <c r="F3361" t="s">
        <v>244</v>
      </c>
      <c r="G3361" s="39">
        <v>41061</v>
      </c>
      <c r="J3361" t="s">
        <v>982</v>
      </c>
    </row>
    <row r="3362" spans="1:10" x14ac:dyDescent="0.35">
      <c r="A3362">
        <v>220016</v>
      </c>
      <c r="B3362" t="s">
        <v>51</v>
      </c>
      <c r="C3362" t="s">
        <v>162</v>
      </c>
      <c r="D3362" t="s">
        <v>92</v>
      </c>
      <c r="E3362" t="s">
        <v>428</v>
      </c>
      <c r="F3362" t="s">
        <v>244</v>
      </c>
      <c r="G3362" s="39">
        <v>40813</v>
      </c>
      <c r="J3362" t="s">
        <v>982</v>
      </c>
    </row>
    <row r="3363" spans="1:10" x14ac:dyDescent="0.35">
      <c r="A3363">
        <v>14716</v>
      </c>
      <c r="B3363" t="s">
        <v>52</v>
      </c>
      <c r="C3363" t="s">
        <v>162</v>
      </c>
      <c r="D3363" t="s">
        <v>92</v>
      </c>
      <c r="E3363" t="s">
        <v>428</v>
      </c>
      <c r="F3363" t="s">
        <v>244</v>
      </c>
      <c r="G3363" s="39">
        <v>44846</v>
      </c>
      <c r="J3363" t="s">
        <v>982</v>
      </c>
    </row>
    <row r="3364" spans="1:10" x14ac:dyDescent="0.35">
      <c r="A3364">
        <v>13175</v>
      </c>
      <c r="B3364" t="s">
        <v>51</v>
      </c>
      <c r="C3364" t="s">
        <v>162</v>
      </c>
      <c r="D3364" t="s">
        <v>92</v>
      </c>
      <c r="E3364" t="s">
        <v>428</v>
      </c>
      <c r="F3364" t="s">
        <v>244</v>
      </c>
      <c r="G3364" s="39">
        <v>44302</v>
      </c>
      <c r="J3364" t="s">
        <v>982</v>
      </c>
    </row>
    <row r="3365" spans="1:10" x14ac:dyDescent="0.35">
      <c r="A3365">
        <v>11554</v>
      </c>
      <c r="B3365" t="s">
        <v>51</v>
      </c>
      <c r="C3365" t="s">
        <v>162</v>
      </c>
      <c r="D3365" t="s">
        <v>92</v>
      </c>
      <c r="E3365" t="s">
        <v>641</v>
      </c>
      <c r="F3365" t="s">
        <v>244</v>
      </c>
      <c r="G3365" s="39">
        <v>42832</v>
      </c>
      <c r="J3365" t="s">
        <v>982</v>
      </c>
    </row>
    <row r="3366" spans="1:10" x14ac:dyDescent="0.35">
      <c r="A3366">
        <v>600044</v>
      </c>
      <c r="B3366" t="s">
        <v>51</v>
      </c>
      <c r="C3366" t="s">
        <v>162</v>
      </c>
      <c r="D3366" t="s">
        <v>92</v>
      </c>
      <c r="E3366" t="s">
        <v>428</v>
      </c>
      <c r="F3366" t="s">
        <v>244</v>
      </c>
      <c r="G3366" s="39">
        <v>43577</v>
      </c>
      <c r="J3366" t="s">
        <v>982</v>
      </c>
    </row>
    <row r="3367" spans="1:10" x14ac:dyDescent="0.35">
      <c r="A3367">
        <v>980009</v>
      </c>
      <c r="B3367" t="s">
        <v>52</v>
      </c>
      <c r="C3367" t="s">
        <v>162</v>
      </c>
      <c r="D3367" t="s">
        <v>92</v>
      </c>
      <c r="E3367" t="s">
        <v>428</v>
      </c>
      <c r="F3367" t="s">
        <v>244</v>
      </c>
      <c r="G3367" s="39">
        <v>42500</v>
      </c>
      <c r="J3367" t="s">
        <v>982</v>
      </c>
    </row>
    <row r="3368" spans="1:10" x14ac:dyDescent="0.35">
      <c r="A3368">
        <v>18819</v>
      </c>
      <c r="B3368" t="s">
        <v>52</v>
      </c>
      <c r="C3368" t="s">
        <v>162</v>
      </c>
      <c r="D3368" t="s">
        <v>92</v>
      </c>
      <c r="E3368" t="s">
        <v>210</v>
      </c>
      <c r="F3368" t="s">
        <v>244</v>
      </c>
      <c r="G3368" s="39">
        <v>46213</v>
      </c>
      <c r="H3368" t="s">
        <v>249</v>
      </c>
      <c r="J3368" t="s">
        <v>982</v>
      </c>
    </row>
    <row r="3369" spans="1:10" x14ac:dyDescent="0.35">
      <c r="A3369">
        <v>18806</v>
      </c>
      <c r="B3369" t="s">
        <v>52</v>
      </c>
      <c r="C3369" t="s">
        <v>162</v>
      </c>
      <c r="D3369" t="s">
        <v>92</v>
      </c>
      <c r="E3369" t="s">
        <v>210</v>
      </c>
      <c r="F3369" t="s">
        <v>244</v>
      </c>
      <c r="G3369" s="39">
        <v>46213</v>
      </c>
      <c r="H3369" t="s">
        <v>249</v>
      </c>
      <c r="J3369" t="s">
        <v>982</v>
      </c>
    </row>
    <row r="3370" spans="1:10" x14ac:dyDescent="0.35">
      <c r="A3370">
        <v>18148</v>
      </c>
      <c r="B3370" t="s">
        <v>51</v>
      </c>
      <c r="C3370" t="s">
        <v>162</v>
      </c>
      <c r="D3370" t="s">
        <v>92</v>
      </c>
      <c r="E3370" t="s">
        <v>428</v>
      </c>
      <c r="F3370" t="s">
        <v>244</v>
      </c>
      <c r="G3370" s="39">
        <v>46014</v>
      </c>
      <c r="J3370" t="s">
        <v>982</v>
      </c>
    </row>
    <row r="3371" spans="1:10" x14ac:dyDescent="0.35">
      <c r="A3371">
        <v>20008</v>
      </c>
      <c r="B3371" t="s">
        <v>52</v>
      </c>
      <c r="C3371" t="s">
        <v>162</v>
      </c>
      <c r="D3371" t="s">
        <v>92</v>
      </c>
      <c r="E3371" t="s">
        <v>428</v>
      </c>
      <c r="F3371" t="s">
        <v>244</v>
      </c>
      <c r="G3371" s="39">
        <v>41061</v>
      </c>
      <c r="J3371" t="s">
        <v>982</v>
      </c>
    </row>
    <row r="3372" spans="1:10" x14ac:dyDescent="0.35">
      <c r="A3372">
        <v>14224</v>
      </c>
      <c r="B3372" t="s">
        <v>51</v>
      </c>
      <c r="C3372" t="s">
        <v>162</v>
      </c>
      <c r="D3372" t="s">
        <v>92</v>
      </c>
      <c r="E3372" t="s">
        <v>428</v>
      </c>
      <c r="F3372" t="s">
        <v>244</v>
      </c>
      <c r="G3372" s="39">
        <v>44700</v>
      </c>
      <c r="J3372" t="s">
        <v>982</v>
      </c>
    </row>
    <row r="3373" spans="1:10" x14ac:dyDescent="0.35">
      <c r="A3373">
        <v>13353</v>
      </c>
      <c r="B3373" t="s">
        <v>51</v>
      </c>
      <c r="C3373" t="s">
        <v>162</v>
      </c>
      <c r="D3373" t="s">
        <v>92</v>
      </c>
      <c r="E3373" t="s">
        <v>428</v>
      </c>
      <c r="F3373" t="s">
        <v>244</v>
      </c>
      <c r="G3373" s="39">
        <v>44399</v>
      </c>
      <c r="J3373" t="s">
        <v>982</v>
      </c>
    </row>
    <row r="3374" spans="1:10" x14ac:dyDescent="0.35">
      <c r="A3374">
        <v>18205</v>
      </c>
      <c r="B3374" t="s">
        <v>51</v>
      </c>
      <c r="C3374" t="s">
        <v>162</v>
      </c>
      <c r="D3374" t="s">
        <v>92</v>
      </c>
      <c r="E3374" t="s">
        <v>428</v>
      </c>
      <c r="F3374" t="s">
        <v>244</v>
      </c>
      <c r="G3374" s="39">
        <v>46055</v>
      </c>
      <c r="J3374" t="s">
        <v>982</v>
      </c>
    </row>
    <row r="3375" spans="1:10" x14ac:dyDescent="0.35">
      <c r="A3375">
        <v>18308</v>
      </c>
      <c r="B3375" t="s">
        <v>44</v>
      </c>
      <c r="C3375" t="s">
        <v>201</v>
      </c>
      <c r="D3375" t="s">
        <v>92</v>
      </c>
      <c r="E3375" t="s">
        <v>428</v>
      </c>
      <c r="F3375" t="s">
        <v>244</v>
      </c>
      <c r="G3375" s="39">
        <v>46084</v>
      </c>
      <c r="J3375" t="s">
        <v>982</v>
      </c>
    </row>
    <row r="3376" spans="1:10" x14ac:dyDescent="0.35">
      <c r="A3376">
        <v>11641</v>
      </c>
      <c r="B3376" t="s">
        <v>51</v>
      </c>
      <c r="C3376" t="s">
        <v>162</v>
      </c>
      <c r="D3376" t="s">
        <v>92</v>
      </c>
      <c r="E3376" t="s">
        <v>428</v>
      </c>
      <c r="F3376" t="s">
        <v>244</v>
      </c>
      <c r="G3376" s="39">
        <v>42970</v>
      </c>
      <c r="J3376" t="s">
        <v>982</v>
      </c>
    </row>
    <row r="3377" spans="1:10" x14ac:dyDescent="0.35">
      <c r="A3377">
        <v>18909</v>
      </c>
      <c r="B3377" t="s">
        <v>44</v>
      </c>
      <c r="C3377" t="s">
        <v>201</v>
      </c>
      <c r="D3377" t="s">
        <v>92</v>
      </c>
      <c r="E3377" t="s">
        <v>428</v>
      </c>
      <c r="F3377" t="s">
        <v>244</v>
      </c>
      <c r="G3377" s="39">
        <v>46238</v>
      </c>
      <c r="J3377" t="s">
        <v>982</v>
      </c>
    </row>
    <row r="3378" spans="1:10" x14ac:dyDescent="0.35">
      <c r="A3378">
        <v>18338</v>
      </c>
      <c r="B3378" t="s">
        <v>51</v>
      </c>
      <c r="C3378" t="s">
        <v>162</v>
      </c>
      <c r="D3378" t="s">
        <v>92</v>
      </c>
      <c r="E3378" t="s">
        <v>428</v>
      </c>
      <c r="F3378" t="s">
        <v>244</v>
      </c>
      <c r="G3378" s="39">
        <v>46097</v>
      </c>
      <c r="J3378" t="s">
        <v>982</v>
      </c>
    </row>
    <row r="3379" spans="1:10" x14ac:dyDescent="0.35">
      <c r="A3379">
        <v>18333</v>
      </c>
      <c r="B3379" t="s">
        <v>51</v>
      </c>
      <c r="C3379" t="s">
        <v>162</v>
      </c>
      <c r="D3379" t="s">
        <v>92</v>
      </c>
      <c r="E3379" t="s">
        <v>428</v>
      </c>
      <c r="F3379" t="s">
        <v>244</v>
      </c>
      <c r="G3379" s="39">
        <v>46094</v>
      </c>
      <c r="J3379" t="s">
        <v>982</v>
      </c>
    </row>
    <row r="3380" spans="1:10" x14ac:dyDescent="0.35">
      <c r="A3380">
        <v>11292</v>
      </c>
      <c r="B3380" t="s">
        <v>51</v>
      </c>
      <c r="C3380" t="s">
        <v>162</v>
      </c>
      <c r="D3380" t="s">
        <v>92</v>
      </c>
      <c r="E3380" t="s">
        <v>641</v>
      </c>
      <c r="F3380" t="s">
        <v>244</v>
      </c>
      <c r="G3380" s="39">
        <v>42502</v>
      </c>
      <c r="J3380" t="s">
        <v>982</v>
      </c>
    </row>
    <row r="3381" spans="1:10" x14ac:dyDescent="0.35">
      <c r="A3381">
        <v>300108</v>
      </c>
      <c r="B3381" t="s">
        <v>51</v>
      </c>
      <c r="C3381" t="s">
        <v>162</v>
      </c>
      <c r="D3381" t="s">
        <v>92</v>
      </c>
      <c r="E3381" t="s">
        <v>428</v>
      </c>
      <c r="F3381" t="s">
        <v>244</v>
      </c>
      <c r="G3381" s="39">
        <v>43075</v>
      </c>
      <c r="J3381" t="s">
        <v>982</v>
      </c>
    </row>
    <row r="3382" spans="1:10" x14ac:dyDescent="0.35">
      <c r="A3382">
        <v>17809</v>
      </c>
      <c r="B3382" t="s">
        <v>51</v>
      </c>
      <c r="C3382" t="s">
        <v>162</v>
      </c>
      <c r="D3382" t="s">
        <v>92</v>
      </c>
      <c r="E3382" t="s">
        <v>428</v>
      </c>
      <c r="F3382" t="s">
        <v>244</v>
      </c>
      <c r="G3382" s="39">
        <v>45888</v>
      </c>
      <c r="J3382" t="s">
        <v>982</v>
      </c>
    </row>
    <row r="3383" spans="1:10" x14ac:dyDescent="0.35">
      <c r="A3383">
        <v>12761</v>
      </c>
      <c r="B3383" t="s">
        <v>51</v>
      </c>
      <c r="C3383" t="s">
        <v>162</v>
      </c>
      <c r="D3383" t="s">
        <v>92</v>
      </c>
      <c r="E3383" t="s">
        <v>428</v>
      </c>
      <c r="F3383" t="s">
        <v>244</v>
      </c>
      <c r="G3383" s="39">
        <v>43901</v>
      </c>
      <c r="J3383" t="s">
        <v>982</v>
      </c>
    </row>
    <row r="3384" spans="1:10" x14ac:dyDescent="0.35">
      <c r="A3384">
        <v>10836</v>
      </c>
      <c r="B3384" t="s">
        <v>51</v>
      </c>
      <c r="C3384" t="s">
        <v>162</v>
      </c>
      <c r="D3384" t="s">
        <v>92</v>
      </c>
      <c r="E3384" t="s">
        <v>428</v>
      </c>
      <c r="F3384" t="s">
        <v>244</v>
      </c>
      <c r="G3384" s="39">
        <v>41989</v>
      </c>
      <c r="J3384" t="s">
        <v>982</v>
      </c>
    </row>
    <row r="3385" spans="1:10" x14ac:dyDescent="0.35">
      <c r="A3385">
        <v>16026</v>
      </c>
      <c r="B3385" t="s">
        <v>51</v>
      </c>
      <c r="C3385" t="s">
        <v>162</v>
      </c>
      <c r="D3385" t="s">
        <v>92</v>
      </c>
      <c r="E3385" t="s">
        <v>428</v>
      </c>
      <c r="F3385" t="s">
        <v>411</v>
      </c>
      <c r="G3385" s="39">
        <v>45266</v>
      </c>
      <c r="J3385" t="s">
        <v>982</v>
      </c>
    </row>
    <row r="3386" spans="1:10" x14ac:dyDescent="0.35">
      <c r="A3386">
        <v>17372</v>
      </c>
      <c r="B3386" t="s">
        <v>51</v>
      </c>
      <c r="C3386" t="s">
        <v>162</v>
      </c>
      <c r="D3386" t="s">
        <v>92</v>
      </c>
      <c r="E3386" t="s">
        <v>428</v>
      </c>
      <c r="F3386" t="s">
        <v>244</v>
      </c>
      <c r="G3386" s="39">
        <v>45727</v>
      </c>
      <c r="J3386" t="s">
        <v>982</v>
      </c>
    </row>
    <row r="3387" spans="1:10" x14ac:dyDescent="0.35">
      <c r="A3387">
        <v>16638</v>
      </c>
      <c r="B3387" t="s">
        <v>51</v>
      </c>
      <c r="C3387" t="s">
        <v>162</v>
      </c>
      <c r="D3387" t="s">
        <v>92</v>
      </c>
      <c r="E3387" t="s">
        <v>428</v>
      </c>
      <c r="F3387" t="s">
        <v>244</v>
      </c>
      <c r="G3387" s="39">
        <v>45524</v>
      </c>
      <c r="J3387" t="s">
        <v>982</v>
      </c>
    </row>
    <row r="3388" spans="1:10" x14ac:dyDescent="0.35">
      <c r="A3388">
        <v>16531</v>
      </c>
      <c r="B3388" t="s">
        <v>51</v>
      </c>
      <c r="C3388" t="s">
        <v>162</v>
      </c>
      <c r="D3388" t="s">
        <v>92</v>
      </c>
      <c r="E3388" t="s">
        <v>428</v>
      </c>
      <c r="F3388" t="s">
        <v>244</v>
      </c>
      <c r="G3388" s="39">
        <v>45446</v>
      </c>
      <c r="J3388" t="s">
        <v>982</v>
      </c>
    </row>
    <row r="3389" spans="1:10" x14ac:dyDescent="0.35">
      <c r="A3389">
        <v>600018</v>
      </c>
      <c r="B3389" t="s">
        <v>51</v>
      </c>
      <c r="C3389" t="s">
        <v>162</v>
      </c>
      <c r="D3389" t="s">
        <v>92</v>
      </c>
      <c r="E3389" t="s">
        <v>428</v>
      </c>
      <c r="F3389" t="s">
        <v>244</v>
      </c>
      <c r="G3389" s="39">
        <v>39026</v>
      </c>
      <c r="J3389" t="s">
        <v>982</v>
      </c>
    </row>
    <row r="3390" spans="1:10" x14ac:dyDescent="0.35">
      <c r="A3390">
        <v>500029</v>
      </c>
      <c r="B3390" t="s">
        <v>51</v>
      </c>
      <c r="C3390" t="s">
        <v>162</v>
      </c>
      <c r="D3390" t="s">
        <v>92</v>
      </c>
      <c r="E3390" t="s">
        <v>428</v>
      </c>
      <c r="F3390" t="s">
        <v>244</v>
      </c>
      <c r="G3390" s="39">
        <v>42331</v>
      </c>
      <c r="J3390" t="s">
        <v>982</v>
      </c>
    </row>
    <row r="3391" spans="1:10" x14ac:dyDescent="0.35">
      <c r="A3391">
        <v>12275</v>
      </c>
      <c r="B3391" t="s">
        <v>52</v>
      </c>
      <c r="C3391" t="s">
        <v>162</v>
      </c>
      <c r="D3391" t="s">
        <v>92</v>
      </c>
      <c r="E3391" t="s">
        <v>428</v>
      </c>
      <c r="F3391" t="s">
        <v>244</v>
      </c>
      <c r="G3391" s="39">
        <v>43658</v>
      </c>
      <c r="J3391" t="s">
        <v>982</v>
      </c>
    </row>
    <row r="3392" spans="1:10" x14ac:dyDescent="0.35">
      <c r="A3392">
        <v>190040</v>
      </c>
      <c r="B3392" t="s">
        <v>51</v>
      </c>
      <c r="C3392" t="s">
        <v>162</v>
      </c>
      <c r="D3392" t="s">
        <v>92</v>
      </c>
      <c r="E3392" t="s">
        <v>428</v>
      </c>
      <c r="F3392" t="s">
        <v>244</v>
      </c>
      <c r="G3392" s="39">
        <v>42753</v>
      </c>
      <c r="J3392" t="s">
        <v>982</v>
      </c>
    </row>
    <row r="3393" spans="1:10" x14ac:dyDescent="0.35">
      <c r="A3393">
        <v>11768</v>
      </c>
      <c r="B3393" t="s">
        <v>51</v>
      </c>
      <c r="C3393" t="s">
        <v>162</v>
      </c>
      <c r="D3393" t="s">
        <v>92</v>
      </c>
      <c r="E3393" t="s">
        <v>428</v>
      </c>
      <c r="F3393" t="s">
        <v>244</v>
      </c>
      <c r="G3393" s="39">
        <v>43090</v>
      </c>
      <c r="J3393" t="s">
        <v>982</v>
      </c>
    </row>
    <row r="3394" spans="1:10" x14ac:dyDescent="0.35">
      <c r="A3394">
        <v>11999</v>
      </c>
      <c r="B3394" t="s">
        <v>46</v>
      </c>
      <c r="C3394" t="s">
        <v>526</v>
      </c>
      <c r="D3394" t="s">
        <v>92</v>
      </c>
      <c r="E3394" t="s">
        <v>102</v>
      </c>
      <c r="F3394" t="s">
        <v>244</v>
      </c>
      <c r="G3394" s="39">
        <v>43367</v>
      </c>
      <c r="J3394" t="s">
        <v>981</v>
      </c>
    </row>
    <row r="3395" spans="1:10" x14ac:dyDescent="0.35">
      <c r="A3395">
        <v>13779</v>
      </c>
      <c r="B3395" t="s">
        <v>79</v>
      </c>
      <c r="C3395" t="s">
        <v>658</v>
      </c>
      <c r="D3395" t="s">
        <v>92</v>
      </c>
      <c r="E3395" t="s">
        <v>98</v>
      </c>
      <c r="F3395" t="s">
        <v>244</v>
      </c>
      <c r="G3395" s="39">
        <v>44574</v>
      </c>
      <c r="J3395" t="s">
        <v>982</v>
      </c>
    </row>
    <row r="3396" spans="1:10" x14ac:dyDescent="0.35">
      <c r="A3396">
        <v>11196</v>
      </c>
      <c r="B3396" t="s">
        <v>51</v>
      </c>
      <c r="C3396" t="s">
        <v>162</v>
      </c>
      <c r="D3396" t="s">
        <v>92</v>
      </c>
      <c r="E3396" t="s">
        <v>641</v>
      </c>
      <c r="F3396" t="s">
        <v>244</v>
      </c>
      <c r="G3396" s="39">
        <v>42410</v>
      </c>
      <c r="J3396" t="s">
        <v>982</v>
      </c>
    </row>
    <row r="3397" spans="1:10" x14ac:dyDescent="0.35">
      <c r="A3397">
        <v>11520</v>
      </c>
      <c r="B3397" t="s">
        <v>51</v>
      </c>
      <c r="C3397" t="s">
        <v>162</v>
      </c>
      <c r="D3397" t="s">
        <v>92</v>
      </c>
      <c r="E3397" t="s">
        <v>428</v>
      </c>
      <c r="F3397" t="s">
        <v>244</v>
      </c>
      <c r="G3397" s="39">
        <v>42795</v>
      </c>
      <c r="J3397" t="s">
        <v>982</v>
      </c>
    </row>
    <row r="3398" spans="1:10" x14ac:dyDescent="0.35">
      <c r="A3398">
        <v>17906</v>
      </c>
      <c r="B3398" t="s">
        <v>51</v>
      </c>
      <c r="C3398" t="s">
        <v>162</v>
      </c>
      <c r="D3398" t="s">
        <v>92</v>
      </c>
      <c r="E3398" t="s">
        <v>428</v>
      </c>
      <c r="F3398" t="s">
        <v>244</v>
      </c>
      <c r="G3398" s="39">
        <v>45911</v>
      </c>
      <c r="J3398" t="s">
        <v>982</v>
      </c>
    </row>
    <row r="3399" spans="1:10" x14ac:dyDescent="0.35">
      <c r="A3399">
        <v>18653</v>
      </c>
      <c r="B3399" t="s">
        <v>51</v>
      </c>
      <c r="C3399" t="s">
        <v>162</v>
      </c>
      <c r="D3399" t="s">
        <v>92</v>
      </c>
      <c r="E3399" t="s">
        <v>428</v>
      </c>
      <c r="F3399" t="s">
        <v>244</v>
      </c>
      <c r="G3399" s="39">
        <v>46185</v>
      </c>
      <c r="J3399" t="s">
        <v>982</v>
      </c>
    </row>
    <row r="3400" spans="1:10" x14ac:dyDescent="0.35">
      <c r="A3400">
        <v>12526</v>
      </c>
      <c r="B3400" t="s">
        <v>51</v>
      </c>
      <c r="C3400" t="s">
        <v>162</v>
      </c>
      <c r="D3400" t="s">
        <v>92</v>
      </c>
      <c r="E3400" t="s">
        <v>428</v>
      </c>
      <c r="F3400" t="s">
        <v>244</v>
      </c>
      <c r="G3400" s="39">
        <v>43794</v>
      </c>
      <c r="J3400" t="s">
        <v>982</v>
      </c>
    </row>
    <row r="3401" spans="1:10" x14ac:dyDescent="0.35">
      <c r="A3401">
        <v>18241</v>
      </c>
      <c r="B3401" t="s">
        <v>51</v>
      </c>
      <c r="C3401" t="s">
        <v>162</v>
      </c>
      <c r="D3401" t="s">
        <v>92</v>
      </c>
      <c r="E3401" t="s">
        <v>428</v>
      </c>
      <c r="F3401" t="s">
        <v>244</v>
      </c>
      <c r="G3401" s="39">
        <v>46070</v>
      </c>
      <c r="J3401" t="s">
        <v>982</v>
      </c>
    </row>
    <row r="3402" spans="1:10" x14ac:dyDescent="0.35">
      <c r="A3402">
        <v>18273</v>
      </c>
      <c r="B3402" t="s">
        <v>52</v>
      </c>
      <c r="C3402" t="s">
        <v>162</v>
      </c>
      <c r="D3402" t="s">
        <v>92</v>
      </c>
      <c r="E3402" t="s">
        <v>428</v>
      </c>
      <c r="F3402" t="s">
        <v>244</v>
      </c>
      <c r="G3402" s="39">
        <v>46072</v>
      </c>
      <c r="J3402" t="s">
        <v>982</v>
      </c>
    </row>
    <row r="3403" spans="1:10" x14ac:dyDescent="0.35">
      <c r="A3403">
        <v>12461</v>
      </c>
      <c r="B3403" t="s">
        <v>51</v>
      </c>
      <c r="C3403" t="s">
        <v>162</v>
      </c>
      <c r="D3403" t="s">
        <v>92</v>
      </c>
      <c r="E3403" t="s">
        <v>428</v>
      </c>
      <c r="F3403" t="s">
        <v>244</v>
      </c>
      <c r="G3403" s="39">
        <v>43756</v>
      </c>
      <c r="J3403" t="s">
        <v>982</v>
      </c>
    </row>
    <row r="3404" spans="1:10" x14ac:dyDescent="0.35">
      <c r="A3404">
        <v>280027</v>
      </c>
      <c r="B3404" t="s">
        <v>51</v>
      </c>
      <c r="C3404" t="s">
        <v>162</v>
      </c>
      <c r="D3404" t="s">
        <v>92</v>
      </c>
      <c r="E3404" t="s">
        <v>428</v>
      </c>
      <c r="F3404" t="s">
        <v>244</v>
      </c>
      <c r="G3404" s="39">
        <v>43238</v>
      </c>
      <c r="J3404" t="s">
        <v>982</v>
      </c>
    </row>
    <row r="3405" spans="1:10" x14ac:dyDescent="0.35">
      <c r="A3405">
        <v>12706</v>
      </c>
      <c r="B3405" t="s">
        <v>51</v>
      </c>
      <c r="C3405" t="s">
        <v>162</v>
      </c>
      <c r="D3405" t="s">
        <v>92</v>
      </c>
      <c r="E3405" t="s">
        <v>428</v>
      </c>
      <c r="F3405" t="s">
        <v>244</v>
      </c>
      <c r="G3405" s="39">
        <v>43873</v>
      </c>
      <c r="J3405" t="s">
        <v>982</v>
      </c>
    </row>
    <row r="3406" spans="1:10" x14ac:dyDescent="0.35">
      <c r="A3406">
        <v>17940</v>
      </c>
      <c r="B3406" t="s">
        <v>51</v>
      </c>
      <c r="C3406" t="s">
        <v>162</v>
      </c>
      <c r="D3406" t="s">
        <v>92</v>
      </c>
      <c r="E3406" t="s">
        <v>428</v>
      </c>
      <c r="F3406" t="s">
        <v>244</v>
      </c>
      <c r="G3406" s="39">
        <v>45931</v>
      </c>
      <c r="J3406" t="s">
        <v>982</v>
      </c>
    </row>
    <row r="3407" spans="1:10" x14ac:dyDescent="0.35">
      <c r="A3407">
        <v>11100</v>
      </c>
      <c r="B3407" t="s">
        <v>51</v>
      </c>
      <c r="C3407" t="s">
        <v>162</v>
      </c>
      <c r="D3407" t="s">
        <v>92</v>
      </c>
      <c r="E3407" t="s">
        <v>641</v>
      </c>
      <c r="F3407" t="s">
        <v>244</v>
      </c>
      <c r="G3407" s="39">
        <v>42264</v>
      </c>
      <c r="J3407" t="s">
        <v>982</v>
      </c>
    </row>
    <row r="3408" spans="1:10" x14ac:dyDescent="0.35">
      <c r="A3408">
        <v>13415</v>
      </c>
      <c r="B3408" t="s">
        <v>51</v>
      </c>
      <c r="C3408" t="s">
        <v>162</v>
      </c>
      <c r="D3408" t="s">
        <v>92</v>
      </c>
      <c r="E3408" t="s">
        <v>641</v>
      </c>
      <c r="F3408" t="s">
        <v>244</v>
      </c>
      <c r="G3408" s="39">
        <v>44440</v>
      </c>
      <c r="J3408" t="s">
        <v>982</v>
      </c>
    </row>
    <row r="3409" spans="1:10" x14ac:dyDescent="0.35">
      <c r="A3409">
        <v>14314</v>
      </c>
      <c r="B3409" t="s">
        <v>52</v>
      </c>
      <c r="C3409" t="s">
        <v>162</v>
      </c>
      <c r="D3409" t="s">
        <v>92</v>
      </c>
      <c r="E3409" t="s">
        <v>428</v>
      </c>
      <c r="F3409" t="s">
        <v>244</v>
      </c>
      <c r="G3409" s="39">
        <v>44729</v>
      </c>
      <c r="J3409" t="s">
        <v>982</v>
      </c>
    </row>
    <row r="3410" spans="1:10" x14ac:dyDescent="0.35">
      <c r="A3410">
        <v>18889</v>
      </c>
      <c r="B3410" t="s">
        <v>52</v>
      </c>
      <c r="C3410" t="s">
        <v>162</v>
      </c>
      <c r="D3410" t="s">
        <v>92</v>
      </c>
      <c r="E3410" t="s">
        <v>428</v>
      </c>
      <c r="F3410" t="s">
        <v>244</v>
      </c>
      <c r="G3410" s="39">
        <v>46232</v>
      </c>
      <c r="J3410" t="s">
        <v>982</v>
      </c>
    </row>
    <row r="3411" spans="1:10" x14ac:dyDescent="0.35">
      <c r="A3411">
        <v>18084</v>
      </c>
      <c r="B3411" t="s">
        <v>51</v>
      </c>
      <c r="C3411" t="s">
        <v>162</v>
      </c>
      <c r="D3411" t="s">
        <v>92</v>
      </c>
      <c r="E3411" t="s">
        <v>428</v>
      </c>
      <c r="F3411" t="s">
        <v>244</v>
      </c>
      <c r="G3411" s="39">
        <v>45987</v>
      </c>
      <c r="J3411" t="s">
        <v>982</v>
      </c>
    </row>
    <row r="3412" spans="1:10" x14ac:dyDescent="0.35">
      <c r="A3412">
        <v>18136</v>
      </c>
      <c r="B3412" t="s">
        <v>51</v>
      </c>
      <c r="C3412" t="s">
        <v>162</v>
      </c>
      <c r="D3412" t="s">
        <v>92</v>
      </c>
      <c r="E3412" t="s">
        <v>428</v>
      </c>
      <c r="F3412" t="s">
        <v>244</v>
      </c>
      <c r="G3412" s="39">
        <v>46008</v>
      </c>
      <c r="J3412" t="s">
        <v>982</v>
      </c>
    </row>
    <row r="3413" spans="1:10" x14ac:dyDescent="0.35">
      <c r="A3413">
        <v>12497</v>
      </c>
      <c r="B3413" t="s">
        <v>51</v>
      </c>
      <c r="C3413" t="s">
        <v>162</v>
      </c>
      <c r="D3413" t="s">
        <v>92</v>
      </c>
      <c r="E3413" t="s">
        <v>428</v>
      </c>
      <c r="F3413" t="s">
        <v>244</v>
      </c>
      <c r="G3413" s="39">
        <v>43777</v>
      </c>
      <c r="J3413" t="s">
        <v>982</v>
      </c>
    </row>
    <row r="3414" spans="1:10" x14ac:dyDescent="0.35">
      <c r="A3414">
        <v>12681</v>
      </c>
      <c r="B3414" t="s">
        <v>51</v>
      </c>
      <c r="C3414" t="s">
        <v>162</v>
      </c>
      <c r="D3414" t="s">
        <v>92</v>
      </c>
      <c r="E3414" t="s">
        <v>428</v>
      </c>
      <c r="F3414" t="s">
        <v>244</v>
      </c>
      <c r="G3414" s="39">
        <v>43866</v>
      </c>
      <c r="J3414" t="s">
        <v>982</v>
      </c>
    </row>
    <row r="3415" spans="1:10" x14ac:dyDescent="0.35">
      <c r="A3415">
        <v>13049</v>
      </c>
      <c r="B3415" t="s">
        <v>51</v>
      </c>
      <c r="C3415" t="s">
        <v>162</v>
      </c>
      <c r="D3415" t="s">
        <v>92</v>
      </c>
      <c r="E3415" t="s">
        <v>428</v>
      </c>
      <c r="F3415" t="s">
        <v>244</v>
      </c>
      <c r="G3415" s="39">
        <v>44217</v>
      </c>
      <c r="J3415" t="s">
        <v>982</v>
      </c>
    </row>
    <row r="3416" spans="1:10" x14ac:dyDescent="0.35">
      <c r="A3416">
        <v>16647</v>
      </c>
      <c r="B3416" t="s">
        <v>51</v>
      </c>
      <c r="C3416" t="s">
        <v>162</v>
      </c>
      <c r="D3416" t="s">
        <v>92</v>
      </c>
      <c r="E3416" t="s">
        <v>428</v>
      </c>
      <c r="F3416" t="s">
        <v>244</v>
      </c>
      <c r="G3416" s="39">
        <v>45538</v>
      </c>
      <c r="J3416" t="s">
        <v>982</v>
      </c>
    </row>
    <row r="3417" spans="1:10" x14ac:dyDescent="0.35">
      <c r="A3417">
        <v>10863</v>
      </c>
      <c r="B3417" t="s">
        <v>52</v>
      </c>
      <c r="C3417" t="s">
        <v>162</v>
      </c>
      <c r="D3417" t="s">
        <v>92</v>
      </c>
      <c r="E3417" t="s">
        <v>96</v>
      </c>
      <c r="F3417" t="s">
        <v>244</v>
      </c>
      <c r="G3417" s="39">
        <v>42019</v>
      </c>
      <c r="J3417" t="s">
        <v>982</v>
      </c>
    </row>
    <row r="3418" spans="1:10" x14ac:dyDescent="0.35">
      <c r="A3418">
        <v>16530</v>
      </c>
      <c r="B3418" t="s">
        <v>52</v>
      </c>
      <c r="C3418" t="s">
        <v>162</v>
      </c>
      <c r="D3418" t="s">
        <v>92</v>
      </c>
      <c r="E3418" t="s">
        <v>428</v>
      </c>
      <c r="F3418" t="s">
        <v>244</v>
      </c>
      <c r="G3418" s="39">
        <v>45453</v>
      </c>
      <c r="J3418" t="s">
        <v>982</v>
      </c>
    </row>
    <row r="3419" spans="1:10" x14ac:dyDescent="0.35">
      <c r="A3419">
        <v>11581</v>
      </c>
      <c r="B3419" t="s">
        <v>44</v>
      </c>
      <c r="C3419" t="s">
        <v>201</v>
      </c>
      <c r="D3419" t="s">
        <v>92</v>
      </c>
      <c r="E3419" t="s">
        <v>428</v>
      </c>
      <c r="F3419" t="s">
        <v>244</v>
      </c>
      <c r="G3419" s="39">
        <v>42866</v>
      </c>
      <c r="J3419" t="s">
        <v>982</v>
      </c>
    </row>
    <row r="3420" spans="1:10" x14ac:dyDescent="0.35">
      <c r="A3420">
        <v>12303</v>
      </c>
      <c r="B3420" t="s">
        <v>44</v>
      </c>
      <c r="C3420" t="s">
        <v>201</v>
      </c>
      <c r="D3420" t="s">
        <v>92</v>
      </c>
      <c r="E3420" t="s">
        <v>428</v>
      </c>
      <c r="F3420" t="s">
        <v>244</v>
      </c>
      <c r="G3420" s="39">
        <v>43671</v>
      </c>
      <c r="J3420" t="s">
        <v>982</v>
      </c>
    </row>
    <row r="3421" spans="1:10" x14ac:dyDescent="0.35">
      <c r="A3421">
        <v>11705</v>
      </c>
      <c r="B3421" t="s">
        <v>52</v>
      </c>
      <c r="C3421" t="s">
        <v>162</v>
      </c>
      <c r="D3421" t="s">
        <v>92</v>
      </c>
      <c r="E3421" t="s">
        <v>96</v>
      </c>
      <c r="F3421" t="s">
        <v>244</v>
      </c>
      <c r="G3421" s="39">
        <v>43040</v>
      </c>
      <c r="J3421" t="s">
        <v>982</v>
      </c>
    </row>
    <row r="3422" spans="1:10" x14ac:dyDescent="0.35">
      <c r="A3422">
        <v>18219</v>
      </c>
      <c r="B3422" t="s">
        <v>52</v>
      </c>
      <c r="C3422" t="s">
        <v>162</v>
      </c>
      <c r="D3422" t="s">
        <v>92</v>
      </c>
      <c r="E3422" t="s">
        <v>428</v>
      </c>
      <c r="F3422" t="s">
        <v>244</v>
      </c>
      <c r="G3422" s="39">
        <v>46063</v>
      </c>
      <c r="J3422" t="s">
        <v>982</v>
      </c>
    </row>
    <row r="3423" spans="1:10" x14ac:dyDescent="0.35">
      <c r="A3423">
        <v>10553</v>
      </c>
      <c r="B3423" t="s">
        <v>74</v>
      </c>
      <c r="C3423" t="s">
        <v>665</v>
      </c>
      <c r="D3423" t="s">
        <v>92</v>
      </c>
      <c r="E3423" t="s">
        <v>98</v>
      </c>
      <c r="F3423" t="s">
        <v>244</v>
      </c>
      <c r="G3423" s="39">
        <v>41008</v>
      </c>
      <c r="J3423" t="s">
        <v>982</v>
      </c>
    </row>
    <row r="3424" spans="1:10" x14ac:dyDescent="0.35">
      <c r="A3424">
        <v>13485</v>
      </c>
      <c r="B3424" t="s">
        <v>52</v>
      </c>
      <c r="C3424" t="s">
        <v>162</v>
      </c>
      <c r="D3424" t="s">
        <v>92</v>
      </c>
      <c r="E3424" t="s">
        <v>428</v>
      </c>
      <c r="F3424" t="s">
        <v>244</v>
      </c>
      <c r="G3424" s="39">
        <v>44474</v>
      </c>
      <c r="J3424" t="s">
        <v>982</v>
      </c>
    </row>
    <row r="3425" spans="1:10" x14ac:dyDescent="0.35">
      <c r="A3425">
        <v>10755</v>
      </c>
      <c r="B3425" t="s">
        <v>52</v>
      </c>
      <c r="C3425" t="s">
        <v>162</v>
      </c>
      <c r="D3425" t="s">
        <v>92</v>
      </c>
      <c r="E3425" t="s">
        <v>428</v>
      </c>
      <c r="F3425" t="s">
        <v>244</v>
      </c>
      <c r="G3425" s="39">
        <v>41821</v>
      </c>
      <c r="J3425" t="s">
        <v>982</v>
      </c>
    </row>
    <row r="3426" spans="1:10" x14ac:dyDescent="0.35">
      <c r="A3426">
        <v>12564</v>
      </c>
      <c r="B3426" t="s">
        <v>52</v>
      </c>
      <c r="C3426" t="s">
        <v>162</v>
      </c>
      <c r="D3426" t="s">
        <v>92</v>
      </c>
      <c r="E3426" t="s">
        <v>428</v>
      </c>
      <c r="F3426" t="s">
        <v>244</v>
      </c>
      <c r="G3426" s="39">
        <v>43810</v>
      </c>
      <c r="J3426" t="s">
        <v>982</v>
      </c>
    </row>
    <row r="3427" spans="1:10" x14ac:dyDescent="0.35">
      <c r="A3427">
        <v>12356</v>
      </c>
      <c r="B3427" t="s">
        <v>52</v>
      </c>
      <c r="C3427" t="s">
        <v>162</v>
      </c>
      <c r="D3427" t="s">
        <v>92</v>
      </c>
      <c r="E3427" t="s">
        <v>428</v>
      </c>
      <c r="F3427" t="s">
        <v>244</v>
      </c>
      <c r="G3427" s="39">
        <v>43710</v>
      </c>
      <c r="J3427" t="s">
        <v>982</v>
      </c>
    </row>
    <row r="3428" spans="1:10" x14ac:dyDescent="0.35">
      <c r="A3428">
        <v>15886</v>
      </c>
      <c r="B3428" t="s">
        <v>52</v>
      </c>
      <c r="C3428" t="s">
        <v>162</v>
      </c>
      <c r="D3428" t="s">
        <v>92</v>
      </c>
      <c r="E3428" t="s">
        <v>428</v>
      </c>
      <c r="F3428" t="s">
        <v>244</v>
      </c>
      <c r="G3428" s="39">
        <v>45232</v>
      </c>
      <c r="J3428" t="s">
        <v>982</v>
      </c>
    </row>
    <row r="3429" spans="1:10" x14ac:dyDescent="0.35">
      <c r="A3429">
        <v>11944</v>
      </c>
      <c r="B3429" t="s">
        <v>11</v>
      </c>
      <c r="C3429" t="s">
        <v>667</v>
      </c>
      <c r="D3429" t="s">
        <v>92</v>
      </c>
      <c r="E3429" t="s">
        <v>98</v>
      </c>
      <c r="F3429" t="s">
        <v>244</v>
      </c>
      <c r="G3429" s="39">
        <v>43313</v>
      </c>
      <c r="J3429" t="s">
        <v>982</v>
      </c>
    </row>
    <row r="3430" spans="1:10" x14ac:dyDescent="0.35">
      <c r="A3430">
        <v>18660</v>
      </c>
      <c r="B3430" t="s">
        <v>11</v>
      </c>
      <c r="C3430" t="s">
        <v>668</v>
      </c>
      <c r="D3430" t="s">
        <v>92</v>
      </c>
      <c r="E3430" t="s">
        <v>388</v>
      </c>
      <c r="F3430" t="s">
        <v>244</v>
      </c>
      <c r="G3430" s="39">
        <v>46189</v>
      </c>
      <c r="J3430" t="s">
        <v>982</v>
      </c>
    </row>
    <row r="3431" spans="1:10" x14ac:dyDescent="0.35">
      <c r="A3431">
        <v>12566</v>
      </c>
      <c r="B3431" t="s">
        <v>52</v>
      </c>
      <c r="C3431" t="s">
        <v>162</v>
      </c>
      <c r="D3431" t="s">
        <v>92</v>
      </c>
      <c r="E3431" t="s">
        <v>428</v>
      </c>
      <c r="F3431" t="s">
        <v>244</v>
      </c>
      <c r="G3431" s="39">
        <v>43810</v>
      </c>
      <c r="J3431" t="s">
        <v>982</v>
      </c>
    </row>
    <row r="3432" spans="1:10" x14ac:dyDescent="0.35">
      <c r="A3432">
        <v>12397</v>
      </c>
      <c r="B3432" t="s">
        <v>16</v>
      </c>
      <c r="C3432" t="s">
        <v>669</v>
      </c>
      <c r="D3432" t="s">
        <v>92</v>
      </c>
      <c r="E3432" t="s">
        <v>101</v>
      </c>
      <c r="F3432" t="s">
        <v>244</v>
      </c>
      <c r="G3432" s="39">
        <v>43728</v>
      </c>
      <c r="J3432" t="s">
        <v>982</v>
      </c>
    </row>
    <row r="3433" spans="1:10" x14ac:dyDescent="0.35">
      <c r="A3433">
        <v>17376</v>
      </c>
      <c r="B3433" t="s">
        <v>51</v>
      </c>
      <c r="C3433" t="s">
        <v>162</v>
      </c>
      <c r="D3433" t="s">
        <v>92</v>
      </c>
      <c r="E3433" t="s">
        <v>428</v>
      </c>
      <c r="F3433" t="s">
        <v>244</v>
      </c>
      <c r="G3433" s="39">
        <v>45726</v>
      </c>
      <c r="J3433" t="s">
        <v>982</v>
      </c>
    </row>
    <row r="3434" spans="1:10" x14ac:dyDescent="0.35">
      <c r="A3434">
        <v>17378</v>
      </c>
      <c r="B3434" t="s">
        <v>51</v>
      </c>
      <c r="C3434" t="s">
        <v>162</v>
      </c>
      <c r="D3434" t="s">
        <v>92</v>
      </c>
      <c r="E3434" t="s">
        <v>428</v>
      </c>
      <c r="F3434" t="s">
        <v>244</v>
      </c>
      <c r="G3434" s="39">
        <v>45750</v>
      </c>
      <c r="J3434" t="s">
        <v>982</v>
      </c>
    </row>
    <row r="3435" spans="1:10" x14ac:dyDescent="0.35">
      <c r="A3435">
        <v>13300</v>
      </c>
      <c r="B3435" t="s">
        <v>51</v>
      </c>
      <c r="C3435" t="s">
        <v>162</v>
      </c>
      <c r="D3435" t="s">
        <v>92</v>
      </c>
      <c r="E3435" t="s">
        <v>428</v>
      </c>
      <c r="F3435" t="s">
        <v>244</v>
      </c>
      <c r="G3435" s="39">
        <v>44378</v>
      </c>
      <c r="J3435" t="s">
        <v>982</v>
      </c>
    </row>
    <row r="3436" spans="1:10" x14ac:dyDescent="0.35">
      <c r="A3436">
        <v>17212</v>
      </c>
      <c r="B3436" t="s">
        <v>11</v>
      </c>
      <c r="C3436" t="s">
        <v>668</v>
      </c>
      <c r="D3436" t="s">
        <v>92</v>
      </c>
      <c r="E3436" t="s">
        <v>98</v>
      </c>
      <c r="F3436" t="s">
        <v>244</v>
      </c>
      <c r="G3436" s="39">
        <v>45664</v>
      </c>
      <c r="J3436" t="s">
        <v>982</v>
      </c>
    </row>
    <row r="3437" spans="1:10" x14ac:dyDescent="0.35">
      <c r="A3437">
        <v>13294</v>
      </c>
      <c r="B3437" t="s">
        <v>7</v>
      </c>
      <c r="C3437" t="s">
        <v>161</v>
      </c>
      <c r="D3437" t="s">
        <v>92</v>
      </c>
      <c r="E3437" t="s">
        <v>102</v>
      </c>
      <c r="F3437" t="s">
        <v>244</v>
      </c>
      <c r="G3437" s="39">
        <v>44370</v>
      </c>
      <c r="J3437" t="s">
        <v>981</v>
      </c>
    </row>
    <row r="3438" spans="1:10" x14ac:dyDescent="0.35">
      <c r="A3438">
        <v>17959</v>
      </c>
      <c r="B3438" t="s">
        <v>52</v>
      </c>
      <c r="C3438" t="s">
        <v>162</v>
      </c>
      <c r="D3438" t="s">
        <v>92</v>
      </c>
      <c r="E3438" t="s">
        <v>428</v>
      </c>
      <c r="F3438" t="s">
        <v>244</v>
      </c>
      <c r="G3438" s="39">
        <v>45937</v>
      </c>
      <c r="J3438" t="s">
        <v>982</v>
      </c>
    </row>
    <row r="3439" spans="1:10" x14ac:dyDescent="0.35">
      <c r="A3439">
        <v>17658</v>
      </c>
      <c r="B3439" t="s">
        <v>52</v>
      </c>
      <c r="C3439" t="s">
        <v>162</v>
      </c>
      <c r="D3439" t="s">
        <v>92</v>
      </c>
      <c r="E3439" t="s">
        <v>96</v>
      </c>
      <c r="F3439" t="s">
        <v>244</v>
      </c>
      <c r="G3439" s="39">
        <v>45839</v>
      </c>
      <c r="J3439" t="s">
        <v>982</v>
      </c>
    </row>
    <row r="3440" spans="1:10" x14ac:dyDescent="0.35">
      <c r="A3440">
        <v>300200</v>
      </c>
      <c r="B3440" t="s">
        <v>52</v>
      </c>
      <c r="C3440" t="s">
        <v>162</v>
      </c>
      <c r="D3440" t="s">
        <v>92</v>
      </c>
      <c r="E3440" t="s">
        <v>428</v>
      </c>
      <c r="F3440" t="s">
        <v>244</v>
      </c>
      <c r="G3440" s="39">
        <v>43882</v>
      </c>
      <c r="J3440" t="s">
        <v>982</v>
      </c>
    </row>
    <row r="3441" spans="1:10" x14ac:dyDescent="0.35">
      <c r="A3441">
        <v>16104</v>
      </c>
      <c r="B3441" t="s">
        <v>52</v>
      </c>
      <c r="C3441" t="s">
        <v>162</v>
      </c>
      <c r="D3441" t="s">
        <v>92</v>
      </c>
      <c r="E3441" t="s">
        <v>428</v>
      </c>
      <c r="F3441" t="s">
        <v>244</v>
      </c>
      <c r="G3441" s="39">
        <v>45286</v>
      </c>
      <c r="J3441" t="s">
        <v>982</v>
      </c>
    </row>
    <row r="3442" spans="1:10" x14ac:dyDescent="0.35">
      <c r="A3442">
        <v>18272</v>
      </c>
      <c r="B3442" t="s">
        <v>52</v>
      </c>
      <c r="C3442" t="s">
        <v>162</v>
      </c>
      <c r="D3442" t="s">
        <v>92</v>
      </c>
      <c r="E3442" t="s">
        <v>428</v>
      </c>
      <c r="F3442" t="s">
        <v>244</v>
      </c>
      <c r="G3442" s="39">
        <v>46076</v>
      </c>
      <c r="J3442" t="s">
        <v>982</v>
      </c>
    </row>
    <row r="3443" spans="1:10" x14ac:dyDescent="0.35">
      <c r="A3443">
        <v>15874</v>
      </c>
      <c r="B3443" t="s">
        <v>52</v>
      </c>
      <c r="C3443" t="s">
        <v>162</v>
      </c>
      <c r="D3443" t="s">
        <v>92</v>
      </c>
      <c r="E3443" t="s">
        <v>428</v>
      </c>
      <c r="F3443" t="s">
        <v>244</v>
      </c>
      <c r="G3443" s="39">
        <v>45225</v>
      </c>
      <c r="J3443" t="s">
        <v>982</v>
      </c>
    </row>
    <row r="3444" spans="1:10" x14ac:dyDescent="0.35">
      <c r="A3444">
        <v>12981</v>
      </c>
      <c r="B3444" t="s">
        <v>52</v>
      </c>
      <c r="C3444" t="s">
        <v>162</v>
      </c>
      <c r="D3444" t="s">
        <v>92</v>
      </c>
      <c r="E3444" t="s">
        <v>428</v>
      </c>
      <c r="F3444" t="s">
        <v>244</v>
      </c>
      <c r="G3444" s="39">
        <v>44160</v>
      </c>
      <c r="J3444" t="s">
        <v>982</v>
      </c>
    </row>
    <row r="3445" spans="1:10" x14ac:dyDescent="0.35">
      <c r="A3445">
        <v>16076</v>
      </c>
      <c r="B3445" t="s">
        <v>52</v>
      </c>
      <c r="C3445" t="s">
        <v>162</v>
      </c>
      <c r="D3445" t="s">
        <v>92</v>
      </c>
      <c r="E3445" t="s">
        <v>428</v>
      </c>
      <c r="F3445" t="s">
        <v>244</v>
      </c>
      <c r="G3445" s="39">
        <v>45279</v>
      </c>
      <c r="J3445" t="s">
        <v>982</v>
      </c>
    </row>
    <row r="3446" spans="1:10" x14ac:dyDescent="0.35">
      <c r="A3446">
        <v>13896</v>
      </c>
      <c r="B3446" t="s">
        <v>52</v>
      </c>
      <c r="C3446" t="s">
        <v>162</v>
      </c>
      <c r="D3446" t="s">
        <v>92</v>
      </c>
      <c r="E3446" t="s">
        <v>428</v>
      </c>
      <c r="F3446" t="s">
        <v>244</v>
      </c>
      <c r="G3446" s="39">
        <v>44623</v>
      </c>
      <c r="J3446" t="s">
        <v>982</v>
      </c>
    </row>
    <row r="3447" spans="1:10" x14ac:dyDescent="0.35">
      <c r="A3447">
        <v>18496</v>
      </c>
      <c r="B3447" t="s">
        <v>52</v>
      </c>
      <c r="C3447" t="s">
        <v>92</v>
      </c>
      <c r="D3447" t="s">
        <v>92</v>
      </c>
      <c r="E3447" t="s">
        <v>428</v>
      </c>
      <c r="F3447" t="s">
        <v>244</v>
      </c>
      <c r="G3447" s="39">
        <v>46143</v>
      </c>
      <c r="J3447" t="s">
        <v>982</v>
      </c>
    </row>
    <row r="3448" spans="1:10" x14ac:dyDescent="0.35">
      <c r="A3448">
        <v>18655</v>
      </c>
      <c r="B3448" t="s">
        <v>52</v>
      </c>
      <c r="C3448" t="s">
        <v>162</v>
      </c>
      <c r="D3448" t="s">
        <v>92</v>
      </c>
      <c r="E3448" t="s">
        <v>428</v>
      </c>
      <c r="F3448" t="s">
        <v>244</v>
      </c>
      <c r="G3448" s="39">
        <v>46190</v>
      </c>
      <c r="J3448" t="s">
        <v>982</v>
      </c>
    </row>
    <row r="3449" spans="1:10" x14ac:dyDescent="0.35">
      <c r="A3449">
        <v>15372</v>
      </c>
      <c r="B3449" t="s">
        <v>44</v>
      </c>
      <c r="C3449" t="s">
        <v>201</v>
      </c>
      <c r="D3449" t="s">
        <v>92</v>
      </c>
      <c r="E3449" t="s">
        <v>96</v>
      </c>
      <c r="F3449" t="s">
        <v>244</v>
      </c>
      <c r="G3449" s="39">
        <v>45050</v>
      </c>
      <c r="J3449" t="s">
        <v>982</v>
      </c>
    </row>
    <row r="3450" spans="1:10" x14ac:dyDescent="0.35">
      <c r="A3450">
        <v>12707</v>
      </c>
      <c r="B3450" t="s">
        <v>44</v>
      </c>
      <c r="C3450" t="s">
        <v>201</v>
      </c>
      <c r="D3450" t="s">
        <v>92</v>
      </c>
      <c r="E3450" t="s">
        <v>428</v>
      </c>
      <c r="F3450" t="s">
        <v>244</v>
      </c>
      <c r="G3450" s="39">
        <v>43873</v>
      </c>
      <c r="J3450" t="s">
        <v>982</v>
      </c>
    </row>
    <row r="3451" spans="1:10" x14ac:dyDescent="0.35">
      <c r="A3451">
        <v>12135</v>
      </c>
      <c r="B3451" t="s">
        <v>51</v>
      </c>
      <c r="C3451" t="s">
        <v>162</v>
      </c>
      <c r="D3451" t="s">
        <v>92</v>
      </c>
      <c r="E3451" t="s">
        <v>428</v>
      </c>
      <c r="F3451" t="s">
        <v>244</v>
      </c>
      <c r="G3451" s="39">
        <v>43511</v>
      </c>
      <c r="J3451" t="s">
        <v>982</v>
      </c>
    </row>
    <row r="3452" spans="1:10" x14ac:dyDescent="0.35">
      <c r="A3452">
        <v>18151</v>
      </c>
      <c r="B3452" t="s">
        <v>52</v>
      </c>
      <c r="C3452" t="s">
        <v>162</v>
      </c>
      <c r="D3452" t="s">
        <v>92</v>
      </c>
      <c r="E3452" t="s">
        <v>428</v>
      </c>
      <c r="F3452" t="s">
        <v>244</v>
      </c>
      <c r="G3452" s="39">
        <v>46016</v>
      </c>
      <c r="J3452" t="s">
        <v>982</v>
      </c>
    </row>
    <row r="3453" spans="1:10" x14ac:dyDescent="0.35">
      <c r="A3453">
        <v>17898</v>
      </c>
      <c r="B3453" t="s">
        <v>52</v>
      </c>
      <c r="C3453" t="s">
        <v>162</v>
      </c>
      <c r="D3453" t="s">
        <v>92</v>
      </c>
      <c r="E3453" t="s">
        <v>428</v>
      </c>
      <c r="F3453" t="s">
        <v>244</v>
      </c>
      <c r="G3453" s="39">
        <v>45915</v>
      </c>
      <c r="J3453" t="s">
        <v>982</v>
      </c>
    </row>
    <row r="3454" spans="1:10" x14ac:dyDescent="0.35">
      <c r="A3454">
        <v>15819</v>
      </c>
      <c r="B3454" t="s">
        <v>52</v>
      </c>
      <c r="C3454" t="s">
        <v>162</v>
      </c>
      <c r="D3454" t="s">
        <v>92</v>
      </c>
      <c r="E3454" t="s">
        <v>428</v>
      </c>
      <c r="F3454" t="s">
        <v>244</v>
      </c>
      <c r="G3454" s="39">
        <v>45204</v>
      </c>
      <c r="J3454" t="s">
        <v>982</v>
      </c>
    </row>
    <row r="3455" spans="1:10" x14ac:dyDescent="0.35">
      <c r="A3455">
        <v>14957</v>
      </c>
      <c r="B3455" t="s">
        <v>51</v>
      </c>
      <c r="C3455" t="s">
        <v>162</v>
      </c>
      <c r="D3455" t="s">
        <v>92</v>
      </c>
      <c r="E3455" t="s">
        <v>428</v>
      </c>
      <c r="F3455" t="s">
        <v>244</v>
      </c>
      <c r="G3455" s="39">
        <v>44900</v>
      </c>
      <c r="J3455" t="s">
        <v>982</v>
      </c>
    </row>
    <row r="3456" spans="1:10" x14ac:dyDescent="0.35">
      <c r="A3456">
        <v>18406</v>
      </c>
      <c r="B3456" t="s">
        <v>44</v>
      </c>
      <c r="C3456" t="s">
        <v>201</v>
      </c>
      <c r="D3456" t="s">
        <v>92</v>
      </c>
      <c r="E3456" t="s">
        <v>428</v>
      </c>
      <c r="F3456" t="s">
        <v>244</v>
      </c>
      <c r="G3456" s="39">
        <v>46122</v>
      </c>
      <c r="J3456" t="s">
        <v>982</v>
      </c>
    </row>
    <row r="3457" spans="1:10" x14ac:dyDescent="0.35">
      <c r="A3457">
        <v>11180</v>
      </c>
      <c r="B3457" t="s">
        <v>44</v>
      </c>
      <c r="C3457" t="s">
        <v>201</v>
      </c>
      <c r="D3457" t="s">
        <v>92</v>
      </c>
      <c r="E3457" t="s">
        <v>428</v>
      </c>
      <c r="F3457" t="s">
        <v>244</v>
      </c>
      <c r="G3457" s="39">
        <v>42360</v>
      </c>
      <c r="J3457" t="s">
        <v>982</v>
      </c>
    </row>
    <row r="3458" spans="1:10" x14ac:dyDescent="0.35">
      <c r="A3458">
        <v>15923</v>
      </c>
      <c r="B3458" t="s">
        <v>44</v>
      </c>
      <c r="C3458" t="s">
        <v>201</v>
      </c>
      <c r="D3458" t="s">
        <v>92</v>
      </c>
      <c r="E3458" t="s">
        <v>428</v>
      </c>
      <c r="F3458" t="s">
        <v>244</v>
      </c>
      <c r="G3458" s="39">
        <v>45237</v>
      </c>
      <c r="J3458" t="s">
        <v>982</v>
      </c>
    </row>
    <row r="3459" spans="1:10" x14ac:dyDescent="0.35">
      <c r="A3459">
        <v>13452</v>
      </c>
      <c r="B3459" t="s">
        <v>52</v>
      </c>
      <c r="C3459" t="s">
        <v>162</v>
      </c>
      <c r="D3459" t="s">
        <v>92</v>
      </c>
      <c r="E3459" t="s">
        <v>428</v>
      </c>
      <c r="F3459" t="s">
        <v>244</v>
      </c>
      <c r="G3459" s="39">
        <v>44462</v>
      </c>
      <c r="J3459" t="s">
        <v>982</v>
      </c>
    </row>
    <row r="3460" spans="1:10" x14ac:dyDescent="0.35">
      <c r="A3460">
        <v>12117</v>
      </c>
      <c r="B3460" t="s">
        <v>52</v>
      </c>
      <c r="C3460" t="s">
        <v>162</v>
      </c>
      <c r="D3460" t="s">
        <v>92</v>
      </c>
      <c r="E3460" t="s">
        <v>428</v>
      </c>
      <c r="F3460" t="s">
        <v>244</v>
      </c>
      <c r="G3460" s="39">
        <v>43493</v>
      </c>
      <c r="J3460" t="s">
        <v>982</v>
      </c>
    </row>
    <row r="3461" spans="1:10" x14ac:dyDescent="0.35">
      <c r="A3461">
        <v>11291</v>
      </c>
      <c r="B3461" t="s">
        <v>70</v>
      </c>
      <c r="C3461" t="s">
        <v>92</v>
      </c>
      <c r="D3461" t="s">
        <v>92</v>
      </c>
      <c r="E3461" t="s">
        <v>110</v>
      </c>
      <c r="F3461" t="s">
        <v>244</v>
      </c>
      <c r="G3461" s="39">
        <v>42501</v>
      </c>
      <c r="J3461" t="s">
        <v>981</v>
      </c>
    </row>
    <row r="3462" spans="1:10" x14ac:dyDescent="0.35">
      <c r="A3462">
        <v>700010</v>
      </c>
      <c r="B3462" t="s">
        <v>70</v>
      </c>
      <c r="C3462" t="s">
        <v>670</v>
      </c>
      <c r="D3462" t="s">
        <v>92</v>
      </c>
      <c r="E3462" t="s">
        <v>101</v>
      </c>
      <c r="F3462" t="s">
        <v>244</v>
      </c>
      <c r="G3462" s="39">
        <v>38617</v>
      </c>
      <c r="J3462" t="s">
        <v>981</v>
      </c>
    </row>
    <row r="3463" spans="1:10" x14ac:dyDescent="0.35">
      <c r="A3463">
        <v>12206</v>
      </c>
      <c r="B3463" t="s">
        <v>70</v>
      </c>
      <c r="C3463" t="s">
        <v>670</v>
      </c>
      <c r="D3463" t="s">
        <v>92</v>
      </c>
      <c r="E3463" t="s">
        <v>402</v>
      </c>
      <c r="F3463" t="s">
        <v>244</v>
      </c>
      <c r="G3463" s="39">
        <v>43586</v>
      </c>
      <c r="J3463" t="s">
        <v>981</v>
      </c>
    </row>
    <row r="3464" spans="1:10" x14ac:dyDescent="0.35">
      <c r="A3464">
        <v>12872</v>
      </c>
      <c r="B3464" t="s">
        <v>70</v>
      </c>
      <c r="C3464" t="s">
        <v>670</v>
      </c>
      <c r="D3464" t="s">
        <v>92</v>
      </c>
      <c r="E3464" t="s">
        <v>402</v>
      </c>
      <c r="F3464" t="s">
        <v>244</v>
      </c>
      <c r="G3464" s="39">
        <v>44068</v>
      </c>
      <c r="J3464" t="s">
        <v>981</v>
      </c>
    </row>
    <row r="3465" spans="1:10" x14ac:dyDescent="0.35">
      <c r="A3465">
        <v>130018</v>
      </c>
      <c r="B3465" t="s">
        <v>70</v>
      </c>
      <c r="C3465" t="s">
        <v>670</v>
      </c>
      <c r="D3465" t="s">
        <v>92</v>
      </c>
      <c r="E3465" t="s">
        <v>109</v>
      </c>
      <c r="F3465" t="s">
        <v>244</v>
      </c>
      <c r="G3465" s="39">
        <v>40290</v>
      </c>
      <c r="J3465" t="s">
        <v>981</v>
      </c>
    </row>
    <row r="3466" spans="1:10" x14ac:dyDescent="0.35">
      <c r="A3466">
        <v>10662</v>
      </c>
      <c r="B3466" t="s">
        <v>70</v>
      </c>
      <c r="C3466" t="s">
        <v>670</v>
      </c>
      <c r="D3466" t="s">
        <v>92</v>
      </c>
      <c r="E3466" t="s">
        <v>109</v>
      </c>
      <c r="F3466" t="s">
        <v>244</v>
      </c>
      <c r="G3466" s="39">
        <v>41625</v>
      </c>
      <c r="J3466" t="s">
        <v>981</v>
      </c>
    </row>
    <row r="3467" spans="1:10" x14ac:dyDescent="0.35">
      <c r="A3467">
        <v>12387</v>
      </c>
      <c r="B3467" t="s">
        <v>70</v>
      </c>
      <c r="C3467" t="s">
        <v>670</v>
      </c>
      <c r="D3467" t="s">
        <v>92</v>
      </c>
      <c r="E3467" t="s">
        <v>109</v>
      </c>
      <c r="F3467" t="s">
        <v>244</v>
      </c>
      <c r="G3467" s="39">
        <v>43727</v>
      </c>
      <c r="J3467" t="s">
        <v>981</v>
      </c>
    </row>
    <row r="3468" spans="1:10" x14ac:dyDescent="0.35">
      <c r="A3468">
        <v>11588</v>
      </c>
      <c r="B3468" t="s">
        <v>70</v>
      </c>
      <c r="C3468" t="s">
        <v>670</v>
      </c>
      <c r="D3468" t="s">
        <v>92</v>
      </c>
      <c r="E3468" t="s">
        <v>109</v>
      </c>
      <c r="F3468" t="s">
        <v>244</v>
      </c>
      <c r="G3468" s="39">
        <v>42887</v>
      </c>
      <c r="J3468" t="s">
        <v>981</v>
      </c>
    </row>
    <row r="3469" spans="1:10" x14ac:dyDescent="0.35">
      <c r="A3469">
        <v>13305</v>
      </c>
      <c r="B3469" t="s">
        <v>68</v>
      </c>
      <c r="C3469" t="s">
        <v>451</v>
      </c>
      <c r="D3469" t="s">
        <v>92</v>
      </c>
      <c r="E3469" t="s">
        <v>102</v>
      </c>
      <c r="F3469" t="s">
        <v>244</v>
      </c>
      <c r="G3469" s="39">
        <v>44378</v>
      </c>
      <c r="J3469" t="s">
        <v>981</v>
      </c>
    </row>
    <row r="3470" spans="1:10" x14ac:dyDescent="0.35">
      <c r="A3470">
        <v>13251</v>
      </c>
      <c r="B3470" t="s">
        <v>70</v>
      </c>
      <c r="C3470" t="s">
        <v>670</v>
      </c>
      <c r="D3470" t="s">
        <v>92</v>
      </c>
      <c r="E3470" t="s">
        <v>102</v>
      </c>
      <c r="F3470" t="s">
        <v>244</v>
      </c>
      <c r="G3470" s="39">
        <v>44348</v>
      </c>
      <c r="J3470" t="s">
        <v>981</v>
      </c>
    </row>
    <row r="3471" spans="1:10" x14ac:dyDescent="0.35">
      <c r="A3471">
        <v>15307</v>
      </c>
      <c r="B3471" t="s">
        <v>70</v>
      </c>
      <c r="C3471" t="s">
        <v>670</v>
      </c>
      <c r="D3471" t="s">
        <v>92</v>
      </c>
      <c r="E3471" t="s">
        <v>102</v>
      </c>
      <c r="F3471" t="s">
        <v>244</v>
      </c>
      <c r="G3471" s="39">
        <v>45022</v>
      </c>
      <c r="J3471" t="s">
        <v>981</v>
      </c>
    </row>
    <row r="3472" spans="1:10" x14ac:dyDescent="0.35">
      <c r="A3472">
        <v>10037</v>
      </c>
      <c r="B3472" t="s">
        <v>70</v>
      </c>
      <c r="C3472" t="s">
        <v>672</v>
      </c>
      <c r="D3472" t="s">
        <v>92</v>
      </c>
      <c r="E3472" t="s">
        <v>101</v>
      </c>
      <c r="F3472" t="s">
        <v>244</v>
      </c>
      <c r="G3472" s="39">
        <v>36679</v>
      </c>
      <c r="J3472" t="s">
        <v>981</v>
      </c>
    </row>
    <row r="3473" spans="1:10" x14ac:dyDescent="0.35">
      <c r="A3473">
        <v>10730</v>
      </c>
      <c r="B3473" t="s">
        <v>70</v>
      </c>
      <c r="C3473" t="s">
        <v>672</v>
      </c>
      <c r="D3473" t="s">
        <v>92</v>
      </c>
      <c r="E3473" t="s">
        <v>99</v>
      </c>
      <c r="F3473" t="s">
        <v>244</v>
      </c>
      <c r="G3473" s="39">
        <v>41772</v>
      </c>
      <c r="J3473" t="s">
        <v>981</v>
      </c>
    </row>
    <row r="3474" spans="1:10" x14ac:dyDescent="0.35">
      <c r="A3474">
        <v>13235</v>
      </c>
      <c r="B3474" t="s">
        <v>70</v>
      </c>
      <c r="C3474" t="s">
        <v>672</v>
      </c>
      <c r="D3474" t="s">
        <v>92</v>
      </c>
      <c r="E3474" t="s">
        <v>402</v>
      </c>
      <c r="F3474" t="s">
        <v>244</v>
      </c>
      <c r="G3474" s="39">
        <v>44333</v>
      </c>
      <c r="J3474" t="s">
        <v>981</v>
      </c>
    </row>
    <row r="3475" spans="1:10" x14ac:dyDescent="0.35">
      <c r="A3475">
        <v>12916</v>
      </c>
      <c r="B3475" t="s">
        <v>70</v>
      </c>
      <c r="C3475" t="s">
        <v>672</v>
      </c>
      <c r="D3475" t="s">
        <v>92</v>
      </c>
      <c r="E3475" t="s">
        <v>109</v>
      </c>
      <c r="F3475" t="s">
        <v>244</v>
      </c>
      <c r="G3475" s="39">
        <v>44109</v>
      </c>
      <c r="J3475" t="s">
        <v>981</v>
      </c>
    </row>
    <row r="3476" spans="1:10" x14ac:dyDescent="0.35">
      <c r="A3476">
        <v>13238</v>
      </c>
      <c r="B3476" t="s">
        <v>70</v>
      </c>
      <c r="C3476" t="s">
        <v>672</v>
      </c>
      <c r="D3476" t="s">
        <v>92</v>
      </c>
      <c r="E3476" t="s">
        <v>109</v>
      </c>
      <c r="F3476" t="s">
        <v>244</v>
      </c>
      <c r="G3476" s="39">
        <v>44335</v>
      </c>
      <c r="J3476" t="s">
        <v>981</v>
      </c>
    </row>
    <row r="3477" spans="1:10" x14ac:dyDescent="0.35">
      <c r="A3477">
        <v>13199</v>
      </c>
      <c r="B3477" t="s">
        <v>70</v>
      </c>
      <c r="C3477" t="s">
        <v>672</v>
      </c>
      <c r="D3477" t="s">
        <v>92</v>
      </c>
      <c r="E3477" t="s">
        <v>102</v>
      </c>
      <c r="F3477" t="s">
        <v>244</v>
      </c>
      <c r="G3477" s="39">
        <v>44313</v>
      </c>
      <c r="J3477" t="s">
        <v>981</v>
      </c>
    </row>
    <row r="3478" spans="1:10" x14ac:dyDescent="0.35">
      <c r="A3478">
        <v>13746</v>
      </c>
      <c r="B3478" t="s">
        <v>70</v>
      </c>
      <c r="C3478" t="s">
        <v>672</v>
      </c>
      <c r="D3478" t="s">
        <v>92</v>
      </c>
      <c r="E3478" t="s">
        <v>109</v>
      </c>
      <c r="F3478" t="s">
        <v>244</v>
      </c>
      <c r="G3478" s="39">
        <v>44554</v>
      </c>
      <c r="J3478" t="s">
        <v>981</v>
      </c>
    </row>
    <row r="3479" spans="1:10" x14ac:dyDescent="0.35">
      <c r="A3479">
        <v>11867</v>
      </c>
      <c r="B3479" t="s">
        <v>70</v>
      </c>
      <c r="C3479" t="s">
        <v>672</v>
      </c>
      <c r="D3479" t="s">
        <v>92</v>
      </c>
      <c r="E3479" t="s">
        <v>99</v>
      </c>
      <c r="F3479" t="s">
        <v>244</v>
      </c>
      <c r="G3479" s="39">
        <v>43221</v>
      </c>
      <c r="J3479" t="s">
        <v>981</v>
      </c>
    </row>
    <row r="3480" spans="1:10" x14ac:dyDescent="0.35">
      <c r="A3480">
        <v>11293</v>
      </c>
      <c r="B3480" t="s">
        <v>70</v>
      </c>
      <c r="C3480" t="s">
        <v>672</v>
      </c>
      <c r="D3480" t="s">
        <v>92</v>
      </c>
      <c r="E3480" t="s">
        <v>109</v>
      </c>
      <c r="F3480" t="s">
        <v>411</v>
      </c>
      <c r="G3480" s="39">
        <v>42502</v>
      </c>
      <c r="J3480" t="s">
        <v>981</v>
      </c>
    </row>
    <row r="3481" spans="1:10" x14ac:dyDescent="0.35">
      <c r="A3481">
        <v>11295</v>
      </c>
      <c r="B3481" t="s">
        <v>70</v>
      </c>
      <c r="C3481" t="s">
        <v>672</v>
      </c>
      <c r="D3481" t="s">
        <v>92</v>
      </c>
      <c r="E3481" t="s">
        <v>109</v>
      </c>
      <c r="F3481" t="s">
        <v>244</v>
      </c>
      <c r="G3481" s="39">
        <v>42502</v>
      </c>
      <c r="J3481" t="s">
        <v>981</v>
      </c>
    </row>
    <row r="3482" spans="1:10" x14ac:dyDescent="0.35">
      <c r="A3482">
        <v>20030</v>
      </c>
      <c r="B3482" t="s">
        <v>70</v>
      </c>
      <c r="C3482" t="s">
        <v>672</v>
      </c>
      <c r="D3482" t="s">
        <v>92</v>
      </c>
      <c r="E3482" t="s">
        <v>109</v>
      </c>
      <c r="F3482" t="s">
        <v>244</v>
      </c>
      <c r="G3482" s="39">
        <v>42019</v>
      </c>
      <c r="J3482" t="s">
        <v>981</v>
      </c>
    </row>
    <row r="3483" spans="1:10" x14ac:dyDescent="0.35">
      <c r="A3483">
        <v>11183</v>
      </c>
      <c r="B3483" t="s">
        <v>70</v>
      </c>
      <c r="C3483" t="s">
        <v>672</v>
      </c>
      <c r="D3483" t="s">
        <v>92</v>
      </c>
      <c r="E3483" t="s">
        <v>109</v>
      </c>
      <c r="F3483" t="s">
        <v>244</v>
      </c>
      <c r="G3483" s="39">
        <v>42363</v>
      </c>
      <c r="J3483" t="s">
        <v>981</v>
      </c>
    </row>
    <row r="3484" spans="1:10" x14ac:dyDescent="0.35">
      <c r="A3484">
        <v>12209</v>
      </c>
      <c r="B3484" t="s">
        <v>70</v>
      </c>
      <c r="C3484" t="s">
        <v>672</v>
      </c>
      <c r="D3484" t="s">
        <v>92</v>
      </c>
      <c r="E3484" t="s">
        <v>109</v>
      </c>
      <c r="F3484" t="s">
        <v>244</v>
      </c>
      <c r="G3484" s="39">
        <v>43591</v>
      </c>
      <c r="J3484" t="s">
        <v>981</v>
      </c>
    </row>
    <row r="3485" spans="1:10" x14ac:dyDescent="0.35">
      <c r="A3485">
        <v>12942</v>
      </c>
      <c r="B3485" t="s">
        <v>70</v>
      </c>
      <c r="C3485" t="s">
        <v>672</v>
      </c>
      <c r="D3485" t="s">
        <v>92</v>
      </c>
      <c r="E3485" t="s">
        <v>109</v>
      </c>
      <c r="F3485" t="s">
        <v>244</v>
      </c>
      <c r="G3485" s="39">
        <v>44125</v>
      </c>
      <c r="J3485" t="s">
        <v>981</v>
      </c>
    </row>
    <row r="3486" spans="1:10" x14ac:dyDescent="0.35">
      <c r="A3486">
        <v>570036</v>
      </c>
      <c r="B3486" t="s">
        <v>70</v>
      </c>
      <c r="C3486" t="s">
        <v>672</v>
      </c>
      <c r="D3486" t="s">
        <v>92</v>
      </c>
      <c r="E3486" t="s">
        <v>109</v>
      </c>
      <c r="F3486" t="s">
        <v>244</v>
      </c>
      <c r="G3486" s="39">
        <v>43383</v>
      </c>
      <c r="J3486" t="s">
        <v>981</v>
      </c>
    </row>
    <row r="3487" spans="1:10" x14ac:dyDescent="0.35">
      <c r="A3487">
        <v>270035</v>
      </c>
      <c r="B3487" t="s">
        <v>70</v>
      </c>
      <c r="C3487" t="s">
        <v>672</v>
      </c>
      <c r="D3487" t="s">
        <v>92</v>
      </c>
      <c r="E3487" t="s">
        <v>109</v>
      </c>
      <c r="F3487" t="s">
        <v>244</v>
      </c>
      <c r="G3487" s="39">
        <v>42401</v>
      </c>
      <c r="J3487" t="s">
        <v>981</v>
      </c>
    </row>
    <row r="3488" spans="1:10" x14ac:dyDescent="0.35">
      <c r="A3488">
        <v>15777</v>
      </c>
      <c r="B3488" t="s">
        <v>70</v>
      </c>
      <c r="C3488" t="s">
        <v>672</v>
      </c>
      <c r="D3488" t="s">
        <v>92</v>
      </c>
      <c r="E3488" t="s">
        <v>102</v>
      </c>
      <c r="F3488" t="s">
        <v>244</v>
      </c>
      <c r="G3488" s="39">
        <v>45191</v>
      </c>
      <c r="J3488" t="s">
        <v>981</v>
      </c>
    </row>
    <row r="3489" spans="1:10" x14ac:dyDescent="0.35">
      <c r="A3489">
        <v>10657</v>
      </c>
      <c r="B3489" t="s">
        <v>70</v>
      </c>
      <c r="C3489" t="s">
        <v>672</v>
      </c>
      <c r="D3489" t="s">
        <v>92</v>
      </c>
      <c r="E3489" t="s">
        <v>402</v>
      </c>
      <c r="F3489" t="s">
        <v>244</v>
      </c>
      <c r="G3489" s="39">
        <v>39854</v>
      </c>
      <c r="J3489" t="s">
        <v>981</v>
      </c>
    </row>
    <row r="3490" spans="1:10" x14ac:dyDescent="0.35">
      <c r="A3490">
        <v>11294</v>
      </c>
      <c r="B3490" t="s">
        <v>70</v>
      </c>
      <c r="C3490" t="s">
        <v>672</v>
      </c>
      <c r="D3490" t="s">
        <v>92</v>
      </c>
      <c r="E3490" t="s">
        <v>109</v>
      </c>
      <c r="F3490" t="s">
        <v>244</v>
      </c>
      <c r="G3490" s="39">
        <v>42502</v>
      </c>
      <c r="J3490" t="s">
        <v>981</v>
      </c>
    </row>
    <row r="3491" spans="1:10" x14ac:dyDescent="0.35">
      <c r="A3491">
        <v>15675</v>
      </c>
      <c r="B3491" t="s">
        <v>70</v>
      </c>
      <c r="C3491" t="s">
        <v>672</v>
      </c>
      <c r="D3491" t="s">
        <v>92</v>
      </c>
      <c r="E3491" t="s">
        <v>103</v>
      </c>
      <c r="F3491" t="s">
        <v>244</v>
      </c>
      <c r="G3491" s="39">
        <v>45163</v>
      </c>
      <c r="J3491" t="s">
        <v>981</v>
      </c>
    </row>
    <row r="3492" spans="1:10" x14ac:dyDescent="0.35">
      <c r="A3492">
        <v>12198</v>
      </c>
      <c r="B3492" t="s">
        <v>70</v>
      </c>
      <c r="C3492" t="s">
        <v>92</v>
      </c>
      <c r="D3492" t="s">
        <v>92</v>
      </c>
      <c r="E3492" t="s">
        <v>100</v>
      </c>
      <c r="F3492" t="s">
        <v>244</v>
      </c>
      <c r="G3492" s="39">
        <v>43573</v>
      </c>
      <c r="J3492" t="s">
        <v>981</v>
      </c>
    </row>
    <row r="3493" spans="1:10" x14ac:dyDescent="0.35">
      <c r="A3493">
        <v>15236</v>
      </c>
      <c r="B3493" t="s">
        <v>70</v>
      </c>
      <c r="C3493" t="s">
        <v>673</v>
      </c>
      <c r="D3493" t="s">
        <v>92</v>
      </c>
      <c r="E3493" t="s">
        <v>101</v>
      </c>
      <c r="F3493" t="s">
        <v>244</v>
      </c>
      <c r="G3493" s="39">
        <v>44998</v>
      </c>
      <c r="J3493" t="s">
        <v>981</v>
      </c>
    </row>
    <row r="3494" spans="1:10" x14ac:dyDescent="0.35">
      <c r="A3494">
        <v>12772</v>
      </c>
      <c r="B3494" t="s">
        <v>70</v>
      </c>
      <c r="C3494" t="s">
        <v>673</v>
      </c>
      <c r="D3494" t="s">
        <v>92</v>
      </c>
      <c r="E3494" t="s">
        <v>402</v>
      </c>
      <c r="F3494" t="s">
        <v>244</v>
      </c>
      <c r="G3494" s="39">
        <v>43906</v>
      </c>
      <c r="J3494" t="s">
        <v>981</v>
      </c>
    </row>
    <row r="3495" spans="1:10" x14ac:dyDescent="0.35">
      <c r="A3495">
        <v>12746</v>
      </c>
      <c r="B3495" t="s">
        <v>70</v>
      </c>
      <c r="C3495" t="s">
        <v>673</v>
      </c>
      <c r="D3495" t="s">
        <v>92</v>
      </c>
      <c r="E3495" t="s">
        <v>99</v>
      </c>
      <c r="F3495" t="s">
        <v>244</v>
      </c>
      <c r="G3495" s="39">
        <v>43892</v>
      </c>
      <c r="J3495" t="s">
        <v>981</v>
      </c>
    </row>
    <row r="3496" spans="1:10" x14ac:dyDescent="0.35">
      <c r="A3496">
        <v>13590</v>
      </c>
      <c r="B3496" t="s">
        <v>70</v>
      </c>
      <c r="C3496" t="s">
        <v>673</v>
      </c>
      <c r="D3496" t="s">
        <v>92</v>
      </c>
      <c r="E3496" t="s">
        <v>99</v>
      </c>
      <c r="F3496" t="s">
        <v>244</v>
      </c>
      <c r="G3496" s="39">
        <v>44503</v>
      </c>
      <c r="J3496" t="s">
        <v>981</v>
      </c>
    </row>
    <row r="3497" spans="1:10" x14ac:dyDescent="0.35">
      <c r="A3497">
        <v>14023</v>
      </c>
      <c r="B3497" t="s">
        <v>70</v>
      </c>
      <c r="C3497" t="s">
        <v>673</v>
      </c>
      <c r="D3497" t="s">
        <v>92</v>
      </c>
      <c r="E3497" t="s">
        <v>109</v>
      </c>
      <c r="F3497" t="s">
        <v>244</v>
      </c>
      <c r="G3497" s="39">
        <v>44630</v>
      </c>
      <c r="J3497" t="s">
        <v>981</v>
      </c>
    </row>
    <row r="3498" spans="1:10" x14ac:dyDescent="0.35">
      <c r="A3498">
        <v>13471</v>
      </c>
      <c r="B3498" t="s">
        <v>70</v>
      </c>
      <c r="C3498" t="s">
        <v>673</v>
      </c>
      <c r="D3498" t="s">
        <v>92</v>
      </c>
      <c r="E3498" t="s">
        <v>109</v>
      </c>
      <c r="F3498" t="s">
        <v>244</v>
      </c>
      <c r="G3498" s="39">
        <v>44470</v>
      </c>
      <c r="J3498" t="s">
        <v>981</v>
      </c>
    </row>
    <row r="3499" spans="1:10" x14ac:dyDescent="0.35">
      <c r="A3499">
        <v>15710</v>
      </c>
      <c r="B3499" t="s">
        <v>70</v>
      </c>
      <c r="C3499" t="s">
        <v>673</v>
      </c>
      <c r="D3499" t="s">
        <v>92</v>
      </c>
      <c r="E3499" t="s">
        <v>102</v>
      </c>
      <c r="F3499" t="s">
        <v>245</v>
      </c>
      <c r="G3499" s="39">
        <v>45174</v>
      </c>
      <c r="J3499" t="s">
        <v>981</v>
      </c>
    </row>
    <row r="3500" spans="1:10" x14ac:dyDescent="0.35">
      <c r="A3500">
        <v>17813</v>
      </c>
      <c r="B3500" t="s">
        <v>70</v>
      </c>
      <c r="C3500" t="s">
        <v>673</v>
      </c>
      <c r="D3500" t="s">
        <v>92</v>
      </c>
      <c r="E3500" t="s">
        <v>102</v>
      </c>
      <c r="F3500" t="s">
        <v>244</v>
      </c>
      <c r="G3500" s="39">
        <v>45882</v>
      </c>
      <c r="J3500" t="s">
        <v>981</v>
      </c>
    </row>
    <row r="3501" spans="1:10" x14ac:dyDescent="0.35">
      <c r="A3501">
        <v>15991</v>
      </c>
      <c r="B3501" t="s">
        <v>70</v>
      </c>
      <c r="C3501" t="s">
        <v>673</v>
      </c>
      <c r="D3501" t="s">
        <v>92</v>
      </c>
      <c r="E3501" t="s">
        <v>102</v>
      </c>
      <c r="F3501" t="s">
        <v>244</v>
      </c>
      <c r="G3501" s="39">
        <v>45258</v>
      </c>
      <c r="J3501" t="s">
        <v>981</v>
      </c>
    </row>
    <row r="3502" spans="1:10" x14ac:dyDescent="0.35">
      <c r="A3502">
        <v>14348</v>
      </c>
      <c r="B3502" t="s">
        <v>70</v>
      </c>
      <c r="C3502" t="s">
        <v>673</v>
      </c>
      <c r="D3502" t="s">
        <v>92</v>
      </c>
      <c r="E3502" t="s">
        <v>102</v>
      </c>
      <c r="F3502" t="s">
        <v>244</v>
      </c>
      <c r="G3502" s="39">
        <v>44740</v>
      </c>
      <c r="J3502" t="s">
        <v>981</v>
      </c>
    </row>
    <row r="3503" spans="1:10" x14ac:dyDescent="0.35">
      <c r="A3503">
        <v>17338</v>
      </c>
      <c r="B3503" t="s">
        <v>70</v>
      </c>
      <c r="C3503" t="s">
        <v>673</v>
      </c>
      <c r="D3503" t="s">
        <v>92</v>
      </c>
      <c r="E3503" t="s">
        <v>103</v>
      </c>
      <c r="F3503" t="s">
        <v>244</v>
      </c>
      <c r="G3503" s="39">
        <v>45712</v>
      </c>
      <c r="J3503" t="s">
        <v>981</v>
      </c>
    </row>
    <row r="3504" spans="1:10" x14ac:dyDescent="0.35">
      <c r="A3504">
        <v>18640</v>
      </c>
      <c r="B3504" t="s">
        <v>70</v>
      </c>
      <c r="C3504" t="s">
        <v>673</v>
      </c>
      <c r="D3504" t="s">
        <v>92</v>
      </c>
      <c r="E3504" t="s">
        <v>106</v>
      </c>
      <c r="F3504" t="s">
        <v>244</v>
      </c>
      <c r="G3504" s="39">
        <v>46178</v>
      </c>
      <c r="J3504" t="s">
        <v>981</v>
      </c>
    </row>
    <row r="3505" spans="1:10" x14ac:dyDescent="0.35">
      <c r="A3505">
        <v>12124</v>
      </c>
      <c r="B3505" t="s">
        <v>70</v>
      </c>
      <c r="C3505" t="s">
        <v>674</v>
      </c>
      <c r="D3505" t="s">
        <v>92</v>
      </c>
      <c r="E3505" t="s">
        <v>101</v>
      </c>
      <c r="F3505" t="s">
        <v>244</v>
      </c>
      <c r="G3505" s="39">
        <v>43500</v>
      </c>
      <c r="J3505" t="s">
        <v>981</v>
      </c>
    </row>
    <row r="3506" spans="1:10" x14ac:dyDescent="0.35">
      <c r="A3506">
        <v>12083</v>
      </c>
      <c r="B3506" t="s">
        <v>70</v>
      </c>
      <c r="C3506" t="s">
        <v>674</v>
      </c>
      <c r="D3506" t="s">
        <v>92</v>
      </c>
      <c r="E3506" t="s">
        <v>99</v>
      </c>
      <c r="F3506" t="s">
        <v>244</v>
      </c>
      <c r="G3506" s="39">
        <v>43455</v>
      </c>
      <c r="J3506" t="s">
        <v>981</v>
      </c>
    </row>
    <row r="3507" spans="1:10" x14ac:dyDescent="0.35">
      <c r="A3507">
        <v>13098</v>
      </c>
      <c r="B3507" t="s">
        <v>70</v>
      </c>
      <c r="C3507" t="s">
        <v>674</v>
      </c>
      <c r="D3507" t="s">
        <v>92</v>
      </c>
      <c r="E3507" t="s">
        <v>99</v>
      </c>
      <c r="F3507" t="s">
        <v>244</v>
      </c>
      <c r="G3507" s="39">
        <v>44251</v>
      </c>
      <c r="J3507" t="s">
        <v>981</v>
      </c>
    </row>
    <row r="3508" spans="1:10" x14ac:dyDescent="0.35">
      <c r="A3508">
        <v>13781</v>
      </c>
      <c r="B3508" t="s">
        <v>70</v>
      </c>
      <c r="C3508" t="s">
        <v>674</v>
      </c>
      <c r="D3508" t="s">
        <v>92</v>
      </c>
      <c r="E3508" t="s">
        <v>402</v>
      </c>
      <c r="F3508" t="s">
        <v>244</v>
      </c>
      <c r="G3508" s="39">
        <v>44575</v>
      </c>
      <c r="J3508" t="s">
        <v>981</v>
      </c>
    </row>
    <row r="3509" spans="1:10" x14ac:dyDescent="0.35">
      <c r="A3509">
        <v>13097</v>
      </c>
      <c r="B3509" t="s">
        <v>70</v>
      </c>
      <c r="C3509" t="s">
        <v>674</v>
      </c>
      <c r="D3509" t="s">
        <v>92</v>
      </c>
      <c r="E3509" t="s">
        <v>109</v>
      </c>
      <c r="F3509" t="s">
        <v>244</v>
      </c>
      <c r="G3509" s="39">
        <v>44250</v>
      </c>
      <c r="J3509" t="s">
        <v>981</v>
      </c>
    </row>
    <row r="3510" spans="1:10" x14ac:dyDescent="0.35">
      <c r="A3510">
        <v>13307</v>
      </c>
      <c r="B3510" t="s">
        <v>70</v>
      </c>
      <c r="C3510" t="s">
        <v>674</v>
      </c>
      <c r="D3510" t="s">
        <v>92</v>
      </c>
      <c r="E3510" t="s">
        <v>109</v>
      </c>
      <c r="F3510" t="s">
        <v>244</v>
      </c>
      <c r="G3510" s="39">
        <v>44379</v>
      </c>
      <c r="J3510" t="s">
        <v>981</v>
      </c>
    </row>
    <row r="3511" spans="1:10" x14ac:dyDescent="0.35">
      <c r="A3511">
        <v>13203</v>
      </c>
      <c r="B3511" t="s">
        <v>70</v>
      </c>
      <c r="C3511" t="s">
        <v>674</v>
      </c>
      <c r="D3511" t="s">
        <v>92</v>
      </c>
      <c r="E3511" t="s">
        <v>402</v>
      </c>
      <c r="F3511" t="s">
        <v>244</v>
      </c>
      <c r="G3511" s="39">
        <v>44321</v>
      </c>
      <c r="J3511" t="s">
        <v>981</v>
      </c>
    </row>
    <row r="3512" spans="1:10" x14ac:dyDescent="0.35">
      <c r="A3512">
        <v>13607</v>
      </c>
      <c r="B3512" t="s">
        <v>70</v>
      </c>
      <c r="C3512" t="s">
        <v>674</v>
      </c>
      <c r="D3512" t="s">
        <v>92</v>
      </c>
      <c r="E3512" t="s">
        <v>109</v>
      </c>
      <c r="F3512" t="s">
        <v>244</v>
      </c>
      <c r="G3512" s="39">
        <v>44511</v>
      </c>
      <c r="J3512" t="s">
        <v>981</v>
      </c>
    </row>
    <row r="3513" spans="1:10" x14ac:dyDescent="0.35">
      <c r="A3513">
        <v>13498</v>
      </c>
      <c r="B3513" t="s">
        <v>70</v>
      </c>
      <c r="C3513" t="s">
        <v>674</v>
      </c>
      <c r="D3513" t="s">
        <v>92</v>
      </c>
      <c r="E3513" t="s">
        <v>109</v>
      </c>
      <c r="F3513" t="s">
        <v>244</v>
      </c>
      <c r="G3513" s="39">
        <v>44477</v>
      </c>
      <c r="J3513" t="s">
        <v>981</v>
      </c>
    </row>
    <row r="3514" spans="1:10" x14ac:dyDescent="0.35">
      <c r="A3514">
        <v>14024</v>
      </c>
      <c r="B3514" t="s">
        <v>70</v>
      </c>
      <c r="C3514" t="s">
        <v>674</v>
      </c>
      <c r="D3514" t="s">
        <v>92</v>
      </c>
      <c r="E3514" t="s">
        <v>109</v>
      </c>
      <c r="F3514" t="s">
        <v>244</v>
      </c>
      <c r="G3514" s="39">
        <v>44630</v>
      </c>
      <c r="J3514" t="s">
        <v>981</v>
      </c>
    </row>
    <row r="3515" spans="1:10" x14ac:dyDescent="0.35">
      <c r="A3515">
        <v>14980</v>
      </c>
      <c r="B3515" t="s">
        <v>70</v>
      </c>
      <c r="C3515" t="s">
        <v>674</v>
      </c>
      <c r="D3515" t="s">
        <v>92</v>
      </c>
      <c r="E3515" t="s">
        <v>455</v>
      </c>
      <c r="F3515" t="s">
        <v>244</v>
      </c>
      <c r="G3515" s="39">
        <v>44917</v>
      </c>
      <c r="J3515" t="s">
        <v>981</v>
      </c>
    </row>
    <row r="3516" spans="1:10" x14ac:dyDescent="0.35">
      <c r="A3516">
        <v>14872</v>
      </c>
      <c r="B3516" t="s">
        <v>70</v>
      </c>
      <c r="C3516" t="s">
        <v>674</v>
      </c>
      <c r="D3516" t="s">
        <v>92</v>
      </c>
      <c r="E3516" t="s">
        <v>109</v>
      </c>
      <c r="F3516" t="s">
        <v>244</v>
      </c>
      <c r="G3516" s="39">
        <v>44890</v>
      </c>
      <c r="J3516" t="s">
        <v>981</v>
      </c>
    </row>
    <row r="3517" spans="1:10" x14ac:dyDescent="0.35">
      <c r="A3517">
        <v>14360</v>
      </c>
      <c r="B3517" t="s">
        <v>70</v>
      </c>
      <c r="C3517" t="s">
        <v>674</v>
      </c>
      <c r="D3517" t="s">
        <v>92</v>
      </c>
      <c r="E3517" t="s">
        <v>109</v>
      </c>
      <c r="F3517" t="s">
        <v>244</v>
      </c>
      <c r="G3517" s="39">
        <v>44743</v>
      </c>
      <c r="J3517" t="s">
        <v>981</v>
      </c>
    </row>
    <row r="3518" spans="1:10" x14ac:dyDescent="0.35">
      <c r="A3518">
        <v>14589</v>
      </c>
      <c r="B3518" t="s">
        <v>70</v>
      </c>
      <c r="C3518" t="s">
        <v>674</v>
      </c>
      <c r="D3518" t="s">
        <v>92</v>
      </c>
      <c r="E3518" t="s">
        <v>102</v>
      </c>
      <c r="F3518" t="s">
        <v>244</v>
      </c>
      <c r="G3518" s="39">
        <v>44795</v>
      </c>
      <c r="J3518" t="s">
        <v>981</v>
      </c>
    </row>
    <row r="3519" spans="1:10" x14ac:dyDescent="0.35">
      <c r="A3519">
        <v>15456</v>
      </c>
      <c r="B3519" t="s">
        <v>70</v>
      </c>
      <c r="C3519" t="s">
        <v>674</v>
      </c>
      <c r="D3519" t="s">
        <v>92</v>
      </c>
      <c r="E3519" t="s">
        <v>109</v>
      </c>
      <c r="F3519" t="s">
        <v>244</v>
      </c>
      <c r="G3519" s="39">
        <v>45079</v>
      </c>
      <c r="J3519" t="s">
        <v>981</v>
      </c>
    </row>
    <row r="3520" spans="1:10" x14ac:dyDescent="0.35">
      <c r="A3520">
        <v>13756</v>
      </c>
      <c r="B3520" t="s">
        <v>70</v>
      </c>
      <c r="C3520" t="s">
        <v>674</v>
      </c>
      <c r="D3520" t="s">
        <v>92</v>
      </c>
      <c r="E3520" t="s">
        <v>676</v>
      </c>
      <c r="F3520" t="s">
        <v>244</v>
      </c>
      <c r="G3520" s="39">
        <v>44566</v>
      </c>
      <c r="J3520" t="s">
        <v>981</v>
      </c>
    </row>
    <row r="3521" spans="1:10" x14ac:dyDescent="0.35">
      <c r="A3521">
        <v>14985</v>
      </c>
      <c r="B3521" t="s">
        <v>70</v>
      </c>
      <c r="C3521" t="s">
        <v>674</v>
      </c>
      <c r="D3521" t="s">
        <v>92</v>
      </c>
      <c r="E3521" t="s">
        <v>677</v>
      </c>
      <c r="F3521" t="s">
        <v>244</v>
      </c>
      <c r="G3521" s="39">
        <v>44910</v>
      </c>
      <c r="J3521" t="s">
        <v>981</v>
      </c>
    </row>
    <row r="3522" spans="1:10" x14ac:dyDescent="0.35">
      <c r="A3522">
        <v>15575</v>
      </c>
      <c r="B3522" t="s">
        <v>70</v>
      </c>
      <c r="C3522" t="s">
        <v>674</v>
      </c>
      <c r="D3522" t="s">
        <v>92</v>
      </c>
      <c r="E3522" t="s">
        <v>679</v>
      </c>
      <c r="F3522" t="s">
        <v>244</v>
      </c>
      <c r="G3522" s="39">
        <v>45128</v>
      </c>
      <c r="J3522" t="s">
        <v>981</v>
      </c>
    </row>
    <row r="3523" spans="1:10" x14ac:dyDescent="0.35">
      <c r="A3523">
        <v>17582</v>
      </c>
      <c r="B3523" t="s">
        <v>70</v>
      </c>
      <c r="C3523" t="s">
        <v>674</v>
      </c>
      <c r="D3523" t="s">
        <v>92</v>
      </c>
      <c r="E3523" t="s">
        <v>102</v>
      </c>
      <c r="F3523" t="s">
        <v>244</v>
      </c>
      <c r="G3523" s="39">
        <v>45800</v>
      </c>
      <c r="J3523" t="s">
        <v>981</v>
      </c>
    </row>
    <row r="3524" spans="1:10" x14ac:dyDescent="0.35">
      <c r="A3524">
        <v>18253</v>
      </c>
      <c r="B3524" t="s">
        <v>70</v>
      </c>
      <c r="C3524" t="s">
        <v>674</v>
      </c>
      <c r="D3524" t="s">
        <v>92</v>
      </c>
      <c r="E3524" t="s">
        <v>103</v>
      </c>
      <c r="F3524" t="s">
        <v>244</v>
      </c>
      <c r="G3524" s="39">
        <v>46073</v>
      </c>
      <c r="J3524" t="s">
        <v>981</v>
      </c>
    </row>
    <row r="3525" spans="1:10" x14ac:dyDescent="0.35">
      <c r="A3525">
        <v>17878</v>
      </c>
      <c r="B3525" t="s">
        <v>70</v>
      </c>
      <c r="C3525" t="s">
        <v>674</v>
      </c>
      <c r="D3525" t="s">
        <v>92</v>
      </c>
      <c r="E3525" t="s">
        <v>102</v>
      </c>
      <c r="F3525" t="s">
        <v>244</v>
      </c>
      <c r="G3525" s="39">
        <v>45903</v>
      </c>
      <c r="J3525" t="s">
        <v>981</v>
      </c>
    </row>
    <row r="3526" spans="1:10" x14ac:dyDescent="0.35">
      <c r="A3526">
        <v>17035</v>
      </c>
      <c r="B3526" t="s">
        <v>70</v>
      </c>
      <c r="C3526" t="s">
        <v>674</v>
      </c>
      <c r="D3526" t="s">
        <v>92</v>
      </c>
      <c r="E3526" t="s">
        <v>103</v>
      </c>
      <c r="F3526" t="s">
        <v>244</v>
      </c>
      <c r="G3526" s="39">
        <v>45614</v>
      </c>
      <c r="J3526" t="s">
        <v>981</v>
      </c>
    </row>
    <row r="3527" spans="1:10" x14ac:dyDescent="0.35">
      <c r="A3527">
        <v>17415</v>
      </c>
      <c r="B3527" t="s">
        <v>70</v>
      </c>
      <c r="C3527" t="s">
        <v>674</v>
      </c>
      <c r="D3527" t="s">
        <v>92</v>
      </c>
      <c r="E3527" t="s">
        <v>103</v>
      </c>
      <c r="F3527" t="s">
        <v>244</v>
      </c>
      <c r="G3527" s="39">
        <v>45748</v>
      </c>
      <c r="J3527" t="s">
        <v>981</v>
      </c>
    </row>
    <row r="3528" spans="1:10" x14ac:dyDescent="0.35">
      <c r="A3528">
        <v>17417</v>
      </c>
      <c r="B3528" t="s">
        <v>70</v>
      </c>
      <c r="C3528" t="s">
        <v>674</v>
      </c>
      <c r="D3528" t="s">
        <v>92</v>
      </c>
      <c r="E3528" t="s">
        <v>103</v>
      </c>
      <c r="F3528" t="s">
        <v>244</v>
      </c>
      <c r="G3528" s="39">
        <v>45748</v>
      </c>
      <c r="J3528" t="s">
        <v>981</v>
      </c>
    </row>
    <row r="3529" spans="1:10" x14ac:dyDescent="0.35">
      <c r="A3529">
        <v>18849</v>
      </c>
      <c r="B3529" t="s">
        <v>70</v>
      </c>
      <c r="C3529" t="s">
        <v>674</v>
      </c>
      <c r="D3529" t="s">
        <v>92</v>
      </c>
      <c r="E3529" t="s">
        <v>103</v>
      </c>
      <c r="F3529" t="s">
        <v>244</v>
      </c>
      <c r="G3529" s="39">
        <v>46224</v>
      </c>
      <c r="J3529" t="s">
        <v>981</v>
      </c>
    </row>
    <row r="3530" spans="1:10" x14ac:dyDescent="0.35">
      <c r="A3530">
        <v>18869</v>
      </c>
      <c r="B3530" t="s">
        <v>70</v>
      </c>
      <c r="C3530" t="s">
        <v>674</v>
      </c>
      <c r="D3530" t="s">
        <v>92</v>
      </c>
      <c r="E3530" t="s">
        <v>103</v>
      </c>
      <c r="F3530" t="s">
        <v>244</v>
      </c>
      <c r="G3530" s="39">
        <v>46226</v>
      </c>
      <c r="J3530" t="s">
        <v>981</v>
      </c>
    </row>
    <row r="3531" spans="1:10" x14ac:dyDescent="0.35">
      <c r="A3531">
        <v>17712</v>
      </c>
      <c r="B3531" t="s">
        <v>70</v>
      </c>
      <c r="C3531" t="s">
        <v>674</v>
      </c>
      <c r="D3531" t="s">
        <v>92</v>
      </c>
      <c r="E3531" t="s">
        <v>103</v>
      </c>
      <c r="F3531" t="s">
        <v>244</v>
      </c>
      <c r="G3531" s="39">
        <v>45849</v>
      </c>
      <c r="J3531" t="s">
        <v>981</v>
      </c>
    </row>
    <row r="3532" spans="1:10" x14ac:dyDescent="0.35">
      <c r="A3532">
        <v>18326</v>
      </c>
      <c r="B3532" t="s">
        <v>70</v>
      </c>
      <c r="C3532" t="s">
        <v>674</v>
      </c>
      <c r="D3532" t="s">
        <v>92</v>
      </c>
      <c r="E3532" t="s">
        <v>106</v>
      </c>
      <c r="F3532" t="s">
        <v>244</v>
      </c>
      <c r="G3532" s="39">
        <v>46091</v>
      </c>
      <c r="J3532" t="s">
        <v>981</v>
      </c>
    </row>
    <row r="3533" spans="1:10" x14ac:dyDescent="0.35">
      <c r="A3533">
        <v>18327</v>
      </c>
      <c r="B3533" t="s">
        <v>70</v>
      </c>
      <c r="C3533" t="s">
        <v>674</v>
      </c>
      <c r="D3533" t="s">
        <v>92</v>
      </c>
      <c r="E3533" t="s">
        <v>106</v>
      </c>
      <c r="F3533" t="s">
        <v>244</v>
      </c>
      <c r="G3533" s="39">
        <v>46091</v>
      </c>
      <c r="J3533" t="s">
        <v>981</v>
      </c>
    </row>
    <row r="3534" spans="1:10" x14ac:dyDescent="0.35">
      <c r="A3534">
        <v>18438</v>
      </c>
      <c r="B3534" t="s">
        <v>70</v>
      </c>
      <c r="C3534" t="s">
        <v>674</v>
      </c>
      <c r="D3534" t="s">
        <v>92</v>
      </c>
      <c r="E3534" t="s">
        <v>106</v>
      </c>
      <c r="F3534" t="s">
        <v>244</v>
      </c>
      <c r="G3534" s="39">
        <v>46129</v>
      </c>
      <c r="J3534" t="s">
        <v>981</v>
      </c>
    </row>
    <row r="3535" spans="1:10" x14ac:dyDescent="0.35">
      <c r="A3535">
        <v>10626</v>
      </c>
      <c r="B3535" t="s">
        <v>70</v>
      </c>
      <c r="C3535" t="s">
        <v>680</v>
      </c>
      <c r="D3535" t="s">
        <v>92</v>
      </c>
      <c r="E3535" t="s">
        <v>101</v>
      </c>
      <c r="F3535" t="s">
        <v>244</v>
      </c>
      <c r="G3535" s="39">
        <v>41536</v>
      </c>
      <c r="J3535" t="s">
        <v>981</v>
      </c>
    </row>
    <row r="3536" spans="1:10" x14ac:dyDescent="0.35">
      <c r="A3536">
        <v>11444</v>
      </c>
      <c r="B3536" t="s">
        <v>70</v>
      </c>
      <c r="C3536" t="s">
        <v>680</v>
      </c>
      <c r="D3536" t="s">
        <v>92</v>
      </c>
      <c r="E3536" t="s">
        <v>99</v>
      </c>
      <c r="F3536" t="s">
        <v>244</v>
      </c>
      <c r="G3536" s="39">
        <v>42705</v>
      </c>
      <c r="J3536" t="s">
        <v>981</v>
      </c>
    </row>
    <row r="3537" spans="1:10" x14ac:dyDescent="0.35">
      <c r="A3537">
        <v>11921</v>
      </c>
      <c r="B3537" t="s">
        <v>70</v>
      </c>
      <c r="C3537" t="s">
        <v>680</v>
      </c>
      <c r="D3537" t="s">
        <v>92</v>
      </c>
      <c r="E3537" t="s">
        <v>402</v>
      </c>
      <c r="F3537" t="s">
        <v>244</v>
      </c>
      <c r="G3537" s="39">
        <v>43290</v>
      </c>
      <c r="J3537" t="s">
        <v>981</v>
      </c>
    </row>
    <row r="3538" spans="1:10" x14ac:dyDescent="0.35">
      <c r="A3538">
        <v>12712</v>
      </c>
      <c r="B3538" t="s">
        <v>70</v>
      </c>
      <c r="C3538" t="s">
        <v>680</v>
      </c>
      <c r="D3538" t="s">
        <v>92</v>
      </c>
      <c r="E3538" t="s">
        <v>402</v>
      </c>
      <c r="F3538" t="s">
        <v>244</v>
      </c>
      <c r="G3538" s="39">
        <v>43875</v>
      </c>
      <c r="J3538" t="s">
        <v>981</v>
      </c>
    </row>
    <row r="3539" spans="1:10" x14ac:dyDescent="0.35">
      <c r="A3539">
        <v>600031</v>
      </c>
      <c r="B3539" t="s">
        <v>70</v>
      </c>
      <c r="C3539" t="s">
        <v>680</v>
      </c>
      <c r="D3539" t="s">
        <v>92</v>
      </c>
      <c r="E3539" t="s">
        <v>109</v>
      </c>
      <c r="F3539" t="s">
        <v>244</v>
      </c>
      <c r="G3539" s="39">
        <v>42529</v>
      </c>
      <c r="J3539" t="s">
        <v>981</v>
      </c>
    </row>
    <row r="3540" spans="1:10" x14ac:dyDescent="0.35">
      <c r="A3540">
        <v>11485</v>
      </c>
      <c r="B3540" t="s">
        <v>70</v>
      </c>
      <c r="C3540" t="s">
        <v>680</v>
      </c>
      <c r="D3540" t="s">
        <v>92</v>
      </c>
      <c r="E3540" t="s">
        <v>109</v>
      </c>
      <c r="F3540" t="s">
        <v>244</v>
      </c>
      <c r="G3540" s="39">
        <v>42751</v>
      </c>
      <c r="J3540" t="s">
        <v>981</v>
      </c>
    </row>
    <row r="3541" spans="1:10" x14ac:dyDescent="0.35">
      <c r="A3541">
        <v>12983</v>
      </c>
      <c r="B3541" t="s">
        <v>70</v>
      </c>
      <c r="C3541" t="s">
        <v>680</v>
      </c>
      <c r="D3541" t="s">
        <v>92</v>
      </c>
      <c r="E3541" t="s">
        <v>109</v>
      </c>
      <c r="F3541" t="s">
        <v>244</v>
      </c>
      <c r="G3541" s="39">
        <v>44166</v>
      </c>
      <c r="J3541" t="s">
        <v>981</v>
      </c>
    </row>
    <row r="3542" spans="1:10" x14ac:dyDescent="0.35">
      <c r="A3542">
        <v>13557</v>
      </c>
      <c r="B3542" t="s">
        <v>70</v>
      </c>
      <c r="C3542" t="s">
        <v>680</v>
      </c>
      <c r="D3542" t="s">
        <v>92</v>
      </c>
      <c r="E3542" t="s">
        <v>109</v>
      </c>
      <c r="F3542" t="s">
        <v>244</v>
      </c>
      <c r="G3542" s="39">
        <v>44494</v>
      </c>
      <c r="J3542" t="s">
        <v>981</v>
      </c>
    </row>
    <row r="3543" spans="1:10" x14ac:dyDescent="0.35">
      <c r="A3543">
        <v>13384</v>
      </c>
      <c r="B3543" t="s">
        <v>70</v>
      </c>
      <c r="C3543" t="s">
        <v>680</v>
      </c>
      <c r="D3543" t="s">
        <v>92</v>
      </c>
      <c r="E3543" t="s">
        <v>109</v>
      </c>
      <c r="F3543" t="s">
        <v>244</v>
      </c>
      <c r="G3543" s="39">
        <v>44414</v>
      </c>
      <c r="J3543" t="s">
        <v>981</v>
      </c>
    </row>
    <row r="3544" spans="1:10" x14ac:dyDescent="0.35">
      <c r="A3544">
        <v>12620</v>
      </c>
      <c r="B3544" t="s">
        <v>70</v>
      </c>
      <c r="C3544" t="s">
        <v>680</v>
      </c>
      <c r="D3544" t="s">
        <v>92</v>
      </c>
      <c r="E3544" t="s">
        <v>102</v>
      </c>
      <c r="F3544" t="s">
        <v>411</v>
      </c>
      <c r="G3544" s="39">
        <v>43840</v>
      </c>
      <c r="J3544" t="s">
        <v>981</v>
      </c>
    </row>
    <row r="3545" spans="1:10" x14ac:dyDescent="0.35">
      <c r="A3545">
        <v>14986</v>
      </c>
      <c r="B3545" t="s">
        <v>70</v>
      </c>
      <c r="C3545" t="s">
        <v>680</v>
      </c>
      <c r="D3545" t="s">
        <v>92</v>
      </c>
      <c r="E3545" t="s">
        <v>102</v>
      </c>
      <c r="F3545" t="s">
        <v>245</v>
      </c>
      <c r="G3545" s="39">
        <v>44917</v>
      </c>
      <c r="J3545" t="s">
        <v>981</v>
      </c>
    </row>
    <row r="3546" spans="1:10" x14ac:dyDescent="0.35">
      <c r="A3546">
        <v>15016</v>
      </c>
      <c r="B3546" t="s">
        <v>70</v>
      </c>
      <c r="C3546" t="s">
        <v>680</v>
      </c>
      <c r="D3546" t="s">
        <v>92</v>
      </c>
      <c r="E3546" t="s">
        <v>109</v>
      </c>
      <c r="F3546" t="s">
        <v>244</v>
      </c>
      <c r="G3546" s="39">
        <v>44931</v>
      </c>
      <c r="J3546" t="s">
        <v>981</v>
      </c>
    </row>
    <row r="3547" spans="1:10" x14ac:dyDescent="0.35">
      <c r="A3547">
        <v>15063</v>
      </c>
      <c r="B3547" t="s">
        <v>70</v>
      </c>
      <c r="C3547" t="s">
        <v>680</v>
      </c>
      <c r="D3547" t="s">
        <v>92</v>
      </c>
      <c r="E3547" t="s">
        <v>102</v>
      </c>
      <c r="F3547" t="s">
        <v>244</v>
      </c>
      <c r="G3547" s="39">
        <v>44938</v>
      </c>
      <c r="J3547" t="s">
        <v>981</v>
      </c>
    </row>
    <row r="3548" spans="1:10" x14ac:dyDescent="0.35">
      <c r="A3548">
        <v>12758</v>
      </c>
      <c r="B3548" t="s">
        <v>70</v>
      </c>
      <c r="C3548" t="s">
        <v>680</v>
      </c>
      <c r="D3548" t="s">
        <v>92</v>
      </c>
      <c r="E3548" t="s">
        <v>102</v>
      </c>
      <c r="F3548" t="s">
        <v>244</v>
      </c>
      <c r="G3548" s="39">
        <v>43896</v>
      </c>
      <c r="J3548" t="s">
        <v>981</v>
      </c>
    </row>
    <row r="3549" spans="1:10" x14ac:dyDescent="0.35">
      <c r="A3549">
        <v>700065</v>
      </c>
      <c r="B3549" t="s">
        <v>70</v>
      </c>
      <c r="C3549" t="s">
        <v>680</v>
      </c>
      <c r="D3549" t="s">
        <v>92</v>
      </c>
      <c r="E3549" t="s">
        <v>102</v>
      </c>
      <c r="F3549" t="s">
        <v>411</v>
      </c>
      <c r="G3549" s="39">
        <v>44169</v>
      </c>
      <c r="J3549" t="s">
        <v>981</v>
      </c>
    </row>
    <row r="3550" spans="1:10" x14ac:dyDescent="0.35">
      <c r="A3550">
        <v>14966</v>
      </c>
      <c r="B3550" t="s">
        <v>70</v>
      </c>
      <c r="C3550" t="s">
        <v>680</v>
      </c>
      <c r="D3550" t="s">
        <v>92</v>
      </c>
      <c r="E3550" t="s">
        <v>109</v>
      </c>
      <c r="F3550" t="s">
        <v>244</v>
      </c>
      <c r="G3550" s="39">
        <v>44907</v>
      </c>
      <c r="J3550" t="s">
        <v>981</v>
      </c>
    </row>
    <row r="3551" spans="1:10" x14ac:dyDescent="0.35">
      <c r="A3551">
        <v>14412</v>
      </c>
      <c r="B3551" t="s">
        <v>70</v>
      </c>
      <c r="C3551" t="s">
        <v>680</v>
      </c>
      <c r="D3551" t="s">
        <v>92</v>
      </c>
      <c r="E3551" t="s">
        <v>109</v>
      </c>
      <c r="F3551" t="s">
        <v>244</v>
      </c>
      <c r="G3551" s="39">
        <v>44755</v>
      </c>
      <c r="J3551" t="s">
        <v>981</v>
      </c>
    </row>
    <row r="3552" spans="1:10" x14ac:dyDescent="0.35">
      <c r="A3552">
        <v>16039</v>
      </c>
      <c r="B3552" t="s">
        <v>70</v>
      </c>
      <c r="C3552" t="s">
        <v>680</v>
      </c>
      <c r="D3552" t="s">
        <v>92</v>
      </c>
      <c r="E3552" t="s">
        <v>102</v>
      </c>
      <c r="F3552" t="s">
        <v>244</v>
      </c>
      <c r="G3552" s="39">
        <v>45268</v>
      </c>
      <c r="J3552" t="s">
        <v>981</v>
      </c>
    </row>
    <row r="3553" spans="1:10" x14ac:dyDescent="0.35">
      <c r="A3553">
        <v>15088</v>
      </c>
      <c r="B3553" t="s">
        <v>70</v>
      </c>
      <c r="C3553" t="s">
        <v>680</v>
      </c>
      <c r="D3553" t="s">
        <v>92</v>
      </c>
      <c r="E3553" t="s">
        <v>102</v>
      </c>
      <c r="F3553" t="s">
        <v>244</v>
      </c>
      <c r="G3553" s="39">
        <v>44945</v>
      </c>
      <c r="J3553" t="s">
        <v>981</v>
      </c>
    </row>
    <row r="3554" spans="1:10" x14ac:dyDescent="0.35">
      <c r="A3554">
        <v>17018</v>
      </c>
      <c r="B3554" t="s">
        <v>70</v>
      </c>
      <c r="C3554" t="s">
        <v>680</v>
      </c>
      <c r="D3554" t="s">
        <v>92</v>
      </c>
      <c r="E3554" t="s">
        <v>102</v>
      </c>
      <c r="F3554" t="s">
        <v>244</v>
      </c>
      <c r="G3554" s="39">
        <v>45611</v>
      </c>
      <c r="J3554" t="s">
        <v>981</v>
      </c>
    </row>
    <row r="3555" spans="1:10" x14ac:dyDescent="0.35">
      <c r="A3555">
        <v>14019</v>
      </c>
      <c r="B3555" t="s">
        <v>70</v>
      </c>
      <c r="C3555" t="s">
        <v>680</v>
      </c>
      <c r="D3555" t="s">
        <v>92</v>
      </c>
      <c r="E3555" t="s">
        <v>103</v>
      </c>
      <c r="F3555" t="s">
        <v>411</v>
      </c>
      <c r="G3555" s="39">
        <v>44629</v>
      </c>
      <c r="J3555" t="s">
        <v>981</v>
      </c>
    </row>
    <row r="3556" spans="1:10" x14ac:dyDescent="0.35">
      <c r="A3556">
        <v>11628</v>
      </c>
      <c r="B3556" t="s">
        <v>70</v>
      </c>
      <c r="C3556" t="s">
        <v>681</v>
      </c>
      <c r="D3556" t="s">
        <v>92</v>
      </c>
      <c r="E3556" t="s">
        <v>101</v>
      </c>
      <c r="F3556" t="s">
        <v>244</v>
      </c>
      <c r="G3556" s="39">
        <v>42948</v>
      </c>
      <c r="J3556" t="s">
        <v>981</v>
      </c>
    </row>
    <row r="3557" spans="1:10" x14ac:dyDescent="0.35">
      <c r="A3557">
        <v>12418</v>
      </c>
      <c r="B3557" t="s">
        <v>70</v>
      </c>
      <c r="C3557" t="s">
        <v>681</v>
      </c>
      <c r="D3557" t="s">
        <v>92</v>
      </c>
      <c r="E3557" t="s">
        <v>402</v>
      </c>
      <c r="F3557" t="s">
        <v>244</v>
      </c>
      <c r="G3557" s="39">
        <v>43739</v>
      </c>
      <c r="J3557" t="s">
        <v>981</v>
      </c>
    </row>
    <row r="3558" spans="1:10" x14ac:dyDescent="0.35">
      <c r="A3558">
        <v>13140</v>
      </c>
      <c r="B3558" t="s">
        <v>70</v>
      </c>
      <c r="C3558" t="s">
        <v>681</v>
      </c>
      <c r="D3558" t="s">
        <v>92</v>
      </c>
      <c r="E3558" t="s">
        <v>102</v>
      </c>
      <c r="F3558" t="s">
        <v>244</v>
      </c>
      <c r="G3558" s="39">
        <v>44288</v>
      </c>
      <c r="J3558" t="s">
        <v>981</v>
      </c>
    </row>
    <row r="3559" spans="1:10" x14ac:dyDescent="0.35">
      <c r="A3559">
        <v>17772</v>
      </c>
      <c r="B3559" t="s">
        <v>70</v>
      </c>
      <c r="C3559" t="s">
        <v>681</v>
      </c>
      <c r="D3559" t="s">
        <v>92</v>
      </c>
      <c r="E3559" t="s">
        <v>102</v>
      </c>
      <c r="F3559" t="s">
        <v>244</v>
      </c>
      <c r="G3559" s="39">
        <v>45874</v>
      </c>
      <c r="J3559" t="s">
        <v>981</v>
      </c>
    </row>
    <row r="3560" spans="1:10" x14ac:dyDescent="0.35">
      <c r="A3560">
        <v>13398</v>
      </c>
      <c r="B3560" t="s">
        <v>70</v>
      </c>
      <c r="C3560" t="s">
        <v>681</v>
      </c>
      <c r="D3560" t="s">
        <v>92</v>
      </c>
      <c r="E3560" t="s">
        <v>102</v>
      </c>
      <c r="F3560" t="s">
        <v>244</v>
      </c>
      <c r="G3560" s="39">
        <v>44425</v>
      </c>
      <c r="J3560" t="s">
        <v>981</v>
      </c>
    </row>
    <row r="3561" spans="1:10" x14ac:dyDescent="0.35">
      <c r="A3561">
        <v>15524</v>
      </c>
      <c r="B3561" t="s">
        <v>70</v>
      </c>
      <c r="C3561" t="s">
        <v>681</v>
      </c>
      <c r="D3561" t="s">
        <v>92</v>
      </c>
      <c r="E3561" t="s">
        <v>102</v>
      </c>
      <c r="F3561" t="s">
        <v>244</v>
      </c>
      <c r="G3561" s="39">
        <v>45101</v>
      </c>
      <c r="J3561" t="s">
        <v>981</v>
      </c>
    </row>
    <row r="3562" spans="1:10" x14ac:dyDescent="0.35">
      <c r="A3562">
        <v>15373</v>
      </c>
      <c r="B3562" t="s">
        <v>70</v>
      </c>
      <c r="C3562" t="s">
        <v>681</v>
      </c>
      <c r="D3562" t="s">
        <v>92</v>
      </c>
      <c r="E3562" t="s">
        <v>102</v>
      </c>
      <c r="F3562" t="s">
        <v>244</v>
      </c>
      <c r="G3562" s="39">
        <v>45050</v>
      </c>
      <c r="J3562" t="s">
        <v>981</v>
      </c>
    </row>
    <row r="3563" spans="1:10" x14ac:dyDescent="0.35">
      <c r="A3563">
        <v>14673</v>
      </c>
      <c r="B3563" t="s">
        <v>70</v>
      </c>
      <c r="C3563" t="s">
        <v>681</v>
      </c>
      <c r="D3563" t="s">
        <v>92</v>
      </c>
      <c r="E3563" t="s">
        <v>102</v>
      </c>
      <c r="F3563" t="s">
        <v>244</v>
      </c>
      <c r="G3563" s="39">
        <v>44824</v>
      </c>
      <c r="J3563" t="s">
        <v>981</v>
      </c>
    </row>
    <row r="3564" spans="1:10" x14ac:dyDescent="0.35">
      <c r="A3564">
        <v>15176</v>
      </c>
      <c r="B3564" t="s">
        <v>70</v>
      </c>
      <c r="C3564" t="s">
        <v>681</v>
      </c>
      <c r="D3564" t="s">
        <v>92</v>
      </c>
      <c r="E3564" t="s">
        <v>102</v>
      </c>
      <c r="F3564" t="s">
        <v>244</v>
      </c>
      <c r="G3564" s="39">
        <v>44977</v>
      </c>
      <c r="J3564" t="s">
        <v>981</v>
      </c>
    </row>
    <row r="3565" spans="1:10" x14ac:dyDescent="0.35">
      <c r="A3565">
        <v>15992</v>
      </c>
      <c r="B3565" t="s">
        <v>70</v>
      </c>
      <c r="C3565" t="s">
        <v>681</v>
      </c>
      <c r="D3565" t="s">
        <v>92</v>
      </c>
      <c r="E3565" t="s">
        <v>102</v>
      </c>
      <c r="F3565" t="s">
        <v>244</v>
      </c>
      <c r="G3565" s="39">
        <v>45258</v>
      </c>
      <c r="J3565" t="s">
        <v>981</v>
      </c>
    </row>
    <row r="3566" spans="1:10" x14ac:dyDescent="0.35">
      <c r="A3566">
        <v>15751</v>
      </c>
      <c r="B3566" t="s">
        <v>70</v>
      </c>
      <c r="C3566" t="s">
        <v>681</v>
      </c>
      <c r="D3566" t="s">
        <v>92</v>
      </c>
      <c r="E3566" t="s">
        <v>102</v>
      </c>
      <c r="F3566" t="s">
        <v>244</v>
      </c>
      <c r="G3566" s="39">
        <v>45184</v>
      </c>
      <c r="J3566" t="s">
        <v>981</v>
      </c>
    </row>
    <row r="3567" spans="1:10" x14ac:dyDescent="0.35">
      <c r="A3567">
        <v>18588</v>
      </c>
      <c r="B3567" t="s">
        <v>70</v>
      </c>
      <c r="C3567" t="s">
        <v>681</v>
      </c>
      <c r="D3567" t="s">
        <v>92</v>
      </c>
      <c r="E3567" t="s">
        <v>106</v>
      </c>
      <c r="F3567" t="s">
        <v>244</v>
      </c>
      <c r="G3567" s="39">
        <v>46162</v>
      </c>
      <c r="J3567" t="s">
        <v>981</v>
      </c>
    </row>
    <row r="3568" spans="1:10" x14ac:dyDescent="0.35">
      <c r="A3568">
        <v>13258</v>
      </c>
      <c r="B3568" t="s">
        <v>37</v>
      </c>
      <c r="C3568" t="s">
        <v>92</v>
      </c>
      <c r="D3568" t="s">
        <v>92</v>
      </c>
      <c r="E3568" t="s">
        <v>100</v>
      </c>
      <c r="F3568" t="s">
        <v>244</v>
      </c>
      <c r="G3568" s="39">
        <v>44348</v>
      </c>
      <c r="J3568" t="s">
        <v>981</v>
      </c>
    </row>
    <row r="3569" spans="1:10" x14ac:dyDescent="0.35">
      <c r="A3569">
        <v>13618</v>
      </c>
      <c r="B3569" t="s">
        <v>70</v>
      </c>
      <c r="C3569" t="s">
        <v>682</v>
      </c>
      <c r="D3569" t="s">
        <v>92</v>
      </c>
      <c r="E3569" t="s">
        <v>99</v>
      </c>
      <c r="F3569" t="s">
        <v>244</v>
      </c>
      <c r="G3569" s="39">
        <v>44519</v>
      </c>
      <c r="J3569" t="s">
        <v>981</v>
      </c>
    </row>
    <row r="3570" spans="1:10" x14ac:dyDescent="0.35">
      <c r="A3570">
        <v>18049</v>
      </c>
      <c r="B3570" t="s">
        <v>70</v>
      </c>
      <c r="C3570" t="s">
        <v>682</v>
      </c>
      <c r="D3570" t="s">
        <v>92</v>
      </c>
      <c r="E3570" t="s">
        <v>109</v>
      </c>
      <c r="F3570" t="s">
        <v>244</v>
      </c>
      <c r="G3570" s="39">
        <v>45979</v>
      </c>
      <c r="J3570" t="s">
        <v>981</v>
      </c>
    </row>
    <row r="3571" spans="1:10" x14ac:dyDescent="0.35">
      <c r="A3571">
        <v>15312</v>
      </c>
      <c r="B3571" t="s">
        <v>70</v>
      </c>
      <c r="C3571" t="s">
        <v>682</v>
      </c>
      <c r="D3571" t="s">
        <v>92</v>
      </c>
      <c r="E3571" t="s">
        <v>102</v>
      </c>
      <c r="F3571" t="s">
        <v>244</v>
      </c>
      <c r="G3571" s="39">
        <v>45023</v>
      </c>
      <c r="J3571" t="s">
        <v>981</v>
      </c>
    </row>
    <row r="3572" spans="1:10" x14ac:dyDescent="0.35">
      <c r="A3572">
        <v>16048</v>
      </c>
      <c r="B3572" t="s">
        <v>70</v>
      </c>
      <c r="C3572" t="s">
        <v>682</v>
      </c>
      <c r="D3572" t="s">
        <v>92</v>
      </c>
      <c r="E3572" t="s">
        <v>102</v>
      </c>
      <c r="F3572" t="s">
        <v>244</v>
      </c>
      <c r="G3572" s="39">
        <v>45273</v>
      </c>
      <c r="J3572" t="s">
        <v>981</v>
      </c>
    </row>
    <row r="3573" spans="1:10" x14ac:dyDescent="0.35">
      <c r="A3573">
        <v>17479</v>
      </c>
      <c r="B3573" t="s">
        <v>70</v>
      </c>
      <c r="C3573" t="s">
        <v>682</v>
      </c>
      <c r="D3573" t="s">
        <v>92</v>
      </c>
      <c r="E3573" t="s">
        <v>102</v>
      </c>
      <c r="F3573" t="s">
        <v>244</v>
      </c>
      <c r="G3573" s="39">
        <v>45763</v>
      </c>
      <c r="J3573" t="s">
        <v>981</v>
      </c>
    </row>
    <row r="3574" spans="1:10" x14ac:dyDescent="0.35">
      <c r="A3574">
        <v>17558</v>
      </c>
      <c r="B3574" t="s">
        <v>70</v>
      </c>
      <c r="C3574" t="s">
        <v>682</v>
      </c>
      <c r="D3574" t="s">
        <v>92</v>
      </c>
      <c r="E3574" t="s">
        <v>103</v>
      </c>
      <c r="F3574" t="s">
        <v>244</v>
      </c>
      <c r="G3574" s="39">
        <v>45790</v>
      </c>
      <c r="J3574" t="s">
        <v>981</v>
      </c>
    </row>
    <row r="3575" spans="1:10" x14ac:dyDescent="0.35">
      <c r="A3575">
        <v>10801</v>
      </c>
      <c r="B3575" t="s">
        <v>17</v>
      </c>
      <c r="C3575" t="s">
        <v>92</v>
      </c>
      <c r="D3575" t="s">
        <v>92</v>
      </c>
      <c r="E3575" t="s">
        <v>110</v>
      </c>
      <c r="F3575" t="s">
        <v>244</v>
      </c>
      <c r="G3575" s="39">
        <v>41913</v>
      </c>
      <c r="J3575" t="s">
        <v>982</v>
      </c>
    </row>
    <row r="3576" spans="1:10" x14ac:dyDescent="0.35">
      <c r="A3576">
        <v>16095</v>
      </c>
      <c r="B3576" t="s">
        <v>14</v>
      </c>
      <c r="C3576" t="s">
        <v>586</v>
      </c>
      <c r="D3576" t="s">
        <v>92</v>
      </c>
      <c r="E3576" t="s">
        <v>578</v>
      </c>
      <c r="F3576" t="s">
        <v>244</v>
      </c>
      <c r="G3576" s="39">
        <v>45280</v>
      </c>
      <c r="J3576" t="s">
        <v>982</v>
      </c>
    </row>
    <row r="3577" spans="1:10" x14ac:dyDescent="0.35">
      <c r="A3577">
        <v>11530</v>
      </c>
      <c r="B3577" t="s">
        <v>14</v>
      </c>
      <c r="C3577" t="s">
        <v>683</v>
      </c>
      <c r="D3577" t="s">
        <v>92</v>
      </c>
      <c r="E3577" t="s">
        <v>98</v>
      </c>
      <c r="F3577" t="s">
        <v>244</v>
      </c>
      <c r="G3577" s="39">
        <v>42807</v>
      </c>
      <c r="J3577" t="s">
        <v>982</v>
      </c>
    </row>
    <row r="3578" spans="1:10" x14ac:dyDescent="0.35">
      <c r="A3578">
        <v>15822</v>
      </c>
      <c r="B3578" t="s">
        <v>39</v>
      </c>
      <c r="C3578" t="s">
        <v>92</v>
      </c>
      <c r="D3578" t="s">
        <v>92</v>
      </c>
      <c r="E3578" t="s">
        <v>110</v>
      </c>
      <c r="F3578" t="s">
        <v>244</v>
      </c>
      <c r="G3578" s="39">
        <v>45208</v>
      </c>
      <c r="J3578" t="s">
        <v>981</v>
      </c>
    </row>
    <row r="3579" spans="1:10" x14ac:dyDescent="0.35">
      <c r="A3579">
        <v>16410</v>
      </c>
      <c r="B3579" t="s">
        <v>39</v>
      </c>
      <c r="C3579" t="s">
        <v>684</v>
      </c>
      <c r="D3579" t="s">
        <v>92</v>
      </c>
      <c r="E3579" t="s">
        <v>101</v>
      </c>
      <c r="F3579" t="s">
        <v>244</v>
      </c>
      <c r="G3579" s="39">
        <v>45369</v>
      </c>
      <c r="J3579" t="s">
        <v>981</v>
      </c>
    </row>
    <row r="3580" spans="1:10" x14ac:dyDescent="0.35">
      <c r="A3580">
        <v>14025</v>
      </c>
      <c r="B3580" t="s">
        <v>39</v>
      </c>
      <c r="C3580" t="s">
        <v>684</v>
      </c>
      <c r="D3580" t="s">
        <v>92</v>
      </c>
      <c r="E3580" t="s">
        <v>99</v>
      </c>
      <c r="F3580" t="s">
        <v>244</v>
      </c>
      <c r="G3580" s="39">
        <v>44630</v>
      </c>
      <c r="J3580" t="s">
        <v>981</v>
      </c>
    </row>
    <row r="3581" spans="1:10" x14ac:dyDescent="0.35">
      <c r="A3581">
        <v>15626</v>
      </c>
      <c r="B3581" t="s">
        <v>39</v>
      </c>
      <c r="C3581" t="s">
        <v>684</v>
      </c>
      <c r="D3581" t="s">
        <v>92</v>
      </c>
      <c r="E3581" t="s">
        <v>99</v>
      </c>
      <c r="F3581" t="s">
        <v>244</v>
      </c>
      <c r="G3581" s="39">
        <v>45142</v>
      </c>
      <c r="J3581" t="s">
        <v>981</v>
      </c>
    </row>
    <row r="3582" spans="1:10" x14ac:dyDescent="0.35">
      <c r="A3582">
        <v>17931</v>
      </c>
      <c r="B3582" t="s">
        <v>39</v>
      </c>
      <c r="C3582" t="s">
        <v>684</v>
      </c>
      <c r="D3582" t="s">
        <v>92</v>
      </c>
      <c r="E3582" t="s">
        <v>103</v>
      </c>
      <c r="F3582" t="s">
        <v>244</v>
      </c>
      <c r="G3582" s="39">
        <v>45922</v>
      </c>
      <c r="J3582" t="s">
        <v>981</v>
      </c>
    </row>
    <row r="3583" spans="1:10" x14ac:dyDescent="0.35">
      <c r="A3583">
        <v>18612</v>
      </c>
      <c r="B3583" t="s">
        <v>39</v>
      </c>
      <c r="C3583" t="s">
        <v>684</v>
      </c>
      <c r="D3583" t="s">
        <v>92</v>
      </c>
      <c r="E3583" t="s">
        <v>106</v>
      </c>
      <c r="F3583" t="s">
        <v>244</v>
      </c>
      <c r="G3583" s="39">
        <v>46164</v>
      </c>
      <c r="J3583" t="s">
        <v>981</v>
      </c>
    </row>
    <row r="3584" spans="1:10" x14ac:dyDescent="0.35">
      <c r="A3584">
        <v>12130</v>
      </c>
      <c r="B3584" t="s">
        <v>39</v>
      </c>
      <c r="C3584" t="s">
        <v>684</v>
      </c>
      <c r="D3584" t="s">
        <v>92</v>
      </c>
      <c r="E3584" t="s">
        <v>109</v>
      </c>
      <c r="F3584" t="s">
        <v>244</v>
      </c>
      <c r="G3584" s="39">
        <v>43507</v>
      </c>
      <c r="J3584" t="s">
        <v>981</v>
      </c>
    </row>
    <row r="3585" spans="1:10" x14ac:dyDescent="0.35">
      <c r="A3585">
        <v>13223</v>
      </c>
      <c r="B3585" t="s">
        <v>39</v>
      </c>
      <c r="C3585" t="s">
        <v>684</v>
      </c>
      <c r="D3585" t="s">
        <v>92</v>
      </c>
      <c r="E3585" t="s">
        <v>109</v>
      </c>
      <c r="F3585" t="s">
        <v>244</v>
      </c>
      <c r="G3585" s="39">
        <v>44324</v>
      </c>
      <c r="J3585" t="s">
        <v>981</v>
      </c>
    </row>
    <row r="3586" spans="1:10" x14ac:dyDescent="0.35">
      <c r="A3586">
        <v>19001</v>
      </c>
      <c r="B3586" t="s">
        <v>39</v>
      </c>
      <c r="C3586" t="s">
        <v>684</v>
      </c>
      <c r="D3586" t="s">
        <v>92</v>
      </c>
      <c r="E3586" t="s">
        <v>109</v>
      </c>
      <c r="F3586" t="s">
        <v>244</v>
      </c>
      <c r="G3586" s="39">
        <v>46259</v>
      </c>
      <c r="J3586" t="s">
        <v>981</v>
      </c>
    </row>
    <row r="3587" spans="1:10" x14ac:dyDescent="0.35">
      <c r="A3587">
        <v>17515</v>
      </c>
      <c r="B3587" t="s">
        <v>39</v>
      </c>
      <c r="C3587" t="s">
        <v>684</v>
      </c>
      <c r="D3587" t="s">
        <v>92</v>
      </c>
      <c r="E3587" t="s">
        <v>103</v>
      </c>
      <c r="F3587" t="s">
        <v>244</v>
      </c>
      <c r="G3587" s="39">
        <v>45782</v>
      </c>
      <c r="J3587" t="s">
        <v>981</v>
      </c>
    </row>
    <row r="3588" spans="1:10" x14ac:dyDescent="0.35">
      <c r="A3588">
        <v>14227</v>
      </c>
      <c r="B3588" t="s">
        <v>39</v>
      </c>
      <c r="C3588" t="s">
        <v>684</v>
      </c>
      <c r="D3588" t="s">
        <v>92</v>
      </c>
      <c r="E3588" t="s">
        <v>109</v>
      </c>
      <c r="F3588" t="s">
        <v>244</v>
      </c>
      <c r="G3588" s="39">
        <v>44706</v>
      </c>
      <c r="J3588" t="s">
        <v>981</v>
      </c>
    </row>
    <row r="3589" spans="1:10" x14ac:dyDescent="0.35">
      <c r="A3589">
        <v>13050</v>
      </c>
      <c r="B3589" t="s">
        <v>39</v>
      </c>
      <c r="C3589" t="s">
        <v>684</v>
      </c>
      <c r="D3589" t="s">
        <v>92</v>
      </c>
      <c r="E3589" t="s">
        <v>109</v>
      </c>
      <c r="F3589" t="s">
        <v>244</v>
      </c>
      <c r="G3589" s="39">
        <v>44217</v>
      </c>
      <c r="J3589" t="s">
        <v>981</v>
      </c>
    </row>
    <row r="3590" spans="1:10" x14ac:dyDescent="0.35">
      <c r="A3590">
        <v>12697</v>
      </c>
      <c r="B3590" t="s">
        <v>39</v>
      </c>
      <c r="C3590" t="s">
        <v>684</v>
      </c>
      <c r="D3590" t="s">
        <v>92</v>
      </c>
      <c r="E3590" t="s">
        <v>109</v>
      </c>
      <c r="F3590" t="s">
        <v>244</v>
      </c>
      <c r="G3590" s="39">
        <v>43868</v>
      </c>
      <c r="J3590" t="s">
        <v>981</v>
      </c>
    </row>
    <row r="3591" spans="1:10" x14ac:dyDescent="0.35">
      <c r="A3591">
        <v>14862</v>
      </c>
      <c r="B3591" t="s">
        <v>39</v>
      </c>
      <c r="C3591" t="s">
        <v>211</v>
      </c>
      <c r="D3591" t="s">
        <v>92</v>
      </c>
      <c r="E3591" t="s">
        <v>109</v>
      </c>
      <c r="F3591" t="s">
        <v>244</v>
      </c>
      <c r="G3591" s="39">
        <v>44882</v>
      </c>
      <c r="J3591" t="s">
        <v>981</v>
      </c>
    </row>
    <row r="3592" spans="1:10" x14ac:dyDescent="0.35">
      <c r="A3592">
        <v>13806</v>
      </c>
      <c r="B3592" t="s">
        <v>14</v>
      </c>
      <c r="C3592" t="s">
        <v>685</v>
      </c>
      <c r="D3592" t="s">
        <v>92</v>
      </c>
      <c r="E3592" t="s">
        <v>98</v>
      </c>
      <c r="F3592" t="s">
        <v>244</v>
      </c>
      <c r="G3592" s="39">
        <v>44585</v>
      </c>
      <c r="J3592" t="s">
        <v>981</v>
      </c>
    </row>
    <row r="3593" spans="1:10" x14ac:dyDescent="0.35">
      <c r="A3593">
        <v>13846</v>
      </c>
      <c r="B3593" t="s">
        <v>39</v>
      </c>
      <c r="C3593" t="s">
        <v>684</v>
      </c>
      <c r="D3593" t="s">
        <v>92</v>
      </c>
      <c r="E3593" t="s">
        <v>109</v>
      </c>
      <c r="F3593" t="s">
        <v>245</v>
      </c>
      <c r="G3593" s="39">
        <v>44601</v>
      </c>
      <c r="J3593" t="s">
        <v>981</v>
      </c>
    </row>
    <row r="3594" spans="1:10" x14ac:dyDescent="0.35">
      <c r="A3594">
        <v>17504</v>
      </c>
      <c r="B3594" t="s">
        <v>39</v>
      </c>
      <c r="C3594" t="s">
        <v>684</v>
      </c>
      <c r="D3594" t="s">
        <v>92</v>
      </c>
      <c r="E3594" t="s">
        <v>103</v>
      </c>
      <c r="F3594" t="s">
        <v>244</v>
      </c>
      <c r="G3594" s="39">
        <v>45778</v>
      </c>
      <c r="J3594" t="s">
        <v>981</v>
      </c>
    </row>
    <row r="3595" spans="1:10" x14ac:dyDescent="0.35">
      <c r="A3595">
        <v>18198</v>
      </c>
      <c r="B3595" t="s">
        <v>39</v>
      </c>
      <c r="C3595" t="s">
        <v>684</v>
      </c>
      <c r="D3595" t="s">
        <v>92</v>
      </c>
      <c r="E3595" t="s">
        <v>103</v>
      </c>
      <c r="F3595" t="s">
        <v>244</v>
      </c>
      <c r="G3595" s="39">
        <v>46049</v>
      </c>
      <c r="J3595" t="s">
        <v>981</v>
      </c>
    </row>
    <row r="3596" spans="1:10" x14ac:dyDescent="0.35">
      <c r="A3596">
        <v>19074</v>
      </c>
      <c r="B3596" t="s">
        <v>39</v>
      </c>
      <c r="C3596" t="s">
        <v>684</v>
      </c>
      <c r="D3596" t="s">
        <v>92</v>
      </c>
      <c r="E3596" t="s">
        <v>106</v>
      </c>
      <c r="F3596" t="s">
        <v>244</v>
      </c>
      <c r="G3596" s="39">
        <v>46266</v>
      </c>
      <c r="J3596" t="s">
        <v>981</v>
      </c>
    </row>
    <row r="3597" spans="1:10" x14ac:dyDescent="0.35">
      <c r="A3597">
        <v>18311</v>
      </c>
      <c r="B3597" t="s">
        <v>39</v>
      </c>
      <c r="C3597" t="s">
        <v>684</v>
      </c>
      <c r="D3597" t="s">
        <v>92</v>
      </c>
      <c r="E3597" t="s">
        <v>103</v>
      </c>
      <c r="F3597" t="s">
        <v>244</v>
      </c>
      <c r="G3597" s="39">
        <v>46084</v>
      </c>
      <c r="J3597" t="s">
        <v>981</v>
      </c>
    </row>
    <row r="3598" spans="1:10" x14ac:dyDescent="0.35">
      <c r="A3598">
        <v>13412</v>
      </c>
      <c r="B3598" t="s">
        <v>39</v>
      </c>
      <c r="C3598" t="s">
        <v>684</v>
      </c>
      <c r="D3598" t="s">
        <v>92</v>
      </c>
      <c r="E3598" t="s">
        <v>109</v>
      </c>
      <c r="F3598" t="s">
        <v>244</v>
      </c>
      <c r="G3598" s="39">
        <v>44431</v>
      </c>
      <c r="J3598" t="s">
        <v>981</v>
      </c>
    </row>
    <row r="3599" spans="1:10" x14ac:dyDescent="0.35">
      <c r="A3599">
        <v>13826</v>
      </c>
      <c r="B3599" t="s">
        <v>39</v>
      </c>
      <c r="C3599" t="s">
        <v>684</v>
      </c>
      <c r="D3599" t="s">
        <v>92</v>
      </c>
      <c r="E3599" t="s">
        <v>102</v>
      </c>
      <c r="F3599" t="s">
        <v>244</v>
      </c>
      <c r="G3599" s="39">
        <v>44596</v>
      </c>
      <c r="J3599" t="s">
        <v>981</v>
      </c>
    </row>
    <row r="3600" spans="1:10" x14ac:dyDescent="0.35">
      <c r="A3600">
        <v>12892</v>
      </c>
      <c r="B3600" t="s">
        <v>39</v>
      </c>
      <c r="C3600" t="s">
        <v>211</v>
      </c>
      <c r="D3600" t="s">
        <v>92</v>
      </c>
      <c r="E3600" t="s">
        <v>101</v>
      </c>
      <c r="F3600" t="s">
        <v>244</v>
      </c>
      <c r="G3600" s="39">
        <v>44077</v>
      </c>
      <c r="J3600" t="s">
        <v>981</v>
      </c>
    </row>
    <row r="3601" spans="1:10" x14ac:dyDescent="0.35">
      <c r="A3601">
        <v>12921</v>
      </c>
      <c r="B3601" t="s">
        <v>39</v>
      </c>
      <c r="C3601" t="s">
        <v>211</v>
      </c>
      <c r="D3601" t="s">
        <v>92</v>
      </c>
      <c r="E3601" t="s">
        <v>109</v>
      </c>
      <c r="F3601" t="s">
        <v>244</v>
      </c>
      <c r="G3601" s="39">
        <v>44111</v>
      </c>
      <c r="J3601" t="s">
        <v>981</v>
      </c>
    </row>
    <row r="3602" spans="1:10" x14ac:dyDescent="0.35">
      <c r="A3602">
        <v>18471</v>
      </c>
      <c r="B3602" t="s">
        <v>39</v>
      </c>
      <c r="C3602" t="s">
        <v>211</v>
      </c>
      <c r="D3602" t="s">
        <v>92</v>
      </c>
      <c r="E3602" t="s">
        <v>109</v>
      </c>
      <c r="F3602" t="s">
        <v>244</v>
      </c>
      <c r="G3602" s="39">
        <v>46129</v>
      </c>
      <c r="H3602" t="s">
        <v>249</v>
      </c>
      <c r="J3602" t="s">
        <v>981</v>
      </c>
    </row>
    <row r="3603" spans="1:10" x14ac:dyDescent="0.35">
      <c r="A3603">
        <v>10550</v>
      </c>
      <c r="B3603" t="s">
        <v>39</v>
      </c>
      <c r="C3603" t="s">
        <v>211</v>
      </c>
      <c r="D3603" t="s">
        <v>92</v>
      </c>
      <c r="E3603" t="s">
        <v>109</v>
      </c>
      <c r="F3603" t="s">
        <v>244</v>
      </c>
      <c r="G3603" s="39">
        <v>41198</v>
      </c>
      <c r="J3603" t="s">
        <v>981</v>
      </c>
    </row>
    <row r="3604" spans="1:10" x14ac:dyDescent="0.35">
      <c r="A3604">
        <v>18841</v>
      </c>
      <c r="B3604" t="s">
        <v>39</v>
      </c>
      <c r="C3604" t="s">
        <v>211</v>
      </c>
      <c r="D3604" t="s">
        <v>92</v>
      </c>
      <c r="E3604" t="s">
        <v>109</v>
      </c>
      <c r="F3604" t="s">
        <v>244</v>
      </c>
      <c r="G3604" s="39">
        <v>46223</v>
      </c>
      <c r="J3604" t="s">
        <v>981</v>
      </c>
    </row>
    <row r="3605" spans="1:10" x14ac:dyDescent="0.35">
      <c r="A3605">
        <v>10855</v>
      </c>
      <c r="B3605" t="s">
        <v>17</v>
      </c>
      <c r="C3605" t="s">
        <v>686</v>
      </c>
      <c r="D3605" t="s">
        <v>92</v>
      </c>
      <c r="E3605" t="s">
        <v>101</v>
      </c>
      <c r="F3605" t="s">
        <v>244</v>
      </c>
      <c r="G3605" s="39">
        <v>42009</v>
      </c>
      <c r="J3605" t="s">
        <v>981</v>
      </c>
    </row>
    <row r="3606" spans="1:10" x14ac:dyDescent="0.35">
      <c r="A3606">
        <v>17974</v>
      </c>
      <c r="B3606" t="s">
        <v>17</v>
      </c>
      <c r="C3606" t="s">
        <v>686</v>
      </c>
      <c r="D3606" t="s">
        <v>92</v>
      </c>
      <c r="E3606" t="s">
        <v>103</v>
      </c>
      <c r="F3606" t="s">
        <v>244</v>
      </c>
      <c r="G3606" s="39">
        <v>45945</v>
      </c>
      <c r="J3606" t="s">
        <v>981</v>
      </c>
    </row>
    <row r="3607" spans="1:10" x14ac:dyDescent="0.35">
      <c r="A3607">
        <v>17162</v>
      </c>
      <c r="B3607" t="s">
        <v>39</v>
      </c>
      <c r="C3607" t="s">
        <v>684</v>
      </c>
      <c r="D3607" t="s">
        <v>92</v>
      </c>
      <c r="E3607" t="s">
        <v>103</v>
      </c>
      <c r="F3607" t="s">
        <v>244</v>
      </c>
      <c r="G3607" s="39">
        <v>45652</v>
      </c>
      <c r="J3607" t="s">
        <v>981</v>
      </c>
    </row>
    <row r="3608" spans="1:10" x14ac:dyDescent="0.35">
      <c r="A3608">
        <v>15178</v>
      </c>
      <c r="B3608" t="s">
        <v>39</v>
      </c>
      <c r="C3608" t="s">
        <v>211</v>
      </c>
      <c r="D3608" t="s">
        <v>92</v>
      </c>
      <c r="E3608" t="s">
        <v>103</v>
      </c>
      <c r="F3608" t="s">
        <v>244</v>
      </c>
      <c r="G3608" s="39">
        <v>44974</v>
      </c>
      <c r="J3608" t="s">
        <v>981</v>
      </c>
    </row>
    <row r="3609" spans="1:10" x14ac:dyDescent="0.35">
      <c r="A3609">
        <v>18226</v>
      </c>
      <c r="B3609" t="s">
        <v>39</v>
      </c>
      <c r="C3609" t="s">
        <v>211</v>
      </c>
      <c r="D3609" t="s">
        <v>92</v>
      </c>
      <c r="E3609" t="s">
        <v>103</v>
      </c>
      <c r="F3609" t="s">
        <v>244</v>
      </c>
      <c r="G3609" s="39">
        <v>46064</v>
      </c>
      <c r="J3609" t="s">
        <v>981</v>
      </c>
    </row>
    <row r="3610" spans="1:10" x14ac:dyDescent="0.35">
      <c r="A3610">
        <v>12974</v>
      </c>
      <c r="B3610" t="s">
        <v>17</v>
      </c>
      <c r="C3610" t="s">
        <v>686</v>
      </c>
      <c r="D3610" t="s">
        <v>92</v>
      </c>
      <c r="E3610" t="s">
        <v>109</v>
      </c>
      <c r="F3610" t="s">
        <v>244</v>
      </c>
      <c r="G3610" s="39">
        <v>44155</v>
      </c>
      <c r="J3610" t="s">
        <v>981</v>
      </c>
    </row>
    <row r="3611" spans="1:10" x14ac:dyDescent="0.35">
      <c r="A3611">
        <v>17971</v>
      </c>
      <c r="B3611" t="s">
        <v>39</v>
      </c>
      <c r="C3611" t="s">
        <v>687</v>
      </c>
      <c r="D3611" t="s">
        <v>92</v>
      </c>
      <c r="E3611" t="s">
        <v>99</v>
      </c>
      <c r="F3611" t="s">
        <v>244</v>
      </c>
      <c r="G3611" s="39">
        <v>45937</v>
      </c>
      <c r="J3611" t="s">
        <v>981</v>
      </c>
    </row>
    <row r="3612" spans="1:10" x14ac:dyDescent="0.35">
      <c r="A3612">
        <v>18671</v>
      </c>
      <c r="B3612" t="s">
        <v>39</v>
      </c>
      <c r="C3612" t="s">
        <v>687</v>
      </c>
      <c r="D3612" t="s">
        <v>92</v>
      </c>
      <c r="E3612" t="s">
        <v>101</v>
      </c>
      <c r="F3612" t="s">
        <v>244</v>
      </c>
      <c r="G3612" s="39">
        <v>46190</v>
      </c>
      <c r="J3612" t="s">
        <v>981</v>
      </c>
    </row>
    <row r="3613" spans="1:10" x14ac:dyDescent="0.35">
      <c r="A3613">
        <v>18176</v>
      </c>
      <c r="B3613" t="s">
        <v>39</v>
      </c>
      <c r="C3613" t="s">
        <v>687</v>
      </c>
      <c r="D3613" t="s">
        <v>92</v>
      </c>
      <c r="E3613" t="s">
        <v>106</v>
      </c>
      <c r="F3613" t="s">
        <v>244</v>
      </c>
      <c r="G3613" s="39">
        <v>46031</v>
      </c>
      <c r="J3613" t="s">
        <v>981</v>
      </c>
    </row>
    <row r="3614" spans="1:10" x14ac:dyDescent="0.35">
      <c r="A3614">
        <v>16211</v>
      </c>
      <c r="B3614" t="s">
        <v>39</v>
      </c>
      <c r="C3614" t="s">
        <v>687</v>
      </c>
      <c r="D3614" t="s">
        <v>92</v>
      </c>
      <c r="E3614" t="s">
        <v>106</v>
      </c>
      <c r="F3614" t="s">
        <v>411</v>
      </c>
      <c r="G3614" s="39">
        <v>45320</v>
      </c>
      <c r="J3614" t="s">
        <v>981</v>
      </c>
    </row>
    <row r="3615" spans="1:10" x14ac:dyDescent="0.35">
      <c r="A3615">
        <v>17979</v>
      </c>
      <c r="B3615" t="s">
        <v>39</v>
      </c>
      <c r="C3615" t="s">
        <v>687</v>
      </c>
      <c r="D3615" t="s">
        <v>92</v>
      </c>
      <c r="E3615" t="s">
        <v>424</v>
      </c>
      <c r="F3615" t="s">
        <v>244</v>
      </c>
      <c r="G3615" s="39">
        <v>45940</v>
      </c>
      <c r="J3615" t="s">
        <v>981</v>
      </c>
    </row>
    <row r="3616" spans="1:10" x14ac:dyDescent="0.35">
      <c r="A3616">
        <v>18321</v>
      </c>
      <c r="B3616" t="s">
        <v>39</v>
      </c>
      <c r="C3616" t="s">
        <v>688</v>
      </c>
      <c r="D3616" t="s">
        <v>92</v>
      </c>
      <c r="E3616" t="s">
        <v>101</v>
      </c>
      <c r="F3616" t="s">
        <v>244</v>
      </c>
      <c r="G3616" s="39">
        <v>46084</v>
      </c>
      <c r="J3616" t="s">
        <v>981</v>
      </c>
    </row>
    <row r="3617" spans="1:10" x14ac:dyDescent="0.35">
      <c r="A3617">
        <v>15648</v>
      </c>
      <c r="B3617" t="s">
        <v>39</v>
      </c>
      <c r="C3617" t="s">
        <v>688</v>
      </c>
      <c r="D3617" t="s">
        <v>92</v>
      </c>
      <c r="E3617" t="s">
        <v>109</v>
      </c>
      <c r="F3617" t="s">
        <v>244</v>
      </c>
      <c r="G3617" s="39">
        <v>45152</v>
      </c>
      <c r="J3617" t="s">
        <v>981</v>
      </c>
    </row>
    <row r="3618" spans="1:10" x14ac:dyDescent="0.35">
      <c r="A3618">
        <v>18752</v>
      </c>
      <c r="B3618" t="s">
        <v>39</v>
      </c>
      <c r="C3618" t="s">
        <v>688</v>
      </c>
      <c r="D3618" t="s">
        <v>92</v>
      </c>
      <c r="E3618" t="s">
        <v>103</v>
      </c>
      <c r="F3618" t="s">
        <v>244</v>
      </c>
      <c r="G3618" s="39">
        <v>46204</v>
      </c>
      <c r="J3618" t="s">
        <v>981</v>
      </c>
    </row>
    <row r="3619" spans="1:10" x14ac:dyDescent="0.35">
      <c r="A3619">
        <v>18650</v>
      </c>
      <c r="B3619" t="s">
        <v>39</v>
      </c>
      <c r="C3619" t="s">
        <v>688</v>
      </c>
      <c r="D3619" t="s">
        <v>92</v>
      </c>
      <c r="E3619" t="s">
        <v>106</v>
      </c>
      <c r="F3619" t="s">
        <v>244</v>
      </c>
      <c r="G3619" s="39">
        <v>46183</v>
      </c>
      <c r="J3619" t="s">
        <v>981</v>
      </c>
    </row>
    <row r="3620" spans="1:10" x14ac:dyDescent="0.35">
      <c r="A3620">
        <v>10919</v>
      </c>
      <c r="B3620" t="s">
        <v>17</v>
      </c>
      <c r="C3620" t="s">
        <v>92</v>
      </c>
      <c r="D3620" t="s">
        <v>92</v>
      </c>
      <c r="E3620" t="s">
        <v>100</v>
      </c>
      <c r="F3620" t="s">
        <v>244</v>
      </c>
      <c r="G3620" s="39">
        <v>42125</v>
      </c>
      <c r="J3620" t="s">
        <v>982</v>
      </c>
    </row>
    <row r="3621" spans="1:10" x14ac:dyDescent="0.35">
      <c r="A3621">
        <v>18437</v>
      </c>
      <c r="B3621" t="s">
        <v>14</v>
      </c>
      <c r="C3621" t="s">
        <v>606</v>
      </c>
      <c r="D3621" t="s">
        <v>92</v>
      </c>
      <c r="E3621" t="s">
        <v>98</v>
      </c>
      <c r="F3621" t="s">
        <v>244</v>
      </c>
      <c r="G3621" s="39">
        <v>46129</v>
      </c>
      <c r="J3621" t="s">
        <v>982</v>
      </c>
    </row>
    <row r="3622" spans="1:10" x14ac:dyDescent="0.35">
      <c r="A3622">
        <v>15442</v>
      </c>
      <c r="B3622" t="s">
        <v>14</v>
      </c>
      <c r="C3622" t="s">
        <v>605</v>
      </c>
      <c r="D3622" t="s">
        <v>92</v>
      </c>
      <c r="E3622" t="s">
        <v>98</v>
      </c>
      <c r="F3622" t="s">
        <v>244</v>
      </c>
      <c r="G3622" s="39">
        <v>45068</v>
      </c>
      <c r="J3622" t="s">
        <v>982</v>
      </c>
    </row>
    <row r="3623" spans="1:10" x14ac:dyDescent="0.35">
      <c r="A3623">
        <v>15191</v>
      </c>
      <c r="B3623" t="s">
        <v>66</v>
      </c>
      <c r="C3623" t="s">
        <v>92</v>
      </c>
      <c r="D3623" t="s">
        <v>92</v>
      </c>
      <c r="E3623" t="s">
        <v>383</v>
      </c>
      <c r="F3623" t="s">
        <v>244</v>
      </c>
      <c r="G3623" s="39">
        <v>44977</v>
      </c>
      <c r="J3623" t="s">
        <v>982</v>
      </c>
    </row>
    <row r="3624" spans="1:10" x14ac:dyDescent="0.35">
      <c r="A3624">
        <v>18813</v>
      </c>
      <c r="B3624" t="s">
        <v>66</v>
      </c>
      <c r="C3624" t="s">
        <v>92</v>
      </c>
      <c r="D3624" t="s">
        <v>92</v>
      </c>
      <c r="E3624" t="s">
        <v>186</v>
      </c>
      <c r="F3624" t="s">
        <v>244</v>
      </c>
      <c r="G3624" s="39">
        <v>46213</v>
      </c>
      <c r="H3624" t="s">
        <v>249</v>
      </c>
      <c r="J3624" t="s">
        <v>982</v>
      </c>
    </row>
    <row r="3625" spans="1:10" x14ac:dyDescent="0.35">
      <c r="A3625">
        <v>11657</v>
      </c>
      <c r="B3625" t="s">
        <v>66</v>
      </c>
      <c r="C3625" t="s">
        <v>689</v>
      </c>
      <c r="D3625" t="s">
        <v>92</v>
      </c>
      <c r="E3625" t="s">
        <v>96</v>
      </c>
      <c r="F3625" t="s">
        <v>244</v>
      </c>
      <c r="G3625" s="39">
        <v>42992</v>
      </c>
      <c r="J3625" t="s">
        <v>982</v>
      </c>
    </row>
    <row r="3626" spans="1:10" x14ac:dyDescent="0.35">
      <c r="A3626">
        <v>18149</v>
      </c>
      <c r="B3626" t="s">
        <v>66</v>
      </c>
      <c r="C3626" t="s">
        <v>92</v>
      </c>
      <c r="D3626" t="s">
        <v>92</v>
      </c>
      <c r="E3626" t="s">
        <v>186</v>
      </c>
      <c r="F3626" t="s">
        <v>244</v>
      </c>
      <c r="G3626" s="39">
        <v>46014</v>
      </c>
      <c r="J3626" t="s">
        <v>982</v>
      </c>
    </row>
    <row r="3627" spans="1:10" x14ac:dyDescent="0.35">
      <c r="A3627">
        <v>17399</v>
      </c>
      <c r="B3627" t="s">
        <v>66</v>
      </c>
      <c r="C3627" t="s">
        <v>689</v>
      </c>
      <c r="D3627" t="s">
        <v>92</v>
      </c>
      <c r="E3627" t="s">
        <v>212</v>
      </c>
      <c r="F3627" t="s">
        <v>244</v>
      </c>
      <c r="G3627" s="39">
        <v>45749</v>
      </c>
      <c r="J3627" t="s">
        <v>982</v>
      </c>
    </row>
    <row r="3628" spans="1:10" x14ac:dyDescent="0.35">
      <c r="A3628">
        <v>13312</v>
      </c>
      <c r="B3628" t="s">
        <v>66</v>
      </c>
      <c r="C3628" t="s">
        <v>689</v>
      </c>
      <c r="D3628" t="s">
        <v>92</v>
      </c>
      <c r="E3628" t="s">
        <v>212</v>
      </c>
      <c r="F3628" t="s">
        <v>244</v>
      </c>
      <c r="G3628" s="39">
        <v>44379</v>
      </c>
      <c r="J3628" t="s">
        <v>982</v>
      </c>
    </row>
    <row r="3629" spans="1:10" x14ac:dyDescent="0.35">
      <c r="A3629">
        <v>18812</v>
      </c>
      <c r="B3629" t="s">
        <v>66</v>
      </c>
      <c r="C3629" t="s">
        <v>213</v>
      </c>
      <c r="D3629" t="s">
        <v>92</v>
      </c>
      <c r="E3629" t="s">
        <v>212</v>
      </c>
      <c r="F3629" t="s">
        <v>244</v>
      </c>
      <c r="G3629" s="39">
        <v>46213</v>
      </c>
      <c r="H3629" t="s">
        <v>249</v>
      </c>
      <c r="J3629" t="s">
        <v>982</v>
      </c>
    </row>
    <row r="3630" spans="1:10" x14ac:dyDescent="0.35">
      <c r="A3630">
        <v>18833</v>
      </c>
      <c r="B3630" t="s">
        <v>66</v>
      </c>
      <c r="C3630" t="s">
        <v>214</v>
      </c>
      <c r="D3630" t="s">
        <v>92</v>
      </c>
      <c r="E3630" t="s">
        <v>212</v>
      </c>
      <c r="F3630" t="s">
        <v>244</v>
      </c>
      <c r="G3630" s="39">
        <v>46217</v>
      </c>
      <c r="H3630" t="s">
        <v>249</v>
      </c>
      <c r="J3630" t="s">
        <v>982</v>
      </c>
    </row>
    <row r="3631" spans="1:10" x14ac:dyDescent="0.35">
      <c r="A3631">
        <v>18861</v>
      </c>
      <c r="B3631" t="s">
        <v>66</v>
      </c>
      <c r="C3631" t="s">
        <v>214</v>
      </c>
      <c r="D3631" t="s">
        <v>92</v>
      </c>
      <c r="E3631" t="s">
        <v>212</v>
      </c>
      <c r="F3631" t="s">
        <v>244</v>
      </c>
      <c r="G3631" s="39">
        <v>46220</v>
      </c>
      <c r="H3631" t="s">
        <v>249</v>
      </c>
      <c r="J3631" t="s">
        <v>982</v>
      </c>
    </row>
    <row r="3632" spans="1:10" x14ac:dyDescent="0.35">
      <c r="A3632">
        <v>18872</v>
      </c>
      <c r="B3632" t="s">
        <v>66</v>
      </c>
      <c r="C3632" t="s">
        <v>214</v>
      </c>
      <c r="D3632" t="s">
        <v>92</v>
      </c>
      <c r="E3632" t="s">
        <v>212</v>
      </c>
      <c r="F3632" t="s">
        <v>244</v>
      </c>
      <c r="G3632" s="39">
        <v>46223</v>
      </c>
      <c r="H3632" t="s">
        <v>57</v>
      </c>
      <c r="J3632" t="s">
        <v>982</v>
      </c>
    </row>
    <row r="3633" spans="1:10" x14ac:dyDescent="0.35">
      <c r="A3633">
        <v>14266</v>
      </c>
      <c r="B3633" t="s">
        <v>66</v>
      </c>
      <c r="C3633" t="s">
        <v>689</v>
      </c>
      <c r="D3633" t="s">
        <v>92</v>
      </c>
      <c r="E3633" t="s">
        <v>212</v>
      </c>
      <c r="F3633" t="s">
        <v>244</v>
      </c>
      <c r="G3633" s="39">
        <v>44707</v>
      </c>
      <c r="J3633" t="s">
        <v>982</v>
      </c>
    </row>
    <row r="3634" spans="1:10" x14ac:dyDescent="0.35">
      <c r="A3634">
        <v>18229</v>
      </c>
      <c r="B3634" t="s">
        <v>66</v>
      </c>
      <c r="C3634" t="s">
        <v>689</v>
      </c>
      <c r="D3634" t="s">
        <v>92</v>
      </c>
      <c r="E3634" t="s">
        <v>212</v>
      </c>
      <c r="F3634" t="s">
        <v>244</v>
      </c>
      <c r="G3634" s="39">
        <v>46064</v>
      </c>
      <c r="J3634" t="s">
        <v>982</v>
      </c>
    </row>
    <row r="3635" spans="1:10" x14ac:dyDescent="0.35">
      <c r="A3635">
        <v>12946</v>
      </c>
      <c r="B3635" t="s">
        <v>66</v>
      </c>
      <c r="C3635" t="s">
        <v>689</v>
      </c>
      <c r="D3635" t="s">
        <v>92</v>
      </c>
      <c r="E3635" t="s">
        <v>212</v>
      </c>
      <c r="F3635" t="s">
        <v>244</v>
      </c>
      <c r="G3635" s="39">
        <v>44137</v>
      </c>
      <c r="J3635" t="s">
        <v>982</v>
      </c>
    </row>
    <row r="3636" spans="1:10" x14ac:dyDescent="0.35">
      <c r="A3636">
        <v>12348</v>
      </c>
      <c r="B3636" t="s">
        <v>66</v>
      </c>
      <c r="C3636" t="s">
        <v>690</v>
      </c>
      <c r="D3636" t="s">
        <v>92</v>
      </c>
      <c r="E3636" t="s">
        <v>96</v>
      </c>
      <c r="F3636" t="s">
        <v>244</v>
      </c>
      <c r="G3636" s="39">
        <v>43710</v>
      </c>
      <c r="J3636" t="s">
        <v>982</v>
      </c>
    </row>
    <row r="3637" spans="1:10" x14ac:dyDescent="0.35">
      <c r="A3637">
        <v>300070</v>
      </c>
      <c r="B3637" t="s">
        <v>60</v>
      </c>
      <c r="C3637" t="s">
        <v>691</v>
      </c>
      <c r="D3637" t="s">
        <v>92</v>
      </c>
      <c r="E3637" t="s">
        <v>98</v>
      </c>
      <c r="F3637" t="s">
        <v>244</v>
      </c>
      <c r="G3637" s="39">
        <v>42811</v>
      </c>
      <c r="J3637" t="s">
        <v>982</v>
      </c>
    </row>
    <row r="3638" spans="1:10" x14ac:dyDescent="0.35">
      <c r="A3638">
        <v>13157</v>
      </c>
      <c r="B3638" t="s">
        <v>66</v>
      </c>
      <c r="C3638" t="s">
        <v>690</v>
      </c>
      <c r="D3638" t="s">
        <v>92</v>
      </c>
      <c r="E3638" t="s">
        <v>212</v>
      </c>
      <c r="F3638" t="s">
        <v>244</v>
      </c>
      <c r="G3638" s="39">
        <v>44292</v>
      </c>
      <c r="J3638" t="s">
        <v>982</v>
      </c>
    </row>
    <row r="3639" spans="1:10" x14ac:dyDescent="0.35">
      <c r="A3639">
        <v>19083</v>
      </c>
      <c r="B3639" t="s">
        <v>66</v>
      </c>
      <c r="C3639" t="s">
        <v>92</v>
      </c>
      <c r="D3639" t="s">
        <v>92</v>
      </c>
      <c r="E3639" t="s">
        <v>212</v>
      </c>
      <c r="F3639" t="s">
        <v>244</v>
      </c>
      <c r="G3639" s="39">
        <v>46261</v>
      </c>
      <c r="H3639" t="s">
        <v>249</v>
      </c>
      <c r="J3639" t="s">
        <v>982</v>
      </c>
    </row>
    <row r="3640" spans="1:10" x14ac:dyDescent="0.35">
      <c r="A3640">
        <v>19127</v>
      </c>
      <c r="B3640" t="s">
        <v>66</v>
      </c>
      <c r="C3640" t="s">
        <v>92</v>
      </c>
      <c r="D3640" t="s">
        <v>92</v>
      </c>
      <c r="E3640" t="s">
        <v>212</v>
      </c>
      <c r="F3640" t="s">
        <v>244</v>
      </c>
      <c r="G3640" s="39">
        <v>46268</v>
      </c>
      <c r="H3640" t="s">
        <v>250</v>
      </c>
      <c r="J3640" t="s">
        <v>982</v>
      </c>
    </row>
    <row r="3641" spans="1:10" x14ac:dyDescent="0.35">
      <c r="A3641">
        <v>19128</v>
      </c>
      <c r="B3641" t="s">
        <v>66</v>
      </c>
      <c r="C3641" t="s">
        <v>92</v>
      </c>
      <c r="D3641" t="s">
        <v>92</v>
      </c>
      <c r="E3641" t="s">
        <v>212</v>
      </c>
      <c r="F3641" t="s">
        <v>244</v>
      </c>
      <c r="G3641" s="39">
        <v>46268</v>
      </c>
      <c r="H3641" t="s">
        <v>250</v>
      </c>
      <c r="J3641" t="s">
        <v>982</v>
      </c>
    </row>
    <row r="3642" spans="1:10" x14ac:dyDescent="0.35">
      <c r="A3642">
        <v>19204</v>
      </c>
      <c r="B3642" t="s">
        <v>66</v>
      </c>
      <c r="C3642" t="s">
        <v>92</v>
      </c>
      <c r="D3642" t="s">
        <v>92</v>
      </c>
      <c r="E3642" t="s">
        <v>212</v>
      </c>
      <c r="F3642" t="s">
        <v>244</v>
      </c>
      <c r="G3642" s="39">
        <v>46276</v>
      </c>
      <c r="H3642" t="s">
        <v>250</v>
      </c>
      <c r="J3642" t="s">
        <v>982</v>
      </c>
    </row>
    <row r="3643" spans="1:10" x14ac:dyDescent="0.35">
      <c r="A3643">
        <v>16689</v>
      </c>
      <c r="B3643" t="s">
        <v>66</v>
      </c>
      <c r="C3643" t="s">
        <v>690</v>
      </c>
      <c r="D3643" t="s">
        <v>92</v>
      </c>
      <c r="E3643" t="s">
        <v>212</v>
      </c>
      <c r="F3643" t="s">
        <v>244</v>
      </c>
      <c r="G3643" s="39">
        <v>45525</v>
      </c>
      <c r="J3643" t="s">
        <v>982</v>
      </c>
    </row>
    <row r="3644" spans="1:10" x14ac:dyDescent="0.35">
      <c r="A3644">
        <v>14357</v>
      </c>
      <c r="B3644" t="s">
        <v>66</v>
      </c>
      <c r="C3644" t="s">
        <v>690</v>
      </c>
      <c r="D3644" t="s">
        <v>92</v>
      </c>
      <c r="E3644" t="s">
        <v>212</v>
      </c>
      <c r="F3644" t="s">
        <v>244</v>
      </c>
      <c r="G3644" s="39">
        <v>44743</v>
      </c>
      <c r="J3644" t="s">
        <v>982</v>
      </c>
    </row>
    <row r="3645" spans="1:10" x14ac:dyDescent="0.35">
      <c r="A3645">
        <v>11197</v>
      </c>
      <c r="B3645" t="s">
        <v>66</v>
      </c>
      <c r="C3645" t="s">
        <v>690</v>
      </c>
      <c r="D3645" t="s">
        <v>92</v>
      </c>
      <c r="E3645" t="s">
        <v>212</v>
      </c>
      <c r="F3645" t="s">
        <v>244</v>
      </c>
      <c r="G3645" s="39">
        <v>42412</v>
      </c>
      <c r="J3645" t="s">
        <v>982</v>
      </c>
    </row>
    <row r="3646" spans="1:10" x14ac:dyDescent="0.35">
      <c r="A3646">
        <v>13273</v>
      </c>
      <c r="B3646" t="s">
        <v>66</v>
      </c>
      <c r="C3646" t="s">
        <v>692</v>
      </c>
      <c r="D3646" t="s">
        <v>92</v>
      </c>
      <c r="E3646" t="s">
        <v>96</v>
      </c>
      <c r="F3646" t="s">
        <v>244</v>
      </c>
      <c r="G3646" s="39">
        <v>44357</v>
      </c>
      <c r="J3646" t="s">
        <v>982</v>
      </c>
    </row>
    <row r="3647" spans="1:10" x14ac:dyDescent="0.35">
      <c r="A3647">
        <v>17255</v>
      </c>
      <c r="B3647" t="s">
        <v>66</v>
      </c>
      <c r="C3647" t="s">
        <v>692</v>
      </c>
      <c r="D3647" t="s">
        <v>92</v>
      </c>
      <c r="E3647" t="s">
        <v>212</v>
      </c>
      <c r="F3647" t="s">
        <v>244</v>
      </c>
      <c r="G3647" s="39">
        <v>45692</v>
      </c>
      <c r="J3647" t="s">
        <v>982</v>
      </c>
    </row>
    <row r="3648" spans="1:10" x14ac:dyDescent="0.35">
      <c r="A3648">
        <v>18085</v>
      </c>
      <c r="B3648" t="s">
        <v>66</v>
      </c>
      <c r="C3648" t="s">
        <v>692</v>
      </c>
      <c r="D3648" t="s">
        <v>92</v>
      </c>
      <c r="E3648" t="s">
        <v>212</v>
      </c>
      <c r="F3648" t="s">
        <v>244</v>
      </c>
      <c r="G3648" s="39">
        <v>45987</v>
      </c>
      <c r="J3648" t="s">
        <v>982</v>
      </c>
    </row>
    <row r="3649" spans="1:10" x14ac:dyDescent="0.35">
      <c r="A3649">
        <v>17257</v>
      </c>
      <c r="B3649" t="s">
        <v>66</v>
      </c>
      <c r="C3649" t="s">
        <v>692</v>
      </c>
      <c r="D3649" t="s">
        <v>92</v>
      </c>
      <c r="E3649" t="s">
        <v>212</v>
      </c>
      <c r="F3649" t="s">
        <v>244</v>
      </c>
      <c r="G3649" s="39">
        <v>45685</v>
      </c>
      <c r="J3649" t="s">
        <v>982</v>
      </c>
    </row>
    <row r="3650" spans="1:10" x14ac:dyDescent="0.35">
      <c r="A3650">
        <v>18389</v>
      </c>
      <c r="B3650" t="s">
        <v>66</v>
      </c>
      <c r="C3650" t="s">
        <v>692</v>
      </c>
      <c r="D3650" t="s">
        <v>92</v>
      </c>
      <c r="E3650" t="s">
        <v>212</v>
      </c>
      <c r="F3650" t="s">
        <v>244</v>
      </c>
      <c r="G3650" s="39">
        <v>46119</v>
      </c>
      <c r="J3650" t="s">
        <v>982</v>
      </c>
    </row>
    <row r="3651" spans="1:10" x14ac:dyDescent="0.35">
      <c r="A3651">
        <v>860022</v>
      </c>
      <c r="B3651" t="s">
        <v>66</v>
      </c>
      <c r="C3651" t="s">
        <v>692</v>
      </c>
      <c r="D3651" t="s">
        <v>92</v>
      </c>
      <c r="E3651" t="s">
        <v>212</v>
      </c>
      <c r="F3651" t="s">
        <v>244</v>
      </c>
      <c r="G3651" s="39">
        <v>43399</v>
      </c>
      <c r="J3651" t="s">
        <v>982</v>
      </c>
    </row>
    <row r="3652" spans="1:10" x14ac:dyDescent="0.35">
      <c r="A3652">
        <v>17476</v>
      </c>
      <c r="B3652" t="s">
        <v>66</v>
      </c>
      <c r="C3652" t="s">
        <v>693</v>
      </c>
      <c r="D3652" t="s">
        <v>92</v>
      </c>
      <c r="E3652" t="s">
        <v>96</v>
      </c>
      <c r="F3652" t="s">
        <v>244</v>
      </c>
      <c r="G3652" s="39">
        <v>45768</v>
      </c>
      <c r="J3652" t="s">
        <v>982</v>
      </c>
    </row>
    <row r="3653" spans="1:10" x14ac:dyDescent="0.35">
      <c r="A3653">
        <v>17462</v>
      </c>
      <c r="B3653" t="s">
        <v>66</v>
      </c>
      <c r="C3653" t="s">
        <v>694</v>
      </c>
      <c r="D3653" t="s">
        <v>92</v>
      </c>
      <c r="E3653" t="s">
        <v>96</v>
      </c>
      <c r="F3653" t="s">
        <v>244</v>
      </c>
      <c r="G3653" s="39">
        <v>45757</v>
      </c>
      <c r="J3653" t="s">
        <v>982</v>
      </c>
    </row>
    <row r="3654" spans="1:10" x14ac:dyDescent="0.35">
      <c r="A3654">
        <v>17706</v>
      </c>
      <c r="B3654" t="s">
        <v>66</v>
      </c>
      <c r="C3654" t="s">
        <v>693</v>
      </c>
      <c r="D3654" t="s">
        <v>92</v>
      </c>
      <c r="E3654" t="s">
        <v>212</v>
      </c>
      <c r="F3654" t="s">
        <v>244</v>
      </c>
      <c r="G3654" s="39">
        <v>45876</v>
      </c>
      <c r="J3654" t="s">
        <v>982</v>
      </c>
    </row>
    <row r="3655" spans="1:10" x14ac:dyDescent="0.35">
      <c r="A3655">
        <v>13266</v>
      </c>
      <c r="B3655" t="s">
        <v>66</v>
      </c>
      <c r="C3655" t="s">
        <v>693</v>
      </c>
      <c r="D3655" t="s">
        <v>92</v>
      </c>
      <c r="E3655" t="s">
        <v>212</v>
      </c>
      <c r="F3655" t="s">
        <v>244</v>
      </c>
      <c r="G3655" s="39">
        <v>44355</v>
      </c>
      <c r="J3655" t="s">
        <v>982</v>
      </c>
    </row>
    <row r="3656" spans="1:10" x14ac:dyDescent="0.35">
      <c r="A3656">
        <v>16779</v>
      </c>
      <c r="B3656" t="s">
        <v>66</v>
      </c>
      <c r="C3656" t="s">
        <v>693</v>
      </c>
      <c r="D3656" t="s">
        <v>92</v>
      </c>
      <c r="E3656" t="s">
        <v>212</v>
      </c>
      <c r="F3656" t="s">
        <v>244</v>
      </c>
      <c r="G3656" s="39">
        <v>45547</v>
      </c>
      <c r="J3656" t="s">
        <v>982</v>
      </c>
    </row>
    <row r="3657" spans="1:10" x14ac:dyDescent="0.35">
      <c r="A3657">
        <v>17050</v>
      </c>
      <c r="B3657" t="s">
        <v>66</v>
      </c>
      <c r="C3657" t="s">
        <v>694</v>
      </c>
      <c r="D3657" t="s">
        <v>92</v>
      </c>
      <c r="E3657" t="s">
        <v>212</v>
      </c>
      <c r="F3657" t="s">
        <v>244</v>
      </c>
      <c r="G3657" s="39">
        <v>45601</v>
      </c>
      <c r="J3657" t="s">
        <v>982</v>
      </c>
    </row>
    <row r="3658" spans="1:10" x14ac:dyDescent="0.35">
      <c r="A3658">
        <v>19161</v>
      </c>
      <c r="B3658" t="s">
        <v>66</v>
      </c>
      <c r="C3658" t="s">
        <v>694</v>
      </c>
      <c r="D3658" t="s">
        <v>92</v>
      </c>
      <c r="E3658" t="s">
        <v>212</v>
      </c>
      <c r="F3658" t="s">
        <v>244</v>
      </c>
      <c r="G3658" s="39">
        <v>46279</v>
      </c>
      <c r="J3658" t="s">
        <v>982</v>
      </c>
    </row>
    <row r="3659" spans="1:10" x14ac:dyDescent="0.35">
      <c r="A3659">
        <v>17847</v>
      </c>
      <c r="B3659" t="s">
        <v>66</v>
      </c>
      <c r="C3659" t="s">
        <v>213</v>
      </c>
      <c r="D3659" t="s">
        <v>92</v>
      </c>
      <c r="E3659" t="s">
        <v>215</v>
      </c>
      <c r="F3659" t="s">
        <v>244</v>
      </c>
      <c r="G3659" s="39">
        <v>45890</v>
      </c>
      <c r="J3659" t="s">
        <v>982</v>
      </c>
    </row>
    <row r="3660" spans="1:10" x14ac:dyDescent="0.35">
      <c r="A3660">
        <v>18110</v>
      </c>
      <c r="B3660" t="s">
        <v>66</v>
      </c>
      <c r="C3660" t="s">
        <v>213</v>
      </c>
      <c r="D3660" t="s">
        <v>92</v>
      </c>
      <c r="E3660" t="s">
        <v>96</v>
      </c>
      <c r="F3660" t="s">
        <v>244</v>
      </c>
      <c r="G3660" s="39">
        <v>45999</v>
      </c>
      <c r="J3660" t="s">
        <v>982</v>
      </c>
    </row>
    <row r="3661" spans="1:10" x14ac:dyDescent="0.35">
      <c r="A3661">
        <v>18103</v>
      </c>
      <c r="B3661" t="s">
        <v>66</v>
      </c>
      <c r="C3661" t="s">
        <v>213</v>
      </c>
      <c r="D3661" t="s">
        <v>92</v>
      </c>
      <c r="E3661" t="s">
        <v>215</v>
      </c>
      <c r="F3661" t="s">
        <v>244</v>
      </c>
      <c r="G3661" s="39">
        <v>45995</v>
      </c>
      <c r="J3661" t="s">
        <v>982</v>
      </c>
    </row>
    <row r="3662" spans="1:10" x14ac:dyDescent="0.35">
      <c r="A3662">
        <v>15500</v>
      </c>
      <c r="B3662" t="s">
        <v>66</v>
      </c>
      <c r="C3662" t="s">
        <v>213</v>
      </c>
      <c r="D3662" t="s">
        <v>92</v>
      </c>
      <c r="E3662" t="s">
        <v>215</v>
      </c>
      <c r="F3662" t="s">
        <v>244</v>
      </c>
      <c r="G3662" s="39">
        <v>45098</v>
      </c>
      <c r="J3662" t="s">
        <v>982</v>
      </c>
    </row>
    <row r="3663" spans="1:10" x14ac:dyDescent="0.35">
      <c r="A3663">
        <v>18195</v>
      </c>
      <c r="B3663" t="s">
        <v>66</v>
      </c>
      <c r="C3663" t="s">
        <v>213</v>
      </c>
      <c r="D3663" t="s">
        <v>92</v>
      </c>
      <c r="E3663" t="s">
        <v>215</v>
      </c>
      <c r="F3663" t="s">
        <v>244</v>
      </c>
      <c r="G3663" s="39">
        <v>46044</v>
      </c>
      <c r="J3663" t="s">
        <v>982</v>
      </c>
    </row>
    <row r="3664" spans="1:10" x14ac:dyDescent="0.35">
      <c r="A3664">
        <v>18170</v>
      </c>
      <c r="B3664" t="s">
        <v>66</v>
      </c>
      <c r="C3664" t="s">
        <v>213</v>
      </c>
      <c r="D3664" t="s">
        <v>92</v>
      </c>
      <c r="E3664" t="s">
        <v>215</v>
      </c>
      <c r="F3664" t="s">
        <v>244</v>
      </c>
      <c r="G3664" s="39">
        <v>46031</v>
      </c>
      <c r="J3664" t="s">
        <v>982</v>
      </c>
    </row>
    <row r="3665" spans="1:10" x14ac:dyDescent="0.35">
      <c r="A3665">
        <v>16347</v>
      </c>
      <c r="B3665" t="s">
        <v>66</v>
      </c>
      <c r="C3665" t="s">
        <v>213</v>
      </c>
      <c r="D3665" t="s">
        <v>92</v>
      </c>
      <c r="E3665" t="s">
        <v>215</v>
      </c>
      <c r="F3665" t="s">
        <v>244</v>
      </c>
      <c r="G3665" s="39">
        <v>45369</v>
      </c>
      <c r="J3665" t="s">
        <v>982</v>
      </c>
    </row>
    <row r="3666" spans="1:10" x14ac:dyDescent="0.35">
      <c r="A3666">
        <v>10721</v>
      </c>
      <c r="B3666" t="s">
        <v>66</v>
      </c>
      <c r="C3666" t="s">
        <v>213</v>
      </c>
      <c r="D3666" t="s">
        <v>92</v>
      </c>
      <c r="E3666" t="s">
        <v>215</v>
      </c>
      <c r="F3666" t="s">
        <v>244</v>
      </c>
      <c r="G3666" s="39">
        <v>41710</v>
      </c>
      <c r="J3666" t="s">
        <v>982</v>
      </c>
    </row>
    <row r="3667" spans="1:10" x14ac:dyDescent="0.35">
      <c r="A3667">
        <v>13763</v>
      </c>
      <c r="B3667" t="s">
        <v>66</v>
      </c>
      <c r="C3667" t="s">
        <v>213</v>
      </c>
      <c r="D3667" t="s">
        <v>92</v>
      </c>
      <c r="E3667" t="s">
        <v>215</v>
      </c>
      <c r="F3667" t="s">
        <v>244</v>
      </c>
      <c r="G3667" s="39">
        <v>44568</v>
      </c>
      <c r="J3667" t="s">
        <v>982</v>
      </c>
    </row>
    <row r="3668" spans="1:10" x14ac:dyDescent="0.35">
      <c r="A3668">
        <v>18807</v>
      </c>
      <c r="B3668" t="s">
        <v>66</v>
      </c>
      <c r="C3668" t="s">
        <v>213</v>
      </c>
      <c r="D3668" t="s">
        <v>92</v>
      </c>
      <c r="E3668" t="s">
        <v>215</v>
      </c>
      <c r="F3668" t="s">
        <v>244</v>
      </c>
      <c r="G3668" s="39">
        <v>46213</v>
      </c>
      <c r="H3668" t="s">
        <v>249</v>
      </c>
      <c r="J3668" t="s">
        <v>982</v>
      </c>
    </row>
    <row r="3669" spans="1:10" x14ac:dyDescent="0.35">
      <c r="A3669">
        <v>18814</v>
      </c>
      <c r="B3669" t="s">
        <v>66</v>
      </c>
      <c r="C3669" t="s">
        <v>213</v>
      </c>
      <c r="D3669" t="s">
        <v>92</v>
      </c>
      <c r="E3669" t="s">
        <v>215</v>
      </c>
      <c r="F3669" t="s">
        <v>244</v>
      </c>
      <c r="G3669" s="39">
        <v>46213</v>
      </c>
      <c r="H3669" t="s">
        <v>249</v>
      </c>
      <c r="J3669" t="s">
        <v>982</v>
      </c>
    </row>
    <row r="3670" spans="1:10" x14ac:dyDescent="0.35">
      <c r="A3670">
        <v>18816</v>
      </c>
      <c r="B3670" t="s">
        <v>66</v>
      </c>
      <c r="C3670" t="s">
        <v>213</v>
      </c>
      <c r="D3670" t="s">
        <v>92</v>
      </c>
      <c r="E3670" t="s">
        <v>215</v>
      </c>
      <c r="F3670" t="s">
        <v>244</v>
      </c>
      <c r="G3670" s="39">
        <v>46213</v>
      </c>
      <c r="H3670" t="s">
        <v>249</v>
      </c>
      <c r="J3670" t="s">
        <v>982</v>
      </c>
    </row>
    <row r="3671" spans="1:10" x14ac:dyDescent="0.35">
      <c r="A3671">
        <v>18817</v>
      </c>
      <c r="B3671" t="s">
        <v>66</v>
      </c>
      <c r="C3671" t="s">
        <v>213</v>
      </c>
      <c r="D3671" t="s">
        <v>92</v>
      </c>
      <c r="E3671" t="s">
        <v>215</v>
      </c>
      <c r="F3671" t="s">
        <v>244</v>
      </c>
      <c r="G3671" s="39">
        <v>46213</v>
      </c>
      <c r="H3671" t="s">
        <v>249</v>
      </c>
      <c r="J3671" t="s">
        <v>982</v>
      </c>
    </row>
    <row r="3672" spans="1:10" x14ac:dyDescent="0.35">
      <c r="A3672">
        <v>18852</v>
      </c>
      <c r="B3672" t="s">
        <v>66</v>
      </c>
      <c r="C3672" t="s">
        <v>213</v>
      </c>
      <c r="D3672" t="s">
        <v>92</v>
      </c>
      <c r="E3672" t="s">
        <v>215</v>
      </c>
      <c r="F3672" t="s">
        <v>244</v>
      </c>
      <c r="G3672" s="39">
        <v>46219</v>
      </c>
      <c r="H3672" t="s">
        <v>57</v>
      </c>
      <c r="J3672" t="s">
        <v>982</v>
      </c>
    </row>
    <row r="3673" spans="1:10" x14ac:dyDescent="0.35">
      <c r="A3673">
        <v>18853</v>
      </c>
      <c r="B3673" t="s">
        <v>66</v>
      </c>
      <c r="C3673" t="s">
        <v>213</v>
      </c>
      <c r="D3673" t="s">
        <v>92</v>
      </c>
      <c r="E3673" t="s">
        <v>215</v>
      </c>
      <c r="F3673" t="s">
        <v>244</v>
      </c>
      <c r="G3673" s="39">
        <v>46219</v>
      </c>
      <c r="H3673" t="s">
        <v>57</v>
      </c>
      <c r="J3673" t="s">
        <v>982</v>
      </c>
    </row>
    <row r="3674" spans="1:10" x14ac:dyDescent="0.35">
      <c r="A3674">
        <v>18854</v>
      </c>
      <c r="B3674" t="s">
        <v>66</v>
      </c>
      <c r="C3674" t="s">
        <v>213</v>
      </c>
      <c r="D3674" t="s">
        <v>92</v>
      </c>
      <c r="E3674" t="s">
        <v>215</v>
      </c>
      <c r="F3674" t="s">
        <v>244</v>
      </c>
      <c r="G3674" s="39">
        <v>46219</v>
      </c>
      <c r="H3674" t="s">
        <v>57</v>
      </c>
      <c r="J3674" t="s">
        <v>982</v>
      </c>
    </row>
    <row r="3675" spans="1:10" x14ac:dyDescent="0.35">
      <c r="A3675">
        <v>18855</v>
      </c>
      <c r="B3675" t="s">
        <v>66</v>
      </c>
      <c r="C3675" t="s">
        <v>213</v>
      </c>
      <c r="D3675" t="s">
        <v>92</v>
      </c>
      <c r="E3675" t="s">
        <v>215</v>
      </c>
      <c r="F3675" t="s">
        <v>244</v>
      </c>
      <c r="G3675" s="39">
        <v>46219</v>
      </c>
      <c r="H3675" t="s">
        <v>57</v>
      </c>
      <c r="J3675" t="s">
        <v>982</v>
      </c>
    </row>
    <row r="3676" spans="1:10" x14ac:dyDescent="0.35">
      <c r="A3676">
        <v>18873</v>
      </c>
      <c r="B3676" t="s">
        <v>66</v>
      </c>
      <c r="C3676" t="s">
        <v>213</v>
      </c>
      <c r="D3676" t="s">
        <v>92</v>
      </c>
      <c r="E3676" t="s">
        <v>215</v>
      </c>
      <c r="F3676" t="s">
        <v>244</v>
      </c>
      <c r="G3676" s="39">
        <v>46223</v>
      </c>
      <c r="H3676" t="s">
        <v>57</v>
      </c>
      <c r="J3676" t="s">
        <v>982</v>
      </c>
    </row>
    <row r="3677" spans="1:10" x14ac:dyDescent="0.35">
      <c r="A3677">
        <v>16910</v>
      </c>
      <c r="B3677" t="s">
        <v>66</v>
      </c>
      <c r="C3677" t="s">
        <v>213</v>
      </c>
      <c r="D3677" t="s">
        <v>92</v>
      </c>
      <c r="E3677" t="s">
        <v>215</v>
      </c>
      <c r="F3677" t="s">
        <v>244</v>
      </c>
      <c r="G3677" s="39">
        <v>45566</v>
      </c>
      <c r="J3677" t="s">
        <v>982</v>
      </c>
    </row>
    <row r="3678" spans="1:10" x14ac:dyDescent="0.35">
      <c r="A3678">
        <v>13723</v>
      </c>
      <c r="B3678" t="s">
        <v>66</v>
      </c>
      <c r="C3678" t="s">
        <v>695</v>
      </c>
      <c r="D3678" t="s">
        <v>92</v>
      </c>
      <c r="E3678" t="s">
        <v>96</v>
      </c>
      <c r="F3678" t="s">
        <v>244</v>
      </c>
      <c r="G3678" s="39">
        <v>44550</v>
      </c>
      <c r="J3678" t="s">
        <v>982</v>
      </c>
    </row>
    <row r="3679" spans="1:10" x14ac:dyDescent="0.35">
      <c r="A3679">
        <v>17216</v>
      </c>
      <c r="B3679" t="s">
        <v>66</v>
      </c>
      <c r="C3679" t="s">
        <v>695</v>
      </c>
      <c r="D3679" t="s">
        <v>92</v>
      </c>
      <c r="E3679" t="s">
        <v>696</v>
      </c>
      <c r="F3679" t="s">
        <v>244</v>
      </c>
      <c r="G3679" s="39">
        <v>45666</v>
      </c>
      <c r="J3679" t="s">
        <v>982</v>
      </c>
    </row>
    <row r="3680" spans="1:10" x14ac:dyDescent="0.35">
      <c r="A3680">
        <v>15714</v>
      </c>
      <c r="B3680" t="s">
        <v>66</v>
      </c>
      <c r="C3680" t="s">
        <v>695</v>
      </c>
      <c r="D3680" t="s">
        <v>92</v>
      </c>
      <c r="E3680" t="s">
        <v>696</v>
      </c>
      <c r="F3680" t="s">
        <v>244</v>
      </c>
      <c r="G3680" s="39">
        <v>45176</v>
      </c>
      <c r="J3680" t="s">
        <v>982</v>
      </c>
    </row>
    <row r="3681" spans="1:10" x14ac:dyDescent="0.35">
      <c r="A3681">
        <v>17511</v>
      </c>
      <c r="B3681" t="s">
        <v>78</v>
      </c>
      <c r="C3681" t="s">
        <v>92</v>
      </c>
      <c r="D3681" t="s">
        <v>92</v>
      </c>
      <c r="E3681" t="s">
        <v>383</v>
      </c>
      <c r="F3681" t="s">
        <v>244</v>
      </c>
      <c r="G3681" s="39">
        <v>45771</v>
      </c>
      <c r="J3681" t="s">
        <v>982</v>
      </c>
    </row>
    <row r="3682" spans="1:10" x14ac:dyDescent="0.35">
      <c r="A3682">
        <v>14876</v>
      </c>
      <c r="B3682" t="s">
        <v>78</v>
      </c>
      <c r="C3682" t="s">
        <v>697</v>
      </c>
      <c r="D3682" t="s">
        <v>92</v>
      </c>
      <c r="E3682" t="s">
        <v>96</v>
      </c>
      <c r="F3682" t="s">
        <v>244</v>
      </c>
      <c r="G3682" s="39">
        <v>44886</v>
      </c>
      <c r="J3682" t="s">
        <v>982</v>
      </c>
    </row>
    <row r="3683" spans="1:10" x14ac:dyDescent="0.35">
      <c r="A3683">
        <v>16664</v>
      </c>
      <c r="B3683" t="s">
        <v>78</v>
      </c>
      <c r="C3683" t="s">
        <v>697</v>
      </c>
      <c r="D3683" t="s">
        <v>92</v>
      </c>
      <c r="E3683" t="s">
        <v>216</v>
      </c>
      <c r="F3683" t="s">
        <v>244</v>
      </c>
      <c r="G3683" s="39">
        <v>45513</v>
      </c>
      <c r="J3683" t="s">
        <v>982</v>
      </c>
    </row>
    <row r="3684" spans="1:10" x14ac:dyDescent="0.35">
      <c r="A3684">
        <v>15634</v>
      </c>
      <c r="B3684" t="s">
        <v>78</v>
      </c>
      <c r="C3684" t="s">
        <v>697</v>
      </c>
      <c r="D3684" t="s">
        <v>92</v>
      </c>
      <c r="E3684" t="s">
        <v>216</v>
      </c>
      <c r="F3684" t="s">
        <v>244</v>
      </c>
      <c r="G3684" s="39">
        <v>45160</v>
      </c>
      <c r="J3684" t="s">
        <v>982</v>
      </c>
    </row>
    <row r="3685" spans="1:10" x14ac:dyDescent="0.35">
      <c r="A3685">
        <v>17241</v>
      </c>
      <c r="B3685" t="s">
        <v>78</v>
      </c>
      <c r="C3685" t="s">
        <v>697</v>
      </c>
      <c r="D3685" t="s">
        <v>92</v>
      </c>
      <c r="E3685" t="s">
        <v>216</v>
      </c>
      <c r="F3685" t="s">
        <v>244</v>
      </c>
      <c r="G3685" s="39">
        <v>45679</v>
      </c>
      <c r="J3685" t="s">
        <v>982</v>
      </c>
    </row>
    <row r="3686" spans="1:10" x14ac:dyDescent="0.35">
      <c r="A3686">
        <v>14218</v>
      </c>
      <c r="B3686" t="s">
        <v>78</v>
      </c>
      <c r="C3686" t="s">
        <v>697</v>
      </c>
      <c r="D3686" t="s">
        <v>92</v>
      </c>
      <c r="E3686" t="s">
        <v>216</v>
      </c>
      <c r="F3686" t="s">
        <v>244</v>
      </c>
      <c r="G3686" s="39">
        <v>44700</v>
      </c>
      <c r="J3686" t="s">
        <v>982</v>
      </c>
    </row>
    <row r="3687" spans="1:10" x14ac:dyDescent="0.35">
      <c r="A3687">
        <v>14219</v>
      </c>
      <c r="B3687" t="s">
        <v>78</v>
      </c>
      <c r="C3687" t="s">
        <v>697</v>
      </c>
      <c r="D3687" t="s">
        <v>92</v>
      </c>
      <c r="E3687" t="s">
        <v>216</v>
      </c>
      <c r="F3687" t="s">
        <v>244</v>
      </c>
      <c r="G3687" s="39">
        <v>44700</v>
      </c>
      <c r="J3687" t="s">
        <v>982</v>
      </c>
    </row>
    <row r="3688" spans="1:10" x14ac:dyDescent="0.35">
      <c r="A3688">
        <v>18107</v>
      </c>
      <c r="B3688" t="s">
        <v>78</v>
      </c>
      <c r="C3688" t="s">
        <v>698</v>
      </c>
      <c r="D3688" t="s">
        <v>92</v>
      </c>
      <c r="E3688" t="s">
        <v>216</v>
      </c>
      <c r="F3688" t="s">
        <v>244</v>
      </c>
      <c r="G3688" s="39">
        <v>45996</v>
      </c>
      <c r="J3688" t="s">
        <v>982</v>
      </c>
    </row>
    <row r="3689" spans="1:10" x14ac:dyDescent="0.35">
      <c r="A3689">
        <v>18390</v>
      </c>
      <c r="B3689" t="s">
        <v>78</v>
      </c>
      <c r="C3689" t="s">
        <v>697</v>
      </c>
      <c r="D3689" t="s">
        <v>92</v>
      </c>
      <c r="E3689" t="s">
        <v>216</v>
      </c>
      <c r="F3689" t="s">
        <v>244</v>
      </c>
      <c r="G3689" s="39">
        <v>46119</v>
      </c>
      <c r="J3689" t="s">
        <v>982</v>
      </c>
    </row>
    <row r="3690" spans="1:10" x14ac:dyDescent="0.35">
      <c r="A3690">
        <v>18856</v>
      </c>
      <c r="B3690" t="s">
        <v>78</v>
      </c>
      <c r="C3690" t="s">
        <v>697</v>
      </c>
      <c r="D3690" t="s">
        <v>92</v>
      </c>
      <c r="E3690" t="s">
        <v>216</v>
      </c>
      <c r="F3690" t="s">
        <v>244</v>
      </c>
      <c r="G3690" s="39">
        <v>46224</v>
      </c>
      <c r="J3690" t="s">
        <v>982</v>
      </c>
    </row>
    <row r="3691" spans="1:10" x14ac:dyDescent="0.35">
      <c r="A3691">
        <v>18618</v>
      </c>
      <c r="B3691" t="s">
        <v>78</v>
      </c>
      <c r="C3691" t="s">
        <v>92</v>
      </c>
      <c r="D3691" t="s">
        <v>92</v>
      </c>
      <c r="E3691" t="s">
        <v>216</v>
      </c>
      <c r="F3691" t="s">
        <v>244</v>
      </c>
      <c r="G3691" s="39">
        <v>46174</v>
      </c>
      <c r="J3691" t="s">
        <v>982</v>
      </c>
    </row>
    <row r="3692" spans="1:10" x14ac:dyDescent="0.35">
      <c r="A3692">
        <v>19129</v>
      </c>
      <c r="B3692" t="s">
        <v>78</v>
      </c>
      <c r="C3692" t="s">
        <v>92</v>
      </c>
      <c r="D3692" t="s">
        <v>92</v>
      </c>
      <c r="E3692" t="s">
        <v>216</v>
      </c>
      <c r="F3692" t="s">
        <v>244</v>
      </c>
      <c r="G3692" s="39">
        <v>46268</v>
      </c>
      <c r="H3692" t="s">
        <v>250</v>
      </c>
      <c r="J3692" t="s">
        <v>982</v>
      </c>
    </row>
    <row r="3693" spans="1:10" x14ac:dyDescent="0.35">
      <c r="A3693">
        <v>19205</v>
      </c>
      <c r="B3693" t="s">
        <v>78</v>
      </c>
      <c r="C3693" t="s">
        <v>92</v>
      </c>
      <c r="D3693" t="s">
        <v>92</v>
      </c>
      <c r="E3693" t="s">
        <v>216</v>
      </c>
      <c r="F3693" t="s">
        <v>244</v>
      </c>
      <c r="G3693" s="39">
        <v>46276</v>
      </c>
      <c r="H3693" t="s">
        <v>250</v>
      </c>
      <c r="J3693" t="s">
        <v>982</v>
      </c>
    </row>
    <row r="3694" spans="1:10" x14ac:dyDescent="0.35">
      <c r="A3694">
        <v>19240</v>
      </c>
      <c r="B3694" t="s">
        <v>78</v>
      </c>
      <c r="C3694" t="s">
        <v>1070</v>
      </c>
      <c r="D3694" t="s">
        <v>92</v>
      </c>
      <c r="E3694" t="s">
        <v>216</v>
      </c>
      <c r="F3694" t="s">
        <v>244</v>
      </c>
      <c r="G3694" s="39">
        <v>46281</v>
      </c>
      <c r="H3694" t="s">
        <v>249</v>
      </c>
      <c r="J3694" t="s">
        <v>982</v>
      </c>
    </row>
    <row r="3695" spans="1:10" x14ac:dyDescent="0.35">
      <c r="A3695">
        <v>19241</v>
      </c>
      <c r="B3695" t="s">
        <v>78</v>
      </c>
      <c r="C3695" t="s">
        <v>1071</v>
      </c>
      <c r="D3695" t="s">
        <v>92</v>
      </c>
      <c r="E3695" t="s">
        <v>216</v>
      </c>
      <c r="F3695" t="s">
        <v>244</v>
      </c>
      <c r="G3695" s="39">
        <v>46281</v>
      </c>
      <c r="H3695" t="s">
        <v>249</v>
      </c>
      <c r="J3695" t="s">
        <v>982</v>
      </c>
    </row>
    <row r="3696" spans="1:10" x14ac:dyDescent="0.35">
      <c r="A3696">
        <v>19242</v>
      </c>
      <c r="B3696" t="s">
        <v>78</v>
      </c>
      <c r="C3696" t="s">
        <v>1070</v>
      </c>
      <c r="D3696" t="s">
        <v>92</v>
      </c>
      <c r="E3696" t="s">
        <v>216</v>
      </c>
      <c r="F3696" t="s">
        <v>244</v>
      </c>
      <c r="G3696" s="39">
        <v>46281</v>
      </c>
      <c r="H3696" t="s">
        <v>249</v>
      </c>
      <c r="J3696" t="s">
        <v>982</v>
      </c>
    </row>
    <row r="3697" spans="1:10" x14ac:dyDescent="0.35">
      <c r="A3697">
        <v>19243</v>
      </c>
      <c r="B3697" t="s">
        <v>78</v>
      </c>
      <c r="C3697" t="s">
        <v>1071</v>
      </c>
      <c r="D3697" t="s">
        <v>92</v>
      </c>
      <c r="E3697" t="s">
        <v>216</v>
      </c>
      <c r="F3697" t="s">
        <v>244</v>
      </c>
      <c r="G3697" s="39">
        <v>46281</v>
      </c>
      <c r="H3697" t="s">
        <v>249</v>
      </c>
      <c r="J3697" t="s">
        <v>982</v>
      </c>
    </row>
    <row r="3698" spans="1:10" x14ac:dyDescent="0.35">
      <c r="A3698">
        <v>19244</v>
      </c>
      <c r="B3698" t="s">
        <v>78</v>
      </c>
      <c r="C3698" t="s">
        <v>1070</v>
      </c>
      <c r="D3698" t="s">
        <v>92</v>
      </c>
      <c r="E3698" t="s">
        <v>216</v>
      </c>
      <c r="F3698" t="s">
        <v>244</v>
      </c>
      <c r="G3698" s="39">
        <v>46281</v>
      </c>
      <c r="H3698" t="s">
        <v>249</v>
      </c>
      <c r="J3698" t="s">
        <v>982</v>
      </c>
    </row>
    <row r="3699" spans="1:10" x14ac:dyDescent="0.35">
      <c r="A3699">
        <v>19245</v>
      </c>
      <c r="B3699" t="s">
        <v>78</v>
      </c>
      <c r="C3699" t="s">
        <v>1070</v>
      </c>
      <c r="D3699" t="s">
        <v>92</v>
      </c>
      <c r="E3699" t="s">
        <v>216</v>
      </c>
      <c r="F3699" t="s">
        <v>244</v>
      </c>
      <c r="G3699" s="39">
        <v>46281</v>
      </c>
      <c r="H3699" t="s">
        <v>249</v>
      </c>
      <c r="J3699" t="s">
        <v>982</v>
      </c>
    </row>
    <row r="3700" spans="1:10" x14ac:dyDescent="0.35">
      <c r="A3700">
        <v>10902</v>
      </c>
      <c r="B3700" t="s">
        <v>78</v>
      </c>
      <c r="C3700" t="s">
        <v>217</v>
      </c>
      <c r="D3700" t="s">
        <v>92</v>
      </c>
      <c r="E3700" t="s">
        <v>218</v>
      </c>
      <c r="F3700" t="s">
        <v>244</v>
      </c>
      <c r="G3700" s="39">
        <v>42101</v>
      </c>
      <c r="J3700" t="s">
        <v>982</v>
      </c>
    </row>
    <row r="3701" spans="1:10" x14ac:dyDescent="0.35">
      <c r="A3701">
        <v>12040</v>
      </c>
      <c r="B3701" t="s">
        <v>78</v>
      </c>
      <c r="C3701" t="s">
        <v>217</v>
      </c>
      <c r="D3701" t="s">
        <v>92</v>
      </c>
      <c r="E3701" t="s">
        <v>218</v>
      </c>
      <c r="F3701" t="s">
        <v>244</v>
      </c>
      <c r="G3701" s="39">
        <v>43410</v>
      </c>
      <c r="J3701" t="s">
        <v>982</v>
      </c>
    </row>
    <row r="3702" spans="1:10" x14ac:dyDescent="0.35">
      <c r="A3702">
        <v>19014</v>
      </c>
      <c r="B3702" t="s">
        <v>78</v>
      </c>
      <c r="C3702" t="s">
        <v>217</v>
      </c>
      <c r="D3702" t="s">
        <v>92</v>
      </c>
      <c r="E3702" t="s">
        <v>218</v>
      </c>
      <c r="F3702" t="s">
        <v>244</v>
      </c>
      <c r="G3702" s="39">
        <v>46254</v>
      </c>
      <c r="H3702" t="s">
        <v>249</v>
      </c>
      <c r="J3702" t="s">
        <v>982</v>
      </c>
    </row>
    <row r="3703" spans="1:10" x14ac:dyDescent="0.35">
      <c r="A3703">
        <v>17785</v>
      </c>
      <c r="B3703" t="s">
        <v>78</v>
      </c>
      <c r="C3703" t="s">
        <v>217</v>
      </c>
      <c r="D3703" t="s">
        <v>92</v>
      </c>
      <c r="E3703" t="s">
        <v>218</v>
      </c>
      <c r="F3703" t="s">
        <v>244</v>
      </c>
      <c r="G3703" s="39">
        <v>45880</v>
      </c>
      <c r="J3703" t="s">
        <v>982</v>
      </c>
    </row>
    <row r="3704" spans="1:10" x14ac:dyDescent="0.35">
      <c r="A3704">
        <v>12837</v>
      </c>
      <c r="B3704" t="s">
        <v>73</v>
      </c>
      <c r="C3704" t="s">
        <v>92</v>
      </c>
      <c r="D3704" t="s">
        <v>92</v>
      </c>
      <c r="E3704" t="s">
        <v>383</v>
      </c>
      <c r="F3704" t="s">
        <v>244</v>
      </c>
      <c r="G3704" s="39">
        <v>44007</v>
      </c>
      <c r="J3704" t="s">
        <v>982</v>
      </c>
    </row>
    <row r="3705" spans="1:10" x14ac:dyDescent="0.35">
      <c r="A3705">
        <v>15853</v>
      </c>
      <c r="B3705" t="s">
        <v>73</v>
      </c>
      <c r="C3705" t="s">
        <v>92</v>
      </c>
      <c r="D3705" t="s">
        <v>92</v>
      </c>
      <c r="E3705" t="s">
        <v>126</v>
      </c>
      <c r="F3705" t="s">
        <v>244</v>
      </c>
      <c r="G3705" s="39">
        <v>45217</v>
      </c>
      <c r="J3705" t="s">
        <v>982</v>
      </c>
    </row>
    <row r="3706" spans="1:10" x14ac:dyDescent="0.35">
      <c r="A3706">
        <v>15676</v>
      </c>
      <c r="B3706" t="s">
        <v>73</v>
      </c>
      <c r="C3706" t="s">
        <v>219</v>
      </c>
      <c r="D3706" t="s">
        <v>92</v>
      </c>
      <c r="E3706" t="s">
        <v>637</v>
      </c>
      <c r="F3706" t="s">
        <v>244</v>
      </c>
      <c r="G3706" s="39">
        <v>45162</v>
      </c>
      <c r="J3706" t="s">
        <v>982</v>
      </c>
    </row>
    <row r="3707" spans="1:10" x14ac:dyDescent="0.35">
      <c r="A3707">
        <v>17510</v>
      </c>
      <c r="B3707" t="s">
        <v>73</v>
      </c>
      <c r="C3707" t="s">
        <v>219</v>
      </c>
      <c r="D3707" t="s">
        <v>92</v>
      </c>
      <c r="E3707" t="s">
        <v>220</v>
      </c>
      <c r="F3707" t="s">
        <v>244</v>
      </c>
      <c r="G3707" s="39">
        <v>45783</v>
      </c>
      <c r="J3707" t="s">
        <v>982</v>
      </c>
    </row>
    <row r="3708" spans="1:10" x14ac:dyDescent="0.35">
      <c r="A3708">
        <v>18997</v>
      </c>
      <c r="B3708" t="s">
        <v>73</v>
      </c>
      <c r="C3708" t="s">
        <v>219</v>
      </c>
      <c r="D3708" t="s">
        <v>92</v>
      </c>
      <c r="E3708" t="s">
        <v>220</v>
      </c>
      <c r="F3708" t="s">
        <v>244</v>
      </c>
      <c r="G3708" s="39">
        <v>46252</v>
      </c>
      <c r="H3708" t="s">
        <v>249</v>
      </c>
      <c r="J3708" t="s">
        <v>982</v>
      </c>
    </row>
    <row r="3709" spans="1:10" x14ac:dyDescent="0.35">
      <c r="A3709">
        <v>10744</v>
      </c>
      <c r="B3709" t="s">
        <v>73</v>
      </c>
      <c r="C3709" t="s">
        <v>221</v>
      </c>
      <c r="D3709" t="s">
        <v>92</v>
      </c>
      <c r="E3709" t="s">
        <v>186</v>
      </c>
      <c r="F3709" t="s">
        <v>244</v>
      </c>
      <c r="G3709" s="39">
        <v>41808</v>
      </c>
      <c r="J3709" t="s">
        <v>982</v>
      </c>
    </row>
    <row r="3710" spans="1:10" x14ac:dyDescent="0.35">
      <c r="A3710">
        <v>12936</v>
      </c>
      <c r="B3710" t="s">
        <v>73</v>
      </c>
      <c r="C3710" t="s">
        <v>221</v>
      </c>
      <c r="D3710" t="s">
        <v>92</v>
      </c>
      <c r="E3710" t="s">
        <v>222</v>
      </c>
      <c r="F3710" t="s">
        <v>244</v>
      </c>
      <c r="G3710" s="39">
        <v>44124</v>
      </c>
      <c r="J3710" t="s">
        <v>982</v>
      </c>
    </row>
    <row r="3711" spans="1:10" x14ac:dyDescent="0.35">
      <c r="A3711">
        <v>13137</v>
      </c>
      <c r="B3711" t="s">
        <v>73</v>
      </c>
      <c r="C3711" t="s">
        <v>221</v>
      </c>
      <c r="D3711" t="s">
        <v>92</v>
      </c>
      <c r="E3711" t="s">
        <v>222</v>
      </c>
      <c r="F3711" t="s">
        <v>244</v>
      </c>
      <c r="G3711" s="39">
        <v>44287</v>
      </c>
      <c r="J3711" t="s">
        <v>982</v>
      </c>
    </row>
    <row r="3712" spans="1:10" x14ac:dyDescent="0.35">
      <c r="A3712">
        <v>17458</v>
      </c>
      <c r="B3712" t="s">
        <v>73</v>
      </c>
      <c r="C3712" t="s">
        <v>221</v>
      </c>
      <c r="D3712" t="s">
        <v>92</v>
      </c>
      <c r="E3712" t="s">
        <v>222</v>
      </c>
      <c r="F3712" t="s">
        <v>244</v>
      </c>
      <c r="G3712" s="39">
        <v>45756</v>
      </c>
      <c r="J3712" t="s">
        <v>982</v>
      </c>
    </row>
    <row r="3713" spans="1:10" x14ac:dyDescent="0.35">
      <c r="A3713">
        <v>17126</v>
      </c>
      <c r="B3713" t="s">
        <v>73</v>
      </c>
      <c r="C3713" t="s">
        <v>221</v>
      </c>
      <c r="D3713" t="s">
        <v>92</v>
      </c>
      <c r="E3713" t="s">
        <v>222</v>
      </c>
      <c r="F3713" t="s">
        <v>244</v>
      </c>
      <c r="G3713" s="39">
        <v>45642</v>
      </c>
      <c r="J3713" t="s">
        <v>982</v>
      </c>
    </row>
    <row r="3714" spans="1:10" x14ac:dyDescent="0.35">
      <c r="A3714">
        <v>11139</v>
      </c>
      <c r="B3714" t="s">
        <v>73</v>
      </c>
      <c r="C3714" t="s">
        <v>221</v>
      </c>
      <c r="D3714" t="s">
        <v>92</v>
      </c>
      <c r="E3714" t="s">
        <v>222</v>
      </c>
      <c r="F3714" t="s">
        <v>244</v>
      </c>
      <c r="G3714" s="39">
        <v>42313</v>
      </c>
      <c r="J3714" t="s">
        <v>982</v>
      </c>
    </row>
    <row r="3715" spans="1:10" x14ac:dyDescent="0.35">
      <c r="A3715">
        <v>15683</v>
      </c>
      <c r="B3715" t="s">
        <v>73</v>
      </c>
      <c r="C3715" t="s">
        <v>221</v>
      </c>
      <c r="D3715" t="s">
        <v>92</v>
      </c>
      <c r="E3715" t="s">
        <v>222</v>
      </c>
      <c r="F3715" t="s">
        <v>244</v>
      </c>
      <c r="G3715" s="39">
        <v>45163</v>
      </c>
      <c r="J3715" t="s">
        <v>982</v>
      </c>
    </row>
    <row r="3716" spans="1:10" x14ac:dyDescent="0.35">
      <c r="A3716">
        <v>18547</v>
      </c>
      <c r="B3716" t="s">
        <v>73</v>
      </c>
      <c r="C3716" t="s">
        <v>221</v>
      </c>
      <c r="D3716" t="s">
        <v>92</v>
      </c>
      <c r="E3716" t="s">
        <v>222</v>
      </c>
      <c r="F3716" t="s">
        <v>244</v>
      </c>
      <c r="G3716" s="39">
        <v>46150</v>
      </c>
      <c r="J3716" t="s">
        <v>982</v>
      </c>
    </row>
    <row r="3717" spans="1:10" x14ac:dyDescent="0.35">
      <c r="A3717">
        <v>14487</v>
      </c>
      <c r="B3717" t="s">
        <v>73</v>
      </c>
      <c r="C3717" t="s">
        <v>221</v>
      </c>
      <c r="D3717" t="s">
        <v>92</v>
      </c>
      <c r="E3717" t="s">
        <v>222</v>
      </c>
      <c r="F3717" t="s">
        <v>244</v>
      </c>
      <c r="G3717" s="39">
        <v>44774</v>
      </c>
      <c r="J3717" t="s">
        <v>982</v>
      </c>
    </row>
    <row r="3718" spans="1:10" x14ac:dyDescent="0.35">
      <c r="A3718">
        <v>18921</v>
      </c>
      <c r="B3718" t="s">
        <v>73</v>
      </c>
      <c r="C3718" t="s">
        <v>221</v>
      </c>
      <c r="D3718" t="s">
        <v>92</v>
      </c>
      <c r="E3718" t="s">
        <v>222</v>
      </c>
      <c r="F3718" t="s">
        <v>244</v>
      </c>
      <c r="G3718" s="39">
        <v>46238</v>
      </c>
      <c r="H3718" t="s">
        <v>249</v>
      </c>
      <c r="J3718" t="s">
        <v>982</v>
      </c>
    </row>
    <row r="3719" spans="1:10" x14ac:dyDescent="0.35">
      <c r="A3719">
        <v>18943</v>
      </c>
      <c r="B3719" t="s">
        <v>73</v>
      </c>
      <c r="C3719" t="s">
        <v>221</v>
      </c>
      <c r="D3719" t="s">
        <v>92</v>
      </c>
      <c r="E3719" t="s">
        <v>222</v>
      </c>
      <c r="F3719" t="s">
        <v>244</v>
      </c>
      <c r="G3719" s="39">
        <v>46241</v>
      </c>
      <c r="H3719" t="s">
        <v>57</v>
      </c>
      <c r="J3719" t="s">
        <v>982</v>
      </c>
    </row>
    <row r="3720" spans="1:10" x14ac:dyDescent="0.35">
      <c r="A3720">
        <v>120021</v>
      </c>
      <c r="B3720" t="s">
        <v>73</v>
      </c>
      <c r="C3720" t="s">
        <v>221</v>
      </c>
      <c r="D3720" t="s">
        <v>92</v>
      </c>
      <c r="E3720" t="s">
        <v>222</v>
      </c>
      <c r="F3720" t="s">
        <v>244</v>
      </c>
      <c r="G3720" s="39">
        <v>41507</v>
      </c>
      <c r="J3720" t="s">
        <v>982</v>
      </c>
    </row>
    <row r="3721" spans="1:10" x14ac:dyDescent="0.35">
      <c r="A3721">
        <v>12403</v>
      </c>
      <c r="B3721" t="s">
        <v>73</v>
      </c>
      <c r="C3721" t="s">
        <v>221</v>
      </c>
      <c r="D3721" t="s">
        <v>92</v>
      </c>
      <c r="E3721" t="s">
        <v>222</v>
      </c>
      <c r="F3721" t="s">
        <v>244</v>
      </c>
      <c r="G3721" s="39">
        <v>43728</v>
      </c>
      <c r="J3721" t="s">
        <v>982</v>
      </c>
    </row>
    <row r="3722" spans="1:10" x14ac:dyDescent="0.35">
      <c r="A3722">
        <v>14179</v>
      </c>
      <c r="B3722" t="s">
        <v>73</v>
      </c>
      <c r="C3722" t="s">
        <v>221</v>
      </c>
      <c r="D3722" t="s">
        <v>92</v>
      </c>
      <c r="E3722" t="s">
        <v>222</v>
      </c>
      <c r="F3722" t="s">
        <v>244</v>
      </c>
      <c r="G3722" s="39">
        <v>44686</v>
      </c>
      <c r="J3722" t="s">
        <v>982</v>
      </c>
    </row>
    <row r="3723" spans="1:10" x14ac:dyDescent="0.35">
      <c r="A3723">
        <v>11809</v>
      </c>
      <c r="B3723" t="s">
        <v>73</v>
      </c>
      <c r="C3723" t="s">
        <v>223</v>
      </c>
      <c r="D3723" t="s">
        <v>92</v>
      </c>
      <c r="E3723" t="s">
        <v>96</v>
      </c>
      <c r="F3723" t="s">
        <v>244</v>
      </c>
      <c r="G3723" s="39">
        <v>43152</v>
      </c>
      <c r="J3723" t="s">
        <v>982</v>
      </c>
    </row>
    <row r="3724" spans="1:10" x14ac:dyDescent="0.35">
      <c r="A3724">
        <v>18984</v>
      </c>
      <c r="B3724" t="s">
        <v>73</v>
      </c>
      <c r="C3724" t="s">
        <v>223</v>
      </c>
      <c r="D3724" t="s">
        <v>92</v>
      </c>
      <c r="E3724" t="s">
        <v>96</v>
      </c>
      <c r="F3724" t="s">
        <v>244</v>
      </c>
      <c r="G3724" s="39">
        <v>46251</v>
      </c>
      <c r="H3724" t="s">
        <v>249</v>
      </c>
      <c r="J3724" t="s">
        <v>982</v>
      </c>
    </row>
    <row r="3725" spans="1:10" x14ac:dyDescent="0.35">
      <c r="A3725">
        <v>12768</v>
      </c>
      <c r="B3725" t="s">
        <v>73</v>
      </c>
      <c r="C3725" t="s">
        <v>223</v>
      </c>
      <c r="D3725" t="s">
        <v>92</v>
      </c>
      <c r="E3725" t="s">
        <v>224</v>
      </c>
      <c r="F3725" t="s">
        <v>244</v>
      </c>
      <c r="G3725" s="39">
        <v>43902</v>
      </c>
      <c r="J3725" t="s">
        <v>982</v>
      </c>
    </row>
    <row r="3726" spans="1:10" x14ac:dyDescent="0.35">
      <c r="A3726">
        <v>18944</v>
      </c>
      <c r="B3726" t="s">
        <v>73</v>
      </c>
      <c r="C3726" t="s">
        <v>223</v>
      </c>
      <c r="D3726" t="s">
        <v>92</v>
      </c>
      <c r="E3726" t="s">
        <v>224</v>
      </c>
      <c r="F3726" t="s">
        <v>244</v>
      </c>
      <c r="G3726" s="39">
        <v>46241</v>
      </c>
      <c r="H3726" t="s">
        <v>57</v>
      </c>
      <c r="J3726" t="s">
        <v>982</v>
      </c>
    </row>
    <row r="3727" spans="1:10" x14ac:dyDescent="0.35">
      <c r="A3727">
        <v>18949</v>
      </c>
      <c r="B3727" t="s">
        <v>73</v>
      </c>
      <c r="C3727" t="s">
        <v>223</v>
      </c>
      <c r="D3727" t="s">
        <v>92</v>
      </c>
      <c r="E3727" t="s">
        <v>224</v>
      </c>
      <c r="F3727" t="s">
        <v>244</v>
      </c>
      <c r="G3727" s="39">
        <v>46241</v>
      </c>
      <c r="H3727" t="s">
        <v>57</v>
      </c>
      <c r="J3727" t="s">
        <v>982</v>
      </c>
    </row>
    <row r="3728" spans="1:10" x14ac:dyDescent="0.35">
      <c r="A3728">
        <v>19057</v>
      </c>
      <c r="B3728" t="s">
        <v>73</v>
      </c>
      <c r="C3728" t="s">
        <v>223</v>
      </c>
      <c r="D3728" t="s">
        <v>92</v>
      </c>
      <c r="E3728" t="s">
        <v>224</v>
      </c>
      <c r="F3728" t="s">
        <v>244</v>
      </c>
      <c r="G3728" s="39">
        <v>46260</v>
      </c>
      <c r="H3728" t="s">
        <v>249</v>
      </c>
      <c r="J3728" t="s">
        <v>982</v>
      </c>
    </row>
    <row r="3729" spans="1:10" x14ac:dyDescent="0.35">
      <c r="A3729">
        <v>19093</v>
      </c>
      <c r="B3729" t="s">
        <v>73</v>
      </c>
      <c r="C3729" t="s">
        <v>223</v>
      </c>
      <c r="D3729" t="s">
        <v>92</v>
      </c>
      <c r="E3729" t="s">
        <v>224</v>
      </c>
      <c r="F3729" t="s">
        <v>244</v>
      </c>
      <c r="G3729" s="39">
        <v>46262</v>
      </c>
      <c r="H3729" t="s">
        <v>57</v>
      </c>
      <c r="J3729" t="s">
        <v>982</v>
      </c>
    </row>
    <row r="3730" spans="1:10" x14ac:dyDescent="0.35">
      <c r="A3730">
        <v>18948</v>
      </c>
      <c r="B3730" t="s">
        <v>73</v>
      </c>
      <c r="C3730" t="s">
        <v>223</v>
      </c>
      <c r="D3730" t="s">
        <v>92</v>
      </c>
      <c r="E3730" t="s">
        <v>224</v>
      </c>
      <c r="F3730" t="s">
        <v>244</v>
      </c>
      <c r="G3730" s="39">
        <v>46258</v>
      </c>
      <c r="H3730" t="s">
        <v>57</v>
      </c>
      <c r="J3730" t="s">
        <v>982</v>
      </c>
    </row>
    <row r="3731" spans="1:10" x14ac:dyDescent="0.35">
      <c r="A3731">
        <v>17870</v>
      </c>
      <c r="B3731" t="s">
        <v>73</v>
      </c>
      <c r="C3731" t="s">
        <v>223</v>
      </c>
      <c r="D3731" t="s">
        <v>92</v>
      </c>
      <c r="E3731" t="s">
        <v>224</v>
      </c>
      <c r="F3731" t="s">
        <v>244</v>
      </c>
      <c r="G3731" s="39">
        <v>45901</v>
      </c>
      <c r="J3731" t="s">
        <v>982</v>
      </c>
    </row>
    <row r="3732" spans="1:10" x14ac:dyDescent="0.35">
      <c r="A3732">
        <v>17897</v>
      </c>
      <c r="B3732" t="s">
        <v>73</v>
      </c>
      <c r="C3732" t="s">
        <v>223</v>
      </c>
      <c r="D3732" t="s">
        <v>92</v>
      </c>
      <c r="E3732" t="s">
        <v>224</v>
      </c>
      <c r="F3732" t="s">
        <v>244</v>
      </c>
      <c r="G3732" s="39">
        <v>45905</v>
      </c>
      <c r="J3732" t="s">
        <v>982</v>
      </c>
    </row>
    <row r="3733" spans="1:10" x14ac:dyDescent="0.35">
      <c r="A3733">
        <v>17930</v>
      </c>
      <c r="B3733" t="s">
        <v>73</v>
      </c>
      <c r="C3733" t="s">
        <v>223</v>
      </c>
      <c r="D3733" t="s">
        <v>92</v>
      </c>
      <c r="E3733" t="s">
        <v>224</v>
      </c>
      <c r="F3733" t="s">
        <v>244</v>
      </c>
      <c r="G3733" s="39">
        <v>45923</v>
      </c>
      <c r="J3733" t="s">
        <v>982</v>
      </c>
    </row>
    <row r="3734" spans="1:10" x14ac:dyDescent="0.35">
      <c r="A3734">
        <v>18892</v>
      </c>
      <c r="B3734" t="s">
        <v>73</v>
      </c>
      <c r="C3734" t="s">
        <v>223</v>
      </c>
      <c r="D3734" t="s">
        <v>92</v>
      </c>
      <c r="E3734" t="s">
        <v>224</v>
      </c>
      <c r="F3734" t="s">
        <v>244</v>
      </c>
      <c r="G3734" s="39">
        <v>46231</v>
      </c>
      <c r="H3734" t="s">
        <v>249</v>
      </c>
      <c r="J3734" t="s">
        <v>982</v>
      </c>
    </row>
    <row r="3735" spans="1:10" x14ac:dyDescent="0.35">
      <c r="A3735">
        <v>18894</v>
      </c>
      <c r="B3735" t="s">
        <v>73</v>
      </c>
      <c r="C3735" t="s">
        <v>223</v>
      </c>
      <c r="D3735" t="s">
        <v>92</v>
      </c>
      <c r="E3735" t="s">
        <v>224</v>
      </c>
      <c r="F3735" t="s">
        <v>244</v>
      </c>
      <c r="G3735" s="39">
        <v>46231</v>
      </c>
      <c r="H3735" t="s">
        <v>249</v>
      </c>
      <c r="J3735" t="s">
        <v>982</v>
      </c>
    </row>
    <row r="3736" spans="1:10" x14ac:dyDescent="0.35">
      <c r="A3736">
        <v>18897</v>
      </c>
      <c r="B3736" t="s">
        <v>73</v>
      </c>
      <c r="C3736" t="s">
        <v>223</v>
      </c>
      <c r="D3736" t="s">
        <v>92</v>
      </c>
      <c r="E3736" t="s">
        <v>224</v>
      </c>
      <c r="F3736" t="s">
        <v>244</v>
      </c>
      <c r="G3736" s="39">
        <v>46231</v>
      </c>
      <c r="H3736" t="s">
        <v>249</v>
      </c>
      <c r="J3736" t="s">
        <v>982</v>
      </c>
    </row>
    <row r="3737" spans="1:10" x14ac:dyDescent="0.35">
      <c r="A3737">
        <v>13156</v>
      </c>
      <c r="B3737" t="s">
        <v>73</v>
      </c>
      <c r="C3737" t="s">
        <v>223</v>
      </c>
      <c r="D3737" t="s">
        <v>92</v>
      </c>
      <c r="E3737" t="s">
        <v>224</v>
      </c>
      <c r="F3737" t="s">
        <v>244</v>
      </c>
      <c r="G3737" s="39">
        <v>44292</v>
      </c>
      <c r="J3737" t="s">
        <v>982</v>
      </c>
    </row>
    <row r="3738" spans="1:10" x14ac:dyDescent="0.35">
      <c r="A3738">
        <v>15447</v>
      </c>
      <c r="B3738" t="s">
        <v>73</v>
      </c>
      <c r="C3738" t="s">
        <v>223</v>
      </c>
      <c r="D3738" t="s">
        <v>92</v>
      </c>
      <c r="E3738" t="s">
        <v>224</v>
      </c>
      <c r="F3738" t="s">
        <v>244</v>
      </c>
      <c r="G3738" s="39">
        <v>45078</v>
      </c>
      <c r="J3738" t="s">
        <v>982</v>
      </c>
    </row>
    <row r="3739" spans="1:10" x14ac:dyDescent="0.35">
      <c r="A3739">
        <v>13272</v>
      </c>
      <c r="B3739" t="s">
        <v>73</v>
      </c>
      <c r="C3739" t="s">
        <v>223</v>
      </c>
      <c r="D3739" t="s">
        <v>92</v>
      </c>
      <c r="E3739" t="s">
        <v>224</v>
      </c>
      <c r="F3739" t="s">
        <v>244</v>
      </c>
      <c r="G3739" s="39">
        <v>44357</v>
      </c>
      <c r="J3739" t="s">
        <v>982</v>
      </c>
    </row>
    <row r="3740" spans="1:10" x14ac:dyDescent="0.35">
      <c r="A3740">
        <v>16053</v>
      </c>
      <c r="B3740" t="s">
        <v>73</v>
      </c>
      <c r="C3740" t="s">
        <v>223</v>
      </c>
      <c r="D3740" t="s">
        <v>92</v>
      </c>
      <c r="E3740" t="s">
        <v>224</v>
      </c>
      <c r="F3740" t="s">
        <v>244</v>
      </c>
      <c r="G3740" s="39">
        <v>45274</v>
      </c>
      <c r="J3740" t="s">
        <v>982</v>
      </c>
    </row>
    <row r="3741" spans="1:10" x14ac:dyDescent="0.35">
      <c r="A3741">
        <v>133007</v>
      </c>
      <c r="B3741" t="s">
        <v>73</v>
      </c>
      <c r="C3741" t="s">
        <v>223</v>
      </c>
      <c r="D3741" t="s">
        <v>92</v>
      </c>
      <c r="E3741" t="s">
        <v>224</v>
      </c>
      <c r="F3741" t="s">
        <v>244</v>
      </c>
      <c r="G3741" s="39">
        <v>42972</v>
      </c>
      <c r="J3741" t="s">
        <v>982</v>
      </c>
    </row>
    <row r="3742" spans="1:10" x14ac:dyDescent="0.35">
      <c r="A3742">
        <v>14680</v>
      </c>
      <c r="B3742" t="s">
        <v>73</v>
      </c>
      <c r="C3742" t="s">
        <v>223</v>
      </c>
      <c r="D3742" t="s">
        <v>92</v>
      </c>
      <c r="E3742" t="s">
        <v>224</v>
      </c>
      <c r="F3742" t="s">
        <v>244</v>
      </c>
      <c r="G3742" s="39">
        <v>44826</v>
      </c>
      <c r="J3742" t="s">
        <v>982</v>
      </c>
    </row>
    <row r="3743" spans="1:10" x14ac:dyDescent="0.35">
      <c r="A3743">
        <v>13459</v>
      </c>
      <c r="B3743" t="s">
        <v>73</v>
      </c>
      <c r="C3743" t="s">
        <v>223</v>
      </c>
      <c r="D3743" t="s">
        <v>92</v>
      </c>
      <c r="E3743" t="s">
        <v>224</v>
      </c>
      <c r="F3743" t="s">
        <v>244</v>
      </c>
      <c r="G3743" s="39">
        <v>44462</v>
      </c>
      <c r="J3743" t="s">
        <v>982</v>
      </c>
    </row>
    <row r="3744" spans="1:10" x14ac:dyDescent="0.35">
      <c r="A3744">
        <v>270030</v>
      </c>
      <c r="B3744" t="s">
        <v>73</v>
      </c>
      <c r="C3744" t="s">
        <v>223</v>
      </c>
      <c r="D3744" t="s">
        <v>92</v>
      </c>
      <c r="E3744" t="s">
        <v>224</v>
      </c>
      <c r="F3744" t="s">
        <v>244</v>
      </c>
      <c r="G3744" s="39">
        <v>42199</v>
      </c>
      <c r="J3744" t="s">
        <v>982</v>
      </c>
    </row>
    <row r="3745" spans="1:10" x14ac:dyDescent="0.35">
      <c r="A3745">
        <v>17662</v>
      </c>
      <c r="B3745" t="s">
        <v>73</v>
      </c>
      <c r="C3745" t="s">
        <v>225</v>
      </c>
      <c r="D3745" t="s">
        <v>92</v>
      </c>
      <c r="E3745" t="s">
        <v>226</v>
      </c>
      <c r="F3745" t="s">
        <v>244</v>
      </c>
      <c r="G3745" s="39">
        <v>45852</v>
      </c>
      <c r="J3745" t="s">
        <v>982</v>
      </c>
    </row>
    <row r="3746" spans="1:10" x14ac:dyDescent="0.35">
      <c r="A3746">
        <v>18920</v>
      </c>
      <c r="B3746" t="s">
        <v>73</v>
      </c>
      <c r="C3746" t="s">
        <v>225</v>
      </c>
      <c r="D3746" t="s">
        <v>92</v>
      </c>
      <c r="E3746" t="s">
        <v>226</v>
      </c>
      <c r="F3746" t="s">
        <v>244</v>
      </c>
      <c r="G3746" s="39">
        <v>46238</v>
      </c>
      <c r="H3746" t="s">
        <v>249</v>
      </c>
      <c r="J3746" t="s">
        <v>982</v>
      </c>
    </row>
    <row r="3747" spans="1:10" x14ac:dyDescent="0.35">
      <c r="A3747">
        <v>18922</v>
      </c>
      <c r="B3747" t="s">
        <v>73</v>
      </c>
      <c r="C3747" t="s">
        <v>225</v>
      </c>
      <c r="D3747" t="s">
        <v>92</v>
      </c>
      <c r="E3747" t="s">
        <v>226</v>
      </c>
      <c r="F3747" t="s">
        <v>244</v>
      </c>
      <c r="G3747" s="39">
        <v>46238</v>
      </c>
      <c r="H3747" t="s">
        <v>249</v>
      </c>
      <c r="J3747" t="s">
        <v>982</v>
      </c>
    </row>
    <row r="3748" spans="1:10" x14ac:dyDescent="0.35">
      <c r="A3748">
        <v>18923</v>
      </c>
      <c r="B3748" t="s">
        <v>73</v>
      </c>
      <c r="C3748" t="s">
        <v>225</v>
      </c>
      <c r="D3748" t="s">
        <v>92</v>
      </c>
      <c r="E3748" t="s">
        <v>226</v>
      </c>
      <c r="F3748" t="s">
        <v>244</v>
      </c>
      <c r="G3748" s="39">
        <v>46238</v>
      </c>
      <c r="H3748" t="s">
        <v>249</v>
      </c>
      <c r="J3748" t="s">
        <v>982</v>
      </c>
    </row>
    <row r="3749" spans="1:10" x14ac:dyDescent="0.35">
      <c r="A3749">
        <v>18924</v>
      </c>
      <c r="B3749" t="s">
        <v>73</v>
      </c>
      <c r="C3749" t="s">
        <v>225</v>
      </c>
      <c r="D3749" t="s">
        <v>92</v>
      </c>
      <c r="E3749" t="s">
        <v>226</v>
      </c>
      <c r="F3749" t="s">
        <v>244</v>
      </c>
      <c r="G3749" s="39">
        <v>46238</v>
      </c>
      <c r="H3749" t="s">
        <v>249</v>
      </c>
      <c r="J3749" t="s">
        <v>982</v>
      </c>
    </row>
    <row r="3750" spans="1:10" x14ac:dyDescent="0.35">
      <c r="A3750">
        <v>18925</v>
      </c>
      <c r="B3750" t="s">
        <v>73</v>
      </c>
      <c r="C3750" t="s">
        <v>225</v>
      </c>
      <c r="D3750" t="s">
        <v>92</v>
      </c>
      <c r="E3750" t="s">
        <v>226</v>
      </c>
      <c r="F3750" t="s">
        <v>244</v>
      </c>
      <c r="G3750" s="39">
        <v>46238</v>
      </c>
      <c r="H3750" t="s">
        <v>249</v>
      </c>
      <c r="J3750" t="s">
        <v>982</v>
      </c>
    </row>
    <row r="3751" spans="1:10" x14ac:dyDescent="0.35">
      <c r="A3751">
        <v>18929</v>
      </c>
      <c r="B3751" t="s">
        <v>73</v>
      </c>
      <c r="C3751" t="s">
        <v>225</v>
      </c>
      <c r="D3751" t="s">
        <v>92</v>
      </c>
      <c r="E3751" t="s">
        <v>226</v>
      </c>
      <c r="F3751" t="s">
        <v>244</v>
      </c>
      <c r="G3751" s="39">
        <v>46239</v>
      </c>
      <c r="H3751" t="s">
        <v>249</v>
      </c>
      <c r="J3751" t="s">
        <v>982</v>
      </c>
    </row>
    <row r="3752" spans="1:10" x14ac:dyDescent="0.35">
      <c r="A3752">
        <v>18930</v>
      </c>
      <c r="B3752" t="s">
        <v>73</v>
      </c>
      <c r="C3752" t="s">
        <v>225</v>
      </c>
      <c r="D3752" t="s">
        <v>92</v>
      </c>
      <c r="E3752" t="s">
        <v>226</v>
      </c>
      <c r="F3752" t="s">
        <v>244</v>
      </c>
      <c r="G3752" s="39">
        <v>46239</v>
      </c>
      <c r="H3752" t="s">
        <v>249</v>
      </c>
      <c r="J3752" t="s">
        <v>982</v>
      </c>
    </row>
    <row r="3753" spans="1:10" x14ac:dyDescent="0.35">
      <c r="A3753">
        <v>18945</v>
      </c>
      <c r="B3753" t="s">
        <v>73</v>
      </c>
      <c r="C3753" t="s">
        <v>225</v>
      </c>
      <c r="D3753" t="s">
        <v>92</v>
      </c>
      <c r="E3753" t="s">
        <v>226</v>
      </c>
      <c r="F3753" t="s">
        <v>244</v>
      </c>
      <c r="G3753" s="39">
        <v>46241</v>
      </c>
      <c r="H3753" t="s">
        <v>57</v>
      </c>
      <c r="J3753" t="s">
        <v>982</v>
      </c>
    </row>
    <row r="3754" spans="1:10" x14ac:dyDescent="0.35">
      <c r="A3754">
        <v>18946</v>
      </c>
      <c r="B3754" t="s">
        <v>73</v>
      </c>
      <c r="C3754" t="s">
        <v>225</v>
      </c>
      <c r="D3754" t="s">
        <v>92</v>
      </c>
      <c r="E3754" t="s">
        <v>226</v>
      </c>
      <c r="F3754" t="s">
        <v>244</v>
      </c>
      <c r="G3754" s="39">
        <v>46241</v>
      </c>
      <c r="H3754" t="s">
        <v>57</v>
      </c>
      <c r="J3754" t="s">
        <v>982</v>
      </c>
    </row>
    <row r="3755" spans="1:10" x14ac:dyDescent="0.35">
      <c r="A3755">
        <v>18947</v>
      </c>
      <c r="B3755" t="s">
        <v>73</v>
      </c>
      <c r="C3755" t="s">
        <v>225</v>
      </c>
      <c r="D3755" t="s">
        <v>92</v>
      </c>
      <c r="E3755" t="s">
        <v>226</v>
      </c>
      <c r="F3755" t="s">
        <v>244</v>
      </c>
      <c r="G3755" s="39">
        <v>46241</v>
      </c>
      <c r="H3755" t="s">
        <v>57</v>
      </c>
      <c r="J3755" t="s">
        <v>982</v>
      </c>
    </row>
    <row r="3756" spans="1:10" x14ac:dyDescent="0.35">
      <c r="A3756">
        <v>18969</v>
      </c>
      <c r="B3756" t="s">
        <v>73</v>
      </c>
      <c r="C3756" t="s">
        <v>225</v>
      </c>
      <c r="D3756" t="s">
        <v>92</v>
      </c>
      <c r="E3756" t="s">
        <v>226</v>
      </c>
      <c r="F3756" t="s">
        <v>244</v>
      </c>
      <c r="G3756" s="39">
        <v>46247</v>
      </c>
      <c r="H3756" t="s">
        <v>249</v>
      </c>
      <c r="J3756" t="s">
        <v>982</v>
      </c>
    </row>
    <row r="3757" spans="1:10" x14ac:dyDescent="0.35">
      <c r="A3757">
        <v>19056</v>
      </c>
      <c r="B3757" t="s">
        <v>73</v>
      </c>
      <c r="C3757" t="s">
        <v>225</v>
      </c>
      <c r="D3757" t="s">
        <v>92</v>
      </c>
      <c r="E3757" t="s">
        <v>226</v>
      </c>
      <c r="F3757" t="s">
        <v>244</v>
      </c>
      <c r="G3757" s="39">
        <v>46260</v>
      </c>
      <c r="H3757" t="s">
        <v>249</v>
      </c>
      <c r="J3757" t="s">
        <v>982</v>
      </c>
    </row>
    <row r="3758" spans="1:10" x14ac:dyDescent="0.35">
      <c r="A3758">
        <v>18893</v>
      </c>
      <c r="B3758" t="s">
        <v>73</v>
      </c>
      <c r="C3758" t="s">
        <v>225</v>
      </c>
      <c r="D3758" t="s">
        <v>92</v>
      </c>
      <c r="E3758" t="s">
        <v>227</v>
      </c>
      <c r="F3758" t="s">
        <v>244</v>
      </c>
      <c r="G3758" s="39">
        <v>46231</v>
      </c>
      <c r="H3758" t="s">
        <v>249</v>
      </c>
      <c r="J3758" t="s">
        <v>982</v>
      </c>
    </row>
    <row r="3759" spans="1:10" x14ac:dyDescent="0.35">
      <c r="A3759">
        <v>18895</v>
      </c>
      <c r="B3759" t="s">
        <v>73</v>
      </c>
      <c r="C3759" t="s">
        <v>225</v>
      </c>
      <c r="D3759" t="s">
        <v>92</v>
      </c>
      <c r="E3759" t="s">
        <v>226</v>
      </c>
      <c r="F3759" t="s">
        <v>244</v>
      </c>
      <c r="G3759" s="39">
        <v>46231</v>
      </c>
      <c r="H3759" t="s">
        <v>249</v>
      </c>
      <c r="J3759" t="s">
        <v>982</v>
      </c>
    </row>
    <row r="3760" spans="1:10" x14ac:dyDescent="0.35">
      <c r="A3760">
        <v>18896</v>
      </c>
      <c r="B3760" t="s">
        <v>73</v>
      </c>
      <c r="C3760" t="s">
        <v>225</v>
      </c>
      <c r="D3760" t="s">
        <v>92</v>
      </c>
      <c r="E3760" t="s">
        <v>226</v>
      </c>
      <c r="F3760" t="s">
        <v>244</v>
      </c>
      <c r="G3760" s="39">
        <v>46231</v>
      </c>
      <c r="H3760" t="s">
        <v>249</v>
      </c>
      <c r="J3760" t="s">
        <v>982</v>
      </c>
    </row>
    <row r="3761" spans="1:10" x14ac:dyDescent="0.35">
      <c r="A3761">
        <v>14989</v>
      </c>
      <c r="B3761" t="s">
        <v>73</v>
      </c>
      <c r="C3761" t="s">
        <v>225</v>
      </c>
      <c r="D3761" t="s">
        <v>92</v>
      </c>
      <c r="E3761" t="s">
        <v>226</v>
      </c>
      <c r="F3761" t="s">
        <v>244</v>
      </c>
      <c r="G3761" s="39">
        <v>44908</v>
      </c>
      <c r="J3761" t="s">
        <v>982</v>
      </c>
    </row>
    <row r="3762" spans="1:10" x14ac:dyDescent="0.35">
      <c r="A3762">
        <v>16302</v>
      </c>
      <c r="B3762" t="s">
        <v>73</v>
      </c>
      <c r="C3762" t="s">
        <v>225</v>
      </c>
      <c r="D3762" t="s">
        <v>92</v>
      </c>
      <c r="E3762" t="s">
        <v>226</v>
      </c>
      <c r="F3762" t="s">
        <v>244</v>
      </c>
      <c r="G3762" s="39">
        <v>45357</v>
      </c>
      <c r="J3762" t="s">
        <v>982</v>
      </c>
    </row>
    <row r="3763" spans="1:10" x14ac:dyDescent="0.35">
      <c r="A3763">
        <v>14620</v>
      </c>
      <c r="B3763" t="s">
        <v>73</v>
      </c>
      <c r="C3763" t="s">
        <v>225</v>
      </c>
      <c r="D3763" t="s">
        <v>92</v>
      </c>
      <c r="E3763" t="s">
        <v>637</v>
      </c>
      <c r="F3763" t="s">
        <v>244</v>
      </c>
      <c r="G3763" s="39">
        <v>44809</v>
      </c>
      <c r="J3763" t="s">
        <v>982</v>
      </c>
    </row>
    <row r="3764" spans="1:10" x14ac:dyDescent="0.35">
      <c r="A3764">
        <v>14056</v>
      </c>
      <c r="B3764" t="s">
        <v>73</v>
      </c>
      <c r="C3764" t="s">
        <v>92</v>
      </c>
      <c r="D3764" t="s">
        <v>92</v>
      </c>
      <c r="E3764" t="s">
        <v>126</v>
      </c>
      <c r="F3764" t="s">
        <v>244</v>
      </c>
      <c r="G3764" s="39">
        <v>44638</v>
      </c>
      <c r="J3764" t="s">
        <v>982</v>
      </c>
    </row>
    <row r="3765" spans="1:10" x14ac:dyDescent="0.35">
      <c r="A3765">
        <v>17451</v>
      </c>
      <c r="B3765" t="s">
        <v>73</v>
      </c>
      <c r="C3765" t="s">
        <v>225</v>
      </c>
      <c r="D3765" t="s">
        <v>92</v>
      </c>
      <c r="E3765" t="s">
        <v>227</v>
      </c>
      <c r="F3765" t="s">
        <v>244</v>
      </c>
      <c r="G3765" s="39">
        <v>45756</v>
      </c>
      <c r="J3765" t="s">
        <v>982</v>
      </c>
    </row>
    <row r="3766" spans="1:10" x14ac:dyDescent="0.35">
      <c r="A3766">
        <v>18914</v>
      </c>
      <c r="B3766" t="s">
        <v>73</v>
      </c>
      <c r="C3766" t="s">
        <v>225</v>
      </c>
      <c r="D3766" t="s">
        <v>92</v>
      </c>
      <c r="E3766" t="s">
        <v>227</v>
      </c>
      <c r="F3766" t="s">
        <v>244</v>
      </c>
      <c r="G3766" s="39">
        <v>46237</v>
      </c>
      <c r="H3766" t="s">
        <v>249</v>
      </c>
      <c r="J3766" t="s">
        <v>982</v>
      </c>
    </row>
    <row r="3767" spans="1:10" x14ac:dyDescent="0.35">
      <c r="A3767">
        <v>18942</v>
      </c>
      <c r="B3767" t="s">
        <v>73</v>
      </c>
      <c r="C3767" t="s">
        <v>225</v>
      </c>
      <c r="D3767" t="s">
        <v>92</v>
      </c>
      <c r="E3767" t="s">
        <v>227</v>
      </c>
      <c r="F3767" t="s">
        <v>244</v>
      </c>
      <c r="G3767" s="39">
        <v>46241</v>
      </c>
      <c r="H3767" t="s">
        <v>57</v>
      </c>
      <c r="J3767" t="s">
        <v>982</v>
      </c>
    </row>
    <row r="3768" spans="1:10" x14ac:dyDescent="0.35">
      <c r="A3768">
        <v>18950</v>
      </c>
      <c r="B3768" t="s">
        <v>73</v>
      </c>
      <c r="C3768" t="s">
        <v>225</v>
      </c>
      <c r="D3768" t="s">
        <v>92</v>
      </c>
      <c r="E3768" t="s">
        <v>227</v>
      </c>
      <c r="F3768" t="s">
        <v>244</v>
      </c>
      <c r="G3768" s="39">
        <v>46241</v>
      </c>
      <c r="H3768" t="s">
        <v>57</v>
      </c>
      <c r="J3768" t="s">
        <v>982</v>
      </c>
    </row>
    <row r="3769" spans="1:10" x14ac:dyDescent="0.35">
      <c r="A3769">
        <v>18951</v>
      </c>
      <c r="B3769" t="s">
        <v>73</v>
      </c>
      <c r="C3769" t="s">
        <v>225</v>
      </c>
      <c r="D3769" t="s">
        <v>92</v>
      </c>
      <c r="E3769" t="s">
        <v>227</v>
      </c>
      <c r="F3769" t="s">
        <v>244</v>
      </c>
      <c r="G3769" s="39">
        <v>46241</v>
      </c>
      <c r="H3769" t="s">
        <v>57</v>
      </c>
      <c r="J3769" t="s">
        <v>982</v>
      </c>
    </row>
    <row r="3770" spans="1:10" x14ac:dyDescent="0.35">
      <c r="A3770">
        <v>19105</v>
      </c>
      <c r="B3770" t="s">
        <v>73</v>
      </c>
      <c r="C3770" t="s">
        <v>225</v>
      </c>
      <c r="D3770" t="s">
        <v>92</v>
      </c>
      <c r="E3770" t="s">
        <v>227</v>
      </c>
      <c r="F3770" t="s">
        <v>244</v>
      </c>
      <c r="G3770" s="39">
        <v>46266</v>
      </c>
      <c r="H3770" t="s">
        <v>249</v>
      </c>
      <c r="J3770" t="s">
        <v>982</v>
      </c>
    </row>
    <row r="3771" spans="1:10" x14ac:dyDescent="0.35">
      <c r="A3771">
        <v>18952</v>
      </c>
      <c r="B3771" t="s">
        <v>73</v>
      </c>
      <c r="C3771" t="s">
        <v>225</v>
      </c>
      <c r="D3771" t="s">
        <v>92</v>
      </c>
      <c r="E3771" t="s">
        <v>227</v>
      </c>
      <c r="F3771" t="s">
        <v>244</v>
      </c>
      <c r="G3771" s="39">
        <v>46241</v>
      </c>
      <c r="H3771" t="s">
        <v>57</v>
      </c>
      <c r="J3771" t="s">
        <v>982</v>
      </c>
    </row>
    <row r="3772" spans="1:10" x14ac:dyDescent="0.35">
      <c r="A3772">
        <v>18953</v>
      </c>
      <c r="B3772" t="s">
        <v>73</v>
      </c>
      <c r="C3772" t="s">
        <v>225</v>
      </c>
      <c r="D3772" t="s">
        <v>92</v>
      </c>
      <c r="E3772" t="s">
        <v>227</v>
      </c>
      <c r="F3772" t="s">
        <v>244</v>
      </c>
      <c r="G3772" s="39">
        <v>46241</v>
      </c>
      <c r="H3772" t="s">
        <v>57</v>
      </c>
      <c r="J3772" t="s">
        <v>982</v>
      </c>
    </row>
    <row r="3773" spans="1:10" x14ac:dyDescent="0.35">
      <c r="A3773">
        <v>18968</v>
      </c>
      <c r="B3773" t="s">
        <v>73</v>
      </c>
      <c r="C3773" t="s">
        <v>225</v>
      </c>
      <c r="D3773" t="s">
        <v>92</v>
      </c>
      <c r="E3773" t="s">
        <v>227</v>
      </c>
      <c r="F3773" t="s">
        <v>244</v>
      </c>
      <c r="G3773" s="39">
        <v>46247</v>
      </c>
      <c r="H3773" t="s">
        <v>249</v>
      </c>
      <c r="J3773" t="s">
        <v>982</v>
      </c>
    </row>
    <row r="3774" spans="1:10" x14ac:dyDescent="0.35">
      <c r="A3774">
        <v>15069</v>
      </c>
      <c r="B3774" t="s">
        <v>73</v>
      </c>
      <c r="C3774" t="s">
        <v>225</v>
      </c>
      <c r="D3774" t="s">
        <v>92</v>
      </c>
      <c r="E3774" t="s">
        <v>226</v>
      </c>
      <c r="F3774" t="s">
        <v>244</v>
      </c>
      <c r="G3774" s="39">
        <v>44939</v>
      </c>
      <c r="J3774" t="s">
        <v>982</v>
      </c>
    </row>
    <row r="3775" spans="1:10" x14ac:dyDescent="0.35">
      <c r="A3775">
        <v>17980</v>
      </c>
      <c r="B3775" t="s">
        <v>73</v>
      </c>
      <c r="C3775" t="s">
        <v>225</v>
      </c>
      <c r="D3775" t="s">
        <v>92</v>
      </c>
      <c r="E3775" t="s">
        <v>227</v>
      </c>
      <c r="F3775" t="s">
        <v>244</v>
      </c>
      <c r="G3775" s="39">
        <v>45947</v>
      </c>
      <c r="J3775" t="s">
        <v>982</v>
      </c>
    </row>
    <row r="3776" spans="1:10" x14ac:dyDescent="0.35">
      <c r="A3776">
        <v>15734</v>
      </c>
      <c r="B3776" t="s">
        <v>73</v>
      </c>
      <c r="C3776" t="s">
        <v>225</v>
      </c>
      <c r="D3776" t="s">
        <v>92</v>
      </c>
      <c r="E3776" t="s">
        <v>227</v>
      </c>
      <c r="F3776" t="s">
        <v>244</v>
      </c>
      <c r="G3776" s="39">
        <v>45177</v>
      </c>
      <c r="J3776" t="s">
        <v>982</v>
      </c>
    </row>
    <row r="3777" spans="1:10" x14ac:dyDescent="0.35">
      <c r="A3777">
        <v>14601</v>
      </c>
      <c r="B3777" t="s">
        <v>73</v>
      </c>
      <c r="C3777" t="s">
        <v>225</v>
      </c>
      <c r="D3777" t="s">
        <v>92</v>
      </c>
      <c r="E3777" t="s">
        <v>227</v>
      </c>
      <c r="F3777" t="s">
        <v>244</v>
      </c>
      <c r="G3777" s="39">
        <v>44795</v>
      </c>
      <c r="J3777" t="s">
        <v>982</v>
      </c>
    </row>
    <row r="3778" spans="1:10" x14ac:dyDescent="0.35">
      <c r="A3778">
        <v>18077</v>
      </c>
      <c r="B3778" t="s">
        <v>73</v>
      </c>
      <c r="C3778" t="s">
        <v>225</v>
      </c>
      <c r="D3778" t="s">
        <v>92</v>
      </c>
      <c r="E3778" t="s">
        <v>227</v>
      </c>
      <c r="F3778" t="s">
        <v>244</v>
      </c>
      <c r="G3778" s="39">
        <v>45986</v>
      </c>
      <c r="J3778" t="s">
        <v>982</v>
      </c>
    </row>
    <row r="3779" spans="1:10" x14ac:dyDescent="0.35">
      <c r="A3779">
        <v>16122</v>
      </c>
      <c r="B3779" t="s">
        <v>73</v>
      </c>
      <c r="C3779" t="s">
        <v>225</v>
      </c>
      <c r="D3779" t="s">
        <v>92</v>
      </c>
      <c r="E3779" t="s">
        <v>227</v>
      </c>
      <c r="F3779" t="s">
        <v>244</v>
      </c>
      <c r="G3779" s="39">
        <v>45287</v>
      </c>
      <c r="J3779" t="s">
        <v>982</v>
      </c>
    </row>
    <row r="3780" spans="1:10" x14ac:dyDescent="0.35">
      <c r="A3780">
        <v>16133</v>
      </c>
      <c r="B3780" t="s">
        <v>73</v>
      </c>
      <c r="C3780" t="s">
        <v>225</v>
      </c>
      <c r="D3780" t="s">
        <v>92</v>
      </c>
      <c r="E3780" t="s">
        <v>227</v>
      </c>
      <c r="F3780" t="s">
        <v>244</v>
      </c>
      <c r="G3780" s="39">
        <v>45300</v>
      </c>
      <c r="J3780" t="s">
        <v>982</v>
      </c>
    </row>
    <row r="3781" spans="1:10" x14ac:dyDescent="0.35">
      <c r="A3781">
        <v>16137</v>
      </c>
      <c r="B3781" t="s">
        <v>73</v>
      </c>
      <c r="C3781" t="s">
        <v>225</v>
      </c>
      <c r="D3781" t="s">
        <v>92</v>
      </c>
      <c r="E3781" t="s">
        <v>227</v>
      </c>
      <c r="F3781" t="s">
        <v>244</v>
      </c>
      <c r="G3781" s="39">
        <v>45301</v>
      </c>
      <c r="J3781" t="s">
        <v>982</v>
      </c>
    </row>
    <row r="3782" spans="1:10" x14ac:dyDescent="0.35">
      <c r="A3782">
        <v>16573</v>
      </c>
      <c r="B3782" t="s">
        <v>73</v>
      </c>
      <c r="C3782" t="s">
        <v>225</v>
      </c>
      <c r="D3782" t="s">
        <v>92</v>
      </c>
      <c r="E3782" t="s">
        <v>227</v>
      </c>
      <c r="F3782" t="s">
        <v>244</v>
      </c>
      <c r="G3782" s="39">
        <v>45474</v>
      </c>
      <c r="J3782" t="s">
        <v>982</v>
      </c>
    </row>
    <row r="3783" spans="1:10" x14ac:dyDescent="0.35">
      <c r="A3783">
        <v>16959</v>
      </c>
      <c r="B3783" t="s">
        <v>73</v>
      </c>
      <c r="C3783" t="s">
        <v>225</v>
      </c>
      <c r="D3783" t="s">
        <v>92</v>
      </c>
      <c r="E3783" t="s">
        <v>227</v>
      </c>
      <c r="F3783" t="s">
        <v>244</v>
      </c>
      <c r="G3783" s="39">
        <v>45576</v>
      </c>
      <c r="J3783" t="s">
        <v>982</v>
      </c>
    </row>
    <row r="3784" spans="1:10" x14ac:dyDescent="0.35">
      <c r="A3784">
        <v>12291</v>
      </c>
      <c r="B3784" t="s">
        <v>73</v>
      </c>
      <c r="C3784" t="s">
        <v>225</v>
      </c>
      <c r="D3784" t="s">
        <v>92</v>
      </c>
      <c r="E3784" t="s">
        <v>227</v>
      </c>
      <c r="F3784" t="s">
        <v>244</v>
      </c>
      <c r="G3784" s="39">
        <v>43670</v>
      </c>
      <c r="J3784" t="s">
        <v>982</v>
      </c>
    </row>
    <row r="3785" spans="1:10" x14ac:dyDescent="0.35">
      <c r="A3785">
        <v>17759</v>
      </c>
      <c r="B3785" t="s">
        <v>73</v>
      </c>
      <c r="C3785" t="s">
        <v>225</v>
      </c>
      <c r="D3785" t="s">
        <v>92</v>
      </c>
      <c r="E3785" t="s">
        <v>227</v>
      </c>
      <c r="F3785" t="s">
        <v>244</v>
      </c>
      <c r="G3785" s="39">
        <v>45866</v>
      </c>
      <c r="J3785" t="s">
        <v>982</v>
      </c>
    </row>
    <row r="3786" spans="1:10" x14ac:dyDescent="0.35">
      <c r="A3786">
        <v>14294</v>
      </c>
      <c r="B3786" t="s">
        <v>73</v>
      </c>
      <c r="C3786" t="s">
        <v>225</v>
      </c>
      <c r="D3786" t="s">
        <v>92</v>
      </c>
      <c r="E3786" t="s">
        <v>699</v>
      </c>
      <c r="F3786" t="s">
        <v>244</v>
      </c>
      <c r="G3786" s="39">
        <v>44726</v>
      </c>
      <c r="J3786" t="s">
        <v>982</v>
      </c>
    </row>
    <row r="3787" spans="1:10" x14ac:dyDescent="0.35">
      <c r="A3787">
        <v>16905</v>
      </c>
      <c r="B3787" t="s">
        <v>73</v>
      </c>
      <c r="C3787" t="s">
        <v>223</v>
      </c>
      <c r="D3787" t="s">
        <v>92</v>
      </c>
      <c r="E3787" t="s">
        <v>224</v>
      </c>
      <c r="F3787" t="s">
        <v>244</v>
      </c>
      <c r="G3787" s="39">
        <v>45566</v>
      </c>
      <c r="J3787" t="s">
        <v>982</v>
      </c>
    </row>
    <row r="3788" spans="1:10" x14ac:dyDescent="0.35">
      <c r="A3788">
        <v>16908</v>
      </c>
      <c r="B3788" t="s">
        <v>73</v>
      </c>
      <c r="C3788" t="s">
        <v>225</v>
      </c>
      <c r="D3788" t="s">
        <v>92</v>
      </c>
      <c r="E3788" t="s">
        <v>227</v>
      </c>
      <c r="F3788" t="s">
        <v>244</v>
      </c>
      <c r="G3788" s="39">
        <v>45566</v>
      </c>
      <c r="J3788" t="s">
        <v>982</v>
      </c>
    </row>
    <row r="3789" spans="1:10" x14ac:dyDescent="0.35">
      <c r="A3789">
        <v>16915</v>
      </c>
      <c r="B3789" t="s">
        <v>73</v>
      </c>
      <c r="C3789" t="s">
        <v>223</v>
      </c>
      <c r="D3789" t="s">
        <v>92</v>
      </c>
      <c r="E3789" t="s">
        <v>224</v>
      </c>
      <c r="F3789" t="s">
        <v>245</v>
      </c>
      <c r="G3789" s="39">
        <v>45566</v>
      </c>
      <c r="J3789" t="s">
        <v>982</v>
      </c>
    </row>
    <row r="3790" spans="1:10" x14ac:dyDescent="0.35">
      <c r="A3790">
        <v>16917</v>
      </c>
      <c r="B3790" t="s">
        <v>73</v>
      </c>
      <c r="C3790" t="s">
        <v>223</v>
      </c>
      <c r="D3790" t="s">
        <v>92</v>
      </c>
      <c r="E3790" t="s">
        <v>224</v>
      </c>
      <c r="F3790" t="s">
        <v>244</v>
      </c>
      <c r="G3790" s="39">
        <v>45566</v>
      </c>
      <c r="J3790" t="s">
        <v>982</v>
      </c>
    </row>
    <row r="3791" spans="1:10" x14ac:dyDescent="0.35">
      <c r="A3791">
        <v>15996</v>
      </c>
      <c r="B3791" t="s">
        <v>3</v>
      </c>
      <c r="C3791" t="s">
        <v>92</v>
      </c>
      <c r="D3791" t="s">
        <v>92</v>
      </c>
      <c r="E3791" t="s">
        <v>157</v>
      </c>
      <c r="F3791" t="s">
        <v>244</v>
      </c>
      <c r="G3791" s="39">
        <v>45257</v>
      </c>
      <c r="J3791" t="s">
        <v>982</v>
      </c>
    </row>
    <row r="3792" spans="1:10" x14ac:dyDescent="0.35">
      <c r="A3792">
        <v>11213</v>
      </c>
      <c r="B3792" t="s">
        <v>6</v>
      </c>
      <c r="C3792" t="s">
        <v>599</v>
      </c>
      <c r="D3792" t="s">
        <v>92</v>
      </c>
      <c r="E3792" t="s">
        <v>98</v>
      </c>
      <c r="F3792" t="s">
        <v>244</v>
      </c>
      <c r="G3792" s="39">
        <v>42405</v>
      </c>
      <c r="J3792" t="s">
        <v>982</v>
      </c>
    </row>
    <row r="3793" spans="1:10" x14ac:dyDescent="0.35">
      <c r="A3793">
        <v>18672</v>
      </c>
      <c r="B3793" t="s">
        <v>6</v>
      </c>
      <c r="C3793" t="s">
        <v>92</v>
      </c>
      <c r="D3793" t="s">
        <v>92</v>
      </c>
      <c r="E3793" t="s">
        <v>157</v>
      </c>
      <c r="F3793" t="s">
        <v>244</v>
      </c>
      <c r="G3793" s="39">
        <v>46184</v>
      </c>
      <c r="H3793" t="s">
        <v>249</v>
      </c>
      <c r="J3793" t="s">
        <v>982</v>
      </c>
    </row>
    <row r="3794" spans="1:10" x14ac:dyDescent="0.35">
      <c r="A3794">
        <v>12102</v>
      </c>
      <c r="B3794" t="s">
        <v>3</v>
      </c>
      <c r="C3794" t="s">
        <v>603</v>
      </c>
      <c r="D3794" t="s">
        <v>92</v>
      </c>
      <c r="E3794" t="s">
        <v>98</v>
      </c>
      <c r="F3794" t="s">
        <v>244</v>
      </c>
      <c r="G3794" s="39">
        <v>43474</v>
      </c>
      <c r="J3794" t="s">
        <v>982</v>
      </c>
    </row>
    <row r="3795" spans="1:10" x14ac:dyDescent="0.35">
      <c r="A3795">
        <v>17937</v>
      </c>
      <c r="B3795" t="s">
        <v>3</v>
      </c>
      <c r="C3795" t="s">
        <v>598</v>
      </c>
      <c r="D3795" t="s">
        <v>92</v>
      </c>
      <c r="E3795" t="s">
        <v>98</v>
      </c>
      <c r="F3795" t="s">
        <v>244</v>
      </c>
      <c r="G3795" s="39">
        <v>45931</v>
      </c>
      <c r="J3795" t="s">
        <v>982</v>
      </c>
    </row>
    <row r="3796" spans="1:10" x14ac:dyDescent="0.35">
      <c r="A3796">
        <v>16142</v>
      </c>
      <c r="B3796" t="s">
        <v>38</v>
      </c>
      <c r="C3796" t="s">
        <v>92</v>
      </c>
      <c r="D3796" t="s">
        <v>92</v>
      </c>
      <c r="E3796" t="s">
        <v>383</v>
      </c>
      <c r="F3796" t="s">
        <v>244</v>
      </c>
      <c r="G3796" s="39">
        <v>45301</v>
      </c>
      <c r="J3796" t="s">
        <v>982</v>
      </c>
    </row>
    <row r="3797" spans="1:10" x14ac:dyDescent="0.35">
      <c r="A3797">
        <v>14013</v>
      </c>
      <c r="B3797" t="s">
        <v>38</v>
      </c>
      <c r="C3797" t="s">
        <v>700</v>
      </c>
      <c r="D3797" t="s">
        <v>92</v>
      </c>
      <c r="E3797" t="s">
        <v>637</v>
      </c>
      <c r="F3797" t="s">
        <v>244</v>
      </c>
      <c r="G3797" s="39">
        <v>44624</v>
      </c>
      <c r="J3797" t="s">
        <v>982</v>
      </c>
    </row>
    <row r="3798" spans="1:10" x14ac:dyDescent="0.35">
      <c r="A3798">
        <v>14509</v>
      </c>
      <c r="B3798" t="s">
        <v>38</v>
      </c>
      <c r="C3798" t="s">
        <v>700</v>
      </c>
      <c r="D3798" t="s">
        <v>92</v>
      </c>
      <c r="E3798" t="s">
        <v>701</v>
      </c>
      <c r="F3798" t="s">
        <v>244</v>
      </c>
      <c r="G3798" s="39">
        <v>44777</v>
      </c>
      <c r="J3798" t="s">
        <v>982</v>
      </c>
    </row>
    <row r="3799" spans="1:10" x14ac:dyDescent="0.35">
      <c r="A3799">
        <v>14411</v>
      </c>
      <c r="B3799" t="s">
        <v>38</v>
      </c>
      <c r="C3799" t="s">
        <v>700</v>
      </c>
      <c r="D3799" t="s">
        <v>92</v>
      </c>
      <c r="E3799" t="s">
        <v>702</v>
      </c>
      <c r="F3799" t="s">
        <v>244</v>
      </c>
      <c r="G3799" s="39">
        <v>44788</v>
      </c>
      <c r="J3799" t="s">
        <v>982</v>
      </c>
    </row>
    <row r="3800" spans="1:10" x14ac:dyDescent="0.35">
      <c r="A3800">
        <v>13174</v>
      </c>
      <c r="B3800" t="s">
        <v>38</v>
      </c>
      <c r="C3800" t="s">
        <v>700</v>
      </c>
      <c r="D3800" t="s">
        <v>92</v>
      </c>
      <c r="E3800" t="s">
        <v>703</v>
      </c>
      <c r="F3800" t="s">
        <v>244</v>
      </c>
      <c r="G3800" s="39">
        <v>44302</v>
      </c>
      <c r="J3800" t="s">
        <v>982</v>
      </c>
    </row>
    <row r="3801" spans="1:10" x14ac:dyDescent="0.35">
      <c r="A3801">
        <v>14594</v>
      </c>
      <c r="B3801" t="s">
        <v>38</v>
      </c>
      <c r="C3801" t="s">
        <v>700</v>
      </c>
      <c r="D3801" t="s">
        <v>92</v>
      </c>
      <c r="E3801" t="s">
        <v>702</v>
      </c>
      <c r="F3801" t="s">
        <v>244</v>
      </c>
      <c r="G3801" s="39">
        <v>44795</v>
      </c>
      <c r="J3801" t="s">
        <v>982</v>
      </c>
    </row>
    <row r="3802" spans="1:10" x14ac:dyDescent="0.35">
      <c r="A3802">
        <v>16352</v>
      </c>
      <c r="B3802" t="s">
        <v>38</v>
      </c>
      <c r="C3802" t="s">
        <v>704</v>
      </c>
      <c r="D3802" t="s">
        <v>92</v>
      </c>
      <c r="E3802" t="s">
        <v>637</v>
      </c>
      <c r="F3802" t="s">
        <v>244</v>
      </c>
      <c r="G3802" s="39">
        <v>45358</v>
      </c>
      <c r="J3802" t="s">
        <v>982</v>
      </c>
    </row>
    <row r="3803" spans="1:10" x14ac:dyDescent="0.35">
      <c r="A3803">
        <v>16691</v>
      </c>
      <c r="B3803" t="s">
        <v>38</v>
      </c>
      <c r="C3803" t="s">
        <v>704</v>
      </c>
      <c r="D3803" t="s">
        <v>92</v>
      </c>
      <c r="E3803" t="s">
        <v>705</v>
      </c>
      <c r="F3803" t="s">
        <v>244</v>
      </c>
      <c r="G3803" s="39">
        <v>45526</v>
      </c>
      <c r="J3803" t="s">
        <v>982</v>
      </c>
    </row>
    <row r="3804" spans="1:10" x14ac:dyDescent="0.35">
      <c r="A3804">
        <v>11154</v>
      </c>
      <c r="B3804" t="s">
        <v>38</v>
      </c>
      <c r="C3804" t="s">
        <v>592</v>
      </c>
      <c r="D3804" t="s">
        <v>92</v>
      </c>
      <c r="E3804" t="s">
        <v>637</v>
      </c>
      <c r="F3804" t="s">
        <v>244</v>
      </c>
      <c r="G3804" s="39">
        <v>42326</v>
      </c>
      <c r="J3804" t="s">
        <v>982</v>
      </c>
    </row>
    <row r="3805" spans="1:10" x14ac:dyDescent="0.35">
      <c r="A3805">
        <v>14562</v>
      </c>
      <c r="B3805" t="s">
        <v>38</v>
      </c>
      <c r="C3805" t="s">
        <v>592</v>
      </c>
      <c r="D3805" t="s">
        <v>92</v>
      </c>
      <c r="E3805" t="s">
        <v>706</v>
      </c>
      <c r="F3805" t="s">
        <v>244</v>
      </c>
      <c r="G3805" s="39">
        <v>44788</v>
      </c>
      <c r="J3805" t="s">
        <v>982</v>
      </c>
    </row>
    <row r="3806" spans="1:10" x14ac:dyDescent="0.35">
      <c r="A3806">
        <v>17346</v>
      </c>
      <c r="B3806" t="s">
        <v>38</v>
      </c>
      <c r="C3806" t="s">
        <v>592</v>
      </c>
      <c r="D3806" t="s">
        <v>92</v>
      </c>
      <c r="E3806" t="s">
        <v>707</v>
      </c>
      <c r="F3806" t="s">
        <v>244</v>
      </c>
      <c r="G3806" s="39">
        <v>45720</v>
      </c>
      <c r="J3806" t="s">
        <v>982</v>
      </c>
    </row>
    <row r="3807" spans="1:10" x14ac:dyDescent="0.35">
      <c r="A3807">
        <v>18976</v>
      </c>
      <c r="B3807" t="s">
        <v>38</v>
      </c>
      <c r="C3807" t="s">
        <v>592</v>
      </c>
      <c r="D3807" t="s">
        <v>92</v>
      </c>
      <c r="E3807" t="s">
        <v>708</v>
      </c>
      <c r="F3807" t="s">
        <v>244</v>
      </c>
      <c r="G3807" s="39">
        <v>46254</v>
      </c>
      <c r="J3807" t="s">
        <v>982</v>
      </c>
    </row>
    <row r="3808" spans="1:10" x14ac:dyDescent="0.35">
      <c r="A3808">
        <v>12098</v>
      </c>
      <c r="B3808" t="s">
        <v>13</v>
      </c>
      <c r="C3808" t="s">
        <v>709</v>
      </c>
      <c r="D3808" t="s">
        <v>92</v>
      </c>
      <c r="E3808" t="s">
        <v>99</v>
      </c>
      <c r="F3808" t="s">
        <v>244</v>
      </c>
      <c r="G3808" s="39">
        <v>43472</v>
      </c>
      <c r="J3808" t="s">
        <v>982</v>
      </c>
    </row>
    <row r="3809" spans="1:10" x14ac:dyDescent="0.35">
      <c r="A3809">
        <v>12766</v>
      </c>
      <c r="B3809" t="s">
        <v>13</v>
      </c>
      <c r="C3809" t="s">
        <v>709</v>
      </c>
      <c r="D3809" t="s">
        <v>92</v>
      </c>
      <c r="E3809" t="s">
        <v>109</v>
      </c>
      <c r="F3809" t="s">
        <v>244</v>
      </c>
      <c r="G3809" s="39">
        <v>43902</v>
      </c>
      <c r="J3809" t="s">
        <v>982</v>
      </c>
    </row>
    <row r="3810" spans="1:10" x14ac:dyDescent="0.35">
      <c r="A3810">
        <v>13102</v>
      </c>
      <c r="B3810" t="s">
        <v>13</v>
      </c>
      <c r="C3810" t="s">
        <v>228</v>
      </c>
      <c r="D3810" t="s">
        <v>92</v>
      </c>
      <c r="E3810" t="s">
        <v>102</v>
      </c>
      <c r="F3810" t="s">
        <v>244</v>
      </c>
      <c r="G3810" s="39">
        <v>44256</v>
      </c>
      <c r="J3810" t="s">
        <v>982</v>
      </c>
    </row>
    <row r="3811" spans="1:10" x14ac:dyDescent="0.35">
      <c r="A3811">
        <v>13430</v>
      </c>
      <c r="B3811" t="s">
        <v>13</v>
      </c>
      <c r="C3811" t="s">
        <v>92</v>
      </c>
      <c r="D3811" t="s">
        <v>92</v>
      </c>
      <c r="E3811" t="s">
        <v>109</v>
      </c>
      <c r="F3811" t="s">
        <v>244</v>
      </c>
      <c r="G3811" s="39">
        <v>44449</v>
      </c>
      <c r="J3811" t="s">
        <v>982</v>
      </c>
    </row>
    <row r="3812" spans="1:10" x14ac:dyDescent="0.35">
      <c r="A3812">
        <v>15895</v>
      </c>
      <c r="B3812" t="s">
        <v>13</v>
      </c>
      <c r="C3812" t="s">
        <v>92</v>
      </c>
      <c r="D3812" t="s">
        <v>92</v>
      </c>
      <c r="E3812" t="s">
        <v>103</v>
      </c>
      <c r="F3812" t="s">
        <v>244</v>
      </c>
      <c r="G3812" s="39">
        <v>45232</v>
      </c>
      <c r="J3812" t="s">
        <v>982</v>
      </c>
    </row>
    <row r="3813" spans="1:10" x14ac:dyDescent="0.35">
      <c r="A3813">
        <v>12732</v>
      </c>
      <c r="B3813" t="s">
        <v>13</v>
      </c>
      <c r="C3813" t="s">
        <v>228</v>
      </c>
      <c r="D3813" t="s">
        <v>92</v>
      </c>
      <c r="E3813" t="s">
        <v>398</v>
      </c>
      <c r="F3813" t="s">
        <v>244</v>
      </c>
      <c r="G3813" s="39">
        <v>43885</v>
      </c>
      <c r="J3813" t="s">
        <v>982</v>
      </c>
    </row>
    <row r="3814" spans="1:10" x14ac:dyDescent="0.35">
      <c r="A3814">
        <v>14247</v>
      </c>
      <c r="B3814" t="s">
        <v>13</v>
      </c>
      <c r="C3814" t="s">
        <v>228</v>
      </c>
      <c r="D3814" t="s">
        <v>92</v>
      </c>
      <c r="E3814" t="s">
        <v>398</v>
      </c>
      <c r="F3814" t="s">
        <v>244</v>
      </c>
      <c r="G3814" s="39">
        <v>44705</v>
      </c>
      <c r="J3814" t="s">
        <v>982</v>
      </c>
    </row>
    <row r="3815" spans="1:10" x14ac:dyDescent="0.35">
      <c r="A3815">
        <v>18497</v>
      </c>
      <c r="B3815" t="s">
        <v>13</v>
      </c>
      <c r="C3815" t="s">
        <v>228</v>
      </c>
      <c r="D3815" t="s">
        <v>92</v>
      </c>
      <c r="E3815" t="s">
        <v>103</v>
      </c>
      <c r="F3815" t="s">
        <v>244</v>
      </c>
      <c r="G3815" s="39">
        <v>46139</v>
      </c>
      <c r="H3815" t="s">
        <v>249</v>
      </c>
      <c r="J3815" t="s">
        <v>982</v>
      </c>
    </row>
    <row r="3816" spans="1:10" x14ac:dyDescent="0.35">
      <c r="A3816">
        <v>18498</v>
      </c>
      <c r="B3816" t="s">
        <v>13</v>
      </c>
      <c r="C3816" t="s">
        <v>228</v>
      </c>
      <c r="D3816" t="s">
        <v>92</v>
      </c>
      <c r="E3816" t="s">
        <v>103</v>
      </c>
      <c r="F3816" t="s">
        <v>244</v>
      </c>
      <c r="G3816" s="39">
        <v>46139</v>
      </c>
      <c r="H3816" t="s">
        <v>249</v>
      </c>
      <c r="J3816" t="s">
        <v>982</v>
      </c>
    </row>
    <row r="3817" spans="1:10" x14ac:dyDescent="0.35">
      <c r="A3817">
        <v>15953</v>
      </c>
      <c r="B3817" t="s">
        <v>13</v>
      </c>
      <c r="C3817" t="s">
        <v>228</v>
      </c>
      <c r="D3817" t="s">
        <v>92</v>
      </c>
      <c r="E3817" t="s">
        <v>398</v>
      </c>
      <c r="F3817" t="s">
        <v>244</v>
      </c>
      <c r="G3817" s="39">
        <v>45250</v>
      </c>
      <c r="J3817" t="s">
        <v>982</v>
      </c>
    </row>
    <row r="3818" spans="1:10" x14ac:dyDescent="0.35">
      <c r="A3818">
        <v>16056</v>
      </c>
      <c r="B3818" t="s">
        <v>13</v>
      </c>
      <c r="C3818" t="s">
        <v>228</v>
      </c>
      <c r="D3818" t="s">
        <v>92</v>
      </c>
      <c r="E3818" t="s">
        <v>398</v>
      </c>
      <c r="F3818" t="s">
        <v>244</v>
      </c>
      <c r="G3818" s="39">
        <v>45275</v>
      </c>
      <c r="J3818" t="s">
        <v>982</v>
      </c>
    </row>
    <row r="3819" spans="1:10" x14ac:dyDescent="0.35">
      <c r="A3819">
        <v>12743</v>
      </c>
      <c r="B3819" t="s">
        <v>13</v>
      </c>
      <c r="C3819" t="s">
        <v>228</v>
      </c>
      <c r="D3819" t="s">
        <v>92</v>
      </c>
      <c r="E3819" t="s">
        <v>398</v>
      </c>
      <c r="F3819" t="s">
        <v>244</v>
      </c>
      <c r="G3819" s="39">
        <v>43885</v>
      </c>
      <c r="J3819" t="s">
        <v>982</v>
      </c>
    </row>
    <row r="3820" spans="1:10" x14ac:dyDescent="0.35">
      <c r="A3820">
        <v>18135</v>
      </c>
      <c r="B3820" t="s">
        <v>13</v>
      </c>
      <c r="C3820" t="s">
        <v>709</v>
      </c>
      <c r="D3820" t="s">
        <v>92</v>
      </c>
      <c r="E3820" t="s">
        <v>106</v>
      </c>
      <c r="F3820" t="s">
        <v>244</v>
      </c>
      <c r="G3820" s="39">
        <v>46008</v>
      </c>
      <c r="J3820" t="s">
        <v>982</v>
      </c>
    </row>
    <row r="3821" spans="1:10" x14ac:dyDescent="0.35">
      <c r="A3821">
        <v>11808</v>
      </c>
      <c r="B3821" t="s">
        <v>12</v>
      </c>
      <c r="C3821" t="s">
        <v>92</v>
      </c>
      <c r="D3821" t="s">
        <v>92</v>
      </c>
      <c r="E3821" t="s">
        <v>110</v>
      </c>
      <c r="F3821" t="s">
        <v>244</v>
      </c>
      <c r="G3821" s="39">
        <v>43152</v>
      </c>
      <c r="J3821" t="s">
        <v>981</v>
      </c>
    </row>
    <row r="3822" spans="1:10" x14ac:dyDescent="0.35">
      <c r="A3822">
        <v>10957</v>
      </c>
      <c r="B3822" t="s">
        <v>12</v>
      </c>
      <c r="C3822" t="s">
        <v>229</v>
      </c>
      <c r="D3822" t="s">
        <v>92</v>
      </c>
      <c r="E3822" t="s">
        <v>101</v>
      </c>
      <c r="F3822" t="s">
        <v>244</v>
      </c>
      <c r="G3822" s="39">
        <v>42186</v>
      </c>
      <c r="J3822" t="s">
        <v>981</v>
      </c>
    </row>
    <row r="3823" spans="1:10" x14ac:dyDescent="0.35">
      <c r="A3823">
        <v>16889</v>
      </c>
      <c r="B3823" t="s">
        <v>12</v>
      </c>
      <c r="C3823" t="s">
        <v>229</v>
      </c>
      <c r="D3823" t="s">
        <v>92</v>
      </c>
      <c r="E3823" t="s">
        <v>99</v>
      </c>
      <c r="F3823" t="s">
        <v>411</v>
      </c>
      <c r="G3823" s="39">
        <v>45566</v>
      </c>
      <c r="J3823" t="s">
        <v>981</v>
      </c>
    </row>
    <row r="3824" spans="1:10" x14ac:dyDescent="0.35">
      <c r="A3824">
        <v>15395</v>
      </c>
      <c r="B3824" t="s">
        <v>12</v>
      </c>
      <c r="C3824" t="s">
        <v>158</v>
      </c>
      <c r="D3824" t="s">
        <v>160</v>
      </c>
      <c r="E3824" t="s">
        <v>99</v>
      </c>
      <c r="F3824" t="s">
        <v>244</v>
      </c>
      <c r="G3824" s="39">
        <v>45069</v>
      </c>
      <c r="J3824" t="s">
        <v>981</v>
      </c>
    </row>
    <row r="3825" spans="1:10" x14ac:dyDescent="0.35">
      <c r="A3825">
        <v>17288</v>
      </c>
      <c r="B3825" t="s">
        <v>12</v>
      </c>
      <c r="C3825" t="s">
        <v>229</v>
      </c>
      <c r="D3825" t="s">
        <v>92</v>
      </c>
      <c r="E3825" t="s">
        <v>109</v>
      </c>
      <c r="F3825" t="s">
        <v>244</v>
      </c>
      <c r="G3825" s="39">
        <v>45695</v>
      </c>
      <c r="J3825" t="s">
        <v>981</v>
      </c>
    </row>
    <row r="3826" spans="1:10" x14ac:dyDescent="0.35">
      <c r="A3826">
        <v>18761</v>
      </c>
      <c r="B3826" t="s">
        <v>12</v>
      </c>
      <c r="C3826" t="s">
        <v>229</v>
      </c>
      <c r="D3826" t="s">
        <v>92</v>
      </c>
      <c r="E3826" t="s">
        <v>109</v>
      </c>
      <c r="F3826" t="s">
        <v>244</v>
      </c>
      <c r="G3826" s="39">
        <v>46204</v>
      </c>
      <c r="H3826" t="s">
        <v>248</v>
      </c>
      <c r="J3826" t="s">
        <v>981</v>
      </c>
    </row>
    <row r="3827" spans="1:10" x14ac:dyDescent="0.35">
      <c r="A3827">
        <v>12259</v>
      </c>
      <c r="B3827" t="s">
        <v>12</v>
      </c>
      <c r="C3827" t="s">
        <v>229</v>
      </c>
      <c r="D3827" t="s">
        <v>92</v>
      </c>
      <c r="E3827" t="s">
        <v>109</v>
      </c>
      <c r="F3827" t="s">
        <v>244</v>
      </c>
      <c r="G3827" s="39">
        <v>43648</v>
      </c>
      <c r="J3827" t="s">
        <v>981</v>
      </c>
    </row>
    <row r="3828" spans="1:10" x14ac:dyDescent="0.35">
      <c r="A3828">
        <v>17291</v>
      </c>
      <c r="B3828" t="s">
        <v>12</v>
      </c>
      <c r="C3828" t="s">
        <v>229</v>
      </c>
      <c r="D3828" t="s">
        <v>92</v>
      </c>
      <c r="E3828" t="s">
        <v>102</v>
      </c>
      <c r="F3828" t="s">
        <v>244</v>
      </c>
      <c r="G3828" s="39">
        <v>45699</v>
      </c>
      <c r="J3828" t="s">
        <v>981</v>
      </c>
    </row>
    <row r="3829" spans="1:10" x14ac:dyDescent="0.35">
      <c r="A3829">
        <v>18622</v>
      </c>
      <c r="B3829" t="s">
        <v>12</v>
      </c>
      <c r="C3829" t="s">
        <v>229</v>
      </c>
      <c r="D3829" t="s">
        <v>92</v>
      </c>
      <c r="E3829" t="s">
        <v>103</v>
      </c>
      <c r="F3829" t="s">
        <v>244</v>
      </c>
      <c r="G3829" s="39">
        <v>46174</v>
      </c>
      <c r="J3829" t="s">
        <v>981</v>
      </c>
    </row>
    <row r="3830" spans="1:10" x14ac:dyDescent="0.35">
      <c r="A3830">
        <v>18444</v>
      </c>
      <c r="B3830" t="s">
        <v>12</v>
      </c>
      <c r="C3830" t="s">
        <v>229</v>
      </c>
      <c r="D3830" t="s">
        <v>92</v>
      </c>
      <c r="E3830" t="s">
        <v>106</v>
      </c>
      <c r="F3830" t="s">
        <v>244</v>
      </c>
      <c r="G3830" s="39">
        <v>46126</v>
      </c>
      <c r="H3830" t="s">
        <v>249</v>
      </c>
      <c r="J3830" t="s">
        <v>981</v>
      </c>
    </row>
    <row r="3831" spans="1:10" x14ac:dyDescent="0.35">
      <c r="A3831">
        <v>16888</v>
      </c>
      <c r="B3831" t="s">
        <v>12</v>
      </c>
      <c r="C3831" t="s">
        <v>230</v>
      </c>
      <c r="D3831" t="s">
        <v>92</v>
      </c>
      <c r="E3831" t="s">
        <v>99</v>
      </c>
      <c r="F3831" t="s">
        <v>244</v>
      </c>
      <c r="G3831" s="39">
        <v>45566</v>
      </c>
      <c r="J3831" t="s">
        <v>981</v>
      </c>
    </row>
    <row r="3832" spans="1:10" x14ac:dyDescent="0.35">
      <c r="A3832">
        <v>16896</v>
      </c>
      <c r="B3832" t="s">
        <v>12</v>
      </c>
      <c r="C3832" t="s">
        <v>229</v>
      </c>
      <c r="D3832" t="s">
        <v>92</v>
      </c>
      <c r="E3832" t="s">
        <v>102</v>
      </c>
      <c r="F3832" t="s">
        <v>244</v>
      </c>
      <c r="G3832" s="39">
        <v>45566</v>
      </c>
      <c r="J3832" t="s">
        <v>981</v>
      </c>
    </row>
    <row r="3833" spans="1:10" x14ac:dyDescent="0.35">
      <c r="A3833">
        <v>16838</v>
      </c>
      <c r="B3833" t="s">
        <v>12</v>
      </c>
      <c r="C3833" t="s">
        <v>231</v>
      </c>
      <c r="D3833" t="s">
        <v>92</v>
      </c>
      <c r="E3833" t="s">
        <v>102</v>
      </c>
      <c r="F3833" t="s">
        <v>244</v>
      </c>
      <c r="G3833" s="39">
        <v>45566</v>
      </c>
      <c r="J3833" t="s">
        <v>981</v>
      </c>
    </row>
    <row r="3834" spans="1:10" x14ac:dyDescent="0.35">
      <c r="A3834">
        <v>17205</v>
      </c>
      <c r="B3834" t="s">
        <v>12</v>
      </c>
      <c r="C3834" t="s">
        <v>232</v>
      </c>
      <c r="D3834" t="s">
        <v>92</v>
      </c>
      <c r="E3834" t="s">
        <v>103</v>
      </c>
      <c r="F3834" t="s">
        <v>244</v>
      </c>
      <c r="G3834" s="39">
        <v>45665</v>
      </c>
      <c r="J3834" t="s">
        <v>981</v>
      </c>
    </row>
    <row r="3835" spans="1:10" x14ac:dyDescent="0.35">
      <c r="A3835">
        <v>18937</v>
      </c>
      <c r="B3835" t="s">
        <v>12</v>
      </c>
      <c r="C3835" t="s">
        <v>231</v>
      </c>
      <c r="D3835" t="s">
        <v>92</v>
      </c>
      <c r="E3835" t="s">
        <v>109</v>
      </c>
      <c r="F3835" t="s">
        <v>244</v>
      </c>
      <c r="G3835" s="39">
        <v>46240</v>
      </c>
      <c r="H3835" t="s">
        <v>57</v>
      </c>
      <c r="J3835" t="s">
        <v>981</v>
      </c>
    </row>
    <row r="3836" spans="1:10" x14ac:dyDescent="0.35">
      <c r="A3836">
        <v>17293</v>
      </c>
      <c r="B3836" t="s">
        <v>12</v>
      </c>
      <c r="C3836" t="s">
        <v>231</v>
      </c>
      <c r="D3836" t="s">
        <v>92</v>
      </c>
      <c r="E3836" t="s">
        <v>103</v>
      </c>
      <c r="F3836" t="s">
        <v>244</v>
      </c>
      <c r="G3836" s="39">
        <v>45694</v>
      </c>
      <c r="J3836" t="s">
        <v>981</v>
      </c>
    </row>
    <row r="3837" spans="1:10" x14ac:dyDescent="0.35">
      <c r="A3837">
        <v>17383</v>
      </c>
      <c r="B3837" t="s">
        <v>12</v>
      </c>
      <c r="C3837" t="s">
        <v>231</v>
      </c>
      <c r="D3837" t="s">
        <v>92</v>
      </c>
      <c r="E3837" t="s">
        <v>103</v>
      </c>
      <c r="F3837" t="s">
        <v>244</v>
      </c>
      <c r="G3837" s="39">
        <v>45728</v>
      </c>
      <c r="J3837" t="s">
        <v>981</v>
      </c>
    </row>
    <row r="3838" spans="1:10" x14ac:dyDescent="0.35">
      <c r="A3838">
        <v>18736</v>
      </c>
      <c r="B3838" t="s">
        <v>12</v>
      </c>
      <c r="C3838" t="s">
        <v>231</v>
      </c>
      <c r="D3838" t="s">
        <v>92</v>
      </c>
      <c r="E3838" t="s">
        <v>103</v>
      </c>
      <c r="F3838" t="s">
        <v>244</v>
      </c>
      <c r="G3838" s="39">
        <v>46198</v>
      </c>
      <c r="J3838" t="s">
        <v>981</v>
      </c>
    </row>
    <row r="3839" spans="1:10" x14ac:dyDescent="0.35">
      <c r="A3839">
        <v>17354</v>
      </c>
      <c r="B3839" t="s">
        <v>12</v>
      </c>
      <c r="C3839" t="s">
        <v>158</v>
      </c>
      <c r="D3839" t="s">
        <v>160</v>
      </c>
      <c r="E3839" t="s">
        <v>103</v>
      </c>
      <c r="F3839" t="s">
        <v>244</v>
      </c>
      <c r="G3839" s="39">
        <v>45729</v>
      </c>
      <c r="J3839" t="s">
        <v>981</v>
      </c>
    </row>
    <row r="3840" spans="1:10" x14ac:dyDescent="0.35">
      <c r="A3840">
        <v>18457</v>
      </c>
      <c r="B3840" t="s">
        <v>12</v>
      </c>
      <c r="C3840" t="s">
        <v>158</v>
      </c>
      <c r="D3840" t="s">
        <v>160</v>
      </c>
      <c r="E3840" t="s">
        <v>103</v>
      </c>
      <c r="F3840" t="s">
        <v>244</v>
      </c>
      <c r="G3840" s="39">
        <v>46126</v>
      </c>
      <c r="H3840" t="s">
        <v>249</v>
      </c>
      <c r="J3840" t="s">
        <v>981</v>
      </c>
    </row>
    <row r="3841" spans="1:10" x14ac:dyDescent="0.35">
      <c r="A3841">
        <v>18112</v>
      </c>
      <c r="B3841" t="s">
        <v>12</v>
      </c>
      <c r="C3841" t="s">
        <v>158</v>
      </c>
      <c r="D3841" t="s">
        <v>160</v>
      </c>
      <c r="E3841" t="s">
        <v>106</v>
      </c>
      <c r="F3841" t="s">
        <v>244</v>
      </c>
      <c r="G3841" s="39">
        <v>45999</v>
      </c>
      <c r="J3841" t="s">
        <v>981</v>
      </c>
    </row>
    <row r="3842" spans="1:10" x14ac:dyDescent="0.35">
      <c r="A3842">
        <v>15921</v>
      </c>
      <c r="B3842" t="s">
        <v>12</v>
      </c>
      <c r="C3842" t="s">
        <v>231</v>
      </c>
      <c r="D3842" t="s">
        <v>92</v>
      </c>
      <c r="E3842" t="s">
        <v>106</v>
      </c>
      <c r="F3842" t="s">
        <v>244</v>
      </c>
      <c r="G3842" s="39">
        <v>45237</v>
      </c>
      <c r="J3842" t="s">
        <v>981</v>
      </c>
    </row>
    <row r="3843" spans="1:10" x14ac:dyDescent="0.35">
      <c r="A3843">
        <v>18179</v>
      </c>
      <c r="B3843" t="s">
        <v>12</v>
      </c>
      <c r="C3843" t="s">
        <v>231</v>
      </c>
      <c r="D3843" t="s">
        <v>92</v>
      </c>
      <c r="E3843" t="s">
        <v>106</v>
      </c>
      <c r="F3843" t="s">
        <v>244</v>
      </c>
      <c r="G3843" s="39">
        <v>46034</v>
      </c>
      <c r="J3843" t="s">
        <v>981</v>
      </c>
    </row>
    <row r="3844" spans="1:10" x14ac:dyDescent="0.35">
      <c r="A3844">
        <v>16911</v>
      </c>
      <c r="B3844" t="s">
        <v>12</v>
      </c>
      <c r="C3844" t="s">
        <v>158</v>
      </c>
      <c r="D3844" t="s">
        <v>92</v>
      </c>
      <c r="E3844" t="s">
        <v>99</v>
      </c>
      <c r="F3844" t="s">
        <v>244</v>
      </c>
      <c r="G3844" s="39">
        <v>45566</v>
      </c>
      <c r="J3844" t="s">
        <v>981</v>
      </c>
    </row>
    <row r="3845" spans="1:10" x14ac:dyDescent="0.35">
      <c r="A3845">
        <v>16912</v>
      </c>
      <c r="B3845" t="s">
        <v>12</v>
      </c>
      <c r="C3845" t="s">
        <v>158</v>
      </c>
      <c r="D3845" t="s">
        <v>92</v>
      </c>
      <c r="E3845" t="s">
        <v>103</v>
      </c>
      <c r="F3845" t="s">
        <v>244</v>
      </c>
      <c r="G3845" s="39">
        <v>45566</v>
      </c>
      <c r="J3845" t="s">
        <v>981</v>
      </c>
    </row>
    <row r="3846" spans="1:10" x14ac:dyDescent="0.35">
      <c r="A3846">
        <v>18440</v>
      </c>
      <c r="B3846" t="s">
        <v>12</v>
      </c>
      <c r="C3846" t="s">
        <v>158</v>
      </c>
      <c r="D3846" t="s">
        <v>159</v>
      </c>
      <c r="E3846" t="s">
        <v>99</v>
      </c>
      <c r="F3846" t="s">
        <v>244</v>
      </c>
      <c r="G3846" s="39">
        <v>46126</v>
      </c>
      <c r="H3846" t="s">
        <v>249</v>
      </c>
      <c r="J3846" t="s">
        <v>981</v>
      </c>
    </row>
    <row r="3847" spans="1:10" x14ac:dyDescent="0.35">
      <c r="A3847">
        <v>120055</v>
      </c>
      <c r="B3847" t="s">
        <v>12</v>
      </c>
      <c r="C3847" t="s">
        <v>158</v>
      </c>
      <c r="D3847" t="s">
        <v>159</v>
      </c>
      <c r="E3847" t="s">
        <v>103</v>
      </c>
      <c r="F3847" t="s">
        <v>245</v>
      </c>
      <c r="G3847" s="39">
        <v>44623</v>
      </c>
      <c r="J3847" t="s">
        <v>981</v>
      </c>
    </row>
    <row r="3848" spans="1:10" x14ac:dyDescent="0.35">
      <c r="A3848">
        <v>18455</v>
      </c>
      <c r="B3848" t="s">
        <v>12</v>
      </c>
      <c r="C3848" t="s">
        <v>158</v>
      </c>
      <c r="D3848" t="s">
        <v>159</v>
      </c>
      <c r="E3848" t="s">
        <v>103</v>
      </c>
      <c r="F3848" t="s">
        <v>244</v>
      </c>
      <c r="G3848" s="39">
        <v>46126</v>
      </c>
      <c r="H3848" t="s">
        <v>249</v>
      </c>
      <c r="J3848" t="s">
        <v>981</v>
      </c>
    </row>
    <row r="3849" spans="1:10" x14ac:dyDescent="0.35">
      <c r="A3849">
        <v>18456</v>
      </c>
      <c r="B3849" t="s">
        <v>12</v>
      </c>
      <c r="C3849" t="s">
        <v>158</v>
      </c>
      <c r="D3849" t="s">
        <v>159</v>
      </c>
      <c r="E3849" t="s">
        <v>103</v>
      </c>
      <c r="F3849" t="s">
        <v>244</v>
      </c>
      <c r="G3849" s="39">
        <v>46126</v>
      </c>
      <c r="H3849" t="s">
        <v>249</v>
      </c>
      <c r="J3849" t="s">
        <v>981</v>
      </c>
    </row>
    <row r="3850" spans="1:10" x14ac:dyDescent="0.35">
      <c r="A3850">
        <v>13218</v>
      </c>
      <c r="B3850" t="s">
        <v>12</v>
      </c>
      <c r="C3850" t="s">
        <v>158</v>
      </c>
      <c r="D3850" t="s">
        <v>92</v>
      </c>
      <c r="E3850" t="s">
        <v>99</v>
      </c>
      <c r="F3850" t="s">
        <v>244</v>
      </c>
      <c r="G3850" s="39">
        <v>44323</v>
      </c>
      <c r="J3850" t="s">
        <v>981</v>
      </c>
    </row>
    <row r="3851" spans="1:10" x14ac:dyDescent="0.35">
      <c r="A3851">
        <v>15290</v>
      </c>
      <c r="B3851" t="s">
        <v>12</v>
      </c>
      <c r="C3851" t="s">
        <v>158</v>
      </c>
      <c r="D3851" t="s">
        <v>159</v>
      </c>
      <c r="E3851" t="s">
        <v>102</v>
      </c>
      <c r="F3851" t="s">
        <v>244</v>
      </c>
      <c r="G3851" s="39">
        <v>45012</v>
      </c>
      <c r="J3851" t="s">
        <v>981</v>
      </c>
    </row>
    <row r="3852" spans="1:10" x14ac:dyDescent="0.35">
      <c r="A3852">
        <v>16318</v>
      </c>
      <c r="B3852" t="s">
        <v>12</v>
      </c>
      <c r="C3852" t="s">
        <v>158</v>
      </c>
      <c r="D3852" t="s">
        <v>160</v>
      </c>
      <c r="E3852" t="s">
        <v>103</v>
      </c>
      <c r="F3852" t="s">
        <v>244</v>
      </c>
      <c r="G3852" s="39">
        <v>45345</v>
      </c>
      <c r="J3852" t="s">
        <v>981</v>
      </c>
    </row>
    <row r="3853" spans="1:10" x14ac:dyDescent="0.35">
      <c r="A3853">
        <v>18448</v>
      </c>
      <c r="B3853" t="s">
        <v>12</v>
      </c>
      <c r="C3853" t="s">
        <v>158</v>
      </c>
      <c r="D3853" t="s">
        <v>233</v>
      </c>
      <c r="E3853" t="s">
        <v>103</v>
      </c>
      <c r="F3853" t="s">
        <v>244</v>
      </c>
      <c r="G3853" s="39">
        <v>46126</v>
      </c>
      <c r="H3853" t="s">
        <v>249</v>
      </c>
      <c r="J3853" t="s">
        <v>981</v>
      </c>
    </row>
    <row r="3854" spans="1:10" x14ac:dyDescent="0.35">
      <c r="A3854">
        <v>18446</v>
      </c>
      <c r="B3854" t="s">
        <v>12</v>
      </c>
      <c r="C3854" t="s">
        <v>158</v>
      </c>
      <c r="D3854" t="s">
        <v>233</v>
      </c>
      <c r="E3854" t="s">
        <v>102</v>
      </c>
      <c r="F3854" t="s">
        <v>244</v>
      </c>
      <c r="G3854" s="39">
        <v>46126</v>
      </c>
      <c r="H3854" t="s">
        <v>249</v>
      </c>
      <c r="J3854" t="s">
        <v>981</v>
      </c>
    </row>
    <row r="3855" spans="1:10" x14ac:dyDescent="0.35">
      <c r="A3855">
        <v>17312</v>
      </c>
      <c r="B3855" t="s">
        <v>12</v>
      </c>
      <c r="C3855" t="s">
        <v>158</v>
      </c>
      <c r="D3855" t="s">
        <v>233</v>
      </c>
      <c r="E3855" t="s">
        <v>103</v>
      </c>
      <c r="F3855" t="s">
        <v>244</v>
      </c>
      <c r="G3855" s="39">
        <v>45702</v>
      </c>
      <c r="J3855" t="s">
        <v>981</v>
      </c>
    </row>
    <row r="3856" spans="1:10" x14ac:dyDescent="0.35">
      <c r="A3856">
        <v>18451</v>
      </c>
      <c r="B3856" t="s">
        <v>12</v>
      </c>
      <c r="C3856" t="s">
        <v>158</v>
      </c>
      <c r="D3856" t="s">
        <v>233</v>
      </c>
      <c r="E3856" t="s">
        <v>103</v>
      </c>
      <c r="F3856" t="s">
        <v>244</v>
      </c>
      <c r="G3856" s="39">
        <v>46126</v>
      </c>
      <c r="H3856" t="s">
        <v>249</v>
      </c>
      <c r="J3856" t="s">
        <v>981</v>
      </c>
    </row>
    <row r="3857" spans="1:10" x14ac:dyDescent="0.35">
      <c r="A3857">
        <v>18454</v>
      </c>
      <c r="B3857" t="s">
        <v>12</v>
      </c>
      <c r="C3857" t="s">
        <v>158</v>
      </c>
      <c r="D3857" t="s">
        <v>233</v>
      </c>
      <c r="E3857" t="s">
        <v>106</v>
      </c>
      <c r="F3857" t="s">
        <v>244</v>
      </c>
      <c r="G3857" s="39">
        <v>46126</v>
      </c>
      <c r="H3857" t="s">
        <v>249</v>
      </c>
      <c r="J3857" t="s">
        <v>981</v>
      </c>
    </row>
    <row r="3858" spans="1:10" x14ac:dyDescent="0.35">
      <c r="A3858">
        <v>17404</v>
      </c>
      <c r="B3858" t="s">
        <v>12</v>
      </c>
      <c r="C3858" t="s">
        <v>158</v>
      </c>
      <c r="D3858" t="s">
        <v>92</v>
      </c>
      <c r="E3858" t="s">
        <v>103</v>
      </c>
      <c r="F3858" t="s">
        <v>244</v>
      </c>
      <c r="G3858" s="39">
        <v>45733</v>
      </c>
      <c r="J3858" t="s">
        <v>981</v>
      </c>
    </row>
    <row r="3859" spans="1:10" x14ac:dyDescent="0.35">
      <c r="A3859">
        <v>16897</v>
      </c>
      <c r="B3859" t="s">
        <v>12</v>
      </c>
      <c r="C3859" t="s">
        <v>158</v>
      </c>
      <c r="D3859" t="s">
        <v>159</v>
      </c>
      <c r="E3859" t="s">
        <v>102</v>
      </c>
      <c r="F3859" t="s">
        <v>244</v>
      </c>
      <c r="G3859" s="39">
        <v>45566</v>
      </c>
      <c r="J3859" t="s">
        <v>981</v>
      </c>
    </row>
    <row r="3860" spans="1:10" x14ac:dyDescent="0.35">
      <c r="A3860">
        <v>16902</v>
      </c>
      <c r="B3860" t="s">
        <v>12</v>
      </c>
      <c r="C3860" t="s">
        <v>158</v>
      </c>
      <c r="D3860" t="s">
        <v>233</v>
      </c>
      <c r="E3860" t="s">
        <v>103</v>
      </c>
      <c r="F3860" t="s">
        <v>244</v>
      </c>
      <c r="G3860" s="39">
        <v>45566</v>
      </c>
      <c r="J3860" t="s">
        <v>981</v>
      </c>
    </row>
    <row r="3861" spans="1:10" x14ac:dyDescent="0.35">
      <c r="A3861">
        <v>18447</v>
      </c>
      <c r="B3861" t="s">
        <v>12</v>
      </c>
      <c r="C3861" t="s">
        <v>158</v>
      </c>
      <c r="D3861" t="s">
        <v>233</v>
      </c>
      <c r="E3861" t="s">
        <v>102</v>
      </c>
      <c r="F3861" t="s">
        <v>244</v>
      </c>
      <c r="G3861" s="39">
        <v>46126</v>
      </c>
      <c r="H3861" t="s">
        <v>249</v>
      </c>
      <c r="J3861" t="s">
        <v>981</v>
      </c>
    </row>
    <row r="3862" spans="1:10" x14ac:dyDescent="0.35">
      <c r="A3862">
        <v>18449</v>
      </c>
      <c r="B3862" t="s">
        <v>12</v>
      </c>
      <c r="C3862" t="s">
        <v>158</v>
      </c>
      <c r="D3862" t="s">
        <v>233</v>
      </c>
      <c r="E3862" t="s">
        <v>102</v>
      </c>
      <c r="F3862" t="s">
        <v>244</v>
      </c>
      <c r="G3862" s="39">
        <v>46126</v>
      </c>
      <c r="H3862" t="s">
        <v>249</v>
      </c>
      <c r="J3862" t="s">
        <v>981</v>
      </c>
    </row>
    <row r="3863" spans="1:10" x14ac:dyDescent="0.35">
      <c r="A3863">
        <v>18453</v>
      </c>
      <c r="B3863" t="s">
        <v>12</v>
      </c>
      <c r="C3863" t="s">
        <v>158</v>
      </c>
      <c r="D3863" t="s">
        <v>233</v>
      </c>
      <c r="E3863" t="s">
        <v>106</v>
      </c>
      <c r="F3863" t="s">
        <v>244</v>
      </c>
      <c r="G3863" s="39">
        <v>46126</v>
      </c>
      <c r="H3863" t="s">
        <v>249</v>
      </c>
      <c r="J3863" t="s">
        <v>981</v>
      </c>
    </row>
    <row r="3864" spans="1:10" x14ac:dyDescent="0.35">
      <c r="A3864">
        <v>17803</v>
      </c>
      <c r="B3864" t="s">
        <v>12</v>
      </c>
      <c r="C3864" t="s">
        <v>158</v>
      </c>
      <c r="D3864" t="s">
        <v>92</v>
      </c>
      <c r="E3864" t="s">
        <v>103</v>
      </c>
      <c r="F3864" t="s">
        <v>244</v>
      </c>
      <c r="G3864" s="39">
        <v>45888</v>
      </c>
      <c r="J3864" t="s">
        <v>981</v>
      </c>
    </row>
    <row r="3865" spans="1:10" x14ac:dyDescent="0.35">
      <c r="A3865">
        <v>18121</v>
      </c>
      <c r="B3865" t="s">
        <v>12</v>
      </c>
      <c r="C3865" t="s">
        <v>158</v>
      </c>
      <c r="D3865" t="s">
        <v>233</v>
      </c>
      <c r="E3865" t="s">
        <v>106</v>
      </c>
      <c r="F3865" t="s">
        <v>244</v>
      </c>
      <c r="G3865" s="39">
        <v>46006</v>
      </c>
      <c r="J3865" t="s">
        <v>981</v>
      </c>
    </row>
    <row r="3866" spans="1:10" x14ac:dyDescent="0.35">
      <c r="A3866">
        <v>16901</v>
      </c>
      <c r="B3866" t="s">
        <v>7</v>
      </c>
      <c r="C3866" t="s">
        <v>522</v>
      </c>
      <c r="D3866" t="s">
        <v>92</v>
      </c>
      <c r="E3866" t="s">
        <v>103</v>
      </c>
      <c r="F3866" t="s">
        <v>244</v>
      </c>
      <c r="G3866" s="39">
        <v>45566</v>
      </c>
      <c r="J3866" t="s">
        <v>981</v>
      </c>
    </row>
    <row r="3867" spans="1:10" x14ac:dyDescent="0.35">
      <c r="A3867">
        <v>16903</v>
      </c>
      <c r="B3867" t="s">
        <v>7</v>
      </c>
      <c r="C3867" t="s">
        <v>522</v>
      </c>
      <c r="D3867" t="s">
        <v>92</v>
      </c>
      <c r="E3867" t="s">
        <v>103</v>
      </c>
      <c r="F3867" t="s">
        <v>244</v>
      </c>
      <c r="G3867" s="39">
        <v>45566</v>
      </c>
      <c r="J3867" t="s">
        <v>981</v>
      </c>
    </row>
    <row r="3868" spans="1:10" x14ac:dyDescent="0.35">
      <c r="A3868">
        <v>12545</v>
      </c>
      <c r="B3868" t="s">
        <v>12</v>
      </c>
      <c r="C3868" t="s">
        <v>92</v>
      </c>
      <c r="D3868" t="s">
        <v>92</v>
      </c>
      <c r="E3868" t="s">
        <v>100</v>
      </c>
      <c r="F3868" t="s">
        <v>244</v>
      </c>
      <c r="G3868" s="39">
        <v>43805</v>
      </c>
      <c r="J3868" t="s">
        <v>981</v>
      </c>
    </row>
    <row r="3869" spans="1:10" x14ac:dyDescent="0.35">
      <c r="A3869">
        <v>18441</v>
      </c>
      <c r="B3869" t="s">
        <v>12</v>
      </c>
      <c r="C3869" t="s">
        <v>232</v>
      </c>
      <c r="D3869" t="s">
        <v>92</v>
      </c>
      <c r="E3869" t="s">
        <v>99</v>
      </c>
      <c r="F3869" t="s">
        <v>244</v>
      </c>
      <c r="G3869" s="39">
        <v>46126</v>
      </c>
      <c r="H3869" t="s">
        <v>249</v>
      </c>
      <c r="J3869" t="s">
        <v>981</v>
      </c>
    </row>
    <row r="3870" spans="1:10" x14ac:dyDescent="0.35">
      <c r="A3870">
        <v>11873</v>
      </c>
      <c r="B3870" t="s">
        <v>12</v>
      </c>
      <c r="C3870" t="s">
        <v>231</v>
      </c>
      <c r="D3870" t="s">
        <v>92</v>
      </c>
      <c r="E3870" t="s">
        <v>99</v>
      </c>
      <c r="F3870" t="s">
        <v>244</v>
      </c>
      <c r="G3870" s="39">
        <v>43227</v>
      </c>
      <c r="J3870" t="s">
        <v>981</v>
      </c>
    </row>
    <row r="3871" spans="1:10" x14ac:dyDescent="0.35">
      <c r="A3871">
        <v>11783</v>
      </c>
      <c r="B3871" t="s">
        <v>12</v>
      </c>
      <c r="C3871" t="s">
        <v>232</v>
      </c>
      <c r="D3871" t="s">
        <v>92</v>
      </c>
      <c r="E3871" t="s">
        <v>109</v>
      </c>
      <c r="F3871" t="s">
        <v>244</v>
      </c>
      <c r="G3871" s="39">
        <v>43118</v>
      </c>
      <c r="J3871" t="s">
        <v>981</v>
      </c>
    </row>
    <row r="3872" spans="1:10" x14ac:dyDescent="0.35">
      <c r="A3872">
        <v>11171</v>
      </c>
      <c r="B3872" t="s">
        <v>12</v>
      </c>
      <c r="C3872" t="s">
        <v>232</v>
      </c>
      <c r="D3872" t="s">
        <v>92</v>
      </c>
      <c r="E3872" t="s">
        <v>109</v>
      </c>
      <c r="F3872" t="s">
        <v>244</v>
      </c>
      <c r="G3872" s="39">
        <v>42349</v>
      </c>
      <c r="J3872" t="s">
        <v>981</v>
      </c>
    </row>
    <row r="3873" spans="1:10" x14ac:dyDescent="0.35">
      <c r="A3873">
        <v>11651</v>
      </c>
      <c r="B3873" t="s">
        <v>12</v>
      </c>
      <c r="C3873" t="s">
        <v>232</v>
      </c>
      <c r="D3873" t="s">
        <v>92</v>
      </c>
      <c r="E3873" t="s">
        <v>109</v>
      </c>
      <c r="F3873" t="s">
        <v>244</v>
      </c>
      <c r="G3873" s="39">
        <v>42989</v>
      </c>
      <c r="J3873" t="s">
        <v>981</v>
      </c>
    </row>
    <row r="3874" spans="1:10" x14ac:dyDescent="0.35">
      <c r="A3874">
        <v>12228</v>
      </c>
      <c r="B3874" t="s">
        <v>12</v>
      </c>
      <c r="C3874" t="s">
        <v>232</v>
      </c>
      <c r="D3874" t="s">
        <v>92</v>
      </c>
      <c r="E3874" t="s">
        <v>99</v>
      </c>
      <c r="F3874" t="s">
        <v>244</v>
      </c>
      <c r="G3874" s="39">
        <v>43620</v>
      </c>
      <c r="J3874" t="s">
        <v>981</v>
      </c>
    </row>
    <row r="3875" spans="1:10" x14ac:dyDescent="0.35">
      <c r="A3875">
        <v>11540</v>
      </c>
      <c r="B3875" t="s">
        <v>12</v>
      </c>
      <c r="C3875" t="s">
        <v>232</v>
      </c>
      <c r="D3875" t="s">
        <v>92</v>
      </c>
      <c r="E3875" t="s">
        <v>102</v>
      </c>
      <c r="F3875" t="s">
        <v>244</v>
      </c>
      <c r="G3875" s="39">
        <v>42811</v>
      </c>
      <c r="J3875" t="s">
        <v>981</v>
      </c>
    </row>
    <row r="3876" spans="1:10" x14ac:dyDescent="0.35">
      <c r="A3876">
        <v>18465</v>
      </c>
      <c r="B3876" t="s">
        <v>12</v>
      </c>
      <c r="C3876" t="s">
        <v>232</v>
      </c>
      <c r="D3876" t="s">
        <v>92</v>
      </c>
      <c r="E3876" t="s">
        <v>102</v>
      </c>
      <c r="F3876" t="s">
        <v>244</v>
      </c>
      <c r="G3876" s="39">
        <v>46128</v>
      </c>
      <c r="H3876" t="s">
        <v>249</v>
      </c>
      <c r="J3876" t="s">
        <v>981</v>
      </c>
    </row>
    <row r="3877" spans="1:10" x14ac:dyDescent="0.35">
      <c r="A3877">
        <v>15316</v>
      </c>
      <c r="B3877" t="s">
        <v>12</v>
      </c>
      <c r="C3877" t="s">
        <v>232</v>
      </c>
      <c r="D3877" t="s">
        <v>92</v>
      </c>
      <c r="E3877" t="s">
        <v>103</v>
      </c>
      <c r="F3877" t="s">
        <v>244</v>
      </c>
      <c r="G3877" s="39">
        <v>45026</v>
      </c>
      <c r="J3877" t="s">
        <v>981</v>
      </c>
    </row>
    <row r="3878" spans="1:10" x14ac:dyDescent="0.35">
      <c r="A3878">
        <v>14922</v>
      </c>
      <c r="B3878" t="s">
        <v>12</v>
      </c>
      <c r="C3878" t="s">
        <v>231</v>
      </c>
      <c r="D3878" t="s">
        <v>710</v>
      </c>
      <c r="E3878" t="s">
        <v>103</v>
      </c>
      <c r="F3878" t="s">
        <v>244</v>
      </c>
      <c r="G3878" s="39">
        <v>44896</v>
      </c>
      <c r="J3878" t="s">
        <v>981</v>
      </c>
    </row>
    <row r="3879" spans="1:10" x14ac:dyDescent="0.35">
      <c r="A3879">
        <v>18716</v>
      </c>
      <c r="B3879" t="s">
        <v>12</v>
      </c>
      <c r="C3879" t="s">
        <v>231</v>
      </c>
      <c r="D3879" t="s">
        <v>710</v>
      </c>
      <c r="E3879" t="s">
        <v>103</v>
      </c>
      <c r="F3879" t="s">
        <v>244</v>
      </c>
      <c r="G3879" s="39">
        <v>46197</v>
      </c>
      <c r="J3879" t="s">
        <v>981</v>
      </c>
    </row>
    <row r="3880" spans="1:10" x14ac:dyDescent="0.35">
      <c r="A3880">
        <v>16732</v>
      </c>
      <c r="B3880" t="s">
        <v>12</v>
      </c>
      <c r="C3880" t="s">
        <v>232</v>
      </c>
      <c r="D3880" t="s">
        <v>92</v>
      </c>
      <c r="E3880" t="s">
        <v>103</v>
      </c>
      <c r="F3880" t="s">
        <v>244</v>
      </c>
      <c r="G3880" s="39">
        <v>45537</v>
      </c>
      <c r="J3880" t="s">
        <v>981</v>
      </c>
    </row>
    <row r="3881" spans="1:10" x14ac:dyDescent="0.35">
      <c r="A3881">
        <v>17821</v>
      </c>
      <c r="B3881" t="s">
        <v>12</v>
      </c>
      <c r="C3881" t="s">
        <v>232</v>
      </c>
      <c r="D3881" t="s">
        <v>92</v>
      </c>
      <c r="E3881" t="s">
        <v>103</v>
      </c>
      <c r="F3881" t="s">
        <v>244</v>
      </c>
      <c r="G3881" s="39">
        <v>45895</v>
      </c>
      <c r="J3881" t="s">
        <v>981</v>
      </c>
    </row>
    <row r="3882" spans="1:10" x14ac:dyDescent="0.35">
      <c r="A3882">
        <v>17793</v>
      </c>
      <c r="B3882" t="s">
        <v>12</v>
      </c>
      <c r="C3882" t="s">
        <v>232</v>
      </c>
      <c r="D3882" t="s">
        <v>92</v>
      </c>
      <c r="E3882" t="s">
        <v>103</v>
      </c>
      <c r="F3882" t="s">
        <v>244</v>
      </c>
      <c r="G3882" s="39">
        <v>45877</v>
      </c>
      <c r="J3882" t="s">
        <v>981</v>
      </c>
    </row>
    <row r="3883" spans="1:10" x14ac:dyDescent="0.35">
      <c r="A3883">
        <v>17961</v>
      </c>
      <c r="B3883" t="s">
        <v>12</v>
      </c>
      <c r="C3883" t="s">
        <v>232</v>
      </c>
      <c r="D3883" t="s">
        <v>92</v>
      </c>
      <c r="E3883" t="s">
        <v>103</v>
      </c>
      <c r="F3883" t="s">
        <v>244</v>
      </c>
      <c r="G3883" s="39">
        <v>45937</v>
      </c>
      <c r="J3883" t="s">
        <v>981</v>
      </c>
    </row>
    <row r="3884" spans="1:10" x14ac:dyDescent="0.35">
      <c r="A3884">
        <v>15265</v>
      </c>
      <c r="B3884" t="s">
        <v>12</v>
      </c>
      <c r="C3884" t="s">
        <v>232</v>
      </c>
      <c r="D3884" t="s">
        <v>92</v>
      </c>
      <c r="E3884" t="s">
        <v>103</v>
      </c>
      <c r="F3884" t="s">
        <v>244</v>
      </c>
      <c r="G3884" s="39">
        <v>45002</v>
      </c>
      <c r="J3884" t="s">
        <v>981</v>
      </c>
    </row>
    <row r="3885" spans="1:10" x14ac:dyDescent="0.35">
      <c r="A3885">
        <v>13769</v>
      </c>
      <c r="B3885" t="s">
        <v>12</v>
      </c>
      <c r="C3885" t="s">
        <v>232</v>
      </c>
      <c r="D3885" t="s">
        <v>92</v>
      </c>
      <c r="E3885" t="s">
        <v>109</v>
      </c>
      <c r="F3885" t="s">
        <v>244</v>
      </c>
      <c r="G3885" s="39">
        <v>44573</v>
      </c>
      <c r="J3885" t="s">
        <v>981</v>
      </c>
    </row>
    <row r="3886" spans="1:10" x14ac:dyDescent="0.35">
      <c r="A3886">
        <v>14263</v>
      </c>
      <c r="B3886" t="s">
        <v>12</v>
      </c>
      <c r="C3886" t="s">
        <v>232</v>
      </c>
      <c r="D3886" t="s">
        <v>92</v>
      </c>
      <c r="E3886" t="s">
        <v>102</v>
      </c>
      <c r="F3886" t="s">
        <v>244</v>
      </c>
      <c r="G3886" s="39">
        <v>44713</v>
      </c>
      <c r="J3886" t="s">
        <v>981</v>
      </c>
    </row>
    <row r="3887" spans="1:10" x14ac:dyDescent="0.35">
      <c r="A3887">
        <v>17792</v>
      </c>
      <c r="B3887" t="s">
        <v>12</v>
      </c>
      <c r="C3887" t="s">
        <v>232</v>
      </c>
      <c r="D3887" t="s">
        <v>92</v>
      </c>
      <c r="E3887" t="s">
        <v>103</v>
      </c>
      <c r="F3887" t="s">
        <v>244</v>
      </c>
      <c r="G3887" s="39">
        <v>45877</v>
      </c>
      <c r="J3887" t="s">
        <v>981</v>
      </c>
    </row>
    <row r="3888" spans="1:10" x14ac:dyDescent="0.35">
      <c r="A3888">
        <v>18459</v>
      </c>
      <c r="B3888" t="s">
        <v>12</v>
      </c>
      <c r="C3888" t="s">
        <v>232</v>
      </c>
      <c r="D3888" t="s">
        <v>92</v>
      </c>
      <c r="E3888" t="s">
        <v>102</v>
      </c>
      <c r="F3888" t="s">
        <v>245</v>
      </c>
      <c r="G3888" s="39">
        <v>46126</v>
      </c>
      <c r="H3888" t="s">
        <v>249</v>
      </c>
      <c r="J3888" t="s">
        <v>981</v>
      </c>
    </row>
    <row r="3889" spans="1:10" x14ac:dyDescent="0.35">
      <c r="A3889">
        <v>18458</v>
      </c>
      <c r="B3889" t="s">
        <v>12</v>
      </c>
      <c r="C3889" t="s">
        <v>230</v>
      </c>
      <c r="D3889" t="s">
        <v>92</v>
      </c>
      <c r="E3889" t="s">
        <v>103</v>
      </c>
      <c r="F3889" t="s">
        <v>244</v>
      </c>
      <c r="G3889" s="39">
        <v>46126</v>
      </c>
      <c r="H3889" t="s">
        <v>249</v>
      </c>
      <c r="J3889" t="s">
        <v>981</v>
      </c>
    </row>
    <row r="3890" spans="1:10" x14ac:dyDescent="0.35">
      <c r="A3890">
        <v>17843</v>
      </c>
      <c r="B3890" t="s">
        <v>12</v>
      </c>
      <c r="C3890" t="s">
        <v>230</v>
      </c>
      <c r="D3890" t="s">
        <v>92</v>
      </c>
      <c r="E3890" t="s">
        <v>101</v>
      </c>
      <c r="F3890" t="s">
        <v>244</v>
      </c>
      <c r="G3890" s="39">
        <v>45890</v>
      </c>
      <c r="J3890" t="s">
        <v>981</v>
      </c>
    </row>
    <row r="3891" spans="1:10" x14ac:dyDescent="0.35">
      <c r="A3891">
        <v>18445</v>
      </c>
      <c r="B3891" t="s">
        <v>12</v>
      </c>
      <c r="C3891" t="s">
        <v>230</v>
      </c>
      <c r="D3891" t="s">
        <v>92</v>
      </c>
      <c r="E3891" t="s">
        <v>109</v>
      </c>
      <c r="F3891" t="s">
        <v>244</v>
      </c>
      <c r="G3891" s="39">
        <v>46126</v>
      </c>
      <c r="H3891" t="s">
        <v>249</v>
      </c>
      <c r="J3891" t="s">
        <v>981</v>
      </c>
    </row>
    <row r="3892" spans="1:10" x14ac:dyDescent="0.35">
      <c r="A3892">
        <v>16894</v>
      </c>
      <c r="B3892" t="s">
        <v>12</v>
      </c>
      <c r="C3892" t="s">
        <v>230</v>
      </c>
      <c r="D3892" t="s">
        <v>92</v>
      </c>
      <c r="E3892" t="s">
        <v>102</v>
      </c>
      <c r="F3892" t="s">
        <v>244</v>
      </c>
      <c r="G3892" s="39">
        <v>45566</v>
      </c>
      <c r="J3892" t="s">
        <v>981</v>
      </c>
    </row>
    <row r="3893" spans="1:10" x14ac:dyDescent="0.35">
      <c r="A3893">
        <v>12335</v>
      </c>
      <c r="B3893" t="s">
        <v>12</v>
      </c>
      <c r="C3893" t="s">
        <v>230</v>
      </c>
      <c r="D3893" t="s">
        <v>92</v>
      </c>
      <c r="E3893" t="s">
        <v>426</v>
      </c>
      <c r="F3893" t="s">
        <v>244</v>
      </c>
      <c r="G3893" s="39">
        <v>43692</v>
      </c>
      <c r="J3893" t="s">
        <v>981</v>
      </c>
    </row>
    <row r="3894" spans="1:10" x14ac:dyDescent="0.35">
      <c r="A3894">
        <v>12118</v>
      </c>
      <c r="B3894" t="s">
        <v>12</v>
      </c>
      <c r="C3894" t="s">
        <v>231</v>
      </c>
      <c r="D3894" t="s">
        <v>710</v>
      </c>
      <c r="E3894" t="s">
        <v>426</v>
      </c>
      <c r="F3894" t="s">
        <v>244</v>
      </c>
      <c r="G3894" s="39">
        <v>43493</v>
      </c>
      <c r="J3894" t="s">
        <v>981</v>
      </c>
    </row>
    <row r="3895" spans="1:10" x14ac:dyDescent="0.35">
      <c r="A3895">
        <v>12478</v>
      </c>
      <c r="B3895" t="s">
        <v>12</v>
      </c>
      <c r="C3895" t="s">
        <v>230</v>
      </c>
      <c r="D3895" t="s">
        <v>92</v>
      </c>
      <c r="E3895" t="s">
        <v>102</v>
      </c>
      <c r="F3895" t="s">
        <v>244</v>
      </c>
      <c r="G3895" s="39">
        <v>43770</v>
      </c>
      <c r="J3895" t="s">
        <v>981</v>
      </c>
    </row>
    <row r="3896" spans="1:10" x14ac:dyDescent="0.35">
      <c r="A3896">
        <v>14220</v>
      </c>
      <c r="B3896" t="s">
        <v>12</v>
      </c>
      <c r="C3896" t="s">
        <v>230</v>
      </c>
      <c r="D3896" t="s">
        <v>92</v>
      </c>
      <c r="E3896" t="s">
        <v>102</v>
      </c>
      <c r="F3896" t="s">
        <v>244</v>
      </c>
      <c r="G3896" s="39">
        <v>44700</v>
      </c>
      <c r="J3896" t="s">
        <v>981</v>
      </c>
    </row>
    <row r="3897" spans="1:10" x14ac:dyDescent="0.35">
      <c r="A3897">
        <v>18450</v>
      </c>
      <c r="B3897" t="s">
        <v>12</v>
      </c>
      <c r="C3897" t="s">
        <v>230</v>
      </c>
      <c r="D3897" t="s">
        <v>92</v>
      </c>
      <c r="E3897" t="s">
        <v>103</v>
      </c>
      <c r="F3897" t="s">
        <v>244</v>
      </c>
      <c r="G3897" s="39">
        <v>46126</v>
      </c>
      <c r="H3897" t="s">
        <v>249</v>
      </c>
      <c r="J3897" t="s">
        <v>981</v>
      </c>
    </row>
    <row r="3898" spans="1:10" x14ac:dyDescent="0.35">
      <c r="A3898">
        <v>18464</v>
      </c>
      <c r="B3898" t="s">
        <v>12</v>
      </c>
      <c r="C3898" t="s">
        <v>230</v>
      </c>
      <c r="D3898" t="s">
        <v>92</v>
      </c>
      <c r="E3898" t="s">
        <v>103</v>
      </c>
      <c r="F3898" t="s">
        <v>244</v>
      </c>
      <c r="G3898" s="39">
        <v>46127</v>
      </c>
      <c r="H3898" t="s">
        <v>249</v>
      </c>
      <c r="J3898" t="s">
        <v>981</v>
      </c>
    </row>
    <row r="3899" spans="1:10" x14ac:dyDescent="0.35">
      <c r="A3899">
        <v>18443</v>
      </c>
      <c r="B3899" t="s">
        <v>12</v>
      </c>
      <c r="C3899" t="s">
        <v>230</v>
      </c>
      <c r="D3899" t="s">
        <v>92</v>
      </c>
      <c r="E3899" t="s">
        <v>103</v>
      </c>
      <c r="F3899" t="s">
        <v>244</v>
      </c>
      <c r="G3899" s="39">
        <v>46126</v>
      </c>
      <c r="H3899" t="s">
        <v>249</v>
      </c>
      <c r="J3899" t="s">
        <v>981</v>
      </c>
    </row>
    <row r="3900" spans="1:10" x14ac:dyDescent="0.35">
      <c r="A3900">
        <v>16661</v>
      </c>
      <c r="B3900" t="s">
        <v>12</v>
      </c>
      <c r="C3900" t="s">
        <v>230</v>
      </c>
      <c r="D3900" t="s">
        <v>92</v>
      </c>
      <c r="E3900" t="s">
        <v>102</v>
      </c>
      <c r="F3900" t="s">
        <v>244</v>
      </c>
      <c r="G3900" s="39">
        <v>45525</v>
      </c>
      <c r="J3900" t="s">
        <v>981</v>
      </c>
    </row>
    <row r="3901" spans="1:10" x14ac:dyDescent="0.35">
      <c r="A3901">
        <v>15446</v>
      </c>
      <c r="B3901" t="s">
        <v>12</v>
      </c>
      <c r="C3901" t="s">
        <v>230</v>
      </c>
      <c r="D3901" t="s">
        <v>92</v>
      </c>
      <c r="E3901" t="s">
        <v>103</v>
      </c>
      <c r="F3901" t="s">
        <v>244</v>
      </c>
      <c r="G3901" s="39">
        <v>45078</v>
      </c>
      <c r="J3901" t="s">
        <v>981</v>
      </c>
    </row>
    <row r="3902" spans="1:10" x14ac:dyDescent="0.35">
      <c r="A3902">
        <v>14505</v>
      </c>
      <c r="B3902" t="s">
        <v>12</v>
      </c>
      <c r="C3902" t="s">
        <v>230</v>
      </c>
      <c r="D3902" t="s">
        <v>92</v>
      </c>
      <c r="E3902" t="s">
        <v>103</v>
      </c>
      <c r="F3902" t="s">
        <v>244</v>
      </c>
      <c r="G3902" s="39">
        <v>44777</v>
      </c>
      <c r="J3902" t="s">
        <v>981</v>
      </c>
    </row>
    <row r="3903" spans="1:10" x14ac:dyDescent="0.35">
      <c r="A3903">
        <v>18106</v>
      </c>
      <c r="B3903" t="s">
        <v>12</v>
      </c>
      <c r="C3903" t="s">
        <v>230</v>
      </c>
      <c r="D3903" t="s">
        <v>92</v>
      </c>
      <c r="E3903" t="s">
        <v>103</v>
      </c>
      <c r="F3903" t="s">
        <v>244</v>
      </c>
      <c r="G3903" s="39">
        <v>45996</v>
      </c>
      <c r="J3903" t="s">
        <v>981</v>
      </c>
    </row>
    <row r="3904" spans="1:10" x14ac:dyDescent="0.35">
      <c r="A3904">
        <v>18621</v>
      </c>
      <c r="B3904" t="s">
        <v>12</v>
      </c>
      <c r="C3904" t="s">
        <v>230</v>
      </c>
      <c r="D3904" t="s">
        <v>92</v>
      </c>
      <c r="E3904" t="s">
        <v>106</v>
      </c>
      <c r="F3904" t="s">
        <v>244</v>
      </c>
      <c r="G3904" s="39">
        <v>46174</v>
      </c>
      <c r="J3904" t="s">
        <v>981</v>
      </c>
    </row>
    <row r="3905" spans="1:10" x14ac:dyDescent="0.35">
      <c r="A3905">
        <v>17315</v>
      </c>
      <c r="B3905" t="s">
        <v>79</v>
      </c>
      <c r="C3905" t="s">
        <v>92</v>
      </c>
      <c r="D3905" t="s">
        <v>92</v>
      </c>
      <c r="E3905" t="s">
        <v>157</v>
      </c>
      <c r="F3905" t="s">
        <v>244</v>
      </c>
      <c r="G3905" s="39">
        <v>45700</v>
      </c>
      <c r="J3905" t="s">
        <v>982</v>
      </c>
    </row>
    <row r="3906" spans="1:10" x14ac:dyDescent="0.35">
      <c r="A3906">
        <v>11420</v>
      </c>
      <c r="B3906" t="s">
        <v>79</v>
      </c>
      <c r="C3906" t="s">
        <v>600</v>
      </c>
      <c r="D3906" t="s">
        <v>92</v>
      </c>
      <c r="E3906" t="s">
        <v>98</v>
      </c>
      <c r="F3906" t="s">
        <v>244</v>
      </c>
      <c r="G3906" s="39">
        <v>42678</v>
      </c>
      <c r="J3906" t="s">
        <v>982</v>
      </c>
    </row>
    <row r="3907" spans="1:10" x14ac:dyDescent="0.35">
      <c r="A3907">
        <v>17355</v>
      </c>
      <c r="B3907" t="s">
        <v>79</v>
      </c>
      <c r="C3907" t="s">
        <v>601</v>
      </c>
      <c r="D3907" t="s">
        <v>92</v>
      </c>
      <c r="E3907" t="s">
        <v>98</v>
      </c>
      <c r="F3907" t="s">
        <v>244</v>
      </c>
      <c r="G3907" s="39">
        <v>45719</v>
      </c>
      <c r="J3907" t="s">
        <v>982</v>
      </c>
    </row>
    <row r="3908" spans="1:10" x14ac:dyDescent="0.35">
      <c r="A3908">
        <v>12315</v>
      </c>
      <c r="B3908" t="s">
        <v>79</v>
      </c>
      <c r="C3908" t="s">
        <v>527</v>
      </c>
      <c r="D3908" t="s">
        <v>92</v>
      </c>
      <c r="E3908" t="s">
        <v>98</v>
      </c>
      <c r="F3908" t="s">
        <v>244</v>
      </c>
      <c r="G3908" s="39">
        <v>43679</v>
      </c>
      <c r="J3908" t="s">
        <v>982</v>
      </c>
    </row>
    <row r="3909" spans="1:10" x14ac:dyDescent="0.35">
      <c r="A3909">
        <v>710007</v>
      </c>
      <c r="B3909" t="s">
        <v>60</v>
      </c>
      <c r="C3909" t="s">
        <v>92</v>
      </c>
      <c r="D3909" t="s">
        <v>92</v>
      </c>
      <c r="E3909" t="s">
        <v>157</v>
      </c>
      <c r="F3909" t="s">
        <v>244</v>
      </c>
      <c r="G3909" s="39">
        <v>40471</v>
      </c>
      <c r="J3909" t="s">
        <v>982</v>
      </c>
    </row>
    <row r="3910" spans="1:10" x14ac:dyDescent="0.35">
      <c r="A3910">
        <v>700037</v>
      </c>
      <c r="B3910" t="s">
        <v>1</v>
      </c>
      <c r="C3910" t="s">
        <v>593</v>
      </c>
      <c r="D3910" t="s">
        <v>92</v>
      </c>
      <c r="E3910" t="s">
        <v>98</v>
      </c>
      <c r="F3910" t="s">
        <v>244</v>
      </c>
      <c r="G3910" s="39">
        <v>41954</v>
      </c>
      <c r="J3910" t="s">
        <v>982</v>
      </c>
    </row>
    <row r="3911" spans="1:10" x14ac:dyDescent="0.35">
      <c r="A3911">
        <v>190036</v>
      </c>
      <c r="B3911" t="s">
        <v>60</v>
      </c>
      <c r="C3911" t="s">
        <v>655</v>
      </c>
      <c r="D3911" t="s">
        <v>92</v>
      </c>
      <c r="E3911" t="s">
        <v>98</v>
      </c>
      <c r="F3911" t="s">
        <v>244</v>
      </c>
      <c r="G3911" s="39">
        <v>42300</v>
      </c>
      <c r="J3911" t="s">
        <v>982</v>
      </c>
    </row>
    <row r="3912" spans="1:10" x14ac:dyDescent="0.35">
      <c r="A3912">
        <v>12585</v>
      </c>
      <c r="B3912" t="s">
        <v>60</v>
      </c>
      <c r="C3912" t="s">
        <v>654</v>
      </c>
      <c r="D3912" t="s">
        <v>92</v>
      </c>
      <c r="E3912" t="s">
        <v>98</v>
      </c>
      <c r="F3912" t="s">
        <v>244</v>
      </c>
      <c r="G3912" s="39">
        <v>43818</v>
      </c>
      <c r="J3912" t="s">
        <v>982</v>
      </c>
    </row>
    <row r="3913" spans="1:10" x14ac:dyDescent="0.35">
      <c r="A3913">
        <v>11989</v>
      </c>
      <c r="B3913" t="s">
        <v>59</v>
      </c>
      <c r="C3913" t="s">
        <v>92</v>
      </c>
      <c r="D3913" t="s">
        <v>92</v>
      </c>
      <c r="E3913" t="s">
        <v>157</v>
      </c>
      <c r="F3913" t="s">
        <v>244</v>
      </c>
      <c r="G3913" s="39">
        <v>43362</v>
      </c>
      <c r="J3913" t="s">
        <v>982</v>
      </c>
    </row>
    <row r="3914" spans="1:10" x14ac:dyDescent="0.35">
      <c r="A3914">
        <v>12238</v>
      </c>
      <c r="B3914" t="s">
        <v>1</v>
      </c>
      <c r="C3914" t="s">
        <v>711</v>
      </c>
      <c r="D3914" t="s">
        <v>92</v>
      </c>
      <c r="E3914" t="s">
        <v>98</v>
      </c>
      <c r="F3914" t="s">
        <v>244</v>
      </c>
      <c r="G3914" s="39">
        <v>43628</v>
      </c>
      <c r="J3914" t="s">
        <v>982</v>
      </c>
    </row>
    <row r="3915" spans="1:10" x14ac:dyDescent="0.35">
      <c r="A3915">
        <v>11896</v>
      </c>
      <c r="B3915" t="s">
        <v>59</v>
      </c>
      <c r="C3915" t="s">
        <v>584</v>
      </c>
      <c r="D3915" t="s">
        <v>92</v>
      </c>
      <c r="E3915" t="s">
        <v>98</v>
      </c>
      <c r="F3915" t="s">
        <v>244</v>
      </c>
      <c r="G3915" s="39">
        <v>43245</v>
      </c>
      <c r="J3915" t="s">
        <v>982</v>
      </c>
    </row>
    <row r="3916" spans="1:10" x14ac:dyDescent="0.35">
      <c r="A3916">
        <v>250029</v>
      </c>
      <c r="B3916" t="s">
        <v>59</v>
      </c>
      <c r="C3916" t="s">
        <v>594</v>
      </c>
      <c r="D3916" t="s">
        <v>92</v>
      </c>
      <c r="E3916" t="s">
        <v>98</v>
      </c>
      <c r="F3916" t="s">
        <v>244</v>
      </c>
      <c r="G3916" s="39">
        <v>42206</v>
      </c>
      <c r="J3916" t="s">
        <v>982</v>
      </c>
    </row>
    <row r="3917" spans="1:10" x14ac:dyDescent="0.35">
      <c r="A3917">
        <v>17799</v>
      </c>
      <c r="B3917" t="s">
        <v>59</v>
      </c>
      <c r="C3917" t="s">
        <v>602</v>
      </c>
      <c r="D3917" t="s">
        <v>92</v>
      </c>
      <c r="E3917" t="s">
        <v>98</v>
      </c>
      <c r="F3917" t="s">
        <v>244</v>
      </c>
      <c r="G3917" s="39">
        <v>45887</v>
      </c>
      <c r="J3917" t="s">
        <v>982</v>
      </c>
    </row>
    <row r="3918" spans="1:10" x14ac:dyDescent="0.35">
      <c r="A3918">
        <v>13438</v>
      </c>
      <c r="B3918" t="s">
        <v>59</v>
      </c>
      <c r="C3918" t="s">
        <v>712</v>
      </c>
      <c r="D3918" t="s">
        <v>92</v>
      </c>
      <c r="E3918" t="s">
        <v>98</v>
      </c>
      <c r="F3918" t="s">
        <v>244</v>
      </c>
      <c r="G3918" s="39">
        <v>44454</v>
      </c>
      <c r="J3918" t="s">
        <v>982</v>
      </c>
    </row>
    <row r="3919" spans="1:10" x14ac:dyDescent="0.35">
      <c r="A3919">
        <v>14188</v>
      </c>
      <c r="B3919" t="s">
        <v>5</v>
      </c>
      <c r="C3919" t="s">
        <v>713</v>
      </c>
      <c r="D3919" t="s">
        <v>92</v>
      </c>
      <c r="E3919" t="s">
        <v>578</v>
      </c>
      <c r="F3919" t="s">
        <v>244</v>
      </c>
      <c r="G3919" s="39">
        <v>44691</v>
      </c>
      <c r="J3919" t="s">
        <v>982</v>
      </c>
    </row>
    <row r="3920" spans="1:10" x14ac:dyDescent="0.35">
      <c r="A3920">
        <v>11184</v>
      </c>
      <c r="B3920" t="s">
        <v>4</v>
      </c>
      <c r="C3920" t="s">
        <v>591</v>
      </c>
      <c r="D3920" t="s">
        <v>92</v>
      </c>
      <c r="E3920" t="s">
        <v>578</v>
      </c>
      <c r="F3920" t="s">
        <v>244</v>
      </c>
      <c r="G3920" s="39">
        <v>42363</v>
      </c>
      <c r="J3920" t="s">
        <v>982</v>
      </c>
    </row>
    <row r="3921" spans="1:10" x14ac:dyDescent="0.35">
      <c r="A3921">
        <v>17507</v>
      </c>
      <c r="B3921" t="s">
        <v>5</v>
      </c>
      <c r="C3921" t="s">
        <v>714</v>
      </c>
      <c r="D3921" t="s">
        <v>92</v>
      </c>
      <c r="E3921" t="s">
        <v>98</v>
      </c>
      <c r="F3921" t="s">
        <v>244</v>
      </c>
      <c r="G3921" s="39">
        <v>45782</v>
      </c>
      <c r="J3921" t="s">
        <v>982</v>
      </c>
    </row>
    <row r="3922" spans="1:10" x14ac:dyDescent="0.35">
      <c r="A3922">
        <v>18590</v>
      </c>
      <c r="B3922" t="s">
        <v>5</v>
      </c>
      <c r="C3922" t="s">
        <v>715</v>
      </c>
      <c r="D3922" t="s">
        <v>92</v>
      </c>
      <c r="E3922" t="s">
        <v>98</v>
      </c>
      <c r="F3922" t="s">
        <v>244</v>
      </c>
      <c r="G3922" s="39">
        <v>46175</v>
      </c>
      <c r="J3922" t="s">
        <v>982</v>
      </c>
    </row>
    <row r="3923" spans="1:10" x14ac:dyDescent="0.35">
      <c r="A3923">
        <v>17066</v>
      </c>
      <c r="B3923" t="s">
        <v>5</v>
      </c>
      <c r="C3923" t="s">
        <v>716</v>
      </c>
      <c r="D3923" t="s">
        <v>92</v>
      </c>
      <c r="E3923" t="s">
        <v>98</v>
      </c>
      <c r="F3923" t="s">
        <v>244</v>
      </c>
      <c r="G3923" s="39">
        <v>45617</v>
      </c>
      <c r="J3923" t="s">
        <v>982</v>
      </c>
    </row>
    <row r="3924" spans="1:10" x14ac:dyDescent="0.35">
      <c r="A3924">
        <v>17467</v>
      </c>
      <c r="B3924" t="s">
        <v>11</v>
      </c>
      <c r="C3924" t="s">
        <v>717</v>
      </c>
      <c r="D3924" t="s">
        <v>92</v>
      </c>
      <c r="E3924" t="s">
        <v>98</v>
      </c>
      <c r="F3924" t="s">
        <v>244</v>
      </c>
      <c r="G3924" s="39">
        <v>45762</v>
      </c>
      <c r="J3924" t="s">
        <v>982</v>
      </c>
    </row>
    <row r="3925" spans="1:10" x14ac:dyDescent="0.35">
      <c r="A3925">
        <v>12882</v>
      </c>
      <c r="B3925" t="s">
        <v>28</v>
      </c>
      <c r="C3925" t="s">
        <v>92</v>
      </c>
      <c r="D3925" t="s">
        <v>92</v>
      </c>
      <c r="E3925" t="s">
        <v>110</v>
      </c>
      <c r="F3925" t="s">
        <v>244</v>
      </c>
      <c r="G3925" s="39">
        <v>44075</v>
      </c>
      <c r="J3925" t="s">
        <v>981</v>
      </c>
    </row>
    <row r="3926" spans="1:10" x14ac:dyDescent="0.35">
      <c r="A3926">
        <v>14952</v>
      </c>
      <c r="B3926" t="s">
        <v>28</v>
      </c>
      <c r="C3926" t="s">
        <v>92</v>
      </c>
      <c r="D3926" t="s">
        <v>92</v>
      </c>
      <c r="E3926" t="s">
        <v>100</v>
      </c>
      <c r="F3926" t="s">
        <v>244</v>
      </c>
      <c r="G3926" s="39">
        <v>44901</v>
      </c>
      <c r="J3926" t="s">
        <v>981</v>
      </c>
    </row>
    <row r="3927" spans="1:10" x14ac:dyDescent="0.35">
      <c r="A3927">
        <v>18403</v>
      </c>
      <c r="B3927" t="s">
        <v>28</v>
      </c>
      <c r="C3927" t="s">
        <v>92</v>
      </c>
      <c r="D3927" t="s">
        <v>92</v>
      </c>
      <c r="E3927" t="s">
        <v>284</v>
      </c>
      <c r="F3927" t="s">
        <v>244</v>
      </c>
      <c r="G3927" s="39">
        <v>46118</v>
      </c>
      <c r="H3927" t="s">
        <v>249</v>
      </c>
      <c r="J3927" t="s">
        <v>981</v>
      </c>
    </row>
    <row r="3928" spans="1:10" x14ac:dyDescent="0.35">
      <c r="A3928">
        <v>15402</v>
      </c>
      <c r="B3928" t="s">
        <v>28</v>
      </c>
      <c r="C3928" t="s">
        <v>718</v>
      </c>
      <c r="D3928" t="s">
        <v>92</v>
      </c>
      <c r="E3928" t="s">
        <v>426</v>
      </c>
      <c r="F3928" t="s">
        <v>244</v>
      </c>
      <c r="G3928" s="39">
        <v>45058</v>
      </c>
      <c r="J3928" t="s">
        <v>981</v>
      </c>
    </row>
    <row r="3929" spans="1:10" x14ac:dyDescent="0.35">
      <c r="A3929">
        <v>15489</v>
      </c>
      <c r="B3929" t="s">
        <v>28</v>
      </c>
      <c r="C3929" t="s">
        <v>718</v>
      </c>
      <c r="D3929" t="s">
        <v>92</v>
      </c>
      <c r="E3929" t="s">
        <v>398</v>
      </c>
      <c r="F3929" t="s">
        <v>244</v>
      </c>
      <c r="G3929" s="39">
        <v>45091</v>
      </c>
      <c r="J3929" t="s">
        <v>981</v>
      </c>
    </row>
    <row r="3930" spans="1:10" x14ac:dyDescent="0.35">
      <c r="A3930">
        <v>17571</v>
      </c>
      <c r="B3930" t="s">
        <v>28</v>
      </c>
      <c r="C3930" t="s">
        <v>718</v>
      </c>
      <c r="D3930" t="s">
        <v>92</v>
      </c>
      <c r="E3930" t="s">
        <v>103</v>
      </c>
      <c r="F3930" t="s">
        <v>244</v>
      </c>
      <c r="G3930" s="39">
        <v>45793</v>
      </c>
      <c r="J3930" t="s">
        <v>981</v>
      </c>
    </row>
    <row r="3931" spans="1:10" x14ac:dyDescent="0.35">
      <c r="A3931">
        <v>18836</v>
      </c>
      <c r="B3931" t="s">
        <v>28</v>
      </c>
      <c r="C3931" t="s">
        <v>718</v>
      </c>
      <c r="D3931" t="s">
        <v>92</v>
      </c>
      <c r="E3931" t="s">
        <v>103</v>
      </c>
      <c r="F3931" t="s">
        <v>244</v>
      </c>
      <c r="G3931" s="39">
        <v>46230</v>
      </c>
      <c r="J3931" t="s">
        <v>981</v>
      </c>
    </row>
    <row r="3932" spans="1:10" x14ac:dyDescent="0.35">
      <c r="A3932">
        <v>18118</v>
      </c>
      <c r="B3932" t="s">
        <v>28</v>
      </c>
      <c r="C3932" t="s">
        <v>718</v>
      </c>
      <c r="D3932" t="s">
        <v>92</v>
      </c>
      <c r="E3932" t="s">
        <v>234</v>
      </c>
      <c r="F3932" t="s">
        <v>244</v>
      </c>
      <c r="G3932" s="39">
        <v>46003</v>
      </c>
      <c r="J3932" t="s">
        <v>981</v>
      </c>
    </row>
    <row r="3933" spans="1:10" x14ac:dyDescent="0.35">
      <c r="A3933">
        <v>18120</v>
      </c>
      <c r="B3933" t="s">
        <v>28</v>
      </c>
      <c r="C3933" t="s">
        <v>718</v>
      </c>
      <c r="D3933" t="s">
        <v>92</v>
      </c>
      <c r="E3933" t="s">
        <v>234</v>
      </c>
      <c r="F3933" t="s">
        <v>244</v>
      </c>
      <c r="G3933" s="39">
        <v>46003</v>
      </c>
      <c r="J3933" t="s">
        <v>981</v>
      </c>
    </row>
    <row r="3934" spans="1:10" x14ac:dyDescent="0.35">
      <c r="A3934">
        <v>18941</v>
      </c>
      <c r="B3934" t="s">
        <v>28</v>
      </c>
      <c r="C3934" t="s">
        <v>718</v>
      </c>
      <c r="D3934" t="s">
        <v>92</v>
      </c>
      <c r="E3934" t="s">
        <v>106</v>
      </c>
      <c r="F3934" t="s">
        <v>244</v>
      </c>
      <c r="G3934" s="39">
        <v>46246</v>
      </c>
      <c r="J3934" t="s">
        <v>981</v>
      </c>
    </row>
    <row r="3935" spans="1:10" x14ac:dyDescent="0.35">
      <c r="A3935">
        <v>15520</v>
      </c>
      <c r="B3935" t="s">
        <v>28</v>
      </c>
      <c r="C3935" t="s">
        <v>719</v>
      </c>
      <c r="D3935" t="s">
        <v>92</v>
      </c>
      <c r="E3935" t="s">
        <v>471</v>
      </c>
      <c r="F3935" t="s">
        <v>244</v>
      </c>
      <c r="G3935" s="39">
        <v>45101</v>
      </c>
      <c r="J3935" t="s">
        <v>981</v>
      </c>
    </row>
    <row r="3936" spans="1:10" x14ac:dyDescent="0.35">
      <c r="A3936">
        <v>13240</v>
      </c>
      <c r="B3936" t="s">
        <v>28</v>
      </c>
      <c r="C3936" t="s">
        <v>719</v>
      </c>
      <c r="D3936" t="s">
        <v>92</v>
      </c>
      <c r="E3936" t="s">
        <v>102</v>
      </c>
      <c r="F3936" t="s">
        <v>244</v>
      </c>
      <c r="G3936" s="39">
        <v>44335</v>
      </c>
      <c r="J3936" t="s">
        <v>981</v>
      </c>
    </row>
    <row r="3937" spans="1:10" x14ac:dyDescent="0.35">
      <c r="A3937">
        <v>15398</v>
      </c>
      <c r="B3937" t="s">
        <v>28</v>
      </c>
      <c r="C3937" t="s">
        <v>719</v>
      </c>
      <c r="D3937" t="s">
        <v>92</v>
      </c>
      <c r="E3937" t="s">
        <v>426</v>
      </c>
      <c r="F3937" t="s">
        <v>244</v>
      </c>
      <c r="G3937" s="39">
        <v>45057</v>
      </c>
      <c r="J3937" t="s">
        <v>981</v>
      </c>
    </row>
    <row r="3938" spans="1:10" x14ac:dyDescent="0.35">
      <c r="A3938">
        <v>17576</v>
      </c>
      <c r="B3938" t="s">
        <v>28</v>
      </c>
      <c r="C3938" t="s">
        <v>719</v>
      </c>
      <c r="D3938" t="s">
        <v>92</v>
      </c>
      <c r="E3938" t="s">
        <v>102</v>
      </c>
      <c r="F3938" t="s">
        <v>244</v>
      </c>
      <c r="G3938" s="39">
        <v>45810</v>
      </c>
      <c r="J3938" t="s">
        <v>981</v>
      </c>
    </row>
    <row r="3939" spans="1:10" x14ac:dyDescent="0.35">
      <c r="A3939">
        <v>16311</v>
      </c>
      <c r="B3939" t="s">
        <v>28</v>
      </c>
      <c r="C3939" t="s">
        <v>719</v>
      </c>
      <c r="D3939" t="s">
        <v>92</v>
      </c>
      <c r="E3939" t="s">
        <v>398</v>
      </c>
      <c r="F3939" t="s">
        <v>244</v>
      </c>
      <c r="G3939" s="39">
        <v>45352</v>
      </c>
      <c r="J3939" t="s">
        <v>981</v>
      </c>
    </row>
    <row r="3940" spans="1:10" x14ac:dyDescent="0.35">
      <c r="A3940">
        <v>17385</v>
      </c>
      <c r="B3940" t="s">
        <v>28</v>
      </c>
      <c r="C3940" t="s">
        <v>719</v>
      </c>
      <c r="D3940" t="s">
        <v>92</v>
      </c>
      <c r="E3940" t="s">
        <v>103</v>
      </c>
      <c r="F3940" t="s">
        <v>244</v>
      </c>
      <c r="G3940" s="39">
        <v>45729</v>
      </c>
      <c r="J3940" t="s">
        <v>981</v>
      </c>
    </row>
    <row r="3941" spans="1:10" x14ac:dyDescent="0.35">
      <c r="A3941">
        <v>17601</v>
      </c>
      <c r="B3941" t="s">
        <v>28</v>
      </c>
      <c r="C3941" t="s">
        <v>719</v>
      </c>
      <c r="D3941" t="s">
        <v>92</v>
      </c>
      <c r="E3941" t="s">
        <v>103</v>
      </c>
      <c r="F3941" t="s">
        <v>244</v>
      </c>
      <c r="G3941" s="39">
        <v>45811</v>
      </c>
      <c r="J3941" t="s">
        <v>981</v>
      </c>
    </row>
    <row r="3942" spans="1:10" x14ac:dyDescent="0.35">
      <c r="A3942">
        <v>17647</v>
      </c>
      <c r="B3942" t="s">
        <v>28</v>
      </c>
      <c r="C3942" t="s">
        <v>719</v>
      </c>
      <c r="D3942" t="s">
        <v>92</v>
      </c>
      <c r="E3942" t="s">
        <v>103</v>
      </c>
      <c r="F3942" t="s">
        <v>244</v>
      </c>
      <c r="G3942" s="39">
        <v>45827</v>
      </c>
      <c r="J3942" t="s">
        <v>981</v>
      </c>
    </row>
    <row r="3943" spans="1:10" x14ac:dyDescent="0.35">
      <c r="A3943">
        <v>18249</v>
      </c>
      <c r="B3943" t="s">
        <v>28</v>
      </c>
      <c r="C3943" t="s">
        <v>719</v>
      </c>
      <c r="D3943" t="s">
        <v>92</v>
      </c>
      <c r="E3943" t="s">
        <v>106</v>
      </c>
      <c r="F3943" t="s">
        <v>244</v>
      </c>
      <c r="G3943" s="39">
        <v>46071</v>
      </c>
      <c r="J3943" t="s">
        <v>981</v>
      </c>
    </row>
    <row r="3944" spans="1:10" x14ac:dyDescent="0.35">
      <c r="A3944">
        <v>18461</v>
      </c>
      <c r="B3944" t="s">
        <v>28</v>
      </c>
      <c r="C3944" t="s">
        <v>719</v>
      </c>
      <c r="D3944" t="s">
        <v>92</v>
      </c>
      <c r="E3944" t="s">
        <v>106</v>
      </c>
      <c r="F3944" t="s">
        <v>244</v>
      </c>
      <c r="G3944" s="39">
        <v>46132</v>
      </c>
      <c r="J3944" t="s">
        <v>981</v>
      </c>
    </row>
    <row r="3945" spans="1:10" x14ac:dyDescent="0.35">
      <c r="A3945">
        <v>18041</v>
      </c>
      <c r="B3945" t="s">
        <v>28</v>
      </c>
      <c r="C3945" t="s">
        <v>719</v>
      </c>
      <c r="D3945" t="s">
        <v>92</v>
      </c>
      <c r="E3945" t="s">
        <v>103</v>
      </c>
      <c r="F3945" t="s">
        <v>244</v>
      </c>
      <c r="G3945" s="39">
        <v>45973</v>
      </c>
      <c r="J3945" t="s">
        <v>981</v>
      </c>
    </row>
    <row r="3946" spans="1:10" x14ac:dyDescent="0.35">
      <c r="A3946">
        <v>18157</v>
      </c>
      <c r="B3946" t="s">
        <v>28</v>
      </c>
      <c r="C3946" t="s">
        <v>719</v>
      </c>
      <c r="D3946" t="s">
        <v>92</v>
      </c>
      <c r="E3946" t="s">
        <v>106</v>
      </c>
      <c r="F3946" t="s">
        <v>244</v>
      </c>
      <c r="G3946" s="39">
        <v>46016</v>
      </c>
      <c r="J3946" t="s">
        <v>981</v>
      </c>
    </row>
    <row r="3947" spans="1:10" x14ac:dyDescent="0.35">
      <c r="A3947">
        <v>18604</v>
      </c>
      <c r="B3947" t="s">
        <v>28</v>
      </c>
      <c r="C3947" t="s">
        <v>719</v>
      </c>
      <c r="D3947" t="s">
        <v>92</v>
      </c>
      <c r="E3947" t="s">
        <v>106</v>
      </c>
      <c r="F3947" t="s">
        <v>244</v>
      </c>
      <c r="G3947" s="39">
        <v>46164</v>
      </c>
      <c r="J3947" t="s">
        <v>981</v>
      </c>
    </row>
    <row r="3948" spans="1:10" x14ac:dyDescent="0.35">
      <c r="A3948">
        <v>13368</v>
      </c>
      <c r="B3948" t="s">
        <v>28</v>
      </c>
      <c r="C3948" t="s">
        <v>720</v>
      </c>
      <c r="D3948" t="s">
        <v>92</v>
      </c>
      <c r="E3948" t="s">
        <v>101</v>
      </c>
      <c r="F3948" t="s">
        <v>244</v>
      </c>
      <c r="G3948" s="39">
        <v>44411</v>
      </c>
      <c r="J3948" t="s">
        <v>981</v>
      </c>
    </row>
    <row r="3949" spans="1:10" x14ac:dyDescent="0.35">
      <c r="A3949">
        <v>16533</v>
      </c>
      <c r="B3949" t="s">
        <v>28</v>
      </c>
      <c r="C3949" t="s">
        <v>720</v>
      </c>
      <c r="D3949" t="s">
        <v>92</v>
      </c>
      <c r="E3949" t="s">
        <v>426</v>
      </c>
      <c r="F3949" t="s">
        <v>244</v>
      </c>
      <c r="G3949" s="39">
        <v>45470</v>
      </c>
      <c r="J3949" t="s">
        <v>981</v>
      </c>
    </row>
    <row r="3950" spans="1:10" x14ac:dyDescent="0.35">
      <c r="A3950">
        <v>16397</v>
      </c>
      <c r="B3950" t="s">
        <v>28</v>
      </c>
      <c r="C3950" t="s">
        <v>719</v>
      </c>
      <c r="D3950" t="s">
        <v>721</v>
      </c>
      <c r="E3950" t="s">
        <v>426</v>
      </c>
      <c r="F3950" t="s">
        <v>244</v>
      </c>
      <c r="G3950" s="39">
        <v>45370</v>
      </c>
      <c r="J3950" t="s">
        <v>981</v>
      </c>
    </row>
    <row r="3951" spans="1:10" x14ac:dyDescent="0.35">
      <c r="A3951">
        <v>18965</v>
      </c>
      <c r="B3951" t="s">
        <v>28</v>
      </c>
      <c r="C3951" t="s">
        <v>719</v>
      </c>
      <c r="D3951" t="s">
        <v>721</v>
      </c>
      <c r="E3951" t="s">
        <v>426</v>
      </c>
      <c r="F3951" t="s">
        <v>244</v>
      </c>
      <c r="G3951" s="39">
        <v>46252</v>
      </c>
      <c r="J3951" t="s">
        <v>981</v>
      </c>
    </row>
    <row r="3952" spans="1:10" x14ac:dyDescent="0.35">
      <c r="A3952">
        <v>17581</v>
      </c>
      <c r="B3952" t="s">
        <v>28</v>
      </c>
      <c r="C3952" t="s">
        <v>719</v>
      </c>
      <c r="D3952" t="s">
        <v>721</v>
      </c>
      <c r="E3952" t="s">
        <v>103</v>
      </c>
      <c r="F3952" t="s">
        <v>244</v>
      </c>
      <c r="G3952" s="39">
        <v>45800</v>
      </c>
      <c r="J3952" t="s">
        <v>981</v>
      </c>
    </row>
    <row r="3953" spans="1:10" x14ac:dyDescent="0.35">
      <c r="A3953">
        <v>18792</v>
      </c>
      <c r="B3953" t="s">
        <v>28</v>
      </c>
      <c r="C3953" t="s">
        <v>719</v>
      </c>
      <c r="D3953" t="s">
        <v>92</v>
      </c>
      <c r="E3953" t="s">
        <v>106</v>
      </c>
      <c r="F3953" t="s">
        <v>244</v>
      </c>
      <c r="G3953" s="39">
        <v>46216</v>
      </c>
      <c r="J3953" t="s">
        <v>981</v>
      </c>
    </row>
    <row r="3954" spans="1:10" x14ac:dyDescent="0.35">
      <c r="A3954">
        <v>19092</v>
      </c>
      <c r="B3954" t="s">
        <v>28</v>
      </c>
      <c r="C3954" t="s">
        <v>719</v>
      </c>
      <c r="D3954" t="s">
        <v>92</v>
      </c>
      <c r="E3954" t="s">
        <v>106</v>
      </c>
      <c r="F3954" t="s">
        <v>244</v>
      </c>
      <c r="G3954" s="39">
        <v>46266</v>
      </c>
      <c r="J3954" t="s">
        <v>981</v>
      </c>
    </row>
    <row r="3955" spans="1:10" x14ac:dyDescent="0.35">
      <c r="A3955">
        <v>16566</v>
      </c>
      <c r="B3955" t="s">
        <v>28</v>
      </c>
      <c r="C3955" t="s">
        <v>720</v>
      </c>
      <c r="D3955" t="s">
        <v>92</v>
      </c>
      <c r="E3955" t="s">
        <v>102</v>
      </c>
      <c r="F3955" t="s">
        <v>244</v>
      </c>
      <c r="G3955" s="39">
        <v>45481</v>
      </c>
      <c r="J3955" t="s">
        <v>981</v>
      </c>
    </row>
    <row r="3956" spans="1:10" x14ac:dyDescent="0.35">
      <c r="A3956">
        <v>18740</v>
      </c>
      <c r="B3956" t="s">
        <v>28</v>
      </c>
      <c r="C3956" t="s">
        <v>720</v>
      </c>
      <c r="D3956" t="s">
        <v>92</v>
      </c>
      <c r="E3956" t="s">
        <v>102</v>
      </c>
      <c r="F3956" t="s">
        <v>244</v>
      </c>
      <c r="G3956" s="39">
        <v>46204</v>
      </c>
      <c r="J3956" t="s">
        <v>981</v>
      </c>
    </row>
    <row r="3957" spans="1:10" x14ac:dyDescent="0.35">
      <c r="A3957">
        <v>18270</v>
      </c>
      <c r="B3957" t="s">
        <v>28</v>
      </c>
      <c r="C3957" t="s">
        <v>720</v>
      </c>
      <c r="D3957" t="s">
        <v>92</v>
      </c>
      <c r="E3957" t="s">
        <v>722</v>
      </c>
      <c r="F3957" t="s">
        <v>244</v>
      </c>
      <c r="G3957" s="39">
        <v>46076</v>
      </c>
      <c r="J3957" t="s">
        <v>981</v>
      </c>
    </row>
    <row r="3958" spans="1:10" x14ac:dyDescent="0.35">
      <c r="A3958">
        <v>17214</v>
      </c>
      <c r="B3958" t="s">
        <v>28</v>
      </c>
      <c r="C3958" t="s">
        <v>720</v>
      </c>
      <c r="D3958" t="s">
        <v>92</v>
      </c>
      <c r="E3958" t="s">
        <v>103</v>
      </c>
      <c r="F3958" t="s">
        <v>244</v>
      </c>
      <c r="G3958" s="39">
        <v>45666</v>
      </c>
      <c r="J3958" t="s">
        <v>981</v>
      </c>
    </row>
    <row r="3959" spans="1:10" x14ac:dyDescent="0.35">
      <c r="A3959">
        <v>18291</v>
      </c>
      <c r="B3959" t="s">
        <v>28</v>
      </c>
      <c r="C3959" t="s">
        <v>720</v>
      </c>
      <c r="D3959" t="s">
        <v>92</v>
      </c>
      <c r="E3959" t="s">
        <v>103</v>
      </c>
      <c r="F3959" t="s">
        <v>244</v>
      </c>
      <c r="G3959" s="39">
        <v>46077</v>
      </c>
      <c r="J3959" t="s">
        <v>981</v>
      </c>
    </row>
    <row r="3960" spans="1:10" x14ac:dyDescent="0.35">
      <c r="A3960">
        <v>18783</v>
      </c>
      <c r="B3960" t="s">
        <v>28</v>
      </c>
      <c r="C3960" t="s">
        <v>720</v>
      </c>
      <c r="D3960" t="s">
        <v>92</v>
      </c>
      <c r="E3960" t="s">
        <v>103</v>
      </c>
      <c r="F3960" t="s">
        <v>244</v>
      </c>
      <c r="G3960" s="39">
        <v>46211</v>
      </c>
      <c r="J3960" t="s">
        <v>981</v>
      </c>
    </row>
    <row r="3961" spans="1:10" x14ac:dyDescent="0.35">
      <c r="A3961">
        <v>16999</v>
      </c>
      <c r="B3961" t="s">
        <v>28</v>
      </c>
      <c r="C3961" t="s">
        <v>720</v>
      </c>
      <c r="D3961" t="s">
        <v>92</v>
      </c>
      <c r="E3961" t="s">
        <v>103</v>
      </c>
      <c r="F3961" t="s">
        <v>244</v>
      </c>
      <c r="G3961" s="39">
        <v>45590</v>
      </c>
      <c r="J3961" t="s">
        <v>981</v>
      </c>
    </row>
    <row r="3962" spans="1:10" x14ac:dyDescent="0.35">
      <c r="A3962">
        <v>17487</v>
      </c>
      <c r="B3962" t="s">
        <v>28</v>
      </c>
      <c r="C3962" t="s">
        <v>720</v>
      </c>
      <c r="D3962" t="s">
        <v>92</v>
      </c>
      <c r="E3962" t="s">
        <v>723</v>
      </c>
      <c r="F3962" t="s">
        <v>244</v>
      </c>
      <c r="G3962" s="39">
        <v>45768</v>
      </c>
      <c r="J3962" t="s">
        <v>981</v>
      </c>
    </row>
    <row r="3963" spans="1:10" x14ac:dyDescent="0.35">
      <c r="A3963">
        <v>17149</v>
      </c>
      <c r="B3963" t="s">
        <v>28</v>
      </c>
      <c r="C3963" t="s">
        <v>720</v>
      </c>
      <c r="D3963" t="s">
        <v>92</v>
      </c>
      <c r="E3963" t="s">
        <v>103</v>
      </c>
      <c r="F3963" t="s">
        <v>244</v>
      </c>
      <c r="G3963" s="39">
        <v>45651</v>
      </c>
      <c r="J3963" t="s">
        <v>981</v>
      </c>
    </row>
    <row r="3964" spans="1:10" x14ac:dyDescent="0.35">
      <c r="A3964">
        <v>17834</v>
      </c>
      <c r="B3964" t="s">
        <v>28</v>
      </c>
      <c r="C3964" t="s">
        <v>720</v>
      </c>
      <c r="D3964" t="s">
        <v>92</v>
      </c>
      <c r="E3964" t="s">
        <v>723</v>
      </c>
      <c r="F3964" t="s">
        <v>244</v>
      </c>
      <c r="G3964" s="39">
        <v>45894</v>
      </c>
      <c r="J3964" t="s">
        <v>981</v>
      </c>
    </row>
    <row r="3965" spans="1:10" x14ac:dyDescent="0.35">
      <c r="A3965">
        <v>15952</v>
      </c>
      <c r="B3965" t="s">
        <v>28</v>
      </c>
      <c r="C3965" t="s">
        <v>235</v>
      </c>
      <c r="D3965" t="s">
        <v>92</v>
      </c>
      <c r="E3965" t="s">
        <v>99</v>
      </c>
      <c r="F3965" t="s">
        <v>244</v>
      </c>
      <c r="G3965" s="39">
        <v>45247</v>
      </c>
      <c r="J3965" t="s">
        <v>981</v>
      </c>
    </row>
    <row r="3966" spans="1:10" x14ac:dyDescent="0.35">
      <c r="A3966">
        <v>18862</v>
      </c>
      <c r="B3966" t="s">
        <v>28</v>
      </c>
      <c r="C3966" t="s">
        <v>235</v>
      </c>
      <c r="D3966" t="s">
        <v>92</v>
      </c>
      <c r="E3966" t="s">
        <v>99</v>
      </c>
      <c r="F3966" t="s">
        <v>244</v>
      </c>
      <c r="G3966" s="39">
        <v>46220</v>
      </c>
      <c r="H3966" t="s">
        <v>249</v>
      </c>
      <c r="J3966" t="s">
        <v>981</v>
      </c>
    </row>
    <row r="3967" spans="1:10" x14ac:dyDescent="0.35">
      <c r="A3967">
        <v>16016</v>
      </c>
      <c r="B3967" t="s">
        <v>28</v>
      </c>
      <c r="C3967" t="s">
        <v>235</v>
      </c>
      <c r="D3967" t="s">
        <v>92</v>
      </c>
      <c r="E3967" t="s">
        <v>102</v>
      </c>
      <c r="F3967" t="s">
        <v>244</v>
      </c>
      <c r="G3967" s="39">
        <v>45267</v>
      </c>
      <c r="J3967" t="s">
        <v>981</v>
      </c>
    </row>
    <row r="3968" spans="1:10" x14ac:dyDescent="0.35">
      <c r="A3968">
        <v>18337</v>
      </c>
      <c r="B3968" t="s">
        <v>28</v>
      </c>
      <c r="C3968" t="s">
        <v>235</v>
      </c>
      <c r="D3968" t="s">
        <v>92</v>
      </c>
      <c r="E3968" t="s">
        <v>109</v>
      </c>
      <c r="F3968" t="s">
        <v>244</v>
      </c>
      <c r="G3968" s="39">
        <v>46097</v>
      </c>
      <c r="J3968" t="s">
        <v>981</v>
      </c>
    </row>
    <row r="3969" spans="1:10" x14ac:dyDescent="0.35">
      <c r="A3969">
        <v>10612</v>
      </c>
      <c r="B3969" t="s">
        <v>71</v>
      </c>
      <c r="C3969" t="s">
        <v>92</v>
      </c>
      <c r="D3969" t="s">
        <v>92</v>
      </c>
      <c r="E3969" t="s">
        <v>110</v>
      </c>
      <c r="F3969" t="s">
        <v>244</v>
      </c>
      <c r="G3969" s="39">
        <v>41484</v>
      </c>
      <c r="J3969" t="s">
        <v>981</v>
      </c>
    </row>
    <row r="3970" spans="1:10" x14ac:dyDescent="0.35">
      <c r="A3970">
        <v>10618</v>
      </c>
      <c r="B3970" t="s">
        <v>71</v>
      </c>
      <c r="C3970" t="s">
        <v>724</v>
      </c>
      <c r="D3970" t="s">
        <v>92</v>
      </c>
      <c r="E3970" t="s">
        <v>101</v>
      </c>
      <c r="F3970" t="s">
        <v>244</v>
      </c>
      <c r="G3970" s="39">
        <v>41507</v>
      </c>
      <c r="J3970" t="s">
        <v>981</v>
      </c>
    </row>
    <row r="3971" spans="1:10" x14ac:dyDescent="0.35">
      <c r="A3971">
        <v>10705</v>
      </c>
      <c r="B3971" t="s">
        <v>71</v>
      </c>
      <c r="C3971" t="s">
        <v>724</v>
      </c>
      <c r="D3971" t="s">
        <v>92</v>
      </c>
      <c r="E3971" t="s">
        <v>99</v>
      </c>
      <c r="F3971" t="s">
        <v>244</v>
      </c>
      <c r="G3971" s="39">
        <v>41690</v>
      </c>
      <c r="J3971" t="s">
        <v>981</v>
      </c>
    </row>
    <row r="3972" spans="1:10" x14ac:dyDescent="0.35">
      <c r="A3972">
        <v>10707</v>
      </c>
      <c r="B3972" t="s">
        <v>71</v>
      </c>
      <c r="C3972" t="s">
        <v>724</v>
      </c>
      <c r="D3972" t="s">
        <v>92</v>
      </c>
      <c r="E3972" t="s">
        <v>402</v>
      </c>
      <c r="F3972" t="s">
        <v>244</v>
      </c>
      <c r="G3972" s="39">
        <v>41694</v>
      </c>
      <c r="J3972" t="s">
        <v>981</v>
      </c>
    </row>
    <row r="3973" spans="1:10" x14ac:dyDescent="0.35">
      <c r="A3973">
        <v>10802</v>
      </c>
      <c r="B3973" t="s">
        <v>71</v>
      </c>
      <c r="C3973" t="s">
        <v>724</v>
      </c>
      <c r="D3973" t="s">
        <v>92</v>
      </c>
      <c r="E3973" t="s">
        <v>109</v>
      </c>
      <c r="F3973" t="s">
        <v>244</v>
      </c>
      <c r="G3973" s="39">
        <v>41914</v>
      </c>
      <c r="J3973" t="s">
        <v>981</v>
      </c>
    </row>
    <row r="3974" spans="1:10" x14ac:dyDescent="0.35">
      <c r="A3974">
        <v>11790</v>
      </c>
      <c r="B3974" t="s">
        <v>71</v>
      </c>
      <c r="C3974" t="s">
        <v>724</v>
      </c>
      <c r="D3974" t="s">
        <v>92</v>
      </c>
      <c r="E3974" t="s">
        <v>116</v>
      </c>
      <c r="F3974" t="s">
        <v>244</v>
      </c>
      <c r="G3974" s="39">
        <v>43123</v>
      </c>
      <c r="J3974" t="s">
        <v>981</v>
      </c>
    </row>
    <row r="3975" spans="1:10" x14ac:dyDescent="0.35">
      <c r="A3975">
        <v>12173</v>
      </c>
      <c r="B3975" t="s">
        <v>71</v>
      </c>
      <c r="C3975" t="s">
        <v>724</v>
      </c>
      <c r="D3975" t="s">
        <v>92</v>
      </c>
      <c r="E3975" t="s">
        <v>116</v>
      </c>
      <c r="F3975" t="s">
        <v>244</v>
      </c>
      <c r="G3975" s="39">
        <v>43542</v>
      </c>
      <c r="J3975" t="s">
        <v>981</v>
      </c>
    </row>
    <row r="3976" spans="1:10" x14ac:dyDescent="0.35">
      <c r="A3976">
        <v>12423</v>
      </c>
      <c r="B3976" t="s">
        <v>71</v>
      </c>
      <c r="C3976" t="s">
        <v>724</v>
      </c>
      <c r="D3976" t="s">
        <v>92</v>
      </c>
      <c r="E3976" t="s">
        <v>116</v>
      </c>
      <c r="F3976" t="s">
        <v>244</v>
      </c>
      <c r="G3976" s="39">
        <v>43740</v>
      </c>
      <c r="J3976" t="s">
        <v>981</v>
      </c>
    </row>
    <row r="3977" spans="1:10" x14ac:dyDescent="0.35">
      <c r="A3977">
        <v>12542</v>
      </c>
      <c r="B3977" t="s">
        <v>71</v>
      </c>
      <c r="C3977" t="s">
        <v>724</v>
      </c>
      <c r="D3977" t="s">
        <v>92</v>
      </c>
      <c r="E3977" t="s">
        <v>116</v>
      </c>
      <c r="F3977" t="s">
        <v>244</v>
      </c>
      <c r="G3977" s="39">
        <v>43803</v>
      </c>
      <c r="J3977" t="s">
        <v>981</v>
      </c>
    </row>
    <row r="3978" spans="1:10" x14ac:dyDescent="0.35">
      <c r="A3978">
        <v>12568</v>
      </c>
      <c r="B3978" t="s">
        <v>71</v>
      </c>
      <c r="C3978" t="s">
        <v>724</v>
      </c>
      <c r="D3978" t="s">
        <v>92</v>
      </c>
      <c r="E3978" t="s">
        <v>116</v>
      </c>
      <c r="F3978" t="s">
        <v>244</v>
      </c>
      <c r="G3978" s="39">
        <v>43811</v>
      </c>
      <c r="J3978" t="s">
        <v>981</v>
      </c>
    </row>
    <row r="3979" spans="1:10" x14ac:dyDescent="0.35">
      <c r="A3979">
        <v>13809</v>
      </c>
      <c r="B3979" t="s">
        <v>71</v>
      </c>
      <c r="C3979" t="s">
        <v>724</v>
      </c>
      <c r="D3979" t="s">
        <v>92</v>
      </c>
      <c r="E3979" t="s">
        <v>116</v>
      </c>
      <c r="F3979" t="s">
        <v>244</v>
      </c>
      <c r="G3979" s="39">
        <v>44586</v>
      </c>
      <c r="J3979" t="s">
        <v>981</v>
      </c>
    </row>
    <row r="3980" spans="1:10" x14ac:dyDescent="0.35">
      <c r="A3980">
        <v>13502</v>
      </c>
      <c r="B3980" t="s">
        <v>71</v>
      </c>
      <c r="C3980" t="s">
        <v>724</v>
      </c>
      <c r="D3980" t="s">
        <v>92</v>
      </c>
      <c r="E3980" t="s">
        <v>116</v>
      </c>
      <c r="F3980" t="s">
        <v>244</v>
      </c>
      <c r="G3980" s="39">
        <v>44477</v>
      </c>
      <c r="J3980" t="s">
        <v>981</v>
      </c>
    </row>
    <row r="3981" spans="1:10" x14ac:dyDescent="0.35">
      <c r="A3981">
        <v>14619</v>
      </c>
      <c r="B3981" t="s">
        <v>71</v>
      </c>
      <c r="C3981" t="s">
        <v>724</v>
      </c>
      <c r="D3981" t="s">
        <v>92</v>
      </c>
      <c r="E3981" t="s">
        <v>116</v>
      </c>
      <c r="F3981" t="s">
        <v>244</v>
      </c>
      <c r="G3981" s="39">
        <v>44806</v>
      </c>
      <c r="J3981" t="s">
        <v>981</v>
      </c>
    </row>
    <row r="3982" spans="1:10" x14ac:dyDescent="0.35">
      <c r="A3982">
        <v>14458</v>
      </c>
      <c r="B3982" t="s">
        <v>71</v>
      </c>
      <c r="C3982" t="s">
        <v>724</v>
      </c>
      <c r="D3982" t="s">
        <v>92</v>
      </c>
      <c r="E3982" t="s">
        <v>112</v>
      </c>
      <c r="F3982" t="s">
        <v>244</v>
      </c>
      <c r="G3982" s="39">
        <v>44774</v>
      </c>
      <c r="J3982" t="s">
        <v>981</v>
      </c>
    </row>
    <row r="3983" spans="1:10" x14ac:dyDescent="0.35">
      <c r="A3983">
        <v>18507</v>
      </c>
      <c r="B3983" t="s">
        <v>71</v>
      </c>
      <c r="C3983" t="s">
        <v>724</v>
      </c>
      <c r="D3983" t="s">
        <v>92</v>
      </c>
      <c r="E3983" t="s">
        <v>417</v>
      </c>
      <c r="F3983" t="s">
        <v>244</v>
      </c>
      <c r="G3983" s="39">
        <v>46147</v>
      </c>
      <c r="J3983" t="s">
        <v>981</v>
      </c>
    </row>
    <row r="3984" spans="1:10" x14ac:dyDescent="0.35">
      <c r="A3984">
        <v>18508</v>
      </c>
      <c r="B3984" t="s">
        <v>71</v>
      </c>
      <c r="C3984" t="s">
        <v>724</v>
      </c>
      <c r="D3984" t="s">
        <v>92</v>
      </c>
      <c r="E3984" t="s">
        <v>417</v>
      </c>
      <c r="F3984" t="s">
        <v>244</v>
      </c>
      <c r="G3984" s="39">
        <v>46147</v>
      </c>
      <c r="J3984" t="s">
        <v>981</v>
      </c>
    </row>
    <row r="3985" spans="1:10" x14ac:dyDescent="0.35">
      <c r="A3985">
        <v>18654</v>
      </c>
      <c r="B3985" t="s">
        <v>71</v>
      </c>
      <c r="C3985" t="s">
        <v>724</v>
      </c>
      <c r="D3985" t="s">
        <v>92</v>
      </c>
      <c r="E3985" t="s">
        <v>417</v>
      </c>
      <c r="F3985" t="s">
        <v>244</v>
      </c>
      <c r="G3985" s="39">
        <v>46189</v>
      </c>
      <c r="J3985" t="s">
        <v>981</v>
      </c>
    </row>
    <row r="3986" spans="1:10" x14ac:dyDescent="0.35">
      <c r="A3986">
        <v>17928</v>
      </c>
      <c r="B3986" t="s">
        <v>71</v>
      </c>
      <c r="C3986" t="s">
        <v>724</v>
      </c>
      <c r="D3986" t="s">
        <v>92</v>
      </c>
      <c r="E3986" t="s">
        <v>417</v>
      </c>
      <c r="F3986" t="s">
        <v>244</v>
      </c>
      <c r="G3986" s="39">
        <v>45923</v>
      </c>
      <c r="J3986" t="s">
        <v>981</v>
      </c>
    </row>
    <row r="3987" spans="1:10" x14ac:dyDescent="0.35">
      <c r="A3987">
        <v>18777</v>
      </c>
      <c r="B3987" t="s">
        <v>71</v>
      </c>
      <c r="C3987" t="s">
        <v>724</v>
      </c>
      <c r="D3987" t="s">
        <v>92</v>
      </c>
      <c r="E3987" t="s">
        <v>417</v>
      </c>
      <c r="F3987" t="s">
        <v>244</v>
      </c>
      <c r="G3987" s="39">
        <v>46217</v>
      </c>
      <c r="J3987" t="s">
        <v>981</v>
      </c>
    </row>
    <row r="3988" spans="1:10" x14ac:dyDescent="0.35">
      <c r="A3988">
        <v>18827</v>
      </c>
      <c r="B3988" t="s">
        <v>71</v>
      </c>
      <c r="C3988" t="s">
        <v>724</v>
      </c>
      <c r="D3988" t="s">
        <v>92</v>
      </c>
      <c r="E3988" t="s">
        <v>417</v>
      </c>
      <c r="F3988" t="s">
        <v>244</v>
      </c>
      <c r="G3988" s="39">
        <v>46219</v>
      </c>
      <c r="J3988" t="s">
        <v>981</v>
      </c>
    </row>
    <row r="3989" spans="1:10" x14ac:dyDescent="0.35">
      <c r="A3989">
        <v>18857</v>
      </c>
      <c r="B3989" t="s">
        <v>71</v>
      </c>
      <c r="C3989" t="s">
        <v>724</v>
      </c>
      <c r="D3989" t="s">
        <v>92</v>
      </c>
      <c r="E3989" t="s">
        <v>417</v>
      </c>
      <c r="F3989" t="s">
        <v>244</v>
      </c>
      <c r="G3989" s="39">
        <v>46225</v>
      </c>
      <c r="J3989" t="s">
        <v>981</v>
      </c>
    </row>
    <row r="3990" spans="1:10" x14ac:dyDescent="0.35">
      <c r="A3990">
        <v>14967</v>
      </c>
      <c r="B3990" t="s">
        <v>71</v>
      </c>
      <c r="C3990" t="s">
        <v>724</v>
      </c>
      <c r="D3990" t="s">
        <v>92</v>
      </c>
      <c r="E3990" t="s">
        <v>112</v>
      </c>
      <c r="F3990" t="s">
        <v>244</v>
      </c>
      <c r="G3990" s="39">
        <v>44903</v>
      </c>
      <c r="J3990" t="s">
        <v>981</v>
      </c>
    </row>
    <row r="3991" spans="1:10" x14ac:dyDescent="0.35">
      <c r="A3991">
        <v>15091</v>
      </c>
      <c r="B3991" t="s">
        <v>71</v>
      </c>
      <c r="C3991" t="s">
        <v>724</v>
      </c>
      <c r="D3991" t="s">
        <v>92</v>
      </c>
      <c r="E3991" t="s">
        <v>112</v>
      </c>
      <c r="F3991" t="s">
        <v>244</v>
      </c>
      <c r="G3991" s="39">
        <v>44958</v>
      </c>
      <c r="J3991" t="s">
        <v>981</v>
      </c>
    </row>
    <row r="3992" spans="1:10" x14ac:dyDescent="0.35">
      <c r="A3992">
        <v>15224</v>
      </c>
      <c r="B3992" t="s">
        <v>71</v>
      </c>
      <c r="C3992" t="s">
        <v>724</v>
      </c>
      <c r="D3992" t="s">
        <v>92</v>
      </c>
      <c r="E3992" t="s">
        <v>112</v>
      </c>
      <c r="F3992" t="s">
        <v>244</v>
      </c>
      <c r="G3992" s="39">
        <v>44994</v>
      </c>
      <c r="J3992" t="s">
        <v>981</v>
      </c>
    </row>
    <row r="3993" spans="1:10" x14ac:dyDescent="0.35">
      <c r="A3993">
        <v>15439</v>
      </c>
      <c r="B3993" t="s">
        <v>71</v>
      </c>
      <c r="C3993" t="s">
        <v>724</v>
      </c>
      <c r="D3993" t="s">
        <v>92</v>
      </c>
      <c r="E3993" t="s">
        <v>417</v>
      </c>
      <c r="F3993" t="s">
        <v>244</v>
      </c>
      <c r="G3993" s="39">
        <v>45078</v>
      </c>
      <c r="J3993" t="s">
        <v>981</v>
      </c>
    </row>
    <row r="3994" spans="1:10" x14ac:dyDescent="0.35">
      <c r="A3994">
        <v>16149</v>
      </c>
      <c r="B3994" t="s">
        <v>71</v>
      </c>
      <c r="C3994" t="s">
        <v>724</v>
      </c>
      <c r="D3994" t="s">
        <v>92</v>
      </c>
      <c r="E3994" t="s">
        <v>112</v>
      </c>
      <c r="F3994" t="s">
        <v>244</v>
      </c>
      <c r="G3994" s="39">
        <v>45303</v>
      </c>
      <c r="J3994" t="s">
        <v>981</v>
      </c>
    </row>
    <row r="3995" spans="1:10" x14ac:dyDescent="0.35">
      <c r="A3995">
        <v>18257</v>
      </c>
      <c r="B3995" t="s">
        <v>71</v>
      </c>
      <c r="C3995" t="s">
        <v>724</v>
      </c>
      <c r="D3995" t="s">
        <v>92</v>
      </c>
      <c r="E3995" t="s">
        <v>417</v>
      </c>
      <c r="F3995" t="s">
        <v>244</v>
      </c>
      <c r="G3995" s="39">
        <v>46073</v>
      </c>
      <c r="J3995" t="s">
        <v>981</v>
      </c>
    </row>
    <row r="3996" spans="1:10" x14ac:dyDescent="0.35">
      <c r="A3996">
        <v>16139</v>
      </c>
      <c r="B3996" t="s">
        <v>71</v>
      </c>
      <c r="C3996" t="s">
        <v>724</v>
      </c>
      <c r="D3996" t="s">
        <v>92</v>
      </c>
      <c r="E3996" t="s">
        <v>112</v>
      </c>
      <c r="F3996" t="s">
        <v>244</v>
      </c>
      <c r="G3996" s="39">
        <v>45303</v>
      </c>
      <c r="J3996" t="s">
        <v>981</v>
      </c>
    </row>
    <row r="3997" spans="1:10" x14ac:dyDescent="0.35">
      <c r="A3997">
        <v>16321</v>
      </c>
      <c r="B3997" t="s">
        <v>71</v>
      </c>
      <c r="C3997" t="s">
        <v>724</v>
      </c>
      <c r="D3997" t="s">
        <v>92</v>
      </c>
      <c r="E3997" t="s">
        <v>112</v>
      </c>
      <c r="F3997" t="s">
        <v>244</v>
      </c>
      <c r="G3997" s="39">
        <v>45355</v>
      </c>
      <c r="J3997" t="s">
        <v>981</v>
      </c>
    </row>
    <row r="3998" spans="1:10" x14ac:dyDescent="0.35">
      <c r="A3998">
        <v>16314</v>
      </c>
      <c r="B3998" t="s">
        <v>71</v>
      </c>
      <c r="C3998" t="s">
        <v>724</v>
      </c>
      <c r="D3998" t="s">
        <v>92</v>
      </c>
      <c r="E3998" t="s">
        <v>417</v>
      </c>
      <c r="F3998" t="s">
        <v>244</v>
      </c>
      <c r="G3998" s="39">
        <v>45355</v>
      </c>
      <c r="J3998" t="s">
        <v>981</v>
      </c>
    </row>
    <row r="3999" spans="1:10" x14ac:dyDescent="0.35">
      <c r="A3999">
        <v>17805</v>
      </c>
      <c r="B3999" t="s">
        <v>71</v>
      </c>
      <c r="C3999" t="s">
        <v>724</v>
      </c>
      <c r="D3999" t="s">
        <v>92</v>
      </c>
      <c r="E3999" t="s">
        <v>417</v>
      </c>
      <c r="F3999" t="s">
        <v>244</v>
      </c>
      <c r="G3999" s="39">
        <v>45877</v>
      </c>
      <c r="J3999" t="s">
        <v>981</v>
      </c>
    </row>
    <row r="4000" spans="1:10" x14ac:dyDescent="0.35">
      <c r="A4000">
        <v>16515</v>
      </c>
      <c r="B4000" t="s">
        <v>71</v>
      </c>
      <c r="C4000" t="s">
        <v>724</v>
      </c>
      <c r="D4000" t="s">
        <v>92</v>
      </c>
      <c r="E4000" t="s">
        <v>112</v>
      </c>
      <c r="F4000" t="s">
        <v>244</v>
      </c>
      <c r="G4000" s="39">
        <v>45454</v>
      </c>
      <c r="J4000" t="s">
        <v>981</v>
      </c>
    </row>
    <row r="4001" spans="1:10" x14ac:dyDescent="0.35">
      <c r="A4001">
        <v>17042</v>
      </c>
      <c r="B4001" t="s">
        <v>71</v>
      </c>
      <c r="C4001" t="s">
        <v>724</v>
      </c>
      <c r="D4001" t="s">
        <v>92</v>
      </c>
      <c r="E4001" t="s">
        <v>112</v>
      </c>
      <c r="F4001" t="s">
        <v>244</v>
      </c>
      <c r="G4001" s="39">
        <v>45600</v>
      </c>
      <c r="J4001" t="s">
        <v>981</v>
      </c>
    </row>
    <row r="4002" spans="1:10" x14ac:dyDescent="0.35">
      <c r="A4002">
        <v>17105</v>
      </c>
      <c r="B4002" t="s">
        <v>71</v>
      </c>
      <c r="C4002" t="s">
        <v>724</v>
      </c>
      <c r="D4002" t="s">
        <v>92</v>
      </c>
      <c r="E4002" t="s">
        <v>417</v>
      </c>
      <c r="F4002" t="s">
        <v>244</v>
      </c>
      <c r="G4002" s="39">
        <v>45630</v>
      </c>
      <c r="J4002" t="s">
        <v>981</v>
      </c>
    </row>
    <row r="4003" spans="1:10" x14ac:dyDescent="0.35">
      <c r="A4003">
        <v>17305</v>
      </c>
      <c r="B4003" t="s">
        <v>71</v>
      </c>
      <c r="C4003" t="s">
        <v>724</v>
      </c>
      <c r="D4003" t="s">
        <v>92</v>
      </c>
      <c r="E4003" t="s">
        <v>417</v>
      </c>
      <c r="F4003" t="s">
        <v>244</v>
      </c>
      <c r="G4003" s="39">
        <v>45700</v>
      </c>
      <c r="J4003" t="s">
        <v>981</v>
      </c>
    </row>
    <row r="4004" spans="1:10" x14ac:dyDescent="0.35">
      <c r="A4004">
        <v>17591</v>
      </c>
      <c r="B4004" t="s">
        <v>71</v>
      </c>
      <c r="C4004" t="s">
        <v>724</v>
      </c>
      <c r="D4004" t="s">
        <v>92</v>
      </c>
      <c r="E4004" t="s">
        <v>417</v>
      </c>
      <c r="F4004" t="s">
        <v>244</v>
      </c>
      <c r="G4004" s="39">
        <v>45810</v>
      </c>
      <c r="J4004" t="s">
        <v>981</v>
      </c>
    </row>
    <row r="4005" spans="1:10" x14ac:dyDescent="0.35">
      <c r="A4005">
        <v>18955</v>
      </c>
      <c r="B4005" t="s">
        <v>71</v>
      </c>
      <c r="C4005" t="s">
        <v>724</v>
      </c>
      <c r="D4005" t="s">
        <v>92</v>
      </c>
      <c r="E4005" t="s">
        <v>417</v>
      </c>
      <c r="F4005" t="s">
        <v>244</v>
      </c>
      <c r="G4005" s="39">
        <v>46247</v>
      </c>
      <c r="J4005" t="s">
        <v>981</v>
      </c>
    </row>
    <row r="4006" spans="1:10" x14ac:dyDescent="0.35">
      <c r="A4006">
        <v>17618</v>
      </c>
      <c r="B4006" t="s">
        <v>71</v>
      </c>
      <c r="C4006" t="s">
        <v>724</v>
      </c>
      <c r="D4006" t="s">
        <v>92</v>
      </c>
      <c r="E4006" t="s">
        <v>417</v>
      </c>
      <c r="F4006" t="s">
        <v>244</v>
      </c>
      <c r="G4006" s="39">
        <v>45813</v>
      </c>
      <c r="J4006" t="s">
        <v>981</v>
      </c>
    </row>
    <row r="4007" spans="1:10" x14ac:dyDescent="0.35">
      <c r="A4007">
        <v>17597</v>
      </c>
      <c r="B4007" t="s">
        <v>71</v>
      </c>
      <c r="C4007" t="s">
        <v>724</v>
      </c>
      <c r="D4007" t="s">
        <v>92</v>
      </c>
      <c r="E4007" t="s">
        <v>417</v>
      </c>
      <c r="F4007" t="s">
        <v>244</v>
      </c>
      <c r="G4007" s="39">
        <v>45821</v>
      </c>
      <c r="J4007" t="s">
        <v>981</v>
      </c>
    </row>
    <row r="4008" spans="1:10" x14ac:dyDescent="0.35">
      <c r="A4008">
        <v>18055</v>
      </c>
      <c r="B4008" t="s">
        <v>71</v>
      </c>
      <c r="C4008" t="s">
        <v>724</v>
      </c>
      <c r="D4008" t="s">
        <v>92</v>
      </c>
      <c r="E4008" t="s">
        <v>417</v>
      </c>
      <c r="F4008" t="s">
        <v>244</v>
      </c>
      <c r="G4008" s="39">
        <v>45979</v>
      </c>
      <c r="J4008" t="s">
        <v>981</v>
      </c>
    </row>
    <row r="4009" spans="1:10" x14ac:dyDescent="0.35">
      <c r="A4009">
        <v>18102</v>
      </c>
      <c r="B4009" t="s">
        <v>71</v>
      </c>
      <c r="C4009" t="s">
        <v>724</v>
      </c>
      <c r="D4009" t="s">
        <v>92</v>
      </c>
      <c r="E4009" t="s">
        <v>417</v>
      </c>
      <c r="F4009" t="s">
        <v>244</v>
      </c>
      <c r="G4009" s="39">
        <v>45995</v>
      </c>
      <c r="J4009" t="s">
        <v>981</v>
      </c>
    </row>
    <row r="4010" spans="1:10" x14ac:dyDescent="0.35">
      <c r="A4010">
        <v>18410</v>
      </c>
      <c r="B4010" t="s">
        <v>71</v>
      </c>
      <c r="C4010" t="s">
        <v>724</v>
      </c>
      <c r="D4010" t="s">
        <v>92</v>
      </c>
      <c r="E4010" t="s">
        <v>417</v>
      </c>
      <c r="F4010" t="s">
        <v>244</v>
      </c>
      <c r="G4010" s="39">
        <v>46125</v>
      </c>
      <c r="J4010" t="s">
        <v>981</v>
      </c>
    </row>
    <row r="4011" spans="1:10" x14ac:dyDescent="0.35">
      <c r="A4011">
        <v>12436</v>
      </c>
      <c r="B4011" t="s">
        <v>71</v>
      </c>
      <c r="C4011" t="s">
        <v>724</v>
      </c>
      <c r="D4011" t="s">
        <v>92</v>
      </c>
      <c r="E4011" t="s">
        <v>725</v>
      </c>
      <c r="F4011" t="s">
        <v>244</v>
      </c>
      <c r="G4011" s="39">
        <v>43755</v>
      </c>
      <c r="J4011" t="s">
        <v>981</v>
      </c>
    </row>
    <row r="4012" spans="1:10" x14ac:dyDescent="0.35">
      <c r="A4012">
        <v>11114</v>
      </c>
      <c r="B4012" t="s">
        <v>71</v>
      </c>
      <c r="C4012" t="s">
        <v>726</v>
      </c>
      <c r="D4012" t="s">
        <v>92</v>
      </c>
      <c r="E4012" t="s">
        <v>101</v>
      </c>
      <c r="F4012" t="s">
        <v>244</v>
      </c>
      <c r="G4012" s="39">
        <v>42282</v>
      </c>
      <c r="J4012" t="s">
        <v>981</v>
      </c>
    </row>
    <row r="4013" spans="1:10" x14ac:dyDescent="0.35">
      <c r="A4013">
        <v>10973</v>
      </c>
      <c r="B4013" t="s">
        <v>71</v>
      </c>
      <c r="C4013" t="s">
        <v>726</v>
      </c>
      <c r="D4013" t="s">
        <v>92</v>
      </c>
      <c r="E4013" t="s">
        <v>99</v>
      </c>
      <c r="F4013" t="s">
        <v>244</v>
      </c>
      <c r="G4013" s="39">
        <v>42229</v>
      </c>
      <c r="J4013" t="s">
        <v>981</v>
      </c>
    </row>
    <row r="4014" spans="1:10" x14ac:dyDescent="0.35">
      <c r="A4014">
        <v>10702</v>
      </c>
      <c r="B4014" t="s">
        <v>71</v>
      </c>
      <c r="C4014" t="s">
        <v>726</v>
      </c>
      <c r="D4014" t="s">
        <v>92</v>
      </c>
      <c r="E4014" t="s">
        <v>99</v>
      </c>
      <c r="F4014" t="s">
        <v>244</v>
      </c>
      <c r="G4014" s="39">
        <v>41687</v>
      </c>
      <c r="J4014" t="s">
        <v>981</v>
      </c>
    </row>
    <row r="4015" spans="1:10" x14ac:dyDescent="0.35">
      <c r="A4015">
        <v>14043</v>
      </c>
      <c r="B4015" t="s">
        <v>71</v>
      </c>
      <c r="C4015" t="s">
        <v>726</v>
      </c>
      <c r="D4015" t="s">
        <v>92</v>
      </c>
      <c r="E4015" t="s">
        <v>116</v>
      </c>
      <c r="F4015" t="s">
        <v>244</v>
      </c>
      <c r="G4015" s="39">
        <v>44634</v>
      </c>
      <c r="J4015" t="s">
        <v>981</v>
      </c>
    </row>
    <row r="4016" spans="1:10" x14ac:dyDescent="0.35">
      <c r="A4016">
        <v>18582</v>
      </c>
      <c r="B4016" t="s">
        <v>71</v>
      </c>
      <c r="C4016" t="s">
        <v>726</v>
      </c>
      <c r="D4016" t="s">
        <v>92</v>
      </c>
      <c r="E4016" t="s">
        <v>417</v>
      </c>
      <c r="F4016" t="s">
        <v>244</v>
      </c>
      <c r="G4016" s="39">
        <v>46160</v>
      </c>
      <c r="J4016" t="s">
        <v>981</v>
      </c>
    </row>
    <row r="4017" spans="1:10" x14ac:dyDescent="0.35">
      <c r="A4017">
        <v>18782</v>
      </c>
      <c r="B4017" t="s">
        <v>71</v>
      </c>
      <c r="C4017" t="s">
        <v>726</v>
      </c>
      <c r="D4017" t="s">
        <v>92</v>
      </c>
      <c r="E4017" t="s">
        <v>417</v>
      </c>
      <c r="F4017" t="s">
        <v>244</v>
      </c>
      <c r="G4017" s="39">
        <v>46211</v>
      </c>
      <c r="J4017" t="s">
        <v>981</v>
      </c>
    </row>
    <row r="4018" spans="1:10" x14ac:dyDescent="0.35">
      <c r="A4018">
        <v>10619</v>
      </c>
      <c r="B4018" t="s">
        <v>71</v>
      </c>
      <c r="C4018" t="s">
        <v>727</v>
      </c>
      <c r="D4018" t="s">
        <v>92</v>
      </c>
      <c r="E4018" t="s">
        <v>101</v>
      </c>
      <c r="F4018" t="s">
        <v>244</v>
      </c>
      <c r="G4018" s="39">
        <v>41507</v>
      </c>
      <c r="J4018" t="s">
        <v>981</v>
      </c>
    </row>
    <row r="4019" spans="1:10" x14ac:dyDescent="0.35">
      <c r="A4019">
        <v>10510</v>
      </c>
      <c r="B4019" t="s">
        <v>71</v>
      </c>
      <c r="C4019" t="s">
        <v>727</v>
      </c>
      <c r="D4019" t="s">
        <v>92</v>
      </c>
      <c r="E4019" t="s">
        <v>99</v>
      </c>
      <c r="F4019" t="s">
        <v>244</v>
      </c>
      <c r="G4019" s="39">
        <v>40998</v>
      </c>
      <c r="J4019" t="s">
        <v>981</v>
      </c>
    </row>
    <row r="4020" spans="1:10" x14ac:dyDescent="0.35">
      <c r="A4020">
        <v>14928</v>
      </c>
      <c r="B4020" t="s">
        <v>71</v>
      </c>
      <c r="C4020" t="s">
        <v>727</v>
      </c>
      <c r="D4020" t="s">
        <v>92</v>
      </c>
      <c r="E4020" t="s">
        <v>112</v>
      </c>
      <c r="F4020" t="s">
        <v>244</v>
      </c>
      <c r="G4020" s="39">
        <v>44907</v>
      </c>
      <c r="J4020" t="s">
        <v>981</v>
      </c>
    </row>
    <row r="4021" spans="1:10" x14ac:dyDescent="0.35">
      <c r="A4021">
        <v>15045</v>
      </c>
      <c r="B4021" t="s">
        <v>71</v>
      </c>
      <c r="C4021" t="s">
        <v>727</v>
      </c>
      <c r="D4021" t="s">
        <v>92</v>
      </c>
      <c r="E4021" t="s">
        <v>417</v>
      </c>
      <c r="F4021" t="s">
        <v>244</v>
      </c>
      <c r="G4021" s="39">
        <v>44936</v>
      </c>
      <c r="J4021" t="s">
        <v>981</v>
      </c>
    </row>
    <row r="4022" spans="1:10" x14ac:dyDescent="0.35">
      <c r="A4022">
        <v>17589</v>
      </c>
      <c r="B4022" t="s">
        <v>71</v>
      </c>
      <c r="C4022" t="s">
        <v>727</v>
      </c>
      <c r="D4022" t="s">
        <v>92</v>
      </c>
      <c r="E4022" t="s">
        <v>103</v>
      </c>
      <c r="F4022" t="s">
        <v>244</v>
      </c>
      <c r="G4022" s="39">
        <v>45810</v>
      </c>
      <c r="J4022" t="s">
        <v>981</v>
      </c>
    </row>
    <row r="4023" spans="1:10" x14ac:dyDescent="0.35">
      <c r="A4023">
        <v>10908</v>
      </c>
      <c r="B4023" t="s">
        <v>71</v>
      </c>
      <c r="C4023" t="s">
        <v>728</v>
      </c>
      <c r="D4023" t="s">
        <v>92</v>
      </c>
      <c r="E4023" t="s">
        <v>101</v>
      </c>
      <c r="F4023" t="s">
        <v>244</v>
      </c>
      <c r="G4023" s="39">
        <v>42102</v>
      </c>
      <c r="J4023" t="s">
        <v>981</v>
      </c>
    </row>
    <row r="4024" spans="1:10" x14ac:dyDescent="0.35">
      <c r="A4024">
        <v>10825</v>
      </c>
      <c r="B4024" t="s">
        <v>71</v>
      </c>
      <c r="C4024" t="s">
        <v>728</v>
      </c>
      <c r="D4024" t="s">
        <v>92</v>
      </c>
      <c r="E4024" t="s">
        <v>99</v>
      </c>
      <c r="F4024" t="s">
        <v>244</v>
      </c>
      <c r="G4024" s="39">
        <v>41968</v>
      </c>
      <c r="J4024" t="s">
        <v>981</v>
      </c>
    </row>
    <row r="4025" spans="1:10" x14ac:dyDescent="0.35">
      <c r="A4025">
        <v>14692</v>
      </c>
      <c r="B4025" t="s">
        <v>71</v>
      </c>
      <c r="C4025" t="s">
        <v>728</v>
      </c>
      <c r="D4025" t="s">
        <v>92</v>
      </c>
      <c r="E4025" t="s">
        <v>102</v>
      </c>
      <c r="F4025" t="s">
        <v>244</v>
      </c>
      <c r="G4025" s="39">
        <v>44827</v>
      </c>
      <c r="J4025" t="s">
        <v>981</v>
      </c>
    </row>
    <row r="4026" spans="1:10" x14ac:dyDescent="0.35">
      <c r="A4026">
        <v>10411</v>
      </c>
      <c r="B4026" t="s">
        <v>72</v>
      </c>
      <c r="C4026" t="s">
        <v>92</v>
      </c>
      <c r="D4026" t="s">
        <v>92</v>
      </c>
      <c r="E4026" t="s">
        <v>110</v>
      </c>
      <c r="F4026" t="s">
        <v>244</v>
      </c>
      <c r="G4026" s="39">
        <v>40094</v>
      </c>
      <c r="J4026" t="s">
        <v>981</v>
      </c>
    </row>
    <row r="4027" spans="1:10" x14ac:dyDescent="0.35">
      <c r="A4027">
        <v>11922</v>
      </c>
      <c r="B4027" t="s">
        <v>72</v>
      </c>
      <c r="C4027" t="s">
        <v>729</v>
      </c>
      <c r="D4027" t="s">
        <v>92</v>
      </c>
      <c r="E4027" t="s">
        <v>99</v>
      </c>
      <c r="F4027" t="s">
        <v>244</v>
      </c>
      <c r="G4027" s="39">
        <v>43290</v>
      </c>
      <c r="J4027" t="s">
        <v>981</v>
      </c>
    </row>
    <row r="4028" spans="1:10" x14ac:dyDescent="0.35">
      <c r="A4028">
        <v>10645</v>
      </c>
      <c r="B4028" t="s">
        <v>72</v>
      </c>
      <c r="C4028" t="s">
        <v>729</v>
      </c>
      <c r="D4028" t="s">
        <v>92</v>
      </c>
      <c r="E4028" t="s">
        <v>109</v>
      </c>
      <c r="F4028" t="s">
        <v>244</v>
      </c>
      <c r="G4028" s="39">
        <v>41579</v>
      </c>
      <c r="J4028" t="s">
        <v>981</v>
      </c>
    </row>
    <row r="4029" spans="1:10" x14ac:dyDescent="0.35">
      <c r="A4029">
        <v>16472</v>
      </c>
      <c r="B4029" t="s">
        <v>72</v>
      </c>
      <c r="C4029" t="s">
        <v>729</v>
      </c>
      <c r="D4029" t="s">
        <v>92</v>
      </c>
      <c r="E4029" t="s">
        <v>109</v>
      </c>
      <c r="F4029" t="s">
        <v>244</v>
      </c>
      <c r="G4029" s="39">
        <v>45422</v>
      </c>
      <c r="J4029" t="s">
        <v>981</v>
      </c>
    </row>
    <row r="4030" spans="1:10" x14ac:dyDescent="0.35">
      <c r="A4030">
        <v>12873</v>
      </c>
      <c r="B4030" t="s">
        <v>72</v>
      </c>
      <c r="C4030" t="s">
        <v>729</v>
      </c>
      <c r="D4030" t="s">
        <v>92</v>
      </c>
      <c r="E4030" t="s">
        <v>109</v>
      </c>
      <c r="F4030" t="s">
        <v>244</v>
      </c>
      <c r="G4030" s="39">
        <v>44068</v>
      </c>
      <c r="J4030" t="s">
        <v>981</v>
      </c>
    </row>
    <row r="4031" spans="1:10" x14ac:dyDescent="0.35">
      <c r="A4031">
        <v>11160</v>
      </c>
      <c r="B4031" t="s">
        <v>72</v>
      </c>
      <c r="C4031" t="s">
        <v>729</v>
      </c>
      <c r="D4031" t="s">
        <v>92</v>
      </c>
      <c r="E4031" t="s">
        <v>109</v>
      </c>
      <c r="F4031" t="s">
        <v>244</v>
      </c>
      <c r="G4031" s="39">
        <v>42334</v>
      </c>
      <c r="J4031" t="s">
        <v>981</v>
      </c>
    </row>
    <row r="4032" spans="1:10" x14ac:dyDescent="0.35">
      <c r="A4032">
        <v>11103</v>
      </c>
      <c r="B4032" t="s">
        <v>72</v>
      </c>
      <c r="C4032" t="s">
        <v>729</v>
      </c>
      <c r="D4032" t="s">
        <v>92</v>
      </c>
      <c r="E4032" t="s">
        <v>109</v>
      </c>
      <c r="F4032" t="s">
        <v>244</v>
      </c>
      <c r="G4032" s="39">
        <v>42268</v>
      </c>
      <c r="J4032" t="s">
        <v>981</v>
      </c>
    </row>
    <row r="4033" spans="1:10" x14ac:dyDescent="0.35">
      <c r="A4033">
        <v>11264</v>
      </c>
      <c r="B4033" t="s">
        <v>72</v>
      </c>
      <c r="C4033" t="s">
        <v>729</v>
      </c>
      <c r="D4033" t="s">
        <v>92</v>
      </c>
      <c r="E4033" t="s">
        <v>102</v>
      </c>
      <c r="F4033" t="s">
        <v>244</v>
      </c>
      <c r="G4033" s="39">
        <v>42471</v>
      </c>
      <c r="J4033" t="s">
        <v>981</v>
      </c>
    </row>
    <row r="4034" spans="1:10" x14ac:dyDescent="0.35">
      <c r="A4034">
        <v>15301</v>
      </c>
      <c r="B4034" t="s">
        <v>72</v>
      </c>
      <c r="C4034" t="s">
        <v>729</v>
      </c>
      <c r="D4034" t="s">
        <v>92</v>
      </c>
      <c r="E4034" t="s">
        <v>102</v>
      </c>
      <c r="F4034" t="s">
        <v>244</v>
      </c>
      <c r="G4034" s="39">
        <v>45019</v>
      </c>
      <c r="J4034" t="s">
        <v>981</v>
      </c>
    </row>
    <row r="4035" spans="1:10" x14ac:dyDescent="0.35">
      <c r="A4035">
        <v>16998</v>
      </c>
      <c r="B4035" t="s">
        <v>72</v>
      </c>
      <c r="C4035" t="s">
        <v>729</v>
      </c>
      <c r="D4035" t="s">
        <v>92</v>
      </c>
      <c r="E4035" t="s">
        <v>102</v>
      </c>
      <c r="F4035" t="s">
        <v>244</v>
      </c>
      <c r="G4035" s="39">
        <v>45590</v>
      </c>
      <c r="J4035" t="s">
        <v>981</v>
      </c>
    </row>
    <row r="4036" spans="1:10" x14ac:dyDescent="0.35">
      <c r="A4036">
        <v>16553</v>
      </c>
      <c r="B4036" t="s">
        <v>72</v>
      </c>
      <c r="C4036" t="s">
        <v>729</v>
      </c>
      <c r="D4036" t="s">
        <v>92</v>
      </c>
      <c r="E4036" t="s">
        <v>103</v>
      </c>
      <c r="F4036" t="s">
        <v>244</v>
      </c>
      <c r="G4036" s="39">
        <v>45495</v>
      </c>
      <c r="J4036" t="s">
        <v>981</v>
      </c>
    </row>
    <row r="4037" spans="1:10" x14ac:dyDescent="0.35">
      <c r="A4037">
        <v>18295</v>
      </c>
      <c r="B4037" t="s">
        <v>72</v>
      </c>
      <c r="C4037" t="s">
        <v>729</v>
      </c>
      <c r="D4037" t="s">
        <v>92</v>
      </c>
      <c r="E4037" t="s">
        <v>103</v>
      </c>
      <c r="F4037" t="s">
        <v>244</v>
      </c>
      <c r="G4037" s="39">
        <v>46086</v>
      </c>
      <c r="J4037" t="s">
        <v>981</v>
      </c>
    </row>
    <row r="4038" spans="1:10" x14ac:dyDescent="0.35">
      <c r="A4038">
        <v>17103</v>
      </c>
      <c r="B4038" t="s">
        <v>72</v>
      </c>
      <c r="C4038" t="s">
        <v>729</v>
      </c>
      <c r="D4038" t="s">
        <v>92</v>
      </c>
      <c r="E4038" t="s">
        <v>103</v>
      </c>
      <c r="F4038" t="s">
        <v>244</v>
      </c>
      <c r="G4038" s="39">
        <v>45628</v>
      </c>
      <c r="J4038" t="s">
        <v>981</v>
      </c>
    </row>
    <row r="4039" spans="1:10" x14ac:dyDescent="0.35">
      <c r="A4039">
        <v>17306</v>
      </c>
      <c r="B4039" t="s">
        <v>72</v>
      </c>
      <c r="C4039" t="s">
        <v>729</v>
      </c>
      <c r="D4039" t="s">
        <v>92</v>
      </c>
      <c r="E4039" t="s">
        <v>102</v>
      </c>
      <c r="F4039" t="s">
        <v>244</v>
      </c>
      <c r="G4039" s="39">
        <v>45700</v>
      </c>
      <c r="J4039" t="s">
        <v>981</v>
      </c>
    </row>
    <row r="4040" spans="1:10" x14ac:dyDescent="0.35">
      <c r="A4040">
        <v>17554</v>
      </c>
      <c r="B4040" t="s">
        <v>72</v>
      </c>
      <c r="C4040" t="s">
        <v>729</v>
      </c>
      <c r="D4040" t="s">
        <v>92</v>
      </c>
      <c r="E4040" t="s">
        <v>103</v>
      </c>
      <c r="F4040" t="s">
        <v>244</v>
      </c>
      <c r="G4040" s="39">
        <v>45791</v>
      </c>
      <c r="J4040" t="s">
        <v>981</v>
      </c>
    </row>
    <row r="4041" spans="1:10" x14ac:dyDescent="0.35">
      <c r="A4041">
        <v>17648</v>
      </c>
      <c r="B4041" t="s">
        <v>72</v>
      </c>
      <c r="C4041" t="s">
        <v>729</v>
      </c>
      <c r="D4041" t="s">
        <v>92</v>
      </c>
      <c r="E4041" t="s">
        <v>103</v>
      </c>
      <c r="F4041" t="s">
        <v>244</v>
      </c>
      <c r="G4041" s="39">
        <v>45828</v>
      </c>
      <c r="J4041" t="s">
        <v>981</v>
      </c>
    </row>
    <row r="4042" spans="1:10" x14ac:dyDescent="0.35">
      <c r="A4042">
        <v>17670</v>
      </c>
      <c r="B4042" t="s">
        <v>72</v>
      </c>
      <c r="C4042" t="s">
        <v>729</v>
      </c>
      <c r="D4042" t="s">
        <v>92</v>
      </c>
      <c r="E4042" t="s">
        <v>103</v>
      </c>
      <c r="F4042" t="s">
        <v>244</v>
      </c>
      <c r="G4042" s="39">
        <v>45840</v>
      </c>
      <c r="J4042" t="s">
        <v>981</v>
      </c>
    </row>
    <row r="4043" spans="1:10" x14ac:dyDescent="0.35">
      <c r="A4043">
        <v>18347</v>
      </c>
      <c r="B4043" t="s">
        <v>72</v>
      </c>
      <c r="C4043" t="s">
        <v>729</v>
      </c>
      <c r="D4043" t="s">
        <v>92</v>
      </c>
      <c r="E4043" t="s">
        <v>106</v>
      </c>
      <c r="F4043" t="s">
        <v>244</v>
      </c>
      <c r="G4043" s="39">
        <v>46098</v>
      </c>
      <c r="J4043" t="s">
        <v>981</v>
      </c>
    </row>
    <row r="4044" spans="1:10" x14ac:dyDescent="0.35">
      <c r="A4044">
        <v>10697</v>
      </c>
      <c r="B4044" t="s">
        <v>72</v>
      </c>
      <c r="C4044" t="s">
        <v>730</v>
      </c>
      <c r="D4044" t="s">
        <v>92</v>
      </c>
      <c r="E4044" t="s">
        <v>101</v>
      </c>
      <c r="F4044" t="s">
        <v>244</v>
      </c>
      <c r="G4044" s="39">
        <v>41339</v>
      </c>
      <c r="J4044" t="s">
        <v>981</v>
      </c>
    </row>
    <row r="4045" spans="1:10" x14ac:dyDescent="0.35">
      <c r="A4045">
        <v>10881</v>
      </c>
      <c r="B4045" t="s">
        <v>72</v>
      </c>
      <c r="C4045" t="s">
        <v>730</v>
      </c>
      <c r="D4045" t="s">
        <v>92</v>
      </c>
      <c r="E4045" t="s">
        <v>99</v>
      </c>
      <c r="F4045" t="s">
        <v>244</v>
      </c>
      <c r="G4045" s="39">
        <v>42068</v>
      </c>
      <c r="J4045" t="s">
        <v>981</v>
      </c>
    </row>
    <row r="4046" spans="1:10" x14ac:dyDescent="0.35">
      <c r="A4046">
        <v>12097</v>
      </c>
      <c r="B4046" t="s">
        <v>72</v>
      </c>
      <c r="C4046" t="s">
        <v>730</v>
      </c>
      <c r="D4046" t="s">
        <v>92</v>
      </c>
      <c r="E4046" t="s">
        <v>99</v>
      </c>
      <c r="F4046" t="s">
        <v>244</v>
      </c>
      <c r="G4046" s="39">
        <v>43469</v>
      </c>
      <c r="J4046" t="s">
        <v>981</v>
      </c>
    </row>
    <row r="4047" spans="1:10" x14ac:dyDescent="0.35">
      <c r="A4047">
        <v>10983</v>
      </c>
      <c r="B4047" t="s">
        <v>72</v>
      </c>
      <c r="C4047" t="s">
        <v>730</v>
      </c>
      <c r="D4047" t="s">
        <v>92</v>
      </c>
      <c r="E4047" t="s">
        <v>109</v>
      </c>
      <c r="F4047" t="s">
        <v>244</v>
      </c>
      <c r="G4047" s="39">
        <v>42241</v>
      </c>
      <c r="J4047" t="s">
        <v>981</v>
      </c>
    </row>
    <row r="4048" spans="1:10" x14ac:dyDescent="0.35">
      <c r="A4048">
        <v>10880</v>
      </c>
      <c r="B4048" t="s">
        <v>72</v>
      </c>
      <c r="C4048" t="s">
        <v>730</v>
      </c>
      <c r="D4048" t="s">
        <v>92</v>
      </c>
      <c r="E4048" t="s">
        <v>109</v>
      </c>
      <c r="F4048" t="s">
        <v>244</v>
      </c>
      <c r="G4048" s="39">
        <v>42068</v>
      </c>
      <c r="J4048" t="s">
        <v>981</v>
      </c>
    </row>
    <row r="4049" spans="1:10" x14ac:dyDescent="0.35">
      <c r="A4049">
        <v>13458</v>
      </c>
      <c r="B4049" t="s">
        <v>72</v>
      </c>
      <c r="C4049" t="s">
        <v>730</v>
      </c>
      <c r="D4049" t="s">
        <v>92</v>
      </c>
      <c r="E4049" t="s">
        <v>109</v>
      </c>
      <c r="F4049" t="s">
        <v>244</v>
      </c>
      <c r="G4049" s="39">
        <v>44462</v>
      </c>
      <c r="J4049" t="s">
        <v>981</v>
      </c>
    </row>
    <row r="4050" spans="1:10" x14ac:dyDescent="0.35">
      <c r="A4050">
        <v>12909</v>
      </c>
      <c r="B4050" t="s">
        <v>72</v>
      </c>
      <c r="C4050" t="s">
        <v>730</v>
      </c>
      <c r="D4050" t="s">
        <v>92</v>
      </c>
      <c r="E4050" t="s">
        <v>102</v>
      </c>
      <c r="F4050" t="s">
        <v>244</v>
      </c>
      <c r="G4050" s="39">
        <v>44098</v>
      </c>
      <c r="J4050" t="s">
        <v>981</v>
      </c>
    </row>
    <row r="4051" spans="1:10" x14ac:dyDescent="0.35">
      <c r="A4051">
        <v>14720</v>
      </c>
      <c r="B4051" t="s">
        <v>72</v>
      </c>
      <c r="C4051" t="s">
        <v>730</v>
      </c>
      <c r="D4051" t="s">
        <v>92</v>
      </c>
      <c r="E4051" t="s">
        <v>398</v>
      </c>
      <c r="F4051" t="s">
        <v>244</v>
      </c>
      <c r="G4051" s="39">
        <v>44840</v>
      </c>
      <c r="J4051" t="s">
        <v>981</v>
      </c>
    </row>
    <row r="4052" spans="1:10" x14ac:dyDescent="0.35">
      <c r="A4052">
        <v>13699</v>
      </c>
      <c r="B4052" t="s">
        <v>72</v>
      </c>
      <c r="C4052" t="s">
        <v>730</v>
      </c>
      <c r="D4052" t="s">
        <v>92</v>
      </c>
      <c r="E4052" t="s">
        <v>102</v>
      </c>
      <c r="F4052" t="s">
        <v>244</v>
      </c>
      <c r="G4052" s="39">
        <v>44538</v>
      </c>
      <c r="J4052" t="s">
        <v>981</v>
      </c>
    </row>
    <row r="4053" spans="1:10" x14ac:dyDescent="0.35">
      <c r="A4053">
        <v>14032</v>
      </c>
      <c r="B4053" t="s">
        <v>72</v>
      </c>
      <c r="C4053" t="s">
        <v>730</v>
      </c>
      <c r="D4053" t="s">
        <v>92</v>
      </c>
      <c r="E4053" t="s">
        <v>102</v>
      </c>
      <c r="F4053" t="s">
        <v>244</v>
      </c>
      <c r="G4053" s="39">
        <v>44631</v>
      </c>
      <c r="J4053" t="s">
        <v>981</v>
      </c>
    </row>
    <row r="4054" spans="1:10" x14ac:dyDescent="0.35">
      <c r="A4054">
        <v>14199</v>
      </c>
      <c r="B4054" t="s">
        <v>72</v>
      </c>
      <c r="C4054" t="s">
        <v>730</v>
      </c>
      <c r="D4054" t="s">
        <v>92</v>
      </c>
      <c r="E4054" t="s">
        <v>102</v>
      </c>
      <c r="F4054" t="s">
        <v>244</v>
      </c>
      <c r="G4054" s="39">
        <v>44698</v>
      </c>
      <c r="J4054" t="s">
        <v>981</v>
      </c>
    </row>
    <row r="4055" spans="1:10" x14ac:dyDescent="0.35">
      <c r="A4055">
        <v>14373</v>
      </c>
      <c r="B4055" t="s">
        <v>72</v>
      </c>
      <c r="C4055" t="s">
        <v>730</v>
      </c>
      <c r="D4055" t="s">
        <v>92</v>
      </c>
      <c r="E4055" t="s">
        <v>102</v>
      </c>
      <c r="F4055" t="s">
        <v>244</v>
      </c>
      <c r="G4055" s="39">
        <v>44746</v>
      </c>
      <c r="J4055" t="s">
        <v>981</v>
      </c>
    </row>
    <row r="4056" spans="1:10" x14ac:dyDescent="0.35">
      <c r="A4056">
        <v>14399</v>
      </c>
      <c r="B4056" t="s">
        <v>72</v>
      </c>
      <c r="C4056" t="s">
        <v>730</v>
      </c>
      <c r="D4056" t="s">
        <v>92</v>
      </c>
      <c r="E4056" t="s">
        <v>102</v>
      </c>
      <c r="F4056" t="s">
        <v>244</v>
      </c>
      <c r="G4056" s="39">
        <v>44749</v>
      </c>
      <c r="J4056" t="s">
        <v>981</v>
      </c>
    </row>
    <row r="4057" spans="1:10" x14ac:dyDescent="0.35">
      <c r="A4057">
        <v>14413</v>
      </c>
      <c r="B4057" t="s">
        <v>72</v>
      </c>
      <c r="C4057" t="s">
        <v>730</v>
      </c>
      <c r="D4057" t="s">
        <v>92</v>
      </c>
      <c r="E4057" t="s">
        <v>103</v>
      </c>
      <c r="F4057" t="s">
        <v>244</v>
      </c>
      <c r="G4057" s="39">
        <v>44756</v>
      </c>
      <c r="J4057" t="s">
        <v>981</v>
      </c>
    </row>
    <row r="4058" spans="1:10" x14ac:dyDescent="0.35">
      <c r="A4058">
        <v>14855</v>
      </c>
      <c r="B4058" t="s">
        <v>72</v>
      </c>
      <c r="C4058" t="s">
        <v>730</v>
      </c>
      <c r="D4058" t="s">
        <v>92</v>
      </c>
      <c r="E4058" t="s">
        <v>103</v>
      </c>
      <c r="F4058" t="s">
        <v>244</v>
      </c>
      <c r="G4058" s="39">
        <v>44880</v>
      </c>
      <c r="J4058" t="s">
        <v>981</v>
      </c>
    </row>
    <row r="4059" spans="1:10" x14ac:dyDescent="0.35">
      <c r="A4059">
        <v>14684</v>
      </c>
      <c r="B4059" t="s">
        <v>72</v>
      </c>
      <c r="C4059" t="s">
        <v>730</v>
      </c>
      <c r="D4059" t="s">
        <v>92</v>
      </c>
      <c r="E4059" t="s">
        <v>103</v>
      </c>
      <c r="F4059" t="s">
        <v>244</v>
      </c>
      <c r="G4059" s="39">
        <v>44825</v>
      </c>
      <c r="J4059" t="s">
        <v>981</v>
      </c>
    </row>
    <row r="4060" spans="1:10" x14ac:dyDescent="0.35">
      <c r="A4060">
        <v>14685</v>
      </c>
      <c r="B4060" t="s">
        <v>72</v>
      </c>
      <c r="C4060" t="s">
        <v>730</v>
      </c>
      <c r="D4060" t="s">
        <v>92</v>
      </c>
      <c r="E4060" t="s">
        <v>103</v>
      </c>
      <c r="F4060" t="s">
        <v>244</v>
      </c>
      <c r="G4060" s="39">
        <v>44825</v>
      </c>
      <c r="J4060" t="s">
        <v>981</v>
      </c>
    </row>
    <row r="4061" spans="1:10" x14ac:dyDescent="0.35">
      <c r="A4061">
        <v>14709</v>
      </c>
      <c r="B4061" t="s">
        <v>72</v>
      </c>
      <c r="C4061" t="s">
        <v>730</v>
      </c>
      <c r="D4061" t="s">
        <v>92</v>
      </c>
      <c r="E4061" t="s">
        <v>102</v>
      </c>
      <c r="F4061" t="s">
        <v>244</v>
      </c>
      <c r="G4061" s="39">
        <v>44837</v>
      </c>
      <c r="J4061" t="s">
        <v>981</v>
      </c>
    </row>
    <row r="4062" spans="1:10" x14ac:dyDescent="0.35">
      <c r="A4062">
        <v>14722</v>
      </c>
      <c r="B4062" t="s">
        <v>72</v>
      </c>
      <c r="C4062" t="s">
        <v>730</v>
      </c>
      <c r="D4062" t="s">
        <v>92</v>
      </c>
      <c r="E4062" t="s">
        <v>102</v>
      </c>
      <c r="F4062" t="s">
        <v>244</v>
      </c>
      <c r="G4062" s="39">
        <v>44840</v>
      </c>
      <c r="J4062" t="s">
        <v>981</v>
      </c>
    </row>
    <row r="4063" spans="1:10" x14ac:dyDescent="0.35">
      <c r="A4063">
        <v>14736</v>
      </c>
      <c r="B4063" t="s">
        <v>72</v>
      </c>
      <c r="C4063" t="s">
        <v>730</v>
      </c>
      <c r="D4063" t="s">
        <v>92</v>
      </c>
      <c r="E4063" t="s">
        <v>102</v>
      </c>
      <c r="F4063" t="s">
        <v>244</v>
      </c>
      <c r="G4063" s="39">
        <v>44844</v>
      </c>
      <c r="J4063" t="s">
        <v>981</v>
      </c>
    </row>
    <row r="4064" spans="1:10" x14ac:dyDescent="0.35">
      <c r="A4064">
        <v>14757</v>
      </c>
      <c r="B4064" t="s">
        <v>72</v>
      </c>
      <c r="C4064" t="s">
        <v>730</v>
      </c>
      <c r="D4064" t="s">
        <v>92</v>
      </c>
      <c r="E4064" t="s">
        <v>102</v>
      </c>
      <c r="F4064" t="s">
        <v>244</v>
      </c>
      <c r="G4064" s="39">
        <v>44852</v>
      </c>
      <c r="J4064" t="s">
        <v>981</v>
      </c>
    </row>
    <row r="4065" spans="1:10" x14ac:dyDescent="0.35">
      <c r="A4065">
        <v>14725</v>
      </c>
      <c r="B4065" t="s">
        <v>72</v>
      </c>
      <c r="C4065" t="s">
        <v>730</v>
      </c>
      <c r="D4065" t="s">
        <v>92</v>
      </c>
      <c r="E4065" t="s">
        <v>103</v>
      </c>
      <c r="F4065" t="s">
        <v>244</v>
      </c>
      <c r="G4065" s="39">
        <v>44840</v>
      </c>
      <c r="J4065" t="s">
        <v>981</v>
      </c>
    </row>
    <row r="4066" spans="1:10" x14ac:dyDescent="0.35">
      <c r="A4066">
        <v>14656</v>
      </c>
      <c r="B4066" t="s">
        <v>72</v>
      </c>
      <c r="C4066" t="s">
        <v>730</v>
      </c>
      <c r="D4066" t="s">
        <v>92</v>
      </c>
      <c r="E4066" t="s">
        <v>103</v>
      </c>
      <c r="F4066" t="s">
        <v>244</v>
      </c>
      <c r="G4066" s="39">
        <v>44817</v>
      </c>
      <c r="J4066" t="s">
        <v>981</v>
      </c>
    </row>
    <row r="4067" spans="1:10" x14ac:dyDescent="0.35">
      <c r="A4067">
        <v>14682</v>
      </c>
      <c r="B4067" t="s">
        <v>72</v>
      </c>
      <c r="C4067" t="s">
        <v>730</v>
      </c>
      <c r="D4067" t="s">
        <v>92</v>
      </c>
      <c r="E4067" t="s">
        <v>102</v>
      </c>
      <c r="F4067" t="s">
        <v>244</v>
      </c>
      <c r="G4067" s="39">
        <v>44826</v>
      </c>
      <c r="J4067" t="s">
        <v>981</v>
      </c>
    </row>
    <row r="4068" spans="1:10" x14ac:dyDescent="0.35">
      <c r="A4068">
        <v>14710</v>
      </c>
      <c r="B4068" t="s">
        <v>72</v>
      </c>
      <c r="C4068" t="s">
        <v>730</v>
      </c>
      <c r="D4068" t="s">
        <v>92</v>
      </c>
      <c r="E4068" t="s">
        <v>103</v>
      </c>
      <c r="F4068" t="s">
        <v>244</v>
      </c>
      <c r="G4068" s="39">
        <v>44839</v>
      </c>
      <c r="J4068" t="s">
        <v>981</v>
      </c>
    </row>
    <row r="4069" spans="1:10" x14ac:dyDescent="0.35">
      <c r="A4069">
        <v>15655</v>
      </c>
      <c r="B4069" t="s">
        <v>72</v>
      </c>
      <c r="C4069" t="s">
        <v>730</v>
      </c>
      <c r="D4069" t="s">
        <v>92</v>
      </c>
      <c r="E4069" t="s">
        <v>103</v>
      </c>
      <c r="F4069" t="s">
        <v>244</v>
      </c>
      <c r="G4069" s="39">
        <v>45155</v>
      </c>
      <c r="J4069" t="s">
        <v>981</v>
      </c>
    </row>
    <row r="4070" spans="1:10" x14ac:dyDescent="0.35">
      <c r="A4070">
        <v>15404</v>
      </c>
      <c r="B4070" t="s">
        <v>72</v>
      </c>
      <c r="C4070" t="s">
        <v>730</v>
      </c>
      <c r="D4070" t="s">
        <v>92</v>
      </c>
      <c r="E4070" t="s">
        <v>103</v>
      </c>
      <c r="F4070" t="s">
        <v>411</v>
      </c>
      <c r="G4070" s="39">
        <v>45058</v>
      </c>
      <c r="J4070" t="s">
        <v>981</v>
      </c>
    </row>
    <row r="4071" spans="1:10" x14ac:dyDescent="0.35">
      <c r="A4071">
        <v>15607</v>
      </c>
      <c r="B4071" t="s">
        <v>72</v>
      </c>
      <c r="C4071" t="s">
        <v>730</v>
      </c>
      <c r="D4071" t="s">
        <v>92</v>
      </c>
      <c r="E4071" t="s">
        <v>103</v>
      </c>
      <c r="F4071" t="s">
        <v>244</v>
      </c>
      <c r="G4071" s="39">
        <v>45139</v>
      </c>
      <c r="J4071" t="s">
        <v>981</v>
      </c>
    </row>
    <row r="4072" spans="1:10" x14ac:dyDescent="0.35">
      <c r="A4072">
        <v>15654</v>
      </c>
      <c r="B4072" t="s">
        <v>72</v>
      </c>
      <c r="C4072" t="s">
        <v>730</v>
      </c>
      <c r="D4072" t="s">
        <v>92</v>
      </c>
      <c r="E4072" t="s">
        <v>102</v>
      </c>
      <c r="F4072" t="s">
        <v>244</v>
      </c>
      <c r="G4072" s="39">
        <v>45155</v>
      </c>
      <c r="J4072" t="s">
        <v>981</v>
      </c>
    </row>
    <row r="4073" spans="1:10" x14ac:dyDescent="0.35">
      <c r="A4073">
        <v>15673</v>
      </c>
      <c r="B4073" t="s">
        <v>72</v>
      </c>
      <c r="C4073" t="s">
        <v>730</v>
      </c>
      <c r="D4073" t="s">
        <v>92</v>
      </c>
      <c r="E4073" t="s">
        <v>103</v>
      </c>
      <c r="F4073" t="s">
        <v>244</v>
      </c>
      <c r="G4073" s="39">
        <v>45163</v>
      </c>
      <c r="J4073" t="s">
        <v>981</v>
      </c>
    </row>
    <row r="4074" spans="1:10" x14ac:dyDescent="0.35">
      <c r="A4074">
        <v>15745</v>
      </c>
      <c r="B4074" t="s">
        <v>72</v>
      </c>
      <c r="C4074" t="s">
        <v>730</v>
      </c>
      <c r="D4074" t="s">
        <v>92</v>
      </c>
      <c r="E4074" t="s">
        <v>103</v>
      </c>
      <c r="F4074" t="s">
        <v>244</v>
      </c>
      <c r="G4074" s="39">
        <v>45184</v>
      </c>
      <c r="J4074" t="s">
        <v>981</v>
      </c>
    </row>
    <row r="4075" spans="1:10" x14ac:dyDescent="0.35">
      <c r="A4075">
        <v>15794</v>
      </c>
      <c r="B4075" t="s">
        <v>72</v>
      </c>
      <c r="C4075" t="s">
        <v>730</v>
      </c>
      <c r="D4075" t="s">
        <v>92</v>
      </c>
      <c r="E4075" t="s">
        <v>103</v>
      </c>
      <c r="F4075" t="s">
        <v>244</v>
      </c>
      <c r="G4075" s="39">
        <v>45195</v>
      </c>
      <c r="J4075" t="s">
        <v>981</v>
      </c>
    </row>
    <row r="4076" spans="1:10" x14ac:dyDescent="0.35">
      <c r="A4076">
        <v>16687</v>
      </c>
      <c r="B4076" t="s">
        <v>72</v>
      </c>
      <c r="C4076" t="s">
        <v>730</v>
      </c>
      <c r="D4076" t="s">
        <v>92</v>
      </c>
      <c r="E4076" t="s">
        <v>103</v>
      </c>
      <c r="F4076" t="s">
        <v>244</v>
      </c>
      <c r="G4076" s="39">
        <v>45520</v>
      </c>
      <c r="J4076" t="s">
        <v>981</v>
      </c>
    </row>
    <row r="4077" spans="1:10" x14ac:dyDescent="0.35">
      <c r="A4077">
        <v>16126</v>
      </c>
      <c r="B4077" t="s">
        <v>72</v>
      </c>
      <c r="C4077" t="s">
        <v>730</v>
      </c>
      <c r="D4077" t="s">
        <v>92</v>
      </c>
      <c r="E4077" t="s">
        <v>102</v>
      </c>
      <c r="F4077" t="s">
        <v>244</v>
      </c>
      <c r="G4077" s="39">
        <v>45288</v>
      </c>
      <c r="J4077" t="s">
        <v>981</v>
      </c>
    </row>
    <row r="4078" spans="1:10" x14ac:dyDescent="0.35">
      <c r="A4078">
        <v>16180</v>
      </c>
      <c r="B4078" t="s">
        <v>72</v>
      </c>
      <c r="C4078" t="s">
        <v>730</v>
      </c>
      <c r="D4078" t="s">
        <v>92</v>
      </c>
      <c r="E4078" t="s">
        <v>103</v>
      </c>
      <c r="F4078" t="s">
        <v>244</v>
      </c>
      <c r="G4078" s="39">
        <v>45310</v>
      </c>
      <c r="J4078" t="s">
        <v>981</v>
      </c>
    </row>
    <row r="4079" spans="1:10" x14ac:dyDescent="0.35">
      <c r="A4079">
        <v>16181</v>
      </c>
      <c r="B4079" t="s">
        <v>72</v>
      </c>
      <c r="C4079" t="s">
        <v>730</v>
      </c>
      <c r="D4079" t="s">
        <v>92</v>
      </c>
      <c r="E4079" t="s">
        <v>103</v>
      </c>
      <c r="F4079" t="s">
        <v>244</v>
      </c>
      <c r="G4079" s="39">
        <v>45310</v>
      </c>
      <c r="J4079" t="s">
        <v>981</v>
      </c>
    </row>
    <row r="4080" spans="1:10" x14ac:dyDescent="0.35">
      <c r="A4080">
        <v>16183</v>
      </c>
      <c r="B4080" t="s">
        <v>72</v>
      </c>
      <c r="C4080" t="s">
        <v>730</v>
      </c>
      <c r="D4080" t="s">
        <v>92</v>
      </c>
      <c r="E4080" t="s">
        <v>103</v>
      </c>
      <c r="F4080" t="s">
        <v>244</v>
      </c>
      <c r="G4080" s="39">
        <v>45310</v>
      </c>
      <c r="J4080" t="s">
        <v>981</v>
      </c>
    </row>
    <row r="4081" spans="1:10" x14ac:dyDescent="0.35">
      <c r="A4081">
        <v>16185</v>
      </c>
      <c r="B4081" t="s">
        <v>72</v>
      </c>
      <c r="C4081" t="s">
        <v>730</v>
      </c>
      <c r="D4081" t="s">
        <v>92</v>
      </c>
      <c r="E4081" t="s">
        <v>103</v>
      </c>
      <c r="F4081" t="s">
        <v>244</v>
      </c>
      <c r="G4081" s="39">
        <v>45310</v>
      </c>
      <c r="J4081" t="s">
        <v>981</v>
      </c>
    </row>
    <row r="4082" spans="1:10" x14ac:dyDescent="0.35">
      <c r="A4082">
        <v>16538</v>
      </c>
      <c r="B4082" t="s">
        <v>72</v>
      </c>
      <c r="C4082" t="s">
        <v>730</v>
      </c>
      <c r="D4082" t="s">
        <v>92</v>
      </c>
      <c r="E4082" t="s">
        <v>103</v>
      </c>
      <c r="F4082" t="s">
        <v>244</v>
      </c>
      <c r="G4082" s="39">
        <v>45478</v>
      </c>
      <c r="J4082" t="s">
        <v>981</v>
      </c>
    </row>
    <row r="4083" spans="1:10" x14ac:dyDescent="0.35">
      <c r="A4083">
        <v>16541</v>
      </c>
      <c r="B4083" t="s">
        <v>72</v>
      </c>
      <c r="C4083" t="s">
        <v>730</v>
      </c>
      <c r="D4083" t="s">
        <v>92</v>
      </c>
      <c r="E4083" t="s">
        <v>103</v>
      </c>
      <c r="F4083" t="s">
        <v>244</v>
      </c>
      <c r="G4083" s="39">
        <v>45478</v>
      </c>
      <c r="J4083" t="s">
        <v>981</v>
      </c>
    </row>
    <row r="4084" spans="1:10" x14ac:dyDescent="0.35">
      <c r="A4084">
        <v>16558</v>
      </c>
      <c r="B4084" t="s">
        <v>72</v>
      </c>
      <c r="C4084" t="s">
        <v>730</v>
      </c>
      <c r="D4084" t="s">
        <v>92</v>
      </c>
      <c r="E4084" t="s">
        <v>103</v>
      </c>
      <c r="F4084" t="s">
        <v>244</v>
      </c>
      <c r="G4084" s="39">
        <v>45488</v>
      </c>
      <c r="J4084" t="s">
        <v>981</v>
      </c>
    </row>
    <row r="4085" spans="1:10" x14ac:dyDescent="0.35">
      <c r="A4085">
        <v>16560</v>
      </c>
      <c r="B4085" t="s">
        <v>72</v>
      </c>
      <c r="C4085" t="s">
        <v>730</v>
      </c>
      <c r="D4085" t="s">
        <v>92</v>
      </c>
      <c r="E4085" t="s">
        <v>103</v>
      </c>
      <c r="F4085" t="s">
        <v>244</v>
      </c>
      <c r="G4085" s="39">
        <v>45489</v>
      </c>
      <c r="J4085" t="s">
        <v>981</v>
      </c>
    </row>
    <row r="4086" spans="1:10" x14ac:dyDescent="0.35">
      <c r="A4086">
        <v>16552</v>
      </c>
      <c r="B4086" t="s">
        <v>72</v>
      </c>
      <c r="C4086" t="s">
        <v>730</v>
      </c>
      <c r="D4086" t="s">
        <v>92</v>
      </c>
      <c r="E4086" t="s">
        <v>103</v>
      </c>
      <c r="F4086" t="s">
        <v>244</v>
      </c>
      <c r="G4086" s="39">
        <v>45495</v>
      </c>
      <c r="J4086" t="s">
        <v>981</v>
      </c>
    </row>
    <row r="4087" spans="1:10" x14ac:dyDescent="0.35">
      <c r="A4087">
        <v>16601</v>
      </c>
      <c r="B4087" t="s">
        <v>72</v>
      </c>
      <c r="C4087" t="s">
        <v>730</v>
      </c>
      <c r="D4087" t="s">
        <v>92</v>
      </c>
      <c r="E4087" t="s">
        <v>102</v>
      </c>
      <c r="F4087" t="s">
        <v>244</v>
      </c>
      <c r="G4087" s="39">
        <v>45506</v>
      </c>
      <c r="J4087" t="s">
        <v>981</v>
      </c>
    </row>
    <row r="4088" spans="1:10" x14ac:dyDescent="0.35">
      <c r="A4088">
        <v>16650</v>
      </c>
      <c r="B4088" t="s">
        <v>72</v>
      </c>
      <c r="C4088" t="s">
        <v>730</v>
      </c>
      <c r="D4088" t="s">
        <v>92</v>
      </c>
      <c r="E4088" t="s">
        <v>103</v>
      </c>
      <c r="F4088" t="s">
        <v>411</v>
      </c>
      <c r="G4088" s="39">
        <v>45516</v>
      </c>
      <c r="J4088" t="s">
        <v>981</v>
      </c>
    </row>
    <row r="4089" spans="1:10" x14ac:dyDescent="0.35">
      <c r="A4089">
        <v>16753</v>
      </c>
      <c r="B4089" t="s">
        <v>72</v>
      </c>
      <c r="C4089" t="s">
        <v>730</v>
      </c>
      <c r="D4089" t="s">
        <v>92</v>
      </c>
      <c r="E4089" t="s">
        <v>103</v>
      </c>
      <c r="F4089" t="s">
        <v>244</v>
      </c>
      <c r="G4089" s="39">
        <v>45539</v>
      </c>
      <c r="J4089" t="s">
        <v>981</v>
      </c>
    </row>
    <row r="4090" spans="1:10" x14ac:dyDescent="0.35">
      <c r="A4090">
        <v>16775</v>
      </c>
      <c r="B4090" t="s">
        <v>72</v>
      </c>
      <c r="C4090" t="s">
        <v>730</v>
      </c>
      <c r="D4090" t="s">
        <v>92</v>
      </c>
      <c r="E4090" t="s">
        <v>103</v>
      </c>
      <c r="F4090" t="s">
        <v>244</v>
      </c>
      <c r="G4090" s="39">
        <v>45551</v>
      </c>
      <c r="J4090" t="s">
        <v>981</v>
      </c>
    </row>
    <row r="4091" spans="1:10" x14ac:dyDescent="0.35">
      <c r="A4091">
        <v>17001</v>
      </c>
      <c r="B4091" t="s">
        <v>72</v>
      </c>
      <c r="C4091" t="s">
        <v>730</v>
      </c>
      <c r="D4091" t="s">
        <v>92</v>
      </c>
      <c r="E4091" t="s">
        <v>103</v>
      </c>
      <c r="F4091" t="s">
        <v>244</v>
      </c>
      <c r="G4091" s="39">
        <v>45593</v>
      </c>
      <c r="J4091" t="s">
        <v>981</v>
      </c>
    </row>
    <row r="4092" spans="1:10" x14ac:dyDescent="0.35">
      <c r="A4092">
        <v>16756</v>
      </c>
      <c r="B4092" t="s">
        <v>72</v>
      </c>
      <c r="C4092" t="s">
        <v>730</v>
      </c>
      <c r="D4092" t="s">
        <v>92</v>
      </c>
      <c r="E4092" t="s">
        <v>103</v>
      </c>
      <c r="F4092" t="s">
        <v>244</v>
      </c>
      <c r="G4092" s="39">
        <v>45540</v>
      </c>
      <c r="J4092" t="s">
        <v>981</v>
      </c>
    </row>
    <row r="4093" spans="1:10" x14ac:dyDescent="0.35">
      <c r="A4093">
        <v>16724</v>
      </c>
      <c r="B4093" t="s">
        <v>72</v>
      </c>
      <c r="C4093" t="s">
        <v>730</v>
      </c>
      <c r="D4093" t="s">
        <v>92</v>
      </c>
      <c r="E4093" t="s">
        <v>103</v>
      </c>
      <c r="F4093" t="s">
        <v>244</v>
      </c>
      <c r="G4093" s="39">
        <v>45545</v>
      </c>
      <c r="J4093" t="s">
        <v>981</v>
      </c>
    </row>
    <row r="4094" spans="1:10" x14ac:dyDescent="0.35">
      <c r="A4094">
        <v>16725</v>
      </c>
      <c r="B4094" t="s">
        <v>72</v>
      </c>
      <c r="C4094" t="s">
        <v>730</v>
      </c>
      <c r="D4094" t="s">
        <v>92</v>
      </c>
      <c r="E4094" t="s">
        <v>103</v>
      </c>
      <c r="F4094" t="s">
        <v>411</v>
      </c>
      <c r="G4094" s="39">
        <v>45545</v>
      </c>
      <c r="J4094" t="s">
        <v>981</v>
      </c>
    </row>
    <row r="4095" spans="1:10" x14ac:dyDescent="0.35">
      <c r="A4095">
        <v>16957</v>
      </c>
      <c r="B4095" t="s">
        <v>72</v>
      </c>
      <c r="C4095" t="s">
        <v>730</v>
      </c>
      <c r="D4095" t="s">
        <v>92</v>
      </c>
      <c r="E4095" t="s">
        <v>103</v>
      </c>
      <c r="F4095" t="s">
        <v>244</v>
      </c>
      <c r="G4095" s="39">
        <v>45576</v>
      </c>
      <c r="J4095" t="s">
        <v>981</v>
      </c>
    </row>
    <row r="4096" spans="1:10" x14ac:dyDescent="0.35">
      <c r="A4096">
        <v>16968</v>
      </c>
      <c r="B4096" t="s">
        <v>72</v>
      </c>
      <c r="C4096" t="s">
        <v>730</v>
      </c>
      <c r="D4096" t="s">
        <v>92</v>
      </c>
      <c r="E4096" t="s">
        <v>103</v>
      </c>
      <c r="F4096" t="s">
        <v>244</v>
      </c>
      <c r="G4096" s="39">
        <v>45580</v>
      </c>
      <c r="J4096" t="s">
        <v>981</v>
      </c>
    </row>
    <row r="4097" spans="1:10" x14ac:dyDescent="0.35">
      <c r="A4097">
        <v>16967</v>
      </c>
      <c r="B4097" t="s">
        <v>72</v>
      </c>
      <c r="C4097" t="s">
        <v>730</v>
      </c>
      <c r="D4097" t="s">
        <v>92</v>
      </c>
      <c r="E4097" t="s">
        <v>103</v>
      </c>
      <c r="F4097" t="s">
        <v>244</v>
      </c>
      <c r="G4097" s="39">
        <v>45580</v>
      </c>
      <c r="J4097" t="s">
        <v>981</v>
      </c>
    </row>
    <row r="4098" spans="1:10" x14ac:dyDescent="0.35">
      <c r="A4098">
        <v>16981</v>
      </c>
      <c r="B4098" t="s">
        <v>72</v>
      </c>
      <c r="C4098" t="s">
        <v>730</v>
      </c>
      <c r="D4098" t="s">
        <v>92</v>
      </c>
      <c r="E4098" t="s">
        <v>103</v>
      </c>
      <c r="F4098" t="s">
        <v>244</v>
      </c>
      <c r="G4098" s="39">
        <v>45582</v>
      </c>
      <c r="J4098" t="s">
        <v>981</v>
      </c>
    </row>
    <row r="4099" spans="1:10" x14ac:dyDescent="0.35">
      <c r="A4099">
        <v>17024</v>
      </c>
      <c r="B4099" t="s">
        <v>72</v>
      </c>
      <c r="C4099" t="s">
        <v>730</v>
      </c>
      <c r="D4099" t="s">
        <v>92</v>
      </c>
      <c r="E4099" t="s">
        <v>103</v>
      </c>
      <c r="F4099" t="s">
        <v>244</v>
      </c>
      <c r="G4099" s="39">
        <v>45622</v>
      </c>
      <c r="J4099" t="s">
        <v>981</v>
      </c>
    </row>
    <row r="4100" spans="1:10" x14ac:dyDescent="0.35">
      <c r="A4100">
        <v>17028</v>
      </c>
      <c r="B4100" t="s">
        <v>72</v>
      </c>
      <c r="C4100" t="s">
        <v>730</v>
      </c>
      <c r="D4100" t="s">
        <v>92</v>
      </c>
      <c r="E4100" t="s">
        <v>103</v>
      </c>
      <c r="F4100" t="s">
        <v>244</v>
      </c>
      <c r="G4100" s="39">
        <v>45622</v>
      </c>
      <c r="J4100" t="s">
        <v>981</v>
      </c>
    </row>
    <row r="4101" spans="1:10" x14ac:dyDescent="0.35">
      <c r="A4101">
        <v>17027</v>
      </c>
      <c r="B4101" t="s">
        <v>72</v>
      </c>
      <c r="C4101" t="s">
        <v>730</v>
      </c>
      <c r="D4101" t="s">
        <v>92</v>
      </c>
      <c r="E4101" t="s">
        <v>103</v>
      </c>
      <c r="F4101" t="s">
        <v>244</v>
      </c>
      <c r="G4101" s="39">
        <v>45623</v>
      </c>
      <c r="J4101" t="s">
        <v>981</v>
      </c>
    </row>
    <row r="4102" spans="1:10" x14ac:dyDescent="0.35">
      <c r="A4102">
        <v>17078</v>
      </c>
      <c r="B4102" t="s">
        <v>72</v>
      </c>
      <c r="C4102" t="s">
        <v>730</v>
      </c>
      <c r="D4102" t="s">
        <v>92</v>
      </c>
      <c r="E4102" t="s">
        <v>103</v>
      </c>
      <c r="F4102" t="s">
        <v>245</v>
      </c>
      <c r="G4102" s="39">
        <v>45623</v>
      </c>
      <c r="J4102" t="s">
        <v>981</v>
      </c>
    </row>
    <row r="4103" spans="1:10" x14ac:dyDescent="0.35">
      <c r="A4103">
        <v>17098</v>
      </c>
      <c r="B4103" t="s">
        <v>72</v>
      </c>
      <c r="C4103" t="s">
        <v>730</v>
      </c>
      <c r="D4103" t="s">
        <v>92</v>
      </c>
      <c r="E4103" t="s">
        <v>103</v>
      </c>
      <c r="F4103" t="s">
        <v>244</v>
      </c>
      <c r="G4103" s="39">
        <v>45628</v>
      </c>
      <c r="J4103" t="s">
        <v>981</v>
      </c>
    </row>
    <row r="4104" spans="1:10" x14ac:dyDescent="0.35">
      <c r="A4104">
        <v>17145</v>
      </c>
      <c r="B4104" t="s">
        <v>72</v>
      </c>
      <c r="C4104" t="s">
        <v>730</v>
      </c>
      <c r="D4104" t="s">
        <v>92</v>
      </c>
      <c r="E4104" t="s">
        <v>103</v>
      </c>
      <c r="F4104" t="s">
        <v>244</v>
      </c>
      <c r="G4104" s="39">
        <v>45649</v>
      </c>
      <c r="J4104" t="s">
        <v>981</v>
      </c>
    </row>
    <row r="4105" spans="1:10" x14ac:dyDescent="0.35">
      <c r="A4105">
        <v>17540</v>
      </c>
      <c r="B4105" t="s">
        <v>72</v>
      </c>
      <c r="C4105" t="s">
        <v>730</v>
      </c>
      <c r="D4105" t="s">
        <v>92</v>
      </c>
      <c r="E4105" t="s">
        <v>103</v>
      </c>
      <c r="F4105" t="s">
        <v>244</v>
      </c>
      <c r="G4105" s="39">
        <v>45784</v>
      </c>
      <c r="J4105" t="s">
        <v>981</v>
      </c>
    </row>
    <row r="4106" spans="1:10" x14ac:dyDescent="0.35">
      <c r="A4106">
        <v>17548</v>
      </c>
      <c r="B4106" t="s">
        <v>72</v>
      </c>
      <c r="C4106" t="s">
        <v>730</v>
      </c>
      <c r="D4106" t="s">
        <v>92</v>
      </c>
      <c r="E4106" t="s">
        <v>103</v>
      </c>
      <c r="F4106" t="s">
        <v>244</v>
      </c>
      <c r="G4106" s="39">
        <v>45796</v>
      </c>
      <c r="J4106" t="s">
        <v>981</v>
      </c>
    </row>
    <row r="4107" spans="1:10" x14ac:dyDescent="0.35">
      <c r="A4107">
        <v>17611</v>
      </c>
      <c r="B4107" t="s">
        <v>72</v>
      </c>
      <c r="C4107" t="s">
        <v>730</v>
      </c>
      <c r="D4107" t="s">
        <v>92</v>
      </c>
      <c r="E4107" t="s">
        <v>103</v>
      </c>
      <c r="F4107" t="s">
        <v>244</v>
      </c>
      <c r="G4107" s="39">
        <v>45812</v>
      </c>
      <c r="J4107" t="s">
        <v>981</v>
      </c>
    </row>
    <row r="4108" spans="1:10" x14ac:dyDescent="0.35">
      <c r="A4108">
        <v>18306</v>
      </c>
      <c r="B4108" t="s">
        <v>72</v>
      </c>
      <c r="C4108" t="s">
        <v>730</v>
      </c>
      <c r="D4108" t="s">
        <v>92</v>
      </c>
      <c r="E4108" t="s">
        <v>106</v>
      </c>
      <c r="F4108" t="s">
        <v>244</v>
      </c>
      <c r="G4108" s="39">
        <v>46085</v>
      </c>
      <c r="J4108" t="s">
        <v>981</v>
      </c>
    </row>
    <row r="4109" spans="1:10" x14ac:dyDescent="0.35">
      <c r="A4109">
        <v>18322</v>
      </c>
      <c r="B4109" t="s">
        <v>72</v>
      </c>
      <c r="C4109" t="s">
        <v>730</v>
      </c>
      <c r="D4109" t="s">
        <v>92</v>
      </c>
      <c r="E4109" t="s">
        <v>106</v>
      </c>
      <c r="F4109" t="s">
        <v>244</v>
      </c>
      <c r="G4109" s="39">
        <v>46091</v>
      </c>
      <c r="J4109" t="s">
        <v>981</v>
      </c>
    </row>
    <row r="4110" spans="1:10" x14ac:dyDescent="0.35">
      <c r="A4110">
        <v>19077</v>
      </c>
      <c r="B4110" t="s">
        <v>72</v>
      </c>
      <c r="C4110" t="s">
        <v>730</v>
      </c>
      <c r="D4110" t="s">
        <v>92</v>
      </c>
      <c r="E4110" t="s">
        <v>106</v>
      </c>
      <c r="F4110" t="s">
        <v>244</v>
      </c>
      <c r="G4110" s="39">
        <v>46266</v>
      </c>
      <c r="J4110" t="s">
        <v>981</v>
      </c>
    </row>
    <row r="4111" spans="1:10" x14ac:dyDescent="0.35">
      <c r="A4111">
        <v>19089</v>
      </c>
      <c r="B4111" t="s">
        <v>72</v>
      </c>
      <c r="C4111" t="s">
        <v>730</v>
      </c>
      <c r="D4111" t="s">
        <v>92</v>
      </c>
      <c r="E4111" t="s">
        <v>106</v>
      </c>
      <c r="F4111" t="s">
        <v>244</v>
      </c>
      <c r="G4111" s="39">
        <v>46267</v>
      </c>
      <c r="J4111" t="s">
        <v>981</v>
      </c>
    </row>
    <row r="4112" spans="1:10" x14ac:dyDescent="0.35">
      <c r="A4112">
        <v>19091</v>
      </c>
      <c r="B4112" t="s">
        <v>72</v>
      </c>
      <c r="C4112" t="s">
        <v>730</v>
      </c>
      <c r="D4112" t="s">
        <v>92</v>
      </c>
      <c r="E4112" t="s">
        <v>106</v>
      </c>
      <c r="F4112" t="s">
        <v>244</v>
      </c>
      <c r="G4112" s="39">
        <v>46267</v>
      </c>
      <c r="J4112" t="s">
        <v>981</v>
      </c>
    </row>
    <row r="4113" spans="1:10" x14ac:dyDescent="0.35">
      <c r="A4113">
        <v>19084</v>
      </c>
      <c r="B4113" t="s">
        <v>72</v>
      </c>
      <c r="C4113" t="s">
        <v>730</v>
      </c>
      <c r="D4113" t="s">
        <v>92</v>
      </c>
      <c r="E4113" t="s">
        <v>106</v>
      </c>
      <c r="F4113" t="s">
        <v>244</v>
      </c>
      <c r="G4113" s="39">
        <v>46272</v>
      </c>
      <c r="J4113" t="s">
        <v>981</v>
      </c>
    </row>
    <row r="4114" spans="1:10" x14ac:dyDescent="0.35">
      <c r="A4114">
        <v>17730</v>
      </c>
      <c r="B4114" t="s">
        <v>72</v>
      </c>
      <c r="C4114" t="s">
        <v>730</v>
      </c>
      <c r="D4114" t="s">
        <v>92</v>
      </c>
      <c r="E4114" t="s">
        <v>103</v>
      </c>
      <c r="F4114" t="s">
        <v>244</v>
      </c>
      <c r="G4114" s="39">
        <v>45855</v>
      </c>
      <c r="J4114" t="s">
        <v>981</v>
      </c>
    </row>
    <row r="4115" spans="1:10" x14ac:dyDescent="0.35">
      <c r="A4115">
        <v>17612</v>
      </c>
      <c r="B4115" t="s">
        <v>72</v>
      </c>
      <c r="C4115" t="s">
        <v>730</v>
      </c>
      <c r="D4115" t="s">
        <v>92</v>
      </c>
      <c r="E4115" t="s">
        <v>103</v>
      </c>
      <c r="F4115" t="s">
        <v>244</v>
      </c>
      <c r="G4115" s="39">
        <v>45812</v>
      </c>
      <c r="J4115" t="s">
        <v>981</v>
      </c>
    </row>
    <row r="4116" spans="1:10" x14ac:dyDescent="0.35">
      <c r="A4116">
        <v>17643</v>
      </c>
      <c r="B4116" t="s">
        <v>72</v>
      </c>
      <c r="C4116" t="s">
        <v>730</v>
      </c>
      <c r="D4116" t="s">
        <v>92</v>
      </c>
      <c r="E4116" t="s">
        <v>103</v>
      </c>
      <c r="F4116" t="s">
        <v>244</v>
      </c>
      <c r="G4116" s="39">
        <v>45840</v>
      </c>
      <c r="J4116" t="s">
        <v>981</v>
      </c>
    </row>
    <row r="4117" spans="1:10" x14ac:dyDescent="0.35">
      <c r="A4117">
        <v>17673</v>
      </c>
      <c r="B4117" t="s">
        <v>72</v>
      </c>
      <c r="C4117" t="s">
        <v>730</v>
      </c>
      <c r="D4117" t="s">
        <v>92</v>
      </c>
      <c r="E4117" t="s">
        <v>103</v>
      </c>
      <c r="F4117" t="s">
        <v>244</v>
      </c>
      <c r="G4117" s="39">
        <v>45840</v>
      </c>
      <c r="J4117" t="s">
        <v>981</v>
      </c>
    </row>
    <row r="4118" spans="1:10" x14ac:dyDescent="0.35">
      <c r="A4118">
        <v>17684</v>
      </c>
      <c r="B4118" t="s">
        <v>72</v>
      </c>
      <c r="C4118" t="s">
        <v>730</v>
      </c>
      <c r="D4118" t="s">
        <v>92</v>
      </c>
      <c r="E4118" t="s">
        <v>103</v>
      </c>
      <c r="F4118" t="s">
        <v>244</v>
      </c>
      <c r="G4118" s="39">
        <v>45841</v>
      </c>
      <c r="J4118" t="s">
        <v>981</v>
      </c>
    </row>
    <row r="4119" spans="1:10" x14ac:dyDescent="0.35">
      <c r="A4119">
        <v>17701</v>
      </c>
      <c r="B4119" t="s">
        <v>72</v>
      </c>
      <c r="C4119" t="s">
        <v>730</v>
      </c>
      <c r="D4119" t="s">
        <v>92</v>
      </c>
      <c r="E4119" t="s">
        <v>103</v>
      </c>
      <c r="F4119" t="s">
        <v>244</v>
      </c>
      <c r="G4119" s="39">
        <v>45860</v>
      </c>
      <c r="J4119" t="s">
        <v>981</v>
      </c>
    </row>
    <row r="4120" spans="1:10" x14ac:dyDescent="0.35">
      <c r="A4120">
        <v>17751</v>
      </c>
      <c r="B4120" t="s">
        <v>72</v>
      </c>
      <c r="C4120" t="s">
        <v>730</v>
      </c>
      <c r="D4120" t="s">
        <v>92</v>
      </c>
      <c r="E4120" t="s">
        <v>103</v>
      </c>
      <c r="F4120" t="s">
        <v>244</v>
      </c>
      <c r="G4120" s="39">
        <v>45873</v>
      </c>
      <c r="J4120" t="s">
        <v>981</v>
      </c>
    </row>
    <row r="4121" spans="1:10" x14ac:dyDescent="0.35">
      <c r="A4121">
        <v>900005</v>
      </c>
      <c r="B4121" t="s">
        <v>72</v>
      </c>
      <c r="C4121" t="s">
        <v>92</v>
      </c>
      <c r="D4121" t="s">
        <v>92</v>
      </c>
      <c r="E4121" t="s">
        <v>100</v>
      </c>
      <c r="F4121" t="s">
        <v>244</v>
      </c>
      <c r="G4121" s="39">
        <v>40756</v>
      </c>
      <c r="J4121" t="s">
        <v>981</v>
      </c>
    </row>
    <row r="4122" spans="1:10" x14ac:dyDescent="0.35">
      <c r="A4122">
        <v>11236</v>
      </c>
      <c r="B4122" t="s">
        <v>72</v>
      </c>
      <c r="C4122" t="s">
        <v>731</v>
      </c>
      <c r="D4122" t="s">
        <v>732</v>
      </c>
      <c r="E4122" t="s">
        <v>99</v>
      </c>
      <c r="F4122" t="s">
        <v>244</v>
      </c>
      <c r="G4122" s="39">
        <v>42457</v>
      </c>
      <c r="J4122" t="s">
        <v>981</v>
      </c>
    </row>
    <row r="4123" spans="1:10" x14ac:dyDescent="0.35">
      <c r="A4123">
        <v>10831</v>
      </c>
      <c r="B4123" t="s">
        <v>72</v>
      </c>
      <c r="C4123" t="s">
        <v>731</v>
      </c>
      <c r="D4123" t="s">
        <v>732</v>
      </c>
      <c r="E4123" t="s">
        <v>109</v>
      </c>
      <c r="F4123" t="s">
        <v>244</v>
      </c>
      <c r="G4123" s="39">
        <v>41974</v>
      </c>
      <c r="J4123" t="s">
        <v>981</v>
      </c>
    </row>
    <row r="4124" spans="1:10" x14ac:dyDescent="0.35">
      <c r="A4124">
        <v>10922</v>
      </c>
      <c r="B4124" t="s">
        <v>72</v>
      </c>
      <c r="C4124" t="s">
        <v>731</v>
      </c>
      <c r="D4124" t="s">
        <v>732</v>
      </c>
      <c r="E4124" t="s">
        <v>109</v>
      </c>
      <c r="F4124" t="s">
        <v>244</v>
      </c>
      <c r="G4124" s="39">
        <v>42125</v>
      </c>
      <c r="J4124" t="s">
        <v>981</v>
      </c>
    </row>
    <row r="4125" spans="1:10" x14ac:dyDescent="0.35">
      <c r="A4125">
        <v>12359</v>
      </c>
      <c r="B4125" t="s">
        <v>72</v>
      </c>
      <c r="C4125" t="s">
        <v>731</v>
      </c>
      <c r="D4125" t="s">
        <v>732</v>
      </c>
      <c r="E4125" t="s">
        <v>109</v>
      </c>
      <c r="F4125" t="s">
        <v>244</v>
      </c>
      <c r="G4125" s="39">
        <v>43710</v>
      </c>
      <c r="J4125" t="s">
        <v>981</v>
      </c>
    </row>
    <row r="4126" spans="1:10" x14ac:dyDescent="0.35">
      <c r="A4126">
        <v>11235</v>
      </c>
      <c r="B4126" t="s">
        <v>72</v>
      </c>
      <c r="C4126" t="s">
        <v>731</v>
      </c>
      <c r="D4126" t="s">
        <v>732</v>
      </c>
      <c r="E4126" t="s">
        <v>109</v>
      </c>
      <c r="F4126" t="s">
        <v>244</v>
      </c>
      <c r="G4126" s="39">
        <v>42444</v>
      </c>
      <c r="J4126" t="s">
        <v>981</v>
      </c>
    </row>
    <row r="4127" spans="1:10" x14ac:dyDescent="0.35">
      <c r="A4127">
        <v>12483</v>
      </c>
      <c r="B4127" t="s">
        <v>72</v>
      </c>
      <c r="C4127" t="s">
        <v>731</v>
      </c>
      <c r="D4127" t="s">
        <v>732</v>
      </c>
      <c r="E4127" t="s">
        <v>109</v>
      </c>
      <c r="F4127" t="s">
        <v>244</v>
      </c>
      <c r="G4127" s="39">
        <v>43773</v>
      </c>
      <c r="J4127" t="s">
        <v>981</v>
      </c>
    </row>
    <row r="4128" spans="1:10" x14ac:dyDescent="0.35">
      <c r="A4128">
        <v>12134</v>
      </c>
      <c r="B4128" t="s">
        <v>72</v>
      </c>
      <c r="C4128" t="s">
        <v>731</v>
      </c>
      <c r="D4128" t="s">
        <v>732</v>
      </c>
      <c r="E4128" t="s">
        <v>102</v>
      </c>
      <c r="F4128" t="s">
        <v>244</v>
      </c>
      <c r="G4128" s="39">
        <v>43509</v>
      </c>
      <c r="J4128" t="s">
        <v>981</v>
      </c>
    </row>
    <row r="4129" spans="1:10" x14ac:dyDescent="0.35">
      <c r="A4129">
        <v>11311</v>
      </c>
      <c r="B4129" t="s">
        <v>72</v>
      </c>
      <c r="C4129" t="s">
        <v>731</v>
      </c>
      <c r="D4129" t="s">
        <v>732</v>
      </c>
      <c r="E4129" t="s">
        <v>102</v>
      </c>
      <c r="F4129" t="s">
        <v>244</v>
      </c>
      <c r="G4129" s="39">
        <v>42508</v>
      </c>
      <c r="J4129" t="s">
        <v>981</v>
      </c>
    </row>
    <row r="4130" spans="1:10" x14ac:dyDescent="0.35">
      <c r="A4130">
        <v>11424</v>
      </c>
      <c r="B4130" t="s">
        <v>72</v>
      </c>
      <c r="C4130" t="s">
        <v>731</v>
      </c>
      <c r="D4130" t="s">
        <v>732</v>
      </c>
      <c r="E4130" t="s">
        <v>102</v>
      </c>
      <c r="F4130" t="s">
        <v>244</v>
      </c>
      <c r="G4130" s="39">
        <v>42684</v>
      </c>
      <c r="J4130" t="s">
        <v>981</v>
      </c>
    </row>
    <row r="4131" spans="1:10" x14ac:dyDescent="0.35">
      <c r="A4131">
        <v>12318</v>
      </c>
      <c r="B4131" t="s">
        <v>72</v>
      </c>
      <c r="C4131" t="s">
        <v>731</v>
      </c>
      <c r="D4131" t="s">
        <v>732</v>
      </c>
      <c r="E4131" t="s">
        <v>102</v>
      </c>
      <c r="F4131" t="s">
        <v>244</v>
      </c>
      <c r="G4131" s="39">
        <v>43683</v>
      </c>
      <c r="J4131" t="s">
        <v>981</v>
      </c>
    </row>
    <row r="4132" spans="1:10" x14ac:dyDescent="0.35">
      <c r="A4132">
        <v>13501</v>
      </c>
      <c r="B4132" t="s">
        <v>72</v>
      </c>
      <c r="C4132" t="s">
        <v>731</v>
      </c>
      <c r="D4132" t="s">
        <v>732</v>
      </c>
      <c r="E4132" t="s">
        <v>102</v>
      </c>
      <c r="F4132" t="s">
        <v>244</v>
      </c>
      <c r="G4132" s="39">
        <v>44477</v>
      </c>
      <c r="J4132" t="s">
        <v>981</v>
      </c>
    </row>
    <row r="4133" spans="1:10" x14ac:dyDescent="0.35">
      <c r="A4133">
        <v>14187</v>
      </c>
      <c r="B4133" t="s">
        <v>72</v>
      </c>
      <c r="C4133" t="s">
        <v>731</v>
      </c>
      <c r="D4133" t="s">
        <v>732</v>
      </c>
      <c r="E4133" t="s">
        <v>102</v>
      </c>
      <c r="F4133" t="s">
        <v>244</v>
      </c>
      <c r="G4133" s="39">
        <v>44693</v>
      </c>
      <c r="J4133" t="s">
        <v>981</v>
      </c>
    </row>
    <row r="4134" spans="1:10" x14ac:dyDescent="0.35">
      <c r="A4134">
        <v>14226</v>
      </c>
      <c r="B4134" t="s">
        <v>72</v>
      </c>
      <c r="C4134" t="s">
        <v>731</v>
      </c>
      <c r="D4134" t="s">
        <v>732</v>
      </c>
      <c r="E4134" t="s">
        <v>102</v>
      </c>
      <c r="F4134" t="s">
        <v>244</v>
      </c>
      <c r="G4134" s="39">
        <v>44705</v>
      </c>
      <c r="J4134" t="s">
        <v>981</v>
      </c>
    </row>
    <row r="4135" spans="1:10" x14ac:dyDescent="0.35">
      <c r="A4135">
        <v>13720</v>
      </c>
      <c r="B4135" t="s">
        <v>72</v>
      </c>
      <c r="C4135" t="s">
        <v>731</v>
      </c>
      <c r="D4135" t="s">
        <v>732</v>
      </c>
      <c r="E4135" t="s">
        <v>102</v>
      </c>
      <c r="F4135" t="s">
        <v>244</v>
      </c>
      <c r="G4135" s="39">
        <v>44545</v>
      </c>
      <c r="J4135" t="s">
        <v>981</v>
      </c>
    </row>
    <row r="4136" spans="1:10" x14ac:dyDescent="0.35">
      <c r="A4136">
        <v>14338</v>
      </c>
      <c r="B4136" t="s">
        <v>72</v>
      </c>
      <c r="C4136" t="s">
        <v>731</v>
      </c>
      <c r="D4136" t="s">
        <v>732</v>
      </c>
      <c r="E4136" t="s">
        <v>103</v>
      </c>
      <c r="F4136" t="s">
        <v>244</v>
      </c>
      <c r="G4136" s="39">
        <v>44736</v>
      </c>
      <c r="J4136" t="s">
        <v>981</v>
      </c>
    </row>
    <row r="4137" spans="1:10" x14ac:dyDescent="0.35">
      <c r="A4137">
        <v>15815</v>
      </c>
      <c r="B4137" t="s">
        <v>72</v>
      </c>
      <c r="C4137" t="s">
        <v>731</v>
      </c>
      <c r="D4137" t="s">
        <v>732</v>
      </c>
      <c r="E4137" t="s">
        <v>103</v>
      </c>
      <c r="F4137" t="s">
        <v>244</v>
      </c>
      <c r="G4137" s="39">
        <v>45205</v>
      </c>
      <c r="J4137" t="s">
        <v>981</v>
      </c>
    </row>
    <row r="4138" spans="1:10" x14ac:dyDescent="0.35">
      <c r="A4138">
        <v>15817</v>
      </c>
      <c r="B4138" t="s">
        <v>72</v>
      </c>
      <c r="C4138" t="s">
        <v>731</v>
      </c>
      <c r="D4138" t="s">
        <v>732</v>
      </c>
      <c r="E4138" t="s">
        <v>102</v>
      </c>
      <c r="F4138" t="s">
        <v>244</v>
      </c>
      <c r="G4138" s="39">
        <v>45205</v>
      </c>
      <c r="J4138" t="s">
        <v>981</v>
      </c>
    </row>
    <row r="4139" spans="1:10" x14ac:dyDescent="0.35">
      <c r="A4139">
        <v>15844</v>
      </c>
      <c r="B4139" t="s">
        <v>72</v>
      </c>
      <c r="C4139" t="s">
        <v>731</v>
      </c>
      <c r="D4139" t="s">
        <v>732</v>
      </c>
      <c r="E4139" t="s">
        <v>103</v>
      </c>
      <c r="F4139" t="s">
        <v>244</v>
      </c>
      <c r="G4139" s="39">
        <v>45212</v>
      </c>
      <c r="J4139" t="s">
        <v>981</v>
      </c>
    </row>
    <row r="4140" spans="1:10" x14ac:dyDescent="0.35">
      <c r="A4140">
        <v>15854</v>
      </c>
      <c r="B4140" t="s">
        <v>72</v>
      </c>
      <c r="C4140" t="s">
        <v>731</v>
      </c>
      <c r="D4140" t="s">
        <v>732</v>
      </c>
      <c r="E4140" t="s">
        <v>103</v>
      </c>
      <c r="F4140" t="s">
        <v>244</v>
      </c>
      <c r="G4140" s="39">
        <v>45218</v>
      </c>
      <c r="J4140" t="s">
        <v>981</v>
      </c>
    </row>
    <row r="4141" spans="1:10" x14ac:dyDescent="0.35">
      <c r="A4141">
        <v>16102</v>
      </c>
      <c r="B4141" t="s">
        <v>72</v>
      </c>
      <c r="C4141" t="s">
        <v>731</v>
      </c>
      <c r="D4141" t="s">
        <v>732</v>
      </c>
      <c r="E4141" t="s">
        <v>103</v>
      </c>
      <c r="F4141" t="s">
        <v>411</v>
      </c>
      <c r="G4141" s="39">
        <v>45285</v>
      </c>
      <c r="J4141" t="s">
        <v>981</v>
      </c>
    </row>
    <row r="4142" spans="1:10" x14ac:dyDescent="0.35">
      <c r="A4142">
        <v>16276</v>
      </c>
      <c r="B4142" t="s">
        <v>72</v>
      </c>
      <c r="C4142" t="s">
        <v>731</v>
      </c>
      <c r="D4142" t="s">
        <v>732</v>
      </c>
      <c r="E4142" t="s">
        <v>102</v>
      </c>
      <c r="F4142" t="s">
        <v>245</v>
      </c>
      <c r="G4142" s="39">
        <v>45337</v>
      </c>
      <c r="J4142" t="s">
        <v>981</v>
      </c>
    </row>
    <row r="4143" spans="1:10" x14ac:dyDescent="0.35">
      <c r="A4143">
        <v>16319</v>
      </c>
      <c r="B4143" t="s">
        <v>72</v>
      </c>
      <c r="C4143" t="s">
        <v>731</v>
      </c>
      <c r="D4143" t="s">
        <v>732</v>
      </c>
      <c r="E4143" t="s">
        <v>103</v>
      </c>
      <c r="F4143" t="s">
        <v>244</v>
      </c>
      <c r="G4143" s="39">
        <v>45355</v>
      </c>
      <c r="J4143" t="s">
        <v>981</v>
      </c>
    </row>
    <row r="4144" spans="1:10" x14ac:dyDescent="0.35">
      <c r="A4144">
        <v>17131</v>
      </c>
      <c r="B4144" t="s">
        <v>72</v>
      </c>
      <c r="C4144" t="s">
        <v>731</v>
      </c>
      <c r="D4144" t="s">
        <v>732</v>
      </c>
      <c r="E4144" t="s">
        <v>103</v>
      </c>
      <c r="F4144" t="s">
        <v>244</v>
      </c>
      <c r="G4144" s="39">
        <v>45642</v>
      </c>
      <c r="J4144" t="s">
        <v>981</v>
      </c>
    </row>
    <row r="4145" spans="1:10" x14ac:dyDescent="0.35">
      <c r="A4145">
        <v>17177</v>
      </c>
      <c r="B4145" t="s">
        <v>72</v>
      </c>
      <c r="C4145" t="s">
        <v>731</v>
      </c>
      <c r="D4145" t="s">
        <v>732</v>
      </c>
      <c r="E4145" t="s">
        <v>103</v>
      </c>
      <c r="F4145" t="s">
        <v>244</v>
      </c>
      <c r="G4145" s="39">
        <v>45670</v>
      </c>
      <c r="J4145" t="s">
        <v>981</v>
      </c>
    </row>
    <row r="4146" spans="1:10" x14ac:dyDescent="0.35">
      <c r="A4146">
        <v>17560</v>
      </c>
      <c r="B4146" t="s">
        <v>72</v>
      </c>
      <c r="C4146" t="s">
        <v>731</v>
      </c>
      <c r="D4146" t="s">
        <v>732</v>
      </c>
      <c r="E4146" t="s">
        <v>103</v>
      </c>
      <c r="F4146" t="s">
        <v>244</v>
      </c>
      <c r="G4146" s="39">
        <v>45792</v>
      </c>
      <c r="J4146" t="s">
        <v>981</v>
      </c>
    </row>
    <row r="4147" spans="1:10" x14ac:dyDescent="0.35">
      <c r="A4147">
        <v>10803</v>
      </c>
      <c r="B4147" t="s">
        <v>72</v>
      </c>
      <c r="C4147" t="s">
        <v>733</v>
      </c>
      <c r="D4147" t="s">
        <v>92</v>
      </c>
      <c r="E4147" t="s">
        <v>101</v>
      </c>
      <c r="F4147" t="s">
        <v>244</v>
      </c>
      <c r="G4147" s="39">
        <v>41920</v>
      </c>
      <c r="J4147" t="s">
        <v>981</v>
      </c>
    </row>
    <row r="4148" spans="1:10" x14ac:dyDescent="0.35">
      <c r="A4148">
        <v>11693</v>
      </c>
      <c r="B4148" t="s">
        <v>72</v>
      </c>
      <c r="C4148" t="s">
        <v>733</v>
      </c>
      <c r="D4148" t="s">
        <v>92</v>
      </c>
      <c r="E4148" t="s">
        <v>99</v>
      </c>
      <c r="F4148" t="s">
        <v>244</v>
      </c>
      <c r="G4148" s="39">
        <v>43027</v>
      </c>
      <c r="J4148" t="s">
        <v>981</v>
      </c>
    </row>
    <row r="4149" spans="1:10" x14ac:dyDescent="0.35">
      <c r="A4149">
        <v>12157</v>
      </c>
      <c r="B4149" t="s">
        <v>72</v>
      </c>
      <c r="C4149" t="s">
        <v>733</v>
      </c>
      <c r="D4149" t="s">
        <v>92</v>
      </c>
      <c r="E4149" t="s">
        <v>99</v>
      </c>
      <c r="F4149" t="s">
        <v>244</v>
      </c>
      <c r="G4149" s="39">
        <v>43530</v>
      </c>
      <c r="J4149" t="s">
        <v>981</v>
      </c>
    </row>
    <row r="4150" spans="1:10" x14ac:dyDescent="0.35">
      <c r="A4150">
        <v>12894</v>
      </c>
      <c r="B4150" t="s">
        <v>72</v>
      </c>
      <c r="C4150" t="s">
        <v>733</v>
      </c>
      <c r="D4150" t="s">
        <v>92</v>
      </c>
      <c r="E4150" t="s">
        <v>507</v>
      </c>
      <c r="F4150" t="s">
        <v>244</v>
      </c>
      <c r="G4150" s="39">
        <v>44084</v>
      </c>
      <c r="J4150" t="s">
        <v>981</v>
      </c>
    </row>
    <row r="4151" spans="1:10" x14ac:dyDescent="0.35">
      <c r="A4151">
        <v>11748</v>
      </c>
      <c r="B4151" t="s">
        <v>72</v>
      </c>
      <c r="C4151" t="s">
        <v>733</v>
      </c>
      <c r="D4151" t="s">
        <v>92</v>
      </c>
      <c r="E4151" t="s">
        <v>734</v>
      </c>
      <c r="F4151" t="s">
        <v>244</v>
      </c>
      <c r="G4151" s="39">
        <v>43077</v>
      </c>
      <c r="J4151" t="s">
        <v>981</v>
      </c>
    </row>
    <row r="4152" spans="1:10" x14ac:dyDescent="0.35">
      <c r="A4152">
        <v>11968</v>
      </c>
      <c r="B4152" t="s">
        <v>72</v>
      </c>
      <c r="C4152" t="s">
        <v>733</v>
      </c>
      <c r="D4152" t="s">
        <v>92</v>
      </c>
      <c r="E4152" t="s">
        <v>735</v>
      </c>
      <c r="F4152" t="s">
        <v>244</v>
      </c>
      <c r="G4152" s="39">
        <v>43332</v>
      </c>
      <c r="J4152" t="s">
        <v>981</v>
      </c>
    </row>
    <row r="4153" spans="1:10" x14ac:dyDescent="0.35">
      <c r="A4153">
        <v>290015</v>
      </c>
      <c r="B4153" t="s">
        <v>72</v>
      </c>
      <c r="C4153" t="s">
        <v>733</v>
      </c>
      <c r="D4153" t="s">
        <v>92</v>
      </c>
      <c r="E4153" t="s">
        <v>453</v>
      </c>
      <c r="F4153" t="s">
        <v>244</v>
      </c>
      <c r="G4153" s="39">
        <v>40282</v>
      </c>
      <c r="J4153" t="s">
        <v>981</v>
      </c>
    </row>
    <row r="4154" spans="1:10" x14ac:dyDescent="0.35">
      <c r="A4154">
        <v>14366</v>
      </c>
      <c r="B4154" t="s">
        <v>72</v>
      </c>
      <c r="C4154" t="s">
        <v>733</v>
      </c>
      <c r="D4154" t="s">
        <v>92</v>
      </c>
      <c r="E4154" t="s">
        <v>102</v>
      </c>
      <c r="F4154" t="s">
        <v>244</v>
      </c>
      <c r="G4154" s="39">
        <v>44746</v>
      </c>
      <c r="J4154" t="s">
        <v>981</v>
      </c>
    </row>
    <row r="4155" spans="1:10" x14ac:dyDescent="0.35">
      <c r="A4155">
        <v>14826</v>
      </c>
      <c r="B4155" t="s">
        <v>72</v>
      </c>
      <c r="C4155" t="s">
        <v>733</v>
      </c>
      <c r="D4155" t="s">
        <v>92</v>
      </c>
      <c r="E4155" t="s">
        <v>102</v>
      </c>
      <c r="F4155" t="s">
        <v>244</v>
      </c>
      <c r="G4155" s="39">
        <v>44869</v>
      </c>
      <c r="J4155" t="s">
        <v>981</v>
      </c>
    </row>
    <row r="4156" spans="1:10" x14ac:dyDescent="0.35">
      <c r="A4156">
        <v>17547</v>
      </c>
      <c r="B4156" t="s">
        <v>72</v>
      </c>
      <c r="C4156" t="s">
        <v>733</v>
      </c>
      <c r="D4156" t="s">
        <v>92</v>
      </c>
      <c r="E4156" t="s">
        <v>102</v>
      </c>
      <c r="F4156" t="s">
        <v>244</v>
      </c>
      <c r="G4156" s="39">
        <v>45785</v>
      </c>
      <c r="J4156" t="s">
        <v>981</v>
      </c>
    </row>
    <row r="4157" spans="1:10" x14ac:dyDescent="0.35">
      <c r="A4157">
        <v>14276</v>
      </c>
      <c r="B4157" t="s">
        <v>72</v>
      </c>
      <c r="C4157" t="s">
        <v>733</v>
      </c>
      <c r="D4157" t="s">
        <v>92</v>
      </c>
      <c r="E4157" t="s">
        <v>102</v>
      </c>
      <c r="F4157" t="s">
        <v>244</v>
      </c>
      <c r="G4157" s="39">
        <v>44713</v>
      </c>
      <c r="J4157" t="s">
        <v>981</v>
      </c>
    </row>
    <row r="4158" spans="1:10" x14ac:dyDescent="0.35">
      <c r="A4158">
        <v>14708</v>
      </c>
      <c r="B4158" t="s">
        <v>72</v>
      </c>
      <c r="C4158" t="s">
        <v>733</v>
      </c>
      <c r="D4158" t="s">
        <v>92</v>
      </c>
      <c r="E4158" t="s">
        <v>102</v>
      </c>
      <c r="F4158" t="s">
        <v>244</v>
      </c>
      <c r="G4158" s="39">
        <v>44837</v>
      </c>
      <c r="J4158" t="s">
        <v>981</v>
      </c>
    </row>
    <row r="4159" spans="1:10" x14ac:dyDescent="0.35">
      <c r="A4159">
        <v>15197</v>
      </c>
      <c r="B4159" t="s">
        <v>72</v>
      </c>
      <c r="C4159" t="s">
        <v>733</v>
      </c>
      <c r="D4159" t="s">
        <v>92</v>
      </c>
      <c r="E4159" t="s">
        <v>102</v>
      </c>
      <c r="F4159" t="s">
        <v>244</v>
      </c>
      <c r="G4159" s="39">
        <v>44981</v>
      </c>
      <c r="J4159" t="s">
        <v>981</v>
      </c>
    </row>
    <row r="4160" spans="1:10" x14ac:dyDescent="0.35">
      <c r="A4160">
        <v>15913</v>
      </c>
      <c r="B4160" t="s">
        <v>72</v>
      </c>
      <c r="C4160" t="s">
        <v>733</v>
      </c>
      <c r="D4160" t="s">
        <v>92</v>
      </c>
      <c r="E4160" t="s">
        <v>102</v>
      </c>
      <c r="F4160" t="s">
        <v>244</v>
      </c>
      <c r="G4160" s="39">
        <v>45237</v>
      </c>
      <c r="J4160" t="s">
        <v>981</v>
      </c>
    </row>
    <row r="4161" spans="1:10" x14ac:dyDescent="0.35">
      <c r="A4161">
        <v>16466</v>
      </c>
      <c r="B4161" t="s">
        <v>72</v>
      </c>
      <c r="C4161" t="s">
        <v>733</v>
      </c>
      <c r="D4161" t="s">
        <v>92</v>
      </c>
      <c r="E4161" t="s">
        <v>675</v>
      </c>
      <c r="F4161" t="s">
        <v>244</v>
      </c>
      <c r="G4161" s="39">
        <v>45415</v>
      </c>
      <c r="J4161" t="s">
        <v>981</v>
      </c>
    </row>
    <row r="4162" spans="1:10" x14ac:dyDescent="0.35">
      <c r="A4162">
        <v>16773</v>
      </c>
      <c r="B4162" t="s">
        <v>72</v>
      </c>
      <c r="C4162" t="s">
        <v>733</v>
      </c>
      <c r="D4162" t="s">
        <v>92</v>
      </c>
      <c r="E4162" t="s">
        <v>454</v>
      </c>
      <c r="F4162" t="s">
        <v>244</v>
      </c>
      <c r="G4162" s="39">
        <v>45552</v>
      </c>
      <c r="J4162" t="s">
        <v>981</v>
      </c>
    </row>
    <row r="4163" spans="1:10" x14ac:dyDescent="0.35">
      <c r="A4163">
        <v>17956</v>
      </c>
      <c r="B4163" t="s">
        <v>72</v>
      </c>
      <c r="C4163" t="s">
        <v>733</v>
      </c>
      <c r="D4163" t="s">
        <v>92</v>
      </c>
      <c r="E4163" t="s">
        <v>556</v>
      </c>
      <c r="F4163" t="s">
        <v>244</v>
      </c>
      <c r="G4163" s="39">
        <v>45937</v>
      </c>
      <c r="J4163" t="s">
        <v>981</v>
      </c>
    </row>
    <row r="4164" spans="1:10" x14ac:dyDescent="0.35">
      <c r="A4164">
        <v>11988</v>
      </c>
      <c r="B4164" t="s">
        <v>72</v>
      </c>
      <c r="C4164" t="s">
        <v>733</v>
      </c>
      <c r="D4164" t="s">
        <v>92</v>
      </c>
      <c r="E4164" t="s">
        <v>678</v>
      </c>
      <c r="F4164" t="s">
        <v>244</v>
      </c>
      <c r="G4164" s="39">
        <v>43362</v>
      </c>
      <c r="J4164" t="s">
        <v>981</v>
      </c>
    </row>
    <row r="4165" spans="1:10" x14ac:dyDescent="0.35">
      <c r="A4165">
        <v>11574</v>
      </c>
      <c r="B4165" t="s">
        <v>72</v>
      </c>
      <c r="C4165" t="s">
        <v>733</v>
      </c>
      <c r="D4165" t="s">
        <v>92</v>
      </c>
      <c r="E4165" t="s">
        <v>737</v>
      </c>
      <c r="F4165" t="s">
        <v>244</v>
      </c>
      <c r="G4165" s="39">
        <v>42866</v>
      </c>
      <c r="J4165" t="s">
        <v>981</v>
      </c>
    </row>
    <row r="4166" spans="1:10" x14ac:dyDescent="0.35">
      <c r="A4166">
        <v>13566</v>
      </c>
      <c r="B4166" t="s">
        <v>72</v>
      </c>
      <c r="C4166" t="s">
        <v>733</v>
      </c>
      <c r="D4166" t="s">
        <v>92</v>
      </c>
      <c r="E4166" t="s">
        <v>738</v>
      </c>
      <c r="F4166" t="s">
        <v>244</v>
      </c>
      <c r="G4166" s="39">
        <v>44501</v>
      </c>
      <c r="J4166" t="s">
        <v>981</v>
      </c>
    </row>
    <row r="4167" spans="1:10" x14ac:dyDescent="0.35">
      <c r="A4167">
        <v>13567</v>
      </c>
      <c r="B4167" t="s">
        <v>72</v>
      </c>
      <c r="C4167" t="s">
        <v>733</v>
      </c>
      <c r="D4167" t="s">
        <v>92</v>
      </c>
      <c r="E4167" t="s">
        <v>739</v>
      </c>
      <c r="F4167" t="s">
        <v>244</v>
      </c>
      <c r="G4167" s="39">
        <v>44501</v>
      </c>
      <c r="J4167" t="s">
        <v>981</v>
      </c>
    </row>
    <row r="4168" spans="1:10" x14ac:dyDescent="0.35">
      <c r="A4168">
        <v>13645</v>
      </c>
      <c r="B4168" t="s">
        <v>72</v>
      </c>
      <c r="C4168" t="s">
        <v>733</v>
      </c>
      <c r="D4168" t="s">
        <v>92</v>
      </c>
      <c r="E4168" t="s">
        <v>740</v>
      </c>
      <c r="F4168" t="s">
        <v>244</v>
      </c>
      <c r="G4168" s="39">
        <v>44522</v>
      </c>
      <c r="J4168" t="s">
        <v>981</v>
      </c>
    </row>
    <row r="4169" spans="1:10" x14ac:dyDescent="0.35">
      <c r="A4169">
        <v>14735</v>
      </c>
      <c r="B4169" t="s">
        <v>72</v>
      </c>
      <c r="C4169" t="s">
        <v>733</v>
      </c>
      <c r="D4169" t="s">
        <v>92</v>
      </c>
      <c r="E4169" t="s">
        <v>741</v>
      </c>
      <c r="F4169" t="s">
        <v>244</v>
      </c>
      <c r="G4169" s="39">
        <v>44847</v>
      </c>
      <c r="J4169" t="s">
        <v>981</v>
      </c>
    </row>
    <row r="4170" spans="1:10" x14ac:dyDescent="0.35">
      <c r="A4170">
        <v>14494</v>
      </c>
      <c r="B4170" t="s">
        <v>72</v>
      </c>
      <c r="C4170" t="s">
        <v>733</v>
      </c>
      <c r="D4170" t="s">
        <v>92</v>
      </c>
      <c r="E4170" t="s">
        <v>742</v>
      </c>
      <c r="F4170" t="s">
        <v>244</v>
      </c>
      <c r="G4170" s="39">
        <v>44776</v>
      </c>
      <c r="J4170" t="s">
        <v>981</v>
      </c>
    </row>
    <row r="4171" spans="1:10" x14ac:dyDescent="0.35">
      <c r="A4171">
        <v>16741</v>
      </c>
      <c r="B4171" t="s">
        <v>72</v>
      </c>
      <c r="C4171" t="s">
        <v>733</v>
      </c>
      <c r="D4171" t="s">
        <v>92</v>
      </c>
      <c r="E4171" t="s">
        <v>743</v>
      </c>
      <c r="F4171" t="s">
        <v>244</v>
      </c>
      <c r="G4171" s="39">
        <v>45539</v>
      </c>
      <c r="J4171" t="s">
        <v>981</v>
      </c>
    </row>
    <row r="4172" spans="1:10" x14ac:dyDescent="0.35">
      <c r="A4172">
        <v>18608</v>
      </c>
      <c r="B4172" t="s">
        <v>72</v>
      </c>
      <c r="C4172" t="s">
        <v>733</v>
      </c>
      <c r="D4172" t="s">
        <v>92</v>
      </c>
      <c r="E4172" t="s">
        <v>744</v>
      </c>
      <c r="F4172" t="s">
        <v>244</v>
      </c>
      <c r="G4172" s="39">
        <v>46164</v>
      </c>
      <c r="J4172" t="s">
        <v>981</v>
      </c>
    </row>
    <row r="4173" spans="1:10" x14ac:dyDescent="0.35">
      <c r="A4173">
        <v>350039</v>
      </c>
      <c r="B4173" t="s">
        <v>72</v>
      </c>
      <c r="C4173" t="s">
        <v>733</v>
      </c>
      <c r="D4173" t="s">
        <v>92</v>
      </c>
      <c r="E4173" t="s">
        <v>419</v>
      </c>
      <c r="F4173" t="s">
        <v>244</v>
      </c>
      <c r="G4173" s="39">
        <v>43763</v>
      </c>
      <c r="J4173" t="s">
        <v>981</v>
      </c>
    </row>
    <row r="4174" spans="1:10" x14ac:dyDescent="0.35">
      <c r="A4174">
        <v>14535</v>
      </c>
      <c r="B4174" t="s">
        <v>72</v>
      </c>
      <c r="C4174" t="s">
        <v>733</v>
      </c>
      <c r="D4174" t="s">
        <v>92</v>
      </c>
      <c r="E4174" t="s">
        <v>745</v>
      </c>
      <c r="F4174" t="s">
        <v>244</v>
      </c>
      <c r="G4174" s="39">
        <v>44788</v>
      </c>
      <c r="J4174" t="s">
        <v>981</v>
      </c>
    </row>
    <row r="4175" spans="1:10" x14ac:dyDescent="0.35">
      <c r="A4175">
        <v>18349</v>
      </c>
      <c r="B4175" t="s">
        <v>72</v>
      </c>
      <c r="C4175" t="s">
        <v>733</v>
      </c>
      <c r="D4175" t="s">
        <v>92</v>
      </c>
      <c r="E4175" t="s">
        <v>746</v>
      </c>
      <c r="F4175" t="s">
        <v>244</v>
      </c>
      <c r="G4175" s="39">
        <v>46098</v>
      </c>
      <c r="J4175" t="s">
        <v>981</v>
      </c>
    </row>
    <row r="4176" spans="1:10" x14ac:dyDescent="0.35">
      <c r="A4176">
        <v>12351</v>
      </c>
      <c r="B4176" t="s">
        <v>72</v>
      </c>
      <c r="C4176" t="s">
        <v>733</v>
      </c>
      <c r="D4176" t="s">
        <v>92</v>
      </c>
      <c r="E4176" t="s">
        <v>747</v>
      </c>
      <c r="F4176" t="s">
        <v>244</v>
      </c>
      <c r="G4176" s="39">
        <v>43698</v>
      </c>
      <c r="J4176" t="s">
        <v>981</v>
      </c>
    </row>
    <row r="4177" spans="1:10" x14ac:dyDescent="0.35">
      <c r="A4177">
        <v>12779</v>
      </c>
      <c r="B4177" t="s">
        <v>72</v>
      </c>
      <c r="C4177" t="s">
        <v>733</v>
      </c>
      <c r="D4177" t="s">
        <v>92</v>
      </c>
      <c r="E4177" t="s">
        <v>748</v>
      </c>
      <c r="F4177" t="s">
        <v>244</v>
      </c>
      <c r="G4177" s="39">
        <v>43929</v>
      </c>
      <c r="J4177" t="s">
        <v>981</v>
      </c>
    </row>
    <row r="4178" spans="1:10" x14ac:dyDescent="0.35">
      <c r="A4178">
        <v>15212</v>
      </c>
      <c r="B4178" t="s">
        <v>72</v>
      </c>
      <c r="C4178" t="s">
        <v>733</v>
      </c>
      <c r="D4178" t="s">
        <v>92</v>
      </c>
      <c r="E4178" t="s">
        <v>749</v>
      </c>
      <c r="F4178" t="s">
        <v>244</v>
      </c>
      <c r="G4178" s="39">
        <v>44991</v>
      </c>
      <c r="J4178" t="s">
        <v>981</v>
      </c>
    </row>
    <row r="4179" spans="1:10" x14ac:dyDescent="0.35">
      <c r="A4179">
        <v>18132</v>
      </c>
      <c r="B4179" t="s">
        <v>72</v>
      </c>
      <c r="C4179" t="s">
        <v>733</v>
      </c>
      <c r="D4179" t="s">
        <v>92</v>
      </c>
      <c r="E4179" t="s">
        <v>750</v>
      </c>
      <c r="F4179" t="s">
        <v>244</v>
      </c>
      <c r="G4179" s="39">
        <v>46008</v>
      </c>
      <c r="J4179" t="s">
        <v>981</v>
      </c>
    </row>
    <row r="4180" spans="1:10" x14ac:dyDescent="0.35">
      <c r="A4180">
        <v>18305</v>
      </c>
      <c r="B4180" t="s">
        <v>72</v>
      </c>
      <c r="C4180" t="s">
        <v>733</v>
      </c>
      <c r="D4180" t="s">
        <v>92</v>
      </c>
      <c r="E4180" t="s">
        <v>458</v>
      </c>
      <c r="F4180" t="s">
        <v>244</v>
      </c>
      <c r="G4180" s="39">
        <v>46085</v>
      </c>
      <c r="J4180" t="s">
        <v>981</v>
      </c>
    </row>
    <row r="4181" spans="1:10" x14ac:dyDescent="0.35">
      <c r="A4181">
        <v>15584</v>
      </c>
      <c r="B4181" t="s">
        <v>72</v>
      </c>
      <c r="C4181" t="s">
        <v>733</v>
      </c>
      <c r="D4181" t="s">
        <v>92</v>
      </c>
      <c r="E4181" t="s">
        <v>102</v>
      </c>
      <c r="F4181" t="s">
        <v>244</v>
      </c>
      <c r="G4181" s="39">
        <v>45132</v>
      </c>
      <c r="J4181" t="s">
        <v>981</v>
      </c>
    </row>
    <row r="4182" spans="1:10" x14ac:dyDescent="0.35">
      <c r="A4182">
        <v>15608</v>
      </c>
      <c r="B4182" t="s">
        <v>72</v>
      </c>
      <c r="C4182" t="s">
        <v>733</v>
      </c>
      <c r="D4182" t="s">
        <v>92</v>
      </c>
      <c r="E4182" t="s">
        <v>102</v>
      </c>
      <c r="F4182" t="s">
        <v>244</v>
      </c>
      <c r="G4182" s="39">
        <v>45139</v>
      </c>
      <c r="J4182" t="s">
        <v>981</v>
      </c>
    </row>
    <row r="4183" spans="1:10" x14ac:dyDescent="0.35">
      <c r="A4183">
        <v>16478</v>
      </c>
      <c r="B4183" t="s">
        <v>72</v>
      </c>
      <c r="C4183" t="s">
        <v>733</v>
      </c>
      <c r="D4183" t="s">
        <v>92</v>
      </c>
      <c r="E4183" t="s">
        <v>102</v>
      </c>
      <c r="F4183" t="s">
        <v>244</v>
      </c>
      <c r="G4183" s="39">
        <v>45432</v>
      </c>
      <c r="J4183" t="s">
        <v>981</v>
      </c>
    </row>
    <row r="4184" spans="1:10" x14ac:dyDescent="0.35">
      <c r="A4184">
        <v>17750</v>
      </c>
      <c r="B4184" t="s">
        <v>72</v>
      </c>
      <c r="C4184" t="s">
        <v>733</v>
      </c>
      <c r="D4184" t="s">
        <v>92</v>
      </c>
      <c r="E4184" t="s">
        <v>103</v>
      </c>
      <c r="F4184" t="s">
        <v>244</v>
      </c>
      <c r="G4184" s="39">
        <v>45873</v>
      </c>
      <c r="J4184" t="s">
        <v>981</v>
      </c>
    </row>
    <row r="4185" spans="1:10" x14ac:dyDescent="0.35">
      <c r="A4185">
        <v>18593</v>
      </c>
      <c r="B4185" t="s">
        <v>72</v>
      </c>
      <c r="C4185" t="s">
        <v>733</v>
      </c>
      <c r="D4185" t="s">
        <v>92</v>
      </c>
      <c r="E4185" t="s">
        <v>103</v>
      </c>
      <c r="F4185" t="s">
        <v>244</v>
      </c>
      <c r="G4185" s="39">
        <v>46164</v>
      </c>
      <c r="J4185" t="s">
        <v>981</v>
      </c>
    </row>
    <row r="4186" spans="1:10" x14ac:dyDescent="0.35">
      <c r="A4186">
        <v>17748</v>
      </c>
      <c r="B4186" t="s">
        <v>72</v>
      </c>
      <c r="C4186" t="s">
        <v>733</v>
      </c>
      <c r="D4186" t="s">
        <v>92</v>
      </c>
      <c r="E4186" t="s">
        <v>103</v>
      </c>
      <c r="F4186" t="s">
        <v>244</v>
      </c>
      <c r="G4186" s="39">
        <v>45874</v>
      </c>
      <c r="J4186" t="s">
        <v>981</v>
      </c>
    </row>
    <row r="4187" spans="1:10" x14ac:dyDescent="0.35">
      <c r="A4187">
        <v>16482</v>
      </c>
      <c r="B4187" t="s">
        <v>72</v>
      </c>
      <c r="C4187" t="s">
        <v>733</v>
      </c>
      <c r="D4187" t="s">
        <v>92</v>
      </c>
      <c r="E4187" t="s">
        <v>102</v>
      </c>
      <c r="F4187" t="s">
        <v>244</v>
      </c>
      <c r="G4187" s="39">
        <v>45439</v>
      </c>
      <c r="J4187" t="s">
        <v>981</v>
      </c>
    </row>
    <row r="4188" spans="1:10" x14ac:dyDescent="0.35">
      <c r="A4188">
        <v>16586</v>
      </c>
      <c r="B4188" t="s">
        <v>72</v>
      </c>
      <c r="C4188" t="s">
        <v>733</v>
      </c>
      <c r="D4188" t="s">
        <v>92</v>
      </c>
      <c r="E4188" t="s">
        <v>102</v>
      </c>
      <c r="F4188" t="s">
        <v>244</v>
      </c>
      <c r="G4188" s="39">
        <v>45490</v>
      </c>
      <c r="J4188" t="s">
        <v>981</v>
      </c>
    </row>
    <row r="4189" spans="1:10" x14ac:dyDescent="0.35">
      <c r="A4189">
        <v>16622</v>
      </c>
      <c r="B4189" t="s">
        <v>72</v>
      </c>
      <c r="C4189" t="s">
        <v>733</v>
      </c>
      <c r="D4189" t="s">
        <v>92</v>
      </c>
      <c r="E4189" t="s">
        <v>103</v>
      </c>
      <c r="F4189" t="s">
        <v>244</v>
      </c>
      <c r="G4189" s="39">
        <v>45498</v>
      </c>
      <c r="J4189" t="s">
        <v>981</v>
      </c>
    </row>
    <row r="4190" spans="1:10" x14ac:dyDescent="0.35">
      <c r="A4190">
        <v>16629</v>
      </c>
      <c r="B4190" t="s">
        <v>72</v>
      </c>
      <c r="C4190" t="s">
        <v>733</v>
      </c>
      <c r="D4190" t="s">
        <v>92</v>
      </c>
      <c r="E4190" t="s">
        <v>103</v>
      </c>
      <c r="F4190" t="s">
        <v>244</v>
      </c>
      <c r="G4190" s="39">
        <v>45509</v>
      </c>
      <c r="J4190" t="s">
        <v>981</v>
      </c>
    </row>
    <row r="4191" spans="1:10" x14ac:dyDescent="0.35">
      <c r="A4191">
        <v>16739</v>
      </c>
      <c r="B4191" t="s">
        <v>72</v>
      </c>
      <c r="C4191" t="s">
        <v>733</v>
      </c>
      <c r="D4191" t="s">
        <v>92</v>
      </c>
      <c r="E4191" t="s">
        <v>103</v>
      </c>
      <c r="F4191" t="s">
        <v>244</v>
      </c>
      <c r="G4191" s="39">
        <v>45538</v>
      </c>
      <c r="J4191" t="s">
        <v>981</v>
      </c>
    </row>
    <row r="4192" spans="1:10" x14ac:dyDescent="0.35">
      <c r="A4192">
        <v>16867</v>
      </c>
      <c r="B4192" t="s">
        <v>72</v>
      </c>
      <c r="C4192" t="s">
        <v>733</v>
      </c>
      <c r="D4192" t="s">
        <v>92</v>
      </c>
      <c r="E4192" t="s">
        <v>102</v>
      </c>
      <c r="F4192" t="s">
        <v>244</v>
      </c>
      <c r="G4192" s="39">
        <v>45572</v>
      </c>
      <c r="J4192" t="s">
        <v>981</v>
      </c>
    </row>
    <row r="4193" spans="1:10" x14ac:dyDescent="0.35">
      <c r="A4193">
        <v>17178</v>
      </c>
      <c r="B4193" t="s">
        <v>72</v>
      </c>
      <c r="C4193" t="s">
        <v>733</v>
      </c>
      <c r="D4193" t="s">
        <v>92</v>
      </c>
      <c r="E4193" t="s">
        <v>103</v>
      </c>
      <c r="F4193" t="s">
        <v>244</v>
      </c>
      <c r="G4193" s="39">
        <v>45670</v>
      </c>
      <c r="J4193" t="s">
        <v>981</v>
      </c>
    </row>
    <row r="4194" spans="1:10" x14ac:dyDescent="0.35">
      <c r="A4194">
        <v>17528</v>
      </c>
      <c r="B4194" t="s">
        <v>72</v>
      </c>
      <c r="C4194" t="s">
        <v>733</v>
      </c>
      <c r="D4194" t="s">
        <v>92</v>
      </c>
      <c r="E4194" t="s">
        <v>103</v>
      </c>
      <c r="F4194" t="s">
        <v>244</v>
      </c>
      <c r="G4194" s="39">
        <v>45779</v>
      </c>
      <c r="J4194" t="s">
        <v>981</v>
      </c>
    </row>
    <row r="4195" spans="1:10" x14ac:dyDescent="0.35">
      <c r="A4195">
        <v>17685</v>
      </c>
      <c r="B4195" t="s">
        <v>72</v>
      </c>
      <c r="C4195" t="s">
        <v>733</v>
      </c>
      <c r="D4195" t="s">
        <v>92</v>
      </c>
      <c r="E4195" t="s">
        <v>103</v>
      </c>
      <c r="F4195" t="s">
        <v>244</v>
      </c>
      <c r="G4195" s="39">
        <v>45841</v>
      </c>
      <c r="J4195" t="s">
        <v>981</v>
      </c>
    </row>
    <row r="4196" spans="1:10" x14ac:dyDescent="0.35">
      <c r="A4196">
        <v>17935</v>
      </c>
      <c r="B4196" t="s">
        <v>72</v>
      </c>
      <c r="C4196" t="s">
        <v>733</v>
      </c>
      <c r="D4196" t="s">
        <v>92</v>
      </c>
      <c r="E4196" t="s">
        <v>103</v>
      </c>
      <c r="F4196" t="s">
        <v>244</v>
      </c>
      <c r="G4196" s="39">
        <v>45924</v>
      </c>
      <c r="J4196" t="s">
        <v>981</v>
      </c>
    </row>
    <row r="4197" spans="1:10" x14ac:dyDescent="0.35">
      <c r="A4197">
        <v>18627</v>
      </c>
      <c r="B4197" t="s">
        <v>72</v>
      </c>
      <c r="C4197" t="s">
        <v>733</v>
      </c>
      <c r="D4197" t="s">
        <v>92</v>
      </c>
      <c r="E4197" t="s">
        <v>103</v>
      </c>
      <c r="F4197" t="s">
        <v>244</v>
      </c>
      <c r="G4197" s="39">
        <v>46176</v>
      </c>
      <c r="J4197" t="s">
        <v>981</v>
      </c>
    </row>
    <row r="4198" spans="1:10" x14ac:dyDescent="0.35">
      <c r="A4198">
        <v>16657</v>
      </c>
      <c r="B4198" t="s">
        <v>72</v>
      </c>
      <c r="C4198" t="s">
        <v>733</v>
      </c>
      <c r="D4198" t="s">
        <v>92</v>
      </c>
      <c r="E4198" t="s">
        <v>752</v>
      </c>
      <c r="F4198" t="s">
        <v>244</v>
      </c>
      <c r="G4198" s="39">
        <v>45516</v>
      </c>
      <c r="J4198" t="s">
        <v>981</v>
      </c>
    </row>
    <row r="4199" spans="1:10" x14ac:dyDescent="0.35">
      <c r="A4199">
        <v>16710</v>
      </c>
      <c r="B4199" t="s">
        <v>72</v>
      </c>
      <c r="C4199" t="s">
        <v>733</v>
      </c>
      <c r="D4199" t="s">
        <v>92</v>
      </c>
      <c r="E4199" t="s">
        <v>753</v>
      </c>
      <c r="F4199" t="s">
        <v>244</v>
      </c>
      <c r="G4199" s="39">
        <v>45554</v>
      </c>
      <c r="J4199" t="s">
        <v>981</v>
      </c>
    </row>
    <row r="4200" spans="1:10" x14ac:dyDescent="0.35">
      <c r="A4200">
        <v>15754</v>
      </c>
      <c r="B4200" t="s">
        <v>72</v>
      </c>
      <c r="C4200" t="s">
        <v>733</v>
      </c>
      <c r="D4200" t="s">
        <v>92</v>
      </c>
      <c r="E4200" t="s">
        <v>754</v>
      </c>
      <c r="F4200" t="s">
        <v>244</v>
      </c>
      <c r="G4200" s="39">
        <v>45182</v>
      </c>
      <c r="J4200" t="s">
        <v>981</v>
      </c>
    </row>
    <row r="4201" spans="1:10" x14ac:dyDescent="0.35">
      <c r="A4201">
        <v>12441</v>
      </c>
      <c r="B4201" t="s">
        <v>72</v>
      </c>
      <c r="C4201" t="s">
        <v>733</v>
      </c>
      <c r="D4201" t="s">
        <v>92</v>
      </c>
      <c r="E4201" t="s">
        <v>419</v>
      </c>
      <c r="F4201" t="s">
        <v>244</v>
      </c>
      <c r="G4201" s="39">
        <v>43755</v>
      </c>
      <c r="J4201" t="s">
        <v>981</v>
      </c>
    </row>
    <row r="4202" spans="1:10" x14ac:dyDescent="0.35">
      <c r="A4202">
        <v>17224</v>
      </c>
      <c r="B4202" t="s">
        <v>72</v>
      </c>
      <c r="C4202" t="s">
        <v>733</v>
      </c>
      <c r="D4202" t="s">
        <v>92</v>
      </c>
      <c r="E4202" t="s">
        <v>755</v>
      </c>
      <c r="F4202" t="s">
        <v>244</v>
      </c>
      <c r="G4202" s="39">
        <v>45672</v>
      </c>
      <c r="J4202" t="s">
        <v>981</v>
      </c>
    </row>
    <row r="4203" spans="1:10" x14ac:dyDescent="0.35">
      <c r="A4203">
        <v>17184</v>
      </c>
      <c r="B4203" t="s">
        <v>72</v>
      </c>
      <c r="C4203" t="s">
        <v>733</v>
      </c>
      <c r="D4203" t="s">
        <v>92</v>
      </c>
      <c r="E4203" t="s">
        <v>756</v>
      </c>
      <c r="F4203" t="s">
        <v>244</v>
      </c>
      <c r="G4203" s="39">
        <v>45672</v>
      </c>
      <c r="J4203" t="s">
        <v>981</v>
      </c>
    </row>
    <row r="4204" spans="1:10" x14ac:dyDescent="0.35">
      <c r="A4204">
        <v>14723</v>
      </c>
      <c r="B4204" t="s">
        <v>72</v>
      </c>
      <c r="C4204" t="s">
        <v>733</v>
      </c>
      <c r="D4204" t="s">
        <v>92</v>
      </c>
      <c r="E4204" t="s">
        <v>757</v>
      </c>
      <c r="F4204" t="s">
        <v>244</v>
      </c>
      <c r="G4204" s="39">
        <v>44840</v>
      </c>
      <c r="J4204" t="s">
        <v>981</v>
      </c>
    </row>
    <row r="4205" spans="1:10" x14ac:dyDescent="0.35">
      <c r="A4205">
        <v>16089</v>
      </c>
      <c r="B4205" t="s">
        <v>72</v>
      </c>
      <c r="C4205" t="s">
        <v>733</v>
      </c>
      <c r="D4205" t="s">
        <v>92</v>
      </c>
      <c r="E4205" t="s">
        <v>758</v>
      </c>
      <c r="F4205" t="s">
        <v>244</v>
      </c>
      <c r="G4205" s="39">
        <v>45282</v>
      </c>
      <c r="J4205" t="s">
        <v>981</v>
      </c>
    </row>
    <row r="4206" spans="1:10" x14ac:dyDescent="0.35">
      <c r="A4206">
        <v>16758</v>
      </c>
      <c r="B4206" t="s">
        <v>72</v>
      </c>
      <c r="C4206" t="s">
        <v>733</v>
      </c>
      <c r="D4206" t="s">
        <v>92</v>
      </c>
      <c r="E4206" t="s">
        <v>759</v>
      </c>
      <c r="F4206" t="s">
        <v>244</v>
      </c>
      <c r="G4206" s="39">
        <v>45540</v>
      </c>
      <c r="J4206" t="s">
        <v>981</v>
      </c>
    </row>
    <row r="4207" spans="1:10" x14ac:dyDescent="0.35">
      <c r="A4207">
        <v>16496</v>
      </c>
      <c r="B4207" t="s">
        <v>72</v>
      </c>
      <c r="C4207" t="s">
        <v>733</v>
      </c>
      <c r="D4207" t="s">
        <v>92</v>
      </c>
      <c r="E4207" t="s">
        <v>460</v>
      </c>
      <c r="F4207" t="s">
        <v>244</v>
      </c>
      <c r="G4207" s="39">
        <v>45441</v>
      </c>
      <c r="J4207" t="s">
        <v>981</v>
      </c>
    </row>
    <row r="4208" spans="1:10" x14ac:dyDescent="0.35">
      <c r="A4208">
        <v>11405</v>
      </c>
      <c r="B4208" t="s">
        <v>13</v>
      </c>
      <c r="C4208" t="s">
        <v>92</v>
      </c>
      <c r="D4208" t="s">
        <v>92</v>
      </c>
      <c r="E4208" t="s">
        <v>110</v>
      </c>
      <c r="F4208" t="s">
        <v>244</v>
      </c>
      <c r="G4208" s="39">
        <v>42662</v>
      </c>
      <c r="J4208" t="s">
        <v>981</v>
      </c>
    </row>
    <row r="4209" spans="1:10" x14ac:dyDescent="0.35">
      <c r="A4209">
        <v>11979</v>
      </c>
      <c r="B4209" t="s">
        <v>17</v>
      </c>
      <c r="C4209" t="s">
        <v>760</v>
      </c>
      <c r="D4209" t="s">
        <v>92</v>
      </c>
      <c r="E4209" t="s">
        <v>101</v>
      </c>
      <c r="F4209" t="s">
        <v>244</v>
      </c>
      <c r="G4209" s="39">
        <v>43353</v>
      </c>
      <c r="J4209" t="s">
        <v>981</v>
      </c>
    </row>
    <row r="4210" spans="1:10" x14ac:dyDescent="0.35">
      <c r="A4210">
        <v>12958</v>
      </c>
      <c r="B4210" t="s">
        <v>17</v>
      </c>
      <c r="C4210" t="s">
        <v>760</v>
      </c>
      <c r="D4210" t="s">
        <v>92</v>
      </c>
      <c r="E4210" t="s">
        <v>99</v>
      </c>
      <c r="F4210" t="s">
        <v>244</v>
      </c>
      <c r="G4210" s="39">
        <v>44146</v>
      </c>
      <c r="J4210" t="s">
        <v>981</v>
      </c>
    </row>
    <row r="4211" spans="1:10" x14ac:dyDescent="0.35">
      <c r="A4211">
        <v>11963</v>
      </c>
      <c r="B4211" t="s">
        <v>17</v>
      </c>
      <c r="C4211" t="s">
        <v>760</v>
      </c>
      <c r="D4211" t="s">
        <v>92</v>
      </c>
      <c r="E4211" t="s">
        <v>109</v>
      </c>
      <c r="F4211" t="s">
        <v>244</v>
      </c>
      <c r="G4211" s="39">
        <v>43332</v>
      </c>
      <c r="J4211" t="s">
        <v>981</v>
      </c>
    </row>
    <row r="4212" spans="1:10" x14ac:dyDescent="0.35">
      <c r="A4212">
        <v>13021</v>
      </c>
      <c r="B4212" t="s">
        <v>17</v>
      </c>
      <c r="C4212" t="s">
        <v>760</v>
      </c>
      <c r="D4212" t="s">
        <v>92</v>
      </c>
      <c r="E4212" t="s">
        <v>109</v>
      </c>
      <c r="F4212" t="s">
        <v>244</v>
      </c>
      <c r="G4212" s="39">
        <v>44203</v>
      </c>
      <c r="J4212" t="s">
        <v>981</v>
      </c>
    </row>
    <row r="4213" spans="1:10" x14ac:dyDescent="0.35">
      <c r="A4213">
        <v>14658</v>
      </c>
      <c r="B4213" t="s">
        <v>17</v>
      </c>
      <c r="C4213" t="s">
        <v>760</v>
      </c>
      <c r="D4213" t="s">
        <v>92</v>
      </c>
      <c r="E4213" t="s">
        <v>109</v>
      </c>
      <c r="F4213" t="s">
        <v>244</v>
      </c>
      <c r="G4213" s="39">
        <v>44817</v>
      </c>
      <c r="J4213" t="s">
        <v>981</v>
      </c>
    </row>
    <row r="4214" spans="1:10" x14ac:dyDescent="0.35">
      <c r="A4214">
        <v>18304</v>
      </c>
      <c r="B4214" t="s">
        <v>17</v>
      </c>
      <c r="C4214" t="s">
        <v>760</v>
      </c>
      <c r="D4214" t="s">
        <v>92</v>
      </c>
      <c r="E4214" t="s">
        <v>102</v>
      </c>
      <c r="F4214" t="s">
        <v>244</v>
      </c>
      <c r="G4214" s="39">
        <v>46085</v>
      </c>
      <c r="J4214" t="s">
        <v>981</v>
      </c>
    </row>
    <row r="4215" spans="1:10" x14ac:dyDescent="0.35">
      <c r="A4215">
        <v>15024</v>
      </c>
      <c r="B4215" t="s">
        <v>17</v>
      </c>
      <c r="C4215" t="s">
        <v>760</v>
      </c>
      <c r="D4215" t="s">
        <v>92</v>
      </c>
      <c r="E4215" t="s">
        <v>103</v>
      </c>
      <c r="F4215" t="s">
        <v>244</v>
      </c>
      <c r="G4215" s="39">
        <v>44922</v>
      </c>
      <c r="J4215" t="s">
        <v>981</v>
      </c>
    </row>
    <row r="4216" spans="1:10" x14ac:dyDescent="0.35">
      <c r="A4216">
        <v>15870</v>
      </c>
      <c r="B4216" t="s">
        <v>17</v>
      </c>
      <c r="C4216" t="s">
        <v>760</v>
      </c>
      <c r="D4216" t="s">
        <v>92</v>
      </c>
      <c r="E4216" t="s">
        <v>103</v>
      </c>
      <c r="F4216" t="s">
        <v>244</v>
      </c>
      <c r="G4216" s="39">
        <v>45224</v>
      </c>
      <c r="J4216" t="s">
        <v>981</v>
      </c>
    </row>
    <row r="4217" spans="1:10" x14ac:dyDescent="0.35">
      <c r="A4217">
        <v>16480</v>
      </c>
      <c r="B4217" t="s">
        <v>17</v>
      </c>
      <c r="C4217" t="s">
        <v>760</v>
      </c>
      <c r="D4217" t="s">
        <v>92</v>
      </c>
      <c r="E4217" t="s">
        <v>103</v>
      </c>
      <c r="F4217" t="s">
        <v>244</v>
      </c>
      <c r="G4217" s="39">
        <v>45427</v>
      </c>
      <c r="J4217" t="s">
        <v>981</v>
      </c>
    </row>
    <row r="4218" spans="1:10" x14ac:dyDescent="0.35">
      <c r="A4218">
        <v>17795</v>
      </c>
      <c r="B4218" t="s">
        <v>17</v>
      </c>
      <c r="C4218" t="s">
        <v>760</v>
      </c>
      <c r="D4218" t="s">
        <v>92</v>
      </c>
      <c r="E4218" t="s">
        <v>103</v>
      </c>
      <c r="F4218" t="s">
        <v>244</v>
      </c>
      <c r="G4218" s="39">
        <v>45876</v>
      </c>
      <c r="J4218" t="s">
        <v>981</v>
      </c>
    </row>
    <row r="4219" spans="1:10" x14ac:dyDescent="0.35">
      <c r="A4219">
        <v>610021</v>
      </c>
      <c r="B4219" t="s">
        <v>16</v>
      </c>
      <c r="C4219" t="s">
        <v>761</v>
      </c>
      <c r="D4219" t="s">
        <v>92</v>
      </c>
      <c r="E4219" t="s">
        <v>101</v>
      </c>
      <c r="F4219" t="s">
        <v>244</v>
      </c>
      <c r="G4219" s="39">
        <v>42045</v>
      </c>
      <c r="J4219" t="s">
        <v>981</v>
      </c>
    </row>
    <row r="4220" spans="1:10" x14ac:dyDescent="0.35">
      <c r="A4220">
        <v>18772</v>
      </c>
      <c r="B4220" t="s">
        <v>16</v>
      </c>
      <c r="C4220" t="s">
        <v>92</v>
      </c>
      <c r="D4220" t="s">
        <v>92</v>
      </c>
      <c r="E4220" t="s">
        <v>99</v>
      </c>
      <c r="F4220" t="s">
        <v>244</v>
      </c>
      <c r="G4220" s="39">
        <v>46216</v>
      </c>
      <c r="J4220" t="s">
        <v>981</v>
      </c>
    </row>
    <row r="4221" spans="1:10" x14ac:dyDescent="0.35">
      <c r="A4221">
        <v>800010</v>
      </c>
      <c r="B4221" t="s">
        <v>16</v>
      </c>
      <c r="C4221" t="s">
        <v>761</v>
      </c>
      <c r="D4221" t="s">
        <v>92</v>
      </c>
      <c r="E4221" t="s">
        <v>109</v>
      </c>
      <c r="F4221" t="s">
        <v>244</v>
      </c>
      <c r="G4221" s="39">
        <v>36696</v>
      </c>
      <c r="J4221" t="s">
        <v>981</v>
      </c>
    </row>
    <row r="4222" spans="1:10" x14ac:dyDescent="0.35">
      <c r="A4222">
        <v>12161</v>
      </c>
      <c r="B4222" t="s">
        <v>16</v>
      </c>
      <c r="C4222" t="s">
        <v>761</v>
      </c>
      <c r="D4222" t="s">
        <v>92</v>
      </c>
      <c r="E4222" t="s">
        <v>109</v>
      </c>
      <c r="F4222" t="s">
        <v>244</v>
      </c>
      <c r="G4222" s="39">
        <v>43530</v>
      </c>
      <c r="J4222" t="s">
        <v>981</v>
      </c>
    </row>
    <row r="4223" spans="1:10" x14ac:dyDescent="0.35">
      <c r="A4223">
        <v>16320</v>
      </c>
      <c r="B4223" t="s">
        <v>16</v>
      </c>
      <c r="C4223" t="s">
        <v>761</v>
      </c>
      <c r="D4223" t="s">
        <v>92</v>
      </c>
      <c r="E4223" t="s">
        <v>109</v>
      </c>
      <c r="F4223" t="s">
        <v>244</v>
      </c>
      <c r="G4223" s="39">
        <v>45348</v>
      </c>
      <c r="J4223" t="s">
        <v>981</v>
      </c>
    </row>
    <row r="4224" spans="1:10" x14ac:dyDescent="0.35">
      <c r="A4224">
        <v>980010</v>
      </c>
      <c r="B4224" t="s">
        <v>16</v>
      </c>
      <c r="C4224" t="s">
        <v>761</v>
      </c>
      <c r="D4224" t="s">
        <v>92</v>
      </c>
      <c r="E4224" t="s">
        <v>102</v>
      </c>
      <c r="F4224" t="s">
        <v>244</v>
      </c>
      <c r="G4224" s="39">
        <v>42524</v>
      </c>
      <c r="J4224" t="s">
        <v>981</v>
      </c>
    </row>
    <row r="4225" spans="1:10" x14ac:dyDescent="0.35">
      <c r="A4225">
        <v>15155</v>
      </c>
      <c r="B4225" t="s">
        <v>16</v>
      </c>
      <c r="C4225" t="s">
        <v>761</v>
      </c>
      <c r="D4225" t="s">
        <v>92</v>
      </c>
      <c r="E4225" t="s">
        <v>102</v>
      </c>
      <c r="F4225" t="s">
        <v>244</v>
      </c>
      <c r="G4225" s="39">
        <v>44967</v>
      </c>
      <c r="J4225" t="s">
        <v>981</v>
      </c>
    </row>
    <row r="4226" spans="1:10" x14ac:dyDescent="0.35">
      <c r="A4226">
        <v>17449</v>
      </c>
      <c r="B4226" t="s">
        <v>43</v>
      </c>
      <c r="C4226" t="s">
        <v>497</v>
      </c>
      <c r="D4226" t="s">
        <v>92</v>
      </c>
      <c r="E4226" t="s">
        <v>103</v>
      </c>
      <c r="F4226" t="s">
        <v>244</v>
      </c>
      <c r="G4226" s="39">
        <v>45762</v>
      </c>
      <c r="J4226" t="s">
        <v>981</v>
      </c>
    </row>
    <row r="4227" spans="1:10" x14ac:dyDescent="0.35">
      <c r="A4227">
        <v>17250</v>
      </c>
      <c r="B4227" t="s">
        <v>43</v>
      </c>
      <c r="C4227" t="s">
        <v>497</v>
      </c>
      <c r="D4227" t="s">
        <v>92</v>
      </c>
      <c r="E4227" t="s">
        <v>103</v>
      </c>
      <c r="F4227" t="s">
        <v>244</v>
      </c>
      <c r="G4227" s="39">
        <v>45681</v>
      </c>
      <c r="J4227" t="s">
        <v>981</v>
      </c>
    </row>
    <row r="4228" spans="1:10" x14ac:dyDescent="0.35">
      <c r="A4228">
        <v>18212</v>
      </c>
      <c r="B4228" t="s">
        <v>16</v>
      </c>
      <c r="C4228" t="s">
        <v>761</v>
      </c>
      <c r="D4228" t="s">
        <v>92</v>
      </c>
      <c r="E4228" t="s">
        <v>106</v>
      </c>
      <c r="F4228" t="s">
        <v>244</v>
      </c>
      <c r="G4228" s="39">
        <v>46056</v>
      </c>
      <c r="J4228" t="s">
        <v>981</v>
      </c>
    </row>
    <row r="4229" spans="1:10" x14ac:dyDescent="0.35">
      <c r="A4229">
        <v>10292</v>
      </c>
      <c r="B4229" t="s">
        <v>16</v>
      </c>
      <c r="C4229" t="s">
        <v>763</v>
      </c>
      <c r="D4229" t="s">
        <v>92</v>
      </c>
      <c r="E4229" t="s">
        <v>101</v>
      </c>
      <c r="F4229" t="s">
        <v>244</v>
      </c>
      <c r="G4229" s="39">
        <v>39478</v>
      </c>
      <c r="J4229" t="s">
        <v>981</v>
      </c>
    </row>
    <row r="4230" spans="1:10" x14ac:dyDescent="0.35">
      <c r="A4230">
        <v>10273</v>
      </c>
      <c r="B4230" t="s">
        <v>16</v>
      </c>
      <c r="C4230" t="s">
        <v>763</v>
      </c>
      <c r="D4230" t="s">
        <v>92</v>
      </c>
      <c r="E4230" t="s">
        <v>109</v>
      </c>
      <c r="F4230" t="s">
        <v>244</v>
      </c>
      <c r="G4230" s="39">
        <v>39316</v>
      </c>
      <c r="J4230" t="s">
        <v>981</v>
      </c>
    </row>
    <row r="4231" spans="1:10" x14ac:dyDescent="0.35">
      <c r="A4231">
        <v>240042</v>
      </c>
      <c r="B4231" t="s">
        <v>16</v>
      </c>
      <c r="C4231" t="s">
        <v>763</v>
      </c>
      <c r="D4231" t="s">
        <v>92</v>
      </c>
      <c r="E4231" t="s">
        <v>102</v>
      </c>
      <c r="F4231" t="s">
        <v>244</v>
      </c>
      <c r="G4231" s="39">
        <v>43263</v>
      </c>
      <c r="J4231" t="s">
        <v>981</v>
      </c>
    </row>
    <row r="4232" spans="1:10" x14ac:dyDescent="0.35">
      <c r="A4232">
        <v>18584</v>
      </c>
      <c r="B4232" t="s">
        <v>16</v>
      </c>
      <c r="C4232" t="s">
        <v>763</v>
      </c>
      <c r="D4232" t="s">
        <v>764</v>
      </c>
      <c r="E4232" t="s">
        <v>102</v>
      </c>
      <c r="F4232" t="s">
        <v>244</v>
      </c>
      <c r="G4232" s="39">
        <v>46160</v>
      </c>
      <c r="J4232" t="s">
        <v>981</v>
      </c>
    </row>
    <row r="4233" spans="1:10" x14ac:dyDescent="0.35">
      <c r="A4233">
        <v>18242</v>
      </c>
      <c r="B4233" t="s">
        <v>16</v>
      </c>
      <c r="C4233" t="s">
        <v>763</v>
      </c>
      <c r="D4233" t="s">
        <v>92</v>
      </c>
      <c r="E4233" t="s">
        <v>762</v>
      </c>
      <c r="F4233" t="s">
        <v>244</v>
      </c>
      <c r="G4233" s="39">
        <v>46070</v>
      </c>
      <c r="J4233" t="s">
        <v>981</v>
      </c>
    </row>
    <row r="4234" spans="1:10" x14ac:dyDescent="0.35">
      <c r="A4234">
        <v>18250</v>
      </c>
      <c r="B4234" t="s">
        <v>16</v>
      </c>
      <c r="C4234" t="s">
        <v>763</v>
      </c>
      <c r="D4234" t="s">
        <v>92</v>
      </c>
      <c r="E4234" t="s">
        <v>762</v>
      </c>
      <c r="F4234" t="s">
        <v>244</v>
      </c>
      <c r="G4234" s="39">
        <v>46071</v>
      </c>
      <c r="J4234" t="s">
        <v>981</v>
      </c>
    </row>
    <row r="4235" spans="1:10" x14ac:dyDescent="0.35">
      <c r="A4235">
        <v>14669</v>
      </c>
      <c r="B4235" t="s">
        <v>16</v>
      </c>
      <c r="C4235" t="s">
        <v>763</v>
      </c>
      <c r="D4235" t="s">
        <v>92</v>
      </c>
      <c r="E4235" t="s">
        <v>102</v>
      </c>
      <c r="F4235" t="s">
        <v>411</v>
      </c>
      <c r="G4235" s="39">
        <v>44823</v>
      </c>
      <c r="J4235" t="s">
        <v>981</v>
      </c>
    </row>
    <row r="4236" spans="1:10" x14ac:dyDescent="0.35">
      <c r="A4236">
        <v>13022</v>
      </c>
      <c r="B4236" t="s">
        <v>13</v>
      </c>
      <c r="C4236" t="s">
        <v>228</v>
      </c>
      <c r="D4236" t="s">
        <v>92</v>
      </c>
      <c r="E4236" t="s">
        <v>101</v>
      </c>
      <c r="F4236" t="s">
        <v>244</v>
      </c>
      <c r="G4236" s="39">
        <v>44203</v>
      </c>
      <c r="J4236" t="s">
        <v>981</v>
      </c>
    </row>
    <row r="4237" spans="1:10" x14ac:dyDescent="0.35">
      <c r="A4237">
        <v>18424</v>
      </c>
      <c r="B4237" t="s">
        <v>16</v>
      </c>
      <c r="C4237" t="s">
        <v>236</v>
      </c>
      <c r="D4237" t="s">
        <v>92</v>
      </c>
      <c r="E4237" t="s">
        <v>101</v>
      </c>
      <c r="F4237" t="s">
        <v>244</v>
      </c>
      <c r="G4237" s="39">
        <v>46122</v>
      </c>
      <c r="H4237" t="s">
        <v>249</v>
      </c>
      <c r="J4237" t="s">
        <v>981</v>
      </c>
    </row>
    <row r="4238" spans="1:10" x14ac:dyDescent="0.35">
      <c r="A4238">
        <v>12100</v>
      </c>
      <c r="B4238" t="s">
        <v>16</v>
      </c>
      <c r="C4238" t="s">
        <v>669</v>
      </c>
      <c r="D4238" t="s">
        <v>92</v>
      </c>
      <c r="E4238" t="s">
        <v>99</v>
      </c>
      <c r="F4238" t="s">
        <v>244</v>
      </c>
      <c r="G4238" s="39">
        <v>43472</v>
      </c>
      <c r="J4238" t="s">
        <v>981</v>
      </c>
    </row>
    <row r="4239" spans="1:10" x14ac:dyDescent="0.35">
      <c r="A4239">
        <v>310032</v>
      </c>
      <c r="B4239" t="s">
        <v>16</v>
      </c>
      <c r="C4239" t="s">
        <v>669</v>
      </c>
      <c r="D4239" t="s">
        <v>92</v>
      </c>
      <c r="E4239" t="s">
        <v>99</v>
      </c>
      <c r="F4239" t="s">
        <v>244</v>
      </c>
      <c r="G4239" s="39">
        <v>42705</v>
      </c>
      <c r="J4239" t="s">
        <v>981</v>
      </c>
    </row>
    <row r="4240" spans="1:10" x14ac:dyDescent="0.35">
      <c r="A4240">
        <v>14534</v>
      </c>
      <c r="B4240" t="s">
        <v>16</v>
      </c>
      <c r="C4240" t="s">
        <v>669</v>
      </c>
      <c r="D4240" t="s">
        <v>92</v>
      </c>
      <c r="E4240" t="s">
        <v>102</v>
      </c>
      <c r="F4240" t="s">
        <v>244</v>
      </c>
      <c r="G4240" s="39">
        <v>44783</v>
      </c>
      <c r="J4240" t="s">
        <v>981</v>
      </c>
    </row>
    <row r="4241" spans="1:10" x14ac:dyDescent="0.35">
      <c r="A4241">
        <v>18958</v>
      </c>
      <c r="B4241" t="s">
        <v>16</v>
      </c>
      <c r="C4241" t="s">
        <v>669</v>
      </c>
      <c r="D4241" t="s">
        <v>92</v>
      </c>
      <c r="E4241" t="s">
        <v>103</v>
      </c>
      <c r="F4241" t="s">
        <v>244</v>
      </c>
      <c r="G4241" s="39">
        <v>46251</v>
      </c>
      <c r="J4241" t="s">
        <v>981</v>
      </c>
    </row>
    <row r="4242" spans="1:10" x14ac:dyDescent="0.35">
      <c r="A4242">
        <v>18025</v>
      </c>
      <c r="B4242" t="s">
        <v>16</v>
      </c>
      <c r="C4242" t="s">
        <v>761</v>
      </c>
      <c r="D4242" t="s">
        <v>92</v>
      </c>
      <c r="E4242" t="s">
        <v>106</v>
      </c>
      <c r="F4242" t="s">
        <v>244</v>
      </c>
      <c r="G4242" s="39">
        <v>45966</v>
      </c>
      <c r="J4242" t="s">
        <v>981</v>
      </c>
    </row>
    <row r="4243" spans="1:10" x14ac:dyDescent="0.35">
      <c r="A4243">
        <v>17863</v>
      </c>
      <c r="B4243" t="s">
        <v>16</v>
      </c>
      <c r="C4243" t="s">
        <v>765</v>
      </c>
      <c r="D4243" t="s">
        <v>92</v>
      </c>
      <c r="E4243" t="s">
        <v>103</v>
      </c>
      <c r="F4243" t="s">
        <v>244</v>
      </c>
      <c r="G4243" s="39">
        <v>45896</v>
      </c>
      <c r="J4243" t="s">
        <v>981</v>
      </c>
    </row>
    <row r="4244" spans="1:10" x14ac:dyDescent="0.35">
      <c r="A4244">
        <v>12904</v>
      </c>
      <c r="B4244" t="s">
        <v>17</v>
      </c>
      <c r="C4244" t="s">
        <v>760</v>
      </c>
      <c r="D4244" t="s">
        <v>92</v>
      </c>
      <c r="E4244" t="s">
        <v>99</v>
      </c>
      <c r="F4244" t="s">
        <v>244</v>
      </c>
      <c r="G4244" s="39">
        <v>44095</v>
      </c>
      <c r="J4244" t="s">
        <v>981</v>
      </c>
    </row>
    <row r="4245" spans="1:10" x14ac:dyDescent="0.35">
      <c r="A4245">
        <v>18934</v>
      </c>
      <c r="B4245" t="s">
        <v>17</v>
      </c>
      <c r="C4245" t="s">
        <v>766</v>
      </c>
      <c r="D4245" t="s">
        <v>92</v>
      </c>
      <c r="E4245" t="s">
        <v>99</v>
      </c>
      <c r="F4245" t="s">
        <v>244</v>
      </c>
      <c r="G4245" s="39">
        <v>46245</v>
      </c>
      <c r="J4245" t="s">
        <v>981</v>
      </c>
    </row>
    <row r="4246" spans="1:10" x14ac:dyDescent="0.35">
      <c r="A4246">
        <v>11812</v>
      </c>
      <c r="B4246" t="s">
        <v>17</v>
      </c>
      <c r="C4246" t="s">
        <v>766</v>
      </c>
      <c r="D4246" t="s">
        <v>92</v>
      </c>
      <c r="E4246" t="s">
        <v>109</v>
      </c>
      <c r="F4246" t="s">
        <v>244</v>
      </c>
      <c r="G4246" s="39">
        <v>43154</v>
      </c>
      <c r="J4246" t="s">
        <v>981</v>
      </c>
    </row>
    <row r="4247" spans="1:10" x14ac:dyDescent="0.35">
      <c r="A4247">
        <v>12225</v>
      </c>
      <c r="B4247" t="s">
        <v>17</v>
      </c>
      <c r="C4247" t="s">
        <v>766</v>
      </c>
      <c r="D4247" t="s">
        <v>92</v>
      </c>
      <c r="E4247" t="s">
        <v>102</v>
      </c>
      <c r="F4247" t="s">
        <v>244</v>
      </c>
      <c r="G4247" s="39">
        <v>43619</v>
      </c>
      <c r="J4247" t="s">
        <v>981</v>
      </c>
    </row>
    <row r="4248" spans="1:10" x14ac:dyDescent="0.35">
      <c r="A4248">
        <v>14498</v>
      </c>
      <c r="B4248" t="s">
        <v>17</v>
      </c>
      <c r="C4248" t="s">
        <v>760</v>
      </c>
      <c r="D4248" t="s">
        <v>92</v>
      </c>
      <c r="E4248" t="s">
        <v>109</v>
      </c>
      <c r="F4248" t="s">
        <v>244</v>
      </c>
      <c r="G4248" s="39">
        <v>44776</v>
      </c>
      <c r="J4248" t="s">
        <v>981</v>
      </c>
    </row>
    <row r="4249" spans="1:10" x14ac:dyDescent="0.35">
      <c r="A4249">
        <v>14206</v>
      </c>
      <c r="B4249" t="s">
        <v>17</v>
      </c>
      <c r="C4249" t="s">
        <v>766</v>
      </c>
      <c r="D4249" t="s">
        <v>92</v>
      </c>
      <c r="E4249" t="s">
        <v>169</v>
      </c>
      <c r="F4249" t="s">
        <v>244</v>
      </c>
      <c r="G4249" s="39">
        <v>44698</v>
      </c>
      <c r="J4249" t="s">
        <v>981</v>
      </c>
    </row>
    <row r="4250" spans="1:10" x14ac:dyDescent="0.35">
      <c r="A4250">
        <v>14521</v>
      </c>
      <c r="B4250" t="s">
        <v>17</v>
      </c>
      <c r="C4250" t="s">
        <v>766</v>
      </c>
      <c r="D4250" t="s">
        <v>92</v>
      </c>
      <c r="E4250" t="s">
        <v>102</v>
      </c>
      <c r="F4250" t="s">
        <v>244</v>
      </c>
      <c r="G4250" s="39">
        <v>44777</v>
      </c>
      <c r="J4250" t="s">
        <v>981</v>
      </c>
    </row>
    <row r="4251" spans="1:10" x14ac:dyDescent="0.35">
      <c r="A4251">
        <v>18887</v>
      </c>
      <c r="B4251" t="s">
        <v>17</v>
      </c>
      <c r="C4251" t="s">
        <v>766</v>
      </c>
      <c r="D4251" t="s">
        <v>92</v>
      </c>
      <c r="E4251" t="s">
        <v>106</v>
      </c>
      <c r="F4251" t="s">
        <v>244</v>
      </c>
      <c r="G4251" s="39">
        <v>46232</v>
      </c>
      <c r="J4251" t="s">
        <v>981</v>
      </c>
    </row>
    <row r="4252" spans="1:10" x14ac:dyDescent="0.35">
      <c r="A4252">
        <v>14524</v>
      </c>
      <c r="B4252" t="s">
        <v>17</v>
      </c>
      <c r="C4252" t="s">
        <v>760</v>
      </c>
      <c r="D4252" t="s">
        <v>92</v>
      </c>
      <c r="E4252" t="s">
        <v>102</v>
      </c>
      <c r="F4252" t="s">
        <v>244</v>
      </c>
      <c r="G4252" s="39">
        <v>44782</v>
      </c>
      <c r="J4252" t="s">
        <v>981</v>
      </c>
    </row>
    <row r="4253" spans="1:10" x14ac:dyDescent="0.35">
      <c r="A4253">
        <v>15931</v>
      </c>
      <c r="B4253" t="s">
        <v>17</v>
      </c>
      <c r="C4253" t="s">
        <v>760</v>
      </c>
      <c r="D4253" t="s">
        <v>92</v>
      </c>
      <c r="E4253" t="s">
        <v>454</v>
      </c>
      <c r="F4253" t="s">
        <v>244</v>
      </c>
      <c r="G4253" s="39">
        <v>45244</v>
      </c>
      <c r="J4253" t="s">
        <v>981</v>
      </c>
    </row>
    <row r="4254" spans="1:10" x14ac:dyDescent="0.35">
      <c r="A4254">
        <v>16450</v>
      </c>
      <c r="B4254" t="s">
        <v>17</v>
      </c>
      <c r="C4254" t="s">
        <v>760</v>
      </c>
      <c r="D4254" t="s">
        <v>92</v>
      </c>
      <c r="E4254" t="s">
        <v>767</v>
      </c>
      <c r="F4254" t="s">
        <v>244</v>
      </c>
      <c r="G4254" s="39">
        <v>45407</v>
      </c>
      <c r="J4254" t="s">
        <v>981</v>
      </c>
    </row>
    <row r="4255" spans="1:10" x14ac:dyDescent="0.35">
      <c r="A4255">
        <v>15930</v>
      </c>
      <c r="B4255" t="s">
        <v>17</v>
      </c>
      <c r="C4255" t="s">
        <v>760</v>
      </c>
      <c r="D4255" t="s">
        <v>92</v>
      </c>
      <c r="E4255" t="s">
        <v>768</v>
      </c>
      <c r="F4255" t="s">
        <v>244</v>
      </c>
      <c r="G4255" s="39">
        <v>45245</v>
      </c>
      <c r="J4255" t="s">
        <v>981</v>
      </c>
    </row>
    <row r="4256" spans="1:10" x14ac:dyDescent="0.35">
      <c r="A4256">
        <v>15084</v>
      </c>
      <c r="B4256" t="s">
        <v>17</v>
      </c>
      <c r="C4256" t="s">
        <v>766</v>
      </c>
      <c r="D4256" t="s">
        <v>92</v>
      </c>
      <c r="E4256" t="s">
        <v>102</v>
      </c>
      <c r="F4256" t="s">
        <v>244</v>
      </c>
      <c r="G4256" s="39">
        <v>44943</v>
      </c>
      <c r="J4256" t="s">
        <v>981</v>
      </c>
    </row>
    <row r="4257" spans="1:10" x14ac:dyDescent="0.35">
      <c r="A4257">
        <v>15540</v>
      </c>
      <c r="B4257" t="s">
        <v>17</v>
      </c>
      <c r="C4257" t="s">
        <v>766</v>
      </c>
      <c r="D4257" t="s">
        <v>92</v>
      </c>
      <c r="E4257" t="s">
        <v>103</v>
      </c>
      <c r="F4257" t="s">
        <v>244</v>
      </c>
      <c r="G4257" s="39">
        <v>45119</v>
      </c>
      <c r="J4257" t="s">
        <v>981</v>
      </c>
    </row>
    <row r="4258" spans="1:10" x14ac:dyDescent="0.35">
      <c r="A4258">
        <v>16493</v>
      </c>
      <c r="B4258" t="s">
        <v>17</v>
      </c>
      <c r="C4258" t="s">
        <v>760</v>
      </c>
      <c r="D4258" t="s">
        <v>92</v>
      </c>
      <c r="E4258" t="s">
        <v>103</v>
      </c>
      <c r="F4258" t="s">
        <v>244</v>
      </c>
      <c r="G4258" s="39">
        <v>45439</v>
      </c>
      <c r="J4258" t="s">
        <v>981</v>
      </c>
    </row>
    <row r="4259" spans="1:10" x14ac:dyDescent="0.35">
      <c r="A4259">
        <v>14491</v>
      </c>
      <c r="B4259" t="s">
        <v>17</v>
      </c>
      <c r="C4259" t="s">
        <v>760</v>
      </c>
      <c r="D4259" t="s">
        <v>92</v>
      </c>
      <c r="E4259" t="s">
        <v>103</v>
      </c>
      <c r="F4259" t="s">
        <v>244</v>
      </c>
      <c r="G4259" s="39">
        <v>44775</v>
      </c>
      <c r="J4259" t="s">
        <v>981</v>
      </c>
    </row>
    <row r="4260" spans="1:10" x14ac:dyDescent="0.35">
      <c r="A4260">
        <v>16084</v>
      </c>
      <c r="B4260" t="s">
        <v>81</v>
      </c>
      <c r="C4260" t="s">
        <v>92</v>
      </c>
      <c r="D4260" t="s">
        <v>92</v>
      </c>
      <c r="E4260" t="s">
        <v>383</v>
      </c>
      <c r="F4260" t="s">
        <v>244</v>
      </c>
      <c r="G4260" s="39">
        <v>45275</v>
      </c>
      <c r="J4260" t="s">
        <v>982</v>
      </c>
    </row>
    <row r="4261" spans="1:10" x14ac:dyDescent="0.35">
      <c r="A4261">
        <v>10778</v>
      </c>
      <c r="B4261" t="s">
        <v>81</v>
      </c>
      <c r="C4261" t="s">
        <v>769</v>
      </c>
      <c r="D4261" t="s">
        <v>92</v>
      </c>
      <c r="E4261" t="s">
        <v>186</v>
      </c>
      <c r="F4261" t="s">
        <v>244</v>
      </c>
      <c r="G4261" s="39">
        <v>41871</v>
      </c>
      <c r="J4261" t="s">
        <v>982</v>
      </c>
    </row>
    <row r="4262" spans="1:10" x14ac:dyDescent="0.35">
      <c r="A4262">
        <v>12907</v>
      </c>
      <c r="B4262" t="s">
        <v>81</v>
      </c>
      <c r="C4262" t="s">
        <v>769</v>
      </c>
      <c r="D4262" t="s">
        <v>92</v>
      </c>
      <c r="E4262" t="s">
        <v>96</v>
      </c>
      <c r="F4262" t="s">
        <v>244</v>
      </c>
      <c r="G4262" s="39">
        <v>44095</v>
      </c>
      <c r="J4262" t="s">
        <v>982</v>
      </c>
    </row>
    <row r="4263" spans="1:10" x14ac:dyDescent="0.35">
      <c r="A4263">
        <v>17196</v>
      </c>
      <c r="B4263" t="s">
        <v>81</v>
      </c>
      <c r="C4263" t="s">
        <v>770</v>
      </c>
      <c r="D4263" t="s">
        <v>92</v>
      </c>
      <c r="E4263" t="s">
        <v>771</v>
      </c>
      <c r="F4263" t="s">
        <v>244</v>
      </c>
      <c r="G4263" s="39">
        <v>45664</v>
      </c>
      <c r="J4263" t="s">
        <v>982</v>
      </c>
    </row>
    <row r="4264" spans="1:10" x14ac:dyDescent="0.35">
      <c r="A4264">
        <v>17622</v>
      </c>
      <c r="B4264" t="s">
        <v>81</v>
      </c>
      <c r="C4264" t="s">
        <v>770</v>
      </c>
      <c r="D4264" t="s">
        <v>92</v>
      </c>
      <c r="E4264" t="s">
        <v>772</v>
      </c>
      <c r="F4264" t="s">
        <v>244</v>
      </c>
      <c r="G4264" s="39">
        <v>45818</v>
      </c>
      <c r="J4264" t="s">
        <v>982</v>
      </c>
    </row>
    <row r="4265" spans="1:10" x14ac:dyDescent="0.35">
      <c r="A4265">
        <v>17815</v>
      </c>
      <c r="B4265" t="s">
        <v>81</v>
      </c>
      <c r="C4265" t="s">
        <v>770</v>
      </c>
      <c r="D4265" t="s">
        <v>92</v>
      </c>
      <c r="E4265" t="s">
        <v>772</v>
      </c>
      <c r="F4265" t="s">
        <v>244</v>
      </c>
      <c r="G4265" s="39">
        <v>45882</v>
      </c>
      <c r="J4265" t="s">
        <v>982</v>
      </c>
    </row>
    <row r="4266" spans="1:10" x14ac:dyDescent="0.35">
      <c r="A4266">
        <v>17831</v>
      </c>
      <c r="B4266" t="s">
        <v>81</v>
      </c>
      <c r="C4266" t="s">
        <v>769</v>
      </c>
      <c r="D4266" t="s">
        <v>92</v>
      </c>
      <c r="E4266" t="s">
        <v>771</v>
      </c>
      <c r="F4266" t="s">
        <v>244</v>
      </c>
      <c r="G4266" s="39">
        <v>45887</v>
      </c>
      <c r="J4266" t="s">
        <v>982</v>
      </c>
    </row>
    <row r="4267" spans="1:10" x14ac:dyDescent="0.35">
      <c r="A4267">
        <v>16355</v>
      </c>
      <c r="B4267" t="s">
        <v>81</v>
      </c>
      <c r="C4267" t="s">
        <v>769</v>
      </c>
      <c r="D4267" t="s">
        <v>92</v>
      </c>
      <c r="E4267" t="s">
        <v>771</v>
      </c>
      <c r="F4267" t="s">
        <v>244</v>
      </c>
      <c r="G4267" s="39">
        <v>45358</v>
      </c>
      <c r="J4267" t="s">
        <v>982</v>
      </c>
    </row>
    <row r="4268" spans="1:10" x14ac:dyDescent="0.35">
      <c r="A4268">
        <v>17628</v>
      </c>
      <c r="B4268" t="s">
        <v>81</v>
      </c>
      <c r="C4268" t="s">
        <v>769</v>
      </c>
      <c r="D4268" t="s">
        <v>92</v>
      </c>
      <c r="E4268" t="s">
        <v>773</v>
      </c>
      <c r="F4268" t="s">
        <v>244</v>
      </c>
      <c r="G4268" s="39">
        <v>45821</v>
      </c>
      <c r="J4268" t="s">
        <v>982</v>
      </c>
    </row>
    <row r="4269" spans="1:10" x14ac:dyDescent="0.35">
      <c r="A4269">
        <v>17745</v>
      </c>
      <c r="B4269" t="s">
        <v>81</v>
      </c>
      <c r="C4269" t="s">
        <v>769</v>
      </c>
      <c r="D4269" t="s">
        <v>92</v>
      </c>
      <c r="E4269" t="s">
        <v>773</v>
      </c>
      <c r="F4269" t="s">
        <v>244</v>
      </c>
      <c r="G4269" s="39">
        <v>45861</v>
      </c>
      <c r="J4269" t="s">
        <v>982</v>
      </c>
    </row>
    <row r="4270" spans="1:10" x14ac:dyDescent="0.35">
      <c r="A4270">
        <v>18705</v>
      </c>
      <c r="B4270" t="s">
        <v>81</v>
      </c>
      <c r="C4270" t="s">
        <v>769</v>
      </c>
      <c r="D4270" t="s">
        <v>92</v>
      </c>
      <c r="E4270" t="s">
        <v>774</v>
      </c>
      <c r="F4270" t="s">
        <v>244</v>
      </c>
      <c r="G4270" s="39">
        <v>46195</v>
      </c>
      <c r="J4270" t="s">
        <v>982</v>
      </c>
    </row>
    <row r="4271" spans="1:10" x14ac:dyDescent="0.35">
      <c r="A4271">
        <v>12804</v>
      </c>
      <c r="B4271" t="s">
        <v>16</v>
      </c>
      <c r="C4271" t="s">
        <v>92</v>
      </c>
      <c r="D4271" t="s">
        <v>92</v>
      </c>
      <c r="E4271" t="s">
        <v>110</v>
      </c>
      <c r="F4271" t="s">
        <v>244</v>
      </c>
      <c r="G4271" s="39">
        <v>43937</v>
      </c>
      <c r="J4271" t="s">
        <v>981</v>
      </c>
    </row>
    <row r="4272" spans="1:10" x14ac:dyDescent="0.35">
      <c r="A4272">
        <v>18095</v>
      </c>
      <c r="B4272" t="s">
        <v>16</v>
      </c>
      <c r="C4272" t="s">
        <v>92</v>
      </c>
      <c r="D4272" t="s">
        <v>92</v>
      </c>
      <c r="E4272" t="s">
        <v>100</v>
      </c>
      <c r="F4272" t="s">
        <v>244</v>
      </c>
      <c r="G4272" s="39">
        <v>45992</v>
      </c>
      <c r="J4272" t="s">
        <v>981</v>
      </c>
    </row>
    <row r="4273" spans="1:10" x14ac:dyDescent="0.35">
      <c r="A4273">
        <v>12918</v>
      </c>
      <c r="B4273" t="s">
        <v>16</v>
      </c>
      <c r="C4273" t="s">
        <v>237</v>
      </c>
      <c r="D4273" t="s">
        <v>92</v>
      </c>
      <c r="E4273" t="s">
        <v>101</v>
      </c>
      <c r="F4273" t="s">
        <v>244</v>
      </c>
      <c r="G4273" s="39">
        <v>44109</v>
      </c>
      <c r="J4273" t="s">
        <v>981</v>
      </c>
    </row>
    <row r="4274" spans="1:10" x14ac:dyDescent="0.35">
      <c r="A4274">
        <v>10861</v>
      </c>
      <c r="B4274" t="s">
        <v>16</v>
      </c>
      <c r="C4274" t="s">
        <v>237</v>
      </c>
      <c r="D4274" t="s">
        <v>92</v>
      </c>
      <c r="E4274" t="s">
        <v>99</v>
      </c>
      <c r="F4274" t="s">
        <v>244</v>
      </c>
      <c r="G4274" s="39">
        <v>42012</v>
      </c>
      <c r="J4274" t="s">
        <v>981</v>
      </c>
    </row>
    <row r="4275" spans="1:10" x14ac:dyDescent="0.35">
      <c r="A4275">
        <v>19171</v>
      </c>
      <c r="B4275" t="s">
        <v>16</v>
      </c>
      <c r="C4275" t="s">
        <v>237</v>
      </c>
      <c r="D4275" t="s">
        <v>92</v>
      </c>
      <c r="E4275" t="s">
        <v>99</v>
      </c>
      <c r="F4275" t="s">
        <v>244</v>
      </c>
      <c r="G4275" s="39">
        <v>46276</v>
      </c>
      <c r="J4275" t="s">
        <v>981</v>
      </c>
    </row>
    <row r="4276" spans="1:10" x14ac:dyDescent="0.35">
      <c r="A4276">
        <v>15108</v>
      </c>
      <c r="B4276" t="s">
        <v>16</v>
      </c>
      <c r="C4276" t="s">
        <v>237</v>
      </c>
      <c r="D4276" t="s">
        <v>92</v>
      </c>
      <c r="E4276" t="s">
        <v>109</v>
      </c>
      <c r="F4276" t="s">
        <v>244</v>
      </c>
      <c r="G4276" s="39">
        <v>44952</v>
      </c>
      <c r="J4276" t="s">
        <v>981</v>
      </c>
    </row>
    <row r="4277" spans="1:10" x14ac:dyDescent="0.35">
      <c r="A4277">
        <v>15816</v>
      </c>
      <c r="B4277" t="s">
        <v>16</v>
      </c>
      <c r="C4277" t="s">
        <v>237</v>
      </c>
      <c r="D4277" t="s">
        <v>92</v>
      </c>
      <c r="E4277" t="s">
        <v>109</v>
      </c>
      <c r="F4277" t="s">
        <v>244</v>
      </c>
      <c r="G4277" s="39">
        <v>45205</v>
      </c>
      <c r="J4277" t="s">
        <v>981</v>
      </c>
    </row>
    <row r="4278" spans="1:10" x14ac:dyDescent="0.35">
      <c r="A4278">
        <v>16223</v>
      </c>
      <c r="B4278" t="s">
        <v>16</v>
      </c>
      <c r="C4278" t="s">
        <v>237</v>
      </c>
      <c r="D4278" t="s">
        <v>92</v>
      </c>
      <c r="E4278" t="s">
        <v>109</v>
      </c>
      <c r="F4278" t="s">
        <v>245</v>
      </c>
      <c r="G4278" s="39">
        <v>45327</v>
      </c>
      <c r="J4278" t="s">
        <v>981</v>
      </c>
    </row>
    <row r="4279" spans="1:10" x14ac:dyDescent="0.35">
      <c r="A4279">
        <v>18405</v>
      </c>
      <c r="B4279" t="s">
        <v>16</v>
      </c>
      <c r="C4279" t="s">
        <v>237</v>
      </c>
      <c r="D4279" t="s">
        <v>92</v>
      </c>
      <c r="E4279" t="s">
        <v>103</v>
      </c>
      <c r="F4279" t="s">
        <v>244</v>
      </c>
      <c r="G4279" s="39">
        <v>46132</v>
      </c>
      <c r="J4279" t="s">
        <v>981</v>
      </c>
    </row>
    <row r="4280" spans="1:10" x14ac:dyDescent="0.35">
      <c r="A4280">
        <v>18344</v>
      </c>
      <c r="B4280" t="s">
        <v>16</v>
      </c>
      <c r="C4280" t="s">
        <v>237</v>
      </c>
      <c r="D4280" t="s">
        <v>92</v>
      </c>
      <c r="E4280" t="s">
        <v>103</v>
      </c>
      <c r="F4280" t="s">
        <v>244</v>
      </c>
      <c r="G4280" s="39">
        <v>46092</v>
      </c>
      <c r="H4280" t="s">
        <v>249</v>
      </c>
      <c r="J4280" t="s">
        <v>981</v>
      </c>
    </row>
    <row r="4281" spans="1:10" x14ac:dyDescent="0.35">
      <c r="A4281">
        <v>17099</v>
      </c>
      <c r="B4281" t="s">
        <v>16</v>
      </c>
      <c r="C4281" t="s">
        <v>237</v>
      </c>
      <c r="D4281" t="s">
        <v>92</v>
      </c>
      <c r="E4281" t="s">
        <v>103</v>
      </c>
      <c r="F4281" t="s">
        <v>244</v>
      </c>
      <c r="G4281" s="39">
        <v>45629</v>
      </c>
      <c r="J4281" t="s">
        <v>981</v>
      </c>
    </row>
    <row r="4282" spans="1:10" x14ac:dyDescent="0.35">
      <c r="A4282">
        <v>18613</v>
      </c>
      <c r="B4282" t="s">
        <v>16</v>
      </c>
      <c r="C4282" t="s">
        <v>237</v>
      </c>
      <c r="D4282" t="s">
        <v>775</v>
      </c>
      <c r="E4282" t="s">
        <v>106</v>
      </c>
      <c r="F4282" t="s">
        <v>244</v>
      </c>
      <c r="G4282" s="39">
        <v>46164</v>
      </c>
      <c r="J4282" t="s">
        <v>981</v>
      </c>
    </row>
    <row r="4283" spans="1:10" x14ac:dyDescent="0.35">
      <c r="A4283">
        <v>10864</v>
      </c>
      <c r="B4283" t="s">
        <v>16</v>
      </c>
      <c r="C4283" t="s">
        <v>765</v>
      </c>
      <c r="D4283" t="s">
        <v>92</v>
      </c>
      <c r="E4283" t="s">
        <v>99</v>
      </c>
      <c r="F4283" t="s">
        <v>245</v>
      </c>
      <c r="G4283" s="39">
        <v>42023</v>
      </c>
      <c r="J4283" t="s">
        <v>981</v>
      </c>
    </row>
    <row r="4284" spans="1:10" x14ac:dyDescent="0.35">
      <c r="A4284">
        <v>15636</v>
      </c>
      <c r="B4284" t="s">
        <v>16</v>
      </c>
      <c r="C4284" t="s">
        <v>765</v>
      </c>
      <c r="D4284" t="s">
        <v>92</v>
      </c>
      <c r="E4284" t="s">
        <v>102</v>
      </c>
      <c r="F4284" t="s">
        <v>244</v>
      </c>
      <c r="G4284" s="39">
        <v>45149</v>
      </c>
      <c r="J4284" t="s">
        <v>981</v>
      </c>
    </row>
    <row r="4285" spans="1:10" x14ac:dyDescent="0.35">
      <c r="A4285">
        <v>13299</v>
      </c>
      <c r="B4285" t="s">
        <v>16</v>
      </c>
      <c r="C4285" t="s">
        <v>765</v>
      </c>
      <c r="D4285" t="s">
        <v>92</v>
      </c>
      <c r="E4285" t="s">
        <v>102</v>
      </c>
      <c r="F4285" t="s">
        <v>244</v>
      </c>
      <c r="G4285" s="39">
        <v>44378</v>
      </c>
      <c r="J4285" t="s">
        <v>981</v>
      </c>
    </row>
    <row r="4286" spans="1:10" x14ac:dyDescent="0.35">
      <c r="A4286">
        <v>19004</v>
      </c>
      <c r="B4286" t="s">
        <v>16</v>
      </c>
      <c r="C4286" t="s">
        <v>765</v>
      </c>
      <c r="D4286" t="s">
        <v>92</v>
      </c>
      <c r="E4286" t="s">
        <v>103</v>
      </c>
      <c r="F4286" t="s">
        <v>244</v>
      </c>
      <c r="G4286" s="39">
        <v>46259</v>
      </c>
      <c r="J4286" t="s">
        <v>981</v>
      </c>
    </row>
    <row r="4287" spans="1:10" x14ac:dyDescent="0.35">
      <c r="A4287">
        <v>19031</v>
      </c>
      <c r="B4287" t="s">
        <v>16</v>
      </c>
      <c r="C4287" t="s">
        <v>765</v>
      </c>
      <c r="D4287" t="s">
        <v>92</v>
      </c>
      <c r="E4287" t="s">
        <v>106</v>
      </c>
      <c r="F4287" t="s">
        <v>244</v>
      </c>
      <c r="G4287" s="39">
        <v>46259</v>
      </c>
      <c r="J4287" t="s">
        <v>981</v>
      </c>
    </row>
    <row r="4288" spans="1:10" x14ac:dyDescent="0.35">
      <c r="A4288">
        <v>14485</v>
      </c>
      <c r="B4288" t="s">
        <v>16</v>
      </c>
      <c r="C4288" t="s">
        <v>776</v>
      </c>
      <c r="D4288" t="s">
        <v>92</v>
      </c>
      <c r="E4288" t="s">
        <v>101</v>
      </c>
      <c r="F4288" t="s">
        <v>244</v>
      </c>
      <c r="G4288" s="39">
        <v>44775</v>
      </c>
      <c r="J4288" t="s">
        <v>981</v>
      </c>
    </row>
    <row r="4289" spans="1:10" x14ac:dyDescent="0.35">
      <c r="A4289">
        <v>900040</v>
      </c>
      <c r="B4289" t="s">
        <v>16</v>
      </c>
      <c r="C4289" t="s">
        <v>776</v>
      </c>
      <c r="D4289" t="s">
        <v>92</v>
      </c>
      <c r="E4289" t="s">
        <v>99</v>
      </c>
      <c r="F4289" t="s">
        <v>244</v>
      </c>
      <c r="G4289" s="39">
        <v>42342</v>
      </c>
      <c r="J4289" t="s">
        <v>981</v>
      </c>
    </row>
    <row r="4290" spans="1:10" x14ac:dyDescent="0.35">
      <c r="A4290">
        <v>17644</v>
      </c>
      <c r="B4290" t="s">
        <v>16</v>
      </c>
      <c r="C4290" t="s">
        <v>776</v>
      </c>
      <c r="D4290" t="s">
        <v>92</v>
      </c>
      <c r="E4290" t="s">
        <v>109</v>
      </c>
      <c r="F4290" t="s">
        <v>244</v>
      </c>
      <c r="G4290" s="39">
        <v>45831</v>
      </c>
      <c r="J4290" t="s">
        <v>981</v>
      </c>
    </row>
    <row r="4291" spans="1:10" x14ac:dyDescent="0.35">
      <c r="A4291">
        <v>18194</v>
      </c>
      <c r="B4291" t="s">
        <v>16</v>
      </c>
      <c r="C4291" t="s">
        <v>776</v>
      </c>
      <c r="D4291" t="s">
        <v>92</v>
      </c>
      <c r="E4291" t="s">
        <v>109</v>
      </c>
      <c r="F4291" t="s">
        <v>244</v>
      </c>
      <c r="G4291" s="39">
        <v>46043</v>
      </c>
      <c r="J4291" t="s">
        <v>981</v>
      </c>
    </row>
    <row r="4292" spans="1:10" x14ac:dyDescent="0.35">
      <c r="A4292">
        <v>13675</v>
      </c>
      <c r="B4292" t="s">
        <v>16</v>
      </c>
      <c r="C4292" t="s">
        <v>776</v>
      </c>
      <c r="D4292" t="s">
        <v>92</v>
      </c>
      <c r="E4292" t="s">
        <v>109</v>
      </c>
      <c r="F4292" t="s">
        <v>244</v>
      </c>
      <c r="G4292" s="39">
        <v>44536</v>
      </c>
      <c r="J4292" t="s">
        <v>981</v>
      </c>
    </row>
    <row r="4293" spans="1:10" x14ac:dyDescent="0.35">
      <c r="A4293">
        <v>17714</v>
      </c>
      <c r="B4293" t="s">
        <v>16</v>
      </c>
      <c r="C4293" t="s">
        <v>236</v>
      </c>
      <c r="D4293" t="s">
        <v>92</v>
      </c>
      <c r="E4293" t="s">
        <v>102</v>
      </c>
      <c r="F4293" t="s">
        <v>244</v>
      </c>
      <c r="G4293" s="39">
        <v>45863</v>
      </c>
      <c r="J4293" t="s">
        <v>981</v>
      </c>
    </row>
    <row r="4294" spans="1:10" x14ac:dyDescent="0.35">
      <c r="A4294">
        <v>18439</v>
      </c>
      <c r="B4294" t="s">
        <v>16</v>
      </c>
      <c r="C4294" t="s">
        <v>236</v>
      </c>
      <c r="D4294" t="s">
        <v>92</v>
      </c>
      <c r="E4294" t="s">
        <v>109</v>
      </c>
      <c r="F4294" t="s">
        <v>244</v>
      </c>
      <c r="G4294" s="39">
        <v>46129</v>
      </c>
      <c r="J4294" t="s">
        <v>981</v>
      </c>
    </row>
    <row r="4295" spans="1:10" x14ac:dyDescent="0.35">
      <c r="A4295">
        <v>16734</v>
      </c>
      <c r="B4295" t="s">
        <v>16</v>
      </c>
      <c r="C4295" t="s">
        <v>236</v>
      </c>
      <c r="D4295" t="s">
        <v>92</v>
      </c>
      <c r="E4295" t="s">
        <v>109</v>
      </c>
      <c r="F4295" t="s">
        <v>244</v>
      </c>
      <c r="G4295" s="39">
        <v>45537</v>
      </c>
      <c r="J4295" t="s">
        <v>981</v>
      </c>
    </row>
    <row r="4296" spans="1:10" x14ac:dyDescent="0.35">
      <c r="A4296">
        <v>300076</v>
      </c>
      <c r="B4296" t="s">
        <v>16</v>
      </c>
      <c r="C4296" t="s">
        <v>236</v>
      </c>
      <c r="D4296" t="s">
        <v>92</v>
      </c>
      <c r="E4296" t="s">
        <v>109</v>
      </c>
      <c r="F4296" t="s">
        <v>244</v>
      </c>
      <c r="G4296" s="39">
        <v>42881</v>
      </c>
      <c r="J4296" t="s">
        <v>981</v>
      </c>
    </row>
    <row r="4297" spans="1:10" x14ac:dyDescent="0.35">
      <c r="A4297">
        <v>16439</v>
      </c>
      <c r="B4297" t="s">
        <v>16</v>
      </c>
      <c r="C4297" t="s">
        <v>236</v>
      </c>
      <c r="D4297" t="s">
        <v>92</v>
      </c>
      <c r="E4297" t="s">
        <v>103</v>
      </c>
      <c r="F4297" t="s">
        <v>244</v>
      </c>
      <c r="G4297" s="39">
        <v>45399</v>
      </c>
      <c r="J4297" t="s">
        <v>981</v>
      </c>
    </row>
    <row r="4298" spans="1:10" x14ac:dyDescent="0.35">
      <c r="A4298">
        <v>270028</v>
      </c>
      <c r="B4298" t="s">
        <v>16</v>
      </c>
      <c r="C4298" t="s">
        <v>236</v>
      </c>
      <c r="D4298" t="s">
        <v>92</v>
      </c>
      <c r="E4298" t="s">
        <v>103</v>
      </c>
      <c r="F4298" t="s">
        <v>244</v>
      </c>
      <c r="G4298" s="39">
        <v>42150</v>
      </c>
      <c r="J4298" t="s">
        <v>981</v>
      </c>
    </row>
    <row r="4299" spans="1:10" x14ac:dyDescent="0.35">
      <c r="A4299">
        <v>160035</v>
      </c>
      <c r="B4299" t="s">
        <v>16</v>
      </c>
      <c r="C4299" t="s">
        <v>776</v>
      </c>
      <c r="D4299" t="s">
        <v>92</v>
      </c>
      <c r="E4299" t="s">
        <v>102</v>
      </c>
      <c r="F4299" t="s">
        <v>244</v>
      </c>
      <c r="G4299" s="39">
        <v>42510</v>
      </c>
      <c r="J4299" t="s">
        <v>981</v>
      </c>
    </row>
    <row r="4300" spans="1:10" x14ac:dyDescent="0.35">
      <c r="A4300">
        <v>150036</v>
      </c>
      <c r="B4300" t="s">
        <v>16</v>
      </c>
      <c r="C4300" t="s">
        <v>776</v>
      </c>
      <c r="D4300" t="s">
        <v>92</v>
      </c>
      <c r="E4300" t="s">
        <v>103</v>
      </c>
      <c r="F4300" t="s">
        <v>244</v>
      </c>
      <c r="G4300" s="39">
        <v>43655</v>
      </c>
      <c r="J4300" t="s">
        <v>981</v>
      </c>
    </row>
    <row r="4301" spans="1:10" x14ac:dyDescent="0.35">
      <c r="A4301">
        <v>17464</v>
      </c>
      <c r="B4301" t="s">
        <v>16</v>
      </c>
      <c r="C4301" t="s">
        <v>236</v>
      </c>
      <c r="D4301" t="s">
        <v>92</v>
      </c>
      <c r="E4301" t="s">
        <v>103</v>
      </c>
      <c r="F4301" t="s">
        <v>244</v>
      </c>
      <c r="G4301" s="39">
        <v>45754</v>
      </c>
      <c r="J4301" t="s">
        <v>981</v>
      </c>
    </row>
    <row r="4302" spans="1:10" x14ac:dyDescent="0.35">
      <c r="A4302">
        <v>10281</v>
      </c>
      <c r="B4302" t="s">
        <v>74</v>
      </c>
      <c r="C4302" t="s">
        <v>92</v>
      </c>
      <c r="D4302" t="s">
        <v>92</v>
      </c>
      <c r="E4302" t="s">
        <v>157</v>
      </c>
      <c r="F4302" t="s">
        <v>244</v>
      </c>
      <c r="G4302" s="39">
        <v>39392</v>
      </c>
      <c r="J4302" t="s">
        <v>982</v>
      </c>
    </row>
    <row r="4303" spans="1:10" x14ac:dyDescent="0.35">
      <c r="A4303">
        <v>16096</v>
      </c>
      <c r="B4303" t="s">
        <v>74</v>
      </c>
      <c r="C4303" t="s">
        <v>604</v>
      </c>
      <c r="D4303" t="s">
        <v>92</v>
      </c>
      <c r="E4303" t="s">
        <v>98</v>
      </c>
      <c r="F4303" t="s">
        <v>244</v>
      </c>
      <c r="G4303" s="39">
        <v>45282</v>
      </c>
      <c r="J4303" t="s">
        <v>982</v>
      </c>
    </row>
    <row r="4304" spans="1:10" x14ac:dyDescent="0.35">
      <c r="A4304">
        <v>13811</v>
      </c>
      <c r="B4304" t="s">
        <v>77</v>
      </c>
      <c r="C4304" t="s">
        <v>649</v>
      </c>
      <c r="D4304" t="s">
        <v>92</v>
      </c>
      <c r="E4304" t="s">
        <v>578</v>
      </c>
      <c r="F4304" t="s">
        <v>244</v>
      </c>
      <c r="G4304" s="39">
        <v>44586</v>
      </c>
      <c r="J4304" t="s">
        <v>982</v>
      </c>
    </row>
    <row r="4305" spans="1:10" x14ac:dyDescent="0.35">
      <c r="A4305">
        <v>18267</v>
      </c>
      <c r="B4305" t="s">
        <v>77</v>
      </c>
      <c r="C4305" t="s">
        <v>92</v>
      </c>
      <c r="D4305" t="s">
        <v>92</v>
      </c>
      <c r="E4305" t="s">
        <v>157</v>
      </c>
      <c r="F4305" t="s">
        <v>244</v>
      </c>
      <c r="G4305" s="39">
        <v>46070</v>
      </c>
      <c r="J4305" t="s">
        <v>982</v>
      </c>
    </row>
    <row r="4306" spans="1:10" x14ac:dyDescent="0.35">
      <c r="A4306">
        <v>17704</v>
      </c>
      <c r="B4306" t="s">
        <v>77</v>
      </c>
      <c r="C4306" t="s">
        <v>92</v>
      </c>
      <c r="D4306" t="s">
        <v>92</v>
      </c>
      <c r="E4306" t="s">
        <v>98</v>
      </c>
      <c r="F4306" t="s">
        <v>244</v>
      </c>
      <c r="G4306" s="39">
        <v>45846</v>
      </c>
      <c r="J4306" t="s">
        <v>982</v>
      </c>
    </row>
    <row r="4307" spans="1:10" x14ac:dyDescent="0.35">
      <c r="A4307">
        <v>18866</v>
      </c>
      <c r="B4307" t="s">
        <v>77</v>
      </c>
      <c r="C4307" t="s">
        <v>92</v>
      </c>
      <c r="D4307" t="s">
        <v>92</v>
      </c>
      <c r="E4307" t="s">
        <v>98</v>
      </c>
      <c r="F4307" t="s">
        <v>244</v>
      </c>
      <c r="G4307" s="39">
        <v>46223</v>
      </c>
      <c r="J4307" t="s">
        <v>982</v>
      </c>
    </row>
    <row r="4308" spans="1:10" x14ac:dyDescent="0.35">
      <c r="A4308">
        <v>11875</v>
      </c>
      <c r="B4308" t="s">
        <v>18</v>
      </c>
      <c r="C4308" t="s">
        <v>777</v>
      </c>
      <c r="D4308" t="s">
        <v>92</v>
      </c>
      <c r="E4308" t="s">
        <v>98</v>
      </c>
      <c r="F4308" t="s">
        <v>244</v>
      </c>
      <c r="G4308" s="39">
        <v>43231</v>
      </c>
      <c r="J4308" t="s">
        <v>982</v>
      </c>
    </row>
    <row r="4309" spans="1:10" x14ac:dyDescent="0.35">
      <c r="A4309">
        <v>11386</v>
      </c>
      <c r="B4309" t="s">
        <v>18</v>
      </c>
      <c r="C4309" t="s">
        <v>778</v>
      </c>
      <c r="D4309" t="s">
        <v>92</v>
      </c>
      <c r="E4309" t="s">
        <v>98</v>
      </c>
      <c r="F4309" t="s">
        <v>244</v>
      </c>
      <c r="G4309" s="39">
        <v>42619</v>
      </c>
      <c r="J4309" t="s">
        <v>982</v>
      </c>
    </row>
    <row r="4310" spans="1:10" x14ac:dyDescent="0.35">
      <c r="A4310">
        <v>11434</v>
      </c>
      <c r="B4310" t="s">
        <v>18</v>
      </c>
      <c r="C4310" t="s">
        <v>585</v>
      </c>
      <c r="D4310" t="s">
        <v>92</v>
      </c>
      <c r="E4310" t="s">
        <v>98</v>
      </c>
      <c r="F4310" t="s">
        <v>244</v>
      </c>
      <c r="G4310" s="39">
        <v>42695</v>
      </c>
      <c r="J4310" t="s">
        <v>982</v>
      </c>
    </row>
    <row r="4311" spans="1:10" x14ac:dyDescent="0.35">
      <c r="A4311">
        <v>12641</v>
      </c>
      <c r="B4311" t="s">
        <v>1</v>
      </c>
      <c r="C4311" t="s">
        <v>648</v>
      </c>
      <c r="D4311" t="s">
        <v>92</v>
      </c>
      <c r="E4311" t="s">
        <v>98</v>
      </c>
      <c r="F4311" t="s">
        <v>244</v>
      </c>
      <c r="G4311" s="39">
        <v>43846</v>
      </c>
      <c r="J4311" t="s">
        <v>982</v>
      </c>
    </row>
    <row r="4312" spans="1:10" x14ac:dyDescent="0.35">
      <c r="A4312">
        <v>16627</v>
      </c>
      <c r="B4312" t="s">
        <v>48</v>
      </c>
      <c r="C4312" t="s">
        <v>147</v>
      </c>
      <c r="D4312" t="s">
        <v>92</v>
      </c>
      <c r="E4312" t="s">
        <v>101</v>
      </c>
      <c r="F4312" t="s">
        <v>244</v>
      </c>
      <c r="G4312" s="39">
        <v>45502</v>
      </c>
      <c r="J4312" t="s">
        <v>982</v>
      </c>
    </row>
    <row r="4313" spans="1:10" x14ac:dyDescent="0.35">
      <c r="A4313">
        <v>16787</v>
      </c>
      <c r="B4313" t="s">
        <v>48</v>
      </c>
      <c r="C4313" t="s">
        <v>147</v>
      </c>
      <c r="D4313" t="s">
        <v>92</v>
      </c>
      <c r="E4313" t="s">
        <v>96</v>
      </c>
      <c r="F4313" t="s">
        <v>244</v>
      </c>
      <c r="G4313" s="39">
        <v>45561</v>
      </c>
      <c r="J4313" t="s">
        <v>982</v>
      </c>
    </row>
    <row r="4314" spans="1:10" x14ac:dyDescent="0.35">
      <c r="A4314">
        <v>16230</v>
      </c>
      <c r="B4314" t="s">
        <v>48</v>
      </c>
      <c r="C4314" t="s">
        <v>147</v>
      </c>
      <c r="D4314" t="s">
        <v>92</v>
      </c>
      <c r="E4314" t="s">
        <v>126</v>
      </c>
      <c r="F4314" t="s">
        <v>244</v>
      </c>
      <c r="G4314" s="39">
        <v>45328</v>
      </c>
      <c r="J4314" t="s">
        <v>982</v>
      </c>
    </row>
    <row r="4315" spans="1:10" x14ac:dyDescent="0.35">
      <c r="A4315">
        <v>18821</v>
      </c>
      <c r="B4315" t="s">
        <v>48</v>
      </c>
      <c r="C4315" t="s">
        <v>147</v>
      </c>
      <c r="D4315" t="s">
        <v>92</v>
      </c>
      <c r="E4315" t="s">
        <v>126</v>
      </c>
      <c r="F4315" t="s">
        <v>244</v>
      </c>
      <c r="G4315" s="39">
        <v>46216</v>
      </c>
      <c r="H4315" t="s">
        <v>249</v>
      </c>
      <c r="J4315" t="s">
        <v>982</v>
      </c>
    </row>
    <row r="4316" spans="1:10" x14ac:dyDescent="0.35">
      <c r="A4316">
        <v>18826</v>
      </c>
      <c r="B4316" t="s">
        <v>48</v>
      </c>
      <c r="C4316" t="s">
        <v>147</v>
      </c>
      <c r="D4316" t="s">
        <v>92</v>
      </c>
      <c r="E4316" t="s">
        <v>238</v>
      </c>
      <c r="F4316" t="s">
        <v>244</v>
      </c>
      <c r="G4316" s="39">
        <v>46216</v>
      </c>
      <c r="H4316" t="s">
        <v>249</v>
      </c>
      <c r="J4316" t="s">
        <v>982</v>
      </c>
    </row>
    <row r="4317" spans="1:10" x14ac:dyDescent="0.35">
      <c r="A4317">
        <v>18822</v>
      </c>
      <c r="B4317" t="s">
        <v>48</v>
      </c>
      <c r="C4317" t="s">
        <v>147</v>
      </c>
      <c r="D4317" t="s">
        <v>92</v>
      </c>
      <c r="E4317" t="s">
        <v>238</v>
      </c>
      <c r="F4317" t="s">
        <v>244</v>
      </c>
      <c r="G4317" s="39">
        <v>46216</v>
      </c>
      <c r="H4317" t="s">
        <v>249</v>
      </c>
      <c r="J4317" t="s">
        <v>982</v>
      </c>
    </row>
    <row r="4318" spans="1:10" x14ac:dyDescent="0.35">
      <c r="A4318">
        <v>15166</v>
      </c>
      <c r="B4318" t="s">
        <v>48</v>
      </c>
      <c r="C4318" t="s">
        <v>147</v>
      </c>
      <c r="D4318" t="s">
        <v>92</v>
      </c>
      <c r="E4318" t="s">
        <v>238</v>
      </c>
      <c r="F4318" t="s">
        <v>244</v>
      </c>
      <c r="G4318" s="39">
        <v>44970</v>
      </c>
      <c r="J4318" t="s">
        <v>982</v>
      </c>
    </row>
    <row r="4319" spans="1:10" x14ac:dyDescent="0.35">
      <c r="A4319">
        <v>14801</v>
      </c>
      <c r="B4319" t="s">
        <v>48</v>
      </c>
      <c r="C4319" t="s">
        <v>147</v>
      </c>
      <c r="D4319" t="s">
        <v>92</v>
      </c>
      <c r="E4319" t="s">
        <v>238</v>
      </c>
      <c r="F4319" t="s">
        <v>244</v>
      </c>
      <c r="G4319" s="39">
        <v>44860</v>
      </c>
      <c r="J4319" t="s">
        <v>982</v>
      </c>
    </row>
    <row r="4320" spans="1:10" x14ac:dyDescent="0.35">
      <c r="A4320">
        <v>16155</v>
      </c>
      <c r="B4320" t="s">
        <v>48</v>
      </c>
      <c r="C4320" t="s">
        <v>147</v>
      </c>
      <c r="D4320" t="s">
        <v>92</v>
      </c>
      <c r="E4320" t="s">
        <v>238</v>
      </c>
      <c r="F4320" t="s">
        <v>244</v>
      </c>
      <c r="G4320" s="39">
        <v>45303</v>
      </c>
      <c r="J4320" t="s">
        <v>982</v>
      </c>
    </row>
    <row r="4321" spans="1:10" x14ac:dyDescent="0.35">
      <c r="A4321">
        <v>250030</v>
      </c>
      <c r="B4321" t="s">
        <v>48</v>
      </c>
      <c r="C4321" t="s">
        <v>147</v>
      </c>
      <c r="D4321" t="s">
        <v>92</v>
      </c>
      <c r="E4321" t="s">
        <v>238</v>
      </c>
      <c r="F4321" t="s">
        <v>244</v>
      </c>
      <c r="G4321" s="39">
        <v>42263</v>
      </c>
      <c r="J4321" t="s">
        <v>982</v>
      </c>
    </row>
    <row r="4322" spans="1:10" x14ac:dyDescent="0.35">
      <c r="A4322">
        <v>16031</v>
      </c>
      <c r="B4322" t="s">
        <v>48</v>
      </c>
      <c r="C4322" t="s">
        <v>147</v>
      </c>
      <c r="D4322" t="s">
        <v>92</v>
      </c>
      <c r="E4322" t="s">
        <v>238</v>
      </c>
      <c r="F4322" t="s">
        <v>244</v>
      </c>
      <c r="G4322" s="39">
        <v>45268</v>
      </c>
      <c r="J4322" t="s">
        <v>982</v>
      </c>
    </row>
    <row r="4323" spans="1:10" x14ac:dyDescent="0.35">
      <c r="A4323">
        <v>220028</v>
      </c>
      <c r="B4323" t="s">
        <v>92</v>
      </c>
      <c r="C4323" t="s">
        <v>779</v>
      </c>
      <c r="D4323" t="s">
        <v>92</v>
      </c>
      <c r="E4323" t="s">
        <v>464</v>
      </c>
      <c r="F4323" t="s">
        <v>244</v>
      </c>
      <c r="G4323" s="39">
        <v>43318</v>
      </c>
      <c r="J4323" t="s">
        <v>90</v>
      </c>
    </row>
    <row r="4324" spans="1:10" x14ac:dyDescent="0.35">
      <c r="A4324">
        <v>820003</v>
      </c>
      <c r="B4324" t="s">
        <v>92</v>
      </c>
      <c r="C4324" t="s">
        <v>779</v>
      </c>
      <c r="D4324" t="s">
        <v>780</v>
      </c>
      <c r="E4324" t="s">
        <v>548</v>
      </c>
      <c r="F4324" t="s">
        <v>244</v>
      </c>
      <c r="G4324" s="39">
        <v>40239</v>
      </c>
      <c r="J4324" t="s">
        <v>90</v>
      </c>
    </row>
    <row r="4325" spans="1:10" x14ac:dyDescent="0.35">
      <c r="A4325">
        <v>270038</v>
      </c>
      <c r="B4325" t="s">
        <v>92</v>
      </c>
      <c r="C4325" t="s">
        <v>781</v>
      </c>
      <c r="D4325" t="s">
        <v>92</v>
      </c>
      <c r="E4325" t="s">
        <v>464</v>
      </c>
      <c r="F4325" t="s">
        <v>244</v>
      </c>
      <c r="G4325" s="39">
        <v>43283</v>
      </c>
      <c r="J4325" t="s">
        <v>90</v>
      </c>
    </row>
    <row r="4326" spans="1:10" x14ac:dyDescent="0.35">
      <c r="A4326">
        <v>16269</v>
      </c>
      <c r="B4326" t="s">
        <v>92</v>
      </c>
      <c r="C4326" t="s">
        <v>781</v>
      </c>
      <c r="D4326" t="s">
        <v>780</v>
      </c>
      <c r="E4326" t="s">
        <v>782</v>
      </c>
      <c r="F4326" t="s">
        <v>244</v>
      </c>
      <c r="G4326" s="39">
        <v>45335</v>
      </c>
      <c r="J4326" t="s">
        <v>90</v>
      </c>
    </row>
    <row r="4327" spans="1:10" x14ac:dyDescent="0.35">
      <c r="A4327">
        <v>10700</v>
      </c>
      <c r="B4327" t="s">
        <v>92</v>
      </c>
      <c r="C4327" t="s">
        <v>784</v>
      </c>
      <c r="D4327" t="s">
        <v>92</v>
      </c>
      <c r="E4327" t="s">
        <v>464</v>
      </c>
      <c r="F4327" t="s">
        <v>244</v>
      </c>
      <c r="G4327" s="39">
        <v>41681</v>
      </c>
      <c r="J4327" t="s">
        <v>90</v>
      </c>
    </row>
    <row r="4328" spans="1:10" x14ac:dyDescent="0.35">
      <c r="A4328">
        <v>420001</v>
      </c>
      <c r="B4328" t="s">
        <v>92</v>
      </c>
      <c r="C4328" t="s">
        <v>785</v>
      </c>
      <c r="D4328" t="s">
        <v>92</v>
      </c>
      <c r="E4328" t="s">
        <v>464</v>
      </c>
      <c r="F4328" t="s">
        <v>244</v>
      </c>
      <c r="G4328" s="39">
        <v>39836</v>
      </c>
      <c r="J4328" t="s">
        <v>90</v>
      </c>
    </row>
    <row r="4329" spans="1:10" x14ac:dyDescent="0.35">
      <c r="A4329">
        <v>19090</v>
      </c>
      <c r="B4329" t="s">
        <v>92</v>
      </c>
      <c r="C4329" t="s">
        <v>785</v>
      </c>
      <c r="D4329" t="s">
        <v>92</v>
      </c>
      <c r="E4329" t="s">
        <v>786</v>
      </c>
      <c r="F4329" t="s">
        <v>244</v>
      </c>
      <c r="G4329" s="39">
        <v>46267</v>
      </c>
      <c r="J4329" t="s">
        <v>90</v>
      </c>
    </row>
    <row r="4330" spans="1:10" x14ac:dyDescent="0.35">
      <c r="A4330">
        <v>10945</v>
      </c>
      <c r="B4330" t="s">
        <v>92</v>
      </c>
      <c r="C4330" t="s">
        <v>787</v>
      </c>
      <c r="D4330" t="s">
        <v>92</v>
      </c>
      <c r="E4330" t="s">
        <v>464</v>
      </c>
      <c r="F4330" t="s">
        <v>244</v>
      </c>
      <c r="G4330" s="39">
        <v>42172</v>
      </c>
      <c r="J4330" t="s">
        <v>90</v>
      </c>
    </row>
    <row r="4331" spans="1:10" x14ac:dyDescent="0.35">
      <c r="A4331">
        <v>16338</v>
      </c>
      <c r="B4331" t="s">
        <v>92</v>
      </c>
      <c r="C4331" t="s">
        <v>787</v>
      </c>
      <c r="D4331" t="s">
        <v>780</v>
      </c>
      <c r="E4331" t="s">
        <v>782</v>
      </c>
      <c r="F4331" t="s">
        <v>244</v>
      </c>
      <c r="G4331" s="39">
        <v>45356</v>
      </c>
      <c r="J4331" t="s">
        <v>90</v>
      </c>
    </row>
    <row r="4332" spans="1:10" x14ac:dyDescent="0.35">
      <c r="A4332">
        <v>11942</v>
      </c>
      <c r="B4332" t="s">
        <v>92</v>
      </c>
      <c r="C4332" t="s">
        <v>788</v>
      </c>
      <c r="D4332" t="s">
        <v>92</v>
      </c>
      <c r="E4332" t="s">
        <v>464</v>
      </c>
      <c r="F4332" t="s">
        <v>244</v>
      </c>
      <c r="G4332" s="39">
        <v>43304</v>
      </c>
      <c r="J4332" t="s">
        <v>90</v>
      </c>
    </row>
    <row r="4333" spans="1:10" x14ac:dyDescent="0.35">
      <c r="A4333">
        <v>17917</v>
      </c>
      <c r="B4333" t="s">
        <v>92</v>
      </c>
      <c r="C4333" t="s">
        <v>788</v>
      </c>
      <c r="D4333" t="s">
        <v>780</v>
      </c>
      <c r="E4333" t="s">
        <v>496</v>
      </c>
      <c r="F4333" t="s">
        <v>244</v>
      </c>
      <c r="G4333" s="39">
        <v>45916</v>
      </c>
      <c r="J4333" t="s">
        <v>90</v>
      </c>
    </row>
    <row r="4334" spans="1:10" x14ac:dyDescent="0.35">
      <c r="A4334">
        <v>250034</v>
      </c>
      <c r="B4334" t="s">
        <v>92</v>
      </c>
      <c r="C4334" t="s">
        <v>790</v>
      </c>
      <c r="D4334" t="s">
        <v>92</v>
      </c>
      <c r="E4334" t="s">
        <v>464</v>
      </c>
      <c r="F4334" t="s">
        <v>244</v>
      </c>
      <c r="G4334" s="39">
        <v>43063</v>
      </c>
      <c r="J4334" t="s">
        <v>90</v>
      </c>
    </row>
    <row r="4335" spans="1:10" x14ac:dyDescent="0.35">
      <c r="A4335">
        <v>730051</v>
      </c>
      <c r="B4335" t="s">
        <v>92</v>
      </c>
      <c r="C4335" t="s">
        <v>790</v>
      </c>
      <c r="D4335" t="s">
        <v>780</v>
      </c>
      <c r="E4335" t="s">
        <v>782</v>
      </c>
      <c r="F4335" t="s">
        <v>244</v>
      </c>
      <c r="G4335" s="39">
        <v>44425</v>
      </c>
      <c r="J4335" t="s">
        <v>90</v>
      </c>
    </row>
    <row r="4336" spans="1:10" x14ac:dyDescent="0.35">
      <c r="A4336">
        <v>16434</v>
      </c>
      <c r="B4336" t="s">
        <v>92</v>
      </c>
      <c r="C4336" t="s">
        <v>790</v>
      </c>
      <c r="D4336" t="s">
        <v>791</v>
      </c>
      <c r="E4336" t="s">
        <v>792</v>
      </c>
      <c r="F4336" t="s">
        <v>244</v>
      </c>
      <c r="G4336" s="39">
        <v>45398</v>
      </c>
      <c r="J4336" t="s">
        <v>90</v>
      </c>
    </row>
    <row r="4337" spans="1:10" x14ac:dyDescent="0.35">
      <c r="A4337">
        <v>460001</v>
      </c>
      <c r="B4337" t="s">
        <v>92</v>
      </c>
      <c r="C4337" t="s">
        <v>793</v>
      </c>
      <c r="D4337" t="s">
        <v>92</v>
      </c>
      <c r="E4337" t="s">
        <v>464</v>
      </c>
      <c r="F4337" t="s">
        <v>244</v>
      </c>
      <c r="G4337" s="39">
        <v>37998</v>
      </c>
      <c r="J4337" t="s">
        <v>90</v>
      </c>
    </row>
    <row r="4338" spans="1:10" x14ac:dyDescent="0.35">
      <c r="A4338">
        <v>16164</v>
      </c>
      <c r="B4338" t="s">
        <v>92</v>
      </c>
      <c r="C4338" t="s">
        <v>793</v>
      </c>
      <c r="D4338" t="s">
        <v>780</v>
      </c>
      <c r="E4338" t="s">
        <v>782</v>
      </c>
      <c r="F4338" t="s">
        <v>244</v>
      </c>
      <c r="G4338" s="39">
        <v>45308</v>
      </c>
      <c r="J4338" t="s">
        <v>90</v>
      </c>
    </row>
    <row r="4339" spans="1:10" x14ac:dyDescent="0.35">
      <c r="A4339">
        <v>150033</v>
      </c>
      <c r="B4339" t="s">
        <v>92</v>
      </c>
      <c r="C4339" t="s">
        <v>794</v>
      </c>
      <c r="D4339" t="s">
        <v>92</v>
      </c>
      <c r="E4339" t="s">
        <v>464</v>
      </c>
      <c r="F4339" t="s">
        <v>244</v>
      </c>
      <c r="G4339" s="39">
        <v>43160</v>
      </c>
      <c r="J4339" t="s">
        <v>90</v>
      </c>
    </row>
    <row r="4340" spans="1:10" x14ac:dyDescent="0.35">
      <c r="A4340">
        <v>16349</v>
      </c>
      <c r="B4340" t="s">
        <v>92</v>
      </c>
      <c r="C4340" t="s">
        <v>794</v>
      </c>
      <c r="D4340" t="s">
        <v>780</v>
      </c>
      <c r="E4340" t="s">
        <v>496</v>
      </c>
      <c r="F4340" t="s">
        <v>244</v>
      </c>
      <c r="G4340" s="39">
        <v>45358</v>
      </c>
      <c r="J4340" t="s">
        <v>90</v>
      </c>
    </row>
    <row r="4341" spans="1:10" x14ac:dyDescent="0.35">
      <c r="A4341">
        <v>130050</v>
      </c>
      <c r="B4341" t="s">
        <v>92</v>
      </c>
      <c r="C4341" t="s">
        <v>795</v>
      </c>
      <c r="D4341" t="s">
        <v>92</v>
      </c>
      <c r="E4341" t="s">
        <v>464</v>
      </c>
      <c r="F4341" t="s">
        <v>244</v>
      </c>
      <c r="G4341" s="39">
        <v>43305</v>
      </c>
      <c r="J4341" t="s">
        <v>90</v>
      </c>
    </row>
    <row r="4342" spans="1:10" x14ac:dyDescent="0.35">
      <c r="A4342">
        <v>140017</v>
      </c>
      <c r="B4342" t="s">
        <v>92</v>
      </c>
      <c r="C4342" t="s">
        <v>795</v>
      </c>
      <c r="D4342" t="s">
        <v>780</v>
      </c>
      <c r="E4342" t="s">
        <v>548</v>
      </c>
      <c r="F4342" t="s">
        <v>244</v>
      </c>
      <c r="G4342" s="39">
        <v>39356</v>
      </c>
      <c r="J4342" t="s">
        <v>90</v>
      </c>
    </row>
    <row r="4343" spans="1:10" x14ac:dyDescent="0.35">
      <c r="A4343">
        <v>240032</v>
      </c>
      <c r="B4343" t="s">
        <v>92</v>
      </c>
      <c r="C4343" t="s">
        <v>796</v>
      </c>
      <c r="D4343" t="s">
        <v>92</v>
      </c>
      <c r="E4343" t="s">
        <v>464</v>
      </c>
      <c r="F4343" t="s">
        <v>244</v>
      </c>
      <c r="G4343" s="39">
        <v>42514</v>
      </c>
      <c r="J4343" t="s">
        <v>90</v>
      </c>
    </row>
    <row r="4344" spans="1:10" x14ac:dyDescent="0.35">
      <c r="A4344">
        <v>16707</v>
      </c>
      <c r="B4344" t="s">
        <v>92</v>
      </c>
      <c r="C4344" t="s">
        <v>796</v>
      </c>
      <c r="D4344" t="s">
        <v>780</v>
      </c>
      <c r="E4344" t="s">
        <v>496</v>
      </c>
      <c r="F4344" t="s">
        <v>244</v>
      </c>
      <c r="G4344" s="39">
        <v>45532</v>
      </c>
      <c r="J4344" t="s">
        <v>90</v>
      </c>
    </row>
    <row r="4345" spans="1:10" x14ac:dyDescent="0.35">
      <c r="A4345">
        <v>15064</v>
      </c>
      <c r="B4345" t="s">
        <v>92</v>
      </c>
      <c r="C4345" t="s">
        <v>796</v>
      </c>
      <c r="D4345" t="s">
        <v>791</v>
      </c>
      <c r="E4345" t="s">
        <v>122</v>
      </c>
      <c r="F4345" t="s">
        <v>244</v>
      </c>
      <c r="G4345" s="39">
        <v>44936</v>
      </c>
      <c r="J4345" t="s">
        <v>90</v>
      </c>
    </row>
    <row r="4346" spans="1:10" x14ac:dyDescent="0.35">
      <c r="A4346">
        <v>230042</v>
      </c>
      <c r="B4346" t="s">
        <v>92</v>
      </c>
      <c r="C4346" t="s">
        <v>798</v>
      </c>
      <c r="D4346" t="s">
        <v>92</v>
      </c>
      <c r="E4346" t="s">
        <v>464</v>
      </c>
      <c r="F4346" t="s">
        <v>244</v>
      </c>
      <c r="G4346" s="39">
        <v>44237</v>
      </c>
      <c r="J4346" t="s">
        <v>90</v>
      </c>
    </row>
    <row r="4347" spans="1:10" x14ac:dyDescent="0.35">
      <c r="A4347">
        <v>208006</v>
      </c>
      <c r="B4347" t="s">
        <v>92</v>
      </c>
      <c r="C4347" t="s">
        <v>798</v>
      </c>
      <c r="D4347" t="s">
        <v>780</v>
      </c>
      <c r="E4347" t="s">
        <v>799</v>
      </c>
      <c r="F4347" t="s">
        <v>244</v>
      </c>
      <c r="G4347" s="39">
        <v>44582</v>
      </c>
      <c r="J4347" t="s">
        <v>90</v>
      </c>
    </row>
    <row r="4348" spans="1:10" x14ac:dyDescent="0.35">
      <c r="A4348">
        <v>220007</v>
      </c>
      <c r="B4348" t="s">
        <v>92</v>
      </c>
      <c r="C4348" t="s">
        <v>800</v>
      </c>
      <c r="D4348" t="s">
        <v>92</v>
      </c>
      <c r="E4348" t="s">
        <v>464</v>
      </c>
      <c r="F4348" t="s">
        <v>244</v>
      </c>
      <c r="G4348" s="39">
        <v>39744</v>
      </c>
      <c r="J4348" t="s">
        <v>90</v>
      </c>
    </row>
    <row r="4349" spans="1:10" x14ac:dyDescent="0.35">
      <c r="A4349">
        <v>16389</v>
      </c>
      <c r="B4349" t="s">
        <v>92</v>
      </c>
      <c r="C4349" t="s">
        <v>800</v>
      </c>
      <c r="D4349" t="s">
        <v>780</v>
      </c>
      <c r="E4349" t="s">
        <v>496</v>
      </c>
      <c r="F4349" t="s">
        <v>244</v>
      </c>
      <c r="G4349" s="39">
        <v>45366</v>
      </c>
      <c r="J4349" t="s">
        <v>90</v>
      </c>
    </row>
    <row r="4350" spans="1:10" x14ac:dyDescent="0.35">
      <c r="A4350">
        <v>160002</v>
      </c>
      <c r="B4350" t="s">
        <v>92</v>
      </c>
      <c r="C4350" t="s">
        <v>801</v>
      </c>
      <c r="D4350" t="s">
        <v>92</v>
      </c>
      <c r="E4350" t="s">
        <v>464</v>
      </c>
      <c r="F4350" t="s">
        <v>244</v>
      </c>
      <c r="G4350" s="39">
        <v>37088</v>
      </c>
      <c r="J4350" t="s">
        <v>90</v>
      </c>
    </row>
    <row r="4351" spans="1:10" x14ac:dyDescent="0.35">
      <c r="A4351">
        <v>15143</v>
      </c>
      <c r="B4351" t="s">
        <v>92</v>
      </c>
      <c r="C4351" t="s">
        <v>801</v>
      </c>
      <c r="D4351" t="s">
        <v>780</v>
      </c>
      <c r="E4351" t="s">
        <v>782</v>
      </c>
      <c r="F4351" t="s">
        <v>244</v>
      </c>
      <c r="G4351" s="39">
        <v>44963</v>
      </c>
      <c r="J4351" t="s">
        <v>90</v>
      </c>
    </row>
    <row r="4352" spans="1:10" x14ac:dyDescent="0.35">
      <c r="A4352">
        <v>160045</v>
      </c>
      <c r="B4352" t="s">
        <v>92</v>
      </c>
      <c r="C4352" t="s">
        <v>802</v>
      </c>
      <c r="D4352" t="s">
        <v>92</v>
      </c>
      <c r="E4352" t="s">
        <v>464</v>
      </c>
      <c r="F4352" t="s">
        <v>244</v>
      </c>
      <c r="G4352" s="39">
        <v>43054</v>
      </c>
      <c r="J4352" t="s">
        <v>90</v>
      </c>
    </row>
    <row r="4353" spans="1:10" x14ac:dyDescent="0.35">
      <c r="A4353">
        <v>16165</v>
      </c>
      <c r="B4353" t="s">
        <v>92</v>
      </c>
      <c r="C4353" t="s">
        <v>802</v>
      </c>
      <c r="D4353" t="s">
        <v>780</v>
      </c>
      <c r="E4353" t="s">
        <v>782</v>
      </c>
      <c r="F4353" t="s">
        <v>244</v>
      </c>
      <c r="G4353" s="39">
        <v>45308</v>
      </c>
      <c r="J4353" t="s">
        <v>90</v>
      </c>
    </row>
    <row r="4354" spans="1:10" x14ac:dyDescent="0.35">
      <c r="A4354">
        <v>510005</v>
      </c>
      <c r="B4354" t="s">
        <v>92</v>
      </c>
      <c r="C4354" t="s">
        <v>803</v>
      </c>
      <c r="D4354" t="s">
        <v>92</v>
      </c>
      <c r="E4354" t="s">
        <v>464</v>
      </c>
      <c r="F4354" t="s">
        <v>244</v>
      </c>
      <c r="G4354" s="39">
        <v>40338</v>
      </c>
      <c r="J4354" t="s">
        <v>90</v>
      </c>
    </row>
    <row r="4355" spans="1:10" x14ac:dyDescent="0.35">
      <c r="A4355">
        <v>16350</v>
      </c>
      <c r="B4355" t="s">
        <v>92</v>
      </c>
      <c r="C4355" t="s">
        <v>803</v>
      </c>
      <c r="D4355" t="s">
        <v>780</v>
      </c>
      <c r="E4355" t="s">
        <v>496</v>
      </c>
      <c r="F4355" t="s">
        <v>244</v>
      </c>
      <c r="G4355" s="39">
        <v>45358</v>
      </c>
      <c r="J4355" t="s">
        <v>90</v>
      </c>
    </row>
    <row r="4356" spans="1:10" x14ac:dyDescent="0.35">
      <c r="A4356">
        <v>220012</v>
      </c>
      <c r="B4356" t="s">
        <v>92</v>
      </c>
      <c r="C4356" t="s">
        <v>804</v>
      </c>
      <c r="D4356" t="s">
        <v>92</v>
      </c>
      <c r="E4356" t="s">
        <v>464</v>
      </c>
      <c r="F4356" t="s">
        <v>244</v>
      </c>
      <c r="G4356" s="39">
        <v>39479</v>
      </c>
      <c r="J4356" t="s">
        <v>90</v>
      </c>
    </row>
    <row r="4357" spans="1:10" x14ac:dyDescent="0.35">
      <c r="A4357">
        <v>300064</v>
      </c>
      <c r="B4357" t="s">
        <v>92</v>
      </c>
      <c r="C4357" t="s">
        <v>804</v>
      </c>
      <c r="D4357" t="s">
        <v>780</v>
      </c>
      <c r="E4357" t="s">
        <v>548</v>
      </c>
      <c r="F4357" t="s">
        <v>244</v>
      </c>
      <c r="G4357" s="39">
        <v>42801</v>
      </c>
      <c r="J4357" t="s">
        <v>90</v>
      </c>
    </row>
    <row r="4358" spans="1:10" x14ac:dyDescent="0.35">
      <c r="A4358">
        <v>140028</v>
      </c>
      <c r="B4358" t="s">
        <v>92</v>
      </c>
      <c r="C4358" t="s">
        <v>805</v>
      </c>
      <c r="D4358" t="s">
        <v>92</v>
      </c>
      <c r="E4358" t="s">
        <v>464</v>
      </c>
      <c r="F4358" t="s">
        <v>244</v>
      </c>
      <c r="G4358" s="39">
        <v>42250</v>
      </c>
      <c r="J4358" t="s">
        <v>90</v>
      </c>
    </row>
    <row r="4359" spans="1:10" x14ac:dyDescent="0.35">
      <c r="A4359">
        <v>14246</v>
      </c>
      <c r="B4359" t="s">
        <v>92</v>
      </c>
      <c r="C4359" t="s">
        <v>805</v>
      </c>
      <c r="D4359" t="s">
        <v>780</v>
      </c>
      <c r="E4359" t="s">
        <v>782</v>
      </c>
      <c r="F4359" t="s">
        <v>244</v>
      </c>
      <c r="G4359" s="39">
        <v>44713</v>
      </c>
      <c r="J4359" t="s">
        <v>90</v>
      </c>
    </row>
    <row r="4360" spans="1:10" x14ac:dyDescent="0.35">
      <c r="A4360">
        <v>170030</v>
      </c>
      <c r="B4360" t="s">
        <v>92</v>
      </c>
      <c r="C4360" t="s">
        <v>806</v>
      </c>
      <c r="D4360" t="s">
        <v>92</v>
      </c>
      <c r="E4360" t="s">
        <v>464</v>
      </c>
      <c r="F4360" t="s">
        <v>244</v>
      </c>
      <c r="G4360" s="39">
        <v>42500</v>
      </c>
      <c r="J4360" t="s">
        <v>90</v>
      </c>
    </row>
    <row r="4361" spans="1:10" x14ac:dyDescent="0.35">
      <c r="A4361">
        <v>980011</v>
      </c>
      <c r="B4361" t="s">
        <v>92</v>
      </c>
      <c r="C4361" t="s">
        <v>806</v>
      </c>
      <c r="D4361" t="s">
        <v>780</v>
      </c>
      <c r="E4361" t="s">
        <v>548</v>
      </c>
      <c r="F4361" t="s">
        <v>411</v>
      </c>
      <c r="G4361" s="39">
        <v>42675</v>
      </c>
      <c r="J4361" t="s">
        <v>90</v>
      </c>
    </row>
    <row r="4362" spans="1:10" x14ac:dyDescent="0.35">
      <c r="A4362">
        <v>14808</v>
      </c>
      <c r="B4362" t="s">
        <v>92</v>
      </c>
      <c r="C4362" t="s">
        <v>806</v>
      </c>
      <c r="D4362" t="s">
        <v>780</v>
      </c>
      <c r="E4362" t="s">
        <v>807</v>
      </c>
      <c r="F4362" t="s">
        <v>244</v>
      </c>
      <c r="G4362" s="39">
        <v>44859</v>
      </c>
      <c r="J4362" t="s">
        <v>90</v>
      </c>
    </row>
    <row r="4363" spans="1:10" x14ac:dyDescent="0.35">
      <c r="A4363">
        <v>860017</v>
      </c>
      <c r="B4363" t="s">
        <v>92</v>
      </c>
      <c r="C4363" t="s">
        <v>808</v>
      </c>
      <c r="D4363" t="s">
        <v>92</v>
      </c>
      <c r="E4363" t="s">
        <v>464</v>
      </c>
      <c r="F4363" t="s">
        <v>244</v>
      </c>
      <c r="G4363" s="39">
        <v>42380</v>
      </c>
      <c r="J4363" t="s">
        <v>90</v>
      </c>
    </row>
    <row r="4364" spans="1:10" x14ac:dyDescent="0.35">
      <c r="A4364">
        <v>16290</v>
      </c>
      <c r="B4364" t="s">
        <v>92</v>
      </c>
      <c r="C4364" t="s">
        <v>808</v>
      </c>
      <c r="D4364" t="s">
        <v>780</v>
      </c>
      <c r="E4364" t="s">
        <v>782</v>
      </c>
      <c r="F4364" t="s">
        <v>244</v>
      </c>
      <c r="G4364" s="39">
        <v>45338</v>
      </c>
      <c r="J4364" t="s">
        <v>90</v>
      </c>
    </row>
    <row r="4365" spans="1:10" x14ac:dyDescent="0.35">
      <c r="A4365">
        <v>11601</v>
      </c>
      <c r="B4365" t="s">
        <v>92</v>
      </c>
      <c r="C4365" t="s">
        <v>809</v>
      </c>
      <c r="D4365" t="s">
        <v>92</v>
      </c>
      <c r="E4365" t="s">
        <v>464</v>
      </c>
      <c r="F4365" t="s">
        <v>244</v>
      </c>
      <c r="G4365" s="39">
        <v>42892</v>
      </c>
      <c r="J4365" t="s">
        <v>90</v>
      </c>
    </row>
    <row r="4366" spans="1:10" x14ac:dyDescent="0.35">
      <c r="A4366">
        <v>14317</v>
      </c>
      <c r="B4366" t="s">
        <v>92</v>
      </c>
      <c r="C4366" t="s">
        <v>809</v>
      </c>
      <c r="D4366" t="s">
        <v>780</v>
      </c>
      <c r="E4366" t="s">
        <v>782</v>
      </c>
      <c r="F4366" t="s">
        <v>244</v>
      </c>
      <c r="G4366" s="39">
        <v>44726</v>
      </c>
      <c r="J4366" t="s">
        <v>90</v>
      </c>
    </row>
    <row r="4367" spans="1:10" x14ac:dyDescent="0.35">
      <c r="A4367">
        <v>15975</v>
      </c>
      <c r="B4367" t="s">
        <v>92</v>
      </c>
      <c r="C4367" t="s">
        <v>671</v>
      </c>
      <c r="D4367" t="s">
        <v>92</v>
      </c>
      <c r="E4367" t="s">
        <v>464</v>
      </c>
      <c r="F4367" t="s">
        <v>244</v>
      </c>
      <c r="G4367" s="39">
        <v>45250</v>
      </c>
      <c r="J4367" t="s">
        <v>90</v>
      </c>
    </row>
    <row r="4368" spans="1:10" x14ac:dyDescent="0.35">
      <c r="A4368">
        <v>16289</v>
      </c>
      <c r="B4368" t="s">
        <v>92</v>
      </c>
      <c r="C4368" t="s">
        <v>671</v>
      </c>
      <c r="D4368" t="s">
        <v>780</v>
      </c>
      <c r="E4368" t="s">
        <v>782</v>
      </c>
      <c r="F4368" t="s">
        <v>244</v>
      </c>
      <c r="G4368" s="39">
        <v>45338</v>
      </c>
      <c r="J4368" t="s">
        <v>90</v>
      </c>
    </row>
    <row r="4369" spans="1:10" x14ac:dyDescent="0.35">
      <c r="A4369">
        <v>16441</v>
      </c>
      <c r="B4369" t="s">
        <v>92</v>
      </c>
      <c r="C4369" t="s">
        <v>671</v>
      </c>
      <c r="D4369" t="s">
        <v>780</v>
      </c>
      <c r="E4369" t="s">
        <v>496</v>
      </c>
      <c r="F4369" t="s">
        <v>244</v>
      </c>
      <c r="G4369" s="39">
        <v>45400</v>
      </c>
      <c r="J4369" t="s">
        <v>90</v>
      </c>
    </row>
    <row r="4370" spans="1:10" x14ac:dyDescent="0.35">
      <c r="A4370">
        <v>206003</v>
      </c>
      <c r="B4370" t="s">
        <v>92</v>
      </c>
      <c r="C4370" t="s">
        <v>810</v>
      </c>
      <c r="D4370" t="s">
        <v>92</v>
      </c>
      <c r="E4370" t="s">
        <v>464</v>
      </c>
      <c r="F4370" t="s">
        <v>244</v>
      </c>
      <c r="G4370" s="39">
        <v>43696</v>
      </c>
      <c r="J4370" t="s">
        <v>90</v>
      </c>
    </row>
    <row r="4371" spans="1:10" x14ac:dyDescent="0.35">
      <c r="A4371">
        <v>17163</v>
      </c>
      <c r="B4371" t="s">
        <v>92</v>
      </c>
      <c r="C4371" t="s">
        <v>810</v>
      </c>
      <c r="D4371" t="s">
        <v>780</v>
      </c>
      <c r="E4371" t="s">
        <v>496</v>
      </c>
      <c r="F4371" t="s">
        <v>244</v>
      </c>
      <c r="G4371" s="39">
        <v>45652</v>
      </c>
      <c r="J4371" t="s">
        <v>90</v>
      </c>
    </row>
    <row r="4372" spans="1:10" x14ac:dyDescent="0.35">
      <c r="A4372">
        <v>390024</v>
      </c>
      <c r="B4372" t="s">
        <v>92</v>
      </c>
      <c r="C4372" t="s">
        <v>811</v>
      </c>
      <c r="D4372" t="s">
        <v>92</v>
      </c>
      <c r="E4372" t="s">
        <v>464</v>
      </c>
      <c r="F4372" t="s">
        <v>244</v>
      </c>
      <c r="G4372" s="39">
        <v>43049</v>
      </c>
      <c r="J4372" t="s">
        <v>90</v>
      </c>
    </row>
    <row r="4373" spans="1:10" x14ac:dyDescent="0.35">
      <c r="A4373">
        <v>15311</v>
      </c>
      <c r="B4373" t="s">
        <v>92</v>
      </c>
      <c r="C4373" t="s">
        <v>811</v>
      </c>
      <c r="D4373" t="s">
        <v>780</v>
      </c>
      <c r="E4373" t="s">
        <v>782</v>
      </c>
      <c r="F4373" t="s">
        <v>244</v>
      </c>
      <c r="G4373" s="39">
        <v>45023</v>
      </c>
      <c r="J4373" t="s">
        <v>90</v>
      </c>
    </row>
    <row r="4374" spans="1:10" x14ac:dyDescent="0.35">
      <c r="A4374">
        <v>120053</v>
      </c>
      <c r="B4374" t="s">
        <v>92</v>
      </c>
      <c r="C4374" t="s">
        <v>797</v>
      </c>
      <c r="D4374" t="s">
        <v>92</v>
      </c>
      <c r="E4374" t="s">
        <v>464</v>
      </c>
      <c r="F4374" t="s">
        <v>244</v>
      </c>
      <c r="G4374" s="39">
        <v>44097</v>
      </c>
      <c r="J4374" t="s">
        <v>90</v>
      </c>
    </row>
    <row r="4375" spans="1:10" x14ac:dyDescent="0.35">
      <c r="A4375">
        <v>17691</v>
      </c>
      <c r="B4375" t="s">
        <v>92</v>
      </c>
      <c r="C4375" t="s">
        <v>797</v>
      </c>
      <c r="D4375" t="s">
        <v>780</v>
      </c>
      <c r="E4375" t="s">
        <v>496</v>
      </c>
      <c r="F4375" t="s">
        <v>244</v>
      </c>
      <c r="G4375" s="39">
        <v>45846</v>
      </c>
      <c r="J4375" t="s">
        <v>90</v>
      </c>
    </row>
    <row r="4376" spans="1:10" x14ac:dyDescent="0.35">
      <c r="A4376">
        <v>240009</v>
      </c>
      <c r="B4376" t="s">
        <v>92</v>
      </c>
      <c r="C4376" t="s">
        <v>812</v>
      </c>
      <c r="D4376" t="s">
        <v>92</v>
      </c>
      <c r="E4376" t="s">
        <v>464</v>
      </c>
      <c r="F4376" t="s">
        <v>244</v>
      </c>
      <c r="G4376" s="39">
        <v>40330</v>
      </c>
      <c r="J4376" t="s">
        <v>90</v>
      </c>
    </row>
    <row r="4377" spans="1:10" x14ac:dyDescent="0.35">
      <c r="A4377">
        <v>123002</v>
      </c>
      <c r="B4377" t="s">
        <v>92</v>
      </c>
      <c r="C4377" t="s">
        <v>812</v>
      </c>
      <c r="D4377" t="s">
        <v>780</v>
      </c>
      <c r="E4377" t="s">
        <v>548</v>
      </c>
      <c r="F4377" t="s">
        <v>244</v>
      </c>
      <c r="G4377" s="39">
        <v>43104</v>
      </c>
      <c r="J4377" t="s">
        <v>90</v>
      </c>
    </row>
    <row r="4378" spans="1:10" x14ac:dyDescent="0.35">
      <c r="A4378">
        <v>123003</v>
      </c>
      <c r="B4378" t="s">
        <v>92</v>
      </c>
      <c r="C4378" t="s">
        <v>812</v>
      </c>
      <c r="D4378" t="s">
        <v>780</v>
      </c>
      <c r="E4378" t="s">
        <v>548</v>
      </c>
      <c r="F4378" t="s">
        <v>244</v>
      </c>
      <c r="G4378" s="39">
        <v>43301</v>
      </c>
      <c r="J4378" t="s">
        <v>90</v>
      </c>
    </row>
    <row r="4379" spans="1:10" x14ac:dyDescent="0.35">
      <c r="A4379">
        <v>660030</v>
      </c>
      <c r="B4379" t="s">
        <v>92</v>
      </c>
      <c r="C4379" t="s">
        <v>812</v>
      </c>
      <c r="D4379" t="s">
        <v>780</v>
      </c>
      <c r="E4379" t="s">
        <v>548</v>
      </c>
      <c r="F4379" t="s">
        <v>244</v>
      </c>
      <c r="G4379" s="39">
        <v>42597</v>
      </c>
      <c r="J4379" t="s">
        <v>90</v>
      </c>
    </row>
    <row r="4380" spans="1:10" x14ac:dyDescent="0.35">
      <c r="A4380">
        <v>123001</v>
      </c>
      <c r="B4380" t="s">
        <v>92</v>
      </c>
      <c r="C4380" t="s">
        <v>812</v>
      </c>
      <c r="D4380" t="s">
        <v>780</v>
      </c>
      <c r="E4380" t="s">
        <v>548</v>
      </c>
      <c r="F4380" t="s">
        <v>244</v>
      </c>
      <c r="G4380" s="39">
        <v>42843</v>
      </c>
      <c r="J4380" t="s">
        <v>90</v>
      </c>
    </row>
    <row r="4381" spans="1:10" x14ac:dyDescent="0.35">
      <c r="A4381">
        <v>15079</v>
      </c>
      <c r="B4381" t="s">
        <v>92</v>
      </c>
      <c r="C4381" t="s">
        <v>812</v>
      </c>
      <c r="D4381" t="s">
        <v>780</v>
      </c>
      <c r="E4381" t="s">
        <v>782</v>
      </c>
      <c r="F4381" t="s">
        <v>244</v>
      </c>
      <c r="G4381" s="39">
        <v>44942</v>
      </c>
      <c r="J4381" t="s">
        <v>90</v>
      </c>
    </row>
    <row r="4382" spans="1:10" x14ac:dyDescent="0.35">
      <c r="A4382">
        <v>15235</v>
      </c>
      <c r="B4382" t="s">
        <v>92</v>
      </c>
      <c r="C4382" t="s">
        <v>812</v>
      </c>
      <c r="D4382" t="s">
        <v>780</v>
      </c>
      <c r="E4382" t="s">
        <v>782</v>
      </c>
      <c r="F4382" t="s">
        <v>244</v>
      </c>
      <c r="G4382" s="39">
        <v>44995</v>
      </c>
      <c r="J4382" t="s">
        <v>90</v>
      </c>
    </row>
    <row r="4383" spans="1:10" x14ac:dyDescent="0.35">
      <c r="A4383">
        <v>17697</v>
      </c>
      <c r="B4383" t="s">
        <v>92</v>
      </c>
      <c r="C4383" t="s">
        <v>812</v>
      </c>
      <c r="D4383" t="s">
        <v>780</v>
      </c>
      <c r="E4383" t="s">
        <v>496</v>
      </c>
      <c r="F4383" t="s">
        <v>244</v>
      </c>
      <c r="G4383" s="39">
        <v>45845</v>
      </c>
      <c r="J4383" t="s">
        <v>90</v>
      </c>
    </row>
    <row r="4384" spans="1:10" x14ac:dyDescent="0.35">
      <c r="A4384">
        <v>140040</v>
      </c>
      <c r="B4384" t="s">
        <v>92</v>
      </c>
      <c r="C4384" t="s">
        <v>814</v>
      </c>
      <c r="D4384" t="s">
        <v>92</v>
      </c>
      <c r="E4384" t="s">
        <v>464</v>
      </c>
      <c r="F4384" t="s">
        <v>244</v>
      </c>
      <c r="G4384" s="39">
        <v>43230</v>
      </c>
      <c r="J4384" t="s">
        <v>90</v>
      </c>
    </row>
    <row r="4385" spans="1:10" x14ac:dyDescent="0.35">
      <c r="A4385">
        <v>230015</v>
      </c>
      <c r="B4385" t="s">
        <v>92</v>
      </c>
      <c r="C4385" t="s">
        <v>814</v>
      </c>
      <c r="D4385" t="s">
        <v>780</v>
      </c>
      <c r="E4385" t="s">
        <v>799</v>
      </c>
      <c r="F4385" t="s">
        <v>244</v>
      </c>
      <c r="G4385" s="39">
        <v>36697</v>
      </c>
      <c r="J4385" t="s">
        <v>90</v>
      </c>
    </row>
    <row r="4386" spans="1:10" x14ac:dyDescent="0.35">
      <c r="A4386">
        <v>210027</v>
      </c>
      <c r="B4386" t="s">
        <v>92</v>
      </c>
      <c r="C4386" t="s">
        <v>814</v>
      </c>
      <c r="D4386" t="s">
        <v>780</v>
      </c>
      <c r="E4386" t="s">
        <v>782</v>
      </c>
      <c r="F4386" t="s">
        <v>244</v>
      </c>
      <c r="G4386" s="39">
        <v>36691</v>
      </c>
      <c r="J4386" t="s">
        <v>90</v>
      </c>
    </row>
    <row r="4387" spans="1:10" x14ac:dyDescent="0.35">
      <c r="A4387">
        <v>180058</v>
      </c>
      <c r="B4387" t="s">
        <v>92</v>
      </c>
      <c r="C4387" t="s">
        <v>814</v>
      </c>
      <c r="D4387" t="s">
        <v>780</v>
      </c>
      <c r="E4387" t="s">
        <v>496</v>
      </c>
      <c r="F4387" t="s">
        <v>244</v>
      </c>
      <c r="G4387" s="39">
        <v>44188</v>
      </c>
      <c r="J4387" t="s">
        <v>90</v>
      </c>
    </row>
    <row r="4388" spans="1:10" x14ac:dyDescent="0.35">
      <c r="A4388">
        <v>126001</v>
      </c>
      <c r="B4388" t="s">
        <v>92</v>
      </c>
      <c r="C4388" t="s">
        <v>814</v>
      </c>
      <c r="D4388" t="s">
        <v>791</v>
      </c>
      <c r="E4388" t="s">
        <v>122</v>
      </c>
      <c r="F4388" t="s">
        <v>244</v>
      </c>
      <c r="G4388" s="39">
        <v>42866</v>
      </c>
      <c r="J4388" t="s">
        <v>90</v>
      </c>
    </row>
    <row r="4389" spans="1:10" x14ac:dyDescent="0.35">
      <c r="A4389">
        <v>170003</v>
      </c>
      <c r="B4389" t="s">
        <v>92</v>
      </c>
      <c r="C4389" t="s">
        <v>815</v>
      </c>
      <c r="D4389" t="s">
        <v>92</v>
      </c>
      <c r="E4389" t="s">
        <v>464</v>
      </c>
      <c r="F4389" t="s">
        <v>244</v>
      </c>
      <c r="G4389" s="39">
        <v>36706</v>
      </c>
      <c r="J4389" t="s">
        <v>90</v>
      </c>
    </row>
    <row r="4390" spans="1:10" x14ac:dyDescent="0.35">
      <c r="A4390">
        <v>550022</v>
      </c>
      <c r="B4390" t="s">
        <v>92</v>
      </c>
      <c r="C4390" t="s">
        <v>815</v>
      </c>
      <c r="D4390" t="s">
        <v>780</v>
      </c>
      <c r="E4390" t="s">
        <v>548</v>
      </c>
      <c r="F4390" t="s">
        <v>244</v>
      </c>
      <c r="G4390" s="39">
        <v>36850</v>
      </c>
      <c r="J4390" t="s">
        <v>90</v>
      </c>
    </row>
    <row r="4391" spans="1:10" x14ac:dyDescent="0.35">
      <c r="A4391">
        <v>980014</v>
      </c>
      <c r="B4391" t="s">
        <v>92</v>
      </c>
      <c r="C4391" t="s">
        <v>815</v>
      </c>
      <c r="D4391" t="s">
        <v>780</v>
      </c>
      <c r="E4391" t="s">
        <v>548</v>
      </c>
      <c r="F4391" t="s">
        <v>244</v>
      </c>
      <c r="G4391" s="39">
        <v>42811</v>
      </c>
      <c r="J4391" t="s">
        <v>90</v>
      </c>
    </row>
    <row r="4392" spans="1:10" x14ac:dyDescent="0.35">
      <c r="A4392">
        <v>18131</v>
      </c>
      <c r="B4392" t="s">
        <v>92</v>
      </c>
      <c r="C4392" t="s">
        <v>815</v>
      </c>
      <c r="D4392" t="s">
        <v>780</v>
      </c>
      <c r="E4392" t="s">
        <v>783</v>
      </c>
      <c r="F4392" t="s">
        <v>244</v>
      </c>
      <c r="G4392" s="39">
        <v>46007</v>
      </c>
      <c r="J4392" t="s">
        <v>90</v>
      </c>
    </row>
    <row r="4393" spans="1:10" x14ac:dyDescent="0.35">
      <c r="A4393">
        <v>20036</v>
      </c>
      <c r="B4393" t="s">
        <v>92</v>
      </c>
      <c r="C4393" t="s">
        <v>816</v>
      </c>
      <c r="D4393" t="s">
        <v>92</v>
      </c>
      <c r="E4393" t="s">
        <v>464</v>
      </c>
      <c r="F4393" t="s">
        <v>244</v>
      </c>
      <c r="G4393" s="39">
        <v>42473</v>
      </c>
      <c r="J4393" t="s">
        <v>90</v>
      </c>
    </row>
    <row r="4394" spans="1:10" x14ac:dyDescent="0.35">
      <c r="A4394">
        <v>180047</v>
      </c>
      <c r="B4394" t="s">
        <v>92</v>
      </c>
      <c r="C4394" t="s">
        <v>816</v>
      </c>
      <c r="D4394" t="s">
        <v>780</v>
      </c>
      <c r="E4394" t="s">
        <v>548</v>
      </c>
      <c r="F4394" t="s">
        <v>244</v>
      </c>
      <c r="G4394" s="39">
        <v>43395</v>
      </c>
      <c r="J4394" t="s">
        <v>90</v>
      </c>
    </row>
    <row r="4395" spans="1:10" x14ac:dyDescent="0.35">
      <c r="A4395">
        <v>300131</v>
      </c>
      <c r="B4395" t="s">
        <v>92</v>
      </c>
      <c r="C4395" t="s">
        <v>816</v>
      </c>
      <c r="D4395" t="s">
        <v>780</v>
      </c>
      <c r="E4395" t="s">
        <v>548</v>
      </c>
      <c r="F4395" t="s">
        <v>244</v>
      </c>
      <c r="G4395" s="39">
        <v>43236</v>
      </c>
      <c r="J4395" t="s">
        <v>90</v>
      </c>
    </row>
    <row r="4396" spans="1:10" x14ac:dyDescent="0.35">
      <c r="A4396">
        <v>203002</v>
      </c>
      <c r="B4396" t="s">
        <v>92</v>
      </c>
      <c r="C4396" t="s">
        <v>816</v>
      </c>
      <c r="D4396" t="s">
        <v>780</v>
      </c>
      <c r="E4396" t="s">
        <v>548</v>
      </c>
      <c r="F4396" t="s">
        <v>244</v>
      </c>
      <c r="G4396" s="39">
        <v>43648</v>
      </c>
      <c r="J4396" t="s">
        <v>90</v>
      </c>
    </row>
    <row r="4397" spans="1:10" x14ac:dyDescent="0.35">
      <c r="A4397">
        <v>203005</v>
      </c>
      <c r="B4397" t="s">
        <v>92</v>
      </c>
      <c r="C4397" t="s">
        <v>816</v>
      </c>
      <c r="D4397" t="s">
        <v>780</v>
      </c>
      <c r="E4397" t="s">
        <v>548</v>
      </c>
      <c r="F4397" t="s">
        <v>244</v>
      </c>
      <c r="G4397" s="39">
        <v>43747</v>
      </c>
      <c r="J4397" t="s">
        <v>90</v>
      </c>
    </row>
    <row r="4398" spans="1:10" x14ac:dyDescent="0.35">
      <c r="A4398">
        <v>203003</v>
      </c>
      <c r="B4398" t="s">
        <v>92</v>
      </c>
      <c r="C4398" t="s">
        <v>816</v>
      </c>
      <c r="D4398" t="s">
        <v>780</v>
      </c>
      <c r="E4398" t="s">
        <v>548</v>
      </c>
      <c r="F4398" t="s">
        <v>244</v>
      </c>
      <c r="G4398" s="39">
        <v>43654</v>
      </c>
      <c r="J4398" t="s">
        <v>90</v>
      </c>
    </row>
    <row r="4399" spans="1:10" x14ac:dyDescent="0.35">
      <c r="A4399">
        <v>18258</v>
      </c>
      <c r="B4399" t="s">
        <v>92</v>
      </c>
      <c r="C4399" t="s">
        <v>816</v>
      </c>
      <c r="D4399" t="s">
        <v>780</v>
      </c>
      <c r="E4399" t="s">
        <v>548</v>
      </c>
      <c r="F4399" t="s">
        <v>244</v>
      </c>
      <c r="G4399" s="39">
        <v>46076</v>
      </c>
      <c r="J4399" t="s">
        <v>90</v>
      </c>
    </row>
    <row r="4400" spans="1:10" x14ac:dyDescent="0.35">
      <c r="A4400">
        <v>15425</v>
      </c>
      <c r="B4400" t="s">
        <v>92</v>
      </c>
      <c r="C4400" t="s">
        <v>816</v>
      </c>
      <c r="D4400" t="s">
        <v>780</v>
      </c>
      <c r="E4400" t="s">
        <v>782</v>
      </c>
      <c r="F4400" t="s">
        <v>244</v>
      </c>
      <c r="G4400" s="39">
        <v>45068</v>
      </c>
      <c r="J4400" t="s">
        <v>90</v>
      </c>
    </row>
    <row r="4401" spans="1:10" x14ac:dyDescent="0.35">
      <c r="A4401">
        <v>16062</v>
      </c>
      <c r="B4401" t="s">
        <v>92</v>
      </c>
      <c r="C4401" t="s">
        <v>816</v>
      </c>
      <c r="D4401" t="s">
        <v>780</v>
      </c>
      <c r="E4401" t="s">
        <v>782</v>
      </c>
      <c r="F4401" t="s">
        <v>244</v>
      </c>
      <c r="G4401" s="39">
        <v>45275</v>
      </c>
      <c r="J4401" t="s">
        <v>90</v>
      </c>
    </row>
    <row r="4402" spans="1:10" x14ac:dyDescent="0.35">
      <c r="A4402">
        <v>10333</v>
      </c>
      <c r="B4402" t="s">
        <v>92</v>
      </c>
      <c r="C4402" t="s">
        <v>817</v>
      </c>
      <c r="D4402" t="s">
        <v>92</v>
      </c>
      <c r="E4402" t="s">
        <v>464</v>
      </c>
      <c r="F4402" t="s">
        <v>244</v>
      </c>
      <c r="G4402" s="39">
        <v>39850</v>
      </c>
      <c r="J4402" t="s">
        <v>90</v>
      </c>
    </row>
    <row r="4403" spans="1:10" x14ac:dyDescent="0.35">
      <c r="A4403">
        <v>300206</v>
      </c>
      <c r="B4403" t="s">
        <v>92</v>
      </c>
      <c r="C4403" t="s">
        <v>817</v>
      </c>
      <c r="D4403" t="s">
        <v>780</v>
      </c>
      <c r="E4403" t="s">
        <v>548</v>
      </c>
      <c r="F4403" t="s">
        <v>244</v>
      </c>
      <c r="G4403" s="39">
        <v>44026</v>
      </c>
      <c r="J4403" t="s">
        <v>90</v>
      </c>
    </row>
    <row r="4404" spans="1:10" x14ac:dyDescent="0.35">
      <c r="A4404">
        <v>600038</v>
      </c>
      <c r="B4404" t="s">
        <v>818</v>
      </c>
      <c r="C4404" t="s">
        <v>92</v>
      </c>
      <c r="D4404" t="s">
        <v>92</v>
      </c>
      <c r="E4404" t="s">
        <v>464</v>
      </c>
      <c r="F4404" t="s">
        <v>244</v>
      </c>
      <c r="G4404" s="39">
        <v>42695</v>
      </c>
      <c r="J4404" t="s">
        <v>90</v>
      </c>
    </row>
    <row r="4405" spans="1:10" x14ac:dyDescent="0.35">
      <c r="A4405">
        <v>240016</v>
      </c>
      <c r="B4405" t="s">
        <v>818</v>
      </c>
      <c r="C4405" t="s">
        <v>92</v>
      </c>
      <c r="D4405" t="s">
        <v>780</v>
      </c>
      <c r="E4405" t="s">
        <v>151</v>
      </c>
      <c r="F4405" t="s">
        <v>244</v>
      </c>
      <c r="G4405" s="39">
        <v>39919</v>
      </c>
      <c r="J4405" t="s">
        <v>90</v>
      </c>
    </row>
    <row r="4406" spans="1:10" x14ac:dyDescent="0.35">
      <c r="A4406">
        <v>16365</v>
      </c>
      <c r="B4406" t="s">
        <v>818</v>
      </c>
      <c r="C4406" t="s">
        <v>92</v>
      </c>
      <c r="D4406" t="s">
        <v>780</v>
      </c>
      <c r="E4406" t="s">
        <v>531</v>
      </c>
      <c r="F4406" t="s">
        <v>244</v>
      </c>
      <c r="G4406" s="39">
        <v>45369</v>
      </c>
      <c r="J4406" t="s">
        <v>90</v>
      </c>
    </row>
    <row r="4407" spans="1:10" x14ac:dyDescent="0.35">
      <c r="A4407">
        <v>440040</v>
      </c>
      <c r="B4407" t="s">
        <v>818</v>
      </c>
      <c r="C4407" t="s">
        <v>92</v>
      </c>
      <c r="D4407" t="s">
        <v>780</v>
      </c>
      <c r="E4407" t="s">
        <v>406</v>
      </c>
      <c r="F4407" t="s">
        <v>244</v>
      </c>
      <c r="G4407" s="39">
        <v>43034</v>
      </c>
      <c r="J4407" t="s">
        <v>90</v>
      </c>
    </row>
    <row r="4408" spans="1:10" x14ac:dyDescent="0.35">
      <c r="A4408">
        <v>300189</v>
      </c>
      <c r="B4408" t="s">
        <v>818</v>
      </c>
      <c r="C4408" t="s">
        <v>92</v>
      </c>
      <c r="D4408" t="s">
        <v>780</v>
      </c>
      <c r="E4408" t="s">
        <v>548</v>
      </c>
      <c r="F4408" t="s">
        <v>244</v>
      </c>
      <c r="G4408" s="39">
        <v>43762</v>
      </c>
      <c r="J4408" t="s">
        <v>90</v>
      </c>
    </row>
    <row r="4409" spans="1:10" x14ac:dyDescent="0.35">
      <c r="A4409">
        <v>740014</v>
      </c>
      <c r="B4409" t="s">
        <v>818</v>
      </c>
      <c r="C4409" t="s">
        <v>92</v>
      </c>
      <c r="D4409" t="s">
        <v>780</v>
      </c>
      <c r="E4409" t="s">
        <v>782</v>
      </c>
      <c r="F4409" t="s">
        <v>411</v>
      </c>
      <c r="G4409" s="39">
        <v>41852</v>
      </c>
      <c r="J4409" t="s">
        <v>90</v>
      </c>
    </row>
    <row r="4410" spans="1:10" x14ac:dyDescent="0.35">
      <c r="A4410">
        <v>230027</v>
      </c>
      <c r="B4410" t="s">
        <v>818</v>
      </c>
      <c r="C4410" t="s">
        <v>92</v>
      </c>
      <c r="D4410" t="s">
        <v>780</v>
      </c>
      <c r="E4410" t="s">
        <v>548</v>
      </c>
      <c r="F4410" t="s">
        <v>244</v>
      </c>
      <c r="G4410" s="39">
        <v>42023</v>
      </c>
      <c r="J4410" t="s">
        <v>90</v>
      </c>
    </row>
    <row r="4411" spans="1:10" x14ac:dyDescent="0.35">
      <c r="A4411">
        <v>110011</v>
      </c>
      <c r="B4411" t="s">
        <v>818</v>
      </c>
      <c r="C4411" t="s">
        <v>92</v>
      </c>
      <c r="D4411" t="s">
        <v>780</v>
      </c>
      <c r="E4411" t="s">
        <v>782</v>
      </c>
      <c r="F4411" t="s">
        <v>244</v>
      </c>
      <c r="G4411" s="39">
        <v>41285</v>
      </c>
      <c r="J4411" t="s">
        <v>90</v>
      </c>
    </row>
    <row r="4412" spans="1:10" x14ac:dyDescent="0.35">
      <c r="A4412">
        <v>14163</v>
      </c>
      <c r="B4412" t="s">
        <v>818</v>
      </c>
      <c r="C4412" t="s">
        <v>92</v>
      </c>
      <c r="D4412" t="s">
        <v>780</v>
      </c>
      <c r="E4412" t="s">
        <v>782</v>
      </c>
      <c r="F4412" t="s">
        <v>244</v>
      </c>
      <c r="G4412" s="39">
        <v>44685</v>
      </c>
      <c r="J4412" t="s">
        <v>90</v>
      </c>
    </row>
    <row r="4413" spans="1:10" x14ac:dyDescent="0.35">
      <c r="A4413">
        <v>17842</v>
      </c>
      <c r="B4413" t="s">
        <v>818</v>
      </c>
      <c r="C4413" t="s">
        <v>92</v>
      </c>
      <c r="D4413" t="s">
        <v>780</v>
      </c>
      <c r="E4413" t="s">
        <v>496</v>
      </c>
      <c r="F4413" t="s">
        <v>244</v>
      </c>
      <c r="G4413" s="39">
        <v>45889</v>
      </c>
      <c r="J4413" t="s">
        <v>90</v>
      </c>
    </row>
    <row r="4414" spans="1:10" x14ac:dyDescent="0.35">
      <c r="A4414">
        <v>140035</v>
      </c>
      <c r="B4414" t="s">
        <v>819</v>
      </c>
      <c r="C4414" t="s">
        <v>92</v>
      </c>
      <c r="D4414" t="s">
        <v>92</v>
      </c>
      <c r="E4414" t="s">
        <v>464</v>
      </c>
      <c r="F4414" t="s">
        <v>244</v>
      </c>
      <c r="G4414" s="39">
        <v>42843</v>
      </c>
      <c r="J4414" t="s">
        <v>90</v>
      </c>
    </row>
    <row r="4415" spans="1:10" x14ac:dyDescent="0.35">
      <c r="A4415">
        <v>117026</v>
      </c>
      <c r="B4415" t="s">
        <v>819</v>
      </c>
      <c r="C4415" t="s">
        <v>92</v>
      </c>
      <c r="D4415" t="s">
        <v>780</v>
      </c>
      <c r="E4415" t="s">
        <v>406</v>
      </c>
      <c r="F4415" t="s">
        <v>244</v>
      </c>
      <c r="G4415" s="39">
        <v>43243</v>
      </c>
      <c r="J4415" t="s">
        <v>90</v>
      </c>
    </row>
    <row r="4416" spans="1:10" x14ac:dyDescent="0.35">
      <c r="A4416">
        <v>900026</v>
      </c>
      <c r="B4416" t="s">
        <v>819</v>
      </c>
      <c r="C4416" t="s">
        <v>92</v>
      </c>
      <c r="D4416" t="s">
        <v>780</v>
      </c>
      <c r="E4416" t="s">
        <v>548</v>
      </c>
      <c r="F4416" t="s">
        <v>244</v>
      </c>
      <c r="G4416" s="39">
        <v>41586</v>
      </c>
      <c r="J4416" t="s">
        <v>90</v>
      </c>
    </row>
    <row r="4417" spans="1:10" x14ac:dyDescent="0.35">
      <c r="A4417">
        <v>14303</v>
      </c>
      <c r="B4417" t="s">
        <v>819</v>
      </c>
      <c r="C4417" t="s">
        <v>92</v>
      </c>
      <c r="D4417" t="s">
        <v>780</v>
      </c>
      <c r="E4417" t="s">
        <v>799</v>
      </c>
      <c r="F4417" t="s">
        <v>244</v>
      </c>
      <c r="G4417" s="39">
        <v>44721</v>
      </c>
      <c r="J4417" t="s">
        <v>90</v>
      </c>
    </row>
    <row r="4418" spans="1:10" x14ac:dyDescent="0.35">
      <c r="A4418">
        <v>15098</v>
      </c>
      <c r="B4418" t="s">
        <v>819</v>
      </c>
      <c r="C4418" t="s">
        <v>92</v>
      </c>
      <c r="D4418" t="s">
        <v>780</v>
      </c>
      <c r="E4418" t="s">
        <v>782</v>
      </c>
      <c r="F4418" t="s">
        <v>244</v>
      </c>
      <c r="G4418" s="39">
        <v>44945</v>
      </c>
      <c r="J4418" t="s">
        <v>90</v>
      </c>
    </row>
    <row r="4419" spans="1:10" x14ac:dyDescent="0.35">
      <c r="A4419">
        <v>14236</v>
      </c>
      <c r="B4419" t="s">
        <v>819</v>
      </c>
      <c r="C4419" t="s">
        <v>92</v>
      </c>
      <c r="D4419" t="s">
        <v>780</v>
      </c>
      <c r="E4419" t="s">
        <v>782</v>
      </c>
      <c r="F4419" t="s">
        <v>244</v>
      </c>
      <c r="G4419" s="39">
        <v>44701</v>
      </c>
      <c r="J4419" t="s">
        <v>90</v>
      </c>
    </row>
    <row r="4420" spans="1:10" x14ac:dyDescent="0.35">
      <c r="A4420">
        <v>15104</v>
      </c>
      <c r="B4420" t="s">
        <v>819</v>
      </c>
      <c r="C4420" t="s">
        <v>92</v>
      </c>
      <c r="D4420" t="s">
        <v>780</v>
      </c>
      <c r="E4420" t="s">
        <v>496</v>
      </c>
      <c r="F4420" t="s">
        <v>411</v>
      </c>
      <c r="G4420" s="39">
        <v>44958</v>
      </c>
      <c r="J4420" t="s">
        <v>90</v>
      </c>
    </row>
    <row r="4421" spans="1:10" x14ac:dyDescent="0.35">
      <c r="A4421">
        <v>14794</v>
      </c>
      <c r="B4421" t="s">
        <v>819</v>
      </c>
      <c r="C4421" t="s">
        <v>92</v>
      </c>
      <c r="D4421" t="s">
        <v>780</v>
      </c>
      <c r="E4421" t="s">
        <v>782</v>
      </c>
      <c r="F4421" t="s">
        <v>244</v>
      </c>
      <c r="G4421" s="39">
        <v>44858</v>
      </c>
      <c r="J4421" t="s">
        <v>90</v>
      </c>
    </row>
    <row r="4422" spans="1:10" x14ac:dyDescent="0.35">
      <c r="A4422">
        <v>113033</v>
      </c>
      <c r="B4422" t="s">
        <v>820</v>
      </c>
      <c r="C4422" t="s">
        <v>92</v>
      </c>
      <c r="D4422" t="s">
        <v>92</v>
      </c>
      <c r="E4422" t="s">
        <v>464</v>
      </c>
      <c r="F4422" t="s">
        <v>244</v>
      </c>
      <c r="G4422" s="39">
        <v>42690</v>
      </c>
      <c r="J4422" t="s">
        <v>90</v>
      </c>
    </row>
    <row r="4423" spans="1:10" x14ac:dyDescent="0.35">
      <c r="A4423">
        <v>280024</v>
      </c>
      <c r="B4423" t="s">
        <v>820</v>
      </c>
      <c r="C4423" t="s">
        <v>92</v>
      </c>
      <c r="D4423" t="s">
        <v>780</v>
      </c>
      <c r="E4423" t="s">
        <v>406</v>
      </c>
      <c r="F4423" t="s">
        <v>244</v>
      </c>
      <c r="G4423" s="39">
        <v>42503</v>
      </c>
      <c r="J4423" t="s">
        <v>90</v>
      </c>
    </row>
    <row r="4424" spans="1:10" x14ac:dyDescent="0.35">
      <c r="A4424">
        <v>280030</v>
      </c>
      <c r="B4424" t="s">
        <v>820</v>
      </c>
      <c r="C4424" t="s">
        <v>92</v>
      </c>
      <c r="D4424" t="s">
        <v>780</v>
      </c>
      <c r="E4424" t="s">
        <v>548</v>
      </c>
      <c r="F4424" t="s">
        <v>244</v>
      </c>
      <c r="G4424" s="39">
        <v>43395</v>
      </c>
      <c r="J4424" t="s">
        <v>90</v>
      </c>
    </row>
    <row r="4425" spans="1:10" x14ac:dyDescent="0.35">
      <c r="A4425">
        <v>270017</v>
      </c>
      <c r="B4425" t="s">
        <v>820</v>
      </c>
      <c r="C4425" t="s">
        <v>92</v>
      </c>
      <c r="D4425" t="s">
        <v>780</v>
      </c>
      <c r="E4425" t="s">
        <v>799</v>
      </c>
      <c r="F4425" t="s">
        <v>244</v>
      </c>
      <c r="G4425" s="39">
        <v>36684</v>
      </c>
      <c r="J4425" t="s">
        <v>90</v>
      </c>
    </row>
    <row r="4426" spans="1:10" x14ac:dyDescent="0.35">
      <c r="A4426">
        <v>14390</v>
      </c>
      <c r="B4426" t="s">
        <v>820</v>
      </c>
      <c r="C4426" t="s">
        <v>92</v>
      </c>
      <c r="D4426" t="s">
        <v>780</v>
      </c>
      <c r="E4426" t="s">
        <v>496</v>
      </c>
      <c r="F4426" t="s">
        <v>411</v>
      </c>
      <c r="G4426" s="39">
        <v>44746</v>
      </c>
      <c r="J4426" t="s">
        <v>90</v>
      </c>
    </row>
    <row r="4427" spans="1:10" x14ac:dyDescent="0.35">
      <c r="A4427">
        <v>13631</v>
      </c>
      <c r="B4427" t="s">
        <v>820</v>
      </c>
      <c r="C4427" t="s">
        <v>92</v>
      </c>
      <c r="D4427" t="s">
        <v>780</v>
      </c>
      <c r="E4427" t="s">
        <v>821</v>
      </c>
      <c r="F4427" t="s">
        <v>411</v>
      </c>
      <c r="G4427" s="39">
        <v>44519</v>
      </c>
      <c r="J4427" t="s">
        <v>90</v>
      </c>
    </row>
    <row r="4428" spans="1:10" x14ac:dyDescent="0.35">
      <c r="A4428">
        <v>280036</v>
      </c>
      <c r="B4428" t="s">
        <v>820</v>
      </c>
      <c r="C4428" t="s">
        <v>92</v>
      </c>
      <c r="D4428" t="s">
        <v>780</v>
      </c>
      <c r="E4428" t="s">
        <v>782</v>
      </c>
      <c r="F4428" t="s">
        <v>244</v>
      </c>
      <c r="G4428" s="39">
        <v>44574</v>
      </c>
      <c r="J4428" t="s">
        <v>90</v>
      </c>
    </row>
    <row r="4429" spans="1:10" x14ac:dyDescent="0.35">
      <c r="A4429">
        <v>14916</v>
      </c>
      <c r="B4429" t="s">
        <v>820</v>
      </c>
      <c r="C4429" t="s">
        <v>92</v>
      </c>
      <c r="D4429" t="s">
        <v>780</v>
      </c>
      <c r="E4429" t="s">
        <v>782</v>
      </c>
      <c r="F4429" t="s">
        <v>245</v>
      </c>
      <c r="G4429" s="39">
        <v>44889</v>
      </c>
      <c r="J4429" t="s">
        <v>90</v>
      </c>
    </row>
    <row r="4430" spans="1:10" x14ac:dyDescent="0.35">
      <c r="A4430">
        <v>16403</v>
      </c>
      <c r="B4430" t="s">
        <v>820</v>
      </c>
      <c r="C4430" t="s">
        <v>92</v>
      </c>
      <c r="D4430" t="s">
        <v>780</v>
      </c>
      <c r="E4430" t="s">
        <v>821</v>
      </c>
      <c r="F4430" t="s">
        <v>244</v>
      </c>
      <c r="G4430" s="39">
        <v>45378</v>
      </c>
      <c r="J4430" t="s">
        <v>90</v>
      </c>
    </row>
    <row r="4431" spans="1:10" x14ac:dyDescent="0.35">
      <c r="A4431">
        <v>16358</v>
      </c>
      <c r="B4431" t="s">
        <v>820</v>
      </c>
      <c r="C4431" t="s">
        <v>92</v>
      </c>
      <c r="D4431" t="s">
        <v>780</v>
      </c>
      <c r="E4431" t="s">
        <v>496</v>
      </c>
      <c r="F4431" t="s">
        <v>244</v>
      </c>
      <c r="G4431" s="39">
        <v>45358</v>
      </c>
      <c r="J4431" t="s">
        <v>90</v>
      </c>
    </row>
    <row r="4432" spans="1:10" x14ac:dyDescent="0.35">
      <c r="A4432">
        <v>17231</v>
      </c>
      <c r="B4432" t="s">
        <v>820</v>
      </c>
      <c r="C4432" t="s">
        <v>92</v>
      </c>
      <c r="D4432" t="s">
        <v>780</v>
      </c>
      <c r="E4432" t="s">
        <v>496</v>
      </c>
      <c r="F4432" t="s">
        <v>244</v>
      </c>
      <c r="G4432" s="39">
        <v>45679</v>
      </c>
      <c r="J4432" t="s">
        <v>90</v>
      </c>
    </row>
    <row r="4433" spans="1:10" x14ac:dyDescent="0.35">
      <c r="A4433">
        <v>420033</v>
      </c>
      <c r="B4433" t="s">
        <v>822</v>
      </c>
      <c r="C4433" t="s">
        <v>92</v>
      </c>
      <c r="D4433" t="s">
        <v>92</v>
      </c>
      <c r="E4433" t="s">
        <v>464</v>
      </c>
      <c r="F4433" t="s">
        <v>245</v>
      </c>
      <c r="G4433" s="39">
        <v>42605</v>
      </c>
      <c r="J4433" t="s">
        <v>90</v>
      </c>
    </row>
    <row r="4434" spans="1:10" x14ac:dyDescent="0.35">
      <c r="A4434">
        <v>300169</v>
      </c>
      <c r="B4434" t="s">
        <v>822</v>
      </c>
      <c r="C4434" t="s">
        <v>92</v>
      </c>
      <c r="D4434" t="s">
        <v>780</v>
      </c>
      <c r="E4434" t="s">
        <v>548</v>
      </c>
      <c r="F4434" t="s">
        <v>244</v>
      </c>
      <c r="G4434" s="39">
        <v>43628</v>
      </c>
      <c r="J4434" t="s">
        <v>90</v>
      </c>
    </row>
    <row r="4435" spans="1:10" x14ac:dyDescent="0.35">
      <c r="A4435">
        <v>205006</v>
      </c>
      <c r="B4435" t="s">
        <v>822</v>
      </c>
      <c r="C4435" t="s">
        <v>92</v>
      </c>
      <c r="D4435" t="s">
        <v>780</v>
      </c>
      <c r="E4435" t="s">
        <v>548</v>
      </c>
      <c r="F4435" t="s">
        <v>244</v>
      </c>
      <c r="G4435" s="39">
        <v>44148</v>
      </c>
      <c r="J4435" t="s">
        <v>90</v>
      </c>
    </row>
    <row r="4436" spans="1:10" x14ac:dyDescent="0.35">
      <c r="A4436">
        <v>14532</v>
      </c>
      <c r="B4436" t="s">
        <v>822</v>
      </c>
      <c r="C4436" t="s">
        <v>92</v>
      </c>
      <c r="D4436" t="s">
        <v>780</v>
      </c>
      <c r="E4436" t="s">
        <v>782</v>
      </c>
      <c r="F4436" t="s">
        <v>244</v>
      </c>
      <c r="G4436" s="39">
        <v>44777</v>
      </c>
      <c r="J4436" t="s">
        <v>90</v>
      </c>
    </row>
    <row r="4437" spans="1:10" x14ac:dyDescent="0.35">
      <c r="A4437">
        <v>280029</v>
      </c>
      <c r="B4437" t="s">
        <v>822</v>
      </c>
      <c r="C4437" t="s">
        <v>92</v>
      </c>
      <c r="D4437" t="s">
        <v>780</v>
      </c>
      <c r="E4437" t="s">
        <v>782</v>
      </c>
      <c r="F4437" t="s">
        <v>244</v>
      </c>
      <c r="G4437" s="39">
        <v>43563</v>
      </c>
      <c r="J4437" t="s">
        <v>90</v>
      </c>
    </row>
    <row r="4438" spans="1:10" x14ac:dyDescent="0.35">
      <c r="A4438">
        <v>12731</v>
      </c>
      <c r="B4438" t="s">
        <v>822</v>
      </c>
      <c r="C4438" t="s">
        <v>92</v>
      </c>
      <c r="D4438" t="s">
        <v>780</v>
      </c>
      <c r="E4438" t="s">
        <v>496</v>
      </c>
      <c r="F4438" t="s">
        <v>244</v>
      </c>
      <c r="G4438" s="39">
        <v>43882</v>
      </c>
      <c r="J4438" t="s">
        <v>90</v>
      </c>
    </row>
    <row r="4439" spans="1:10" x14ac:dyDescent="0.35">
      <c r="A4439">
        <v>10970</v>
      </c>
      <c r="B4439" t="s">
        <v>533</v>
      </c>
      <c r="C4439" t="s">
        <v>92</v>
      </c>
      <c r="D4439" t="s">
        <v>92</v>
      </c>
      <c r="E4439" t="s">
        <v>464</v>
      </c>
      <c r="F4439" t="s">
        <v>244</v>
      </c>
      <c r="G4439" s="39">
        <v>42226</v>
      </c>
      <c r="J4439" t="s">
        <v>90</v>
      </c>
    </row>
    <row r="4440" spans="1:10" x14ac:dyDescent="0.35">
      <c r="A4440">
        <v>230031</v>
      </c>
      <c r="B4440" t="s">
        <v>533</v>
      </c>
      <c r="C4440" t="s">
        <v>92</v>
      </c>
      <c r="D4440" t="s">
        <v>780</v>
      </c>
      <c r="E4440" t="s">
        <v>406</v>
      </c>
      <c r="F4440" t="s">
        <v>244</v>
      </c>
      <c r="G4440" s="39">
        <v>42675</v>
      </c>
      <c r="J4440" t="s">
        <v>90</v>
      </c>
    </row>
    <row r="4441" spans="1:10" x14ac:dyDescent="0.35">
      <c r="A4441">
        <v>15067</v>
      </c>
      <c r="B4441" t="s">
        <v>533</v>
      </c>
      <c r="C4441" t="s">
        <v>92</v>
      </c>
      <c r="D4441" t="s">
        <v>780</v>
      </c>
      <c r="E4441" t="s">
        <v>477</v>
      </c>
      <c r="F4441" t="s">
        <v>244</v>
      </c>
      <c r="G4441" s="39">
        <v>44936</v>
      </c>
      <c r="J4441" t="s">
        <v>90</v>
      </c>
    </row>
    <row r="4442" spans="1:10" x14ac:dyDescent="0.35">
      <c r="A4442">
        <v>137018</v>
      </c>
      <c r="B4442" t="s">
        <v>533</v>
      </c>
      <c r="C4442" t="s">
        <v>92</v>
      </c>
      <c r="D4442" t="s">
        <v>780</v>
      </c>
      <c r="E4442" t="s">
        <v>477</v>
      </c>
      <c r="F4442" t="s">
        <v>411</v>
      </c>
      <c r="G4442" s="39">
        <v>44621</v>
      </c>
      <c r="J4442" t="s">
        <v>90</v>
      </c>
    </row>
    <row r="4443" spans="1:10" x14ac:dyDescent="0.35">
      <c r="A4443">
        <v>15028</v>
      </c>
      <c r="B4443" t="s">
        <v>533</v>
      </c>
      <c r="C4443" t="s">
        <v>92</v>
      </c>
      <c r="D4443" t="s">
        <v>780</v>
      </c>
      <c r="E4443" t="s">
        <v>477</v>
      </c>
      <c r="F4443" t="s">
        <v>244</v>
      </c>
      <c r="G4443" s="39">
        <v>44922</v>
      </c>
      <c r="J4443" t="s">
        <v>90</v>
      </c>
    </row>
    <row r="4444" spans="1:10" x14ac:dyDescent="0.35">
      <c r="A4444">
        <v>15577</v>
      </c>
      <c r="B4444" t="s">
        <v>533</v>
      </c>
      <c r="C4444" t="s">
        <v>92</v>
      </c>
      <c r="D4444" t="s">
        <v>780</v>
      </c>
      <c r="E4444" t="s">
        <v>477</v>
      </c>
      <c r="F4444" t="s">
        <v>244</v>
      </c>
      <c r="G4444" s="39">
        <v>45127</v>
      </c>
      <c r="J4444" t="s">
        <v>90</v>
      </c>
    </row>
    <row r="4445" spans="1:10" x14ac:dyDescent="0.35">
      <c r="A4445">
        <v>15161</v>
      </c>
      <c r="B4445" t="s">
        <v>533</v>
      </c>
      <c r="C4445" t="s">
        <v>92</v>
      </c>
      <c r="D4445" t="s">
        <v>780</v>
      </c>
      <c r="E4445" t="s">
        <v>473</v>
      </c>
      <c r="F4445" t="s">
        <v>244</v>
      </c>
      <c r="G4445" s="39">
        <v>44967</v>
      </c>
      <c r="J4445" t="s">
        <v>90</v>
      </c>
    </row>
    <row r="4446" spans="1:10" x14ac:dyDescent="0.35">
      <c r="A4446">
        <v>17009</v>
      </c>
      <c r="B4446" t="s">
        <v>533</v>
      </c>
      <c r="C4446" t="s">
        <v>92</v>
      </c>
      <c r="D4446" t="s">
        <v>780</v>
      </c>
      <c r="E4446" t="s">
        <v>473</v>
      </c>
      <c r="F4446" t="s">
        <v>244</v>
      </c>
      <c r="G4446" s="39">
        <v>45610</v>
      </c>
      <c r="J4446" t="s">
        <v>90</v>
      </c>
    </row>
    <row r="4447" spans="1:10" x14ac:dyDescent="0.35">
      <c r="A4447">
        <v>14703</v>
      </c>
      <c r="B4447" t="s">
        <v>533</v>
      </c>
      <c r="C4447" t="s">
        <v>92</v>
      </c>
      <c r="D4447" t="s">
        <v>780</v>
      </c>
      <c r="E4447" t="s">
        <v>473</v>
      </c>
      <c r="F4447" t="s">
        <v>244</v>
      </c>
      <c r="G4447" s="39">
        <v>44830</v>
      </c>
      <c r="J4447" t="s">
        <v>90</v>
      </c>
    </row>
    <row r="4448" spans="1:10" x14ac:dyDescent="0.35">
      <c r="A4448">
        <v>15747</v>
      </c>
      <c r="B4448" t="s">
        <v>533</v>
      </c>
      <c r="C4448" t="s">
        <v>92</v>
      </c>
      <c r="D4448" t="s">
        <v>780</v>
      </c>
      <c r="E4448" t="s">
        <v>531</v>
      </c>
      <c r="F4448" t="s">
        <v>244</v>
      </c>
      <c r="G4448" s="39">
        <v>45187</v>
      </c>
      <c r="J4448" t="s">
        <v>90</v>
      </c>
    </row>
    <row r="4449" spans="1:10" x14ac:dyDescent="0.35">
      <c r="A4449">
        <v>16841</v>
      </c>
      <c r="B4449" t="s">
        <v>533</v>
      </c>
      <c r="C4449" t="s">
        <v>92</v>
      </c>
      <c r="D4449" t="s">
        <v>780</v>
      </c>
      <c r="E4449" t="s">
        <v>530</v>
      </c>
      <c r="F4449" t="s">
        <v>244</v>
      </c>
      <c r="G4449" s="39">
        <v>45568</v>
      </c>
      <c r="J4449" t="s">
        <v>90</v>
      </c>
    </row>
    <row r="4450" spans="1:10" x14ac:dyDescent="0.35">
      <c r="A4450">
        <v>17397</v>
      </c>
      <c r="B4450" t="s">
        <v>533</v>
      </c>
      <c r="C4450" t="s">
        <v>92</v>
      </c>
      <c r="D4450" t="s">
        <v>780</v>
      </c>
      <c r="E4450" t="s">
        <v>474</v>
      </c>
      <c r="F4450" t="s">
        <v>244</v>
      </c>
      <c r="G4450" s="39">
        <v>45730</v>
      </c>
      <c r="J4450" t="s">
        <v>90</v>
      </c>
    </row>
    <row r="4451" spans="1:10" x14ac:dyDescent="0.35">
      <c r="A4451">
        <v>130027</v>
      </c>
      <c r="B4451" t="s">
        <v>533</v>
      </c>
      <c r="C4451" t="s">
        <v>92</v>
      </c>
      <c r="D4451" t="s">
        <v>791</v>
      </c>
      <c r="E4451" t="s">
        <v>122</v>
      </c>
      <c r="F4451" t="s">
        <v>244</v>
      </c>
      <c r="G4451" s="39">
        <v>36712</v>
      </c>
      <c r="J4451" t="s">
        <v>90</v>
      </c>
    </row>
    <row r="4452" spans="1:10" x14ac:dyDescent="0.35">
      <c r="A4452">
        <v>320021</v>
      </c>
      <c r="B4452" t="s">
        <v>825</v>
      </c>
      <c r="C4452" t="s">
        <v>92</v>
      </c>
      <c r="D4452" t="s">
        <v>92</v>
      </c>
      <c r="E4452" t="s">
        <v>464</v>
      </c>
      <c r="F4452" t="s">
        <v>244</v>
      </c>
      <c r="G4452" s="39">
        <v>42698</v>
      </c>
      <c r="J4452" t="s">
        <v>90</v>
      </c>
    </row>
    <row r="4453" spans="1:10" x14ac:dyDescent="0.35">
      <c r="A4453">
        <v>250038</v>
      </c>
      <c r="B4453" t="s">
        <v>825</v>
      </c>
      <c r="C4453" t="s">
        <v>92</v>
      </c>
      <c r="D4453" t="s">
        <v>780</v>
      </c>
      <c r="E4453" t="s">
        <v>151</v>
      </c>
      <c r="F4453" t="s">
        <v>244</v>
      </c>
      <c r="G4453" s="39">
        <v>43224</v>
      </c>
      <c r="J4453" t="s">
        <v>90</v>
      </c>
    </row>
    <row r="4454" spans="1:10" x14ac:dyDescent="0.35">
      <c r="A4454">
        <v>300085</v>
      </c>
      <c r="B4454" t="s">
        <v>825</v>
      </c>
      <c r="C4454" t="s">
        <v>92</v>
      </c>
      <c r="D4454" t="s">
        <v>780</v>
      </c>
      <c r="E4454" t="s">
        <v>406</v>
      </c>
      <c r="F4454" t="s">
        <v>244</v>
      </c>
      <c r="G4454" s="39">
        <v>42898</v>
      </c>
      <c r="J4454" t="s">
        <v>90</v>
      </c>
    </row>
    <row r="4455" spans="1:10" x14ac:dyDescent="0.35">
      <c r="A4455">
        <v>670039</v>
      </c>
      <c r="B4455" t="s">
        <v>825</v>
      </c>
      <c r="C4455" t="s">
        <v>92</v>
      </c>
      <c r="D4455" t="s">
        <v>780</v>
      </c>
      <c r="E4455" t="s">
        <v>406</v>
      </c>
      <c r="F4455" t="s">
        <v>244</v>
      </c>
      <c r="G4455" s="39">
        <v>43160</v>
      </c>
      <c r="J4455" t="s">
        <v>90</v>
      </c>
    </row>
    <row r="4456" spans="1:10" x14ac:dyDescent="0.35">
      <c r="A4456">
        <v>870024</v>
      </c>
      <c r="B4456" t="s">
        <v>825</v>
      </c>
      <c r="C4456" t="s">
        <v>92</v>
      </c>
      <c r="D4456" t="s">
        <v>780</v>
      </c>
      <c r="E4456" t="s">
        <v>406</v>
      </c>
      <c r="F4456" t="s">
        <v>244</v>
      </c>
      <c r="G4456" s="39">
        <v>41983</v>
      </c>
      <c r="J4456" t="s">
        <v>90</v>
      </c>
    </row>
    <row r="4457" spans="1:10" x14ac:dyDescent="0.35">
      <c r="A4457">
        <v>460033</v>
      </c>
      <c r="B4457" t="s">
        <v>825</v>
      </c>
      <c r="C4457" t="s">
        <v>92</v>
      </c>
      <c r="D4457" t="s">
        <v>780</v>
      </c>
      <c r="E4457" t="s">
        <v>406</v>
      </c>
      <c r="F4457" t="s">
        <v>244</v>
      </c>
      <c r="G4457" s="39">
        <v>43675</v>
      </c>
      <c r="J4457" t="s">
        <v>90</v>
      </c>
    </row>
    <row r="4458" spans="1:10" x14ac:dyDescent="0.35">
      <c r="A4458">
        <v>270040</v>
      </c>
      <c r="B4458" t="s">
        <v>825</v>
      </c>
      <c r="C4458" t="s">
        <v>92</v>
      </c>
      <c r="D4458" t="s">
        <v>780</v>
      </c>
      <c r="E4458" t="s">
        <v>406</v>
      </c>
      <c r="F4458" t="s">
        <v>244</v>
      </c>
      <c r="G4458" s="39">
        <v>43339</v>
      </c>
      <c r="J4458" t="s">
        <v>90</v>
      </c>
    </row>
    <row r="4459" spans="1:10" x14ac:dyDescent="0.35">
      <c r="A4459">
        <v>870029</v>
      </c>
      <c r="B4459" t="s">
        <v>825</v>
      </c>
      <c r="C4459" t="s">
        <v>92</v>
      </c>
      <c r="D4459" t="s">
        <v>780</v>
      </c>
      <c r="E4459" t="s">
        <v>406</v>
      </c>
      <c r="F4459" t="s">
        <v>244</v>
      </c>
      <c r="G4459" s="39">
        <v>43430</v>
      </c>
      <c r="J4459" t="s">
        <v>90</v>
      </c>
    </row>
    <row r="4460" spans="1:10" x14ac:dyDescent="0.35">
      <c r="A4460">
        <v>160037</v>
      </c>
      <c r="B4460" t="s">
        <v>825</v>
      </c>
      <c r="C4460" t="s">
        <v>92</v>
      </c>
      <c r="D4460" t="s">
        <v>780</v>
      </c>
      <c r="E4460" t="s">
        <v>406</v>
      </c>
      <c r="F4460" t="s">
        <v>244</v>
      </c>
      <c r="G4460" s="39">
        <v>42592</v>
      </c>
      <c r="J4460" t="s">
        <v>90</v>
      </c>
    </row>
    <row r="4461" spans="1:10" x14ac:dyDescent="0.35">
      <c r="A4461">
        <v>190051</v>
      </c>
      <c r="B4461" t="s">
        <v>825</v>
      </c>
      <c r="C4461" t="s">
        <v>92</v>
      </c>
      <c r="D4461" t="s">
        <v>780</v>
      </c>
      <c r="E4461" t="s">
        <v>406</v>
      </c>
      <c r="F4461" t="s">
        <v>244</v>
      </c>
      <c r="G4461" s="39">
        <v>44617</v>
      </c>
      <c r="J4461" t="s">
        <v>90</v>
      </c>
    </row>
    <row r="4462" spans="1:10" x14ac:dyDescent="0.35">
      <c r="A4462">
        <v>14243</v>
      </c>
      <c r="B4462" t="s">
        <v>825</v>
      </c>
      <c r="C4462" t="s">
        <v>92</v>
      </c>
      <c r="D4462" t="s">
        <v>780</v>
      </c>
      <c r="E4462" t="s">
        <v>477</v>
      </c>
      <c r="F4462" t="s">
        <v>244</v>
      </c>
      <c r="G4462" s="39">
        <v>44705</v>
      </c>
      <c r="J4462" t="s">
        <v>90</v>
      </c>
    </row>
    <row r="4463" spans="1:10" x14ac:dyDescent="0.35">
      <c r="A4463">
        <v>660038</v>
      </c>
      <c r="B4463" t="s">
        <v>825</v>
      </c>
      <c r="C4463" t="s">
        <v>92</v>
      </c>
      <c r="D4463" t="s">
        <v>780</v>
      </c>
      <c r="E4463" t="s">
        <v>406</v>
      </c>
      <c r="F4463" t="s">
        <v>244</v>
      </c>
      <c r="G4463" s="39">
        <v>43383</v>
      </c>
      <c r="J4463" t="s">
        <v>90</v>
      </c>
    </row>
    <row r="4464" spans="1:10" x14ac:dyDescent="0.35">
      <c r="A4464">
        <v>15233</v>
      </c>
      <c r="B4464" t="s">
        <v>825</v>
      </c>
      <c r="C4464" t="s">
        <v>92</v>
      </c>
      <c r="D4464" t="s">
        <v>780</v>
      </c>
      <c r="E4464" t="s">
        <v>477</v>
      </c>
      <c r="F4464" t="s">
        <v>244</v>
      </c>
      <c r="G4464" s="39">
        <v>44995</v>
      </c>
      <c r="J4464" t="s">
        <v>90</v>
      </c>
    </row>
    <row r="4465" spans="1:10" x14ac:dyDescent="0.35">
      <c r="A4465">
        <v>17093</v>
      </c>
      <c r="B4465" t="s">
        <v>825</v>
      </c>
      <c r="C4465" t="s">
        <v>92</v>
      </c>
      <c r="D4465" t="s">
        <v>780</v>
      </c>
      <c r="E4465" t="s">
        <v>477</v>
      </c>
      <c r="F4465" t="s">
        <v>244</v>
      </c>
      <c r="G4465" s="39">
        <v>45628</v>
      </c>
      <c r="J4465" t="s">
        <v>90</v>
      </c>
    </row>
    <row r="4466" spans="1:10" x14ac:dyDescent="0.35">
      <c r="A4466">
        <v>15383</v>
      </c>
      <c r="B4466" t="s">
        <v>825</v>
      </c>
      <c r="C4466" t="s">
        <v>92</v>
      </c>
      <c r="D4466" t="s">
        <v>780</v>
      </c>
      <c r="E4466" t="s">
        <v>473</v>
      </c>
      <c r="F4466" t="s">
        <v>244</v>
      </c>
      <c r="G4466" s="39">
        <v>45050</v>
      </c>
      <c r="J4466" t="s">
        <v>90</v>
      </c>
    </row>
    <row r="4467" spans="1:10" x14ac:dyDescent="0.35">
      <c r="A4467">
        <v>250051</v>
      </c>
      <c r="B4467" t="s">
        <v>825</v>
      </c>
      <c r="C4467" t="s">
        <v>92</v>
      </c>
      <c r="D4467" t="s">
        <v>780</v>
      </c>
      <c r="E4467" t="s">
        <v>473</v>
      </c>
      <c r="F4467" t="s">
        <v>244</v>
      </c>
      <c r="G4467" s="39">
        <v>44594</v>
      </c>
      <c r="J4467" t="s">
        <v>90</v>
      </c>
    </row>
    <row r="4468" spans="1:10" x14ac:dyDescent="0.35">
      <c r="A4468">
        <v>17142</v>
      </c>
      <c r="B4468" t="s">
        <v>825</v>
      </c>
      <c r="C4468" t="s">
        <v>92</v>
      </c>
      <c r="D4468" t="s">
        <v>780</v>
      </c>
      <c r="E4468" t="s">
        <v>473</v>
      </c>
      <c r="F4468" t="s">
        <v>244</v>
      </c>
      <c r="G4468" s="39">
        <v>45646</v>
      </c>
      <c r="J4468" t="s">
        <v>90</v>
      </c>
    </row>
    <row r="4469" spans="1:10" x14ac:dyDescent="0.35">
      <c r="A4469">
        <v>300058</v>
      </c>
      <c r="B4469" t="s">
        <v>825</v>
      </c>
      <c r="C4469" t="s">
        <v>92</v>
      </c>
      <c r="D4469" t="s">
        <v>780</v>
      </c>
      <c r="E4469" t="s">
        <v>506</v>
      </c>
      <c r="F4469" t="s">
        <v>244</v>
      </c>
      <c r="G4469" s="39">
        <v>42781</v>
      </c>
      <c r="J4469" t="s">
        <v>90</v>
      </c>
    </row>
    <row r="4470" spans="1:10" x14ac:dyDescent="0.35">
      <c r="A4470">
        <v>15294</v>
      </c>
      <c r="B4470" t="s">
        <v>825</v>
      </c>
      <c r="C4470" t="s">
        <v>92</v>
      </c>
      <c r="D4470" t="s">
        <v>780</v>
      </c>
      <c r="E4470" t="s">
        <v>530</v>
      </c>
      <c r="F4470" t="s">
        <v>244</v>
      </c>
      <c r="G4470" s="39">
        <v>45012</v>
      </c>
      <c r="J4470" t="s">
        <v>90</v>
      </c>
    </row>
    <row r="4471" spans="1:10" x14ac:dyDescent="0.35">
      <c r="A4471">
        <v>16336</v>
      </c>
      <c r="B4471" t="s">
        <v>825</v>
      </c>
      <c r="C4471" t="s">
        <v>92</v>
      </c>
      <c r="D4471" t="s">
        <v>780</v>
      </c>
      <c r="E4471" t="s">
        <v>530</v>
      </c>
      <c r="F4471" t="s">
        <v>244</v>
      </c>
      <c r="G4471" s="39">
        <v>45356</v>
      </c>
      <c r="J4471" t="s">
        <v>90</v>
      </c>
    </row>
    <row r="4472" spans="1:10" x14ac:dyDescent="0.35">
      <c r="A4472">
        <v>270024</v>
      </c>
      <c r="B4472" t="s">
        <v>825</v>
      </c>
      <c r="C4472" t="s">
        <v>92</v>
      </c>
      <c r="D4472" t="s">
        <v>780</v>
      </c>
      <c r="E4472" t="s">
        <v>548</v>
      </c>
      <c r="F4472" t="s">
        <v>244</v>
      </c>
      <c r="G4472" s="39">
        <v>38355</v>
      </c>
      <c r="J4472" t="s">
        <v>90</v>
      </c>
    </row>
    <row r="4473" spans="1:10" x14ac:dyDescent="0.35">
      <c r="A4473">
        <v>590019</v>
      </c>
      <c r="B4473" t="s">
        <v>825</v>
      </c>
      <c r="C4473" t="s">
        <v>92</v>
      </c>
      <c r="D4473" t="s">
        <v>780</v>
      </c>
      <c r="E4473" t="s">
        <v>496</v>
      </c>
      <c r="F4473" t="s">
        <v>244</v>
      </c>
      <c r="G4473" s="39">
        <v>43209</v>
      </c>
      <c r="J4473" t="s">
        <v>90</v>
      </c>
    </row>
    <row r="4474" spans="1:10" x14ac:dyDescent="0.35">
      <c r="A4474">
        <v>15309</v>
      </c>
      <c r="B4474" t="s">
        <v>825</v>
      </c>
      <c r="C4474" t="s">
        <v>92</v>
      </c>
      <c r="D4474" t="s">
        <v>780</v>
      </c>
      <c r="E4474" t="s">
        <v>487</v>
      </c>
      <c r="F4474" t="s">
        <v>411</v>
      </c>
      <c r="G4474" s="39">
        <v>45023</v>
      </c>
      <c r="J4474" t="s">
        <v>90</v>
      </c>
    </row>
    <row r="4475" spans="1:10" x14ac:dyDescent="0.35">
      <c r="A4475">
        <v>18472</v>
      </c>
      <c r="B4475" t="s">
        <v>825</v>
      </c>
      <c r="C4475" t="s">
        <v>92</v>
      </c>
      <c r="D4475" t="s">
        <v>780</v>
      </c>
      <c r="E4475" t="s">
        <v>826</v>
      </c>
      <c r="F4475" t="s">
        <v>244</v>
      </c>
      <c r="G4475" s="39">
        <v>46135</v>
      </c>
      <c r="J4475" t="s">
        <v>90</v>
      </c>
    </row>
    <row r="4476" spans="1:10" x14ac:dyDescent="0.35">
      <c r="A4476">
        <v>15994</v>
      </c>
      <c r="B4476" t="s">
        <v>825</v>
      </c>
      <c r="C4476" t="s">
        <v>92</v>
      </c>
      <c r="D4476" t="s">
        <v>827</v>
      </c>
      <c r="E4476" t="s">
        <v>151</v>
      </c>
      <c r="F4476" t="s">
        <v>244</v>
      </c>
      <c r="G4476" s="39">
        <v>45258</v>
      </c>
      <c r="J4476" t="s">
        <v>90</v>
      </c>
    </row>
    <row r="4477" spans="1:10" x14ac:dyDescent="0.35">
      <c r="A4477">
        <v>14152</v>
      </c>
      <c r="B4477" t="s">
        <v>825</v>
      </c>
      <c r="C4477" t="s">
        <v>92</v>
      </c>
      <c r="D4477" t="s">
        <v>827</v>
      </c>
      <c r="E4477" t="s">
        <v>102</v>
      </c>
      <c r="F4477" t="s">
        <v>244</v>
      </c>
      <c r="G4477" s="39">
        <v>44676</v>
      </c>
      <c r="J4477" t="s">
        <v>90</v>
      </c>
    </row>
    <row r="4478" spans="1:10" x14ac:dyDescent="0.35">
      <c r="A4478">
        <v>16521</v>
      </c>
      <c r="B4478" t="s">
        <v>825</v>
      </c>
      <c r="C4478" t="s">
        <v>92</v>
      </c>
      <c r="D4478" t="s">
        <v>827</v>
      </c>
      <c r="E4478" t="s">
        <v>103</v>
      </c>
      <c r="F4478" t="s">
        <v>244</v>
      </c>
      <c r="G4478" s="39">
        <v>45463</v>
      </c>
      <c r="J4478" t="s">
        <v>90</v>
      </c>
    </row>
    <row r="4479" spans="1:10" x14ac:dyDescent="0.35">
      <c r="A4479">
        <v>17422</v>
      </c>
      <c r="B4479" t="s">
        <v>825</v>
      </c>
      <c r="C4479" t="s">
        <v>92</v>
      </c>
      <c r="D4479" t="s">
        <v>827</v>
      </c>
      <c r="E4479" t="s">
        <v>103</v>
      </c>
      <c r="F4479" t="s">
        <v>244</v>
      </c>
      <c r="G4479" s="39">
        <v>45751</v>
      </c>
      <c r="J4479" t="s">
        <v>90</v>
      </c>
    </row>
    <row r="4480" spans="1:10" x14ac:dyDescent="0.35">
      <c r="A4480">
        <v>17982</v>
      </c>
      <c r="B4480" t="s">
        <v>825</v>
      </c>
      <c r="C4480" t="s">
        <v>92</v>
      </c>
      <c r="D4480" t="s">
        <v>827</v>
      </c>
      <c r="E4480" t="s">
        <v>106</v>
      </c>
      <c r="F4480" t="s">
        <v>244</v>
      </c>
      <c r="G4480" s="39">
        <v>45947</v>
      </c>
      <c r="J4480" t="s">
        <v>90</v>
      </c>
    </row>
    <row r="4481" spans="1:10" x14ac:dyDescent="0.35">
      <c r="A4481">
        <v>250042</v>
      </c>
      <c r="B4481" t="s">
        <v>825</v>
      </c>
      <c r="C4481" t="s">
        <v>92</v>
      </c>
      <c r="D4481" t="s">
        <v>791</v>
      </c>
      <c r="E4481" t="s">
        <v>122</v>
      </c>
      <c r="F4481" t="s">
        <v>244</v>
      </c>
      <c r="G4481" s="39">
        <v>43640</v>
      </c>
      <c r="J4481" t="s">
        <v>90</v>
      </c>
    </row>
    <row r="4482" spans="1:10" x14ac:dyDescent="0.35">
      <c r="A4482">
        <v>11210</v>
      </c>
      <c r="B4482" t="s">
        <v>472</v>
      </c>
      <c r="C4482" t="s">
        <v>92</v>
      </c>
      <c r="D4482" t="s">
        <v>92</v>
      </c>
      <c r="E4482" t="s">
        <v>464</v>
      </c>
      <c r="F4482" t="s">
        <v>244</v>
      </c>
      <c r="G4482" s="39">
        <v>42417</v>
      </c>
      <c r="J4482" t="s">
        <v>90</v>
      </c>
    </row>
    <row r="4483" spans="1:10" x14ac:dyDescent="0.35">
      <c r="A4483">
        <v>620029</v>
      </c>
      <c r="B4483" t="s">
        <v>472</v>
      </c>
      <c r="C4483" t="s">
        <v>92</v>
      </c>
      <c r="D4483" t="s">
        <v>780</v>
      </c>
      <c r="E4483" t="s">
        <v>506</v>
      </c>
      <c r="F4483" t="s">
        <v>244</v>
      </c>
      <c r="G4483" s="39">
        <v>43573</v>
      </c>
      <c r="J4483" t="s">
        <v>90</v>
      </c>
    </row>
    <row r="4484" spans="1:10" x14ac:dyDescent="0.35">
      <c r="A4484">
        <v>17908</v>
      </c>
      <c r="B4484" t="s">
        <v>472</v>
      </c>
      <c r="C4484" t="s">
        <v>92</v>
      </c>
      <c r="D4484" t="s">
        <v>780</v>
      </c>
      <c r="E4484" t="s">
        <v>530</v>
      </c>
      <c r="F4484" t="s">
        <v>244</v>
      </c>
      <c r="G4484" s="39">
        <v>45911</v>
      </c>
      <c r="J4484" t="s">
        <v>90</v>
      </c>
    </row>
    <row r="4485" spans="1:10" x14ac:dyDescent="0.35">
      <c r="A4485">
        <v>20044</v>
      </c>
      <c r="B4485" t="s">
        <v>472</v>
      </c>
      <c r="C4485" t="s">
        <v>92</v>
      </c>
      <c r="D4485" t="s">
        <v>780</v>
      </c>
      <c r="E4485" t="s">
        <v>577</v>
      </c>
      <c r="F4485" t="s">
        <v>244</v>
      </c>
      <c r="G4485" s="39">
        <v>43692</v>
      </c>
      <c r="J4485" t="s">
        <v>90</v>
      </c>
    </row>
    <row r="4486" spans="1:10" x14ac:dyDescent="0.35">
      <c r="A4486">
        <v>180038</v>
      </c>
      <c r="B4486" t="s">
        <v>472</v>
      </c>
      <c r="C4486" t="s">
        <v>92</v>
      </c>
      <c r="D4486" t="s">
        <v>780</v>
      </c>
      <c r="E4486" t="s">
        <v>406</v>
      </c>
      <c r="F4486" t="s">
        <v>244</v>
      </c>
      <c r="G4486" s="39">
        <v>42685</v>
      </c>
      <c r="J4486" t="s">
        <v>90</v>
      </c>
    </row>
    <row r="4487" spans="1:10" x14ac:dyDescent="0.35">
      <c r="A4487">
        <v>300182</v>
      </c>
      <c r="B4487" t="s">
        <v>472</v>
      </c>
      <c r="C4487" t="s">
        <v>92</v>
      </c>
      <c r="D4487" t="s">
        <v>780</v>
      </c>
      <c r="E4487" t="s">
        <v>406</v>
      </c>
      <c r="F4487" t="s">
        <v>244</v>
      </c>
      <c r="G4487" s="39">
        <v>43731</v>
      </c>
      <c r="J4487" t="s">
        <v>90</v>
      </c>
    </row>
    <row r="4488" spans="1:10" x14ac:dyDescent="0.35">
      <c r="A4488">
        <v>160019</v>
      </c>
      <c r="B4488" t="s">
        <v>472</v>
      </c>
      <c r="C4488" t="s">
        <v>92</v>
      </c>
      <c r="D4488" t="s">
        <v>780</v>
      </c>
      <c r="E4488" t="s">
        <v>477</v>
      </c>
      <c r="F4488" t="s">
        <v>244</v>
      </c>
      <c r="G4488" s="39">
        <v>39351</v>
      </c>
      <c r="J4488" t="s">
        <v>90</v>
      </c>
    </row>
    <row r="4489" spans="1:10" x14ac:dyDescent="0.35">
      <c r="A4489">
        <v>17132</v>
      </c>
      <c r="B4489" t="s">
        <v>472</v>
      </c>
      <c r="C4489" t="s">
        <v>92</v>
      </c>
      <c r="D4489" t="s">
        <v>780</v>
      </c>
      <c r="E4489" t="s">
        <v>474</v>
      </c>
      <c r="F4489" t="s">
        <v>244</v>
      </c>
      <c r="G4489" s="39">
        <v>45644</v>
      </c>
      <c r="J4489" t="s">
        <v>90</v>
      </c>
    </row>
    <row r="4490" spans="1:10" x14ac:dyDescent="0.35">
      <c r="A4490">
        <v>15810</v>
      </c>
      <c r="B4490" t="s">
        <v>472</v>
      </c>
      <c r="C4490" t="s">
        <v>92</v>
      </c>
      <c r="D4490" t="s">
        <v>791</v>
      </c>
      <c r="E4490" t="s">
        <v>122</v>
      </c>
      <c r="F4490" t="s">
        <v>244</v>
      </c>
      <c r="G4490" s="39">
        <v>45201</v>
      </c>
      <c r="J4490" t="s">
        <v>90</v>
      </c>
    </row>
    <row r="4491" spans="1:10" x14ac:dyDescent="0.35">
      <c r="A4491">
        <v>500002</v>
      </c>
      <c r="B4491" t="s">
        <v>829</v>
      </c>
      <c r="C4491" t="s">
        <v>92</v>
      </c>
      <c r="D4491" t="s">
        <v>92</v>
      </c>
      <c r="E4491" t="s">
        <v>464</v>
      </c>
      <c r="F4491" t="s">
        <v>244</v>
      </c>
      <c r="G4491" s="39">
        <v>40851</v>
      </c>
      <c r="J4491" t="s">
        <v>90</v>
      </c>
    </row>
    <row r="4492" spans="1:10" x14ac:dyDescent="0.35">
      <c r="A4492">
        <v>980003</v>
      </c>
      <c r="B4492" t="s">
        <v>829</v>
      </c>
      <c r="C4492" t="s">
        <v>92</v>
      </c>
      <c r="D4492" t="s">
        <v>780</v>
      </c>
      <c r="E4492" t="s">
        <v>506</v>
      </c>
      <c r="F4492" t="s">
        <v>244</v>
      </c>
      <c r="G4492" s="39">
        <v>40452</v>
      </c>
      <c r="J4492" t="s">
        <v>90</v>
      </c>
    </row>
    <row r="4493" spans="1:10" x14ac:dyDescent="0.35">
      <c r="A4493">
        <v>17773</v>
      </c>
      <c r="B4493" t="s">
        <v>829</v>
      </c>
      <c r="C4493" t="s">
        <v>92</v>
      </c>
      <c r="D4493" t="s">
        <v>780</v>
      </c>
      <c r="E4493" t="s">
        <v>530</v>
      </c>
      <c r="F4493" t="s">
        <v>244</v>
      </c>
      <c r="G4493" s="39">
        <v>45875</v>
      </c>
      <c r="J4493" t="s">
        <v>90</v>
      </c>
    </row>
    <row r="4494" spans="1:10" x14ac:dyDescent="0.35">
      <c r="A4494">
        <v>150024</v>
      </c>
      <c r="B4494" t="s">
        <v>829</v>
      </c>
      <c r="C4494" t="s">
        <v>92</v>
      </c>
      <c r="D4494" t="s">
        <v>780</v>
      </c>
      <c r="E4494" t="s">
        <v>151</v>
      </c>
      <c r="F4494" t="s">
        <v>244</v>
      </c>
      <c r="G4494" s="39">
        <v>41745</v>
      </c>
      <c r="J4494" t="s">
        <v>90</v>
      </c>
    </row>
    <row r="4495" spans="1:10" x14ac:dyDescent="0.35">
      <c r="A4495">
        <v>170045</v>
      </c>
      <c r="B4495" t="s">
        <v>829</v>
      </c>
      <c r="C4495" t="s">
        <v>92</v>
      </c>
      <c r="D4495" t="s">
        <v>780</v>
      </c>
      <c r="E4495" t="s">
        <v>406</v>
      </c>
      <c r="F4495" t="s">
        <v>244</v>
      </c>
      <c r="G4495" s="39">
        <v>44607</v>
      </c>
      <c r="J4495" t="s">
        <v>90</v>
      </c>
    </row>
    <row r="4496" spans="1:10" x14ac:dyDescent="0.35">
      <c r="A4496">
        <v>300179</v>
      </c>
      <c r="B4496" t="s">
        <v>829</v>
      </c>
      <c r="C4496" t="s">
        <v>92</v>
      </c>
      <c r="D4496" t="s">
        <v>780</v>
      </c>
      <c r="E4496" t="s">
        <v>406</v>
      </c>
      <c r="F4496" t="s">
        <v>244</v>
      </c>
      <c r="G4496" s="39">
        <v>43717</v>
      </c>
      <c r="J4496" t="s">
        <v>90</v>
      </c>
    </row>
    <row r="4497" spans="1:10" x14ac:dyDescent="0.35">
      <c r="A4497">
        <v>470042</v>
      </c>
      <c r="B4497" t="s">
        <v>829</v>
      </c>
      <c r="C4497" t="s">
        <v>92</v>
      </c>
      <c r="D4497" t="s">
        <v>780</v>
      </c>
      <c r="E4497" t="s">
        <v>406</v>
      </c>
      <c r="F4497" t="s">
        <v>245</v>
      </c>
      <c r="G4497" s="39">
        <v>43824</v>
      </c>
      <c r="J4497" t="s">
        <v>90</v>
      </c>
    </row>
    <row r="4498" spans="1:10" x14ac:dyDescent="0.35">
      <c r="A4498">
        <v>14626</v>
      </c>
      <c r="B4498" t="s">
        <v>829</v>
      </c>
      <c r="C4498" t="s">
        <v>92</v>
      </c>
      <c r="D4498" t="s">
        <v>780</v>
      </c>
      <c r="E4498" t="s">
        <v>477</v>
      </c>
      <c r="F4498" t="s">
        <v>244</v>
      </c>
      <c r="G4498" s="39">
        <v>44810</v>
      </c>
      <c r="J4498" t="s">
        <v>90</v>
      </c>
    </row>
    <row r="4499" spans="1:10" x14ac:dyDescent="0.35">
      <c r="A4499">
        <v>550029</v>
      </c>
      <c r="B4499" t="s">
        <v>829</v>
      </c>
      <c r="C4499" t="s">
        <v>92</v>
      </c>
      <c r="D4499" t="s">
        <v>780</v>
      </c>
      <c r="E4499" t="s">
        <v>477</v>
      </c>
      <c r="F4499" t="s">
        <v>244</v>
      </c>
      <c r="G4499" s="39">
        <v>42500</v>
      </c>
      <c r="J4499" t="s">
        <v>90</v>
      </c>
    </row>
    <row r="4500" spans="1:10" x14ac:dyDescent="0.35">
      <c r="A4500">
        <v>440053</v>
      </c>
      <c r="B4500" t="s">
        <v>829</v>
      </c>
      <c r="C4500" t="s">
        <v>92</v>
      </c>
      <c r="D4500" t="s">
        <v>780</v>
      </c>
      <c r="E4500" t="s">
        <v>406</v>
      </c>
      <c r="F4500" t="s">
        <v>244</v>
      </c>
      <c r="G4500" s="39">
        <v>44587</v>
      </c>
      <c r="J4500" t="s">
        <v>90</v>
      </c>
    </row>
    <row r="4501" spans="1:10" x14ac:dyDescent="0.35">
      <c r="A4501">
        <v>14300</v>
      </c>
      <c r="B4501" t="s">
        <v>829</v>
      </c>
      <c r="C4501" t="s">
        <v>92</v>
      </c>
      <c r="D4501" t="s">
        <v>780</v>
      </c>
      <c r="E4501" t="s">
        <v>477</v>
      </c>
      <c r="F4501" t="s">
        <v>244</v>
      </c>
      <c r="G4501" s="39">
        <v>44720</v>
      </c>
      <c r="J4501" t="s">
        <v>90</v>
      </c>
    </row>
    <row r="4502" spans="1:10" x14ac:dyDescent="0.35">
      <c r="A4502">
        <v>300241</v>
      </c>
      <c r="B4502" t="s">
        <v>829</v>
      </c>
      <c r="C4502" t="s">
        <v>92</v>
      </c>
      <c r="D4502" t="s">
        <v>780</v>
      </c>
      <c r="E4502" t="s">
        <v>473</v>
      </c>
      <c r="F4502" t="s">
        <v>244</v>
      </c>
      <c r="G4502" s="39">
        <v>44536</v>
      </c>
      <c r="J4502" t="s">
        <v>90</v>
      </c>
    </row>
    <row r="4503" spans="1:10" x14ac:dyDescent="0.35">
      <c r="A4503">
        <v>18340</v>
      </c>
      <c r="B4503" t="s">
        <v>829</v>
      </c>
      <c r="C4503" t="s">
        <v>92</v>
      </c>
      <c r="D4503" t="s">
        <v>780</v>
      </c>
      <c r="E4503" t="s">
        <v>475</v>
      </c>
      <c r="F4503" t="s">
        <v>244</v>
      </c>
      <c r="G4503" s="39">
        <v>46097</v>
      </c>
      <c r="J4503" t="s">
        <v>90</v>
      </c>
    </row>
    <row r="4504" spans="1:10" x14ac:dyDescent="0.35">
      <c r="A4504">
        <v>930005</v>
      </c>
      <c r="B4504" t="s">
        <v>829</v>
      </c>
      <c r="C4504" t="s">
        <v>92</v>
      </c>
      <c r="D4504" t="s">
        <v>791</v>
      </c>
      <c r="E4504" t="s">
        <v>122</v>
      </c>
      <c r="F4504" t="s">
        <v>244</v>
      </c>
      <c r="G4504" s="39">
        <v>44537</v>
      </c>
      <c r="J4504" t="s">
        <v>90</v>
      </c>
    </row>
    <row r="4505" spans="1:10" x14ac:dyDescent="0.35">
      <c r="A4505">
        <v>14518</v>
      </c>
      <c r="B4505" t="s">
        <v>829</v>
      </c>
      <c r="C4505" t="s">
        <v>92</v>
      </c>
      <c r="D4505" t="s">
        <v>827</v>
      </c>
      <c r="E4505" t="s">
        <v>151</v>
      </c>
      <c r="F4505" t="s">
        <v>244</v>
      </c>
      <c r="G4505" s="39">
        <v>44776</v>
      </c>
      <c r="J4505" t="s">
        <v>90</v>
      </c>
    </row>
    <row r="4506" spans="1:10" x14ac:dyDescent="0.35">
      <c r="A4506">
        <v>930011</v>
      </c>
      <c r="B4506" t="s">
        <v>829</v>
      </c>
      <c r="C4506" t="s">
        <v>92</v>
      </c>
      <c r="D4506" t="s">
        <v>827</v>
      </c>
      <c r="E4506" t="s">
        <v>109</v>
      </c>
      <c r="F4506" t="s">
        <v>244</v>
      </c>
      <c r="G4506" s="39">
        <v>44608</v>
      </c>
      <c r="J4506" t="s">
        <v>90</v>
      </c>
    </row>
    <row r="4507" spans="1:10" x14ac:dyDescent="0.35">
      <c r="A4507">
        <v>12389</v>
      </c>
      <c r="B4507" t="s">
        <v>829</v>
      </c>
      <c r="C4507" t="s">
        <v>92</v>
      </c>
      <c r="D4507" t="s">
        <v>827</v>
      </c>
      <c r="E4507" t="s">
        <v>109</v>
      </c>
      <c r="F4507" t="s">
        <v>244</v>
      </c>
      <c r="G4507" s="39">
        <v>43727</v>
      </c>
      <c r="J4507" t="s">
        <v>90</v>
      </c>
    </row>
    <row r="4508" spans="1:10" x14ac:dyDescent="0.35">
      <c r="A4508">
        <v>930008</v>
      </c>
      <c r="B4508" t="s">
        <v>829</v>
      </c>
      <c r="C4508" t="s">
        <v>92</v>
      </c>
      <c r="D4508" t="s">
        <v>827</v>
      </c>
      <c r="E4508" t="s">
        <v>109</v>
      </c>
      <c r="F4508" t="s">
        <v>244</v>
      </c>
      <c r="G4508" s="39">
        <v>44567</v>
      </c>
      <c r="J4508" t="s">
        <v>90</v>
      </c>
    </row>
    <row r="4509" spans="1:10" x14ac:dyDescent="0.35">
      <c r="A4509">
        <v>17680</v>
      </c>
      <c r="B4509" t="s">
        <v>829</v>
      </c>
      <c r="C4509" t="s">
        <v>92</v>
      </c>
      <c r="D4509" t="s">
        <v>827</v>
      </c>
      <c r="E4509" t="s">
        <v>103</v>
      </c>
      <c r="F4509" t="s">
        <v>244</v>
      </c>
      <c r="G4509" s="39">
        <v>45842</v>
      </c>
      <c r="J4509" t="s">
        <v>90</v>
      </c>
    </row>
    <row r="4510" spans="1:10" x14ac:dyDescent="0.35">
      <c r="A4510">
        <v>11829</v>
      </c>
      <c r="B4510" t="s">
        <v>830</v>
      </c>
      <c r="C4510" t="s">
        <v>92</v>
      </c>
      <c r="D4510" t="s">
        <v>92</v>
      </c>
      <c r="E4510" t="s">
        <v>464</v>
      </c>
      <c r="F4510" t="s">
        <v>244</v>
      </c>
      <c r="G4510" s="39">
        <v>43168</v>
      </c>
      <c r="J4510" t="s">
        <v>90</v>
      </c>
    </row>
    <row r="4511" spans="1:10" x14ac:dyDescent="0.35">
      <c r="A4511">
        <v>220024</v>
      </c>
      <c r="B4511" t="s">
        <v>830</v>
      </c>
      <c r="C4511" t="s">
        <v>92</v>
      </c>
      <c r="D4511" t="s">
        <v>780</v>
      </c>
      <c r="E4511" t="s">
        <v>151</v>
      </c>
      <c r="F4511" t="s">
        <v>244</v>
      </c>
      <c r="G4511" s="39">
        <v>42604</v>
      </c>
      <c r="J4511" t="s">
        <v>90</v>
      </c>
    </row>
    <row r="4512" spans="1:10" x14ac:dyDescent="0.35">
      <c r="A4512">
        <v>420037</v>
      </c>
      <c r="B4512" t="s">
        <v>830</v>
      </c>
      <c r="C4512" t="s">
        <v>92</v>
      </c>
      <c r="D4512" t="s">
        <v>780</v>
      </c>
      <c r="E4512" t="s">
        <v>506</v>
      </c>
      <c r="F4512" t="s">
        <v>244</v>
      </c>
      <c r="G4512" s="39">
        <v>42772</v>
      </c>
      <c r="J4512" t="s">
        <v>90</v>
      </c>
    </row>
    <row r="4513" spans="1:10" x14ac:dyDescent="0.35">
      <c r="A4513">
        <v>15159</v>
      </c>
      <c r="B4513" t="s">
        <v>830</v>
      </c>
      <c r="C4513" t="s">
        <v>92</v>
      </c>
      <c r="D4513" t="s">
        <v>780</v>
      </c>
      <c r="E4513" t="s">
        <v>531</v>
      </c>
      <c r="F4513" t="s">
        <v>244</v>
      </c>
      <c r="G4513" s="39">
        <v>44967</v>
      </c>
      <c r="J4513" t="s">
        <v>90</v>
      </c>
    </row>
    <row r="4514" spans="1:10" x14ac:dyDescent="0.35">
      <c r="A4514">
        <v>18070</v>
      </c>
      <c r="B4514" t="s">
        <v>830</v>
      </c>
      <c r="C4514" t="s">
        <v>92</v>
      </c>
      <c r="D4514" t="s">
        <v>780</v>
      </c>
      <c r="E4514" t="s">
        <v>530</v>
      </c>
      <c r="F4514" t="s">
        <v>244</v>
      </c>
      <c r="G4514" s="39">
        <v>45982</v>
      </c>
      <c r="J4514" t="s">
        <v>90</v>
      </c>
    </row>
    <row r="4515" spans="1:10" x14ac:dyDescent="0.35">
      <c r="A4515">
        <v>300153</v>
      </c>
      <c r="B4515" t="s">
        <v>830</v>
      </c>
      <c r="C4515" t="s">
        <v>92</v>
      </c>
      <c r="D4515" t="s">
        <v>780</v>
      </c>
      <c r="E4515" t="s">
        <v>406</v>
      </c>
      <c r="F4515" t="s">
        <v>244</v>
      </c>
      <c r="G4515" s="39">
        <v>43493</v>
      </c>
      <c r="J4515" t="s">
        <v>90</v>
      </c>
    </row>
    <row r="4516" spans="1:10" x14ac:dyDescent="0.35">
      <c r="A4516">
        <v>670033</v>
      </c>
      <c r="B4516" t="s">
        <v>830</v>
      </c>
      <c r="C4516" t="s">
        <v>92</v>
      </c>
      <c r="D4516" t="s">
        <v>780</v>
      </c>
      <c r="E4516" t="s">
        <v>406</v>
      </c>
      <c r="F4516" t="s">
        <v>244</v>
      </c>
      <c r="G4516" s="39">
        <v>42562</v>
      </c>
      <c r="J4516" t="s">
        <v>90</v>
      </c>
    </row>
    <row r="4517" spans="1:10" x14ac:dyDescent="0.35">
      <c r="A4517">
        <v>300067</v>
      </c>
      <c r="B4517" t="s">
        <v>830</v>
      </c>
      <c r="C4517" t="s">
        <v>92</v>
      </c>
      <c r="D4517" t="s">
        <v>780</v>
      </c>
      <c r="E4517" t="s">
        <v>406</v>
      </c>
      <c r="F4517" t="s">
        <v>244</v>
      </c>
      <c r="G4517" s="39">
        <v>42809</v>
      </c>
      <c r="J4517" t="s">
        <v>90</v>
      </c>
    </row>
    <row r="4518" spans="1:10" x14ac:dyDescent="0.35">
      <c r="A4518">
        <v>180042</v>
      </c>
      <c r="B4518" t="s">
        <v>830</v>
      </c>
      <c r="C4518" t="s">
        <v>92</v>
      </c>
      <c r="D4518" t="s">
        <v>780</v>
      </c>
      <c r="E4518" t="s">
        <v>406</v>
      </c>
      <c r="F4518" t="s">
        <v>244</v>
      </c>
      <c r="G4518" s="39">
        <v>42709</v>
      </c>
      <c r="J4518" t="s">
        <v>90</v>
      </c>
    </row>
    <row r="4519" spans="1:10" x14ac:dyDescent="0.35">
      <c r="A4519">
        <v>400031</v>
      </c>
      <c r="B4519" t="s">
        <v>830</v>
      </c>
      <c r="C4519" t="s">
        <v>92</v>
      </c>
      <c r="D4519" t="s">
        <v>780</v>
      </c>
      <c r="E4519" t="s">
        <v>406</v>
      </c>
      <c r="F4519" t="s">
        <v>244</v>
      </c>
      <c r="G4519" s="39">
        <v>41835</v>
      </c>
      <c r="J4519" t="s">
        <v>90</v>
      </c>
    </row>
    <row r="4520" spans="1:10" x14ac:dyDescent="0.35">
      <c r="A4520">
        <v>230017</v>
      </c>
      <c r="B4520" t="s">
        <v>830</v>
      </c>
      <c r="C4520" t="s">
        <v>92</v>
      </c>
      <c r="D4520" t="s">
        <v>780</v>
      </c>
      <c r="E4520" t="s">
        <v>406</v>
      </c>
      <c r="F4520" t="s">
        <v>244</v>
      </c>
      <c r="G4520" s="39">
        <v>41311</v>
      </c>
      <c r="J4520" t="s">
        <v>90</v>
      </c>
    </row>
    <row r="4521" spans="1:10" x14ac:dyDescent="0.35">
      <c r="A4521">
        <v>300097</v>
      </c>
      <c r="B4521" t="s">
        <v>830</v>
      </c>
      <c r="C4521" t="s">
        <v>92</v>
      </c>
      <c r="D4521" t="s">
        <v>780</v>
      </c>
      <c r="E4521" t="s">
        <v>406</v>
      </c>
      <c r="F4521" t="s">
        <v>244</v>
      </c>
      <c r="G4521" s="39">
        <v>42942</v>
      </c>
      <c r="J4521" t="s">
        <v>90</v>
      </c>
    </row>
    <row r="4522" spans="1:10" x14ac:dyDescent="0.35">
      <c r="A4522">
        <v>137017</v>
      </c>
      <c r="B4522" t="s">
        <v>830</v>
      </c>
      <c r="C4522" t="s">
        <v>92</v>
      </c>
      <c r="D4522" t="s">
        <v>780</v>
      </c>
      <c r="E4522" t="s">
        <v>406</v>
      </c>
      <c r="F4522" t="s">
        <v>244</v>
      </c>
      <c r="G4522" s="39">
        <v>44587</v>
      </c>
      <c r="J4522" t="s">
        <v>90</v>
      </c>
    </row>
    <row r="4523" spans="1:10" x14ac:dyDescent="0.35">
      <c r="A4523">
        <v>210022</v>
      </c>
      <c r="B4523" t="s">
        <v>830</v>
      </c>
      <c r="C4523" t="s">
        <v>92</v>
      </c>
      <c r="D4523" t="s">
        <v>780</v>
      </c>
      <c r="E4523" t="s">
        <v>406</v>
      </c>
      <c r="F4523" t="s">
        <v>244</v>
      </c>
      <c r="G4523" s="39">
        <v>39916</v>
      </c>
      <c r="J4523" t="s">
        <v>90</v>
      </c>
    </row>
    <row r="4524" spans="1:10" x14ac:dyDescent="0.35">
      <c r="A4524">
        <v>300143</v>
      </c>
      <c r="B4524" t="s">
        <v>830</v>
      </c>
      <c r="C4524" t="s">
        <v>92</v>
      </c>
      <c r="D4524" t="s">
        <v>780</v>
      </c>
      <c r="E4524" t="s">
        <v>406</v>
      </c>
      <c r="F4524" t="s">
        <v>244</v>
      </c>
      <c r="G4524" s="39">
        <v>43354</v>
      </c>
      <c r="J4524" t="s">
        <v>90</v>
      </c>
    </row>
    <row r="4525" spans="1:10" x14ac:dyDescent="0.35">
      <c r="A4525">
        <v>300260</v>
      </c>
      <c r="B4525" t="s">
        <v>830</v>
      </c>
      <c r="C4525" t="s">
        <v>92</v>
      </c>
      <c r="D4525" t="s">
        <v>780</v>
      </c>
      <c r="E4525" t="s">
        <v>477</v>
      </c>
      <c r="F4525" t="s">
        <v>244</v>
      </c>
      <c r="G4525" s="39">
        <v>44635</v>
      </c>
      <c r="J4525" t="s">
        <v>90</v>
      </c>
    </row>
    <row r="4526" spans="1:10" x14ac:dyDescent="0.35">
      <c r="A4526">
        <v>14995</v>
      </c>
      <c r="B4526" t="s">
        <v>830</v>
      </c>
      <c r="C4526" t="s">
        <v>92</v>
      </c>
      <c r="D4526" t="s">
        <v>780</v>
      </c>
      <c r="E4526" t="s">
        <v>477</v>
      </c>
      <c r="F4526" t="s">
        <v>244</v>
      </c>
      <c r="G4526" s="39">
        <v>44910</v>
      </c>
      <c r="J4526" t="s">
        <v>90</v>
      </c>
    </row>
    <row r="4527" spans="1:10" x14ac:dyDescent="0.35">
      <c r="A4527">
        <v>210039</v>
      </c>
      <c r="B4527" t="s">
        <v>830</v>
      </c>
      <c r="C4527" t="s">
        <v>92</v>
      </c>
      <c r="D4527" t="s">
        <v>780</v>
      </c>
      <c r="E4527" t="s">
        <v>477</v>
      </c>
      <c r="F4527" t="s">
        <v>244</v>
      </c>
      <c r="G4527" s="39">
        <v>44487</v>
      </c>
      <c r="J4527" t="s">
        <v>90</v>
      </c>
    </row>
    <row r="4528" spans="1:10" x14ac:dyDescent="0.35">
      <c r="A4528">
        <v>220031</v>
      </c>
      <c r="B4528" t="s">
        <v>830</v>
      </c>
      <c r="C4528" t="s">
        <v>92</v>
      </c>
      <c r="D4528" t="s">
        <v>780</v>
      </c>
      <c r="E4528" t="s">
        <v>406</v>
      </c>
      <c r="F4528" t="s">
        <v>244</v>
      </c>
      <c r="G4528" s="39">
        <v>43699</v>
      </c>
      <c r="J4528" t="s">
        <v>90</v>
      </c>
    </row>
    <row r="4529" spans="1:10" x14ac:dyDescent="0.35">
      <c r="A4529">
        <v>300219</v>
      </c>
      <c r="B4529" t="s">
        <v>830</v>
      </c>
      <c r="C4529" t="s">
        <v>92</v>
      </c>
      <c r="D4529" t="s">
        <v>780</v>
      </c>
      <c r="E4529" t="s">
        <v>477</v>
      </c>
      <c r="F4529" t="s">
        <v>244</v>
      </c>
      <c r="G4529" s="39">
        <v>44172</v>
      </c>
      <c r="J4529" t="s">
        <v>90</v>
      </c>
    </row>
    <row r="4530" spans="1:10" x14ac:dyDescent="0.35">
      <c r="A4530">
        <v>15836</v>
      </c>
      <c r="B4530" t="s">
        <v>830</v>
      </c>
      <c r="C4530" t="s">
        <v>92</v>
      </c>
      <c r="D4530" t="s">
        <v>780</v>
      </c>
      <c r="E4530" t="s">
        <v>473</v>
      </c>
      <c r="F4530" t="s">
        <v>411</v>
      </c>
      <c r="G4530" s="39">
        <v>45210</v>
      </c>
      <c r="J4530" t="s">
        <v>90</v>
      </c>
    </row>
    <row r="4531" spans="1:10" x14ac:dyDescent="0.35">
      <c r="A4531">
        <v>16295</v>
      </c>
      <c r="B4531" t="s">
        <v>830</v>
      </c>
      <c r="C4531" t="s">
        <v>92</v>
      </c>
      <c r="D4531" t="s">
        <v>780</v>
      </c>
      <c r="E4531" t="s">
        <v>832</v>
      </c>
      <c r="F4531" t="s">
        <v>244</v>
      </c>
      <c r="G4531" s="39">
        <v>45341</v>
      </c>
      <c r="J4531" t="s">
        <v>90</v>
      </c>
    </row>
    <row r="4532" spans="1:10" x14ac:dyDescent="0.35">
      <c r="A4532">
        <v>16371</v>
      </c>
      <c r="B4532" t="s">
        <v>830</v>
      </c>
      <c r="C4532" t="s">
        <v>92</v>
      </c>
      <c r="D4532" t="s">
        <v>780</v>
      </c>
      <c r="E4532" t="s">
        <v>474</v>
      </c>
      <c r="F4532" t="s">
        <v>244</v>
      </c>
      <c r="G4532" s="39">
        <v>45363</v>
      </c>
      <c r="J4532" t="s">
        <v>90</v>
      </c>
    </row>
    <row r="4533" spans="1:10" x14ac:dyDescent="0.35">
      <c r="A4533">
        <v>137009</v>
      </c>
      <c r="B4533" t="s">
        <v>830</v>
      </c>
      <c r="C4533" t="s">
        <v>92</v>
      </c>
      <c r="D4533" t="s">
        <v>827</v>
      </c>
      <c r="E4533" t="s">
        <v>151</v>
      </c>
      <c r="F4533" t="s">
        <v>244</v>
      </c>
      <c r="G4533" s="39">
        <v>44354</v>
      </c>
      <c r="J4533" t="s">
        <v>90</v>
      </c>
    </row>
    <row r="4534" spans="1:10" x14ac:dyDescent="0.35">
      <c r="A4534">
        <v>230049</v>
      </c>
      <c r="B4534" t="s">
        <v>830</v>
      </c>
      <c r="C4534" t="s">
        <v>92</v>
      </c>
      <c r="D4534" t="s">
        <v>827</v>
      </c>
      <c r="E4534" t="s">
        <v>109</v>
      </c>
      <c r="F4534" t="s">
        <v>244</v>
      </c>
      <c r="G4534" s="39">
        <v>44625</v>
      </c>
      <c r="J4534" t="s">
        <v>90</v>
      </c>
    </row>
    <row r="4535" spans="1:10" x14ac:dyDescent="0.35">
      <c r="A4535">
        <v>15857</v>
      </c>
      <c r="B4535" t="s">
        <v>830</v>
      </c>
      <c r="C4535" t="s">
        <v>92</v>
      </c>
      <c r="D4535" t="s">
        <v>827</v>
      </c>
      <c r="E4535" t="s">
        <v>103</v>
      </c>
      <c r="F4535" t="s">
        <v>244</v>
      </c>
      <c r="G4535" s="39">
        <v>45219</v>
      </c>
      <c r="J4535" t="s">
        <v>90</v>
      </c>
    </row>
    <row r="4536" spans="1:10" x14ac:dyDescent="0.35">
      <c r="A4536">
        <v>18491</v>
      </c>
      <c r="B4536" t="s">
        <v>830</v>
      </c>
      <c r="C4536" t="s">
        <v>92</v>
      </c>
      <c r="D4536" t="s">
        <v>827</v>
      </c>
      <c r="E4536" t="s">
        <v>106</v>
      </c>
      <c r="F4536" t="s">
        <v>244</v>
      </c>
      <c r="G4536" s="39">
        <v>46143</v>
      </c>
      <c r="J4536" t="s">
        <v>90</v>
      </c>
    </row>
    <row r="4537" spans="1:10" x14ac:dyDescent="0.35">
      <c r="A4537">
        <v>18644</v>
      </c>
      <c r="B4537" t="s">
        <v>830</v>
      </c>
      <c r="C4537" t="s">
        <v>92</v>
      </c>
      <c r="D4537" t="s">
        <v>791</v>
      </c>
      <c r="E4537" t="s">
        <v>122</v>
      </c>
      <c r="F4537" t="s">
        <v>244</v>
      </c>
      <c r="G4537" s="39">
        <v>46181</v>
      </c>
      <c r="J4537" t="s">
        <v>90</v>
      </c>
    </row>
    <row r="4538" spans="1:10" x14ac:dyDescent="0.35">
      <c r="A4538">
        <v>250001</v>
      </c>
      <c r="B4538" t="s">
        <v>833</v>
      </c>
      <c r="C4538" t="s">
        <v>92</v>
      </c>
      <c r="D4538" t="s">
        <v>92</v>
      </c>
      <c r="E4538" t="s">
        <v>464</v>
      </c>
      <c r="F4538" t="s">
        <v>244</v>
      </c>
      <c r="G4538" s="39">
        <v>39756</v>
      </c>
      <c r="J4538" t="s">
        <v>90</v>
      </c>
    </row>
    <row r="4539" spans="1:10" x14ac:dyDescent="0.35">
      <c r="A4539">
        <v>110021</v>
      </c>
      <c r="B4539" t="s">
        <v>833</v>
      </c>
      <c r="C4539" t="s">
        <v>92</v>
      </c>
      <c r="D4539" t="s">
        <v>780</v>
      </c>
      <c r="E4539" t="s">
        <v>151</v>
      </c>
      <c r="F4539" t="s">
        <v>244</v>
      </c>
      <c r="G4539" s="39">
        <v>42387</v>
      </c>
      <c r="J4539" t="s">
        <v>90</v>
      </c>
    </row>
    <row r="4540" spans="1:10" x14ac:dyDescent="0.35">
      <c r="A4540">
        <v>320020</v>
      </c>
      <c r="B4540" t="s">
        <v>833</v>
      </c>
      <c r="C4540" t="s">
        <v>92</v>
      </c>
      <c r="D4540" t="s">
        <v>780</v>
      </c>
      <c r="E4540" t="s">
        <v>506</v>
      </c>
      <c r="F4540" t="s">
        <v>244</v>
      </c>
      <c r="G4540" s="39">
        <v>42318</v>
      </c>
      <c r="J4540" t="s">
        <v>90</v>
      </c>
    </row>
    <row r="4541" spans="1:10" x14ac:dyDescent="0.35">
      <c r="A4541">
        <v>300144</v>
      </c>
      <c r="B4541" t="s">
        <v>833</v>
      </c>
      <c r="C4541" t="s">
        <v>92</v>
      </c>
      <c r="D4541" t="s">
        <v>780</v>
      </c>
      <c r="E4541" t="s">
        <v>506</v>
      </c>
      <c r="F4541" t="s">
        <v>244</v>
      </c>
      <c r="G4541" s="39">
        <v>43367</v>
      </c>
      <c r="J4541" t="s">
        <v>90</v>
      </c>
    </row>
    <row r="4542" spans="1:10" x14ac:dyDescent="0.35">
      <c r="A4542">
        <v>17943</v>
      </c>
      <c r="B4542" t="s">
        <v>833</v>
      </c>
      <c r="C4542" t="s">
        <v>92</v>
      </c>
      <c r="D4542" t="s">
        <v>780</v>
      </c>
      <c r="E4542" t="s">
        <v>530</v>
      </c>
      <c r="F4542" t="s">
        <v>244</v>
      </c>
      <c r="G4542" s="39">
        <v>45932</v>
      </c>
      <c r="J4542" t="s">
        <v>90</v>
      </c>
    </row>
    <row r="4543" spans="1:10" x14ac:dyDescent="0.35">
      <c r="A4543">
        <v>16011</v>
      </c>
      <c r="B4543" t="s">
        <v>833</v>
      </c>
      <c r="C4543" t="s">
        <v>92</v>
      </c>
      <c r="D4543" t="s">
        <v>780</v>
      </c>
      <c r="E4543" t="s">
        <v>487</v>
      </c>
      <c r="F4543" t="s">
        <v>244</v>
      </c>
      <c r="G4543" s="39">
        <v>45265</v>
      </c>
      <c r="J4543" t="s">
        <v>90</v>
      </c>
    </row>
    <row r="4544" spans="1:10" x14ac:dyDescent="0.35">
      <c r="A4544">
        <v>18551</v>
      </c>
      <c r="B4544" t="s">
        <v>833</v>
      </c>
      <c r="C4544" t="s">
        <v>92</v>
      </c>
      <c r="D4544" t="s">
        <v>780</v>
      </c>
      <c r="E4544" t="s">
        <v>475</v>
      </c>
      <c r="F4544" t="s">
        <v>244</v>
      </c>
      <c r="G4544" s="39">
        <v>46155</v>
      </c>
      <c r="J4544" t="s">
        <v>90</v>
      </c>
    </row>
    <row r="4545" spans="1:10" x14ac:dyDescent="0.35">
      <c r="A4545">
        <v>11491</v>
      </c>
      <c r="B4545" t="s">
        <v>833</v>
      </c>
      <c r="C4545" t="s">
        <v>92</v>
      </c>
      <c r="D4545" t="s">
        <v>780</v>
      </c>
      <c r="E4545" t="s">
        <v>834</v>
      </c>
      <c r="F4545" t="s">
        <v>244</v>
      </c>
      <c r="G4545" s="39">
        <v>42760</v>
      </c>
      <c r="J4545" t="s">
        <v>90</v>
      </c>
    </row>
    <row r="4546" spans="1:10" x14ac:dyDescent="0.35">
      <c r="A4546">
        <v>160039</v>
      </c>
      <c r="B4546" t="s">
        <v>833</v>
      </c>
      <c r="C4546" t="s">
        <v>92</v>
      </c>
      <c r="D4546" t="s">
        <v>780</v>
      </c>
      <c r="E4546" t="s">
        <v>406</v>
      </c>
      <c r="F4546" t="s">
        <v>245</v>
      </c>
      <c r="G4546" s="39">
        <v>42667</v>
      </c>
      <c r="J4546" t="s">
        <v>90</v>
      </c>
    </row>
    <row r="4547" spans="1:10" x14ac:dyDescent="0.35">
      <c r="A4547">
        <v>470015</v>
      </c>
      <c r="B4547" t="s">
        <v>833</v>
      </c>
      <c r="C4547" t="s">
        <v>92</v>
      </c>
      <c r="D4547" t="s">
        <v>780</v>
      </c>
      <c r="E4547" t="s">
        <v>406</v>
      </c>
      <c r="F4547" t="s">
        <v>244</v>
      </c>
      <c r="G4547" s="39">
        <v>41036</v>
      </c>
      <c r="J4547" t="s">
        <v>90</v>
      </c>
    </row>
    <row r="4548" spans="1:10" x14ac:dyDescent="0.35">
      <c r="A4548">
        <v>900044</v>
      </c>
      <c r="B4548" t="s">
        <v>833</v>
      </c>
      <c r="C4548" t="s">
        <v>92</v>
      </c>
      <c r="D4548" t="s">
        <v>780</v>
      </c>
      <c r="E4548" t="s">
        <v>477</v>
      </c>
      <c r="F4548" t="s">
        <v>244</v>
      </c>
      <c r="G4548" s="39">
        <v>43054</v>
      </c>
      <c r="J4548" t="s">
        <v>90</v>
      </c>
    </row>
    <row r="4549" spans="1:10" x14ac:dyDescent="0.35">
      <c r="A4549">
        <v>300197</v>
      </c>
      <c r="B4549" t="s">
        <v>833</v>
      </c>
      <c r="C4549" t="s">
        <v>92</v>
      </c>
      <c r="D4549" t="s">
        <v>780</v>
      </c>
      <c r="E4549" t="s">
        <v>406</v>
      </c>
      <c r="F4549" t="s">
        <v>244</v>
      </c>
      <c r="G4549" s="39">
        <v>43823</v>
      </c>
      <c r="J4549" t="s">
        <v>90</v>
      </c>
    </row>
    <row r="4550" spans="1:10" x14ac:dyDescent="0.35">
      <c r="A4550">
        <v>460041</v>
      </c>
      <c r="B4550" t="s">
        <v>833</v>
      </c>
      <c r="C4550" t="s">
        <v>92</v>
      </c>
      <c r="D4550" t="s">
        <v>780</v>
      </c>
      <c r="E4550" t="s">
        <v>477</v>
      </c>
      <c r="F4550" t="s">
        <v>411</v>
      </c>
      <c r="G4550" s="39">
        <v>44572</v>
      </c>
      <c r="J4550" t="s">
        <v>90</v>
      </c>
    </row>
    <row r="4551" spans="1:10" x14ac:dyDescent="0.35">
      <c r="A4551">
        <v>15722</v>
      </c>
      <c r="B4551" t="s">
        <v>833</v>
      </c>
      <c r="C4551" t="s">
        <v>92</v>
      </c>
      <c r="D4551" t="s">
        <v>780</v>
      </c>
      <c r="E4551" t="s">
        <v>477</v>
      </c>
      <c r="F4551" t="s">
        <v>244</v>
      </c>
      <c r="G4551" s="39">
        <v>45176</v>
      </c>
      <c r="J4551" t="s">
        <v>90</v>
      </c>
    </row>
    <row r="4552" spans="1:10" x14ac:dyDescent="0.35">
      <c r="A4552">
        <v>117027</v>
      </c>
      <c r="B4552" t="s">
        <v>833</v>
      </c>
      <c r="C4552" t="s">
        <v>92</v>
      </c>
      <c r="D4552" t="s">
        <v>780</v>
      </c>
      <c r="E4552" t="s">
        <v>477</v>
      </c>
      <c r="F4552" t="s">
        <v>244</v>
      </c>
      <c r="G4552" s="39">
        <v>43864</v>
      </c>
      <c r="J4552" t="s">
        <v>90</v>
      </c>
    </row>
    <row r="4553" spans="1:10" x14ac:dyDescent="0.35">
      <c r="A4553">
        <v>300236</v>
      </c>
      <c r="B4553" t="s">
        <v>833</v>
      </c>
      <c r="C4553" t="s">
        <v>92</v>
      </c>
      <c r="D4553" t="s">
        <v>780</v>
      </c>
      <c r="E4553" t="s">
        <v>477</v>
      </c>
      <c r="F4553" t="s">
        <v>244</v>
      </c>
      <c r="G4553" s="39">
        <v>44419</v>
      </c>
      <c r="J4553" t="s">
        <v>90</v>
      </c>
    </row>
    <row r="4554" spans="1:10" x14ac:dyDescent="0.35">
      <c r="A4554">
        <v>15066</v>
      </c>
      <c r="B4554" t="s">
        <v>833</v>
      </c>
      <c r="C4554" t="s">
        <v>92</v>
      </c>
      <c r="D4554" t="s">
        <v>780</v>
      </c>
      <c r="E4554" t="s">
        <v>477</v>
      </c>
      <c r="F4554" t="s">
        <v>244</v>
      </c>
      <c r="G4554" s="39">
        <v>44936</v>
      </c>
      <c r="J4554" t="s">
        <v>90</v>
      </c>
    </row>
    <row r="4555" spans="1:10" x14ac:dyDescent="0.35">
      <c r="A4555">
        <v>160050</v>
      </c>
      <c r="B4555" t="s">
        <v>833</v>
      </c>
      <c r="C4555" t="s">
        <v>92</v>
      </c>
      <c r="D4555" t="s">
        <v>780</v>
      </c>
      <c r="E4555" t="s">
        <v>477</v>
      </c>
      <c r="F4555" t="s">
        <v>411</v>
      </c>
      <c r="G4555" s="39">
        <v>43238</v>
      </c>
      <c r="J4555" t="s">
        <v>90</v>
      </c>
    </row>
    <row r="4556" spans="1:10" x14ac:dyDescent="0.35">
      <c r="A4556">
        <v>18885</v>
      </c>
      <c r="B4556" t="s">
        <v>833</v>
      </c>
      <c r="C4556" t="s">
        <v>92</v>
      </c>
      <c r="D4556" t="s">
        <v>780</v>
      </c>
      <c r="E4556" t="s">
        <v>835</v>
      </c>
      <c r="F4556" t="s">
        <v>244</v>
      </c>
      <c r="G4556" s="39">
        <v>46232</v>
      </c>
      <c r="J4556" t="s">
        <v>90</v>
      </c>
    </row>
    <row r="4557" spans="1:10" x14ac:dyDescent="0.35">
      <c r="A4557">
        <v>220023</v>
      </c>
      <c r="B4557" t="s">
        <v>833</v>
      </c>
      <c r="C4557" t="s">
        <v>92</v>
      </c>
      <c r="D4557" t="s">
        <v>780</v>
      </c>
      <c r="E4557" t="s">
        <v>477</v>
      </c>
      <c r="F4557" t="s">
        <v>244</v>
      </c>
      <c r="G4557" s="39">
        <v>42572</v>
      </c>
      <c r="J4557" t="s">
        <v>90</v>
      </c>
    </row>
    <row r="4558" spans="1:10" x14ac:dyDescent="0.35">
      <c r="A4558">
        <v>300261</v>
      </c>
      <c r="B4558" t="s">
        <v>833</v>
      </c>
      <c r="C4558" t="s">
        <v>92</v>
      </c>
      <c r="D4558" t="s">
        <v>780</v>
      </c>
      <c r="E4558" t="s">
        <v>477</v>
      </c>
      <c r="F4558" t="s">
        <v>244</v>
      </c>
      <c r="G4558" s="39">
        <v>44635</v>
      </c>
      <c r="J4558" t="s">
        <v>90</v>
      </c>
    </row>
    <row r="4559" spans="1:10" x14ac:dyDescent="0.35">
      <c r="A4559">
        <v>300041</v>
      </c>
      <c r="B4559" t="s">
        <v>833</v>
      </c>
      <c r="C4559" t="s">
        <v>92</v>
      </c>
      <c r="D4559" t="s">
        <v>780</v>
      </c>
      <c r="E4559" t="s">
        <v>406</v>
      </c>
      <c r="F4559" t="s">
        <v>244</v>
      </c>
      <c r="G4559" s="39">
        <v>42723</v>
      </c>
      <c r="J4559" t="s">
        <v>90</v>
      </c>
    </row>
    <row r="4560" spans="1:10" x14ac:dyDescent="0.35">
      <c r="A4560">
        <v>14092</v>
      </c>
      <c r="B4560" t="s">
        <v>833</v>
      </c>
      <c r="C4560" t="s">
        <v>92</v>
      </c>
      <c r="D4560" t="s">
        <v>780</v>
      </c>
      <c r="E4560" t="s">
        <v>473</v>
      </c>
      <c r="F4560" t="s">
        <v>244</v>
      </c>
      <c r="G4560" s="39">
        <v>44657</v>
      </c>
      <c r="J4560" t="s">
        <v>90</v>
      </c>
    </row>
    <row r="4561" spans="1:10" x14ac:dyDescent="0.35">
      <c r="A4561">
        <v>15917</v>
      </c>
      <c r="B4561" t="s">
        <v>833</v>
      </c>
      <c r="C4561" t="s">
        <v>92</v>
      </c>
      <c r="D4561" t="s">
        <v>780</v>
      </c>
      <c r="E4561" t="s">
        <v>473</v>
      </c>
      <c r="F4561" t="s">
        <v>245</v>
      </c>
      <c r="G4561" s="39">
        <v>45236</v>
      </c>
      <c r="J4561" t="s">
        <v>90</v>
      </c>
    </row>
    <row r="4562" spans="1:10" x14ac:dyDescent="0.35">
      <c r="A4562">
        <v>18974</v>
      </c>
      <c r="B4562" t="s">
        <v>833</v>
      </c>
      <c r="C4562" t="s">
        <v>92</v>
      </c>
      <c r="D4562" t="s">
        <v>780</v>
      </c>
      <c r="E4562" t="s">
        <v>832</v>
      </c>
      <c r="F4562" t="s">
        <v>244</v>
      </c>
      <c r="G4562" s="39">
        <v>46254</v>
      </c>
      <c r="J4562" t="s">
        <v>90</v>
      </c>
    </row>
    <row r="4563" spans="1:10" x14ac:dyDescent="0.35">
      <c r="A4563">
        <v>19181</v>
      </c>
      <c r="B4563" t="s">
        <v>833</v>
      </c>
      <c r="C4563" t="s">
        <v>92</v>
      </c>
      <c r="D4563" t="s">
        <v>780</v>
      </c>
      <c r="E4563" t="s">
        <v>832</v>
      </c>
      <c r="F4563" t="s">
        <v>244</v>
      </c>
      <c r="G4563" s="39">
        <v>46279</v>
      </c>
      <c r="J4563" t="s">
        <v>90</v>
      </c>
    </row>
    <row r="4564" spans="1:10" x14ac:dyDescent="0.35">
      <c r="A4564">
        <v>13852</v>
      </c>
      <c r="B4564" t="s">
        <v>833</v>
      </c>
      <c r="C4564" t="s">
        <v>92</v>
      </c>
      <c r="D4564" t="s">
        <v>780</v>
      </c>
      <c r="E4564" t="s">
        <v>473</v>
      </c>
      <c r="F4564" t="s">
        <v>244</v>
      </c>
      <c r="G4564" s="39">
        <v>44606</v>
      </c>
      <c r="J4564" t="s">
        <v>90</v>
      </c>
    </row>
    <row r="4565" spans="1:10" x14ac:dyDescent="0.35">
      <c r="A4565">
        <v>16818</v>
      </c>
      <c r="B4565" t="s">
        <v>833</v>
      </c>
      <c r="C4565" t="s">
        <v>92</v>
      </c>
      <c r="D4565" t="s">
        <v>780</v>
      </c>
      <c r="E4565" t="s">
        <v>473</v>
      </c>
      <c r="F4565" t="s">
        <v>244</v>
      </c>
      <c r="G4565" s="39">
        <v>45559</v>
      </c>
      <c r="J4565" t="s">
        <v>90</v>
      </c>
    </row>
    <row r="4566" spans="1:10" x14ac:dyDescent="0.35">
      <c r="A4566">
        <v>14671</v>
      </c>
      <c r="B4566" t="s">
        <v>833</v>
      </c>
      <c r="C4566" t="s">
        <v>92</v>
      </c>
      <c r="D4566" t="s">
        <v>780</v>
      </c>
      <c r="E4566" t="s">
        <v>473</v>
      </c>
      <c r="F4566" t="s">
        <v>244</v>
      </c>
      <c r="G4566" s="39">
        <v>44820</v>
      </c>
      <c r="J4566" t="s">
        <v>90</v>
      </c>
    </row>
    <row r="4567" spans="1:10" x14ac:dyDescent="0.35">
      <c r="A4567">
        <v>17512</v>
      </c>
      <c r="B4567" t="s">
        <v>833</v>
      </c>
      <c r="C4567" t="s">
        <v>92</v>
      </c>
      <c r="D4567" t="s">
        <v>780</v>
      </c>
      <c r="E4567" t="s">
        <v>473</v>
      </c>
      <c r="F4567" t="s">
        <v>244</v>
      </c>
      <c r="G4567" s="39">
        <v>45779</v>
      </c>
      <c r="J4567" t="s">
        <v>90</v>
      </c>
    </row>
    <row r="4568" spans="1:10" x14ac:dyDescent="0.35">
      <c r="A4568">
        <v>18597</v>
      </c>
      <c r="B4568" t="s">
        <v>833</v>
      </c>
      <c r="C4568" t="s">
        <v>92</v>
      </c>
      <c r="D4568" t="s">
        <v>780</v>
      </c>
      <c r="E4568" t="s">
        <v>783</v>
      </c>
      <c r="F4568" t="s">
        <v>244</v>
      </c>
      <c r="G4568" s="39">
        <v>46163</v>
      </c>
      <c r="J4568" t="s">
        <v>90</v>
      </c>
    </row>
    <row r="4569" spans="1:10" x14ac:dyDescent="0.35">
      <c r="A4569">
        <v>160038</v>
      </c>
      <c r="B4569" t="s">
        <v>833</v>
      </c>
      <c r="C4569" t="s">
        <v>92</v>
      </c>
      <c r="D4569" t="s">
        <v>791</v>
      </c>
      <c r="E4569" t="s">
        <v>122</v>
      </c>
      <c r="F4569" t="s">
        <v>244</v>
      </c>
      <c r="G4569" s="39">
        <v>42627</v>
      </c>
      <c r="J4569" t="s">
        <v>90</v>
      </c>
    </row>
    <row r="4570" spans="1:10" x14ac:dyDescent="0.35">
      <c r="A4570">
        <v>15251</v>
      </c>
      <c r="B4570" t="s">
        <v>833</v>
      </c>
      <c r="C4570" t="s">
        <v>92</v>
      </c>
      <c r="D4570" t="s">
        <v>827</v>
      </c>
      <c r="E4570" t="s">
        <v>151</v>
      </c>
      <c r="F4570" t="s">
        <v>244</v>
      </c>
      <c r="G4570" s="39">
        <v>45023</v>
      </c>
      <c r="J4570" t="s">
        <v>90</v>
      </c>
    </row>
    <row r="4571" spans="1:10" x14ac:dyDescent="0.35">
      <c r="A4571">
        <v>15384</v>
      </c>
      <c r="B4571" t="s">
        <v>833</v>
      </c>
      <c r="C4571" t="s">
        <v>92</v>
      </c>
      <c r="D4571" t="s">
        <v>827</v>
      </c>
      <c r="E4571" t="s">
        <v>109</v>
      </c>
      <c r="F4571" t="s">
        <v>244</v>
      </c>
      <c r="G4571" s="39">
        <v>45050</v>
      </c>
      <c r="J4571" t="s">
        <v>90</v>
      </c>
    </row>
    <row r="4572" spans="1:10" x14ac:dyDescent="0.35">
      <c r="A4572">
        <v>14571</v>
      </c>
      <c r="B4572" t="s">
        <v>833</v>
      </c>
      <c r="C4572" t="s">
        <v>92</v>
      </c>
      <c r="D4572" t="s">
        <v>827</v>
      </c>
      <c r="E4572" t="s">
        <v>102</v>
      </c>
      <c r="F4572" t="s">
        <v>244</v>
      </c>
      <c r="G4572" s="39">
        <v>44788</v>
      </c>
      <c r="J4572" t="s">
        <v>90</v>
      </c>
    </row>
    <row r="4573" spans="1:10" x14ac:dyDescent="0.35">
      <c r="A4573">
        <v>17140</v>
      </c>
      <c r="B4573" t="s">
        <v>833</v>
      </c>
      <c r="C4573" t="s">
        <v>92</v>
      </c>
      <c r="D4573" t="s">
        <v>827</v>
      </c>
      <c r="E4573" t="s">
        <v>103</v>
      </c>
      <c r="F4573" t="s">
        <v>244</v>
      </c>
      <c r="G4573" s="39">
        <v>45645</v>
      </c>
      <c r="J4573" t="s">
        <v>90</v>
      </c>
    </row>
    <row r="4574" spans="1:10" x14ac:dyDescent="0.35">
      <c r="A4574">
        <v>17649</v>
      </c>
      <c r="B4574" t="s">
        <v>833</v>
      </c>
      <c r="C4574" t="s">
        <v>92</v>
      </c>
      <c r="D4574" t="s">
        <v>827</v>
      </c>
      <c r="E4574" t="s">
        <v>106</v>
      </c>
      <c r="F4574" t="s">
        <v>244</v>
      </c>
      <c r="G4574" s="39">
        <v>45828</v>
      </c>
      <c r="J4574" t="s">
        <v>90</v>
      </c>
    </row>
    <row r="4575" spans="1:10" x14ac:dyDescent="0.35">
      <c r="A4575">
        <v>10638</v>
      </c>
      <c r="B4575" t="s">
        <v>836</v>
      </c>
      <c r="C4575" t="s">
        <v>92</v>
      </c>
      <c r="D4575" t="s">
        <v>92</v>
      </c>
      <c r="E4575" t="s">
        <v>464</v>
      </c>
      <c r="F4575" t="s">
        <v>244</v>
      </c>
      <c r="G4575" s="39">
        <v>41551</v>
      </c>
      <c r="J4575" t="s">
        <v>90</v>
      </c>
    </row>
    <row r="4576" spans="1:10" x14ac:dyDescent="0.35">
      <c r="A4576">
        <v>120033</v>
      </c>
      <c r="B4576" t="s">
        <v>836</v>
      </c>
      <c r="C4576" t="s">
        <v>92</v>
      </c>
      <c r="D4576" t="s">
        <v>780</v>
      </c>
      <c r="E4576" t="s">
        <v>506</v>
      </c>
      <c r="F4576" t="s">
        <v>244</v>
      </c>
      <c r="G4576" s="39">
        <v>42444</v>
      </c>
      <c r="J4576" t="s">
        <v>90</v>
      </c>
    </row>
    <row r="4577" spans="1:10" x14ac:dyDescent="0.35">
      <c r="A4577">
        <v>250032</v>
      </c>
      <c r="B4577" t="s">
        <v>836</v>
      </c>
      <c r="C4577" t="s">
        <v>92</v>
      </c>
      <c r="D4577" t="s">
        <v>780</v>
      </c>
      <c r="E4577" t="s">
        <v>506</v>
      </c>
      <c r="F4577" t="s">
        <v>244</v>
      </c>
      <c r="G4577" s="39">
        <v>42467</v>
      </c>
      <c r="J4577" t="s">
        <v>90</v>
      </c>
    </row>
    <row r="4578" spans="1:10" x14ac:dyDescent="0.35">
      <c r="A4578">
        <v>16061</v>
      </c>
      <c r="B4578" t="s">
        <v>836</v>
      </c>
      <c r="C4578" t="s">
        <v>92</v>
      </c>
      <c r="D4578" t="s">
        <v>780</v>
      </c>
      <c r="E4578" t="s">
        <v>487</v>
      </c>
      <c r="F4578" t="s">
        <v>244</v>
      </c>
      <c r="G4578" s="39">
        <v>45275</v>
      </c>
      <c r="J4578" t="s">
        <v>90</v>
      </c>
    </row>
    <row r="4579" spans="1:10" x14ac:dyDescent="0.35">
      <c r="A4579">
        <v>150006</v>
      </c>
      <c r="B4579" t="s">
        <v>836</v>
      </c>
      <c r="C4579" t="s">
        <v>92</v>
      </c>
      <c r="D4579" t="s">
        <v>780</v>
      </c>
      <c r="E4579" t="s">
        <v>406</v>
      </c>
      <c r="F4579" t="s">
        <v>244</v>
      </c>
      <c r="G4579" s="39">
        <v>39687</v>
      </c>
      <c r="J4579" t="s">
        <v>90</v>
      </c>
    </row>
    <row r="4580" spans="1:10" x14ac:dyDescent="0.35">
      <c r="A4580">
        <v>170041</v>
      </c>
      <c r="B4580" t="s">
        <v>836</v>
      </c>
      <c r="C4580" t="s">
        <v>92</v>
      </c>
      <c r="D4580" t="s">
        <v>780</v>
      </c>
      <c r="E4580" t="s">
        <v>406</v>
      </c>
      <c r="F4580" t="s">
        <v>244</v>
      </c>
      <c r="G4580" s="39">
        <v>43717</v>
      </c>
      <c r="J4580" t="s">
        <v>90</v>
      </c>
    </row>
    <row r="4581" spans="1:10" x14ac:dyDescent="0.35">
      <c r="A4581">
        <v>700048</v>
      </c>
      <c r="B4581" t="s">
        <v>836</v>
      </c>
      <c r="C4581" t="s">
        <v>92</v>
      </c>
      <c r="D4581" t="s">
        <v>780</v>
      </c>
      <c r="E4581" t="s">
        <v>406</v>
      </c>
      <c r="F4581" t="s">
        <v>244</v>
      </c>
      <c r="G4581" s="39">
        <v>42619</v>
      </c>
      <c r="J4581" t="s">
        <v>90</v>
      </c>
    </row>
    <row r="4582" spans="1:10" x14ac:dyDescent="0.35">
      <c r="A4582">
        <v>133008</v>
      </c>
      <c r="B4582" t="s">
        <v>836</v>
      </c>
      <c r="C4582" t="s">
        <v>92</v>
      </c>
      <c r="D4582" t="s">
        <v>780</v>
      </c>
      <c r="E4582" t="s">
        <v>406</v>
      </c>
      <c r="F4582" t="s">
        <v>244</v>
      </c>
      <c r="G4582" s="39">
        <v>42972</v>
      </c>
      <c r="J4582" t="s">
        <v>90</v>
      </c>
    </row>
    <row r="4583" spans="1:10" x14ac:dyDescent="0.35">
      <c r="A4583">
        <v>130046</v>
      </c>
      <c r="B4583" t="s">
        <v>836</v>
      </c>
      <c r="C4583" t="s">
        <v>92</v>
      </c>
      <c r="D4583" t="s">
        <v>780</v>
      </c>
      <c r="E4583" t="s">
        <v>406</v>
      </c>
      <c r="F4583" t="s">
        <v>244</v>
      </c>
      <c r="G4583" s="39">
        <v>42810</v>
      </c>
      <c r="J4583" t="s">
        <v>90</v>
      </c>
    </row>
    <row r="4584" spans="1:10" x14ac:dyDescent="0.35">
      <c r="A4584">
        <v>206006</v>
      </c>
      <c r="B4584" t="s">
        <v>836</v>
      </c>
      <c r="C4584" t="s">
        <v>92</v>
      </c>
      <c r="D4584" t="s">
        <v>780</v>
      </c>
      <c r="E4584" t="s">
        <v>477</v>
      </c>
      <c r="F4584" t="s">
        <v>244</v>
      </c>
      <c r="G4584" s="39">
        <v>44546</v>
      </c>
      <c r="J4584" t="s">
        <v>90</v>
      </c>
    </row>
    <row r="4585" spans="1:10" x14ac:dyDescent="0.35">
      <c r="A4585">
        <v>129001</v>
      </c>
      <c r="B4585" t="s">
        <v>836</v>
      </c>
      <c r="C4585" t="s">
        <v>92</v>
      </c>
      <c r="D4585" t="s">
        <v>791</v>
      </c>
      <c r="E4585" t="s">
        <v>122</v>
      </c>
      <c r="F4585" t="s">
        <v>244</v>
      </c>
      <c r="G4585" s="39">
        <v>43507</v>
      </c>
      <c r="J4585" t="s">
        <v>90</v>
      </c>
    </row>
    <row r="4586" spans="1:10" x14ac:dyDescent="0.35">
      <c r="A4586">
        <v>700002</v>
      </c>
      <c r="B4586" t="s">
        <v>837</v>
      </c>
      <c r="C4586" t="s">
        <v>92</v>
      </c>
      <c r="D4586" t="s">
        <v>92</v>
      </c>
      <c r="E4586" t="s">
        <v>464</v>
      </c>
      <c r="F4586" t="s">
        <v>244</v>
      </c>
      <c r="G4586" s="39">
        <v>38387</v>
      </c>
      <c r="J4586" t="s">
        <v>90</v>
      </c>
    </row>
    <row r="4587" spans="1:10" x14ac:dyDescent="0.35">
      <c r="A4587">
        <v>830024</v>
      </c>
      <c r="B4587" t="s">
        <v>837</v>
      </c>
      <c r="C4587" t="s">
        <v>92</v>
      </c>
      <c r="D4587" t="s">
        <v>780</v>
      </c>
      <c r="E4587" t="s">
        <v>506</v>
      </c>
      <c r="F4587" t="s">
        <v>244</v>
      </c>
      <c r="G4587" s="39">
        <v>42881</v>
      </c>
      <c r="J4587" t="s">
        <v>90</v>
      </c>
    </row>
    <row r="4588" spans="1:10" x14ac:dyDescent="0.35">
      <c r="A4588">
        <v>17608</v>
      </c>
      <c r="B4588" t="s">
        <v>837</v>
      </c>
      <c r="C4588" t="s">
        <v>92</v>
      </c>
      <c r="D4588" t="s">
        <v>780</v>
      </c>
      <c r="E4588" t="s">
        <v>530</v>
      </c>
      <c r="F4588" t="s">
        <v>244</v>
      </c>
      <c r="G4588" s="39">
        <v>45813</v>
      </c>
      <c r="J4588" t="s">
        <v>90</v>
      </c>
    </row>
    <row r="4589" spans="1:10" x14ac:dyDescent="0.35">
      <c r="A4589">
        <v>880036</v>
      </c>
      <c r="B4589" t="s">
        <v>837</v>
      </c>
      <c r="C4589" t="s">
        <v>92</v>
      </c>
      <c r="D4589" t="s">
        <v>780</v>
      </c>
      <c r="E4589" t="s">
        <v>406</v>
      </c>
      <c r="F4589" t="s">
        <v>244</v>
      </c>
      <c r="G4589" s="39">
        <v>42850</v>
      </c>
      <c r="J4589" t="s">
        <v>90</v>
      </c>
    </row>
    <row r="4590" spans="1:10" x14ac:dyDescent="0.35">
      <c r="A4590">
        <v>710024</v>
      </c>
      <c r="B4590" t="s">
        <v>837</v>
      </c>
      <c r="C4590" t="s">
        <v>92</v>
      </c>
      <c r="D4590" t="s">
        <v>780</v>
      </c>
      <c r="E4590" t="s">
        <v>406</v>
      </c>
      <c r="F4590" t="s">
        <v>244</v>
      </c>
      <c r="G4590" s="39">
        <v>42485</v>
      </c>
      <c r="J4590" t="s">
        <v>90</v>
      </c>
    </row>
    <row r="4591" spans="1:10" x14ac:dyDescent="0.35">
      <c r="A4591">
        <v>500034</v>
      </c>
      <c r="B4591" t="s">
        <v>837</v>
      </c>
      <c r="C4591" t="s">
        <v>92</v>
      </c>
      <c r="D4591" t="s">
        <v>780</v>
      </c>
      <c r="E4591" t="s">
        <v>406</v>
      </c>
      <c r="F4591" t="s">
        <v>244</v>
      </c>
      <c r="G4591" s="39">
        <v>42509</v>
      </c>
      <c r="J4591" t="s">
        <v>90</v>
      </c>
    </row>
    <row r="4592" spans="1:10" x14ac:dyDescent="0.35">
      <c r="A4592">
        <v>300175</v>
      </c>
      <c r="B4592" t="s">
        <v>837</v>
      </c>
      <c r="C4592" t="s">
        <v>92</v>
      </c>
      <c r="D4592" t="s">
        <v>780</v>
      </c>
      <c r="E4592" t="s">
        <v>477</v>
      </c>
      <c r="F4592" t="s">
        <v>244</v>
      </c>
      <c r="G4592" s="39">
        <v>43661</v>
      </c>
      <c r="J4592" t="s">
        <v>90</v>
      </c>
    </row>
    <row r="4593" spans="1:10" x14ac:dyDescent="0.35">
      <c r="A4593">
        <v>14200</v>
      </c>
      <c r="B4593" t="s">
        <v>837</v>
      </c>
      <c r="C4593" t="s">
        <v>92</v>
      </c>
      <c r="D4593" t="s">
        <v>780</v>
      </c>
      <c r="E4593" t="s">
        <v>477</v>
      </c>
      <c r="F4593" t="s">
        <v>244</v>
      </c>
      <c r="G4593" s="39">
        <v>44698</v>
      </c>
      <c r="J4593" t="s">
        <v>90</v>
      </c>
    </row>
    <row r="4594" spans="1:10" x14ac:dyDescent="0.35">
      <c r="A4594">
        <v>17675</v>
      </c>
      <c r="B4594" t="s">
        <v>837</v>
      </c>
      <c r="C4594" t="s">
        <v>92</v>
      </c>
      <c r="D4594" t="s">
        <v>780</v>
      </c>
      <c r="E4594" t="s">
        <v>474</v>
      </c>
      <c r="F4594" t="s">
        <v>244</v>
      </c>
      <c r="G4594" s="39">
        <v>45841</v>
      </c>
      <c r="J4594" t="s">
        <v>90</v>
      </c>
    </row>
    <row r="4595" spans="1:10" x14ac:dyDescent="0.35">
      <c r="A4595">
        <v>300162</v>
      </c>
      <c r="B4595" t="s">
        <v>837</v>
      </c>
      <c r="C4595" t="s">
        <v>92</v>
      </c>
      <c r="D4595" t="s">
        <v>791</v>
      </c>
      <c r="E4595" t="s">
        <v>122</v>
      </c>
      <c r="F4595" t="s">
        <v>244</v>
      </c>
      <c r="G4595" s="39">
        <v>43531</v>
      </c>
      <c r="J4595" t="s">
        <v>90</v>
      </c>
    </row>
    <row r="4596" spans="1:10" x14ac:dyDescent="0.35">
      <c r="A4596">
        <v>190033</v>
      </c>
      <c r="B4596" t="s">
        <v>838</v>
      </c>
      <c r="C4596" t="s">
        <v>92</v>
      </c>
      <c r="D4596" t="s">
        <v>92</v>
      </c>
      <c r="E4596" t="s">
        <v>464</v>
      </c>
      <c r="F4596" t="s">
        <v>244</v>
      </c>
      <c r="G4596" s="39">
        <v>41554</v>
      </c>
      <c r="J4596" t="s">
        <v>90</v>
      </c>
    </row>
    <row r="4597" spans="1:10" x14ac:dyDescent="0.35">
      <c r="A4597">
        <v>120023</v>
      </c>
      <c r="B4597" t="s">
        <v>838</v>
      </c>
      <c r="C4597" t="s">
        <v>92</v>
      </c>
      <c r="D4597" t="s">
        <v>780</v>
      </c>
      <c r="E4597" t="s">
        <v>506</v>
      </c>
      <c r="F4597" t="s">
        <v>244</v>
      </c>
      <c r="G4597" s="39">
        <v>38587</v>
      </c>
      <c r="J4597" t="s">
        <v>90</v>
      </c>
    </row>
    <row r="4598" spans="1:10" x14ac:dyDescent="0.35">
      <c r="A4598">
        <v>300021</v>
      </c>
      <c r="B4598" t="s">
        <v>838</v>
      </c>
      <c r="C4598" t="s">
        <v>92</v>
      </c>
      <c r="D4598" t="s">
        <v>780</v>
      </c>
      <c r="E4598" t="s">
        <v>506</v>
      </c>
      <c r="F4598" t="s">
        <v>244</v>
      </c>
      <c r="G4598" s="39">
        <v>38958</v>
      </c>
      <c r="J4598" t="s">
        <v>90</v>
      </c>
    </row>
    <row r="4599" spans="1:10" x14ac:dyDescent="0.35">
      <c r="A4599">
        <v>300221</v>
      </c>
      <c r="B4599" t="s">
        <v>838</v>
      </c>
      <c r="C4599" t="s">
        <v>92</v>
      </c>
      <c r="D4599" t="s">
        <v>780</v>
      </c>
      <c r="E4599" t="s">
        <v>530</v>
      </c>
      <c r="F4599" t="s">
        <v>411</v>
      </c>
      <c r="G4599" s="39">
        <v>44186</v>
      </c>
      <c r="J4599" t="s">
        <v>90</v>
      </c>
    </row>
    <row r="4600" spans="1:10" x14ac:dyDescent="0.35">
      <c r="A4600">
        <v>15014</v>
      </c>
      <c r="B4600" t="s">
        <v>838</v>
      </c>
      <c r="C4600" t="s">
        <v>92</v>
      </c>
      <c r="D4600" t="s">
        <v>780</v>
      </c>
      <c r="E4600" t="s">
        <v>839</v>
      </c>
      <c r="F4600" t="s">
        <v>244</v>
      </c>
      <c r="G4600" s="39">
        <v>44916</v>
      </c>
      <c r="J4600" t="s">
        <v>90</v>
      </c>
    </row>
    <row r="4601" spans="1:10" x14ac:dyDescent="0.35">
      <c r="A4601">
        <v>15939</v>
      </c>
      <c r="B4601" t="s">
        <v>838</v>
      </c>
      <c r="C4601" t="s">
        <v>92</v>
      </c>
      <c r="D4601" t="s">
        <v>780</v>
      </c>
      <c r="E4601" t="s">
        <v>487</v>
      </c>
      <c r="F4601" t="s">
        <v>245</v>
      </c>
      <c r="G4601" s="39">
        <v>45245</v>
      </c>
      <c r="J4601" t="s">
        <v>90</v>
      </c>
    </row>
    <row r="4602" spans="1:10" x14ac:dyDescent="0.35">
      <c r="A4602">
        <v>500011</v>
      </c>
      <c r="B4602" t="s">
        <v>838</v>
      </c>
      <c r="C4602" t="s">
        <v>92</v>
      </c>
      <c r="D4602" t="s">
        <v>780</v>
      </c>
      <c r="E4602" t="s">
        <v>406</v>
      </c>
      <c r="F4602" t="s">
        <v>244</v>
      </c>
      <c r="G4602" s="39">
        <v>39832</v>
      </c>
      <c r="J4602" t="s">
        <v>90</v>
      </c>
    </row>
    <row r="4603" spans="1:10" x14ac:dyDescent="0.35">
      <c r="A4603">
        <v>170040</v>
      </c>
      <c r="B4603" t="s">
        <v>838</v>
      </c>
      <c r="C4603" t="s">
        <v>92</v>
      </c>
      <c r="D4603" t="s">
        <v>780</v>
      </c>
      <c r="E4603" t="s">
        <v>406</v>
      </c>
      <c r="F4603" t="s">
        <v>244</v>
      </c>
      <c r="G4603" s="39">
        <v>43710</v>
      </c>
      <c r="J4603" t="s">
        <v>90</v>
      </c>
    </row>
    <row r="4604" spans="1:10" x14ac:dyDescent="0.35">
      <c r="A4604">
        <v>500041</v>
      </c>
      <c r="B4604" t="s">
        <v>838</v>
      </c>
      <c r="C4604" t="s">
        <v>92</v>
      </c>
      <c r="D4604" t="s">
        <v>780</v>
      </c>
      <c r="E4604" t="s">
        <v>406</v>
      </c>
      <c r="F4604" t="s">
        <v>244</v>
      </c>
      <c r="G4604" s="39">
        <v>43700</v>
      </c>
      <c r="J4604" t="s">
        <v>90</v>
      </c>
    </row>
    <row r="4605" spans="1:10" x14ac:dyDescent="0.35">
      <c r="A4605">
        <v>500047</v>
      </c>
      <c r="B4605" t="s">
        <v>838</v>
      </c>
      <c r="C4605" t="s">
        <v>92</v>
      </c>
      <c r="D4605" t="s">
        <v>780</v>
      </c>
      <c r="E4605" t="s">
        <v>406</v>
      </c>
      <c r="F4605" t="s">
        <v>244</v>
      </c>
      <c r="G4605" s="39">
        <v>44600</v>
      </c>
      <c r="J4605" t="s">
        <v>90</v>
      </c>
    </row>
    <row r="4606" spans="1:10" x14ac:dyDescent="0.35">
      <c r="A4606">
        <v>300159</v>
      </c>
      <c r="B4606" t="s">
        <v>838</v>
      </c>
      <c r="C4606" t="s">
        <v>92</v>
      </c>
      <c r="D4606" t="s">
        <v>780</v>
      </c>
      <c r="E4606" t="s">
        <v>406</v>
      </c>
      <c r="F4606" t="s">
        <v>244</v>
      </c>
      <c r="G4606" s="39">
        <v>43509</v>
      </c>
      <c r="J4606" t="s">
        <v>90</v>
      </c>
    </row>
    <row r="4607" spans="1:10" x14ac:dyDescent="0.35">
      <c r="A4607">
        <v>17851</v>
      </c>
      <c r="B4607" t="s">
        <v>838</v>
      </c>
      <c r="C4607" t="s">
        <v>92</v>
      </c>
      <c r="D4607" t="s">
        <v>780</v>
      </c>
      <c r="E4607" t="s">
        <v>473</v>
      </c>
      <c r="F4607" t="s">
        <v>244</v>
      </c>
      <c r="G4607" s="39">
        <v>45891</v>
      </c>
      <c r="J4607" t="s">
        <v>90</v>
      </c>
    </row>
    <row r="4608" spans="1:10" x14ac:dyDescent="0.35">
      <c r="A4608">
        <v>17130</v>
      </c>
      <c r="B4608" t="s">
        <v>838</v>
      </c>
      <c r="C4608" t="s">
        <v>92</v>
      </c>
      <c r="D4608" t="s">
        <v>780</v>
      </c>
      <c r="E4608" t="s">
        <v>473</v>
      </c>
      <c r="F4608" t="s">
        <v>244</v>
      </c>
      <c r="G4608" s="39">
        <v>45643</v>
      </c>
      <c r="J4608" t="s">
        <v>90</v>
      </c>
    </row>
    <row r="4609" spans="1:10" x14ac:dyDescent="0.35">
      <c r="A4609">
        <v>17579</v>
      </c>
      <c r="B4609" t="s">
        <v>838</v>
      </c>
      <c r="C4609" t="s">
        <v>92</v>
      </c>
      <c r="D4609" t="s">
        <v>780</v>
      </c>
      <c r="E4609" t="s">
        <v>473</v>
      </c>
      <c r="F4609" t="s">
        <v>244</v>
      </c>
      <c r="G4609" s="39">
        <v>45800</v>
      </c>
      <c r="J4609" t="s">
        <v>90</v>
      </c>
    </row>
    <row r="4610" spans="1:10" x14ac:dyDescent="0.35">
      <c r="A4610">
        <v>500017</v>
      </c>
      <c r="B4610" t="s">
        <v>838</v>
      </c>
      <c r="C4610" t="s">
        <v>92</v>
      </c>
      <c r="D4610" t="s">
        <v>791</v>
      </c>
      <c r="E4610" t="s">
        <v>122</v>
      </c>
      <c r="F4610" t="s">
        <v>244</v>
      </c>
      <c r="G4610" s="39">
        <v>40634</v>
      </c>
      <c r="J4610" t="s">
        <v>90</v>
      </c>
    </row>
    <row r="4611" spans="1:10" x14ac:dyDescent="0.35">
      <c r="A4611">
        <v>10643</v>
      </c>
      <c r="B4611" t="s">
        <v>840</v>
      </c>
      <c r="C4611" t="s">
        <v>92</v>
      </c>
      <c r="D4611" t="s">
        <v>92</v>
      </c>
      <c r="E4611" t="s">
        <v>464</v>
      </c>
      <c r="F4611" t="s">
        <v>244</v>
      </c>
      <c r="G4611" s="39">
        <v>41551</v>
      </c>
      <c r="J4611" t="s">
        <v>90</v>
      </c>
    </row>
    <row r="4612" spans="1:10" x14ac:dyDescent="0.35">
      <c r="A4612">
        <v>530004</v>
      </c>
      <c r="B4612" t="s">
        <v>840</v>
      </c>
      <c r="C4612" t="s">
        <v>92</v>
      </c>
      <c r="D4612" t="s">
        <v>780</v>
      </c>
      <c r="E4612" t="s">
        <v>151</v>
      </c>
      <c r="F4612" t="s">
        <v>244</v>
      </c>
      <c r="G4612" s="39">
        <v>40387</v>
      </c>
      <c r="J4612" t="s">
        <v>90</v>
      </c>
    </row>
    <row r="4613" spans="1:10" x14ac:dyDescent="0.35">
      <c r="A4613">
        <v>15013</v>
      </c>
      <c r="B4613" t="s">
        <v>840</v>
      </c>
      <c r="C4613" t="s">
        <v>92</v>
      </c>
      <c r="D4613" t="s">
        <v>780</v>
      </c>
      <c r="E4613" t="s">
        <v>531</v>
      </c>
      <c r="F4613" t="s">
        <v>244</v>
      </c>
      <c r="G4613" s="39">
        <v>44915</v>
      </c>
      <c r="J4613" t="s">
        <v>90</v>
      </c>
    </row>
    <row r="4614" spans="1:10" x14ac:dyDescent="0.35">
      <c r="A4614">
        <v>17310</v>
      </c>
      <c r="B4614" t="s">
        <v>840</v>
      </c>
      <c r="C4614" t="s">
        <v>92</v>
      </c>
      <c r="D4614" t="s">
        <v>780</v>
      </c>
      <c r="E4614" t="s">
        <v>530</v>
      </c>
      <c r="F4614" t="s">
        <v>244</v>
      </c>
      <c r="G4614" s="39">
        <v>45707</v>
      </c>
      <c r="J4614" t="s">
        <v>90</v>
      </c>
    </row>
    <row r="4615" spans="1:10" x14ac:dyDescent="0.35">
      <c r="A4615">
        <v>17915</v>
      </c>
      <c r="B4615" t="s">
        <v>840</v>
      </c>
      <c r="C4615" t="s">
        <v>92</v>
      </c>
      <c r="D4615" t="s">
        <v>780</v>
      </c>
      <c r="E4615" t="s">
        <v>496</v>
      </c>
      <c r="F4615" t="s">
        <v>244</v>
      </c>
      <c r="G4615" s="39">
        <v>45916</v>
      </c>
      <c r="J4615" t="s">
        <v>90</v>
      </c>
    </row>
    <row r="4616" spans="1:10" x14ac:dyDescent="0.35">
      <c r="A4616">
        <v>17295</v>
      </c>
      <c r="B4616" t="s">
        <v>840</v>
      </c>
      <c r="C4616" t="s">
        <v>92</v>
      </c>
      <c r="D4616" t="s">
        <v>780</v>
      </c>
      <c r="E4616" t="s">
        <v>474</v>
      </c>
      <c r="F4616" t="s">
        <v>244</v>
      </c>
      <c r="G4616" s="39">
        <v>45693</v>
      </c>
      <c r="J4616" t="s">
        <v>90</v>
      </c>
    </row>
    <row r="4617" spans="1:10" x14ac:dyDescent="0.35">
      <c r="A4617">
        <v>15999</v>
      </c>
      <c r="B4617" t="s">
        <v>840</v>
      </c>
      <c r="C4617" t="s">
        <v>92</v>
      </c>
      <c r="D4617" t="s">
        <v>780</v>
      </c>
      <c r="E4617" t="s">
        <v>474</v>
      </c>
      <c r="F4617" t="s">
        <v>244</v>
      </c>
      <c r="G4617" s="39">
        <v>45264</v>
      </c>
      <c r="J4617" t="s">
        <v>90</v>
      </c>
    </row>
    <row r="4618" spans="1:10" x14ac:dyDescent="0.35">
      <c r="A4618">
        <v>670031</v>
      </c>
      <c r="B4618" t="s">
        <v>840</v>
      </c>
      <c r="C4618" t="s">
        <v>92</v>
      </c>
      <c r="D4618" t="s">
        <v>780</v>
      </c>
      <c r="E4618" t="s">
        <v>406</v>
      </c>
      <c r="F4618" t="s">
        <v>244</v>
      </c>
      <c r="G4618" s="39">
        <v>42527</v>
      </c>
      <c r="J4618" t="s">
        <v>90</v>
      </c>
    </row>
    <row r="4619" spans="1:10" x14ac:dyDescent="0.35">
      <c r="A4619">
        <v>113041</v>
      </c>
      <c r="B4619" t="s">
        <v>840</v>
      </c>
      <c r="C4619" t="s">
        <v>92</v>
      </c>
      <c r="D4619" t="s">
        <v>780</v>
      </c>
      <c r="E4619" t="s">
        <v>477</v>
      </c>
      <c r="F4619" t="s">
        <v>411</v>
      </c>
      <c r="G4619" s="39">
        <v>43840</v>
      </c>
      <c r="J4619" t="s">
        <v>90</v>
      </c>
    </row>
    <row r="4620" spans="1:10" x14ac:dyDescent="0.35">
      <c r="A4620">
        <v>18762</v>
      </c>
      <c r="B4620" t="s">
        <v>840</v>
      </c>
      <c r="C4620" t="s">
        <v>92</v>
      </c>
      <c r="D4620" t="s">
        <v>780</v>
      </c>
      <c r="E4620" t="s">
        <v>832</v>
      </c>
      <c r="F4620" t="s">
        <v>244</v>
      </c>
      <c r="G4620" s="39">
        <v>46209</v>
      </c>
      <c r="J4620" t="s">
        <v>90</v>
      </c>
    </row>
    <row r="4621" spans="1:10" x14ac:dyDescent="0.35">
      <c r="A4621">
        <v>240037</v>
      </c>
      <c r="B4621" t="s">
        <v>840</v>
      </c>
      <c r="C4621" t="s">
        <v>92</v>
      </c>
      <c r="D4621" t="s">
        <v>780</v>
      </c>
      <c r="E4621" t="s">
        <v>406</v>
      </c>
      <c r="F4621" t="s">
        <v>244</v>
      </c>
      <c r="G4621" s="39">
        <v>42838</v>
      </c>
      <c r="J4621" t="s">
        <v>90</v>
      </c>
    </row>
    <row r="4622" spans="1:10" x14ac:dyDescent="0.35">
      <c r="A4622">
        <v>110025</v>
      </c>
      <c r="B4622" t="s">
        <v>840</v>
      </c>
      <c r="C4622" t="s">
        <v>92</v>
      </c>
      <c r="D4622" t="s">
        <v>780</v>
      </c>
      <c r="E4622" t="s">
        <v>406</v>
      </c>
      <c r="F4622" t="s">
        <v>244</v>
      </c>
      <c r="G4622" s="39">
        <v>43018</v>
      </c>
      <c r="J4622" t="s">
        <v>90</v>
      </c>
    </row>
    <row r="4623" spans="1:10" x14ac:dyDescent="0.35">
      <c r="A4623">
        <v>110033</v>
      </c>
      <c r="B4623" t="s">
        <v>840</v>
      </c>
      <c r="C4623" t="s">
        <v>92</v>
      </c>
      <c r="D4623" t="s">
        <v>780</v>
      </c>
      <c r="E4623" t="s">
        <v>406</v>
      </c>
      <c r="F4623" t="s">
        <v>244</v>
      </c>
      <c r="G4623" s="39">
        <v>44610</v>
      </c>
      <c r="J4623" t="s">
        <v>90</v>
      </c>
    </row>
    <row r="4624" spans="1:10" x14ac:dyDescent="0.35">
      <c r="A4624">
        <v>210031</v>
      </c>
      <c r="B4624" t="s">
        <v>840</v>
      </c>
      <c r="C4624" t="s">
        <v>92</v>
      </c>
      <c r="D4624" t="s">
        <v>780</v>
      </c>
      <c r="E4624" t="s">
        <v>406</v>
      </c>
      <c r="F4624" t="s">
        <v>244</v>
      </c>
      <c r="G4624" s="39">
        <v>42513</v>
      </c>
      <c r="J4624" t="s">
        <v>90</v>
      </c>
    </row>
    <row r="4625" spans="1:10" x14ac:dyDescent="0.35">
      <c r="A4625">
        <v>230040</v>
      </c>
      <c r="B4625" t="s">
        <v>840</v>
      </c>
      <c r="C4625" t="s">
        <v>92</v>
      </c>
      <c r="D4625" t="s">
        <v>780</v>
      </c>
      <c r="E4625" t="s">
        <v>477</v>
      </c>
      <c r="F4625" t="s">
        <v>244</v>
      </c>
      <c r="G4625" s="39">
        <v>43692</v>
      </c>
      <c r="J4625" t="s">
        <v>90</v>
      </c>
    </row>
    <row r="4626" spans="1:10" x14ac:dyDescent="0.35">
      <c r="A4626">
        <v>300231</v>
      </c>
      <c r="B4626" t="s">
        <v>840</v>
      </c>
      <c r="C4626" t="s">
        <v>92</v>
      </c>
      <c r="D4626" t="s">
        <v>780</v>
      </c>
      <c r="E4626" t="s">
        <v>406</v>
      </c>
      <c r="F4626" t="s">
        <v>244</v>
      </c>
      <c r="G4626" s="39">
        <v>44238</v>
      </c>
      <c r="J4626" t="s">
        <v>90</v>
      </c>
    </row>
    <row r="4627" spans="1:10" x14ac:dyDescent="0.35">
      <c r="A4627">
        <v>14146</v>
      </c>
      <c r="B4627" t="s">
        <v>840</v>
      </c>
      <c r="C4627" t="s">
        <v>92</v>
      </c>
      <c r="D4627" t="s">
        <v>780</v>
      </c>
      <c r="E4627" t="s">
        <v>477</v>
      </c>
      <c r="F4627" t="s">
        <v>244</v>
      </c>
      <c r="G4627" s="39">
        <v>44673</v>
      </c>
      <c r="J4627" t="s">
        <v>90</v>
      </c>
    </row>
    <row r="4628" spans="1:10" x14ac:dyDescent="0.35">
      <c r="A4628">
        <v>125003</v>
      </c>
      <c r="B4628" t="s">
        <v>840</v>
      </c>
      <c r="C4628" t="s">
        <v>92</v>
      </c>
      <c r="D4628" t="s">
        <v>780</v>
      </c>
      <c r="E4628" t="s">
        <v>477</v>
      </c>
      <c r="F4628" t="s">
        <v>411</v>
      </c>
      <c r="G4628" s="39">
        <v>43392</v>
      </c>
      <c r="J4628" t="s">
        <v>90</v>
      </c>
    </row>
    <row r="4629" spans="1:10" x14ac:dyDescent="0.35">
      <c r="A4629">
        <v>14730</v>
      </c>
      <c r="B4629" t="s">
        <v>840</v>
      </c>
      <c r="C4629" t="s">
        <v>92</v>
      </c>
      <c r="D4629" t="s">
        <v>780</v>
      </c>
      <c r="E4629" t="s">
        <v>477</v>
      </c>
      <c r="F4629" t="s">
        <v>244</v>
      </c>
      <c r="G4629" s="39">
        <v>44839</v>
      </c>
      <c r="J4629" t="s">
        <v>90</v>
      </c>
    </row>
    <row r="4630" spans="1:10" x14ac:dyDescent="0.35">
      <c r="A4630">
        <v>14191</v>
      </c>
      <c r="B4630" t="s">
        <v>840</v>
      </c>
      <c r="C4630" t="s">
        <v>92</v>
      </c>
      <c r="D4630" t="s">
        <v>780</v>
      </c>
      <c r="E4630" t="s">
        <v>477</v>
      </c>
      <c r="F4630" t="s">
        <v>244</v>
      </c>
      <c r="G4630" s="39">
        <v>44697</v>
      </c>
      <c r="J4630" t="s">
        <v>90</v>
      </c>
    </row>
    <row r="4631" spans="1:10" x14ac:dyDescent="0.35">
      <c r="A4631">
        <v>290042</v>
      </c>
      <c r="B4631" t="s">
        <v>840</v>
      </c>
      <c r="C4631" t="s">
        <v>92</v>
      </c>
      <c r="D4631" t="s">
        <v>780</v>
      </c>
      <c r="E4631" t="s">
        <v>477</v>
      </c>
      <c r="F4631" t="s">
        <v>244</v>
      </c>
      <c r="G4631" s="39">
        <v>42531</v>
      </c>
      <c r="J4631" t="s">
        <v>90</v>
      </c>
    </row>
    <row r="4632" spans="1:10" x14ac:dyDescent="0.35">
      <c r="A4632">
        <v>17542</v>
      </c>
      <c r="B4632" t="s">
        <v>840</v>
      </c>
      <c r="C4632" t="s">
        <v>92</v>
      </c>
      <c r="D4632" t="s">
        <v>780</v>
      </c>
      <c r="E4632" t="s">
        <v>473</v>
      </c>
      <c r="F4632" t="s">
        <v>244</v>
      </c>
      <c r="G4632" s="39">
        <v>45785</v>
      </c>
      <c r="J4632" t="s">
        <v>90</v>
      </c>
    </row>
    <row r="4633" spans="1:10" x14ac:dyDescent="0.35">
      <c r="A4633">
        <v>16106</v>
      </c>
      <c r="B4633" t="s">
        <v>840</v>
      </c>
      <c r="C4633" t="s">
        <v>92</v>
      </c>
      <c r="D4633" t="s">
        <v>780</v>
      </c>
      <c r="E4633" t="s">
        <v>473</v>
      </c>
      <c r="F4633" t="s">
        <v>245</v>
      </c>
      <c r="G4633" s="39">
        <v>45286</v>
      </c>
      <c r="J4633" t="s">
        <v>90</v>
      </c>
    </row>
    <row r="4634" spans="1:10" x14ac:dyDescent="0.35">
      <c r="A4634">
        <v>17816</v>
      </c>
      <c r="B4634" t="s">
        <v>840</v>
      </c>
      <c r="C4634" t="s">
        <v>92</v>
      </c>
      <c r="D4634" t="s">
        <v>780</v>
      </c>
      <c r="E4634" t="s">
        <v>473</v>
      </c>
      <c r="F4634" t="s">
        <v>244</v>
      </c>
      <c r="G4634" s="39">
        <v>45882</v>
      </c>
      <c r="J4634" t="s">
        <v>90</v>
      </c>
    </row>
    <row r="4635" spans="1:10" x14ac:dyDescent="0.35">
      <c r="A4635">
        <v>16166</v>
      </c>
      <c r="B4635" t="s">
        <v>840</v>
      </c>
      <c r="C4635" t="s">
        <v>92</v>
      </c>
      <c r="D4635" t="s">
        <v>791</v>
      </c>
      <c r="E4635" t="s">
        <v>122</v>
      </c>
      <c r="F4635" t="s">
        <v>244</v>
      </c>
      <c r="G4635" s="39">
        <v>45307</v>
      </c>
      <c r="J4635" t="s">
        <v>90</v>
      </c>
    </row>
    <row r="4636" spans="1:10" x14ac:dyDescent="0.35">
      <c r="A4636">
        <v>11834</v>
      </c>
      <c r="B4636" t="s">
        <v>841</v>
      </c>
      <c r="C4636" t="s">
        <v>92</v>
      </c>
      <c r="D4636" t="s">
        <v>92</v>
      </c>
      <c r="E4636" t="s">
        <v>464</v>
      </c>
      <c r="F4636" t="s">
        <v>244</v>
      </c>
      <c r="G4636" s="39">
        <v>43175</v>
      </c>
      <c r="J4636" t="s">
        <v>90</v>
      </c>
    </row>
    <row r="4637" spans="1:10" x14ac:dyDescent="0.35">
      <c r="A4637">
        <v>890016</v>
      </c>
      <c r="B4637" t="s">
        <v>841</v>
      </c>
      <c r="C4637" t="s">
        <v>92</v>
      </c>
      <c r="D4637" t="s">
        <v>780</v>
      </c>
      <c r="E4637" t="s">
        <v>506</v>
      </c>
      <c r="F4637" t="s">
        <v>244</v>
      </c>
      <c r="G4637" s="39">
        <v>42772</v>
      </c>
      <c r="J4637" t="s">
        <v>90</v>
      </c>
    </row>
    <row r="4638" spans="1:10" x14ac:dyDescent="0.35">
      <c r="A4638">
        <v>670040</v>
      </c>
      <c r="B4638" t="s">
        <v>841</v>
      </c>
      <c r="C4638" t="s">
        <v>92</v>
      </c>
      <c r="D4638" t="s">
        <v>780</v>
      </c>
      <c r="E4638" t="s">
        <v>406</v>
      </c>
      <c r="F4638" t="s">
        <v>244</v>
      </c>
      <c r="G4638" s="39">
        <v>43285</v>
      </c>
      <c r="J4638" t="s">
        <v>90</v>
      </c>
    </row>
    <row r="4639" spans="1:10" x14ac:dyDescent="0.35">
      <c r="A4639">
        <v>15689</v>
      </c>
      <c r="B4639" t="s">
        <v>841</v>
      </c>
      <c r="C4639" t="s">
        <v>92</v>
      </c>
      <c r="D4639" t="s">
        <v>780</v>
      </c>
      <c r="E4639" t="s">
        <v>477</v>
      </c>
      <c r="F4639" t="s">
        <v>244</v>
      </c>
      <c r="G4639" s="39">
        <v>45166</v>
      </c>
      <c r="J4639" t="s">
        <v>90</v>
      </c>
    </row>
    <row r="4640" spans="1:10" x14ac:dyDescent="0.35">
      <c r="A4640">
        <v>15054</v>
      </c>
      <c r="B4640" t="s">
        <v>841</v>
      </c>
      <c r="C4640" t="s">
        <v>92</v>
      </c>
      <c r="D4640" t="s">
        <v>780</v>
      </c>
      <c r="E4640" t="s">
        <v>477</v>
      </c>
      <c r="F4640" t="s">
        <v>244</v>
      </c>
      <c r="G4640" s="39">
        <v>44932</v>
      </c>
      <c r="J4640" t="s">
        <v>90</v>
      </c>
    </row>
    <row r="4641" spans="1:10" x14ac:dyDescent="0.35">
      <c r="A4641">
        <v>15935</v>
      </c>
      <c r="B4641" t="s">
        <v>841</v>
      </c>
      <c r="C4641" t="s">
        <v>92</v>
      </c>
      <c r="D4641" t="s">
        <v>780</v>
      </c>
      <c r="E4641" t="s">
        <v>487</v>
      </c>
      <c r="F4641" t="s">
        <v>244</v>
      </c>
      <c r="G4641" s="39">
        <v>45244</v>
      </c>
      <c r="J4641" t="s">
        <v>90</v>
      </c>
    </row>
    <row r="4642" spans="1:10" x14ac:dyDescent="0.35">
      <c r="A4642">
        <v>700060</v>
      </c>
      <c r="B4642" t="s">
        <v>841</v>
      </c>
      <c r="C4642" t="s">
        <v>92</v>
      </c>
      <c r="D4642" t="s">
        <v>791</v>
      </c>
      <c r="E4642" t="s">
        <v>122</v>
      </c>
      <c r="F4642" t="s">
        <v>244</v>
      </c>
      <c r="G4642" s="39">
        <v>43620</v>
      </c>
      <c r="J4642" t="s">
        <v>90</v>
      </c>
    </row>
    <row r="4643" spans="1:10" x14ac:dyDescent="0.35">
      <c r="A4643">
        <v>10665</v>
      </c>
      <c r="B4643" t="s">
        <v>751</v>
      </c>
      <c r="C4643" t="s">
        <v>92</v>
      </c>
      <c r="D4643" t="s">
        <v>92</v>
      </c>
      <c r="E4643" t="s">
        <v>464</v>
      </c>
      <c r="F4643" t="s">
        <v>244</v>
      </c>
      <c r="G4643" s="39">
        <v>41631</v>
      </c>
      <c r="J4643" t="s">
        <v>90</v>
      </c>
    </row>
    <row r="4644" spans="1:10" x14ac:dyDescent="0.35">
      <c r="A4644">
        <v>270019</v>
      </c>
      <c r="B4644" t="s">
        <v>751</v>
      </c>
      <c r="C4644" t="s">
        <v>92</v>
      </c>
      <c r="D4644" t="s">
        <v>780</v>
      </c>
      <c r="E4644" t="s">
        <v>506</v>
      </c>
      <c r="F4644" t="s">
        <v>244</v>
      </c>
      <c r="G4644" s="39">
        <v>37202</v>
      </c>
      <c r="J4644" t="s">
        <v>90</v>
      </c>
    </row>
    <row r="4645" spans="1:10" x14ac:dyDescent="0.35">
      <c r="A4645">
        <v>17253</v>
      </c>
      <c r="B4645" t="s">
        <v>751</v>
      </c>
      <c r="C4645" t="s">
        <v>92</v>
      </c>
      <c r="D4645" t="s">
        <v>780</v>
      </c>
      <c r="E4645" t="s">
        <v>530</v>
      </c>
      <c r="F4645" t="s">
        <v>244</v>
      </c>
      <c r="G4645" s="39">
        <v>45684</v>
      </c>
      <c r="J4645" t="s">
        <v>90</v>
      </c>
    </row>
    <row r="4646" spans="1:10" x14ac:dyDescent="0.35">
      <c r="A4646">
        <v>270047</v>
      </c>
      <c r="B4646" t="s">
        <v>751</v>
      </c>
      <c r="C4646" t="s">
        <v>92</v>
      </c>
      <c r="D4646" t="s">
        <v>780</v>
      </c>
      <c r="E4646" t="s">
        <v>406</v>
      </c>
      <c r="F4646" t="s">
        <v>244</v>
      </c>
      <c r="G4646" s="39">
        <v>44083</v>
      </c>
      <c r="J4646" t="s">
        <v>90</v>
      </c>
    </row>
    <row r="4647" spans="1:10" x14ac:dyDescent="0.35">
      <c r="A4647">
        <v>260004</v>
      </c>
      <c r="B4647" t="s">
        <v>751</v>
      </c>
      <c r="C4647" t="s">
        <v>92</v>
      </c>
      <c r="D4647" t="s">
        <v>780</v>
      </c>
      <c r="E4647" t="s">
        <v>406</v>
      </c>
      <c r="F4647" t="s">
        <v>244</v>
      </c>
      <c r="G4647" s="39">
        <v>38733</v>
      </c>
      <c r="J4647" t="s">
        <v>90</v>
      </c>
    </row>
    <row r="4648" spans="1:10" x14ac:dyDescent="0.35">
      <c r="A4648">
        <v>270020</v>
      </c>
      <c r="B4648" t="s">
        <v>751</v>
      </c>
      <c r="C4648" t="s">
        <v>92</v>
      </c>
      <c r="D4648" t="s">
        <v>780</v>
      </c>
      <c r="E4648" t="s">
        <v>406</v>
      </c>
      <c r="F4648" t="s">
        <v>244</v>
      </c>
      <c r="G4648" s="39">
        <v>40031</v>
      </c>
      <c r="J4648" t="s">
        <v>90</v>
      </c>
    </row>
    <row r="4649" spans="1:10" x14ac:dyDescent="0.35">
      <c r="A4649">
        <v>120049</v>
      </c>
      <c r="B4649" t="s">
        <v>751</v>
      </c>
      <c r="C4649" t="s">
        <v>92</v>
      </c>
      <c r="D4649" t="s">
        <v>780</v>
      </c>
      <c r="E4649" t="s">
        <v>406</v>
      </c>
      <c r="F4649" t="s">
        <v>244</v>
      </c>
      <c r="G4649" s="39">
        <v>43679</v>
      </c>
      <c r="J4649" t="s">
        <v>90</v>
      </c>
    </row>
    <row r="4650" spans="1:10" x14ac:dyDescent="0.35">
      <c r="A4650">
        <v>15420</v>
      </c>
      <c r="B4650" t="s">
        <v>751</v>
      </c>
      <c r="C4650" t="s">
        <v>92</v>
      </c>
      <c r="D4650" t="s">
        <v>780</v>
      </c>
      <c r="E4650" t="s">
        <v>473</v>
      </c>
      <c r="F4650" t="s">
        <v>244</v>
      </c>
      <c r="G4650" s="39">
        <v>45064</v>
      </c>
      <c r="J4650" t="s">
        <v>90</v>
      </c>
    </row>
    <row r="4651" spans="1:10" x14ac:dyDescent="0.35">
      <c r="A4651">
        <v>15096</v>
      </c>
      <c r="B4651" t="s">
        <v>751</v>
      </c>
      <c r="C4651" t="s">
        <v>92</v>
      </c>
      <c r="D4651" t="s">
        <v>780</v>
      </c>
      <c r="E4651" t="s">
        <v>473</v>
      </c>
      <c r="F4651" t="s">
        <v>244</v>
      </c>
      <c r="G4651" s="39">
        <v>44945</v>
      </c>
      <c r="J4651" t="s">
        <v>90</v>
      </c>
    </row>
    <row r="4652" spans="1:10" x14ac:dyDescent="0.35">
      <c r="A4652">
        <v>220022</v>
      </c>
      <c r="B4652" t="s">
        <v>751</v>
      </c>
      <c r="C4652" t="s">
        <v>92</v>
      </c>
      <c r="D4652" t="s">
        <v>780</v>
      </c>
      <c r="E4652" t="s">
        <v>477</v>
      </c>
      <c r="F4652" t="s">
        <v>244</v>
      </c>
      <c r="G4652" s="39">
        <v>42278</v>
      </c>
      <c r="J4652" t="s">
        <v>90</v>
      </c>
    </row>
    <row r="4653" spans="1:10" x14ac:dyDescent="0.35">
      <c r="A4653">
        <v>300257</v>
      </c>
      <c r="B4653" t="s">
        <v>751</v>
      </c>
      <c r="C4653" t="s">
        <v>92</v>
      </c>
      <c r="D4653" t="s">
        <v>780</v>
      </c>
      <c r="E4653" t="s">
        <v>477</v>
      </c>
      <c r="F4653" t="s">
        <v>244</v>
      </c>
      <c r="G4653" s="39">
        <v>44623</v>
      </c>
      <c r="J4653" t="s">
        <v>90</v>
      </c>
    </row>
    <row r="4654" spans="1:10" x14ac:dyDescent="0.35">
      <c r="A4654">
        <v>15194</v>
      </c>
      <c r="B4654" t="s">
        <v>751</v>
      </c>
      <c r="C4654" t="s">
        <v>92</v>
      </c>
      <c r="D4654" t="s">
        <v>780</v>
      </c>
      <c r="E4654" t="s">
        <v>477</v>
      </c>
      <c r="F4654" t="s">
        <v>244</v>
      </c>
      <c r="G4654" s="39">
        <v>44979</v>
      </c>
      <c r="J4654" t="s">
        <v>90</v>
      </c>
    </row>
    <row r="4655" spans="1:10" x14ac:dyDescent="0.35">
      <c r="A4655">
        <v>14910</v>
      </c>
      <c r="B4655" t="s">
        <v>751</v>
      </c>
      <c r="C4655" t="s">
        <v>92</v>
      </c>
      <c r="D4655" t="s">
        <v>780</v>
      </c>
      <c r="E4655" t="s">
        <v>487</v>
      </c>
      <c r="F4655" t="s">
        <v>244</v>
      </c>
      <c r="G4655" s="39">
        <v>44889</v>
      </c>
      <c r="J4655" t="s">
        <v>90</v>
      </c>
    </row>
    <row r="4656" spans="1:10" x14ac:dyDescent="0.35">
      <c r="A4656">
        <v>14975</v>
      </c>
      <c r="B4656" t="s">
        <v>751</v>
      </c>
      <c r="C4656" t="s">
        <v>92</v>
      </c>
      <c r="D4656" t="s">
        <v>791</v>
      </c>
      <c r="E4656" t="s">
        <v>122</v>
      </c>
      <c r="F4656" t="s">
        <v>244</v>
      </c>
      <c r="G4656" s="39">
        <v>44903</v>
      </c>
      <c r="J4656" t="s">
        <v>90</v>
      </c>
    </row>
    <row r="4657" spans="1:10" x14ac:dyDescent="0.35">
      <c r="A4657">
        <v>190001</v>
      </c>
      <c r="B4657" t="s">
        <v>465</v>
      </c>
      <c r="C4657" t="s">
        <v>92</v>
      </c>
      <c r="D4657" t="s">
        <v>92</v>
      </c>
      <c r="E4657" t="s">
        <v>464</v>
      </c>
      <c r="F4657" t="s">
        <v>244</v>
      </c>
      <c r="G4657" s="39">
        <v>38629</v>
      </c>
      <c r="J4657" t="s">
        <v>90</v>
      </c>
    </row>
    <row r="4658" spans="1:10" x14ac:dyDescent="0.35">
      <c r="A4658">
        <v>700034</v>
      </c>
      <c r="B4658" t="s">
        <v>465</v>
      </c>
      <c r="C4658" t="s">
        <v>92</v>
      </c>
      <c r="D4658" t="s">
        <v>780</v>
      </c>
      <c r="E4658" t="s">
        <v>506</v>
      </c>
      <c r="F4658" t="s">
        <v>244</v>
      </c>
      <c r="G4658" s="39">
        <v>38698</v>
      </c>
      <c r="J4658" t="s">
        <v>90</v>
      </c>
    </row>
    <row r="4659" spans="1:10" x14ac:dyDescent="0.35">
      <c r="A4659">
        <v>300237</v>
      </c>
      <c r="B4659" t="s">
        <v>465</v>
      </c>
      <c r="C4659" t="s">
        <v>92</v>
      </c>
      <c r="D4659" t="s">
        <v>780</v>
      </c>
      <c r="E4659" t="s">
        <v>506</v>
      </c>
      <c r="F4659" t="s">
        <v>244</v>
      </c>
      <c r="G4659" s="39">
        <v>44425</v>
      </c>
      <c r="J4659" t="s">
        <v>90</v>
      </c>
    </row>
    <row r="4660" spans="1:10" x14ac:dyDescent="0.35">
      <c r="A4660">
        <v>16455</v>
      </c>
      <c r="B4660" t="s">
        <v>465</v>
      </c>
      <c r="C4660" t="s">
        <v>92</v>
      </c>
      <c r="D4660" t="s">
        <v>780</v>
      </c>
      <c r="E4660" t="s">
        <v>530</v>
      </c>
      <c r="F4660" t="s">
        <v>244</v>
      </c>
      <c r="G4660" s="39">
        <v>45408</v>
      </c>
      <c r="J4660" t="s">
        <v>90</v>
      </c>
    </row>
    <row r="4661" spans="1:10" x14ac:dyDescent="0.35">
      <c r="A4661">
        <v>190016</v>
      </c>
      <c r="B4661" t="s">
        <v>465</v>
      </c>
      <c r="C4661" t="s">
        <v>92</v>
      </c>
      <c r="D4661" t="s">
        <v>780</v>
      </c>
      <c r="E4661" t="s">
        <v>477</v>
      </c>
      <c r="F4661" t="s">
        <v>244</v>
      </c>
      <c r="G4661" s="39">
        <v>40247</v>
      </c>
      <c r="J4661" t="s">
        <v>90</v>
      </c>
    </row>
    <row r="4662" spans="1:10" x14ac:dyDescent="0.35">
      <c r="A4662">
        <v>240027</v>
      </c>
      <c r="B4662" t="s">
        <v>465</v>
      </c>
      <c r="C4662" t="s">
        <v>92</v>
      </c>
      <c r="D4662" t="s">
        <v>780</v>
      </c>
      <c r="E4662" t="s">
        <v>477</v>
      </c>
      <c r="F4662" t="s">
        <v>244</v>
      </c>
      <c r="G4662" s="39">
        <v>41701</v>
      </c>
      <c r="J4662" t="s">
        <v>90</v>
      </c>
    </row>
    <row r="4663" spans="1:10" x14ac:dyDescent="0.35">
      <c r="A4663">
        <v>14591</v>
      </c>
      <c r="B4663" t="s">
        <v>465</v>
      </c>
      <c r="C4663" t="s">
        <v>92</v>
      </c>
      <c r="D4663" t="s">
        <v>780</v>
      </c>
      <c r="E4663" t="s">
        <v>477</v>
      </c>
      <c r="F4663" t="s">
        <v>244</v>
      </c>
      <c r="G4663" s="39">
        <v>44795</v>
      </c>
      <c r="J4663" t="s">
        <v>90</v>
      </c>
    </row>
    <row r="4664" spans="1:10" x14ac:dyDescent="0.35">
      <c r="A4664">
        <v>190046</v>
      </c>
      <c r="B4664" t="s">
        <v>465</v>
      </c>
      <c r="C4664" t="s">
        <v>92</v>
      </c>
      <c r="D4664" t="s">
        <v>780</v>
      </c>
      <c r="E4664" t="s">
        <v>477</v>
      </c>
      <c r="F4664" t="s">
        <v>244</v>
      </c>
      <c r="G4664" s="39">
        <v>43809</v>
      </c>
      <c r="J4664" t="s">
        <v>90</v>
      </c>
    </row>
    <row r="4665" spans="1:10" x14ac:dyDescent="0.35">
      <c r="A4665">
        <v>14080</v>
      </c>
      <c r="B4665" t="s">
        <v>465</v>
      </c>
      <c r="C4665" t="s">
        <v>92</v>
      </c>
      <c r="D4665" t="s">
        <v>780</v>
      </c>
      <c r="E4665" t="s">
        <v>477</v>
      </c>
      <c r="F4665" t="s">
        <v>244</v>
      </c>
      <c r="G4665" s="39">
        <v>44656</v>
      </c>
      <c r="J4665" t="s">
        <v>90</v>
      </c>
    </row>
    <row r="4666" spans="1:10" x14ac:dyDescent="0.35">
      <c r="A4666">
        <v>18339</v>
      </c>
      <c r="B4666" t="s">
        <v>465</v>
      </c>
      <c r="C4666" t="s">
        <v>92</v>
      </c>
      <c r="D4666" t="s">
        <v>780</v>
      </c>
      <c r="E4666" t="s">
        <v>823</v>
      </c>
      <c r="F4666" t="s">
        <v>244</v>
      </c>
      <c r="G4666" s="39">
        <v>46097</v>
      </c>
      <c r="J4666" t="s">
        <v>90</v>
      </c>
    </row>
    <row r="4667" spans="1:10" x14ac:dyDescent="0.35">
      <c r="A4667">
        <v>17165</v>
      </c>
      <c r="B4667" t="s">
        <v>465</v>
      </c>
      <c r="C4667" t="s">
        <v>92</v>
      </c>
      <c r="D4667" t="s">
        <v>780</v>
      </c>
      <c r="E4667" t="s">
        <v>474</v>
      </c>
      <c r="F4667" t="s">
        <v>244</v>
      </c>
      <c r="G4667" s="39">
        <v>45652</v>
      </c>
      <c r="J4667" t="s">
        <v>90</v>
      </c>
    </row>
    <row r="4668" spans="1:10" x14ac:dyDescent="0.35">
      <c r="A4668">
        <v>190031</v>
      </c>
      <c r="B4668" t="s">
        <v>465</v>
      </c>
      <c r="C4668" t="s">
        <v>92</v>
      </c>
      <c r="D4668" t="s">
        <v>791</v>
      </c>
      <c r="E4668" t="s">
        <v>122</v>
      </c>
      <c r="F4668" t="s">
        <v>244</v>
      </c>
      <c r="G4668" s="39">
        <v>38821</v>
      </c>
      <c r="J4668" t="s">
        <v>90</v>
      </c>
    </row>
    <row r="4669" spans="1:10" x14ac:dyDescent="0.35">
      <c r="A4669">
        <v>190032</v>
      </c>
      <c r="B4669" t="s">
        <v>465</v>
      </c>
      <c r="C4669" t="s">
        <v>92</v>
      </c>
      <c r="D4669" t="s">
        <v>791</v>
      </c>
      <c r="E4669" t="s">
        <v>122</v>
      </c>
      <c r="F4669" t="s">
        <v>244</v>
      </c>
      <c r="G4669" s="39">
        <v>41071</v>
      </c>
      <c r="J4669" t="s">
        <v>90</v>
      </c>
    </row>
    <row r="4670" spans="1:10" x14ac:dyDescent="0.35">
      <c r="A4670">
        <v>10793</v>
      </c>
      <c r="B4670" t="s">
        <v>843</v>
      </c>
      <c r="C4670" t="s">
        <v>92</v>
      </c>
      <c r="D4670" t="s">
        <v>92</v>
      </c>
      <c r="E4670" t="s">
        <v>464</v>
      </c>
      <c r="F4670" t="s">
        <v>244</v>
      </c>
      <c r="G4670" s="39">
        <v>41897</v>
      </c>
      <c r="J4670" t="s">
        <v>90</v>
      </c>
    </row>
    <row r="4671" spans="1:10" x14ac:dyDescent="0.35">
      <c r="A4671">
        <v>710025</v>
      </c>
      <c r="B4671" t="s">
        <v>843</v>
      </c>
      <c r="C4671" t="s">
        <v>92</v>
      </c>
      <c r="D4671" t="s">
        <v>780</v>
      </c>
      <c r="E4671" t="s">
        <v>506</v>
      </c>
      <c r="F4671" t="s">
        <v>244</v>
      </c>
      <c r="G4671" s="39">
        <v>42509</v>
      </c>
      <c r="J4671" t="s">
        <v>90</v>
      </c>
    </row>
    <row r="4672" spans="1:10" x14ac:dyDescent="0.35">
      <c r="A4672">
        <v>300121</v>
      </c>
      <c r="B4672" t="s">
        <v>843</v>
      </c>
      <c r="C4672" t="s">
        <v>92</v>
      </c>
      <c r="D4672" t="s">
        <v>780</v>
      </c>
      <c r="E4672" t="s">
        <v>506</v>
      </c>
      <c r="F4672" t="s">
        <v>244</v>
      </c>
      <c r="G4672" s="39">
        <v>43133</v>
      </c>
      <c r="J4672" t="s">
        <v>90</v>
      </c>
    </row>
    <row r="4673" spans="1:10" x14ac:dyDescent="0.35">
      <c r="A4673">
        <v>630024</v>
      </c>
      <c r="B4673" t="s">
        <v>843</v>
      </c>
      <c r="C4673" t="s">
        <v>92</v>
      </c>
      <c r="D4673" t="s">
        <v>780</v>
      </c>
      <c r="E4673" t="s">
        <v>531</v>
      </c>
      <c r="F4673" t="s">
        <v>244</v>
      </c>
      <c r="G4673" s="39">
        <v>44546</v>
      </c>
      <c r="J4673" t="s">
        <v>90</v>
      </c>
    </row>
    <row r="4674" spans="1:10" x14ac:dyDescent="0.35">
      <c r="A4674">
        <v>17692</v>
      </c>
      <c r="B4674" t="s">
        <v>843</v>
      </c>
      <c r="C4674" t="s">
        <v>92</v>
      </c>
      <c r="D4674" t="s">
        <v>780</v>
      </c>
      <c r="E4674" t="s">
        <v>474</v>
      </c>
      <c r="F4674" t="s">
        <v>244</v>
      </c>
      <c r="G4674" s="39">
        <v>45846</v>
      </c>
      <c r="J4674" t="s">
        <v>90</v>
      </c>
    </row>
    <row r="4675" spans="1:10" x14ac:dyDescent="0.35">
      <c r="A4675">
        <v>670029</v>
      </c>
      <c r="B4675" t="s">
        <v>843</v>
      </c>
      <c r="C4675" t="s">
        <v>92</v>
      </c>
      <c r="D4675" t="s">
        <v>780</v>
      </c>
      <c r="E4675" t="s">
        <v>151</v>
      </c>
      <c r="F4675" t="s">
        <v>244</v>
      </c>
      <c r="G4675" s="39">
        <v>42136</v>
      </c>
      <c r="J4675" t="s">
        <v>90</v>
      </c>
    </row>
    <row r="4676" spans="1:10" x14ac:dyDescent="0.35">
      <c r="A4676">
        <v>670027</v>
      </c>
      <c r="B4676" t="s">
        <v>843</v>
      </c>
      <c r="C4676" t="s">
        <v>92</v>
      </c>
      <c r="D4676" t="s">
        <v>780</v>
      </c>
      <c r="E4676" t="s">
        <v>406</v>
      </c>
      <c r="F4676" t="s">
        <v>244</v>
      </c>
      <c r="G4676" s="39">
        <v>42019</v>
      </c>
      <c r="J4676" t="s">
        <v>90</v>
      </c>
    </row>
    <row r="4677" spans="1:10" x14ac:dyDescent="0.35">
      <c r="A4677">
        <v>830027</v>
      </c>
      <c r="B4677" t="s">
        <v>843</v>
      </c>
      <c r="C4677" t="s">
        <v>92</v>
      </c>
      <c r="D4677" t="s">
        <v>780</v>
      </c>
      <c r="E4677" t="s">
        <v>406</v>
      </c>
      <c r="F4677" t="s">
        <v>244</v>
      </c>
      <c r="G4677" s="39">
        <v>43290</v>
      </c>
      <c r="J4677" t="s">
        <v>90</v>
      </c>
    </row>
    <row r="4678" spans="1:10" x14ac:dyDescent="0.35">
      <c r="A4678">
        <v>850090</v>
      </c>
      <c r="B4678" t="s">
        <v>843</v>
      </c>
      <c r="C4678" t="s">
        <v>92</v>
      </c>
      <c r="D4678" t="s">
        <v>780</v>
      </c>
      <c r="E4678" t="s">
        <v>406</v>
      </c>
      <c r="F4678" t="s">
        <v>244</v>
      </c>
      <c r="G4678" s="39">
        <v>43755</v>
      </c>
      <c r="J4678" t="s">
        <v>90</v>
      </c>
    </row>
    <row r="4679" spans="1:10" x14ac:dyDescent="0.35">
      <c r="A4679">
        <v>14077</v>
      </c>
      <c r="B4679" t="s">
        <v>843</v>
      </c>
      <c r="C4679" t="s">
        <v>92</v>
      </c>
      <c r="D4679" t="s">
        <v>780</v>
      </c>
      <c r="E4679" t="s">
        <v>406</v>
      </c>
      <c r="F4679" t="s">
        <v>244</v>
      </c>
      <c r="G4679" s="39">
        <v>44655</v>
      </c>
      <c r="J4679" t="s">
        <v>90</v>
      </c>
    </row>
    <row r="4680" spans="1:10" x14ac:dyDescent="0.35">
      <c r="A4680">
        <v>710032</v>
      </c>
      <c r="B4680" t="s">
        <v>843</v>
      </c>
      <c r="C4680" t="s">
        <v>92</v>
      </c>
      <c r="D4680" t="s">
        <v>780</v>
      </c>
      <c r="E4680" t="s">
        <v>406</v>
      </c>
      <c r="F4680" t="s">
        <v>244</v>
      </c>
      <c r="G4680" s="39">
        <v>43017</v>
      </c>
      <c r="J4680" t="s">
        <v>90</v>
      </c>
    </row>
    <row r="4681" spans="1:10" x14ac:dyDescent="0.35">
      <c r="A4681">
        <v>14105</v>
      </c>
      <c r="B4681" t="s">
        <v>843</v>
      </c>
      <c r="C4681" t="s">
        <v>92</v>
      </c>
      <c r="D4681" t="s">
        <v>780</v>
      </c>
      <c r="E4681" t="s">
        <v>477</v>
      </c>
      <c r="F4681" t="s">
        <v>244</v>
      </c>
      <c r="G4681" s="39">
        <v>44659</v>
      </c>
      <c r="J4681" t="s">
        <v>90</v>
      </c>
    </row>
    <row r="4682" spans="1:10" x14ac:dyDescent="0.35">
      <c r="A4682">
        <v>760046</v>
      </c>
      <c r="B4682" t="s">
        <v>843</v>
      </c>
      <c r="C4682" t="s">
        <v>92</v>
      </c>
      <c r="D4682" t="s">
        <v>780</v>
      </c>
      <c r="E4682" t="s">
        <v>477</v>
      </c>
      <c r="F4682" t="s">
        <v>244</v>
      </c>
      <c r="G4682" s="39">
        <v>44516</v>
      </c>
      <c r="J4682" t="s">
        <v>90</v>
      </c>
    </row>
    <row r="4683" spans="1:10" x14ac:dyDescent="0.35">
      <c r="A4683">
        <v>15587</v>
      </c>
      <c r="B4683" t="s">
        <v>843</v>
      </c>
      <c r="C4683" t="s">
        <v>92</v>
      </c>
      <c r="D4683" t="s">
        <v>780</v>
      </c>
      <c r="E4683" t="s">
        <v>473</v>
      </c>
      <c r="F4683" t="s">
        <v>244</v>
      </c>
      <c r="G4683" s="39">
        <v>45132</v>
      </c>
      <c r="J4683" t="s">
        <v>90</v>
      </c>
    </row>
    <row r="4684" spans="1:10" x14ac:dyDescent="0.35">
      <c r="A4684">
        <v>15623</v>
      </c>
      <c r="B4684" t="s">
        <v>843</v>
      </c>
      <c r="C4684" t="s">
        <v>92</v>
      </c>
      <c r="D4684" t="s">
        <v>780</v>
      </c>
      <c r="E4684" t="s">
        <v>473</v>
      </c>
      <c r="F4684" t="s">
        <v>244</v>
      </c>
      <c r="G4684" s="39">
        <v>45142</v>
      </c>
      <c r="J4684" t="s">
        <v>90</v>
      </c>
    </row>
    <row r="4685" spans="1:10" x14ac:dyDescent="0.35">
      <c r="A4685">
        <v>17252</v>
      </c>
      <c r="B4685" t="s">
        <v>843</v>
      </c>
      <c r="C4685" t="s">
        <v>92</v>
      </c>
      <c r="D4685" t="s">
        <v>780</v>
      </c>
      <c r="E4685" t="s">
        <v>473</v>
      </c>
      <c r="F4685" t="s">
        <v>244</v>
      </c>
      <c r="G4685" s="39">
        <v>45684</v>
      </c>
      <c r="J4685" t="s">
        <v>90</v>
      </c>
    </row>
    <row r="4686" spans="1:10" x14ac:dyDescent="0.35">
      <c r="A4686">
        <v>14696</v>
      </c>
      <c r="B4686" t="s">
        <v>843</v>
      </c>
      <c r="C4686" t="s">
        <v>92</v>
      </c>
      <c r="D4686" t="s">
        <v>791</v>
      </c>
      <c r="E4686" t="s">
        <v>122</v>
      </c>
      <c r="F4686" t="s">
        <v>244</v>
      </c>
      <c r="G4686" s="39">
        <v>44826</v>
      </c>
      <c r="J4686" t="s">
        <v>90</v>
      </c>
    </row>
    <row r="4687" spans="1:10" x14ac:dyDescent="0.35">
      <c r="A4687">
        <v>11892</v>
      </c>
      <c r="B4687" t="s">
        <v>844</v>
      </c>
      <c r="C4687" t="s">
        <v>92</v>
      </c>
      <c r="D4687" t="s">
        <v>92</v>
      </c>
      <c r="E4687" t="s">
        <v>464</v>
      </c>
      <c r="F4687" t="s">
        <v>244</v>
      </c>
      <c r="G4687" s="39">
        <v>43245</v>
      </c>
      <c r="J4687" t="s">
        <v>90</v>
      </c>
    </row>
    <row r="4688" spans="1:10" x14ac:dyDescent="0.35">
      <c r="A4688">
        <v>20024</v>
      </c>
      <c r="B4688" t="s">
        <v>844</v>
      </c>
      <c r="C4688" t="s">
        <v>92</v>
      </c>
      <c r="D4688" t="s">
        <v>780</v>
      </c>
      <c r="E4688" t="s">
        <v>506</v>
      </c>
      <c r="F4688" t="s">
        <v>244</v>
      </c>
      <c r="G4688" s="39">
        <v>41043</v>
      </c>
      <c r="J4688" t="s">
        <v>90</v>
      </c>
    </row>
    <row r="4689" spans="1:10" x14ac:dyDescent="0.35">
      <c r="A4689">
        <v>220006</v>
      </c>
      <c r="B4689" t="s">
        <v>844</v>
      </c>
      <c r="C4689" t="s">
        <v>92</v>
      </c>
      <c r="D4689" t="s">
        <v>780</v>
      </c>
      <c r="E4689" t="s">
        <v>531</v>
      </c>
      <c r="F4689" t="s">
        <v>244</v>
      </c>
      <c r="G4689" s="39">
        <v>36689</v>
      </c>
      <c r="J4689" t="s">
        <v>90</v>
      </c>
    </row>
    <row r="4690" spans="1:10" x14ac:dyDescent="0.35">
      <c r="A4690">
        <v>14903</v>
      </c>
      <c r="B4690" t="s">
        <v>844</v>
      </c>
      <c r="C4690" t="s">
        <v>92</v>
      </c>
      <c r="D4690" t="s">
        <v>780</v>
      </c>
      <c r="E4690" t="s">
        <v>487</v>
      </c>
      <c r="F4690" t="s">
        <v>411</v>
      </c>
      <c r="G4690" s="39">
        <v>44887</v>
      </c>
      <c r="J4690" t="s">
        <v>90</v>
      </c>
    </row>
    <row r="4691" spans="1:10" x14ac:dyDescent="0.35">
      <c r="A4691">
        <v>230046</v>
      </c>
      <c r="B4691" t="s">
        <v>844</v>
      </c>
      <c r="C4691" t="s">
        <v>92</v>
      </c>
      <c r="D4691" t="s">
        <v>780</v>
      </c>
      <c r="E4691" t="s">
        <v>487</v>
      </c>
      <c r="F4691" t="s">
        <v>244</v>
      </c>
      <c r="G4691" s="39">
        <v>44558</v>
      </c>
      <c r="J4691" t="s">
        <v>90</v>
      </c>
    </row>
    <row r="4692" spans="1:10" x14ac:dyDescent="0.35">
      <c r="A4692">
        <v>410036</v>
      </c>
      <c r="B4692" t="s">
        <v>844</v>
      </c>
      <c r="C4692" t="s">
        <v>92</v>
      </c>
      <c r="D4692" t="s">
        <v>780</v>
      </c>
      <c r="E4692" t="s">
        <v>406</v>
      </c>
      <c r="F4692" t="s">
        <v>244</v>
      </c>
      <c r="G4692" s="39">
        <v>42082</v>
      </c>
      <c r="J4692" t="s">
        <v>90</v>
      </c>
    </row>
    <row r="4693" spans="1:10" x14ac:dyDescent="0.35">
      <c r="A4693">
        <v>300060</v>
      </c>
      <c r="B4693" t="s">
        <v>844</v>
      </c>
      <c r="C4693" t="s">
        <v>92</v>
      </c>
      <c r="D4693" t="s">
        <v>780</v>
      </c>
      <c r="E4693" t="s">
        <v>406</v>
      </c>
      <c r="F4693" t="s">
        <v>244</v>
      </c>
      <c r="G4693" s="39">
        <v>42786</v>
      </c>
      <c r="J4693" t="s">
        <v>90</v>
      </c>
    </row>
    <row r="4694" spans="1:10" x14ac:dyDescent="0.35">
      <c r="A4694">
        <v>240019</v>
      </c>
      <c r="B4694" t="s">
        <v>844</v>
      </c>
      <c r="C4694" t="s">
        <v>92</v>
      </c>
      <c r="D4694" t="s">
        <v>780</v>
      </c>
      <c r="E4694" t="s">
        <v>406</v>
      </c>
      <c r="F4694" t="s">
        <v>244</v>
      </c>
      <c r="G4694" s="39">
        <v>39854</v>
      </c>
      <c r="J4694" t="s">
        <v>90</v>
      </c>
    </row>
    <row r="4695" spans="1:10" x14ac:dyDescent="0.35">
      <c r="A4695">
        <v>110019</v>
      </c>
      <c r="B4695" t="s">
        <v>844</v>
      </c>
      <c r="C4695" t="s">
        <v>92</v>
      </c>
      <c r="D4695" t="s">
        <v>780</v>
      </c>
      <c r="E4695" t="s">
        <v>406</v>
      </c>
      <c r="F4695" t="s">
        <v>244</v>
      </c>
      <c r="G4695" s="39">
        <v>42333</v>
      </c>
      <c r="J4695" t="s">
        <v>90</v>
      </c>
    </row>
    <row r="4696" spans="1:10" x14ac:dyDescent="0.35">
      <c r="A4696">
        <v>700045</v>
      </c>
      <c r="B4696" t="s">
        <v>844</v>
      </c>
      <c r="C4696" t="s">
        <v>92</v>
      </c>
      <c r="D4696" t="s">
        <v>780</v>
      </c>
      <c r="E4696" t="s">
        <v>406</v>
      </c>
      <c r="F4696" t="s">
        <v>244</v>
      </c>
      <c r="G4696" s="39">
        <v>42405</v>
      </c>
      <c r="J4696" t="s">
        <v>90</v>
      </c>
    </row>
    <row r="4697" spans="1:10" x14ac:dyDescent="0.35">
      <c r="A4697">
        <v>300255</v>
      </c>
      <c r="B4697" t="s">
        <v>844</v>
      </c>
      <c r="C4697" t="s">
        <v>92</v>
      </c>
      <c r="D4697" t="s">
        <v>780</v>
      </c>
      <c r="E4697" t="s">
        <v>406</v>
      </c>
      <c r="F4697" t="s">
        <v>244</v>
      </c>
      <c r="G4697" s="39">
        <v>44610</v>
      </c>
      <c r="J4697" t="s">
        <v>90</v>
      </c>
    </row>
    <row r="4698" spans="1:10" x14ac:dyDescent="0.35">
      <c r="A4698">
        <v>800032</v>
      </c>
      <c r="B4698" t="s">
        <v>844</v>
      </c>
      <c r="C4698" t="s">
        <v>92</v>
      </c>
      <c r="D4698" t="s">
        <v>780</v>
      </c>
      <c r="E4698" t="s">
        <v>477</v>
      </c>
      <c r="F4698" t="s">
        <v>244</v>
      </c>
      <c r="G4698" s="39">
        <v>42508</v>
      </c>
      <c r="J4698" t="s">
        <v>90</v>
      </c>
    </row>
    <row r="4699" spans="1:10" x14ac:dyDescent="0.35">
      <c r="A4699">
        <v>230041</v>
      </c>
      <c r="B4699" t="s">
        <v>844</v>
      </c>
      <c r="C4699" t="s">
        <v>92</v>
      </c>
      <c r="D4699" t="s">
        <v>780</v>
      </c>
      <c r="E4699" t="s">
        <v>406</v>
      </c>
      <c r="F4699" t="s">
        <v>244</v>
      </c>
      <c r="G4699" s="39">
        <v>43720</v>
      </c>
      <c r="J4699" t="s">
        <v>90</v>
      </c>
    </row>
    <row r="4700" spans="1:10" x14ac:dyDescent="0.35">
      <c r="A4700">
        <v>500006</v>
      </c>
      <c r="B4700" t="s">
        <v>844</v>
      </c>
      <c r="C4700" t="s">
        <v>92</v>
      </c>
      <c r="D4700" t="s">
        <v>780</v>
      </c>
      <c r="E4700" t="s">
        <v>406</v>
      </c>
      <c r="F4700" t="s">
        <v>244</v>
      </c>
      <c r="G4700" s="39">
        <v>40232</v>
      </c>
      <c r="J4700" t="s">
        <v>90</v>
      </c>
    </row>
    <row r="4701" spans="1:10" x14ac:dyDescent="0.35">
      <c r="A4701">
        <v>17444</v>
      </c>
      <c r="B4701" t="s">
        <v>844</v>
      </c>
      <c r="C4701" t="s">
        <v>92</v>
      </c>
      <c r="D4701" t="s">
        <v>780</v>
      </c>
      <c r="E4701" t="s">
        <v>473</v>
      </c>
      <c r="F4701" t="s">
        <v>244</v>
      </c>
      <c r="G4701" s="39">
        <v>45755</v>
      </c>
      <c r="J4701" t="s">
        <v>90</v>
      </c>
    </row>
    <row r="4702" spans="1:10" x14ac:dyDescent="0.35">
      <c r="A4702">
        <v>16123</v>
      </c>
      <c r="B4702" t="s">
        <v>844</v>
      </c>
      <c r="C4702" t="s">
        <v>92</v>
      </c>
      <c r="D4702" t="s">
        <v>780</v>
      </c>
      <c r="E4702" t="s">
        <v>477</v>
      </c>
      <c r="F4702" t="s">
        <v>244</v>
      </c>
      <c r="G4702" s="39">
        <v>45289</v>
      </c>
      <c r="J4702" t="s">
        <v>90</v>
      </c>
    </row>
    <row r="4703" spans="1:10" x14ac:dyDescent="0.35">
      <c r="A4703">
        <v>800045</v>
      </c>
      <c r="B4703" t="s">
        <v>844</v>
      </c>
      <c r="C4703" t="s">
        <v>92</v>
      </c>
      <c r="D4703" t="s">
        <v>780</v>
      </c>
      <c r="E4703" t="s">
        <v>473</v>
      </c>
      <c r="F4703" t="s">
        <v>411</v>
      </c>
      <c r="G4703" s="39">
        <v>44543</v>
      </c>
      <c r="J4703" t="s">
        <v>90</v>
      </c>
    </row>
    <row r="4704" spans="1:10" x14ac:dyDescent="0.35">
      <c r="A4704">
        <v>14742</v>
      </c>
      <c r="B4704" t="s">
        <v>844</v>
      </c>
      <c r="C4704" t="s">
        <v>92</v>
      </c>
      <c r="D4704" t="s">
        <v>780</v>
      </c>
      <c r="E4704" t="s">
        <v>845</v>
      </c>
      <c r="F4704" t="s">
        <v>244</v>
      </c>
      <c r="G4704" s="39">
        <v>44840</v>
      </c>
      <c r="J4704" t="s">
        <v>90</v>
      </c>
    </row>
    <row r="4705" spans="1:10" x14ac:dyDescent="0.35">
      <c r="A4705">
        <v>17389</v>
      </c>
      <c r="B4705" t="s">
        <v>844</v>
      </c>
      <c r="C4705" t="s">
        <v>92</v>
      </c>
      <c r="D4705" t="s">
        <v>780</v>
      </c>
      <c r="E4705" t="s">
        <v>823</v>
      </c>
      <c r="F4705" t="s">
        <v>244</v>
      </c>
      <c r="G4705" s="39">
        <v>45729</v>
      </c>
      <c r="J4705" t="s">
        <v>90</v>
      </c>
    </row>
    <row r="4706" spans="1:10" x14ac:dyDescent="0.35">
      <c r="A4706">
        <v>800020</v>
      </c>
      <c r="B4706" t="s">
        <v>844</v>
      </c>
      <c r="C4706" t="s">
        <v>92</v>
      </c>
      <c r="D4706" t="s">
        <v>791</v>
      </c>
      <c r="E4706" t="s">
        <v>122</v>
      </c>
      <c r="F4706" t="s">
        <v>244</v>
      </c>
      <c r="G4706" s="39">
        <v>39022</v>
      </c>
      <c r="J4706" t="s">
        <v>90</v>
      </c>
    </row>
    <row r="4707" spans="1:10" x14ac:dyDescent="0.35">
      <c r="A4707">
        <v>10956</v>
      </c>
      <c r="B4707" t="s">
        <v>842</v>
      </c>
      <c r="C4707" t="s">
        <v>92</v>
      </c>
      <c r="D4707" t="s">
        <v>92</v>
      </c>
      <c r="E4707" t="s">
        <v>464</v>
      </c>
      <c r="F4707" t="s">
        <v>244</v>
      </c>
      <c r="G4707" s="39">
        <v>42187</v>
      </c>
      <c r="J4707" t="s">
        <v>90</v>
      </c>
    </row>
    <row r="4708" spans="1:10" x14ac:dyDescent="0.35">
      <c r="A4708">
        <v>20023</v>
      </c>
      <c r="B4708" t="s">
        <v>842</v>
      </c>
      <c r="C4708" t="s">
        <v>92</v>
      </c>
      <c r="D4708" t="s">
        <v>780</v>
      </c>
      <c r="E4708" t="s">
        <v>506</v>
      </c>
      <c r="F4708" t="s">
        <v>244</v>
      </c>
      <c r="G4708" s="39">
        <v>36697</v>
      </c>
      <c r="J4708" t="s">
        <v>90</v>
      </c>
    </row>
    <row r="4709" spans="1:10" x14ac:dyDescent="0.35">
      <c r="A4709">
        <v>17776</v>
      </c>
      <c r="B4709" t="s">
        <v>842</v>
      </c>
      <c r="C4709" t="s">
        <v>92</v>
      </c>
      <c r="D4709" t="s">
        <v>780</v>
      </c>
      <c r="E4709" t="s">
        <v>530</v>
      </c>
      <c r="F4709" t="s">
        <v>244</v>
      </c>
      <c r="G4709" s="39">
        <v>45876</v>
      </c>
      <c r="J4709" t="s">
        <v>90</v>
      </c>
    </row>
    <row r="4710" spans="1:10" x14ac:dyDescent="0.35">
      <c r="A4710">
        <v>300165</v>
      </c>
      <c r="B4710" t="s">
        <v>842</v>
      </c>
      <c r="C4710" t="s">
        <v>92</v>
      </c>
      <c r="D4710" t="s">
        <v>780</v>
      </c>
      <c r="E4710" t="s">
        <v>477</v>
      </c>
      <c r="F4710" t="s">
        <v>411</v>
      </c>
      <c r="G4710" s="39">
        <v>43598</v>
      </c>
      <c r="J4710" t="s">
        <v>90</v>
      </c>
    </row>
    <row r="4711" spans="1:10" x14ac:dyDescent="0.35">
      <c r="A4711">
        <v>14522</v>
      </c>
      <c r="B4711" t="s">
        <v>842</v>
      </c>
      <c r="C4711" t="s">
        <v>92</v>
      </c>
      <c r="D4711" t="s">
        <v>780</v>
      </c>
      <c r="E4711" t="s">
        <v>845</v>
      </c>
      <c r="F4711" t="s">
        <v>244</v>
      </c>
      <c r="G4711" s="39">
        <v>44776</v>
      </c>
      <c r="J4711" t="s">
        <v>90</v>
      </c>
    </row>
    <row r="4712" spans="1:10" x14ac:dyDescent="0.35">
      <c r="A4712">
        <v>450046</v>
      </c>
      <c r="B4712" t="s">
        <v>842</v>
      </c>
      <c r="C4712" t="s">
        <v>92</v>
      </c>
      <c r="D4712" t="s">
        <v>780</v>
      </c>
      <c r="E4712" t="s">
        <v>477</v>
      </c>
      <c r="F4712" t="s">
        <v>244</v>
      </c>
      <c r="G4712" s="39">
        <v>43356</v>
      </c>
      <c r="J4712" t="s">
        <v>90</v>
      </c>
    </row>
    <row r="4713" spans="1:10" x14ac:dyDescent="0.35">
      <c r="A4713">
        <v>720047</v>
      </c>
      <c r="B4713" t="s">
        <v>842</v>
      </c>
      <c r="C4713" t="s">
        <v>92</v>
      </c>
      <c r="D4713" t="s">
        <v>780</v>
      </c>
      <c r="E4713" t="s">
        <v>406</v>
      </c>
      <c r="F4713" t="s">
        <v>244</v>
      </c>
      <c r="G4713" s="39">
        <v>43825</v>
      </c>
      <c r="J4713" t="s">
        <v>90</v>
      </c>
    </row>
    <row r="4714" spans="1:10" x14ac:dyDescent="0.35">
      <c r="A4714">
        <v>180067</v>
      </c>
      <c r="B4714" t="s">
        <v>842</v>
      </c>
      <c r="C4714" t="s">
        <v>92</v>
      </c>
      <c r="D4714" t="s">
        <v>780</v>
      </c>
      <c r="E4714" t="s">
        <v>477</v>
      </c>
      <c r="F4714" t="s">
        <v>244</v>
      </c>
      <c r="G4714" s="39">
        <v>44587</v>
      </c>
      <c r="J4714" t="s">
        <v>90</v>
      </c>
    </row>
    <row r="4715" spans="1:10" x14ac:dyDescent="0.35">
      <c r="A4715">
        <v>16730</v>
      </c>
      <c r="B4715" t="s">
        <v>842</v>
      </c>
      <c r="C4715" t="s">
        <v>92</v>
      </c>
      <c r="D4715" t="s">
        <v>780</v>
      </c>
      <c r="E4715" t="s">
        <v>473</v>
      </c>
      <c r="F4715" t="s">
        <v>244</v>
      </c>
      <c r="G4715" s="39">
        <v>45538</v>
      </c>
      <c r="J4715" t="s">
        <v>90</v>
      </c>
    </row>
    <row r="4716" spans="1:10" x14ac:dyDescent="0.35">
      <c r="A4716">
        <v>16268</v>
      </c>
      <c r="B4716" t="s">
        <v>842</v>
      </c>
      <c r="C4716" t="s">
        <v>92</v>
      </c>
      <c r="D4716" t="s">
        <v>780</v>
      </c>
      <c r="E4716" t="s">
        <v>487</v>
      </c>
      <c r="F4716" t="s">
        <v>244</v>
      </c>
      <c r="G4716" s="39">
        <v>45335</v>
      </c>
      <c r="J4716" t="s">
        <v>90</v>
      </c>
    </row>
    <row r="4717" spans="1:10" x14ac:dyDescent="0.35">
      <c r="A4717">
        <v>15965</v>
      </c>
      <c r="B4717" t="s">
        <v>842</v>
      </c>
      <c r="C4717" t="s">
        <v>92</v>
      </c>
      <c r="D4717" t="s">
        <v>791</v>
      </c>
      <c r="E4717" t="s">
        <v>122</v>
      </c>
      <c r="F4717" t="s">
        <v>244</v>
      </c>
      <c r="G4717" s="39">
        <v>45246</v>
      </c>
      <c r="J4717" t="s">
        <v>90</v>
      </c>
    </row>
    <row r="4718" spans="1:10" x14ac:dyDescent="0.35">
      <c r="A4718">
        <v>11632</v>
      </c>
      <c r="B4718" t="s">
        <v>846</v>
      </c>
      <c r="C4718" t="s">
        <v>92</v>
      </c>
      <c r="D4718" t="s">
        <v>92</v>
      </c>
      <c r="E4718" t="s">
        <v>464</v>
      </c>
      <c r="F4718" t="s">
        <v>244</v>
      </c>
      <c r="G4718" s="39">
        <v>42954</v>
      </c>
      <c r="J4718" t="s">
        <v>90</v>
      </c>
    </row>
    <row r="4719" spans="1:10" x14ac:dyDescent="0.35">
      <c r="A4719">
        <v>14870</v>
      </c>
      <c r="B4719" t="s">
        <v>846</v>
      </c>
      <c r="C4719" t="s">
        <v>92</v>
      </c>
      <c r="D4719" t="s">
        <v>780</v>
      </c>
      <c r="E4719" t="s">
        <v>151</v>
      </c>
      <c r="F4719" t="s">
        <v>244</v>
      </c>
      <c r="G4719" s="39">
        <v>44880</v>
      </c>
      <c r="J4719" t="s">
        <v>90</v>
      </c>
    </row>
    <row r="4720" spans="1:10" x14ac:dyDescent="0.35">
      <c r="A4720">
        <v>570043</v>
      </c>
      <c r="B4720" t="s">
        <v>846</v>
      </c>
      <c r="C4720" t="s">
        <v>92</v>
      </c>
      <c r="D4720" t="s">
        <v>780</v>
      </c>
      <c r="E4720" t="s">
        <v>799</v>
      </c>
      <c r="F4720" t="s">
        <v>244</v>
      </c>
      <c r="G4720" s="39">
        <v>43885</v>
      </c>
      <c r="J4720" t="s">
        <v>90</v>
      </c>
    </row>
    <row r="4721" spans="1:10" x14ac:dyDescent="0.35">
      <c r="A4721">
        <v>15115</v>
      </c>
      <c r="B4721" t="s">
        <v>846</v>
      </c>
      <c r="C4721" t="s">
        <v>92</v>
      </c>
      <c r="D4721" t="s">
        <v>780</v>
      </c>
      <c r="E4721" t="s">
        <v>496</v>
      </c>
      <c r="F4721" t="s">
        <v>411</v>
      </c>
      <c r="G4721" s="39">
        <v>44951</v>
      </c>
      <c r="J4721" t="s">
        <v>90</v>
      </c>
    </row>
    <row r="4722" spans="1:10" x14ac:dyDescent="0.35">
      <c r="A4722">
        <v>17045</v>
      </c>
      <c r="B4722" t="s">
        <v>846</v>
      </c>
      <c r="C4722" t="s">
        <v>92</v>
      </c>
      <c r="D4722" t="s">
        <v>780</v>
      </c>
      <c r="E4722" t="s">
        <v>847</v>
      </c>
      <c r="F4722" t="s">
        <v>244</v>
      </c>
      <c r="G4722" s="39">
        <v>45602</v>
      </c>
      <c r="J4722" t="s">
        <v>90</v>
      </c>
    </row>
    <row r="4723" spans="1:10" x14ac:dyDescent="0.35">
      <c r="A4723">
        <v>15963</v>
      </c>
      <c r="B4723" t="s">
        <v>846</v>
      </c>
      <c r="C4723" t="s">
        <v>92</v>
      </c>
      <c r="D4723" t="s">
        <v>780</v>
      </c>
      <c r="E4723" t="s">
        <v>496</v>
      </c>
      <c r="F4723" t="s">
        <v>411</v>
      </c>
      <c r="G4723" s="39">
        <v>45251</v>
      </c>
      <c r="J4723" t="s">
        <v>90</v>
      </c>
    </row>
    <row r="4724" spans="1:10" x14ac:dyDescent="0.35">
      <c r="A4724">
        <v>17101</v>
      </c>
      <c r="B4724" t="s">
        <v>846</v>
      </c>
      <c r="C4724" t="s">
        <v>92</v>
      </c>
      <c r="D4724" t="s">
        <v>780</v>
      </c>
      <c r="E4724" t="s">
        <v>847</v>
      </c>
      <c r="F4724" t="s">
        <v>244</v>
      </c>
      <c r="G4724" s="39">
        <v>45629</v>
      </c>
      <c r="J4724" t="s">
        <v>90</v>
      </c>
    </row>
    <row r="4725" spans="1:10" x14ac:dyDescent="0.35">
      <c r="A4725">
        <v>17889</v>
      </c>
      <c r="B4725" t="s">
        <v>846</v>
      </c>
      <c r="C4725" t="s">
        <v>92</v>
      </c>
      <c r="D4725" t="s">
        <v>780</v>
      </c>
      <c r="E4725" t="s">
        <v>496</v>
      </c>
      <c r="F4725" t="s">
        <v>244</v>
      </c>
      <c r="G4725" s="39">
        <v>45909</v>
      </c>
      <c r="J4725" t="s">
        <v>90</v>
      </c>
    </row>
    <row r="4726" spans="1:10" x14ac:dyDescent="0.35">
      <c r="A4726">
        <v>18069</v>
      </c>
      <c r="B4726" t="s">
        <v>846</v>
      </c>
      <c r="C4726" t="s">
        <v>92</v>
      </c>
      <c r="D4726" t="s">
        <v>780</v>
      </c>
      <c r="E4726" t="s">
        <v>496</v>
      </c>
      <c r="F4726" t="s">
        <v>244</v>
      </c>
      <c r="G4726" s="39">
        <v>45982</v>
      </c>
      <c r="J4726" t="s">
        <v>90</v>
      </c>
    </row>
    <row r="4727" spans="1:10" x14ac:dyDescent="0.35">
      <c r="A4727">
        <v>16681</v>
      </c>
      <c r="B4727" t="s">
        <v>846</v>
      </c>
      <c r="C4727" t="s">
        <v>92</v>
      </c>
      <c r="D4727" t="s">
        <v>780</v>
      </c>
      <c r="E4727" t="s">
        <v>530</v>
      </c>
      <c r="F4727" t="s">
        <v>244</v>
      </c>
      <c r="G4727" s="39">
        <v>45519</v>
      </c>
      <c r="J4727" t="s">
        <v>90</v>
      </c>
    </row>
    <row r="4728" spans="1:10" x14ac:dyDescent="0.35">
      <c r="A4728">
        <v>17166</v>
      </c>
      <c r="B4728" t="s">
        <v>846</v>
      </c>
      <c r="C4728" t="s">
        <v>92</v>
      </c>
      <c r="D4728" t="s">
        <v>780</v>
      </c>
      <c r="E4728" t="s">
        <v>530</v>
      </c>
      <c r="F4728" t="s">
        <v>244</v>
      </c>
      <c r="G4728" s="39">
        <v>45652</v>
      </c>
      <c r="J4728" t="s">
        <v>90</v>
      </c>
    </row>
    <row r="4729" spans="1:10" x14ac:dyDescent="0.35">
      <c r="A4729">
        <v>17226</v>
      </c>
      <c r="B4729" t="s">
        <v>846</v>
      </c>
      <c r="C4729" t="s">
        <v>92</v>
      </c>
      <c r="D4729" t="s">
        <v>780</v>
      </c>
      <c r="E4729" t="s">
        <v>474</v>
      </c>
      <c r="F4729" t="s">
        <v>244</v>
      </c>
      <c r="G4729" s="39">
        <v>45694</v>
      </c>
      <c r="J4729" t="s">
        <v>90</v>
      </c>
    </row>
    <row r="4730" spans="1:10" x14ac:dyDescent="0.35">
      <c r="A4730">
        <v>180032</v>
      </c>
      <c r="B4730" t="s">
        <v>846</v>
      </c>
      <c r="C4730" t="s">
        <v>92</v>
      </c>
      <c r="D4730" t="s">
        <v>780</v>
      </c>
      <c r="E4730" t="s">
        <v>406</v>
      </c>
      <c r="F4730" t="s">
        <v>244</v>
      </c>
      <c r="G4730" s="39">
        <v>39920</v>
      </c>
      <c r="J4730" t="s">
        <v>90</v>
      </c>
    </row>
    <row r="4731" spans="1:10" x14ac:dyDescent="0.35">
      <c r="A4731">
        <v>180045</v>
      </c>
      <c r="B4731" t="s">
        <v>846</v>
      </c>
      <c r="C4731" t="s">
        <v>92</v>
      </c>
      <c r="D4731" t="s">
        <v>780</v>
      </c>
      <c r="E4731" t="s">
        <v>406</v>
      </c>
      <c r="F4731" t="s">
        <v>244</v>
      </c>
      <c r="G4731" s="39">
        <v>43238</v>
      </c>
      <c r="J4731" t="s">
        <v>90</v>
      </c>
    </row>
    <row r="4732" spans="1:10" x14ac:dyDescent="0.35">
      <c r="A4732">
        <v>180065</v>
      </c>
      <c r="B4732" t="s">
        <v>846</v>
      </c>
      <c r="C4732" t="s">
        <v>92</v>
      </c>
      <c r="D4732" t="s">
        <v>780</v>
      </c>
      <c r="E4732" t="s">
        <v>406</v>
      </c>
      <c r="F4732" t="s">
        <v>244</v>
      </c>
      <c r="G4732" s="39">
        <v>44536</v>
      </c>
      <c r="J4732" t="s">
        <v>90</v>
      </c>
    </row>
    <row r="4733" spans="1:10" x14ac:dyDescent="0.35">
      <c r="A4733">
        <v>15691</v>
      </c>
      <c r="B4733" t="s">
        <v>846</v>
      </c>
      <c r="C4733" t="s">
        <v>92</v>
      </c>
      <c r="D4733" t="s">
        <v>780</v>
      </c>
      <c r="E4733" t="s">
        <v>406</v>
      </c>
      <c r="F4733" t="s">
        <v>244</v>
      </c>
      <c r="G4733" s="39">
        <v>45166</v>
      </c>
      <c r="J4733" t="s">
        <v>90</v>
      </c>
    </row>
    <row r="4734" spans="1:10" x14ac:dyDescent="0.35">
      <c r="A4734">
        <v>180055</v>
      </c>
      <c r="B4734" t="s">
        <v>846</v>
      </c>
      <c r="C4734" t="s">
        <v>92</v>
      </c>
      <c r="D4734" t="s">
        <v>780</v>
      </c>
      <c r="E4734" t="s">
        <v>473</v>
      </c>
      <c r="F4734" t="s">
        <v>244</v>
      </c>
      <c r="G4734" s="39">
        <v>44123</v>
      </c>
      <c r="J4734" t="s">
        <v>90</v>
      </c>
    </row>
    <row r="4735" spans="1:10" x14ac:dyDescent="0.35">
      <c r="A4735">
        <v>180069</v>
      </c>
      <c r="B4735" t="s">
        <v>846</v>
      </c>
      <c r="C4735" t="s">
        <v>92</v>
      </c>
      <c r="D4735" t="s">
        <v>780</v>
      </c>
      <c r="E4735" t="s">
        <v>477</v>
      </c>
      <c r="F4735" t="s">
        <v>244</v>
      </c>
      <c r="G4735" s="39">
        <v>44603</v>
      </c>
      <c r="J4735" t="s">
        <v>90</v>
      </c>
    </row>
    <row r="4736" spans="1:10" x14ac:dyDescent="0.35">
      <c r="A4736">
        <v>180068</v>
      </c>
      <c r="B4736" t="s">
        <v>846</v>
      </c>
      <c r="C4736" t="s">
        <v>92</v>
      </c>
      <c r="D4736" t="s">
        <v>780</v>
      </c>
      <c r="E4736" t="s">
        <v>477</v>
      </c>
      <c r="F4736" t="s">
        <v>411</v>
      </c>
      <c r="G4736" s="39">
        <v>44599</v>
      </c>
      <c r="J4736" t="s">
        <v>90</v>
      </c>
    </row>
    <row r="4737" spans="1:10" x14ac:dyDescent="0.35">
      <c r="A4737">
        <v>18138</v>
      </c>
      <c r="B4737" t="s">
        <v>846</v>
      </c>
      <c r="C4737" t="s">
        <v>92</v>
      </c>
      <c r="D4737" t="s">
        <v>780</v>
      </c>
      <c r="E4737" t="s">
        <v>835</v>
      </c>
      <c r="F4737" t="s">
        <v>244</v>
      </c>
      <c r="G4737" s="39">
        <v>46009</v>
      </c>
      <c r="J4737" t="s">
        <v>90</v>
      </c>
    </row>
    <row r="4738" spans="1:10" x14ac:dyDescent="0.35">
      <c r="A4738">
        <v>14083</v>
      </c>
      <c r="B4738" t="s">
        <v>846</v>
      </c>
      <c r="C4738" t="s">
        <v>92</v>
      </c>
      <c r="D4738" t="s">
        <v>780</v>
      </c>
      <c r="E4738" t="s">
        <v>477</v>
      </c>
      <c r="F4738" t="s">
        <v>244</v>
      </c>
      <c r="G4738" s="39">
        <v>44655</v>
      </c>
      <c r="J4738" t="s">
        <v>90</v>
      </c>
    </row>
    <row r="4739" spans="1:10" x14ac:dyDescent="0.35">
      <c r="A4739">
        <v>16995</v>
      </c>
      <c r="B4739" t="s">
        <v>846</v>
      </c>
      <c r="C4739" t="s">
        <v>92</v>
      </c>
      <c r="D4739" t="s">
        <v>780</v>
      </c>
      <c r="E4739" t="s">
        <v>473</v>
      </c>
      <c r="F4739" t="s">
        <v>244</v>
      </c>
      <c r="G4739" s="39">
        <v>45589</v>
      </c>
      <c r="J4739" t="s">
        <v>90</v>
      </c>
    </row>
    <row r="4740" spans="1:10" x14ac:dyDescent="0.35">
      <c r="A4740">
        <v>180066</v>
      </c>
      <c r="B4740" t="s">
        <v>846</v>
      </c>
      <c r="C4740" t="s">
        <v>92</v>
      </c>
      <c r="D4740" t="s">
        <v>827</v>
      </c>
      <c r="E4740" t="s">
        <v>151</v>
      </c>
      <c r="F4740" t="s">
        <v>244</v>
      </c>
      <c r="G4740" s="39">
        <v>44547</v>
      </c>
      <c r="J4740" t="s">
        <v>90</v>
      </c>
    </row>
    <row r="4741" spans="1:10" x14ac:dyDescent="0.35">
      <c r="A4741">
        <v>180064</v>
      </c>
      <c r="B4741" t="s">
        <v>846</v>
      </c>
      <c r="C4741" t="s">
        <v>92</v>
      </c>
      <c r="D4741" t="s">
        <v>827</v>
      </c>
      <c r="E4741" t="s">
        <v>102</v>
      </c>
      <c r="F4741" t="s">
        <v>244</v>
      </c>
      <c r="G4741" s="39">
        <v>44494</v>
      </c>
      <c r="J4741" t="s">
        <v>90</v>
      </c>
    </row>
    <row r="4742" spans="1:10" x14ac:dyDescent="0.35">
      <c r="A4742">
        <v>15831</v>
      </c>
      <c r="B4742" t="s">
        <v>846</v>
      </c>
      <c r="C4742" t="s">
        <v>92</v>
      </c>
      <c r="D4742" t="s">
        <v>827</v>
      </c>
      <c r="E4742" t="s">
        <v>103</v>
      </c>
      <c r="F4742" t="s">
        <v>244</v>
      </c>
      <c r="G4742" s="39">
        <v>45209</v>
      </c>
      <c r="J4742" t="s">
        <v>90</v>
      </c>
    </row>
    <row r="4743" spans="1:10" x14ac:dyDescent="0.35">
      <c r="A4743">
        <v>18910</v>
      </c>
      <c r="B4743" t="s">
        <v>846</v>
      </c>
      <c r="C4743" t="s">
        <v>92</v>
      </c>
      <c r="D4743" t="s">
        <v>827</v>
      </c>
      <c r="E4743" t="s">
        <v>103</v>
      </c>
      <c r="F4743" t="s">
        <v>244</v>
      </c>
      <c r="G4743" s="39">
        <v>46238</v>
      </c>
      <c r="J4743" t="s">
        <v>90</v>
      </c>
    </row>
    <row r="4744" spans="1:10" x14ac:dyDescent="0.35">
      <c r="A4744">
        <v>17629</v>
      </c>
      <c r="B4744" t="s">
        <v>846</v>
      </c>
      <c r="C4744" t="s">
        <v>92</v>
      </c>
      <c r="D4744" t="s">
        <v>827</v>
      </c>
      <c r="E4744" t="s">
        <v>106</v>
      </c>
      <c r="F4744" t="s">
        <v>244</v>
      </c>
      <c r="G4744" s="39">
        <v>45820</v>
      </c>
      <c r="J4744" t="s">
        <v>90</v>
      </c>
    </row>
    <row r="4745" spans="1:10" x14ac:dyDescent="0.35">
      <c r="A4745">
        <v>120014</v>
      </c>
      <c r="B4745" t="s">
        <v>848</v>
      </c>
      <c r="C4745" t="s">
        <v>92</v>
      </c>
      <c r="D4745" t="s">
        <v>92</v>
      </c>
      <c r="E4745" t="s">
        <v>464</v>
      </c>
      <c r="F4745" t="s">
        <v>244</v>
      </c>
      <c r="G4745" s="39">
        <v>39664</v>
      </c>
      <c r="J4745" t="s">
        <v>90</v>
      </c>
    </row>
    <row r="4746" spans="1:10" x14ac:dyDescent="0.35">
      <c r="A4746">
        <v>300052</v>
      </c>
      <c r="B4746" t="s">
        <v>848</v>
      </c>
      <c r="C4746" t="s">
        <v>92</v>
      </c>
      <c r="D4746" t="s">
        <v>780</v>
      </c>
      <c r="E4746" t="s">
        <v>506</v>
      </c>
      <c r="F4746" t="s">
        <v>244</v>
      </c>
      <c r="G4746" s="39">
        <v>42752</v>
      </c>
      <c r="J4746" t="s">
        <v>90</v>
      </c>
    </row>
    <row r="4747" spans="1:10" x14ac:dyDescent="0.35">
      <c r="A4747">
        <v>250014</v>
      </c>
      <c r="B4747" t="s">
        <v>848</v>
      </c>
      <c r="C4747" t="s">
        <v>92</v>
      </c>
      <c r="D4747" t="s">
        <v>780</v>
      </c>
      <c r="E4747" t="s">
        <v>506</v>
      </c>
      <c r="F4747" t="s">
        <v>244</v>
      </c>
      <c r="G4747" s="39">
        <v>36801</v>
      </c>
      <c r="J4747" t="s">
        <v>90</v>
      </c>
    </row>
    <row r="4748" spans="1:10" x14ac:dyDescent="0.35">
      <c r="A4748">
        <v>14752</v>
      </c>
      <c r="B4748" t="s">
        <v>848</v>
      </c>
      <c r="C4748" t="s">
        <v>92</v>
      </c>
      <c r="D4748" t="s">
        <v>780</v>
      </c>
      <c r="E4748" t="s">
        <v>474</v>
      </c>
      <c r="F4748" t="s">
        <v>411</v>
      </c>
      <c r="G4748" s="39">
        <v>44845</v>
      </c>
      <c r="J4748" t="s">
        <v>90</v>
      </c>
    </row>
    <row r="4749" spans="1:10" x14ac:dyDescent="0.35">
      <c r="A4749">
        <v>17169</v>
      </c>
      <c r="B4749" t="s">
        <v>848</v>
      </c>
      <c r="C4749" t="s">
        <v>92</v>
      </c>
      <c r="D4749" t="s">
        <v>780</v>
      </c>
      <c r="E4749" t="s">
        <v>536</v>
      </c>
      <c r="F4749" t="s">
        <v>244</v>
      </c>
      <c r="G4749" s="39">
        <v>45652</v>
      </c>
      <c r="J4749" t="s">
        <v>90</v>
      </c>
    </row>
    <row r="4750" spans="1:10" x14ac:dyDescent="0.35">
      <c r="A4750">
        <v>250033</v>
      </c>
      <c r="B4750" t="s">
        <v>848</v>
      </c>
      <c r="C4750" t="s">
        <v>92</v>
      </c>
      <c r="D4750" t="s">
        <v>780</v>
      </c>
      <c r="E4750" t="s">
        <v>406</v>
      </c>
      <c r="F4750" t="s">
        <v>244</v>
      </c>
      <c r="G4750" s="39">
        <v>42467</v>
      </c>
      <c r="J4750" t="s">
        <v>90</v>
      </c>
    </row>
    <row r="4751" spans="1:10" x14ac:dyDescent="0.35">
      <c r="A4751">
        <v>280009</v>
      </c>
      <c r="B4751" t="s">
        <v>848</v>
      </c>
      <c r="C4751" t="s">
        <v>92</v>
      </c>
      <c r="D4751" t="s">
        <v>780</v>
      </c>
      <c r="E4751" t="s">
        <v>406</v>
      </c>
      <c r="F4751" t="s">
        <v>244</v>
      </c>
      <c r="G4751" s="39">
        <v>39633</v>
      </c>
      <c r="J4751" t="s">
        <v>90</v>
      </c>
    </row>
    <row r="4752" spans="1:10" x14ac:dyDescent="0.35">
      <c r="A4752">
        <v>670038</v>
      </c>
      <c r="B4752" t="s">
        <v>848</v>
      </c>
      <c r="C4752" t="s">
        <v>92</v>
      </c>
      <c r="D4752" t="s">
        <v>780</v>
      </c>
      <c r="E4752" t="s">
        <v>406</v>
      </c>
      <c r="F4752" t="s">
        <v>244</v>
      </c>
      <c r="G4752" s="39">
        <v>43116</v>
      </c>
      <c r="J4752" t="s">
        <v>90</v>
      </c>
    </row>
    <row r="4753" spans="1:10" x14ac:dyDescent="0.35">
      <c r="A4753">
        <v>122013</v>
      </c>
      <c r="B4753" t="s">
        <v>848</v>
      </c>
      <c r="C4753" t="s">
        <v>92</v>
      </c>
      <c r="D4753" t="s">
        <v>780</v>
      </c>
      <c r="E4753" t="s">
        <v>406</v>
      </c>
      <c r="F4753" t="s">
        <v>244</v>
      </c>
      <c r="G4753" s="39">
        <v>42125</v>
      </c>
      <c r="J4753" t="s">
        <v>90</v>
      </c>
    </row>
    <row r="4754" spans="1:10" x14ac:dyDescent="0.35">
      <c r="A4754">
        <v>500009</v>
      </c>
      <c r="B4754" t="s">
        <v>848</v>
      </c>
      <c r="C4754" t="s">
        <v>92</v>
      </c>
      <c r="D4754" t="s">
        <v>780</v>
      </c>
      <c r="E4754" t="s">
        <v>477</v>
      </c>
      <c r="F4754" t="s">
        <v>244</v>
      </c>
      <c r="G4754" s="39">
        <v>38310</v>
      </c>
      <c r="J4754" t="s">
        <v>90</v>
      </c>
    </row>
    <row r="4755" spans="1:10" x14ac:dyDescent="0.35">
      <c r="A4755">
        <v>410047</v>
      </c>
      <c r="B4755" t="s">
        <v>848</v>
      </c>
      <c r="C4755" t="s">
        <v>92</v>
      </c>
      <c r="D4755" t="s">
        <v>780</v>
      </c>
      <c r="E4755" t="s">
        <v>406</v>
      </c>
      <c r="F4755" t="s">
        <v>244</v>
      </c>
      <c r="G4755" s="39">
        <v>42751</v>
      </c>
      <c r="J4755" t="s">
        <v>90</v>
      </c>
    </row>
    <row r="4756" spans="1:10" x14ac:dyDescent="0.35">
      <c r="A4756">
        <v>300254</v>
      </c>
      <c r="B4756" t="s">
        <v>848</v>
      </c>
      <c r="C4756" t="s">
        <v>92</v>
      </c>
      <c r="D4756" t="s">
        <v>780</v>
      </c>
      <c r="E4756" t="s">
        <v>477</v>
      </c>
      <c r="F4756" t="s">
        <v>244</v>
      </c>
      <c r="G4756" s="39">
        <v>44608</v>
      </c>
      <c r="J4756" t="s">
        <v>90</v>
      </c>
    </row>
    <row r="4757" spans="1:10" x14ac:dyDescent="0.35">
      <c r="A4757">
        <v>300148</v>
      </c>
      <c r="B4757" t="s">
        <v>848</v>
      </c>
      <c r="C4757" t="s">
        <v>92</v>
      </c>
      <c r="D4757" t="s">
        <v>780</v>
      </c>
      <c r="E4757" t="s">
        <v>477</v>
      </c>
      <c r="F4757" t="s">
        <v>244</v>
      </c>
      <c r="G4757" s="39">
        <v>43406</v>
      </c>
      <c r="J4757" t="s">
        <v>90</v>
      </c>
    </row>
    <row r="4758" spans="1:10" x14ac:dyDescent="0.35">
      <c r="A4758">
        <v>16407</v>
      </c>
      <c r="B4758" t="s">
        <v>848</v>
      </c>
      <c r="C4758" t="s">
        <v>92</v>
      </c>
      <c r="D4758" t="s">
        <v>780</v>
      </c>
      <c r="E4758" t="s">
        <v>473</v>
      </c>
      <c r="F4758" t="s">
        <v>245</v>
      </c>
      <c r="G4758" s="39">
        <v>45384</v>
      </c>
      <c r="J4758" t="s">
        <v>90</v>
      </c>
    </row>
    <row r="4759" spans="1:10" x14ac:dyDescent="0.35">
      <c r="A4759">
        <v>13666</v>
      </c>
      <c r="B4759" t="s">
        <v>848</v>
      </c>
      <c r="C4759" t="s">
        <v>92</v>
      </c>
      <c r="D4759" t="s">
        <v>780</v>
      </c>
      <c r="E4759" t="s">
        <v>849</v>
      </c>
      <c r="F4759" t="s">
        <v>244</v>
      </c>
      <c r="G4759" s="39">
        <v>44532</v>
      </c>
      <c r="J4759" t="s">
        <v>90</v>
      </c>
    </row>
    <row r="4760" spans="1:10" x14ac:dyDescent="0.35">
      <c r="A4760">
        <v>250040</v>
      </c>
      <c r="B4760" t="s">
        <v>848</v>
      </c>
      <c r="C4760" t="s">
        <v>92</v>
      </c>
      <c r="D4760" t="s">
        <v>780</v>
      </c>
      <c r="E4760" t="s">
        <v>477</v>
      </c>
      <c r="F4760" t="s">
        <v>244</v>
      </c>
      <c r="G4760" s="39">
        <v>43383</v>
      </c>
      <c r="J4760" t="s">
        <v>90</v>
      </c>
    </row>
    <row r="4761" spans="1:10" x14ac:dyDescent="0.35">
      <c r="A4761">
        <v>17852</v>
      </c>
      <c r="B4761" t="s">
        <v>848</v>
      </c>
      <c r="C4761" t="s">
        <v>92</v>
      </c>
      <c r="D4761" t="s">
        <v>780</v>
      </c>
      <c r="E4761" t="s">
        <v>473</v>
      </c>
      <c r="F4761" t="s">
        <v>244</v>
      </c>
      <c r="G4761" s="39">
        <v>45891</v>
      </c>
      <c r="J4761" t="s">
        <v>90</v>
      </c>
    </row>
    <row r="4762" spans="1:10" x14ac:dyDescent="0.35">
      <c r="A4762">
        <v>17158</v>
      </c>
      <c r="B4762" t="s">
        <v>848</v>
      </c>
      <c r="C4762" t="s">
        <v>92</v>
      </c>
      <c r="D4762" t="s">
        <v>791</v>
      </c>
      <c r="E4762" t="s">
        <v>122</v>
      </c>
      <c r="F4762" t="s">
        <v>244</v>
      </c>
      <c r="G4762" s="39">
        <v>45651</v>
      </c>
      <c r="J4762" t="s">
        <v>90</v>
      </c>
    </row>
    <row r="4763" spans="1:10" x14ac:dyDescent="0.35">
      <c r="A4763">
        <v>300030</v>
      </c>
      <c r="B4763" t="s">
        <v>850</v>
      </c>
      <c r="C4763" t="s">
        <v>92</v>
      </c>
      <c r="D4763" t="s">
        <v>92</v>
      </c>
      <c r="E4763" t="s">
        <v>464</v>
      </c>
      <c r="F4763" t="s">
        <v>244</v>
      </c>
      <c r="G4763" s="39">
        <v>42342</v>
      </c>
      <c r="J4763" t="s">
        <v>90</v>
      </c>
    </row>
    <row r="4764" spans="1:10" x14ac:dyDescent="0.35">
      <c r="A4764">
        <v>740019</v>
      </c>
      <c r="B4764" t="s">
        <v>850</v>
      </c>
      <c r="C4764" t="s">
        <v>92</v>
      </c>
      <c r="D4764" t="s">
        <v>780</v>
      </c>
      <c r="E4764" t="s">
        <v>506</v>
      </c>
      <c r="F4764" t="s">
        <v>244</v>
      </c>
      <c r="G4764" s="39">
        <v>42241</v>
      </c>
      <c r="J4764" t="s">
        <v>90</v>
      </c>
    </row>
    <row r="4765" spans="1:10" x14ac:dyDescent="0.35">
      <c r="A4765">
        <v>120040</v>
      </c>
      <c r="B4765" t="s">
        <v>850</v>
      </c>
      <c r="C4765" t="s">
        <v>92</v>
      </c>
      <c r="D4765" t="s">
        <v>780</v>
      </c>
      <c r="E4765" t="s">
        <v>406</v>
      </c>
      <c r="F4765" t="s">
        <v>244</v>
      </c>
      <c r="G4765" s="39">
        <v>43199</v>
      </c>
      <c r="J4765" t="s">
        <v>90</v>
      </c>
    </row>
    <row r="4766" spans="1:10" x14ac:dyDescent="0.35">
      <c r="A4766">
        <v>14888</v>
      </c>
      <c r="B4766" t="s">
        <v>850</v>
      </c>
      <c r="C4766" t="s">
        <v>92</v>
      </c>
      <c r="D4766" t="s">
        <v>780</v>
      </c>
      <c r="E4766" t="s">
        <v>477</v>
      </c>
      <c r="F4766" t="s">
        <v>244</v>
      </c>
      <c r="G4766" s="39">
        <v>44882</v>
      </c>
      <c r="J4766" t="s">
        <v>90</v>
      </c>
    </row>
    <row r="4767" spans="1:10" x14ac:dyDescent="0.35">
      <c r="A4767">
        <v>15011</v>
      </c>
      <c r="B4767" t="s">
        <v>850</v>
      </c>
      <c r="C4767" t="s">
        <v>92</v>
      </c>
      <c r="D4767" t="s">
        <v>791</v>
      </c>
      <c r="E4767" t="s">
        <v>122</v>
      </c>
      <c r="F4767" t="s">
        <v>244</v>
      </c>
      <c r="G4767" s="39">
        <v>44915</v>
      </c>
      <c r="J4767" t="s">
        <v>90</v>
      </c>
    </row>
    <row r="4768" spans="1:10" x14ac:dyDescent="0.35">
      <c r="A4768">
        <v>870025</v>
      </c>
      <c r="B4768" t="s">
        <v>851</v>
      </c>
      <c r="C4768" t="s">
        <v>92</v>
      </c>
      <c r="D4768" t="s">
        <v>92</v>
      </c>
      <c r="E4768" t="s">
        <v>464</v>
      </c>
      <c r="F4768" t="s">
        <v>244</v>
      </c>
      <c r="G4768" s="39">
        <v>42269</v>
      </c>
      <c r="J4768" t="s">
        <v>90</v>
      </c>
    </row>
    <row r="4769" spans="1:10" x14ac:dyDescent="0.35">
      <c r="A4769">
        <v>500037</v>
      </c>
      <c r="B4769" t="s">
        <v>851</v>
      </c>
      <c r="C4769" t="s">
        <v>92</v>
      </c>
      <c r="D4769" t="s">
        <v>780</v>
      </c>
      <c r="E4769" t="s">
        <v>151</v>
      </c>
      <c r="F4769" t="s">
        <v>244</v>
      </c>
      <c r="G4769" s="39">
        <v>42970</v>
      </c>
      <c r="J4769" t="s">
        <v>90</v>
      </c>
    </row>
    <row r="4770" spans="1:10" x14ac:dyDescent="0.35">
      <c r="A4770">
        <v>120036</v>
      </c>
      <c r="B4770" t="s">
        <v>851</v>
      </c>
      <c r="C4770" t="s">
        <v>92</v>
      </c>
      <c r="D4770" t="s">
        <v>780</v>
      </c>
      <c r="E4770" t="s">
        <v>506</v>
      </c>
      <c r="F4770" t="s">
        <v>244</v>
      </c>
      <c r="G4770" s="39">
        <v>42780</v>
      </c>
      <c r="J4770" t="s">
        <v>90</v>
      </c>
    </row>
    <row r="4771" spans="1:10" x14ac:dyDescent="0.35">
      <c r="A4771">
        <v>450032</v>
      </c>
      <c r="B4771" t="s">
        <v>851</v>
      </c>
      <c r="C4771" t="s">
        <v>92</v>
      </c>
      <c r="D4771" t="s">
        <v>780</v>
      </c>
      <c r="E4771" t="s">
        <v>506</v>
      </c>
      <c r="F4771" t="s">
        <v>244</v>
      </c>
      <c r="G4771" s="39">
        <v>42417</v>
      </c>
      <c r="J4771" t="s">
        <v>90</v>
      </c>
    </row>
    <row r="4772" spans="1:10" x14ac:dyDescent="0.35">
      <c r="A4772">
        <v>640002</v>
      </c>
      <c r="B4772" t="s">
        <v>851</v>
      </c>
      <c r="C4772" t="s">
        <v>92</v>
      </c>
      <c r="D4772" t="s">
        <v>780</v>
      </c>
      <c r="E4772" t="s">
        <v>548</v>
      </c>
      <c r="F4772" t="s">
        <v>244</v>
      </c>
      <c r="G4772" s="39">
        <v>39022</v>
      </c>
      <c r="J4772" t="s">
        <v>90</v>
      </c>
    </row>
    <row r="4773" spans="1:10" x14ac:dyDescent="0.35">
      <c r="A4773">
        <v>150019</v>
      </c>
      <c r="B4773" t="s">
        <v>851</v>
      </c>
      <c r="C4773" t="s">
        <v>92</v>
      </c>
      <c r="D4773" t="s">
        <v>780</v>
      </c>
      <c r="E4773" t="s">
        <v>406</v>
      </c>
      <c r="F4773" t="s">
        <v>244</v>
      </c>
      <c r="G4773" s="39">
        <v>38411</v>
      </c>
      <c r="J4773" t="s">
        <v>90</v>
      </c>
    </row>
    <row r="4774" spans="1:10" x14ac:dyDescent="0.35">
      <c r="A4774">
        <v>300061</v>
      </c>
      <c r="B4774" t="s">
        <v>851</v>
      </c>
      <c r="C4774" t="s">
        <v>92</v>
      </c>
      <c r="D4774" t="s">
        <v>780</v>
      </c>
      <c r="E4774" t="s">
        <v>406</v>
      </c>
      <c r="F4774" t="s">
        <v>411</v>
      </c>
      <c r="G4774" s="39">
        <v>42790</v>
      </c>
      <c r="J4774" t="s">
        <v>90</v>
      </c>
    </row>
    <row r="4775" spans="1:10" x14ac:dyDescent="0.35">
      <c r="A4775">
        <v>250008</v>
      </c>
      <c r="B4775" t="s">
        <v>851</v>
      </c>
      <c r="C4775" t="s">
        <v>92</v>
      </c>
      <c r="D4775" t="s">
        <v>780</v>
      </c>
      <c r="E4775" t="s">
        <v>406</v>
      </c>
      <c r="F4775" t="s">
        <v>411</v>
      </c>
      <c r="G4775" s="39">
        <v>41198</v>
      </c>
      <c r="J4775" t="s">
        <v>90</v>
      </c>
    </row>
    <row r="4776" spans="1:10" x14ac:dyDescent="0.35">
      <c r="A4776">
        <v>19203</v>
      </c>
      <c r="B4776" t="s">
        <v>851</v>
      </c>
      <c r="C4776" t="s">
        <v>92</v>
      </c>
      <c r="D4776" t="s">
        <v>780</v>
      </c>
      <c r="E4776" t="s">
        <v>835</v>
      </c>
      <c r="F4776" t="s">
        <v>244</v>
      </c>
      <c r="G4776" s="39">
        <v>46281</v>
      </c>
      <c r="J4776" t="s">
        <v>90</v>
      </c>
    </row>
    <row r="4777" spans="1:10" x14ac:dyDescent="0.35">
      <c r="A4777">
        <v>137004</v>
      </c>
      <c r="B4777" t="s">
        <v>851</v>
      </c>
      <c r="C4777" t="s">
        <v>92</v>
      </c>
      <c r="D4777" t="s">
        <v>780</v>
      </c>
      <c r="E4777" t="s">
        <v>406</v>
      </c>
      <c r="F4777" t="s">
        <v>244</v>
      </c>
      <c r="G4777" s="39">
        <v>44179</v>
      </c>
      <c r="J4777" t="s">
        <v>90</v>
      </c>
    </row>
    <row r="4778" spans="1:10" x14ac:dyDescent="0.35">
      <c r="A4778">
        <v>160043</v>
      </c>
      <c r="B4778" t="s">
        <v>851</v>
      </c>
      <c r="C4778" t="s">
        <v>92</v>
      </c>
      <c r="D4778" t="s">
        <v>780</v>
      </c>
      <c r="E4778" t="s">
        <v>406</v>
      </c>
      <c r="F4778" t="s">
        <v>244</v>
      </c>
      <c r="G4778" s="39">
        <v>42804</v>
      </c>
      <c r="J4778" t="s">
        <v>90</v>
      </c>
    </row>
    <row r="4779" spans="1:10" x14ac:dyDescent="0.35">
      <c r="A4779">
        <v>300142</v>
      </c>
      <c r="B4779" t="s">
        <v>851</v>
      </c>
      <c r="C4779" t="s">
        <v>92</v>
      </c>
      <c r="D4779" t="s">
        <v>780</v>
      </c>
      <c r="E4779" t="s">
        <v>406</v>
      </c>
      <c r="F4779" t="s">
        <v>244</v>
      </c>
      <c r="G4779" s="39">
        <v>43348</v>
      </c>
      <c r="J4779" t="s">
        <v>90</v>
      </c>
    </row>
    <row r="4780" spans="1:10" x14ac:dyDescent="0.35">
      <c r="A4780">
        <v>116019</v>
      </c>
      <c r="B4780" t="s">
        <v>851</v>
      </c>
      <c r="C4780" t="s">
        <v>92</v>
      </c>
      <c r="D4780" t="s">
        <v>780</v>
      </c>
      <c r="E4780" t="s">
        <v>406</v>
      </c>
      <c r="F4780" t="s">
        <v>244</v>
      </c>
      <c r="G4780" s="39">
        <v>43577</v>
      </c>
      <c r="J4780" t="s">
        <v>90</v>
      </c>
    </row>
    <row r="4781" spans="1:10" x14ac:dyDescent="0.35">
      <c r="A4781">
        <v>780021</v>
      </c>
      <c r="B4781" t="s">
        <v>851</v>
      </c>
      <c r="C4781" t="s">
        <v>92</v>
      </c>
      <c r="D4781" t="s">
        <v>780</v>
      </c>
      <c r="E4781" t="s">
        <v>406</v>
      </c>
      <c r="F4781" t="s">
        <v>244</v>
      </c>
      <c r="G4781" s="39">
        <v>44624</v>
      </c>
      <c r="J4781" t="s">
        <v>90</v>
      </c>
    </row>
    <row r="4782" spans="1:10" x14ac:dyDescent="0.35">
      <c r="A4782">
        <v>230048</v>
      </c>
      <c r="B4782" t="s">
        <v>851</v>
      </c>
      <c r="C4782" t="s">
        <v>92</v>
      </c>
      <c r="D4782" t="s">
        <v>780</v>
      </c>
      <c r="E4782" t="s">
        <v>406</v>
      </c>
      <c r="F4782" t="s">
        <v>244</v>
      </c>
      <c r="G4782" s="39">
        <v>44594</v>
      </c>
      <c r="J4782" t="s">
        <v>90</v>
      </c>
    </row>
    <row r="4783" spans="1:10" x14ac:dyDescent="0.35">
      <c r="A4783">
        <v>450044</v>
      </c>
      <c r="B4783" t="s">
        <v>851</v>
      </c>
      <c r="C4783" t="s">
        <v>92</v>
      </c>
      <c r="D4783" t="s">
        <v>780</v>
      </c>
      <c r="E4783" t="s">
        <v>406</v>
      </c>
      <c r="F4783" t="s">
        <v>244</v>
      </c>
      <c r="G4783" s="39">
        <v>43258</v>
      </c>
      <c r="J4783" t="s">
        <v>90</v>
      </c>
    </row>
    <row r="4784" spans="1:10" x14ac:dyDescent="0.35">
      <c r="A4784">
        <v>137016</v>
      </c>
      <c r="B4784" t="s">
        <v>851</v>
      </c>
      <c r="C4784" t="s">
        <v>92</v>
      </c>
      <c r="D4784" t="s">
        <v>780</v>
      </c>
      <c r="E4784" t="s">
        <v>477</v>
      </c>
      <c r="F4784" t="s">
        <v>244</v>
      </c>
      <c r="G4784" s="39">
        <v>44578</v>
      </c>
      <c r="J4784" t="s">
        <v>90</v>
      </c>
    </row>
    <row r="4785" spans="1:10" x14ac:dyDescent="0.35">
      <c r="A4785">
        <v>15097</v>
      </c>
      <c r="B4785" t="s">
        <v>851</v>
      </c>
      <c r="C4785" t="s">
        <v>92</v>
      </c>
      <c r="D4785" t="s">
        <v>780</v>
      </c>
      <c r="E4785" t="s">
        <v>477</v>
      </c>
      <c r="F4785" t="s">
        <v>244</v>
      </c>
      <c r="G4785" s="39">
        <v>44945</v>
      </c>
      <c r="J4785" t="s">
        <v>90</v>
      </c>
    </row>
    <row r="4786" spans="1:10" x14ac:dyDescent="0.35">
      <c r="A4786">
        <v>142001</v>
      </c>
      <c r="B4786" t="s">
        <v>851</v>
      </c>
      <c r="C4786" t="s">
        <v>92</v>
      </c>
      <c r="D4786" t="s">
        <v>780</v>
      </c>
      <c r="E4786" t="s">
        <v>477</v>
      </c>
      <c r="F4786" t="s">
        <v>244</v>
      </c>
      <c r="G4786" s="39">
        <v>44123</v>
      </c>
      <c r="J4786" t="s">
        <v>90</v>
      </c>
    </row>
    <row r="4787" spans="1:10" x14ac:dyDescent="0.35">
      <c r="A4787">
        <v>300183</v>
      </c>
      <c r="B4787" t="s">
        <v>851</v>
      </c>
      <c r="C4787" t="s">
        <v>92</v>
      </c>
      <c r="D4787" t="s">
        <v>780</v>
      </c>
      <c r="E4787" t="s">
        <v>477</v>
      </c>
      <c r="F4787" t="s">
        <v>244</v>
      </c>
      <c r="G4787" s="39">
        <v>43698</v>
      </c>
      <c r="J4787" t="s">
        <v>90</v>
      </c>
    </row>
    <row r="4788" spans="1:10" x14ac:dyDescent="0.35">
      <c r="A4788">
        <v>15348</v>
      </c>
      <c r="B4788" t="s">
        <v>851</v>
      </c>
      <c r="C4788" t="s">
        <v>92</v>
      </c>
      <c r="D4788" t="s">
        <v>780</v>
      </c>
      <c r="E4788" t="s">
        <v>477</v>
      </c>
      <c r="F4788" t="s">
        <v>244</v>
      </c>
      <c r="G4788" s="39">
        <v>45036</v>
      </c>
      <c r="J4788" t="s">
        <v>90</v>
      </c>
    </row>
    <row r="4789" spans="1:10" x14ac:dyDescent="0.35">
      <c r="A4789">
        <v>14553</v>
      </c>
      <c r="B4789" t="s">
        <v>851</v>
      </c>
      <c r="C4789" t="s">
        <v>92</v>
      </c>
      <c r="D4789" t="s">
        <v>780</v>
      </c>
      <c r="E4789" t="s">
        <v>473</v>
      </c>
      <c r="F4789" t="s">
        <v>244</v>
      </c>
      <c r="G4789" s="39">
        <v>44782</v>
      </c>
      <c r="J4789" t="s">
        <v>90</v>
      </c>
    </row>
    <row r="4790" spans="1:10" x14ac:dyDescent="0.35">
      <c r="A4790">
        <v>17173</v>
      </c>
      <c r="B4790" t="s">
        <v>851</v>
      </c>
      <c r="C4790" t="s">
        <v>92</v>
      </c>
      <c r="D4790" t="s">
        <v>780</v>
      </c>
      <c r="E4790" t="s">
        <v>473</v>
      </c>
      <c r="F4790" t="s">
        <v>244</v>
      </c>
      <c r="G4790" s="39">
        <v>45653</v>
      </c>
      <c r="J4790" t="s">
        <v>90</v>
      </c>
    </row>
    <row r="4791" spans="1:10" x14ac:dyDescent="0.35">
      <c r="A4791">
        <v>410061</v>
      </c>
      <c r="B4791" t="s">
        <v>851</v>
      </c>
      <c r="C4791" t="s">
        <v>92</v>
      </c>
      <c r="D4791" t="s">
        <v>780</v>
      </c>
      <c r="E4791" t="s">
        <v>487</v>
      </c>
      <c r="F4791" t="s">
        <v>244</v>
      </c>
      <c r="G4791" s="39">
        <v>44312</v>
      </c>
      <c r="J4791" t="s">
        <v>90</v>
      </c>
    </row>
    <row r="4792" spans="1:10" x14ac:dyDescent="0.35">
      <c r="A4792">
        <v>18489</v>
      </c>
      <c r="B4792" t="s">
        <v>851</v>
      </c>
      <c r="C4792" t="s">
        <v>92</v>
      </c>
      <c r="D4792" t="s">
        <v>780</v>
      </c>
      <c r="E4792" t="s">
        <v>475</v>
      </c>
      <c r="F4792" t="s">
        <v>244</v>
      </c>
      <c r="G4792" s="39">
        <v>46140</v>
      </c>
      <c r="J4792" t="s">
        <v>90</v>
      </c>
    </row>
    <row r="4793" spans="1:10" x14ac:dyDescent="0.35">
      <c r="A4793">
        <v>137015</v>
      </c>
      <c r="B4793" t="s">
        <v>851</v>
      </c>
      <c r="C4793" t="s">
        <v>92</v>
      </c>
      <c r="D4793" t="s">
        <v>827</v>
      </c>
      <c r="E4793" t="s">
        <v>151</v>
      </c>
      <c r="F4793" t="s">
        <v>244</v>
      </c>
      <c r="G4793" s="39">
        <v>44574</v>
      </c>
      <c r="J4793" t="s">
        <v>90</v>
      </c>
    </row>
    <row r="4794" spans="1:10" x14ac:dyDescent="0.35">
      <c r="A4794">
        <v>137014</v>
      </c>
      <c r="B4794" t="s">
        <v>851</v>
      </c>
      <c r="C4794" t="s">
        <v>92</v>
      </c>
      <c r="D4794" t="s">
        <v>827</v>
      </c>
      <c r="E4794" t="s">
        <v>109</v>
      </c>
      <c r="F4794" t="s">
        <v>244</v>
      </c>
      <c r="G4794" s="39">
        <v>44568</v>
      </c>
      <c r="J4794" t="s">
        <v>90</v>
      </c>
    </row>
    <row r="4795" spans="1:10" x14ac:dyDescent="0.35">
      <c r="A4795">
        <v>14971</v>
      </c>
      <c r="B4795" t="s">
        <v>851</v>
      </c>
      <c r="C4795" t="s">
        <v>92</v>
      </c>
      <c r="D4795" t="s">
        <v>827</v>
      </c>
      <c r="E4795" t="s">
        <v>102</v>
      </c>
      <c r="F4795" t="s">
        <v>244</v>
      </c>
      <c r="G4795" s="39">
        <v>44902</v>
      </c>
      <c r="J4795" t="s">
        <v>90</v>
      </c>
    </row>
    <row r="4796" spans="1:10" x14ac:dyDescent="0.35">
      <c r="A4796">
        <v>16672</v>
      </c>
      <c r="B4796" t="s">
        <v>851</v>
      </c>
      <c r="C4796" t="s">
        <v>92</v>
      </c>
      <c r="D4796" t="s">
        <v>827</v>
      </c>
      <c r="E4796" t="s">
        <v>102</v>
      </c>
      <c r="F4796" t="s">
        <v>244</v>
      </c>
      <c r="G4796" s="39">
        <v>45516</v>
      </c>
      <c r="J4796" t="s">
        <v>90</v>
      </c>
    </row>
    <row r="4797" spans="1:10" x14ac:dyDescent="0.35">
      <c r="A4797">
        <v>17679</v>
      </c>
      <c r="B4797" t="s">
        <v>851</v>
      </c>
      <c r="C4797" t="s">
        <v>92</v>
      </c>
      <c r="D4797" t="s">
        <v>827</v>
      </c>
      <c r="E4797" t="s">
        <v>103</v>
      </c>
      <c r="F4797" t="s">
        <v>244</v>
      </c>
      <c r="G4797" s="39">
        <v>45842</v>
      </c>
      <c r="J4797" t="s">
        <v>90</v>
      </c>
    </row>
    <row r="4798" spans="1:10" x14ac:dyDescent="0.35">
      <c r="A4798">
        <v>670035</v>
      </c>
      <c r="B4798" t="s">
        <v>851</v>
      </c>
      <c r="C4798" t="s">
        <v>92</v>
      </c>
      <c r="D4798" t="s">
        <v>791</v>
      </c>
      <c r="E4798" t="s">
        <v>122</v>
      </c>
      <c r="F4798" t="s">
        <v>244</v>
      </c>
      <c r="G4798" s="39">
        <v>42573</v>
      </c>
      <c r="J4798" t="s">
        <v>90</v>
      </c>
    </row>
    <row r="4799" spans="1:10" x14ac:dyDescent="0.35">
      <c r="A4799">
        <v>11721</v>
      </c>
      <c r="B4799" t="s">
        <v>466</v>
      </c>
      <c r="C4799" t="s">
        <v>92</v>
      </c>
      <c r="D4799" t="s">
        <v>92</v>
      </c>
      <c r="E4799" t="s">
        <v>464</v>
      </c>
      <c r="F4799" t="s">
        <v>244</v>
      </c>
      <c r="G4799" s="39">
        <v>43061</v>
      </c>
      <c r="J4799" t="s">
        <v>90</v>
      </c>
    </row>
    <row r="4800" spans="1:10" x14ac:dyDescent="0.35">
      <c r="A4800">
        <v>980027</v>
      </c>
      <c r="B4800" t="s">
        <v>466</v>
      </c>
      <c r="C4800" t="s">
        <v>92</v>
      </c>
      <c r="D4800" t="s">
        <v>780</v>
      </c>
      <c r="E4800" t="s">
        <v>548</v>
      </c>
      <c r="F4800" t="s">
        <v>244</v>
      </c>
      <c r="G4800" s="39">
        <v>44179</v>
      </c>
      <c r="J4800" t="s">
        <v>90</v>
      </c>
    </row>
    <row r="4801" spans="1:10" x14ac:dyDescent="0.35">
      <c r="A4801">
        <v>15901</v>
      </c>
      <c r="B4801" t="s">
        <v>466</v>
      </c>
      <c r="C4801" t="s">
        <v>92</v>
      </c>
      <c r="D4801" t="s">
        <v>780</v>
      </c>
      <c r="E4801" t="s">
        <v>531</v>
      </c>
      <c r="F4801" t="s">
        <v>244</v>
      </c>
      <c r="G4801" s="39">
        <v>45234</v>
      </c>
      <c r="J4801" t="s">
        <v>90</v>
      </c>
    </row>
    <row r="4802" spans="1:10" x14ac:dyDescent="0.35">
      <c r="A4802">
        <v>14170</v>
      </c>
      <c r="B4802" t="s">
        <v>466</v>
      </c>
      <c r="C4802" t="s">
        <v>92</v>
      </c>
      <c r="D4802" t="s">
        <v>780</v>
      </c>
      <c r="E4802" t="s">
        <v>487</v>
      </c>
      <c r="F4802" t="s">
        <v>244</v>
      </c>
      <c r="G4802" s="39">
        <v>44686</v>
      </c>
      <c r="J4802" t="s">
        <v>90</v>
      </c>
    </row>
    <row r="4803" spans="1:10" x14ac:dyDescent="0.35">
      <c r="A4803">
        <v>840019</v>
      </c>
      <c r="B4803" t="s">
        <v>466</v>
      </c>
      <c r="C4803" t="s">
        <v>92</v>
      </c>
      <c r="D4803" t="s">
        <v>780</v>
      </c>
      <c r="E4803" t="s">
        <v>406</v>
      </c>
      <c r="F4803" t="s">
        <v>244</v>
      </c>
      <c r="G4803" s="39">
        <v>43367</v>
      </c>
      <c r="J4803" t="s">
        <v>90</v>
      </c>
    </row>
    <row r="4804" spans="1:10" x14ac:dyDescent="0.35">
      <c r="A4804">
        <v>14145</v>
      </c>
      <c r="B4804" t="s">
        <v>466</v>
      </c>
      <c r="C4804" t="s">
        <v>92</v>
      </c>
      <c r="D4804" t="s">
        <v>780</v>
      </c>
      <c r="E4804" t="s">
        <v>477</v>
      </c>
      <c r="F4804" t="s">
        <v>244</v>
      </c>
      <c r="G4804" s="39">
        <v>44673</v>
      </c>
      <c r="J4804" t="s">
        <v>90</v>
      </c>
    </row>
    <row r="4805" spans="1:10" x14ac:dyDescent="0.35">
      <c r="A4805">
        <v>170042</v>
      </c>
      <c r="B4805" t="s">
        <v>466</v>
      </c>
      <c r="C4805" t="s">
        <v>92</v>
      </c>
      <c r="D4805" t="s">
        <v>780</v>
      </c>
      <c r="E4805" t="s">
        <v>477</v>
      </c>
      <c r="F4805" t="s">
        <v>244</v>
      </c>
      <c r="G4805" s="39">
        <v>43720</v>
      </c>
      <c r="J4805" t="s">
        <v>90</v>
      </c>
    </row>
    <row r="4806" spans="1:10" x14ac:dyDescent="0.35">
      <c r="A4806">
        <v>15961</v>
      </c>
      <c r="B4806" t="s">
        <v>466</v>
      </c>
      <c r="C4806" t="s">
        <v>92</v>
      </c>
      <c r="D4806" t="s">
        <v>780</v>
      </c>
      <c r="E4806" t="s">
        <v>473</v>
      </c>
      <c r="F4806" t="s">
        <v>411</v>
      </c>
      <c r="G4806" s="39">
        <v>45250</v>
      </c>
      <c r="J4806" t="s">
        <v>90</v>
      </c>
    </row>
    <row r="4807" spans="1:10" x14ac:dyDescent="0.35">
      <c r="A4807">
        <v>15585</v>
      </c>
      <c r="B4807" t="s">
        <v>466</v>
      </c>
      <c r="C4807" t="s">
        <v>92</v>
      </c>
      <c r="D4807" t="s">
        <v>780</v>
      </c>
      <c r="E4807" t="s">
        <v>845</v>
      </c>
      <c r="F4807" t="s">
        <v>244</v>
      </c>
      <c r="G4807" s="39">
        <v>45132</v>
      </c>
      <c r="J4807" t="s">
        <v>90</v>
      </c>
    </row>
    <row r="4808" spans="1:10" x14ac:dyDescent="0.35">
      <c r="A4808">
        <v>143001</v>
      </c>
      <c r="B4808" t="s">
        <v>466</v>
      </c>
      <c r="C4808" t="s">
        <v>92</v>
      </c>
      <c r="D4808" t="s">
        <v>791</v>
      </c>
      <c r="E4808" t="s">
        <v>122</v>
      </c>
      <c r="F4808" t="s">
        <v>244</v>
      </c>
      <c r="G4808" s="39">
        <v>44424</v>
      </c>
      <c r="J4808" t="s">
        <v>90</v>
      </c>
    </row>
    <row r="4809" spans="1:10" x14ac:dyDescent="0.35">
      <c r="A4809">
        <v>14564</v>
      </c>
      <c r="B4809" t="s">
        <v>462</v>
      </c>
      <c r="C4809" t="s">
        <v>92</v>
      </c>
      <c r="D4809" t="s">
        <v>780</v>
      </c>
      <c r="E4809" t="s">
        <v>782</v>
      </c>
      <c r="F4809" t="s">
        <v>244</v>
      </c>
      <c r="G4809" s="39">
        <v>44784</v>
      </c>
      <c r="J4809" t="s">
        <v>90</v>
      </c>
    </row>
    <row r="4810" spans="1:10" x14ac:dyDescent="0.35">
      <c r="A4810">
        <v>15902</v>
      </c>
      <c r="B4810" t="s">
        <v>462</v>
      </c>
      <c r="C4810" t="s">
        <v>92</v>
      </c>
      <c r="D4810" t="s">
        <v>780</v>
      </c>
      <c r="E4810" t="s">
        <v>782</v>
      </c>
      <c r="F4810" t="s">
        <v>244</v>
      </c>
      <c r="G4810" s="39">
        <v>45234</v>
      </c>
      <c r="J4810" t="s">
        <v>90</v>
      </c>
    </row>
    <row r="4811" spans="1:10" x14ac:dyDescent="0.35">
      <c r="A4811">
        <v>17390</v>
      </c>
      <c r="B4811" t="s">
        <v>462</v>
      </c>
      <c r="C4811" t="s">
        <v>92</v>
      </c>
      <c r="D4811" t="s">
        <v>780</v>
      </c>
      <c r="E4811" t="s">
        <v>496</v>
      </c>
      <c r="F4811" t="s">
        <v>244</v>
      </c>
      <c r="G4811" s="39">
        <v>45730</v>
      </c>
      <c r="J4811" t="s">
        <v>90</v>
      </c>
    </row>
    <row r="4812" spans="1:10" x14ac:dyDescent="0.35">
      <c r="A4812">
        <v>10634</v>
      </c>
      <c r="B4812" t="s">
        <v>852</v>
      </c>
      <c r="C4812" t="s">
        <v>92</v>
      </c>
      <c r="D4812" t="s">
        <v>92</v>
      </c>
      <c r="E4812" t="s">
        <v>464</v>
      </c>
      <c r="F4812" t="s">
        <v>244</v>
      </c>
      <c r="G4812" s="39">
        <v>41061</v>
      </c>
      <c r="J4812" t="s">
        <v>90</v>
      </c>
    </row>
    <row r="4813" spans="1:10" x14ac:dyDescent="0.35">
      <c r="A4813">
        <v>110020</v>
      </c>
      <c r="B4813" t="s">
        <v>852</v>
      </c>
      <c r="C4813" t="s">
        <v>92</v>
      </c>
      <c r="D4813" t="s">
        <v>780</v>
      </c>
      <c r="E4813" t="s">
        <v>151</v>
      </c>
      <c r="F4813" t="s">
        <v>244</v>
      </c>
      <c r="G4813" s="39">
        <v>42383</v>
      </c>
      <c r="J4813" t="s">
        <v>90</v>
      </c>
    </row>
    <row r="4814" spans="1:10" x14ac:dyDescent="0.35">
      <c r="A4814">
        <v>16690</v>
      </c>
      <c r="B4814" t="s">
        <v>852</v>
      </c>
      <c r="C4814" t="s">
        <v>92</v>
      </c>
      <c r="D4814" t="s">
        <v>780</v>
      </c>
      <c r="E4814" t="s">
        <v>531</v>
      </c>
      <c r="F4814" t="s">
        <v>244</v>
      </c>
      <c r="G4814" s="39">
        <v>45525</v>
      </c>
      <c r="J4814" t="s">
        <v>90</v>
      </c>
    </row>
    <row r="4815" spans="1:10" x14ac:dyDescent="0.35">
      <c r="A4815">
        <v>300172</v>
      </c>
      <c r="B4815" t="s">
        <v>852</v>
      </c>
      <c r="C4815" t="s">
        <v>92</v>
      </c>
      <c r="D4815" t="s">
        <v>780</v>
      </c>
      <c r="E4815" t="s">
        <v>531</v>
      </c>
      <c r="F4815" t="s">
        <v>244</v>
      </c>
      <c r="G4815" s="39">
        <v>43651</v>
      </c>
      <c r="J4815" t="s">
        <v>90</v>
      </c>
    </row>
    <row r="4816" spans="1:10" x14ac:dyDescent="0.35">
      <c r="A4816">
        <v>17420</v>
      </c>
      <c r="B4816" t="s">
        <v>852</v>
      </c>
      <c r="C4816" t="s">
        <v>92</v>
      </c>
      <c r="D4816" t="s">
        <v>780</v>
      </c>
      <c r="E4816" t="s">
        <v>496</v>
      </c>
      <c r="F4816" t="s">
        <v>245</v>
      </c>
      <c r="G4816" s="39">
        <v>45751</v>
      </c>
      <c r="J4816" t="s">
        <v>90</v>
      </c>
    </row>
    <row r="4817" spans="1:10" x14ac:dyDescent="0.35">
      <c r="A4817">
        <v>18829</v>
      </c>
      <c r="B4817" t="s">
        <v>852</v>
      </c>
      <c r="C4817" t="s">
        <v>92</v>
      </c>
      <c r="D4817" t="s">
        <v>780</v>
      </c>
      <c r="E4817" t="s">
        <v>789</v>
      </c>
      <c r="F4817" t="s">
        <v>244</v>
      </c>
      <c r="G4817" s="39">
        <v>46220</v>
      </c>
      <c r="J4817" t="s">
        <v>90</v>
      </c>
    </row>
    <row r="4818" spans="1:10" x14ac:dyDescent="0.35">
      <c r="A4818">
        <v>150018</v>
      </c>
      <c r="B4818" t="s">
        <v>852</v>
      </c>
      <c r="C4818" t="s">
        <v>92</v>
      </c>
      <c r="D4818" t="s">
        <v>780</v>
      </c>
      <c r="E4818" t="s">
        <v>406</v>
      </c>
      <c r="F4818" t="s">
        <v>244</v>
      </c>
      <c r="G4818" s="39">
        <v>38607</v>
      </c>
      <c r="J4818" t="s">
        <v>90</v>
      </c>
    </row>
    <row r="4819" spans="1:10" x14ac:dyDescent="0.35">
      <c r="A4819">
        <v>700056</v>
      </c>
      <c r="B4819" t="s">
        <v>852</v>
      </c>
      <c r="C4819" t="s">
        <v>92</v>
      </c>
      <c r="D4819" t="s">
        <v>780</v>
      </c>
      <c r="E4819" t="s">
        <v>406</v>
      </c>
      <c r="F4819" t="s">
        <v>244</v>
      </c>
      <c r="G4819" s="39">
        <v>43063</v>
      </c>
      <c r="J4819" t="s">
        <v>90</v>
      </c>
    </row>
    <row r="4820" spans="1:10" x14ac:dyDescent="0.35">
      <c r="A4820">
        <v>900049</v>
      </c>
      <c r="B4820" t="s">
        <v>852</v>
      </c>
      <c r="C4820" t="s">
        <v>92</v>
      </c>
      <c r="D4820" t="s">
        <v>780</v>
      </c>
      <c r="E4820" t="s">
        <v>477</v>
      </c>
      <c r="F4820" t="s">
        <v>244</v>
      </c>
      <c r="G4820" s="39">
        <v>44096</v>
      </c>
      <c r="J4820" t="s">
        <v>90</v>
      </c>
    </row>
    <row r="4821" spans="1:10" x14ac:dyDescent="0.35">
      <c r="A4821">
        <v>670037</v>
      </c>
      <c r="B4821" t="s">
        <v>852</v>
      </c>
      <c r="C4821" t="s">
        <v>92</v>
      </c>
      <c r="D4821" t="s">
        <v>780</v>
      </c>
      <c r="E4821" t="s">
        <v>406</v>
      </c>
      <c r="F4821" t="s">
        <v>244</v>
      </c>
      <c r="G4821" s="39">
        <v>42858</v>
      </c>
      <c r="J4821" t="s">
        <v>90</v>
      </c>
    </row>
    <row r="4822" spans="1:10" x14ac:dyDescent="0.35">
      <c r="A4822">
        <v>15379</v>
      </c>
      <c r="B4822" t="s">
        <v>852</v>
      </c>
      <c r="C4822" t="s">
        <v>92</v>
      </c>
      <c r="D4822" t="s">
        <v>780</v>
      </c>
      <c r="E4822" t="s">
        <v>477</v>
      </c>
      <c r="F4822" t="s">
        <v>244</v>
      </c>
      <c r="G4822" s="39">
        <v>45050</v>
      </c>
      <c r="J4822" t="s">
        <v>90</v>
      </c>
    </row>
    <row r="4823" spans="1:10" x14ac:dyDescent="0.35">
      <c r="A4823">
        <v>14621</v>
      </c>
      <c r="B4823" t="s">
        <v>852</v>
      </c>
      <c r="C4823" t="s">
        <v>92</v>
      </c>
      <c r="D4823" t="s">
        <v>780</v>
      </c>
      <c r="E4823" t="s">
        <v>477</v>
      </c>
      <c r="F4823" t="s">
        <v>244</v>
      </c>
      <c r="G4823" s="39">
        <v>44806</v>
      </c>
      <c r="J4823" t="s">
        <v>90</v>
      </c>
    </row>
    <row r="4824" spans="1:10" x14ac:dyDescent="0.35">
      <c r="A4824">
        <v>150049</v>
      </c>
      <c r="B4824" t="s">
        <v>852</v>
      </c>
      <c r="C4824" t="s">
        <v>92</v>
      </c>
      <c r="D4824" t="s">
        <v>780</v>
      </c>
      <c r="E4824" t="s">
        <v>477</v>
      </c>
      <c r="F4824" t="s">
        <v>244</v>
      </c>
      <c r="G4824" s="39">
        <v>44571</v>
      </c>
      <c r="J4824" t="s">
        <v>90</v>
      </c>
    </row>
    <row r="4825" spans="1:10" x14ac:dyDescent="0.35">
      <c r="A4825">
        <v>15153</v>
      </c>
      <c r="B4825" t="s">
        <v>852</v>
      </c>
      <c r="C4825" t="s">
        <v>92</v>
      </c>
      <c r="D4825" t="s">
        <v>780</v>
      </c>
      <c r="E4825" t="s">
        <v>477</v>
      </c>
      <c r="F4825" t="s">
        <v>244</v>
      </c>
      <c r="G4825" s="39">
        <v>44965</v>
      </c>
      <c r="J4825" t="s">
        <v>90</v>
      </c>
    </row>
    <row r="4826" spans="1:10" x14ac:dyDescent="0.35">
      <c r="A4826">
        <v>14291</v>
      </c>
      <c r="B4826" t="s">
        <v>852</v>
      </c>
      <c r="C4826" t="s">
        <v>92</v>
      </c>
      <c r="D4826" t="s">
        <v>780</v>
      </c>
      <c r="E4826" t="s">
        <v>477</v>
      </c>
      <c r="F4826" t="s">
        <v>245</v>
      </c>
      <c r="G4826" s="39">
        <v>44715</v>
      </c>
      <c r="J4826" t="s">
        <v>90</v>
      </c>
    </row>
    <row r="4827" spans="1:10" x14ac:dyDescent="0.35">
      <c r="A4827">
        <v>760040</v>
      </c>
      <c r="B4827" t="s">
        <v>852</v>
      </c>
      <c r="C4827" t="s">
        <v>92</v>
      </c>
      <c r="D4827" t="s">
        <v>780</v>
      </c>
      <c r="E4827" t="s">
        <v>477</v>
      </c>
      <c r="F4827" t="s">
        <v>244</v>
      </c>
      <c r="G4827" s="39">
        <v>43054</v>
      </c>
      <c r="J4827" t="s">
        <v>90</v>
      </c>
    </row>
    <row r="4828" spans="1:10" x14ac:dyDescent="0.35">
      <c r="A4828">
        <v>230037</v>
      </c>
      <c r="B4828" t="s">
        <v>852</v>
      </c>
      <c r="C4828" t="s">
        <v>92</v>
      </c>
      <c r="D4828" t="s">
        <v>780</v>
      </c>
      <c r="E4828" t="s">
        <v>477</v>
      </c>
      <c r="F4828" t="s">
        <v>244</v>
      </c>
      <c r="G4828" s="39">
        <v>43297</v>
      </c>
      <c r="J4828" t="s">
        <v>90</v>
      </c>
    </row>
    <row r="4829" spans="1:10" x14ac:dyDescent="0.35">
      <c r="A4829">
        <v>14743</v>
      </c>
      <c r="B4829" t="s">
        <v>852</v>
      </c>
      <c r="C4829" t="s">
        <v>92</v>
      </c>
      <c r="D4829" t="s">
        <v>780</v>
      </c>
      <c r="E4829" t="s">
        <v>477</v>
      </c>
      <c r="F4829" t="s">
        <v>244</v>
      </c>
      <c r="G4829" s="39">
        <v>44845</v>
      </c>
      <c r="J4829" t="s">
        <v>90</v>
      </c>
    </row>
    <row r="4830" spans="1:10" x14ac:dyDescent="0.35">
      <c r="A4830">
        <v>110032</v>
      </c>
      <c r="B4830" t="s">
        <v>852</v>
      </c>
      <c r="C4830" t="s">
        <v>92</v>
      </c>
      <c r="D4830" t="s">
        <v>780</v>
      </c>
      <c r="E4830" t="s">
        <v>477</v>
      </c>
      <c r="F4830" t="s">
        <v>244</v>
      </c>
      <c r="G4830" s="39">
        <v>44566</v>
      </c>
      <c r="J4830" t="s">
        <v>90</v>
      </c>
    </row>
    <row r="4831" spans="1:10" x14ac:dyDescent="0.35">
      <c r="A4831">
        <v>17262</v>
      </c>
      <c r="B4831" t="s">
        <v>852</v>
      </c>
      <c r="C4831" t="s">
        <v>92</v>
      </c>
      <c r="D4831" t="s">
        <v>780</v>
      </c>
      <c r="E4831" t="s">
        <v>473</v>
      </c>
      <c r="F4831" t="s">
        <v>244</v>
      </c>
      <c r="G4831" s="39">
        <v>45693</v>
      </c>
      <c r="J4831" t="s">
        <v>90</v>
      </c>
    </row>
    <row r="4832" spans="1:10" x14ac:dyDescent="0.35">
      <c r="A4832">
        <v>17007</v>
      </c>
      <c r="B4832" t="s">
        <v>852</v>
      </c>
      <c r="C4832" t="s">
        <v>92</v>
      </c>
      <c r="D4832" t="s">
        <v>780</v>
      </c>
      <c r="E4832" t="s">
        <v>473</v>
      </c>
      <c r="F4832" t="s">
        <v>244</v>
      </c>
      <c r="G4832" s="39">
        <v>45602</v>
      </c>
      <c r="J4832" t="s">
        <v>90</v>
      </c>
    </row>
    <row r="4833" spans="1:10" x14ac:dyDescent="0.35">
      <c r="A4833">
        <v>16406</v>
      </c>
      <c r="B4833" t="s">
        <v>852</v>
      </c>
      <c r="C4833" t="s">
        <v>92</v>
      </c>
      <c r="D4833" t="s">
        <v>780</v>
      </c>
      <c r="E4833" t="s">
        <v>474</v>
      </c>
      <c r="F4833" t="s">
        <v>411</v>
      </c>
      <c r="G4833" s="39">
        <v>45383</v>
      </c>
      <c r="J4833" t="s">
        <v>90</v>
      </c>
    </row>
    <row r="4834" spans="1:10" x14ac:dyDescent="0.35">
      <c r="A4834">
        <v>18775</v>
      </c>
      <c r="B4834" t="s">
        <v>852</v>
      </c>
      <c r="C4834" t="s">
        <v>92</v>
      </c>
      <c r="D4834" t="s">
        <v>780</v>
      </c>
      <c r="E4834" t="s">
        <v>826</v>
      </c>
      <c r="F4834" t="s">
        <v>244</v>
      </c>
      <c r="G4834" s="39">
        <v>46210</v>
      </c>
      <c r="J4834" t="s">
        <v>90</v>
      </c>
    </row>
    <row r="4835" spans="1:10" x14ac:dyDescent="0.35">
      <c r="A4835">
        <v>17544</v>
      </c>
      <c r="B4835" t="s">
        <v>852</v>
      </c>
      <c r="C4835" t="s">
        <v>92</v>
      </c>
      <c r="D4835" t="s">
        <v>780</v>
      </c>
      <c r="E4835" t="s">
        <v>474</v>
      </c>
      <c r="F4835" t="s">
        <v>244</v>
      </c>
      <c r="G4835" s="39">
        <v>45785</v>
      </c>
      <c r="J4835" t="s">
        <v>90</v>
      </c>
    </row>
    <row r="4836" spans="1:10" x14ac:dyDescent="0.35">
      <c r="A4836">
        <v>150013</v>
      </c>
      <c r="B4836" t="s">
        <v>852</v>
      </c>
      <c r="C4836" t="s">
        <v>92</v>
      </c>
      <c r="D4836" t="s">
        <v>791</v>
      </c>
      <c r="E4836" t="s">
        <v>122</v>
      </c>
      <c r="F4836" t="s">
        <v>244</v>
      </c>
      <c r="G4836" s="39">
        <v>36893</v>
      </c>
      <c r="J4836" t="s">
        <v>90</v>
      </c>
    </row>
    <row r="4837" spans="1:10" x14ac:dyDescent="0.35">
      <c r="A4837">
        <v>150045</v>
      </c>
      <c r="B4837" t="s">
        <v>852</v>
      </c>
      <c r="C4837" t="s">
        <v>92</v>
      </c>
      <c r="D4837" t="s">
        <v>827</v>
      </c>
      <c r="E4837" t="s">
        <v>151</v>
      </c>
      <c r="F4837" t="s">
        <v>244</v>
      </c>
      <c r="G4837" s="39">
        <v>44363</v>
      </c>
      <c r="J4837" t="s">
        <v>90</v>
      </c>
    </row>
    <row r="4838" spans="1:10" x14ac:dyDescent="0.35">
      <c r="A4838">
        <v>14262</v>
      </c>
      <c r="B4838" t="s">
        <v>852</v>
      </c>
      <c r="C4838" t="s">
        <v>92</v>
      </c>
      <c r="D4838" t="s">
        <v>827</v>
      </c>
      <c r="E4838" t="s">
        <v>102</v>
      </c>
      <c r="F4838" t="s">
        <v>244</v>
      </c>
      <c r="G4838" s="39">
        <v>44714</v>
      </c>
      <c r="J4838" t="s">
        <v>90</v>
      </c>
    </row>
    <row r="4839" spans="1:10" x14ac:dyDescent="0.35">
      <c r="A4839">
        <v>930006</v>
      </c>
      <c r="B4839" t="s">
        <v>852</v>
      </c>
      <c r="C4839" t="s">
        <v>92</v>
      </c>
      <c r="D4839" t="s">
        <v>827</v>
      </c>
      <c r="E4839" t="s">
        <v>103</v>
      </c>
      <c r="F4839" t="s">
        <v>244</v>
      </c>
      <c r="G4839" s="39">
        <v>44539</v>
      </c>
      <c r="J4839" t="s">
        <v>90</v>
      </c>
    </row>
    <row r="4840" spans="1:10" x14ac:dyDescent="0.35">
      <c r="A4840">
        <v>18793</v>
      </c>
      <c r="B4840" t="s">
        <v>852</v>
      </c>
      <c r="C4840" t="s">
        <v>92</v>
      </c>
      <c r="D4840" t="s">
        <v>827</v>
      </c>
      <c r="E4840" t="s">
        <v>103</v>
      </c>
      <c r="F4840" t="s">
        <v>244</v>
      </c>
      <c r="G4840" s="39">
        <v>46216</v>
      </c>
      <c r="J4840" t="s">
        <v>90</v>
      </c>
    </row>
    <row r="4841" spans="1:10" x14ac:dyDescent="0.35">
      <c r="A4841">
        <v>18791</v>
      </c>
      <c r="B4841" t="s">
        <v>852</v>
      </c>
      <c r="C4841" t="s">
        <v>92</v>
      </c>
      <c r="D4841" t="s">
        <v>827</v>
      </c>
      <c r="E4841" t="s">
        <v>103</v>
      </c>
      <c r="F4841" t="s">
        <v>244</v>
      </c>
      <c r="G4841" s="39">
        <v>46216</v>
      </c>
      <c r="J4841" t="s">
        <v>90</v>
      </c>
    </row>
    <row r="4842" spans="1:10" x14ac:dyDescent="0.35">
      <c r="A4842">
        <v>540024</v>
      </c>
      <c r="B4842" t="s">
        <v>854</v>
      </c>
      <c r="C4842" t="s">
        <v>92</v>
      </c>
      <c r="D4842" t="s">
        <v>92</v>
      </c>
      <c r="E4842" t="s">
        <v>464</v>
      </c>
      <c r="F4842" t="s">
        <v>244</v>
      </c>
      <c r="G4842" s="39">
        <v>42229</v>
      </c>
      <c r="J4842" t="s">
        <v>90</v>
      </c>
    </row>
    <row r="4843" spans="1:10" x14ac:dyDescent="0.35">
      <c r="A4843">
        <v>16740</v>
      </c>
      <c r="B4843" t="s">
        <v>854</v>
      </c>
      <c r="C4843" t="s">
        <v>92</v>
      </c>
      <c r="D4843" t="s">
        <v>780</v>
      </c>
      <c r="E4843" t="s">
        <v>531</v>
      </c>
      <c r="F4843" t="s">
        <v>244</v>
      </c>
      <c r="G4843" s="39">
        <v>45537</v>
      </c>
      <c r="J4843" t="s">
        <v>90</v>
      </c>
    </row>
    <row r="4844" spans="1:10" x14ac:dyDescent="0.35">
      <c r="A4844">
        <v>16003</v>
      </c>
      <c r="B4844" t="s">
        <v>854</v>
      </c>
      <c r="C4844" t="s">
        <v>92</v>
      </c>
      <c r="D4844" t="s">
        <v>780</v>
      </c>
      <c r="E4844" t="s">
        <v>531</v>
      </c>
      <c r="F4844" t="s">
        <v>244</v>
      </c>
      <c r="G4844" s="39">
        <v>45264</v>
      </c>
      <c r="J4844" t="s">
        <v>90</v>
      </c>
    </row>
    <row r="4845" spans="1:10" x14ac:dyDescent="0.35">
      <c r="A4845">
        <v>17936</v>
      </c>
      <c r="B4845" t="s">
        <v>854</v>
      </c>
      <c r="C4845" t="s">
        <v>92</v>
      </c>
      <c r="D4845" t="s">
        <v>780</v>
      </c>
      <c r="E4845" t="s">
        <v>474</v>
      </c>
      <c r="F4845" t="s">
        <v>244</v>
      </c>
      <c r="G4845" s="39">
        <v>45925</v>
      </c>
      <c r="J4845" t="s">
        <v>90</v>
      </c>
    </row>
    <row r="4846" spans="1:10" x14ac:dyDescent="0.35">
      <c r="A4846">
        <v>770016</v>
      </c>
      <c r="B4846" t="s">
        <v>854</v>
      </c>
      <c r="C4846" t="s">
        <v>92</v>
      </c>
      <c r="D4846" t="s">
        <v>780</v>
      </c>
      <c r="E4846" t="s">
        <v>406</v>
      </c>
      <c r="F4846" t="s">
        <v>244</v>
      </c>
      <c r="G4846" s="39">
        <v>42342</v>
      </c>
      <c r="J4846" t="s">
        <v>90</v>
      </c>
    </row>
    <row r="4847" spans="1:10" x14ac:dyDescent="0.35">
      <c r="A4847">
        <v>300178</v>
      </c>
      <c r="B4847" t="s">
        <v>854</v>
      </c>
      <c r="C4847" t="s">
        <v>92</v>
      </c>
      <c r="D4847" t="s">
        <v>780</v>
      </c>
      <c r="E4847" t="s">
        <v>406</v>
      </c>
      <c r="F4847" t="s">
        <v>244</v>
      </c>
      <c r="G4847" s="39">
        <v>43672</v>
      </c>
      <c r="J4847" t="s">
        <v>90</v>
      </c>
    </row>
    <row r="4848" spans="1:10" x14ac:dyDescent="0.35">
      <c r="A4848">
        <v>130042</v>
      </c>
      <c r="B4848" t="s">
        <v>854</v>
      </c>
      <c r="C4848" t="s">
        <v>92</v>
      </c>
      <c r="D4848" t="s">
        <v>780</v>
      </c>
      <c r="E4848" t="s">
        <v>151</v>
      </c>
      <c r="F4848" t="s">
        <v>244</v>
      </c>
      <c r="G4848" s="39">
        <v>42593</v>
      </c>
      <c r="J4848" t="s">
        <v>90</v>
      </c>
    </row>
    <row r="4849" spans="1:10" x14ac:dyDescent="0.35">
      <c r="A4849">
        <v>240044</v>
      </c>
      <c r="B4849" t="s">
        <v>854</v>
      </c>
      <c r="C4849" t="s">
        <v>92</v>
      </c>
      <c r="D4849" t="s">
        <v>780</v>
      </c>
      <c r="E4849" t="s">
        <v>406</v>
      </c>
      <c r="F4849" t="s">
        <v>244</v>
      </c>
      <c r="G4849" s="39">
        <v>43664</v>
      </c>
      <c r="J4849" t="s">
        <v>90</v>
      </c>
    </row>
    <row r="4850" spans="1:10" x14ac:dyDescent="0.35">
      <c r="A4850">
        <v>240049</v>
      </c>
      <c r="B4850" t="s">
        <v>854</v>
      </c>
      <c r="C4850" t="s">
        <v>92</v>
      </c>
      <c r="D4850" t="s">
        <v>780</v>
      </c>
      <c r="E4850" t="s">
        <v>406</v>
      </c>
      <c r="F4850" t="s">
        <v>244</v>
      </c>
      <c r="G4850" s="39">
        <v>44608</v>
      </c>
      <c r="J4850" t="s">
        <v>90</v>
      </c>
    </row>
    <row r="4851" spans="1:10" x14ac:dyDescent="0.35">
      <c r="A4851">
        <v>15579</v>
      </c>
      <c r="B4851" t="s">
        <v>854</v>
      </c>
      <c r="C4851" t="s">
        <v>92</v>
      </c>
      <c r="D4851" t="s">
        <v>780</v>
      </c>
      <c r="E4851" t="s">
        <v>473</v>
      </c>
      <c r="F4851" t="s">
        <v>244</v>
      </c>
      <c r="G4851" s="39">
        <v>45128</v>
      </c>
      <c r="J4851" t="s">
        <v>90</v>
      </c>
    </row>
    <row r="4852" spans="1:10" x14ac:dyDescent="0.35">
      <c r="A4852">
        <v>240021</v>
      </c>
      <c r="B4852" t="s">
        <v>854</v>
      </c>
      <c r="C4852" t="s">
        <v>92</v>
      </c>
      <c r="D4852" t="s">
        <v>780</v>
      </c>
      <c r="E4852" t="s">
        <v>477</v>
      </c>
      <c r="F4852" t="s">
        <v>244</v>
      </c>
      <c r="G4852" s="39">
        <v>36691</v>
      </c>
      <c r="J4852" t="s">
        <v>90</v>
      </c>
    </row>
    <row r="4853" spans="1:10" x14ac:dyDescent="0.35">
      <c r="A4853">
        <v>15950</v>
      </c>
      <c r="B4853" t="s">
        <v>854</v>
      </c>
      <c r="C4853" t="s">
        <v>92</v>
      </c>
      <c r="D4853" t="s">
        <v>780</v>
      </c>
      <c r="E4853" t="s">
        <v>477</v>
      </c>
      <c r="F4853" t="s">
        <v>244</v>
      </c>
      <c r="G4853" s="39">
        <v>45250</v>
      </c>
      <c r="J4853" t="s">
        <v>90</v>
      </c>
    </row>
    <row r="4854" spans="1:10" x14ac:dyDescent="0.35">
      <c r="A4854">
        <v>17071</v>
      </c>
      <c r="B4854" t="s">
        <v>854</v>
      </c>
      <c r="C4854" t="s">
        <v>92</v>
      </c>
      <c r="D4854" t="s">
        <v>780</v>
      </c>
      <c r="E4854" t="s">
        <v>473</v>
      </c>
      <c r="F4854" t="s">
        <v>244</v>
      </c>
      <c r="G4854" s="39">
        <v>45623</v>
      </c>
      <c r="J4854" t="s">
        <v>90</v>
      </c>
    </row>
    <row r="4855" spans="1:10" x14ac:dyDescent="0.35">
      <c r="A4855">
        <v>15314</v>
      </c>
      <c r="B4855" t="s">
        <v>854</v>
      </c>
      <c r="C4855" t="s">
        <v>92</v>
      </c>
      <c r="D4855" t="s">
        <v>780</v>
      </c>
      <c r="E4855" t="s">
        <v>473</v>
      </c>
      <c r="F4855" t="s">
        <v>244</v>
      </c>
      <c r="G4855" s="39">
        <v>45023</v>
      </c>
      <c r="J4855" t="s">
        <v>90</v>
      </c>
    </row>
    <row r="4856" spans="1:10" x14ac:dyDescent="0.35">
      <c r="A4856">
        <v>240047</v>
      </c>
      <c r="B4856" t="s">
        <v>854</v>
      </c>
      <c r="C4856" t="s">
        <v>92</v>
      </c>
      <c r="D4856" t="s">
        <v>780</v>
      </c>
      <c r="E4856" t="s">
        <v>473</v>
      </c>
      <c r="F4856" t="s">
        <v>244</v>
      </c>
      <c r="G4856" s="39">
        <v>44140</v>
      </c>
      <c r="J4856" t="s">
        <v>90</v>
      </c>
    </row>
    <row r="4857" spans="1:10" x14ac:dyDescent="0.35">
      <c r="A4857">
        <v>240015</v>
      </c>
      <c r="B4857" t="s">
        <v>854</v>
      </c>
      <c r="C4857" t="s">
        <v>92</v>
      </c>
      <c r="D4857" t="s">
        <v>791</v>
      </c>
      <c r="E4857" t="s">
        <v>122</v>
      </c>
      <c r="F4857" t="s">
        <v>244</v>
      </c>
      <c r="G4857" s="39">
        <v>40238</v>
      </c>
      <c r="J4857" t="s">
        <v>90</v>
      </c>
    </row>
    <row r="4858" spans="1:10" x14ac:dyDescent="0.35">
      <c r="A4858">
        <v>140014</v>
      </c>
      <c r="B4858" t="s">
        <v>855</v>
      </c>
      <c r="C4858" t="s">
        <v>92</v>
      </c>
      <c r="D4858" t="s">
        <v>92</v>
      </c>
      <c r="E4858" t="s">
        <v>464</v>
      </c>
      <c r="F4858" t="s">
        <v>244</v>
      </c>
      <c r="G4858" s="39">
        <v>39128</v>
      </c>
      <c r="J4858" t="s">
        <v>90</v>
      </c>
    </row>
    <row r="4859" spans="1:10" x14ac:dyDescent="0.35">
      <c r="A4859">
        <v>760036</v>
      </c>
      <c r="B4859" t="s">
        <v>855</v>
      </c>
      <c r="C4859" t="s">
        <v>92</v>
      </c>
      <c r="D4859" t="s">
        <v>780</v>
      </c>
      <c r="E4859" t="s">
        <v>506</v>
      </c>
      <c r="F4859" t="s">
        <v>244</v>
      </c>
      <c r="G4859" s="39">
        <v>42711</v>
      </c>
      <c r="J4859" t="s">
        <v>90</v>
      </c>
    </row>
    <row r="4860" spans="1:10" x14ac:dyDescent="0.35">
      <c r="A4860">
        <v>17907</v>
      </c>
      <c r="B4860" t="s">
        <v>855</v>
      </c>
      <c r="C4860" t="s">
        <v>92</v>
      </c>
      <c r="D4860" t="s">
        <v>780</v>
      </c>
      <c r="E4860" t="s">
        <v>530</v>
      </c>
      <c r="F4860" t="s">
        <v>244</v>
      </c>
      <c r="G4860" s="39">
        <v>45911</v>
      </c>
      <c r="J4860" t="s">
        <v>90</v>
      </c>
    </row>
    <row r="4861" spans="1:10" x14ac:dyDescent="0.35">
      <c r="A4861">
        <v>15927</v>
      </c>
      <c r="B4861" t="s">
        <v>855</v>
      </c>
      <c r="C4861" t="s">
        <v>92</v>
      </c>
      <c r="D4861" t="s">
        <v>780</v>
      </c>
      <c r="E4861" t="s">
        <v>474</v>
      </c>
      <c r="F4861" t="s">
        <v>245</v>
      </c>
      <c r="G4861" s="39">
        <v>45237</v>
      </c>
      <c r="J4861" t="s">
        <v>90</v>
      </c>
    </row>
    <row r="4862" spans="1:10" x14ac:dyDescent="0.35">
      <c r="A4862">
        <v>14438</v>
      </c>
      <c r="B4862" t="s">
        <v>855</v>
      </c>
      <c r="C4862" t="s">
        <v>92</v>
      </c>
      <c r="D4862" t="s">
        <v>780</v>
      </c>
      <c r="E4862" t="s">
        <v>536</v>
      </c>
      <c r="F4862" t="s">
        <v>244</v>
      </c>
      <c r="G4862" s="39">
        <v>44757</v>
      </c>
      <c r="J4862" t="s">
        <v>90</v>
      </c>
    </row>
    <row r="4863" spans="1:10" x14ac:dyDescent="0.35">
      <c r="A4863">
        <v>300120</v>
      </c>
      <c r="B4863" t="s">
        <v>855</v>
      </c>
      <c r="C4863" t="s">
        <v>92</v>
      </c>
      <c r="D4863" t="s">
        <v>780</v>
      </c>
      <c r="E4863" t="s">
        <v>406</v>
      </c>
      <c r="F4863" t="s">
        <v>244</v>
      </c>
      <c r="G4863" s="39">
        <v>43132</v>
      </c>
      <c r="J4863" t="s">
        <v>90</v>
      </c>
    </row>
    <row r="4864" spans="1:10" x14ac:dyDescent="0.35">
      <c r="A4864">
        <v>280004</v>
      </c>
      <c r="B4864" t="s">
        <v>855</v>
      </c>
      <c r="C4864" t="s">
        <v>92</v>
      </c>
      <c r="D4864" t="s">
        <v>780</v>
      </c>
      <c r="E4864" t="s">
        <v>406</v>
      </c>
      <c r="F4864" t="s">
        <v>244</v>
      </c>
      <c r="G4864" s="39">
        <v>40630</v>
      </c>
      <c r="J4864" t="s">
        <v>90</v>
      </c>
    </row>
    <row r="4865" spans="1:10" x14ac:dyDescent="0.35">
      <c r="A4865">
        <v>260014</v>
      </c>
      <c r="B4865" t="s">
        <v>855</v>
      </c>
      <c r="C4865" t="s">
        <v>92</v>
      </c>
      <c r="D4865" t="s">
        <v>780</v>
      </c>
      <c r="E4865" t="s">
        <v>406</v>
      </c>
      <c r="F4865" t="s">
        <v>244</v>
      </c>
      <c r="G4865" s="39">
        <v>42500</v>
      </c>
      <c r="J4865" t="s">
        <v>90</v>
      </c>
    </row>
    <row r="4866" spans="1:10" x14ac:dyDescent="0.35">
      <c r="A4866">
        <v>270045</v>
      </c>
      <c r="B4866" t="s">
        <v>855</v>
      </c>
      <c r="C4866" t="s">
        <v>92</v>
      </c>
      <c r="D4866" t="s">
        <v>780</v>
      </c>
      <c r="E4866" t="s">
        <v>406</v>
      </c>
      <c r="F4866" t="s">
        <v>244</v>
      </c>
      <c r="G4866" s="39">
        <v>43696</v>
      </c>
      <c r="J4866" t="s">
        <v>90</v>
      </c>
    </row>
    <row r="4867" spans="1:10" x14ac:dyDescent="0.35">
      <c r="A4867">
        <v>280025</v>
      </c>
      <c r="B4867" t="s">
        <v>855</v>
      </c>
      <c r="C4867" t="s">
        <v>92</v>
      </c>
      <c r="D4867" t="s">
        <v>780</v>
      </c>
      <c r="E4867" t="s">
        <v>406</v>
      </c>
      <c r="F4867" t="s">
        <v>244</v>
      </c>
      <c r="G4867" s="39">
        <v>42842</v>
      </c>
      <c r="J4867" t="s">
        <v>90</v>
      </c>
    </row>
    <row r="4868" spans="1:10" x14ac:dyDescent="0.35">
      <c r="A4868">
        <v>280010</v>
      </c>
      <c r="B4868" t="s">
        <v>855</v>
      </c>
      <c r="C4868" t="s">
        <v>92</v>
      </c>
      <c r="D4868" t="s">
        <v>780</v>
      </c>
      <c r="E4868" t="s">
        <v>406</v>
      </c>
      <c r="F4868" t="s">
        <v>244</v>
      </c>
      <c r="G4868" s="39">
        <v>39974</v>
      </c>
      <c r="J4868" t="s">
        <v>90</v>
      </c>
    </row>
    <row r="4869" spans="1:10" x14ac:dyDescent="0.35">
      <c r="A4869">
        <v>280031</v>
      </c>
      <c r="B4869" t="s">
        <v>855</v>
      </c>
      <c r="C4869" t="s">
        <v>92</v>
      </c>
      <c r="D4869" t="s">
        <v>780</v>
      </c>
      <c r="E4869" t="s">
        <v>477</v>
      </c>
      <c r="F4869" t="s">
        <v>244</v>
      </c>
      <c r="G4869" s="39">
        <v>43700</v>
      </c>
      <c r="J4869" t="s">
        <v>90</v>
      </c>
    </row>
    <row r="4870" spans="1:10" x14ac:dyDescent="0.35">
      <c r="A4870">
        <v>17391</v>
      </c>
      <c r="B4870" t="s">
        <v>855</v>
      </c>
      <c r="C4870" t="s">
        <v>92</v>
      </c>
      <c r="D4870" t="s">
        <v>780</v>
      </c>
      <c r="E4870" t="s">
        <v>473</v>
      </c>
      <c r="F4870" t="s">
        <v>244</v>
      </c>
      <c r="G4870" s="39">
        <v>45730</v>
      </c>
      <c r="J4870" t="s">
        <v>90</v>
      </c>
    </row>
    <row r="4871" spans="1:10" x14ac:dyDescent="0.35">
      <c r="A4871">
        <v>15264</v>
      </c>
      <c r="B4871" t="s">
        <v>855</v>
      </c>
      <c r="C4871" t="s">
        <v>92</v>
      </c>
      <c r="D4871" t="s">
        <v>791</v>
      </c>
      <c r="E4871" t="s">
        <v>122</v>
      </c>
      <c r="F4871" t="s">
        <v>244</v>
      </c>
      <c r="G4871" s="39">
        <v>45000</v>
      </c>
      <c r="J4871" t="s">
        <v>90</v>
      </c>
    </row>
    <row r="4872" spans="1:10" x14ac:dyDescent="0.35">
      <c r="A4872">
        <v>500026</v>
      </c>
      <c r="B4872" t="s">
        <v>856</v>
      </c>
      <c r="C4872" t="s">
        <v>92</v>
      </c>
      <c r="D4872" t="s">
        <v>92</v>
      </c>
      <c r="E4872" t="s">
        <v>464</v>
      </c>
      <c r="F4872" t="s">
        <v>244</v>
      </c>
      <c r="G4872" s="39">
        <v>42184</v>
      </c>
      <c r="J4872" t="s">
        <v>90</v>
      </c>
    </row>
    <row r="4873" spans="1:10" x14ac:dyDescent="0.35">
      <c r="A4873">
        <v>15729</v>
      </c>
      <c r="B4873" t="s">
        <v>856</v>
      </c>
      <c r="C4873" t="s">
        <v>92</v>
      </c>
      <c r="D4873" t="s">
        <v>780</v>
      </c>
      <c r="E4873" t="s">
        <v>531</v>
      </c>
      <c r="F4873" t="s">
        <v>411</v>
      </c>
      <c r="G4873" s="39">
        <v>45177</v>
      </c>
      <c r="J4873" t="s">
        <v>90</v>
      </c>
    </row>
    <row r="4874" spans="1:10" x14ac:dyDescent="0.35">
      <c r="A4874">
        <v>17944</v>
      </c>
      <c r="B4874" t="s">
        <v>856</v>
      </c>
      <c r="C4874" t="s">
        <v>92</v>
      </c>
      <c r="D4874" t="s">
        <v>780</v>
      </c>
      <c r="E4874" t="s">
        <v>857</v>
      </c>
      <c r="F4874" t="s">
        <v>244</v>
      </c>
      <c r="G4874" s="39">
        <v>45932</v>
      </c>
      <c r="J4874" t="s">
        <v>90</v>
      </c>
    </row>
    <row r="4875" spans="1:10" x14ac:dyDescent="0.35">
      <c r="A4875">
        <v>800024</v>
      </c>
      <c r="B4875" t="s">
        <v>856</v>
      </c>
      <c r="C4875" t="s">
        <v>92</v>
      </c>
      <c r="D4875" t="s">
        <v>780</v>
      </c>
      <c r="E4875" t="s">
        <v>406</v>
      </c>
      <c r="F4875" t="s">
        <v>244</v>
      </c>
      <c r="G4875" s="39">
        <v>41774</v>
      </c>
      <c r="J4875" t="s">
        <v>90</v>
      </c>
    </row>
    <row r="4876" spans="1:10" x14ac:dyDescent="0.35">
      <c r="A4876">
        <v>300053</v>
      </c>
      <c r="B4876" t="s">
        <v>856</v>
      </c>
      <c r="C4876" t="s">
        <v>92</v>
      </c>
      <c r="D4876" t="s">
        <v>780</v>
      </c>
      <c r="E4876" t="s">
        <v>406</v>
      </c>
      <c r="F4876" t="s">
        <v>244</v>
      </c>
      <c r="G4876" s="39">
        <v>42758</v>
      </c>
      <c r="J4876" t="s">
        <v>90</v>
      </c>
    </row>
    <row r="4877" spans="1:10" x14ac:dyDescent="0.35">
      <c r="A4877">
        <v>220029</v>
      </c>
      <c r="B4877" t="s">
        <v>856</v>
      </c>
      <c r="C4877" t="s">
        <v>92</v>
      </c>
      <c r="D4877" t="s">
        <v>780</v>
      </c>
      <c r="E4877" t="s">
        <v>406</v>
      </c>
      <c r="F4877" t="s">
        <v>244</v>
      </c>
      <c r="G4877" s="39">
        <v>43346</v>
      </c>
      <c r="J4877" t="s">
        <v>90</v>
      </c>
    </row>
    <row r="4878" spans="1:10" x14ac:dyDescent="0.35">
      <c r="A4878">
        <v>140044</v>
      </c>
      <c r="B4878" t="s">
        <v>856</v>
      </c>
      <c r="C4878" t="s">
        <v>92</v>
      </c>
      <c r="D4878" t="s">
        <v>780</v>
      </c>
      <c r="E4878" t="s">
        <v>477</v>
      </c>
      <c r="F4878" t="s">
        <v>411</v>
      </c>
      <c r="G4878" s="39">
        <v>43815</v>
      </c>
      <c r="J4878" t="s">
        <v>90</v>
      </c>
    </row>
    <row r="4879" spans="1:10" x14ac:dyDescent="0.35">
      <c r="A4879">
        <v>17891</v>
      </c>
      <c r="B4879" t="s">
        <v>856</v>
      </c>
      <c r="C4879" t="s">
        <v>92</v>
      </c>
      <c r="D4879" t="s">
        <v>780</v>
      </c>
      <c r="E4879" t="s">
        <v>832</v>
      </c>
      <c r="F4879" t="s">
        <v>244</v>
      </c>
      <c r="G4879" s="39">
        <v>45908</v>
      </c>
      <c r="J4879" t="s">
        <v>90</v>
      </c>
    </row>
    <row r="4880" spans="1:10" x14ac:dyDescent="0.35">
      <c r="A4880">
        <v>180056</v>
      </c>
      <c r="B4880" t="s">
        <v>856</v>
      </c>
      <c r="C4880" t="s">
        <v>92</v>
      </c>
      <c r="D4880" t="s">
        <v>780</v>
      </c>
      <c r="E4880" t="s">
        <v>406</v>
      </c>
      <c r="F4880" t="s">
        <v>244</v>
      </c>
      <c r="G4880" s="39">
        <v>44120</v>
      </c>
      <c r="J4880" t="s">
        <v>90</v>
      </c>
    </row>
    <row r="4881" spans="1:10" x14ac:dyDescent="0.35">
      <c r="A4881">
        <v>500044</v>
      </c>
      <c r="B4881" t="s">
        <v>856</v>
      </c>
      <c r="C4881" t="s">
        <v>92</v>
      </c>
      <c r="D4881" t="s">
        <v>780</v>
      </c>
      <c r="E4881" t="s">
        <v>406</v>
      </c>
      <c r="F4881" t="s">
        <v>245</v>
      </c>
      <c r="G4881" s="39">
        <v>44155</v>
      </c>
      <c r="J4881" t="s">
        <v>90</v>
      </c>
    </row>
    <row r="4882" spans="1:10" x14ac:dyDescent="0.35">
      <c r="A4882">
        <v>15225</v>
      </c>
      <c r="B4882" t="s">
        <v>856</v>
      </c>
      <c r="C4882" t="s">
        <v>92</v>
      </c>
      <c r="D4882" t="s">
        <v>780</v>
      </c>
      <c r="E4882" t="s">
        <v>473</v>
      </c>
      <c r="F4882" t="s">
        <v>411</v>
      </c>
      <c r="G4882" s="39">
        <v>44995</v>
      </c>
      <c r="J4882" t="s">
        <v>90</v>
      </c>
    </row>
    <row r="4883" spans="1:10" x14ac:dyDescent="0.35">
      <c r="A4883">
        <v>17424</v>
      </c>
      <c r="B4883" t="s">
        <v>856</v>
      </c>
      <c r="C4883" t="s">
        <v>92</v>
      </c>
      <c r="D4883" t="s">
        <v>780</v>
      </c>
      <c r="E4883" t="s">
        <v>473</v>
      </c>
      <c r="F4883" t="s">
        <v>244</v>
      </c>
      <c r="G4883" s="39">
        <v>45751</v>
      </c>
      <c r="J4883" t="s">
        <v>90</v>
      </c>
    </row>
    <row r="4884" spans="1:10" x14ac:dyDescent="0.35">
      <c r="A4884">
        <v>16046</v>
      </c>
      <c r="B4884" t="s">
        <v>856</v>
      </c>
      <c r="C4884" t="s">
        <v>92</v>
      </c>
      <c r="D4884" t="s">
        <v>780</v>
      </c>
      <c r="E4884" t="s">
        <v>473</v>
      </c>
      <c r="F4884" t="s">
        <v>244</v>
      </c>
      <c r="G4884" s="39">
        <v>45272</v>
      </c>
      <c r="J4884" t="s">
        <v>90</v>
      </c>
    </row>
    <row r="4885" spans="1:10" x14ac:dyDescent="0.35">
      <c r="A4885">
        <v>14698</v>
      </c>
      <c r="B4885" t="s">
        <v>856</v>
      </c>
      <c r="C4885" t="s">
        <v>92</v>
      </c>
      <c r="D4885" t="s">
        <v>780</v>
      </c>
      <c r="E4885" t="s">
        <v>473</v>
      </c>
      <c r="F4885" t="s">
        <v>244</v>
      </c>
      <c r="G4885" s="39">
        <v>44827</v>
      </c>
      <c r="J4885" t="s">
        <v>90</v>
      </c>
    </row>
    <row r="4886" spans="1:10" x14ac:dyDescent="0.35">
      <c r="A4886">
        <v>18409</v>
      </c>
      <c r="B4886" t="s">
        <v>856</v>
      </c>
      <c r="C4886" t="s">
        <v>92</v>
      </c>
      <c r="D4886" t="s">
        <v>780</v>
      </c>
      <c r="E4886" t="s">
        <v>475</v>
      </c>
      <c r="F4886" t="s">
        <v>244</v>
      </c>
      <c r="G4886" s="39">
        <v>46125</v>
      </c>
      <c r="J4886" t="s">
        <v>90</v>
      </c>
    </row>
    <row r="4887" spans="1:10" x14ac:dyDescent="0.35">
      <c r="A4887">
        <v>230013</v>
      </c>
      <c r="B4887" t="s">
        <v>856</v>
      </c>
      <c r="C4887" t="s">
        <v>92</v>
      </c>
      <c r="D4887" t="s">
        <v>791</v>
      </c>
      <c r="E4887" t="s">
        <v>122</v>
      </c>
      <c r="F4887" t="s">
        <v>244</v>
      </c>
      <c r="G4887" s="39">
        <v>41290</v>
      </c>
      <c r="J4887" t="s">
        <v>90</v>
      </c>
    </row>
    <row r="4888" spans="1:10" x14ac:dyDescent="0.35">
      <c r="A4888">
        <v>12562</v>
      </c>
      <c r="B4888" t="s">
        <v>470</v>
      </c>
      <c r="C4888" t="s">
        <v>92</v>
      </c>
      <c r="D4888" t="s">
        <v>92</v>
      </c>
      <c r="E4888" t="s">
        <v>464</v>
      </c>
      <c r="F4888" t="s">
        <v>244</v>
      </c>
      <c r="G4888" s="39">
        <v>43815</v>
      </c>
      <c r="J4888" t="s">
        <v>90</v>
      </c>
    </row>
    <row r="4889" spans="1:10" x14ac:dyDescent="0.35">
      <c r="A4889">
        <v>800039</v>
      </c>
      <c r="B4889" t="s">
        <v>470</v>
      </c>
      <c r="C4889" t="s">
        <v>92</v>
      </c>
      <c r="D4889" t="s">
        <v>780</v>
      </c>
      <c r="E4889" t="s">
        <v>151</v>
      </c>
      <c r="F4889" t="s">
        <v>244</v>
      </c>
      <c r="G4889" s="39">
        <v>42984</v>
      </c>
      <c r="J4889" t="s">
        <v>90</v>
      </c>
    </row>
    <row r="4890" spans="1:10" x14ac:dyDescent="0.35">
      <c r="A4890">
        <v>11600</v>
      </c>
      <c r="B4890" t="s">
        <v>470</v>
      </c>
      <c r="C4890" t="s">
        <v>92</v>
      </c>
      <c r="D4890" t="s">
        <v>780</v>
      </c>
      <c r="E4890" t="s">
        <v>577</v>
      </c>
      <c r="F4890" t="s">
        <v>244</v>
      </c>
      <c r="G4890" s="39">
        <v>42894</v>
      </c>
      <c r="J4890" t="s">
        <v>90</v>
      </c>
    </row>
    <row r="4891" spans="1:10" x14ac:dyDescent="0.35">
      <c r="A4891">
        <v>14292</v>
      </c>
      <c r="B4891" t="s">
        <v>470</v>
      </c>
      <c r="C4891" t="s">
        <v>92</v>
      </c>
      <c r="D4891" t="s">
        <v>780</v>
      </c>
      <c r="E4891" t="s">
        <v>577</v>
      </c>
      <c r="F4891" t="s">
        <v>244</v>
      </c>
      <c r="G4891" s="39">
        <v>44718</v>
      </c>
      <c r="J4891" t="s">
        <v>90</v>
      </c>
    </row>
    <row r="4892" spans="1:10" x14ac:dyDescent="0.35">
      <c r="A4892">
        <v>15586</v>
      </c>
      <c r="B4892" t="s">
        <v>470</v>
      </c>
      <c r="C4892" t="s">
        <v>92</v>
      </c>
      <c r="D4892" t="s">
        <v>780</v>
      </c>
      <c r="E4892" t="s">
        <v>828</v>
      </c>
      <c r="F4892" t="s">
        <v>244</v>
      </c>
      <c r="G4892" s="39">
        <v>45132</v>
      </c>
      <c r="J4892" t="s">
        <v>90</v>
      </c>
    </row>
    <row r="4893" spans="1:10" x14ac:dyDescent="0.35">
      <c r="A4893">
        <v>16475</v>
      </c>
      <c r="B4893" t="s">
        <v>470</v>
      </c>
      <c r="C4893" t="s">
        <v>92</v>
      </c>
      <c r="D4893" t="s">
        <v>780</v>
      </c>
      <c r="E4893" t="s">
        <v>530</v>
      </c>
      <c r="F4893" t="s">
        <v>244</v>
      </c>
      <c r="G4893" s="39">
        <v>45425</v>
      </c>
      <c r="J4893" t="s">
        <v>90</v>
      </c>
    </row>
    <row r="4894" spans="1:10" x14ac:dyDescent="0.35">
      <c r="A4894">
        <v>18605</v>
      </c>
      <c r="B4894" t="s">
        <v>470</v>
      </c>
      <c r="C4894" t="s">
        <v>92</v>
      </c>
      <c r="D4894" t="s">
        <v>780</v>
      </c>
      <c r="E4894" t="s">
        <v>530</v>
      </c>
      <c r="F4894" t="s">
        <v>244</v>
      </c>
      <c r="G4894" s="39">
        <v>46164</v>
      </c>
      <c r="J4894" t="s">
        <v>90</v>
      </c>
    </row>
    <row r="4895" spans="1:10" x14ac:dyDescent="0.35">
      <c r="A4895">
        <v>940006</v>
      </c>
      <c r="B4895" t="s">
        <v>470</v>
      </c>
      <c r="C4895" t="s">
        <v>92</v>
      </c>
      <c r="D4895" t="s">
        <v>780</v>
      </c>
      <c r="E4895" t="s">
        <v>506</v>
      </c>
      <c r="F4895" t="s">
        <v>244</v>
      </c>
      <c r="G4895" s="39">
        <v>40974</v>
      </c>
      <c r="J4895" t="s">
        <v>90</v>
      </c>
    </row>
    <row r="4896" spans="1:10" x14ac:dyDescent="0.35">
      <c r="A4896">
        <v>17237</v>
      </c>
      <c r="B4896" t="s">
        <v>470</v>
      </c>
      <c r="C4896" t="s">
        <v>92</v>
      </c>
      <c r="D4896" t="s">
        <v>780</v>
      </c>
      <c r="E4896" t="s">
        <v>531</v>
      </c>
      <c r="F4896" t="s">
        <v>244</v>
      </c>
      <c r="G4896" s="39">
        <v>45679</v>
      </c>
      <c r="J4896" t="s">
        <v>90</v>
      </c>
    </row>
    <row r="4897" spans="1:10" x14ac:dyDescent="0.35">
      <c r="A4897">
        <v>14744</v>
      </c>
      <c r="B4897" t="s">
        <v>470</v>
      </c>
      <c r="C4897" t="s">
        <v>92</v>
      </c>
      <c r="D4897" t="s">
        <v>780</v>
      </c>
      <c r="E4897" t="s">
        <v>531</v>
      </c>
      <c r="F4897" t="s">
        <v>244</v>
      </c>
      <c r="G4897" s="39">
        <v>44844</v>
      </c>
      <c r="J4897" t="s">
        <v>90</v>
      </c>
    </row>
    <row r="4898" spans="1:10" x14ac:dyDescent="0.35">
      <c r="A4898">
        <v>16831</v>
      </c>
      <c r="B4898" t="s">
        <v>470</v>
      </c>
      <c r="C4898" t="s">
        <v>92</v>
      </c>
      <c r="D4898" t="s">
        <v>780</v>
      </c>
      <c r="E4898" t="s">
        <v>530</v>
      </c>
      <c r="F4898" t="s">
        <v>244</v>
      </c>
      <c r="G4898" s="39">
        <v>45583</v>
      </c>
      <c r="J4898" t="s">
        <v>90</v>
      </c>
    </row>
    <row r="4899" spans="1:10" x14ac:dyDescent="0.35">
      <c r="A4899">
        <v>18431</v>
      </c>
      <c r="B4899" t="s">
        <v>470</v>
      </c>
      <c r="C4899" t="s">
        <v>92</v>
      </c>
      <c r="D4899" t="s">
        <v>780</v>
      </c>
      <c r="E4899" t="s">
        <v>824</v>
      </c>
      <c r="F4899" t="s">
        <v>244</v>
      </c>
      <c r="G4899" s="39">
        <v>46128</v>
      </c>
      <c r="J4899" t="s">
        <v>90</v>
      </c>
    </row>
    <row r="4900" spans="1:10" x14ac:dyDescent="0.35">
      <c r="A4900">
        <v>18760</v>
      </c>
      <c r="B4900" t="s">
        <v>470</v>
      </c>
      <c r="C4900" t="s">
        <v>92</v>
      </c>
      <c r="D4900" t="s">
        <v>780</v>
      </c>
      <c r="E4900" t="s">
        <v>824</v>
      </c>
      <c r="F4900" t="s">
        <v>244</v>
      </c>
      <c r="G4900" s="39">
        <v>46206</v>
      </c>
      <c r="J4900" t="s">
        <v>90</v>
      </c>
    </row>
    <row r="4901" spans="1:10" x14ac:dyDescent="0.35">
      <c r="A4901">
        <v>14142</v>
      </c>
      <c r="B4901" t="s">
        <v>470</v>
      </c>
      <c r="C4901" t="s">
        <v>92</v>
      </c>
      <c r="D4901" t="s">
        <v>780</v>
      </c>
      <c r="E4901" t="s">
        <v>487</v>
      </c>
      <c r="F4901" t="s">
        <v>411</v>
      </c>
      <c r="G4901" s="39">
        <v>44672</v>
      </c>
      <c r="J4901" t="s">
        <v>90</v>
      </c>
    </row>
    <row r="4902" spans="1:10" x14ac:dyDescent="0.35">
      <c r="A4902">
        <v>18746</v>
      </c>
      <c r="B4902" t="s">
        <v>470</v>
      </c>
      <c r="C4902" t="s">
        <v>92</v>
      </c>
      <c r="D4902" t="s">
        <v>780</v>
      </c>
      <c r="E4902" t="s">
        <v>826</v>
      </c>
      <c r="F4902" t="s">
        <v>244</v>
      </c>
      <c r="G4902" s="39">
        <v>46204</v>
      </c>
      <c r="J4902" t="s">
        <v>90</v>
      </c>
    </row>
    <row r="4903" spans="1:10" x14ac:dyDescent="0.35">
      <c r="A4903">
        <v>300191</v>
      </c>
      <c r="B4903" t="s">
        <v>470</v>
      </c>
      <c r="C4903" t="s">
        <v>92</v>
      </c>
      <c r="D4903" t="s">
        <v>780</v>
      </c>
      <c r="E4903" t="s">
        <v>487</v>
      </c>
      <c r="F4903" t="s">
        <v>411</v>
      </c>
      <c r="G4903" s="39">
        <v>43790</v>
      </c>
      <c r="J4903" t="s">
        <v>90</v>
      </c>
    </row>
    <row r="4904" spans="1:10" x14ac:dyDescent="0.35">
      <c r="A4904">
        <v>18408</v>
      </c>
      <c r="B4904" t="s">
        <v>470</v>
      </c>
      <c r="C4904" t="s">
        <v>92</v>
      </c>
      <c r="D4904" t="s">
        <v>780</v>
      </c>
      <c r="E4904" t="s">
        <v>826</v>
      </c>
      <c r="F4904" t="s">
        <v>244</v>
      </c>
      <c r="G4904" s="39">
        <v>46125</v>
      </c>
      <c r="J4904" t="s">
        <v>90</v>
      </c>
    </row>
    <row r="4905" spans="1:10" x14ac:dyDescent="0.35">
      <c r="A4905">
        <v>15308</v>
      </c>
      <c r="B4905" t="s">
        <v>470</v>
      </c>
      <c r="C4905" t="s">
        <v>92</v>
      </c>
      <c r="D4905" t="s">
        <v>780</v>
      </c>
      <c r="E4905" t="s">
        <v>487</v>
      </c>
      <c r="F4905" t="s">
        <v>244</v>
      </c>
      <c r="G4905" s="39">
        <v>45023</v>
      </c>
      <c r="J4905" t="s">
        <v>90</v>
      </c>
    </row>
    <row r="4906" spans="1:10" x14ac:dyDescent="0.35">
      <c r="A4906">
        <v>14860</v>
      </c>
      <c r="B4906" t="s">
        <v>470</v>
      </c>
      <c r="C4906" t="s">
        <v>92</v>
      </c>
      <c r="D4906" t="s">
        <v>780</v>
      </c>
      <c r="E4906" t="s">
        <v>475</v>
      </c>
      <c r="F4906" t="s">
        <v>244</v>
      </c>
      <c r="G4906" s="39">
        <v>44881</v>
      </c>
      <c r="J4906" t="s">
        <v>90</v>
      </c>
    </row>
    <row r="4907" spans="1:10" x14ac:dyDescent="0.35">
      <c r="A4907">
        <v>16382</v>
      </c>
      <c r="B4907" t="s">
        <v>470</v>
      </c>
      <c r="C4907" t="s">
        <v>92</v>
      </c>
      <c r="D4907" t="s">
        <v>780</v>
      </c>
      <c r="E4907" t="s">
        <v>536</v>
      </c>
      <c r="F4907" t="s">
        <v>411</v>
      </c>
      <c r="G4907" s="39">
        <v>45365</v>
      </c>
      <c r="J4907" t="s">
        <v>90</v>
      </c>
    </row>
    <row r="4908" spans="1:10" x14ac:dyDescent="0.35">
      <c r="A4908">
        <v>16118</v>
      </c>
      <c r="B4908" t="s">
        <v>470</v>
      </c>
      <c r="C4908" t="s">
        <v>92</v>
      </c>
      <c r="D4908" t="s">
        <v>780</v>
      </c>
      <c r="E4908" t="s">
        <v>474</v>
      </c>
      <c r="F4908" t="s">
        <v>411</v>
      </c>
      <c r="G4908" s="39">
        <v>45286</v>
      </c>
      <c r="J4908" t="s">
        <v>90</v>
      </c>
    </row>
    <row r="4909" spans="1:10" x14ac:dyDescent="0.35">
      <c r="A4909">
        <v>17265</v>
      </c>
      <c r="B4909" t="s">
        <v>470</v>
      </c>
      <c r="C4909" t="s">
        <v>92</v>
      </c>
      <c r="D4909" t="s">
        <v>780</v>
      </c>
      <c r="E4909" t="s">
        <v>474</v>
      </c>
      <c r="F4909" t="s">
        <v>244</v>
      </c>
      <c r="G4909" s="39">
        <v>45693</v>
      </c>
      <c r="J4909" t="s">
        <v>90</v>
      </c>
    </row>
    <row r="4910" spans="1:10" x14ac:dyDescent="0.35">
      <c r="A4910">
        <v>18470</v>
      </c>
      <c r="B4910" t="s">
        <v>470</v>
      </c>
      <c r="C4910" t="s">
        <v>92</v>
      </c>
      <c r="D4910" t="s">
        <v>780</v>
      </c>
      <c r="E4910" t="s">
        <v>475</v>
      </c>
      <c r="F4910" t="s">
        <v>244</v>
      </c>
      <c r="G4910" s="39">
        <v>46134</v>
      </c>
      <c r="J4910" t="s">
        <v>90</v>
      </c>
    </row>
    <row r="4911" spans="1:10" x14ac:dyDescent="0.35">
      <c r="A4911">
        <v>18488</v>
      </c>
      <c r="B4911" t="s">
        <v>470</v>
      </c>
      <c r="C4911" t="s">
        <v>92</v>
      </c>
      <c r="D4911" t="s">
        <v>780</v>
      </c>
      <c r="E4911" t="s">
        <v>475</v>
      </c>
      <c r="F4911" t="s">
        <v>244</v>
      </c>
      <c r="G4911" s="39">
        <v>46140</v>
      </c>
      <c r="J4911" t="s">
        <v>90</v>
      </c>
    </row>
    <row r="4912" spans="1:10" x14ac:dyDescent="0.35">
      <c r="A4912">
        <v>18490</v>
      </c>
      <c r="B4912" t="s">
        <v>470</v>
      </c>
      <c r="C4912" t="s">
        <v>92</v>
      </c>
      <c r="D4912" t="s">
        <v>780</v>
      </c>
      <c r="E4912" t="s">
        <v>475</v>
      </c>
      <c r="F4912" t="s">
        <v>244</v>
      </c>
      <c r="G4912" s="39">
        <v>46143</v>
      </c>
      <c r="J4912" t="s">
        <v>90</v>
      </c>
    </row>
    <row r="4913" spans="1:10" x14ac:dyDescent="0.35">
      <c r="A4913">
        <v>18636</v>
      </c>
      <c r="B4913" t="s">
        <v>470</v>
      </c>
      <c r="C4913" t="s">
        <v>92</v>
      </c>
      <c r="D4913" t="s">
        <v>780</v>
      </c>
      <c r="E4913" t="s">
        <v>475</v>
      </c>
      <c r="F4913" t="s">
        <v>244</v>
      </c>
      <c r="G4913" s="39">
        <v>46178</v>
      </c>
      <c r="J4913" t="s">
        <v>90</v>
      </c>
    </row>
    <row r="4914" spans="1:10" x14ac:dyDescent="0.35">
      <c r="A4914">
        <v>18899</v>
      </c>
      <c r="B4914" t="s">
        <v>470</v>
      </c>
      <c r="C4914" t="s">
        <v>92</v>
      </c>
      <c r="D4914" t="s">
        <v>780</v>
      </c>
      <c r="E4914" t="s">
        <v>475</v>
      </c>
      <c r="F4914" t="s">
        <v>244</v>
      </c>
      <c r="G4914" s="39">
        <v>46238</v>
      </c>
      <c r="J4914" t="s">
        <v>90</v>
      </c>
    </row>
    <row r="4915" spans="1:10" x14ac:dyDescent="0.35">
      <c r="A4915">
        <v>18754</v>
      </c>
      <c r="B4915" t="s">
        <v>470</v>
      </c>
      <c r="C4915" t="s">
        <v>92</v>
      </c>
      <c r="D4915" t="s">
        <v>780</v>
      </c>
      <c r="E4915" t="s">
        <v>475</v>
      </c>
      <c r="F4915" t="s">
        <v>244</v>
      </c>
      <c r="G4915" s="39">
        <v>46205</v>
      </c>
      <c r="J4915" t="s">
        <v>90</v>
      </c>
    </row>
    <row r="4916" spans="1:10" x14ac:dyDescent="0.35">
      <c r="A4916">
        <v>500038</v>
      </c>
      <c r="B4916" t="s">
        <v>470</v>
      </c>
      <c r="C4916" t="s">
        <v>92</v>
      </c>
      <c r="D4916" t="s">
        <v>780</v>
      </c>
      <c r="E4916" t="s">
        <v>406</v>
      </c>
      <c r="F4916" t="s">
        <v>244</v>
      </c>
      <c r="G4916" s="39">
        <v>43199</v>
      </c>
      <c r="J4916" t="s">
        <v>90</v>
      </c>
    </row>
    <row r="4917" spans="1:10" x14ac:dyDescent="0.35">
      <c r="A4917">
        <v>530017</v>
      </c>
      <c r="B4917" t="s">
        <v>470</v>
      </c>
      <c r="C4917" t="s">
        <v>92</v>
      </c>
      <c r="D4917" t="s">
        <v>780</v>
      </c>
      <c r="E4917" t="s">
        <v>406</v>
      </c>
      <c r="F4917" t="s">
        <v>244</v>
      </c>
      <c r="G4917" s="39">
        <v>42702</v>
      </c>
      <c r="J4917" t="s">
        <v>90</v>
      </c>
    </row>
    <row r="4918" spans="1:10" x14ac:dyDescent="0.35">
      <c r="A4918">
        <v>710043</v>
      </c>
      <c r="B4918" t="s">
        <v>470</v>
      </c>
      <c r="C4918" t="s">
        <v>92</v>
      </c>
      <c r="D4918" t="s">
        <v>780</v>
      </c>
      <c r="E4918" t="s">
        <v>406</v>
      </c>
      <c r="F4918" t="s">
        <v>244</v>
      </c>
      <c r="G4918" s="39">
        <v>44571</v>
      </c>
      <c r="J4918" t="s">
        <v>90</v>
      </c>
    </row>
    <row r="4919" spans="1:10" x14ac:dyDescent="0.35">
      <c r="A4919">
        <v>205010</v>
      </c>
      <c r="B4919" t="s">
        <v>470</v>
      </c>
      <c r="C4919" t="s">
        <v>92</v>
      </c>
      <c r="D4919" t="s">
        <v>780</v>
      </c>
      <c r="E4919" t="s">
        <v>477</v>
      </c>
      <c r="F4919" t="s">
        <v>411</v>
      </c>
      <c r="G4919" s="39">
        <v>44587</v>
      </c>
      <c r="J4919" t="s">
        <v>90</v>
      </c>
    </row>
    <row r="4920" spans="1:10" x14ac:dyDescent="0.35">
      <c r="A4920">
        <v>18501</v>
      </c>
      <c r="B4920" t="s">
        <v>470</v>
      </c>
      <c r="C4920" t="s">
        <v>92</v>
      </c>
      <c r="D4920" t="s">
        <v>780</v>
      </c>
      <c r="E4920" t="s">
        <v>835</v>
      </c>
      <c r="F4920" t="s">
        <v>244</v>
      </c>
      <c r="G4920" s="39">
        <v>46146</v>
      </c>
      <c r="J4920" t="s">
        <v>90</v>
      </c>
    </row>
    <row r="4921" spans="1:10" x14ac:dyDescent="0.35">
      <c r="A4921">
        <v>300230</v>
      </c>
      <c r="B4921" t="s">
        <v>470</v>
      </c>
      <c r="C4921" t="s">
        <v>92</v>
      </c>
      <c r="D4921" t="s">
        <v>780</v>
      </c>
      <c r="E4921" t="s">
        <v>477</v>
      </c>
      <c r="F4921" t="s">
        <v>411</v>
      </c>
      <c r="G4921" s="39">
        <v>44237</v>
      </c>
      <c r="J4921" t="s">
        <v>90</v>
      </c>
    </row>
    <row r="4922" spans="1:10" x14ac:dyDescent="0.35">
      <c r="A4922">
        <v>17309</v>
      </c>
      <c r="B4922" t="s">
        <v>470</v>
      </c>
      <c r="C4922" t="s">
        <v>92</v>
      </c>
      <c r="D4922" t="s">
        <v>780</v>
      </c>
      <c r="E4922" t="s">
        <v>835</v>
      </c>
      <c r="F4922" t="s">
        <v>244</v>
      </c>
      <c r="G4922" s="39">
        <v>45700</v>
      </c>
      <c r="J4922" t="s">
        <v>90</v>
      </c>
    </row>
    <row r="4923" spans="1:10" x14ac:dyDescent="0.35">
      <c r="A4923">
        <v>300207</v>
      </c>
      <c r="B4923" t="s">
        <v>470</v>
      </c>
      <c r="C4923" t="s">
        <v>92</v>
      </c>
      <c r="D4923" t="s">
        <v>780</v>
      </c>
      <c r="E4923" t="s">
        <v>477</v>
      </c>
      <c r="F4923" t="s">
        <v>411</v>
      </c>
      <c r="G4923" s="39">
        <v>44026</v>
      </c>
      <c r="J4923" t="s">
        <v>90</v>
      </c>
    </row>
    <row r="4924" spans="1:10" x14ac:dyDescent="0.35">
      <c r="A4924">
        <v>17083</v>
      </c>
      <c r="B4924" t="s">
        <v>470</v>
      </c>
      <c r="C4924" t="s">
        <v>92</v>
      </c>
      <c r="D4924" t="s">
        <v>780</v>
      </c>
      <c r="E4924" t="s">
        <v>832</v>
      </c>
      <c r="F4924" t="s">
        <v>244</v>
      </c>
      <c r="G4924" s="39">
        <v>45621</v>
      </c>
      <c r="J4924" t="s">
        <v>90</v>
      </c>
    </row>
    <row r="4925" spans="1:10" x14ac:dyDescent="0.35">
      <c r="A4925">
        <v>15406</v>
      </c>
      <c r="B4925" t="s">
        <v>470</v>
      </c>
      <c r="C4925" t="s">
        <v>92</v>
      </c>
      <c r="D4925" t="s">
        <v>780</v>
      </c>
      <c r="E4925" t="s">
        <v>473</v>
      </c>
      <c r="F4925" t="s">
        <v>244</v>
      </c>
      <c r="G4925" s="39">
        <v>45058</v>
      </c>
      <c r="J4925" t="s">
        <v>90</v>
      </c>
    </row>
    <row r="4926" spans="1:10" x14ac:dyDescent="0.35">
      <c r="A4926">
        <v>14397</v>
      </c>
      <c r="B4926" t="s">
        <v>470</v>
      </c>
      <c r="C4926" t="s">
        <v>92</v>
      </c>
      <c r="D4926" t="s">
        <v>780</v>
      </c>
      <c r="E4926" t="s">
        <v>473</v>
      </c>
      <c r="F4926" t="s">
        <v>244</v>
      </c>
      <c r="G4926" s="39">
        <v>44748</v>
      </c>
      <c r="J4926" t="s">
        <v>90</v>
      </c>
    </row>
    <row r="4927" spans="1:10" x14ac:dyDescent="0.35">
      <c r="A4927">
        <v>15073</v>
      </c>
      <c r="B4927" t="s">
        <v>470</v>
      </c>
      <c r="C4927" t="s">
        <v>92</v>
      </c>
      <c r="D4927" t="s">
        <v>780</v>
      </c>
      <c r="E4927" t="s">
        <v>473</v>
      </c>
      <c r="F4927" t="s">
        <v>244</v>
      </c>
      <c r="G4927" s="39">
        <v>44942</v>
      </c>
      <c r="J4927" t="s">
        <v>90</v>
      </c>
    </row>
    <row r="4928" spans="1:10" x14ac:dyDescent="0.35">
      <c r="A4928">
        <v>19182</v>
      </c>
      <c r="B4928" t="s">
        <v>470</v>
      </c>
      <c r="C4928" t="s">
        <v>92</v>
      </c>
      <c r="D4928" t="s">
        <v>780</v>
      </c>
      <c r="E4928" t="s">
        <v>473</v>
      </c>
      <c r="F4928" t="s">
        <v>244</v>
      </c>
      <c r="G4928" s="39">
        <v>46279</v>
      </c>
      <c r="J4928" t="s">
        <v>90</v>
      </c>
    </row>
    <row r="4929" spans="1:10" x14ac:dyDescent="0.35">
      <c r="A4929">
        <v>15230</v>
      </c>
      <c r="B4929" t="s">
        <v>470</v>
      </c>
      <c r="C4929" t="s">
        <v>92</v>
      </c>
      <c r="D4929" t="s">
        <v>780</v>
      </c>
      <c r="E4929" t="s">
        <v>477</v>
      </c>
      <c r="F4929" t="s">
        <v>244</v>
      </c>
      <c r="G4929" s="39">
        <v>44995</v>
      </c>
      <c r="J4929" t="s">
        <v>90</v>
      </c>
    </row>
    <row r="4930" spans="1:10" x14ac:dyDescent="0.35">
      <c r="A4930">
        <v>300224</v>
      </c>
      <c r="B4930" t="s">
        <v>470</v>
      </c>
      <c r="C4930" t="s">
        <v>92</v>
      </c>
      <c r="D4930" t="s">
        <v>780</v>
      </c>
      <c r="E4930" t="s">
        <v>477</v>
      </c>
      <c r="F4930" t="s">
        <v>411</v>
      </c>
      <c r="G4930" s="39">
        <v>44207</v>
      </c>
      <c r="J4930" t="s">
        <v>90</v>
      </c>
    </row>
    <row r="4931" spans="1:10" x14ac:dyDescent="0.35">
      <c r="A4931">
        <v>17824</v>
      </c>
      <c r="B4931" t="s">
        <v>470</v>
      </c>
      <c r="C4931" t="s">
        <v>92</v>
      </c>
      <c r="D4931" t="s">
        <v>780</v>
      </c>
      <c r="E4931" t="s">
        <v>832</v>
      </c>
      <c r="F4931" t="s">
        <v>244</v>
      </c>
      <c r="G4931" s="39">
        <v>45884</v>
      </c>
      <c r="J4931" t="s">
        <v>90</v>
      </c>
    </row>
    <row r="4932" spans="1:10" x14ac:dyDescent="0.35">
      <c r="A4932">
        <v>15778</v>
      </c>
      <c r="B4932" t="s">
        <v>470</v>
      </c>
      <c r="C4932" t="s">
        <v>92</v>
      </c>
      <c r="D4932" t="s">
        <v>780</v>
      </c>
      <c r="E4932" t="s">
        <v>473</v>
      </c>
      <c r="F4932" t="s">
        <v>411</v>
      </c>
      <c r="G4932" s="39">
        <v>45191</v>
      </c>
      <c r="J4932" t="s">
        <v>90</v>
      </c>
    </row>
    <row r="4933" spans="1:10" x14ac:dyDescent="0.35">
      <c r="A4933">
        <v>15837</v>
      </c>
      <c r="B4933" t="s">
        <v>470</v>
      </c>
      <c r="C4933" t="s">
        <v>92</v>
      </c>
      <c r="D4933" t="s">
        <v>780</v>
      </c>
      <c r="E4933" t="s">
        <v>477</v>
      </c>
      <c r="F4933" t="s">
        <v>244</v>
      </c>
      <c r="G4933" s="39">
        <v>45210</v>
      </c>
      <c r="J4933" t="s">
        <v>90</v>
      </c>
    </row>
    <row r="4934" spans="1:10" x14ac:dyDescent="0.35">
      <c r="A4934">
        <v>17067</v>
      </c>
      <c r="B4934" t="s">
        <v>470</v>
      </c>
      <c r="C4934" t="s">
        <v>92</v>
      </c>
      <c r="D4934" t="s">
        <v>780</v>
      </c>
      <c r="E4934" t="s">
        <v>473</v>
      </c>
      <c r="F4934" t="s">
        <v>244</v>
      </c>
      <c r="G4934" s="39">
        <v>45622</v>
      </c>
      <c r="J4934" t="s">
        <v>90</v>
      </c>
    </row>
    <row r="4935" spans="1:10" x14ac:dyDescent="0.35">
      <c r="A4935">
        <v>18215</v>
      </c>
      <c r="B4935" t="s">
        <v>470</v>
      </c>
      <c r="C4935" t="s">
        <v>92</v>
      </c>
      <c r="D4935" t="s">
        <v>780</v>
      </c>
      <c r="E4935" t="s">
        <v>823</v>
      </c>
      <c r="F4935" t="s">
        <v>244</v>
      </c>
      <c r="G4935" s="39">
        <v>46057</v>
      </c>
      <c r="J4935" t="s">
        <v>90</v>
      </c>
    </row>
    <row r="4936" spans="1:10" x14ac:dyDescent="0.35">
      <c r="A4936">
        <v>18364</v>
      </c>
      <c r="B4936" t="s">
        <v>470</v>
      </c>
      <c r="C4936" t="s">
        <v>92</v>
      </c>
      <c r="D4936" t="s">
        <v>780</v>
      </c>
      <c r="E4936" t="s">
        <v>823</v>
      </c>
      <c r="F4936" t="s">
        <v>244</v>
      </c>
      <c r="G4936" s="39">
        <v>46113</v>
      </c>
      <c r="J4936" t="s">
        <v>90</v>
      </c>
    </row>
    <row r="4937" spans="1:10" x14ac:dyDescent="0.35">
      <c r="A4937">
        <v>18473</v>
      </c>
      <c r="B4937" t="s">
        <v>470</v>
      </c>
      <c r="C4937" t="s">
        <v>92</v>
      </c>
      <c r="D4937" t="s">
        <v>780</v>
      </c>
      <c r="E4937" t="s">
        <v>823</v>
      </c>
      <c r="F4937" t="s">
        <v>244</v>
      </c>
      <c r="G4937" s="39">
        <v>46135</v>
      </c>
      <c r="J4937" t="s">
        <v>90</v>
      </c>
    </row>
    <row r="4938" spans="1:10" x14ac:dyDescent="0.35">
      <c r="A4938">
        <v>18703</v>
      </c>
      <c r="B4938" t="s">
        <v>470</v>
      </c>
      <c r="C4938" t="s">
        <v>92</v>
      </c>
      <c r="D4938" t="s">
        <v>780</v>
      </c>
      <c r="E4938" t="s">
        <v>823</v>
      </c>
      <c r="F4938" t="s">
        <v>244</v>
      </c>
      <c r="G4938" s="39">
        <v>46195</v>
      </c>
      <c r="J4938" t="s">
        <v>90</v>
      </c>
    </row>
    <row r="4939" spans="1:10" x14ac:dyDescent="0.35">
      <c r="A4939">
        <v>700018</v>
      </c>
      <c r="B4939" t="s">
        <v>470</v>
      </c>
      <c r="C4939" t="s">
        <v>92</v>
      </c>
      <c r="D4939" t="s">
        <v>780</v>
      </c>
      <c r="E4939" t="s">
        <v>548</v>
      </c>
      <c r="F4939" t="s">
        <v>244</v>
      </c>
      <c r="G4939" s="39">
        <v>38105</v>
      </c>
      <c r="J4939" t="s">
        <v>90</v>
      </c>
    </row>
    <row r="4940" spans="1:10" x14ac:dyDescent="0.35">
      <c r="A4940">
        <v>18082</v>
      </c>
      <c r="B4940" t="s">
        <v>470</v>
      </c>
      <c r="C4940" t="s">
        <v>92</v>
      </c>
      <c r="D4940" t="s">
        <v>780</v>
      </c>
      <c r="E4940" t="s">
        <v>496</v>
      </c>
      <c r="F4940" t="s">
        <v>244</v>
      </c>
      <c r="G4940" s="39">
        <v>45987</v>
      </c>
      <c r="J4940" t="s">
        <v>90</v>
      </c>
    </row>
    <row r="4941" spans="1:10" x14ac:dyDescent="0.35">
      <c r="A4941">
        <v>12667</v>
      </c>
      <c r="B4941" t="s">
        <v>470</v>
      </c>
      <c r="C4941" t="s">
        <v>92</v>
      </c>
      <c r="D4941" t="s">
        <v>780</v>
      </c>
      <c r="E4941" t="s">
        <v>496</v>
      </c>
      <c r="F4941" t="s">
        <v>244</v>
      </c>
      <c r="G4941" s="39">
        <v>43864</v>
      </c>
      <c r="J4941" t="s">
        <v>90</v>
      </c>
    </row>
    <row r="4942" spans="1:10" x14ac:dyDescent="0.35">
      <c r="A4942">
        <v>19070</v>
      </c>
      <c r="B4942" t="s">
        <v>470</v>
      </c>
      <c r="C4942" t="s">
        <v>92</v>
      </c>
      <c r="D4942" t="s">
        <v>780</v>
      </c>
      <c r="E4942" t="s">
        <v>496</v>
      </c>
      <c r="F4942" t="s">
        <v>244</v>
      </c>
      <c r="G4942" s="39">
        <v>46266</v>
      </c>
      <c r="J4942" t="s">
        <v>90</v>
      </c>
    </row>
    <row r="4943" spans="1:10" x14ac:dyDescent="0.35">
      <c r="A4943">
        <v>18255</v>
      </c>
      <c r="B4943" t="s">
        <v>470</v>
      </c>
      <c r="C4943" t="s">
        <v>92</v>
      </c>
      <c r="D4943" t="s">
        <v>780</v>
      </c>
      <c r="E4943" t="s">
        <v>783</v>
      </c>
      <c r="F4943" t="s">
        <v>244</v>
      </c>
      <c r="G4943" s="39">
        <v>46072</v>
      </c>
      <c r="J4943" t="s">
        <v>90</v>
      </c>
    </row>
    <row r="4944" spans="1:10" x14ac:dyDescent="0.35">
      <c r="A4944">
        <v>18589</v>
      </c>
      <c r="B4944" t="s">
        <v>470</v>
      </c>
      <c r="C4944" t="s">
        <v>92</v>
      </c>
      <c r="D4944" t="s">
        <v>780</v>
      </c>
      <c r="E4944" t="s">
        <v>783</v>
      </c>
      <c r="F4944" t="s">
        <v>244</v>
      </c>
      <c r="G4944" s="39">
        <v>46162</v>
      </c>
      <c r="J4944" t="s">
        <v>90</v>
      </c>
    </row>
    <row r="4945" spans="1:10" x14ac:dyDescent="0.35">
      <c r="A4945">
        <v>18606</v>
      </c>
      <c r="B4945" t="s">
        <v>470</v>
      </c>
      <c r="C4945" t="s">
        <v>92</v>
      </c>
      <c r="D4945" t="s">
        <v>780</v>
      </c>
      <c r="E4945" t="s">
        <v>783</v>
      </c>
      <c r="F4945" t="s">
        <v>244</v>
      </c>
      <c r="G4945" s="39">
        <v>46164</v>
      </c>
      <c r="J4945" t="s">
        <v>90</v>
      </c>
    </row>
    <row r="4946" spans="1:10" x14ac:dyDescent="0.35">
      <c r="A4946">
        <v>18751</v>
      </c>
      <c r="B4946" t="s">
        <v>470</v>
      </c>
      <c r="C4946" t="s">
        <v>92</v>
      </c>
      <c r="D4946" t="s">
        <v>780</v>
      </c>
      <c r="E4946" t="s">
        <v>783</v>
      </c>
      <c r="F4946" t="s">
        <v>244</v>
      </c>
      <c r="G4946" s="39">
        <v>46205</v>
      </c>
      <c r="J4946" t="s">
        <v>90</v>
      </c>
    </row>
    <row r="4947" spans="1:10" x14ac:dyDescent="0.35">
      <c r="A4947">
        <v>18757</v>
      </c>
      <c r="B4947" t="s">
        <v>470</v>
      </c>
      <c r="C4947" t="s">
        <v>92</v>
      </c>
      <c r="D4947" t="s">
        <v>780</v>
      </c>
      <c r="E4947" t="s">
        <v>783</v>
      </c>
      <c r="F4947" t="s">
        <v>244</v>
      </c>
      <c r="G4947" s="39">
        <v>46206</v>
      </c>
      <c r="J4947" t="s">
        <v>90</v>
      </c>
    </row>
    <row r="4948" spans="1:10" x14ac:dyDescent="0.35">
      <c r="A4948">
        <v>18776</v>
      </c>
      <c r="B4948" t="s">
        <v>470</v>
      </c>
      <c r="C4948" t="s">
        <v>92</v>
      </c>
      <c r="D4948" t="s">
        <v>780</v>
      </c>
      <c r="E4948" t="s">
        <v>783</v>
      </c>
      <c r="F4948" t="s">
        <v>244</v>
      </c>
      <c r="G4948" s="39">
        <v>46210</v>
      </c>
      <c r="J4948" t="s">
        <v>90</v>
      </c>
    </row>
    <row r="4949" spans="1:10" x14ac:dyDescent="0.35">
      <c r="A4949">
        <v>18973</v>
      </c>
      <c r="B4949" t="s">
        <v>470</v>
      </c>
      <c r="C4949" t="s">
        <v>92</v>
      </c>
      <c r="D4949" t="s">
        <v>780</v>
      </c>
      <c r="E4949" t="s">
        <v>783</v>
      </c>
      <c r="F4949" t="s">
        <v>244</v>
      </c>
      <c r="G4949" s="39">
        <v>46254</v>
      </c>
      <c r="J4949" t="s">
        <v>90</v>
      </c>
    </row>
    <row r="4950" spans="1:10" x14ac:dyDescent="0.35">
      <c r="A4950">
        <v>19011</v>
      </c>
      <c r="B4950" t="s">
        <v>470</v>
      </c>
      <c r="C4950" t="s">
        <v>92</v>
      </c>
      <c r="D4950" t="s">
        <v>780</v>
      </c>
      <c r="E4950" t="s">
        <v>783</v>
      </c>
      <c r="F4950" t="s">
        <v>244</v>
      </c>
      <c r="G4950" s="39">
        <v>46259</v>
      </c>
      <c r="J4950" t="s">
        <v>90</v>
      </c>
    </row>
    <row r="4951" spans="1:10" x14ac:dyDescent="0.35">
      <c r="A4951">
        <v>300157</v>
      </c>
      <c r="B4951" t="s">
        <v>470</v>
      </c>
      <c r="C4951" t="s">
        <v>92</v>
      </c>
      <c r="D4951" t="s">
        <v>791</v>
      </c>
      <c r="E4951" t="s">
        <v>122</v>
      </c>
      <c r="F4951" t="s">
        <v>244</v>
      </c>
      <c r="G4951" s="39">
        <v>43507</v>
      </c>
      <c r="J4951" t="s">
        <v>90</v>
      </c>
    </row>
    <row r="4952" spans="1:10" x14ac:dyDescent="0.35">
      <c r="A4952">
        <v>300195</v>
      </c>
      <c r="B4952" t="s">
        <v>470</v>
      </c>
      <c r="C4952" t="s">
        <v>92</v>
      </c>
      <c r="D4952" t="s">
        <v>791</v>
      </c>
      <c r="E4952" t="s">
        <v>122</v>
      </c>
      <c r="F4952" t="s">
        <v>244</v>
      </c>
      <c r="G4952" s="39">
        <v>43815</v>
      </c>
      <c r="J4952" t="s">
        <v>90</v>
      </c>
    </row>
    <row r="4953" spans="1:10" x14ac:dyDescent="0.35">
      <c r="A4953">
        <v>16288</v>
      </c>
      <c r="B4953" t="s">
        <v>470</v>
      </c>
      <c r="C4953" t="s">
        <v>92</v>
      </c>
      <c r="D4953" t="s">
        <v>791</v>
      </c>
      <c r="E4953" t="s">
        <v>122</v>
      </c>
      <c r="F4953" t="s">
        <v>244</v>
      </c>
      <c r="G4953" s="39">
        <v>45338</v>
      </c>
      <c r="J4953" t="s">
        <v>90</v>
      </c>
    </row>
    <row r="4954" spans="1:10" x14ac:dyDescent="0.35">
      <c r="A4954">
        <v>125002</v>
      </c>
      <c r="B4954" t="s">
        <v>470</v>
      </c>
      <c r="C4954" t="s">
        <v>92</v>
      </c>
      <c r="D4954" t="s">
        <v>791</v>
      </c>
      <c r="E4954" t="s">
        <v>122</v>
      </c>
      <c r="F4954" t="s">
        <v>244</v>
      </c>
      <c r="G4954" s="39">
        <v>43151</v>
      </c>
      <c r="J4954" t="s">
        <v>90</v>
      </c>
    </row>
    <row r="4955" spans="1:10" x14ac:dyDescent="0.35">
      <c r="A4955">
        <v>12922</v>
      </c>
      <c r="B4955" t="s">
        <v>470</v>
      </c>
      <c r="C4955" t="s">
        <v>92</v>
      </c>
      <c r="D4955" t="s">
        <v>859</v>
      </c>
      <c r="E4955" t="s">
        <v>151</v>
      </c>
      <c r="F4955" t="s">
        <v>244</v>
      </c>
      <c r="G4955" s="39">
        <v>44111</v>
      </c>
      <c r="J4955" t="s">
        <v>90</v>
      </c>
    </row>
    <row r="4956" spans="1:10" x14ac:dyDescent="0.35">
      <c r="A4956">
        <v>20045</v>
      </c>
      <c r="B4956" t="s">
        <v>470</v>
      </c>
      <c r="C4956" t="s">
        <v>92</v>
      </c>
      <c r="D4956" t="s">
        <v>859</v>
      </c>
      <c r="E4956" t="s">
        <v>109</v>
      </c>
      <c r="F4956" t="s">
        <v>244</v>
      </c>
      <c r="G4956" s="39">
        <v>44624</v>
      </c>
      <c r="J4956" t="s">
        <v>90</v>
      </c>
    </row>
    <row r="4957" spans="1:10" x14ac:dyDescent="0.35">
      <c r="A4957">
        <v>15116</v>
      </c>
      <c r="B4957" t="s">
        <v>470</v>
      </c>
      <c r="C4957" t="s">
        <v>92</v>
      </c>
      <c r="D4957" t="s">
        <v>859</v>
      </c>
      <c r="E4957" t="s">
        <v>102</v>
      </c>
      <c r="F4957" t="s">
        <v>244</v>
      </c>
      <c r="G4957" s="39">
        <v>44951</v>
      </c>
      <c r="J4957" t="s">
        <v>90</v>
      </c>
    </row>
    <row r="4958" spans="1:10" x14ac:dyDescent="0.35">
      <c r="A4958">
        <v>15226</v>
      </c>
      <c r="B4958" t="s">
        <v>470</v>
      </c>
      <c r="C4958" t="s">
        <v>92</v>
      </c>
      <c r="D4958" t="s">
        <v>859</v>
      </c>
      <c r="E4958" t="s">
        <v>102</v>
      </c>
      <c r="F4958" t="s">
        <v>244</v>
      </c>
      <c r="G4958" s="39">
        <v>44995</v>
      </c>
      <c r="J4958" t="s">
        <v>90</v>
      </c>
    </row>
    <row r="4959" spans="1:10" x14ac:dyDescent="0.35">
      <c r="A4959">
        <v>14506</v>
      </c>
      <c r="B4959" t="s">
        <v>470</v>
      </c>
      <c r="C4959" t="s">
        <v>92</v>
      </c>
      <c r="D4959" t="s">
        <v>859</v>
      </c>
      <c r="E4959" t="s">
        <v>103</v>
      </c>
      <c r="F4959" t="s">
        <v>244</v>
      </c>
      <c r="G4959" s="39">
        <v>44777</v>
      </c>
      <c r="J4959" t="s">
        <v>90</v>
      </c>
    </row>
    <row r="4960" spans="1:10" x14ac:dyDescent="0.35">
      <c r="A4960">
        <v>500049</v>
      </c>
      <c r="B4960" t="s">
        <v>470</v>
      </c>
      <c r="C4960" t="s">
        <v>92</v>
      </c>
      <c r="D4960" t="s">
        <v>859</v>
      </c>
      <c r="E4960" t="s">
        <v>103</v>
      </c>
      <c r="F4960" t="s">
        <v>244</v>
      </c>
      <c r="G4960" s="39">
        <v>44630</v>
      </c>
      <c r="J4960" t="s">
        <v>90</v>
      </c>
    </row>
    <row r="4961" spans="1:10" x14ac:dyDescent="0.35">
      <c r="A4961">
        <v>16505</v>
      </c>
      <c r="B4961" t="s">
        <v>470</v>
      </c>
      <c r="C4961" t="s">
        <v>92</v>
      </c>
      <c r="D4961" t="s">
        <v>859</v>
      </c>
      <c r="E4961" t="s">
        <v>103</v>
      </c>
      <c r="F4961" t="s">
        <v>244</v>
      </c>
      <c r="G4961" s="39">
        <v>45446</v>
      </c>
      <c r="J4961" t="s">
        <v>90</v>
      </c>
    </row>
    <row r="4962" spans="1:10" x14ac:dyDescent="0.35">
      <c r="A4962">
        <v>11586</v>
      </c>
      <c r="B4962" t="s">
        <v>860</v>
      </c>
      <c r="C4962" t="s">
        <v>92</v>
      </c>
      <c r="D4962" t="s">
        <v>92</v>
      </c>
      <c r="E4962" t="s">
        <v>464</v>
      </c>
      <c r="F4962" t="s">
        <v>244</v>
      </c>
      <c r="G4962" s="39">
        <v>42885</v>
      </c>
      <c r="J4962" t="s">
        <v>90</v>
      </c>
    </row>
    <row r="4963" spans="1:10" x14ac:dyDescent="0.35">
      <c r="A4963">
        <v>300190</v>
      </c>
      <c r="B4963" t="s">
        <v>860</v>
      </c>
      <c r="C4963" t="s">
        <v>92</v>
      </c>
      <c r="D4963" t="s">
        <v>859</v>
      </c>
      <c r="E4963" t="s">
        <v>109</v>
      </c>
      <c r="F4963" t="s">
        <v>244</v>
      </c>
      <c r="G4963" s="39">
        <v>43766</v>
      </c>
      <c r="J4963" t="s">
        <v>90</v>
      </c>
    </row>
    <row r="4964" spans="1:10" x14ac:dyDescent="0.35">
      <c r="A4964">
        <v>300228</v>
      </c>
      <c r="B4964" t="s">
        <v>860</v>
      </c>
      <c r="C4964" t="s">
        <v>92</v>
      </c>
      <c r="D4964" t="s">
        <v>859</v>
      </c>
      <c r="E4964" t="s">
        <v>109</v>
      </c>
      <c r="F4964" t="s">
        <v>244</v>
      </c>
      <c r="G4964" s="39">
        <v>44245</v>
      </c>
      <c r="J4964" t="s">
        <v>90</v>
      </c>
    </row>
    <row r="4965" spans="1:10" x14ac:dyDescent="0.35">
      <c r="A4965">
        <v>300202</v>
      </c>
      <c r="B4965" t="s">
        <v>860</v>
      </c>
      <c r="C4965" t="s">
        <v>92</v>
      </c>
      <c r="D4965" t="s">
        <v>859</v>
      </c>
      <c r="E4965" t="s">
        <v>109</v>
      </c>
      <c r="F4965" t="s">
        <v>244</v>
      </c>
      <c r="G4965" s="39">
        <v>44006</v>
      </c>
      <c r="J4965" t="s">
        <v>90</v>
      </c>
    </row>
    <row r="4966" spans="1:10" x14ac:dyDescent="0.35">
      <c r="A4966">
        <v>300234</v>
      </c>
      <c r="B4966" t="s">
        <v>860</v>
      </c>
      <c r="C4966" t="s">
        <v>92</v>
      </c>
      <c r="D4966" t="s">
        <v>859</v>
      </c>
      <c r="E4966" t="s">
        <v>109</v>
      </c>
      <c r="F4966" t="s">
        <v>411</v>
      </c>
      <c r="G4966" s="39">
        <v>44414</v>
      </c>
      <c r="J4966" t="s">
        <v>90</v>
      </c>
    </row>
    <row r="4967" spans="1:10" x14ac:dyDescent="0.35">
      <c r="A4967">
        <v>190050</v>
      </c>
      <c r="B4967" t="s">
        <v>860</v>
      </c>
      <c r="C4967" t="s">
        <v>92</v>
      </c>
      <c r="D4967" t="s">
        <v>859</v>
      </c>
      <c r="E4967" t="s">
        <v>861</v>
      </c>
      <c r="F4967" t="s">
        <v>244</v>
      </c>
      <c r="G4967" s="39">
        <v>44546</v>
      </c>
      <c r="J4967" t="s">
        <v>90</v>
      </c>
    </row>
    <row r="4968" spans="1:10" x14ac:dyDescent="0.35">
      <c r="A4968">
        <v>220018</v>
      </c>
      <c r="B4968" t="s">
        <v>860</v>
      </c>
      <c r="C4968" t="s">
        <v>92</v>
      </c>
      <c r="D4968" t="s">
        <v>780</v>
      </c>
      <c r="E4968" t="s">
        <v>151</v>
      </c>
      <c r="F4968" t="s">
        <v>244</v>
      </c>
      <c r="G4968" s="39">
        <v>38628</v>
      </c>
      <c r="J4968" t="s">
        <v>90</v>
      </c>
    </row>
    <row r="4969" spans="1:10" x14ac:dyDescent="0.35">
      <c r="A4969">
        <v>14597</v>
      </c>
      <c r="B4969" t="s">
        <v>860</v>
      </c>
      <c r="C4969" t="s">
        <v>92</v>
      </c>
      <c r="D4969" t="s">
        <v>780</v>
      </c>
      <c r="E4969" t="s">
        <v>506</v>
      </c>
      <c r="F4969" t="s">
        <v>244</v>
      </c>
      <c r="G4969" s="39">
        <v>44816</v>
      </c>
      <c r="J4969" t="s">
        <v>90</v>
      </c>
    </row>
    <row r="4970" spans="1:10" x14ac:dyDescent="0.35">
      <c r="A4970">
        <v>133013</v>
      </c>
      <c r="B4970" t="s">
        <v>860</v>
      </c>
      <c r="C4970" t="s">
        <v>92</v>
      </c>
      <c r="D4970" t="s">
        <v>780</v>
      </c>
      <c r="E4970" t="s">
        <v>506</v>
      </c>
      <c r="F4970" t="s">
        <v>244</v>
      </c>
      <c r="G4970" s="39">
        <v>43630</v>
      </c>
      <c r="J4970" t="s">
        <v>90</v>
      </c>
    </row>
    <row r="4971" spans="1:10" x14ac:dyDescent="0.35">
      <c r="A4971">
        <v>15012</v>
      </c>
      <c r="B4971" t="s">
        <v>860</v>
      </c>
      <c r="C4971" t="s">
        <v>92</v>
      </c>
      <c r="D4971" t="s">
        <v>780</v>
      </c>
      <c r="E4971" t="s">
        <v>531</v>
      </c>
      <c r="F4971" t="s">
        <v>244</v>
      </c>
      <c r="G4971" s="39">
        <v>44915</v>
      </c>
      <c r="J4971" t="s">
        <v>90</v>
      </c>
    </row>
    <row r="4972" spans="1:10" x14ac:dyDescent="0.35">
      <c r="A4972">
        <v>17676</v>
      </c>
      <c r="B4972" t="s">
        <v>860</v>
      </c>
      <c r="C4972" t="s">
        <v>92</v>
      </c>
      <c r="D4972" t="s">
        <v>780</v>
      </c>
      <c r="E4972" t="s">
        <v>530</v>
      </c>
      <c r="F4972" t="s">
        <v>244</v>
      </c>
      <c r="G4972" s="39">
        <v>45841</v>
      </c>
      <c r="J4972" t="s">
        <v>90</v>
      </c>
    </row>
    <row r="4973" spans="1:10" x14ac:dyDescent="0.35">
      <c r="A4973">
        <v>300176</v>
      </c>
      <c r="B4973" t="s">
        <v>860</v>
      </c>
      <c r="C4973" t="s">
        <v>92</v>
      </c>
      <c r="D4973" t="s">
        <v>780</v>
      </c>
      <c r="E4973" t="s">
        <v>406</v>
      </c>
      <c r="F4973" t="s">
        <v>244</v>
      </c>
      <c r="G4973" s="39">
        <v>43721</v>
      </c>
      <c r="J4973" t="s">
        <v>90</v>
      </c>
    </row>
    <row r="4974" spans="1:10" x14ac:dyDescent="0.35">
      <c r="A4974">
        <v>14797</v>
      </c>
      <c r="B4974" t="s">
        <v>860</v>
      </c>
      <c r="C4974" t="s">
        <v>92</v>
      </c>
      <c r="D4974" t="s">
        <v>780</v>
      </c>
      <c r="E4974" t="s">
        <v>477</v>
      </c>
      <c r="F4974" t="s">
        <v>244</v>
      </c>
      <c r="G4974" s="39">
        <v>44858</v>
      </c>
      <c r="J4974" t="s">
        <v>90</v>
      </c>
    </row>
    <row r="4975" spans="1:10" x14ac:dyDescent="0.35">
      <c r="A4975">
        <v>14395</v>
      </c>
      <c r="B4975" t="s">
        <v>860</v>
      </c>
      <c r="C4975" t="s">
        <v>92</v>
      </c>
      <c r="D4975" t="s">
        <v>780</v>
      </c>
      <c r="E4975" t="s">
        <v>477</v>
      </c>
      <c r="F4975" t="s">
        <v>244</v>
      </c>
      <c r="G4975" s="39">
        <v>44746</v>
      </c>
      <c r="J4975" t="s">
        <v>90</v>
      </c>
    </row>
    <row r="4976" spans="1:10" x14ac:dyDescent="0.35">
      <c r="A4976">
        <v>15620</v>
      </c>
      <c r="B4976" t="s">
        <v>860</v>
      </c>
      <c r="C4976" t="s">
        <v>92</v>
      </c>
      <c r="D4976" t="s">
        <v>780</v>
      </c>
      <c r="E4976" t="s">
        <v>477</v>
      </c>
      <c r="F4976" t="s">
        <v>244</v>
      </c>
      <c r="G4976" s="39">
        <v>45141</v>
      </c>
      <c r="J4976" t="s">
        <v>90</v>
      </c>
    </row>
    <row r="4977" spans="1:10" x14ac:dyDescent="0.35">
      <c r="A4977">
        <v>16416</v>
      </c>
      <c r="B4977" t="s">
        <v>860</v>
      </c>
      <c r="C4977" t="s">
        <v>92</v>
      </c>
      <c r="D4977" t="s">
        <v>780</v>
      </c>
      <c r="E4977" t="s">
        <v>474</v>
      </c>
      <c r="F4977" t="s">
        <v>244</v>
      </c>
      <c r="G4977" s="39">
        <v>45385</v>
      </c>
      <c r="J4977" t="s">
        <v>90</v>
      </c>
    </row>
    <row r="4978" spans="1:10" x14ac:dyDescent="0.35">
      <c r="A4978">
        <v>17904</v>
      </c>
      <c r="B4978" t="s">
        <v>860</v>
      </c>
      <c r="C4978" t="s">
        <v>92</v>
      </c>
      <c r="D4978" t="s">
        <v>780</v>
      </c>
      <c r="E4978" t="s">
        <v>474</v>
      </c>
      <c r="F4978" t="s">
        <v>244</v>
      </c>
      <c r="G4978" s="39">
        <v>45908</v>
      </c>
      <c r="J4978" t="s">
        <v>90</v>
      </c>
    </row>
    <row r="4979" spans="1:10" x14ac:dyDescent="0.35">
      <c r="A4979">
        <v>17607</v>
      </c>
      <c r="B4979" t="s">
        <v>860</v>
      </c>
      <c r="C4979" t="s">
        <v>92</v>
      </c>
      <c r="D4979" t="s">
        <v>791</v>
      </c>
      <c r="E4979" t="s">
        <v>122</v>
      </c>
      <c r="F4979" t="s">
        <v>244</v>
      </c>
      <c r="G4979" s="39">
        <v>45812</v>
      </c>
      <c r="J4979" t="s">
        <v>90</v>
      </c>
    </row>
    <row r="4980" spans="1:10" x14ac:dyDescent="0.35">
      <c r="A4980">
        <v>300155</v>
      </c>
      <c r="B4980" t="s">
        <v>860</v>
      </c>
      <c r="C4980" t="s">
        <v>92</v>
      </c>
      <c r="D4980" t="s">
        <v>791</v>
      </c>
      <c r="E4980" t="s">
        <v>122</v>
      </c>
      <c r="F4980" t="s">
        <v>244</v>
      </c>
      <c r="G4980" s="39">
        <v>43500</v>
      </c>
      <c r="J4980" t="s">
        <v>90</v>
      </c>
    </row>
    <row r="4981" spans="1:10" x14ac:dyDescent="0.35">
      <c r="A4981">
        <v>11289</v>
      </c>
      <c r="B4981" t="s">
        <v>862</v>
      </c>
      <c r="C4981" t="s">
        <v>92</v>
      </c>
      <c r="D4981" t="s">
        <v>92</v>
      </c>
      <c r="E4981" t="s">
        <v>464</v>
      </c>
      <c r="F4981" t="s">
        <v>244</v>
      </c>
      <c r="G4981" s="39">
        <v>42494</v>
      </c>
      <c r="J4981" t="s">
        <v>90</v>
      </c>
    </row>
    <row r="4982" spans="1:10" x14ac:dyDescent="0.35">
      <c r="A4982">
        <v>800012</v>
      </c>
      <c r="B4982" t="s">
        <v>862</v>
      </c>
      <c r="C4982" t="s">
        <v>92</v>
      </c>
      <c r="D4982" t="s">
        <v>780</v>
      </c>
      <c r="E4982" t="s">
        <v>548</v>
      </c>
      <c r="F4982" t="s">
        <v>244</v>
      </c>
      <c r="G4982" s="39">
        <v>36696</v>
      </c>
      <c r="J4982" t="s">
        <v>90</v>
      </c>
    </row>
    <row r="4983" spans="1:10" x14ac:dyDescent="0.35">
      <c r="A4983">
        <v>300163</v>
      </c>
      <c r="B4983" t="s">
        <v>862</v>
      </c>
      <c r="C4983" t="s">
        <v>92</v>
      </c>
      <c r="D4983" t="s">
        <v>780</v>
      </c>
      <c r="E4983" t="s">
        <v>506</v>
      </c>
      <c r="F4983" t="s">
        <v>244</v>
      </c>
      <c r="G4983" s="39">
        <v>43566</v>
      </c>
      <c r="J4983" t="s">
        <v>90</v>
      </c>
    </row>
    <row r="4984" spans="1:10" x14ac:dyDescent="0.35">
      <c r="A4984">
        <v>16248</v>
      </c>
      <c r="B4984" t="s">
        <v>862</v>
      </c>
      <c r="C4984" t="s">
        <v>92</v>
      </c>
      <c r="D4984" t="s">
        <v>780</v>
      </c>
      <c r="E4984" t="s">
        <v>530</v>
      </c>
      <c r="F4984" t="s">
        <v>244</v>
      </c>
      <c r="G4984" s="39">
        <v>45337</v>
      </c>
      <c r="J4984" t="s">
        <v>90</v>
      </c>
    </row>
    <row r="4985" spans="1:10" x14ac:dyDescent="0.35">
      <c r="A4985">
        <v>14604</v>
      </c>
      <c r="B4985" t="s">
        <v>862</v>
      </c>
      <c r="C4985" t="s">
        <v>92</v>
      </c>
      <c r="D4985" t="s">
        <v>780</v>
      </c>
      <c r="E4985" t="s">
        <v>496</v>
      </c>
      <c r="F4985" t="s">
        <v>244</v>
      </c>
      <c r="G4985" s="39">
        <v>44797</v>
      </c>
      <c r="J4985" t="s">
        <v>90</v>
      </c>
    </row>
    <row r="4986" spans="1:10" x14ac:dyDescent="0.35">
      <c r="A4986">
        <v>18036</v>
      </c>
      <c r="B4986" t="s">
        <v>862</v>
      </c>
      <c r="C4986" t="s">
        <v>92</v>
      </c>
      <c r="D4986" t="s">
        <v>780</v>
      </c>
      <c r="E4986" t="s">
        <v>496</v>
      </c>
      <c r="F4986" t="s">
        <v>244</v>
      </c>
      <c r="G4986" s="39">
        <v>45974</v>
      </c>
      <c r="J4986" t="s">
        <v>90</v>
      </c>
    </row>
    <row r="4987" spans="1:10" x14ac:dyDescent="0.35">
      <c r="A4987">
        <v>180062</v>
      </c>
      <c r="B4987" t="s">
        <v>862</v>
      </c>
      <c r="C4987" t="s">
        <v>92</v>
      </c>
      <c r="D4987" t="s">
        <v>780</v>
      </c>
      <c r="E4987" t="s">
        <v>474</v>
      </c>
      <c r="F4987" t="s">
        <v>411</v>
      </c>
      <c r="G4987" s="39">
        <v>44462</v>
      </c>
      <c r="J4987" t="s">
        <v>90</v>
      </c>
    </row>
    <row r="4988" spans="1:10" x14ac:dyDescent="0.35">
      <c r="A4988">
        <v>18140</v>
      </c>
      <c r="B4988" t="s">
        <v>862</v>
      </c>
      <c r="C4988" t="s">
        <v>92</v>
      </c>
      <c r="D4988" t="s">
        <v>780</v>
      </c>
      <c r="E4988" t="s">
        <v>826</v>
      </c>
      <c r="F4988" t="s">
        <v>244</v>
      </c>
      <c r="G4988" s="39">
        <v>46009</v>
      </c>
      <c r="J4988" t="s">
        <v>90</v>
      </c>
    </row>
    <row r="4989" spans="1:10" x14ac:dyDescent="0.35">
      <c r="A4989">
        <v>150037</v>
      </c>
      <c r="B4989" t="s">
        <v>862</v>
      </c>
      <c r="C4989" t="s">
        <v>92</v>
      </c>
      <c r="D4989" t="s">
        <v>780</v>
      </c>
      <c r="E4989" t="s">
        <v>406</v>
      </c>
      <c r="F4989" t="s">
        <v>244</v>
      </c>
      <c r="G4989" s="39">
        <v>43669</v>
      </c>
      <c r="J4989" t="s">
        <v>90</v>
      </c>
    </row>
    <row r="4990" spans="1:10" x14ac:dyDescent="0.35">
      <c r="A4990">
        <v>410041</v>
      </c>
      <c r="B4990" t="s">
        <v>862</v>
      </c>
      <c r="C4990" t="s">
        <v>92</v>
      </c>
      <c r="D4990" t="s">
        <v>780</v>
      </c>
      <c r="E4990" t="s">
        <v>406</v>
      </c>
      <c r="F4990" t="s">
        <v>244</v>
      </c>
      <c r="G4990" s="39">
        <v>42142</v>
      </c>
      <c r="J4990" t="s">
        <v>90</v>
      </c>
    </row>
    <row r="4991" spans="1:10" x14ac:dyDescent="0.35">
      <c r="A4991">
        <v>14665</v>
      </c>
      <c r="B4991" t="s">
        <v>862</v>
      </c>
      <c r="C4991" t="s">
        <v>92</v>
      </c>
      <c r="D4991" t="s">
        <v>780</v>
      </c>
      <c r="E4991" t="s">
        <v>477</v>
      </c>
      <c r="F4991" t="s">
        <v>244</v>
      </c>
      <c r="G4991" s="39">
        <v>44818</v>
      </c>
      <c r="J4991" t="s">
        <v>90</v>
      </c>
    </row>
    <row r="4992" spans="1:10" x14ac:dyDescent="0.35">
      <c r="A4992">
        <v>15080</v>
      </c>
      <c r="B4992" t="s">
        <v>862</v>
      </c>
      <c r="C4992" t="s">
        <v>92</v>
      </c>
      <c r="D4992" t="s">
        <v>780</v>
      </c>
      <c r="E4992" t="s">
        <v>477</v>
      </c>
      <c r="F4992" t="s">
        <v>244</v>
      </c>
      <c r="G4992" s="39">
        <v>44942</v>
      </c>
      <c r="J4992" t="s">
        <v>90</v>
      </c>
    </row>
    <row r="4993" spans="1:10" x14ac:dyDescent="0.35">
      <c r="A4993">
        <v>860025</v>
      </c>
      <c r="B4993" t="s">
        <v>862</v>
      </c>
      <c r="C4993" t="s">
        <v>92</v>
      </c>
      <c r="D4993" t="s">
        <v>780</v>
      </c>
      <c r="E4993" t="s">
        <v>406</v>
      </c>
      <c r="F4993" t="s">
        <v>244</v>
      </c>
      <c r="G4993" s="39">
        <v>44295</v>
      </c>
      <c r="J4993" t="s">
        <v>90</v>
      </c>
    </row>
    <row r="4994" spans="1:10" x14ac:dyDescent="0.35">
      <c r="A4994">
        <v>15731</v>
      </c>
      <c r="B4994" t="s">
        <v>862</v>
      </c>
      <c r="C4994" t="s">
        <v>92</v>
      </c>
      <c r="D4994" t="s">
        <v>780</v>
      </c>
      <c r="E4994" t="s">
        <v>477</v>
      </c>
      <c r="F4994" t="s">
        <v>244</v>
      </c>
      <c r="G4994" s="39">
        <v>45177</v>
      </c>
      <c r="J4994" t="s">
        <v>90</v>
      </c>
    </row>
    <row r="4995" spans="1:10" x14ac:dyDescent="0.35">
      <c r="A4995">
        <v>14238</v>
      </c>
      <c r="B4995" t="s">
        <v>862</v>
      </c>
      <c r="C4995" t="s">
        <v>92</v>
      </c>
      <c r="D4995" t="s">
        <v>780</v>
      </c>
      <c r="E4995" t="s">
        <v>477</v>
      </c>
      <c r="F4995" t="s">
        <v>244</v>
      </c>
      <c r="G4995" s="39">
        <v>44701</v>
      </c>
      <c r="J4995" t="s">
        <v>90</v>
      </c>
    </row>
    <row r="4996" spans="1:10" x14ac:dyDescent="0.35">
      <c r="A4996">
        <v>18556</v>
      </c>
      <c r="B4996" t="s">
        <v>862</v>
      </c>
      <c r="C4996" t="s">
        <v>92</v>
      </c>
      <c r="D4996" t="s">
        <v>780</v>
      </c>
      <c r="E4996" t="s">
        <v>823</v>
      </c>
      <c r="F4996" t="s">
        <v>244</v>
      </c>
      <c r="G4996" s="39">
        <v>46155</v>
      </c>
      <c r="J4996" t="s">
        <v>90</v>
      </c>
    </row>
    <row r="4997" spans="1:10" x14ac:dyDescent="0.35">
      <c r="A4997">
        <v>16965</v>
      </c>
      <c r="B4997" t="s">
        <v>862</v>
      </c>
      <c r="C4997" t="s">
        <v>92</v>
      </c>
      <c r="D4997" t="s">
        <v>780</v>
      </c>
      <c r="E4997" t="s">
        <v>473</v>
      </c>
      <c r="F4997" t="s">
        <v>244</v>
      </c>
      <c r="G4997" s="39">
        <v>45580</v>
      </c>
      <c r="J4997" t="s">
        <v>90</v>
      </c>
    </row>
    <row r="4998" spans="1:10" x14ac:dyDescent="0.35">
      <c r="A4998">
        <v>16335</v>
      </c>
      <c r="B4998" t="s">
        <v>862</v>
      </c>
      <c r="C4998" t="s">
        <v>92</v>
      </c>
      <c r="D4998" t="s">
        <v>780</v>
      </c>
      <c r="E4998" t="s">
        <v>473</v>
      </c>
      <c r="F4998" t="s">
        <v>244</v>
      </c>
      <c r="G4998" s="39">
        <v>45356</v>
      </c>
      <c r="J4998" t="s">
        <v>90</v>
      </c>
    </row>
    <row r="4999" spans="1:10" x14ac:dyDescent="0.35">
      <c r="A4999">
        <v>205001</v>
      </c>
      <c r="B4999" t="s">
        <v>862</v>
      </c>
      <c r="C4999" t="s">
        <v>92</v>
      </c>
      <c r="D4999" t="s">
        <v>791</v>
      </c>
      <c r="E4999" t="s">
        <v>122</v>
      </c>
      <c r="F4999" t="s">
        <v>244</v>
      </c>
      <c r="G4999" s="39">
        <v>43488</v>
      </c>
      <c r="J4999" t="s">
        <v>90</v>
      </c>
    </row>
    <row r="5000" spans="1:10" x14ac:dyDescent="0.35">
      <c r="A5000">
        <v>230036</v>
      </c>
      <c r="B5000" t="s">
        <v>863</v>
      </c>
      <c r="C5000" t="s">
        <v>92</v>
      </c>
      <c r="D5000" t="s">
        <v>92</v>
      </c>
      <c r="E5000" t="s">
        <v>464</v>
      </c>
      <c r="F5000" t="s">
        <v>244</v>
      </c>
      <c r="G5000" s="39">
        <v>43199</v>
      </c>
      <c r="J5000" t="s">
        <v>90</v>
      </c>
    </row>
    <row r="5001" spans="1:10" x14ac:dyDescent="0.35">
      <c r="A5001">
        <v>15645</v>
      </c>
      <c r="B5001" t="s">
        <v>863</v>
      </c>
      <c r="C5001" t="s">
        <v>92</v>
      </c>
      <c r="D5001" t="s">
        <v>780</v>
      </c>
      <c r="E5001" t="s">
        <v>531</v>
      </c>
      <c r="F5001" t="s">
        <v>244</v>
      </c>
      <c r="G5001" s="39">
        <v>45149</v>
      </c>
      <c r="J5001" t="s">
        <v>90</v>
      </c>
    </row>
    <row r="5002" spans="1:10" x14ac:dyDescent="0.35">
      <c r="A5002">
        <v>14915</v>
      </c>
      <c r="B5002" t="s">
        <v>863</v>
      </c>
      <c r="C5002" t="s">
        <v>92</v>
      </c>
      <c r="D5002" t="s">
        <v>780</v>
      </c>
      <c r="E5002" t="s">
        <v>530</v>
      </c>
      <c r="F5002" t="s">
        <v>411</v>
      </c>
      <c r="G5002" s="39">
        <v>44889</v>
      </c>
      <c r="J5002" t="s">
        <v>90</v>
      </c>
    </row>
    <row r="5003" spans="1:10" x14ac:dyDescent="0.35">
      <c r="A5003">
        <v>15026</v>
      </c>
      <c r="B5003" t="s">
        <v>863</v>
      </c>
      <c r="C5003" t="s">
        <v>92</v>
      </c>
      <c r="D5003" t="s">
        <v>780</v>
      </c>
      <c r="E5003" t="s">
        <v>839</v>
      </c>
      <c r="F5003" t="s">
        <v>244</v>
      </c>
      <c r="G5003" s="39">
        <v>44921</v>
      </c>
      <c r="J5003" t="s">
        <v>90</v>
      </c>
    </row>
    <row r="5004" spans="1:10" x14ac:dyDescent="0.35">
      <c r="A5004">
        <v>300215</v>
      </c>
      <c r="B5004" t="s">
        <v>863</v>
      </c>
      <c r="C5004" t="s">
        <v>92</v>
      </c>
      <c r="D5004" t="s">
        <v>780</v>
      </c>
      <c r="E5004" t="s">
        <v>487</v>
      </c>
      <c r="F5004" t="s">
        <v>411</v>
      </c>
      <c r="G5004" s="39">
        <v>44155</v>
      </c>
      <c r="J5004" t="s">
        <v>90</v>
      </c>
    </row>
    <row r="5005" spans="1:10" x14ac:dyDescent="0.35">
      <c r="A5005">
        <v>420030</v>
      </c>
      <c r="B5005" t="s">
        <v>863</v>
      </c>
      <c r="C5005" t="s">
        <v>92</v>
      </c>
      <c r="D5005" t="s">
        <v>780</v>
      </c>
      <c r="E5005" t="s">
        <v>151</v>
      </c>
      <c r="F5005" t="s">
        <v>244</v>
      </c>
      <c r="G5005" s="39">
        <v>42592</v>
      </c>
      <c r="J5005" t="s">
        <v>90</v>
      </c>
    </row>
    <row r="5006" spans="1:10" x14ac:dyDescent="0.35">
      <c r="A5006">
        <v>206004</v>
      </c>
      <c r="B5006" t="s">
        <v>863</v>
      </c>
      <c r="C5006" t="s">
        <v>92</v>
      </c>
      <c r="D5006" t="s">
        <v>780</v>
      </c>
      <c r="E5006" t="s">
        <v>406</v>
      </c>
      <c r="F5006" t="s">
        <v>244</v>
      </c>
      <c r="G5006" s="39">
        <v>43710</v>
      </c>
      <c r="J5006" t="s">
        <v>90</v>
      </c>
    </row>
    <row r="5007" spans="1:10" x14ac:dyDescent="0.35">
      <c r="A5007">
        <v>110030</v>
      </c>
      <c r="B5007" t="s">
        <v>863</v>
      </c>
      <c r="C5007" t="s">
        <v>92</v>
      </c>
      <c r="D5007" t="s">
        <v>780</v>
      </c>
      <c r="E5007" t="s">
        <v>406</v>
      </c>
      <c r="F5007" t="s">
        <v>244</v>
      </c>
      <c r="G5007" s="39">
        <v>44049</v>
      </c>
      <c r="J5007" t="s">
        <v>90</v>
      </c>
    </row>
    <row r="5008" spans="1:10" x14ac:dyDescent="0.35">
      <c r="A5008">
        <v>540020</v>
      </c>
      <c r="B5008" t="s">
        <v>863</v>
      </c>
      <c r="C5008" t="s">
        <v>92</v>
      </c>
      <c r="D5008" t="s">
        <v>780</v>
      </c>
      <c r="E5008" t="s">
        <v>406</v>
      </c>
      <c r="F5008" t="s">
        <v>244</v>
      </c>
      <c r="G5008" s="39">
        <v>41893</v>
      </c>
      <c r="J5008" t="s">
        <v>90</v>
      </c>
    </row>
    <row r="5009" spans="1:10" x14ac:dyDescent="0.35">
      <c r="A5009">
        <v>900013</v>
      </c>
      <c r="B5009" t="s">
        <v>863</v>
      </c>
      <c r="C5009" t="s">
        <v>92</v>
      </c>
      <c r="D5009" t="s">
        <v>780</v>
      </c>
      <c r="E5009" t="s">
        <v>477</v>
      </c>
      <c r="F5009" t="s">
        <v>244</v>
      </c>
      <c r="G5009" s="39">
        <v>41030</v>
      </c>
      <c r="J5009" t="s">
        <v>90</v>
      </c>
    </row>
    <row r="5010" spans="1:10" x14ac:dyDescent="0.35">
      <c r="A5010">
        <v>230004</v>
      </c>
      <c r="B5010" t="s">
        <v>863</v>
      </c>
      <c r="C5010" t="s">
        <v>92</v>
      </c>
      <c r="D5010" t="s">
        <v>780</v>
      </c>
      <c r="E5010" t="s">
        <v>406</v>
      </c>
      <c r="F5010" t="s">
        <v>244</v>
      </c>
      <c r="G5010" s="39">
        <v>39934</v>
      </c>
      <c r="J5010" t="s">
        <v>90</v>
      </c>
    </row>
    <row r="5011" spans="1:10" x14ac:dyDescent="0.35">
      <c r="A5011">
        <v>12939</v>
      </c>
      <c r="B5011" t="s">
        <v>863</v>
      </c>
      <c r="C5011" t="s">
        <v>92</v>
      </c>
      <c r="D5011" t="s">
        <v>780</v>
      </c>
      <c r="E5011" t="s">
        <v>477</v>
      </c>
      <c r="F5011" t="s">
        <v>244</v>
      </c>
      <c r="G5011" s="39">
        <v>44124</v>
      </c>
      <c r="J5011" t="s">
        <v>90</v>
      </c>
    </row>
    <row r="5012" spans="1:10" x14ac:dyDescent="0.35">
      <c r="A5012">
        <v>14566</v>
      </c>
      <c r="B5012" t="s">
        <v>863</v>
      </c>
      <c r="C5012" t="s">
        <v>92</v>
      </c>
      <c r="D5012" t="s">
        <v>780</v>
      </c>
      <c r="E5012" t="s">
        <v>477</v>
      </c>
      <c r="F5012" t="s">
        <v>244</v>
      </c>
      <c r="G5012" s="39">
        <v>44788</v>
      </c>
      <c r="J5012" t="s">
        <v>90</v>
      </c>
    </row>
    <row r="5013" spans="1:10" x14ac:dyDescent="0.35">
      <c r="A5013">
        <v>14912</v>
      </c>
      <c r="B5013" t="s">
        <v>863</v>
      </c>
      <c r="C5013" t="s">
        <v>92</v>
      </c>
      <c r="D5013" t="s">
        <v>780</v>
      </c>
      <c r="E5013" t="s">
        <v>477</v>
      </c>
      <c r="F5013" t="s">
        <v>245</v>
      </c>
      <c r="G5013" s="39">
        <v>44889</v>
      </c>
      <c r="J5013" t="s">
        <v>90</v>
      </c>
    </row>
    <row r="5014" spans="1:10" x14ac:dyDescent="0.35">
      <c r="A5014">
        <v>18734</v>
      </c>
      <c r="B5014" t="s">
        <v>863</v>
      </c>
      <c r="C5014" t="s">
        <v>92</v>
      </c>
      <c r="D5014" t="s">
        <v>780</v>
      </c>
      <c r="E5014" t="s">
        <v>835</v>
      </c>
      <c r="F5014" t="s">
        <v>244</v>
      </c>
      <c r="G5014" s="39">
        <v>46198</v>
      </c>
      <c r="J5014" t="s">
        <v>90</v>
      </c>
    </row>
    <row r="5015" spans="1:10" x14ac:dyDescent="0.35">
      <c r="A5015">
        <v>240038</v>
      </c>
      <c r="B5015" t="s">
        <v>863</v>
      </c>
      <c r="C5015" t="s">
        <v>92</v>
      </c>
      <c r="D5015" t="s">
        <v>780</v>
      </c>
      <c r="E5015" t="s">
        <v>477</v>
      </c>
      <c r="F5015" t="s">
        <v>244</v>
      </c>
      <c r="G5015" s="39">
        <v>42842</v>
      </c>
      <c r="J5015" t="s">
        <v>90</v>
      </c>
    </row>
    <row r="5016" spans="1:10" x14ac:dyDescent="0.35">
      <c r="A5016">
        <v>16996</v>
      </c>
      <c r="B5016" t="s">
        <v>863</v>
      </c>
      <c r="C5016" t="s">
        <v>92</v>
      </c>
      <c r="D5016" t="s">
        <v>780</v>
      </c>
      <c r="E5016" t="s">
        <v>473</v>
      </c>
      <c r="F5016" t="s">
        <v>244</v>
      </c>
      <c r="G5016" s="39">
        <v>45589</v>
      </c>
      <c r="J5016" t="s">
        <v>90</v>
      </c>
    </row>
    <row r="5017" spans="1:10" x14ac:dyDescent="0.35">
      <c r="A5017">
        <v>15792</v>
      </c>
      <c r="B5017" t="s">
        <v>863</v>
      </c>
      <c r="C5017" t="s">
        <v>92</v>
      </c>
      <c r="D5017" t="s">
        <v>780</v>
      </c>
      <c r="E5017" t="s">
        <v>477</v>
      </c>
      <c r="F5017" t="s">
        <v>244</v>
      </c>
      <c r="G5017" s="39">
        <v>45194</v>
      </c>
      <c r="J5017" t="s">
        <v>90</v>
      </c>
    </row>
    <row r="5018" spans="1:10" x14ac:dyDescent="0.35">
      <c r="A5018">
        <v>900046</v>
      </c>
      <c r="B5018" t="s">
        <v>863</v>
      </c>
      <c r="C5018" t="s">
        <v>92</v>
      </c>
      <c r="D5018" t="s">
        <v>791</v>
      </c>
      <c r="E5018" t="s">
        <v>122</v>
      </c>
      <c r="F5018" t="s">
        <v>244</v>
      </c>
      <c r="G5018" s="39">
        <v>43244</v>
      </c>
      <c r="J5018" t="s">
        <v>90</v>
      </c>
    </row>
    <row r="5019" spans="1:10" x14ac:dyDescent="0.35">
      <c r="A5019">
        <v>15879</v>
      </c>
      <c r="B5019" t="s">
        <v>863</v>
      </c>
      <c r="C5019" t="s">
        <v>92</v>
      </c>
      <c r="D5019" t="s">
        <v>827</v>
      </c>
      <c r="E5019" t="s">
        <v>151</v>
      </c>
      <c r="F5019" t="s">
        <v>244</v>
      </c>
      <c r="G5019" s="39">
        <v>45226</v>
      </c>
      <c r="J5019" t="s">
        <v>90</v>
      </c>
    </row>
    <row r="5020" spans="1:10" x14ac:dyDescent="0.35">
      <c r="A5020">
        <v>14416</v>
      </c>
      <c r="B5020" t="s">
        <v>863</v>
      </c>
      <c r="C5020" t="s">
        <v>92</v>
      </c>
      <c r="D5020" t="s">
        <v>827</v>
      </c>
      <c r="E5020" t="s">
        <v>102</v>
      </c>
      <c r="F5020" t="s">
        <v>244</v>
      </c>
      <c r="G5020" s="39">
        <v>44750</v>
      </c>
      <c r="J5020" t="s">
        <v>90</v>
      </c>
    </row>
    <row r="5021" spans="1:10" x14ac:dyDescent="0.35">
      <c r="A5021">
        <v>16190</v>
      </c>
      <c r="B5021" t="s">
        <v>863</v>
      </c>
      <c r="C5021" t="s">
        <v>92</v>
      </c>
      <c r="D5021" t="s">
        <v>827</v>
      </c>
      <c r="E5021" t="s">
        <v>102</v>
      </c>
      <c r="F5021" t="s">
        <v>244</v>
      </c>
      <c r="G5021" s="39">
        <v>45314</v>
      </c>
      <c r="J5021" t="s">
        <v>90</v>
      </c>
    </row>
    <row r="5022" spans="1:10" x14ac:dyDescent="0.35">
      <c r="A5022">
        <v>18116</v>
      </c>
      <c r="B5022" t="s">
        <v>863</v>
      </c>
      <c r="C5022" t="s">
        <v>92</v>
      </c>
      <c r="D5022" t="s">
        <v>827</v>
      </c>
      <c r="E5022" t="s">
        <v>103</v>
      </c>
      <c r="F5022" t="s">
        <v>244</v>
      </c>
      <c r="G5022" s="39">
        <v>46002</v>
      </c>
      <c r="J5022" t="s">
        <v>90</v>
      </c>
    </row>
    <row r="5023" spans="1:10" x14ac:dyDescent="0.35">
      <c r="A5023">
        <v>18163</v>
      </c>
      <c r="B5023" t="s">
        <v>863</v>
      </c>
      <c r="C5023" t="s">
        <v>92</v>
      </c>
      <c r="D5023" t="s">
        <v>827</v>
      </c>
      <c r="E5023" t="s">
        <v>106</v>
      </c>
      <c r="F5023" t="s">
        <v>244</v>
      </c>
      <c r="G5023" s="39">
        <v>46027</v>
      </c>
      <c r="J5023" t="s">
        <v>90</v>
      </c>
    </row>
    <row r="5024" spans="1:10" x14ac:dyDescent="0.35">
      <c r="A5024">
        <v>18474</v>
      </c>
      <c r="B5024" t="s">
        <v>863</v>
      </c>
      <c r="C5024" t="s">
        <v>92</v>
      </c>
      <c r="D5024" t="s">
        <v>827</v>
      </c>
      <c r="E5024" t="s">
        <v>106</v>
      </c>
      <c r="F5024" t="s">
        <v>244</v>
      </c>
      <c r="G5024" s="39">
        <v>46135</v>
      </c>
      <c r="J5024" t="s">
        <v>90</v>
      </c>
    </row>
    <row r="5025" spans="1:10" x14ac:dyDescent="0.35">
      <c r="A5025">
        <v>120042</v>
      </c>
      <c r="B5025" t="s">
        <v>469</v>
      </c>
      <c r="C5025" t="s">
        <v>92</v>
      </c>
      <c r="D5025" t="s">
        <v>92</v>
      </c>
      <c r="E5025" t="s">
        <v>464</v>
      </c>
      <c r="F5025" t="s">
        <v>244</v>
      </c>
      <c r="G5025" s="39">
        <v>43243</v>
      </c>
      <c r="J5025" t="s">
        <v>90</v>
      </c>
    </row>
    <row r="5026" spans="1:10" x14ac:dyDescent="0.35">
      <c r="A5026">
        <v>120043</v>
      </c>
      <c r="B5026" t="s">
        <v>469</v>
      </c>
      <c r="C5026" t="s">
        <v>92</v>
      </c>
      <c r="D5026" t="s">
        <v>780</v>
      </c>
      <c r="E5026" t="s">
        <v>506</v>
      </c>
      <c r="F5026" t="s">
        <v>244</v>
      </c>
      <c r="G5026" s="39">
        <v>43244</v>
      </c>
      <c r="J5026" t="s">
        <v>90</v>
      </c>
    </row>
    <row r="5027" spans="1:10" x14ac:dyDescent="0.35">
      <c r="A5027">
        <v>120024</v>
      </c>
      <c r="B5027" t="s">
        <v>469</v>
      </c>
      <c r="C5027" t="s">
        <v>92</v>
      </c>
      <c r="D5027" t="s">
        <v>780</v>
      </c>
      <c r="E5027" t="s">
        <v>506</v>
      </c>
      <c r="F5027" t="s">
        <v>244</v>
      </c>
      <c r="G5027" s="39">
        <v>41232</v>
      </c>
      <c r="J5027" t="s">
        <v>90</v>
      </c>
    </row>
    <row r="5028" spans="1:10" x14ac:dyDescent="0.35">
      <c r="A5028">
        <v>17048</v>
      </c>
      <c r="B5028" t="s">
        <v>469</v>
      </c>
      <c r="C5028" t="s">
        <v>92</v>
      </c>
      <c r="D5028" t="s">
        <v>780</v>
      </c>
      <c r="E5028" t="s">
        <v>530</v>
      </c>
      <c r="F5028" t="s">
        <v>244</v>
      </c>
      <c r="G5028" s="39">
        <v>45602</v>
      </c>
      <c r="J5028" t="s">
        <v>90</v>
      </c>
    </row>
    <row r="5029" spans="1:10" x14ac:dyDescent="0.35">
      <c r="A5029">
        <v>240035</v>
      </c>
      <c r="B5029" t="s">
        <v>469</v>
      </c>
      <c r="C5029" t="s">
        <v>92</v>
      </c>
      <c r="D5029" t="s">
        <v>780</v>
      </c>
      <c r="E5029" t="s">
        <v>406</v>
      </c>
      <c r="F5029" t="s">
        <v>244</v>
      </c>
      <c r="G5029" s="39">
        <v>42564</v>
      </c>
      <c r="J5029" t="s">
        <v>90</v>
      </c>
    </row>
    <row r="5030" spans="1:10" x14ac:dyDescent="0.35">
      <c r="A5030">
        <v>670034</v>
      </c>
      <c r="B5030" t="s">
        <v>469</v>
      </c>
      <c r="C5030" t="s">
        <v>92</v>
      </c>
      <c r="D5030" t="s">
        <v>780</v>
      </c>
      <c r="E5030" t="s">
        <v>406</v>
      </c>
      <c r="F5030" t="s">
        <v>244</v>
      </c>
      <c r="G5030" s="39">
        <v>42573</v>
      </c>
      <c r="J5030" t="s">
        <v>90</v>
      </c>
    </row>
    <row r="5031" spans="1:10" x14ac:dyDescent="0.35">
      <c r="A5031">
        <v>610027</v>
      </c>
      <c r="B5031" t="s">
        <v>469</v>
      </c>
      <c r="C5031" t="s">
        <v>92</v>
      </c>
      <c r="D5031" t="s">
        <v>780</v>
      </c>
      <c r="E5031" t="s">
        <v>406</v>
      </c>
      <c r="F5031" t="s">
        <v>411</v>
      </c>
      <c r="G5031" s="39">
        <v>42810</v>
      </c>
      <c r="J5031" t="s">
        <v>90</v>
      </c>
    </row>
    <row r="5032" spans="1:10" x14ac:dyDescent="0.35">
      <c r="A5032">
        <v>17167</v>
      </c>
      <c r="B5032" t="s">
        <v>469</v>
      </c>
      <c r="C5032" t="s">
        <v>92</v>
      </c>
      <c r="D5032" t="s">
        <v>780</v>
      </c>
      <c r="E5032" t="s">
        <v>832</v>
      </c>
      <c r="F5032" t="s">
        <v>244</v>
      </c>
      <c r="G5032" s="39">
        <v>45652</v>
      </c>
      <c r="J5032" t="s">
        <v>90</v>
      </c>
    </row>
    <row r="5033" spans="1:10" x14ac:dyDescent="0.35">
      <c r="A5033">
        <v>300214</v>
      </c>
      <c r="B5033" t="s">
        <v>469</v>
      </c>
      <c r="C5033" t="s">
        <v>92</v>
      </c>
      <c r="D5033" t="s">
        <v>780</v>
      </c>
      <c r="E5033" t="s">
        <v>406</v>
      </c>
      <c r="F5033" t="s">
        <v>244</v>
      </c>
      <c r="G5033" s="39">
        <v>44151</v>
      </c>
      <c r="J5033" t="s">
        <v>90</v>
      </c>
    </row>
    <row r="5034" spans="1:10" x14ac:dyDescent="0.35">
      <c r="A5034">
        <v>120048</v>
      </c>
      <c r="B5034" t="s">
        <v>469</v>
      </c>
      <c r="C5034" t="s">
        <v>92</v>
      </c>
      <c r="D5034" t="s">
        <v>780</v>
      </c>
      <c r="E5034" t="s">
        <v>406</v>
      </c>
      <c r="F5034" t="s">
        <v>244</v>
      </c>
      <c r="G5034" s="39">
        <v>43634</v>
      </c>
      <c r="J5034" t="s">
        <v>90</v>
      </c>
    </row>
    <row r="5035" spans="1:10" x14ac:dyDescent="0.35">
      <c r="A5035">
        <v>120039</v>
      </c>
      <c r="B5035" t="s">
        <v>469</v>
      </c>
      <c r="C5035" t="s">
        <v>92</v>
      </c>
      <c r="D5035" t="s">
        <v>780</v>
      </c>
      <c r="E5035" t="s">
        <v>477</v>
      </c>
      <c r="F5035" t="s">
        <v>244</v>
      </c>
      <c r="G5035" s="39">
        <v>43174</v>
      </c>
      <c r="J5035" t="s">
        <v>90</v>
      </c>
    </row>
    <row r="5036" spans="1:10" x14ac:dyDescent="0.35">
      <c r="A5036">
        <v>16267</v>
      </c>
      <c r="B5036" t="s">
        <v>469</v>
      </c>
      <c r="C5036" t="s">
        <v>92</v>
      </c>
      <c r="D5036" t="s">
        <v>780</v>
      </c>
      <c r="E5036" t="s">
        <v>473</v>
      </c>
      <c r="F5036" t="s">
        <v>244</v>
      </c>
      <c r="G5036" s="39">
        <v>45335</v>
      </c>
      <c r="J5036" t="s">
        <v>90</v>
      </c>
    </row>
    <row r="5037" spans="1:10" x14ac:dyDescent="0.35">
      <c r="A5037">
        <v>17707</v>
      </c>
      <c r="B5037" t="s">
        <v>469</v>
      </c>
      <c r="C5037" t="s">
        <v>92</v>
      </c>
      <c r="D5037" t="s">
        <v>780</v>
      </c>
      <c r="E5037" t="s">
        <v>473</v>
      </c>
      <c r="F5037" t="s">
        <v>244</v>
      </c>
      <c r="G5037" s="39">
        <v>45849</v>
      </c>
      <c r="J5037" t="s">
        <v>90</v>
      </c>
    </row>
    <row r="5038" spans="1:10" x14ac:dyDescent="0.35">
      <c r="A5038">
        <v>17387</v>
      </c>
      <c r="B5038" t="s">
        <v>469</v>
      </c>
      <c r="C5038" t="s">
        <v>92</v>
      </c>
      <c r="D5038" t="s">
        <v>780</v>
      </c>
      <c r="E5038" t="s">
        <v>474</v>
      </c>
      <c r="F5038" t="s">
        <v>244</v>
      </c>
      <c r="G5038" s="39">
        <v>45729</v>
      </c>
      <c r="J5038" t="s">
        <v>90</v>
      </c>
    </row>
    <row r="5039" spans="1:10" x14ac:dyDescent="0.35">
      <c r="A5039">
        <v>120012</v>
      </c>
      <c r="B5039" t="s">
        <v>469</v>
      </c>
      <c r="C5039" t="s">
        <v>92</v>
      </c>
      <c r="D5039" t="s">
        <v>791</v>
      </c>
      <c r="E5039" t="s">
        <v>122</v>
      </c>
      <c r="F5039" t="s">
        <v>244</v>
      </c>
      <c r="G5039" s="39">
        <v>39279</v>
      </c>
      <c r="J5039" t="s">
        <v>90</v>
      </c>
    </row>
    <row r="5040" spans="1:10" x14ac:dyDescent="0.35">
      <c r="A5040">
        <v>120051</v>
      </c>
      <c r="B5040" t="s">
        <v>469</v>
      </c>
      <c r="C5040" t="s">
        <v>92</v>
      </c>
      <c r="D5040" t="s">
        <v>791</v>
      </c>
      <c r="E5040" t="s">
        <v>122</v>
      </c>
      <c r="F5040" t="s">
        <v>244</v>
      </c>
      <c r="G5040" s="39">
        <v>43815</v>
      </c>
      <c r="J5040" t="s">
        <v>90</v>
      </c>
    </row>
    <row r="5041" spans="1:10" x14ac:dyDescent="0.35">
      <c r="A5041">
        <v>11848</v>
      </c>
      <c r="B5041" t="s">
        <v>864</v>
      </c>
      <c r="C5041" t="s">
        <v>92</v>
      </c>
      <c r="D5041" t="s">
        <v>92</v>
      </c>
      <c r="E5041" t="s">
        <v>464</v>
      </c>
      <c r="F5041" t="s">
        <v>244</v>
      </c>
      <c r="G5041" s="39">
        <v>43196</v>
      </c>
      <c r="J5041" t="s">
        <v>90</v>
      </c>
    </row>
    <row r="5042" spans="1:10" x14ac:dyDescent="0.35">
      <c r="A5042">
        <v>210010</v>
      </c>
      <c r="B5042" t="s">
        <v>864</v>
      </c>
      <c r="C5042" t="s">
        <v>92</v>
      </c>
      <c r="D5042" t="s">
        <v>780</v>
      </c>
      <c r="E5042" t="s">
        <v>151</v>
      </c>
      <c r="F5042" t="s">
        <v>244</v>
      </c>
      <c r="G5042" s="39">
        <v>36691</v>
      </c>
      <c r="J5042" t="s">
        <v>90</v>
      </c>
    </row>
    <row r="5043" spans="1:10" x14ac:dyDescent="0.35">
      <c r="A5043">
        <v>15629</v>
      </c>
      <c r="B5043" t="s">
        <v>864</v>
      </c>
      <c r="C5043" t="s">
        <v>92</v>
      </c>
      <c r="D5043" t="s">
        <v>780</v>
      </c>
      <c r="E5043" t="s">
        <v>531</v>
      </c>
      <c r="F5043" t="s">
        <v>244</v>
      </c>
      <c r="G5043" s="39">
        <v>45146</v>
      </c>
      <c r="J5043" t="s">
        <v>90</v>
      </c>
    </row>
    <row r="5044" spans="1:10" x14ac:dyDescent="0.35">
      <c r="A5044">
        <v>16440</v>
      </c>
      <c r="B5044" t="s">
        <v>864</v>
      </c>
      <c r="C5044" t="s">
        <v>92</v>
      </c>
      <c r="D5044" t="s">
        <v>780</v>
      </c>
      <c r="E5044" t="s">
        <v>530</v>
      </c>
      <c r="F5044" t="s">
        <v>244</v>
      </c>
      <c r="G5044" s="39">
        <v>45400</v>
      </c>
      <c r="J5044" t="s">
        <v>90</v>
      </c>
    </row>
    <row r="5045" spans="1:10" x14ac:dyDescent="0.35">
      <c r="A5045">
        <v>17495</v>
      </c>
      <c r="B5045" t="s">
        <v>864</v>
      </c>
      <c r="C5045" t="s">
        <v>92</v>
      </c>
      <c r="D5045" t="s">
        <v>780</v>
      </c>
      <c r="E5045" t="s">
        <v>474</v>
      </c>
      <c r="F5045" t="s">
        <v>244</v>
      </c>
      <c r="G5045" s="39">
        <v>45770</v>
      </c>
      <c r="J5045" t="s">
        <v>90</v>
      </c>
    </row>
    <row r="5046" spans="1:10" x14ac:dyDescent="0.35">
      <c r="A5046">
        <v>230034</v>
      </c>
      <c r="B5046" t="s">
        <v>864</v>
      </c>
      <c r="C5046" t="s">
        <v>92</v>
      </c>
      <c r="D5046" t="s">
        <v>780</v>
      </c>
      <c r="E5046" t="s">
        <v>406</v>
      </c>
      <c r="F5046" t="s">
        <v>244</v>
      </c>
      <c r="G5046" s="39">
        <v>42984</v>
      </c>
      <c r="J5046" t="s">
        <v>90</v>
      </c>
    </row>
    <row r="5047" spans="1:10" x14ac:dyDescent="0.35">
      <c r="A5047">
        <v>310042</v>
      </c>
      <c r="B5047" t="s">
        <v>864</v>
      </c>
      <c r="C5047" t="s">
        <v>92</v>
      </c>
      <c r="D5047" t="s">
        <v>780</v>
      </c>
      <c r="E5047" t="s">
        <v>406</v>
      </c>
      <c r="F5047" t="s">
        <v>244</v>
      </c>
      <c r="G5047" s="39">
        <v>43482</v>
      </c>
      <c r="J5047" t="s">
        <v>90</v>
      </c>
    </row>
    <row r="5048" spans="1:10" x14ac:dyDescent="0.35">
      <c r="A5048">
        <v>140023</v>
      </c>
      <c r="B5048" t="s">
        <v>864</v>
      </c>
      <c r="C5048" t="s">
        <v>92</v>
      </c>
      <c r="D5048" t="s">
        <v>780</v>
      </c>
      <c r="E5048" t="s">
        <v>406</v>
      </c>
      <c r="F5048" t="s">
        <v>244</v>
      </c>
      <c r="G5048" s="39">
        <v>38925</v>
      </c>
      <c r="J5048" t="s">
        <v>90</v>
      </c>
    </row>
    <row r="5049" spans="1:10" x14ac:dyDescent="0.35">
      <c r="A5049">
        <v>300063</v>
      </c>
      <c r="B5049" t="s">
        <v>864</v>
      </c>
      <c r="C5049" t="s">
        <v>92</v>
      </c>
      <c r="D5049" t="s">
        <v>780</v>
      </c>
      <c r="E5049" t="s">
        <v>406</v>
      </c>
      <c r="F5049" t="s">
        <v>244</v>
      </c>
      <c r="G5049" s="39">
        <v>42790</v>
      </c>
      <c r="J5049" t="s">
        <v>90</v>
      </c>
    </row>
    <row r="5050" spans="1:10" x14ac:dyDescent="0.35">
      <c r="A5050">
        <v>140058</v>
      </c>
      <c r="B5050" t="s">
        <v>864</v>
      </c>
      <c r="C5050" t="s">
        <v>92</v>
      </c>
      <c r="D5050" t="s">
        <v>780</v>
      </c>
      <c r="E5050" t="s">
        <v>406</v>
      </c>
      <c r="F5050" t="s">
        <v>244</v>
      </c>
      <c r="G5050" s="39">
        <v>44593</v>
      </c>
      <c r="J5050" t="s">
        <v>90</v>
      </c>
    </row>
    <row r="5051" spans="1:10" x14ac:dyDescent="0.35">
      <c r="A5051">
        <v>120037</v>
      </c>
      <c r="B5051" t="s">
        <v>864</v>
      </c>
      <c r="C5051" t="s">
        <v>92</v>
      </c>
      <c r="D5051" t="s">
        <v>780</v>
      </c>
      <c r="E5051" t="s">
        <v>477</v>
      </c>
      <c r="F5051" t="s">
        <v>244</v>
      </c>
      <c r="G5051" s="39">
        <v>42900</v>
      </c>
      <c r="J5051" t="s">
        <v>90</v>
      </c>
    </row>
    <row r="5052" spans="1:10" x14ac:dyDescent="0.35">
      <c r="A5052">
        <v>14869</v>
      </c>
      <c r="B5052" t="s">
        <v>864</v>
      </c>
      <c r="C5052" t="s">
        <v>92</v>
      </c>
      <c r="D5052" t="s">
        <v>780</v>
      </c>
      <c r="E5052" t="s">
        <v>477</v>
      </c>
      <c r="F5052" t="s">
        <v>244</v>
      </c>
      <c r="G5052" s="39">
        <v>44880</v>
      </c>
      <c r="J5052" t="s">
        <v>90</v>
      </c>
    </row>
    <row r="5053" spans="1:10" x14ac:dyDescent="0.35">
      <c r="A5053">
        <v>140053</v>
      </c>
      <c r="B5053" t="s">
        <v>864</v>
      </c>
      <c r="C5053" t="s">
        <v>92</v>
      </c>
      <c r="D5053" t="s">
        <v>780</v>
      </c>
      <c r="E5053" t="s">
        <v>477</v>
      </c>
      <c r="F5053" t="s">
        <v>244</v>
      </c>
      <c r="G5053" s="39">
        <v>44538</v>
      </c>
      <c r="J5053" t="s">
        <v>90</v>
      </c>
    </row>
    <row r="5054" spans="1:10" x14ac:dyDescent="0.35">
      <c r="A5054">
        <v>140057</v>
      </c>
      <c r="B5054" t="s">
        <v>864</v>
      </c>
      <c r="C5054" t="s">
        <v>92</v>
      </c>
      <c r="D5054" t="s">
        <v>780</v>
      </c>
      <c r="E5054" t="s">
        <v>473</v>
      </c>
      <c r="F5054" t="s">
        <v>245</v>
      </c>
      <c r="G5054" s="39">
        <v>44582</v>
      </c>
      <c r="J5054" t="s">
        <v>90</v>
      </c>
    </row>
    <row r="5055" spans="1:10" x14ac:dyDescent="0.35">
      <c r="A5055">
        <v>150041</v>
      </c>
      <c r="B5055" t="s">
        <v>864</v>
      </c>
      <c r="C5055" t="s">
        <v>92</v>
      </c>
      <c r="D5055" t="s">
        <v>827</v>
      </c>
      <c r="E5055" t="s">
        <v>151</v>
      </c>
      <c r="F5055" t="s">
        <v>244</v>
      </c>
      <c r="G5055" s="39">
        <v>44320</v>
      </c>
      <c r="J5055" t="s">
        <v>90</v>
      </c>
    </row>
    <row r="5056" spans="1:10" x14ac:dyDescent="0.35">
      <c r="A5056">
        <v>140056</v>
      </c>
      <c r="B5056" t="s">
        <v>864</v>
      </c>
      <c r="C5056" t="s">
        <v>92</v>
      </c>
      <c r="D5056" t="s">
        <v>827</v>
      </c>
      <c r="E5056" t="s">
        <v>109</v>
      </c>
      <c r="F5056" t="s">
        <v>244</v>
      </c>
      <c r="G5056" s="39">
        <v>44572</v>
      </c>
      <c r="J5056" t="s">
        <v>90</v>
      </c>
    </row>
    <row r="5057" spans="1:10" x14ac:dyDescent="0.35">
      <c r="A5057">
        <v>140050</v>
      </c>
      <c r="B5057" t="s">
        <v>864</v>
      </c>
      <c r="C5057" t="s">
        <v>92</v>
      </c>
      <c r="D5057" t="s">
        <v>827</v>
      </c>
      <c r="E5057" t="s">
        <v>109</v>
      </c>
      <c r="F5057" t="s">
        <v>244</v>
      </c>
      <c r="G5057" s="39">
        <v>44350</v>
      </c>
      <c r="J5057" t="s">
        <v>90</v>
      </c>
    </row>
    <row r="5058" spans="1:10" x14ac:dyDescent="0.35">
      <c r="A5058">
        <v>250047</v>
      </c>
      <c r="B5058" t="s">
        <v>864</v>
      </c>
      <c r="C5058" t="s">
        <v>92</v>
      </c>
      <c r="D5058" t="s">
        <v>827</v>
      </c>
      <c r="E5058" t="s">
        <v>109</v>
      </c>
      <c r="F5058" t="s">
        <v>244</v>
      </c>
      <c r="G5058" s="39">
        <v>44354</v>
      </c>
      <c r="J5058" t="s">
        <v>90</v>
      </c>
    </row>
    <row r="5059" spans="1:10" x14ac:dyDescent="0.35">
      <c r="A5059">
        <v>15802</v>
      </c>
      <c r="B5059" t="s">
        <v>864</v>
      </c>
      <c r="C5059" t="s">
        <v>92</v>
      </c>
      <c r="D5059" t="s">
        <v>827</v>
      </c>
      <c r="E5059" t="s">
        <v>102</v>
      </c>
      <c r="F5059" t="s">
        <v>244</v>
      </c>
      <c r="G5059" s="39">
        <v>45196</v>
      </c>
      <c r="J5059" t="s">
        <v>90</v>
      </c>
    </row>
    <row r="5060" spans="1:10" x14ac:dyDescent="0.35">
      <c r="A5060">
        <v>137002</v>
      </c>
      <c r="B5060" t="s">
        <v>864</v>
      </c>
      <c r="C5060" t="s">
        <v>92</v>
      </c>
      <c r="D5060" t="s">
        <v>791</v>
      </c>
      <c r="E5060" t="s">
        <v>122</v>
      </c>
      <c r="F5060" t="s">
        <v>244</v>
      </c>
      <c r="G5060" s="39">
        <v>44049</v>
      </c>
      <c r="J5060" t="s">
        <v>90</v>
      </c>
    </row>
    <row r="5061" spans="1:10" x14ac:dyDescent="0.35">
      <c r="A5061">
        <v>660016</v>
      </c>
      <c r="B5061" t="s">
        <v>865</v>
      </c>
      <c r="C5061" t="s">
        <v>92</v>
      </c>
      <c r="D5061" t="s">
        <v>92</v>
      </c>
      <c r="E5061" t="s">
        <v>464</v>
      </c>
      <c r="F5061" t="s">
        <v>244</v>
      </c>
      <c r="G5061" s="39">
        <v>41809</v>
      </c>
      <c r="J5061" t="s">
        <v>90</v>
      </c>
    </row>
    <row r="5062" spans="1:10" x14ac:dyDescent="0.35">
      <c r="A5062">
        <v>150051</v>
      </c>
      <c r="B5062" t="s">
        <v>865</v>
      </c>
      <c r="C5062" t="s">
        <v>92</v>
      </c>
      <c r="D5062" t="s">
        <v>780</v>
      </c>
      <c r="E5062" t="s">
        <v>531</v>
      </c>
      <c r="F5062" t="s">
        <v>244</v>
      </c>
      <c r="G5062" s="39">
        <v>44586</v>
      </c>
      <c r="J5062" t="s">
        <v>90</v>
      </c>
    </row>
    <row r="5063" spans="1:10" x14ac:dyDescent="0.35">
      <c r="A5063">
        <v>17840</v>
      </c>
      <c r="B5063" t="s">
        <v>865</v>
      </c>
      <c r="C5063" t="s">
        <v>92</v>
      </c>
      <c r="D5063" t="s">
        <v>780</v>
      </c>
      <c r="E5063" t="s">
        <v>530</v>
      </c>
      <c r="F5063" t="s">
        <v>244</v>
      </c>
      <c r="G5063" s="39">
        <v>45889</v>
      </c>
      <c r="J5063" t="s">
        <v>90</v>
      </c>
    </row>
    <row r="5064" spans="1:10" x14ac:dyDescent="0.35">
      <c r="A5064">
        <v>130030</v>
      </c>
      <c r="B5064" t="s">
        <v>865</v>
      </c>
      <c r="C5064" t="s">
        <v>92</v>
      </c>
      <c r="D5064" t="s">
        <v>780</v>
      </c>
      <c r="E5064" t="s">
        <v>406</v>
      </c>
      <c r="F5064" t="s">
        <v>244</v>
      </c>
      <c r="G5064" s="39">
        <v>39909</v>
      </c>
      <c r="J5064" t="s">
        <v>90</v>
      </c>
    </row>
    <row r="5065" spans="1:10" x14ac:dyDescent="0.35">
      <c r="A5065">
        <v>180052</v>
      </c>
      <c r="B5065" t="s">
        <v>865</v>
      </c>
      <c r="C5065" t="s">
        <v>92</v>
      </c>
      <c r="D5065" t="s">
        <v>780</v>
      </c>
      <c r="E5065" t="s">
        <v>406</v>
      </c>
      <c r="F5065" t="s">
        <v>411</v>
      </c>
      <c r="G5065" s="39">
        <v>43675</v>
      </c>
      <c r="J5065" t="s">
        <v>90</v>
      </c>
    </row>
    <row r="5066" spans="1:10" x14ac:dyDescent="0.35">
      <c r="A5066">
        <v>17806</v>
      </c>
      <c r="B5066" t="s">
        <v>865</v>
      </c>
      <c r="C5066" t="s">
        <v>92</v>
      </c>
      <c r="D5066" t="s">
        <v>780</v>
      </c>
      <c r="E5066" t="s">
        <v>832</v>
      </c>
      <c r="F5066" t="s">
        <v>244</v>
      </c>
      <c r="G5066" s="39">
        <v>45880</v>
      </c>
      <c r="J5066" t="s">
        <v>90</v>
      </c>
    </row>
    <row r="5067" spans="1:10" x14ac:dyDescent="0.35">
      <c r="A5067">
        <v>220010</v>
      </c>
      <c r="B5067" t="s">
        <v>865</v>
      </c>
      <c r="C5067" t="s">
        <v>92</v>
      </c>
      <c r="D5067" t="s">
        <v>780</v>
      </c>
      <c r="E5067" t="s">
        <v>477</v>
      </c>
      <c r="F5067" t="s">
        <v>244</v>
      </c>
      <c r="G5067" s="39">
        <v>40085</v>
      </c>
      <c r="J5067" t="s">
        <v>90</v>
      </c>
    </row>
    <row r="5068" spans="1:10" x14ac:dyDescent="0.35">
      <c r="A5068">
        <v>530022</v>
      </c>
      <c r="B5068" t="s">
        <v>865</v>
      </c>
      <c r="C5068" t="s">
        <v>92</v>
      </c>
      <c r="D5068" t="s">
        <v>780</v>
      </c>
      <c r="E5068" t="s">
        <v>477</v>
      </c>
      <c r="F5068" t="s">
        <v>244</v>
      </c>
      <c r="G5068" s="39">
        <v>43843</v>
      </c>
      <c r="J5068" t="s">
        <v>90</v>
      </c>
    </row>
    <row r="5069" spans="1:10" x14ac:dyDescent="0.35">
      <c r="A5069">
        <v>15583</v>
      </c>
      <c r="B5069" t="s">
        <v>865</v>
      </c>
      <c r="C5069" t="s">
        <v>92</v>
      </c>
      <c r="D5069" t="s">
        <v>780</v>
      </c>
      <c r="E5069" t="s">
        <v>473</v>
      </c>
      <c r="F5069" t="s">
        <v>244</v>
      </c>
      <c r="G5069" s="39">
        <v>45131</v>
      </c>
      <c r="J5069" t="s">
        <v>90</v>
      </c>
    </row>
    <row r="5070" spans="1:10" x14ac:dyDescent="0.35">
      <c r="A5070">
        <v>14592</v>
      </c>
      <c r="B5070" t="s">
        <v>865</v>
      </c>
      <c r="C5070" t="s">
        <v>92</v>
      </c>
      <c r="D5070" t="s">
        <v>780</v>
      </c>
      <c r="E5070" t="s">
        <v>487</v>
      </c>
      <c r="F5070" t="s">
        <v>244</v>
      </c>
      <c r="G5070" s="39">
        <v>44795</v>
      </c>
      <c r="J5070" t="s">
        <v>90</v>
      </c>
    </row>
    <row r="5071" spans="1:10" x14ac:dyDescent="0.35">
      <c r="A5071">
        <v>16520</v>
      </c>
      <c r="B5071" t="s">
        <v>865</v>
      </c>
      <c r="C5071" t="s">
        <v>92</v>
      </c>
      <c r="D5071" t="s">
        <v>791</v>
      </c>
      <c r="E5071" t="s">
        <v>122</v>
      </c>
      <c r="F5071" t="s">
        <v>244</v>
      </c>
      <c r="G5071" s="39">
        <v>45457</v>
      </c>
      <c r="J5071" t="s">
        <v>90</v>
      </c>
    </row>
    <row r="5072" spans="1:10" x14ac:dyDescent="0.35">
      <c r="A5072">
        <v>10736</v>
      </c>
      <c r="B5072" t="s">
        <v>866</v>
      </c>
      <c r="C5072" t="s">
        <v>92</v>
      </c>
      <c r="D5072" t="s">
        <v>92</v>
      </c>
      <c r="E5072" t="s">
        <v>464</v>
      </c>
      <c r="F5072" t="s">
        <v>244</v>
      </c>
      <c r="G5072" s="39">
        <v>41761</v>
      </c>
      <c r="J5072" t="s">
        <v>90</v>
      </c>
    </row>
    <row r="5073" spans="1:10" x14ac:dyDescent="0.35">
      <c r="A5073">
        <v>16348</v>
      </c>
      <c r="B5073" t="s">
        <v>866</v>
      </c>
      <c r="C5073" t="s">
        <v>92</v>
      </c>
      <c r="D5073" t="s">
        <v>780</v>
      </c>
      <c r="E5073" t="s">
        <v>506</v>
      </c>
      <c r="F5073" t="s">
        <v>244</v>
      </c>
      <c r="G5073" s="39">
        <v>45369</v>
      </c>
      <c r="J5073" t="s">
        <v>90</v>
      </c>
    </row>
    <row r="5074" spans="1:10" x14ac:dyDescent="0.35">
      <c r="A5074">
        <v>17229</v>
      </c>
      <c r="B5074" t="s">
        <v>866</v>
      </c>
      <c r="C5074" t="s">
        <v>92</v>
      </c>
      <c r="D5074" t="s">
        <v>780</v>
      </c>
      <c r="E5074" t="s">
        <v>530</v>
      </c>
      <c r="F5074" t="s">
        <v>244</v>
      </c>
      <c r="G5074" s="39">
        <v>45678</v>
      </c>
      <c r="J5074" t="s">
        <v>90</v>
      </c>
    </row>
    <row r="5075" spans="1:10" x14ac:dyDescent="0.35">
      <c r="A5075">
        <v>16992</v>
      </c>
      <c r="B5075" t="s">
        <v>866</v>
      </c>
      <c r="C5075" t="s">
        <v>92</v>
      </c>
      <c r="D5075" t="s">
        <v>780</v>
      </c>
      <c r="E5075" t="s">
        <v>474</v>
      </c>
      <c r="F5075" t="s">
        <v>244</v>
      </c>
      <c r="G5075" s="39">
        <v>45587</v>
      </c>
      <c r="J5075" t="s">
        <v>90</v>
      </c>
    </row>
    <row r="5076" spans="1:10" x14ac:dyDescent="0.35">
      <c r="A5076">
        <v>120035</v>
      </c>
      <c r="B5076" t="s">
        <v>866</v>
      </c>
      <c r="C5076" t="s">
        <v>92</v>
      </c>
      <c r="D5076" t="s">
        <v>780</v>
      </c>
      <c r="E5076" t="s">
        <v>406</v>
      </c>
      <c r="F5076" t="s">
        <v>244</v>
      </c>
      <c r="G5076" s="39">
        <v>42675</v>
      </c>
      <c r="J5076" t="s">
        <v>90</v>
      </c>
    </row>
    <row r="5077" spans="1:10" x14ac:dyDescent="0.35">
      <c r="A5077">
        <v>300193</v>
      </c>
      <c r="B5077" t="s">
        <v>866</v>
      </c>
      <c r="C5077" t="s">
        <v>92</v>
      </c>
      <c r="D5077" t="s">
        <v>780</v>
      </c>
      <c r="E5077" t="s">
        <v>406</v>
      </c>
      <c r="F5077" t="s">
        <v>244</v>
      </c>
      <c r="G5077" s="39">
        <v>43801</v>
      </c>
      <c r="J5077" t="s">
        <v>90</v>
      </c>
    </row>
    <row r="5078" spans="1:10" x14ac:dyDescent="0.35">
      <c r="A5078">
        <v>130048</v>
      </c>
      <c r="B5078" t="s">
        <v>866</v>
      </c>
      <c r="C5078" t="s">
        <v>92</v>
      </c>
      <c r="D5078" t="s">
        <v>780</v>
      </c>
      <c r="E5078" t="s">
        <v>477</v>
      </c>
      <c r="F5078" t="s">
        <v>244</v>
      </c>
      <c r="G5078" s="39">
        <v>42997</v>
      </c>
      <c r="J5078" t="s">
        <v>90</v>
      </c>
    </row>
    <row r="5079" spans="1:10" x14ac:dyDescent="0.35">
      <c r="A5079">
        <v>15728</v>
      </c>
      <c r="B5079" t="s">
        <v>866</v>
      </c>
      <c r="C5079" t="s">
        <v>92</v>
      </c>
      <c r="D5079" t="s">
        <v>780</v>
      </c>
      <c r="E5079" t="s">
        <v>477</v>
      </c>
      <c r="F5079" t="s">
        <v>244</v>
      </c>
      <c r="G5079" s="39">
        <v>45177</v>
      </c>
      <c r="J5079" t="s">
        <v>90</v>
      </c>
    </row>
    <row r="5080" spans="1:10" x14ac:dyDescent="0.35">
      <c r="A5080">
        <v>15730</v>
      </c>
      <c r="B5080" t="s">
        <v>866</v>
      </c>
      <c r="C5080" t="s">
        <v>92</v>
      </c>
      <c r="D5080" t="s">
        <v>780</v>
      </c>
      <c r="E5080" t="s">
        <v>477</v>
      </c>
      <c r="F5080" t="s">
        <v>244</v>
      </c>
      <c r="G5080" s="39">
        <v>45177</v>
      </c>
      <c r="J5080" t="s">
        <v>90</v>
      </c>
    </row>
    <row r="5081" spans="1:10" x14ac:dyDescent="0.35">
      <c r="A5081">
        <v>204008</v>
      </c>
      <c r="B5081" t="s">
        <v>866</v>
      </c>
      <c r="C5081" t="s">
        <v>92</v>
      </c>
      <c r="D5081" t="s">
        <v>780</v>
      </c>
      <c r="E5081" t="s">
        <v>477</v>
      </c>
      <c r="F5081" t="s">
        <v>244</v>
      </c>
      <c r="G5081" s="39">
        <v>44566</v>
      </c>
      <c r="J5081" t="s">
        <v>90</v>
      </c>
    </row>
    <row r="5082" spans="1:10" x14ac:dyDescent="0.35">
      <c r="A5082">
        <v>16680</v>
      </c>
      <c r="B5082" t="s">
        <v>866</v>
      </c>
      <c r="C5082" t="s">
        <v>92</v>
      </c>
      <c r="D5082" t="s">
        <v>780</v>
      </c>
      <c r="E5082" t="s">
        <v>477</v>
      </c>
      <c r="F5082" t="s">
        <v>244</v>
      </c>
      <c r="G5082" s="39">
        <v>45519</v>
      </c>
      <c r="J5082" t="s">
        <v>90</v>
      </c>
    </row>
    <row r="5083" spans="1:10" x14ac:dyDescent="0.35">
      <c r="A5083">
        <v>17263</v>
      </c>
      <c r="B5083" t="s">
        <v>866</v>
      </c>
      <c r="C5083" t="s">
        <v>92</v>
      </c>
      <c r="D5083" t="s">
        <v>780</v>
      </c>
      <c r="E5083" t="s">
        <v>473</v>
      </c>
      <c r="F5083" t="s">
        <v>244</v>
      </c>
      <c r="G5083" s="39">
        <v>45693</v>
      </c>
      <c r="J5083" t="s">
        <v>90</v>
      </c>
    </row>
    <row r="5084" spans="1:10" x14ac:dyDescent="0.35">
      <c r="A5084">
        <v>204001</v>
      </c>
      <c r="B5084" t="s">
        <v>866</v>
      </c>
      <c r="C5084" t="s">
        <v>92</v>
      </c>
      <c r="D5084" t="s">
        <v>791</v>
      </c>
      <c r="E5084" t="s">
        <v>122</v>
      </c>
      <c r="F5084" t="s">
        <v>244</v>
      </c>
      <c r="G5084" s="39">
        <v>43427</v>
      </c>
      <c r="J5084" t="s">
        <v>90</v>
      </c>
    </row>
    <row r="5085" spans="1:10" x14ac:dyDescent="0.35">
      <c r="A5085">
        <v>11916</v>
      </c>
      <c r="B5085" t="s">
        <v>867</v>
      </c>
      <c r="C5085" t="s">
        <v>92</v>
      </c>
      <c r="D5085" t="s">
        <v>92</v>
      </c>
      <c r="E5085" t="s">
        <v>464</v>
      </c>
      <c r="F5085" t="s">
        <v>244</v>
      </c>
      <c r="G5085" s="39">
        <v>43276</v>
      </c>
      <c r="J5085" t="s">
        <v>90</v>
      </c>
    </row>
    <row r="5086" spans="1:10" x14ac:dyDescent="0.35">
      <c r="A5086">
        <v>14344</v>
      </c>
      <c r="B5086" t="s">
        <v>867</v>
      </c>
      <c r="C5086" t="s">
        <v>92</v>
      </c>
      <c r="D5086" t="s">
        <v>780</v>
      </c>
      <c r="E5086" t="s">
        <v>577</v>
      </c>
      <c r="F5086" t="s">
        <v>244</v>
      </c>
      <c r="G5086" s="39">
        <v>44736</v>
      </c>
      <c r="J5086" t="s">
        <v>90</v>
      </c>
    </row>
    <row r="5087" spans="1:10" x14ac:dyDescent="0.35">
      <c r="A5087">
        <v>13719</v>
      </c>
      <c r="B5087" t="s">
        <v>867</v>
      </c>
      <c r="C5087" t="s">
        <v>92</v>
      </c>
      <c r="D5087" t="s">
        <v>780</v>
      </c>
      <c r="E5087" t="s">
        <v>858</v>
      </c>
      <c r="F5087" t="s">
        <v>244</v>
      </c>
      <c r="G5087" s="39">
        <v>44545</v>
      </c>
      <c r="J5087" t="s">
        <v>90</v>
      </c>
    </row>
    <row r="5088" spans="1:10" x14ac:dyDescent="0.35">
      <c r="A5088">
        <v>160040</v>
      </c>
      <c r="B5088" t="s">
        <v>867</v>
      </c>
      <c r="C5088" t="s">
        <v>92</v>
      </c>
      <c r="D5088" t="s">
        <v>780</v>
      </c>
      <c r="E5088" t="s">
        <v>506</v>
      </c>
      <c r="F5088" t="s">
        <v>244</v>
      </c>
      <c r="G5088" s="39">
        <v>42675</v>
      </c>
      <c r="J5088" t="s">
        <v>90</v>
      </c>
    </row>
    <row r="5089" spans="1:10" x14ac:dyDescent="0.35">
      <c r="A5089">
        <v>14257</v>
      </c>
      <c r="B5089" t="s">
        <v>867</v>
      </c>
      <c r="C5089" t="s">
        <v>92</v>
      </c>
      <c r="D5089" t="s">
        <v>780</v>
      </c>
      <c r="E5089" t="s">
        <v>474</v>
      </c>
      <c r="F5089" t="s">
        <v>411</v>
      </c>
      <c r="G5089" s="39">
        <v>44714</v>
      </c>
      <c r="J5089" t="s">
        <v>90</v>
      </c>
    </row>
    <row r="5090" spans="1:10" x14ac:dyDescent="0.35">
      <c r="A5090">
        <v>20007</v>
      </c>
      <c r="B5090" t="s">
        <v>867</v>
      </c>
      <c r="C5090" t="s">
        <v>92</v>
      </c>
      <c r="D5090" t="s">
        <v>780</v>
      </c>
      <c r="E5090" t="s">
        <v>406</v>
      </c>
      <c r="F5090" t="s">
        <v>244</v>
      </c>
      <c r="G5090" s="39">
        <v>40532</v>
      </c>
      <c r="J5090" t="s">
        <v>90</v>
      </c>
    </row>
    <row r="5091" spans="1:10" x14ac:dyDescent="0.35">
      <c r="A5091">
        <v>140027</v>
      </c>
      <c r="B5091" t="s">
        <v>867</v>
      </c>
      <c r="C5091" t="s">
        <v>92</v>
      </c>
      <c r="D5091" t="s">
        <v>780</v>
      </c>
      <c r="E5091" t="s">
        <v>406</v>
      </c>
      <c r="F5091" t="s">
        <v>244</v>
      </c>
      <c r="G5091" s="39">
        <v>42241</v>
      </c>
      <c r="J5091" t="s">
        <v>90</v>
      </c>
    </row>
    <row r="5092" spans="1:10" x14ac:dyDescent="0.35">
      <c r="A5092">
        <v>300184</v>
      </c>
      <c r="B5092" t="s">
        <v>867</v>
      </c>
      <c r="C5092" t="s">
        <v>92</v>
      </c>
      <c r="D5092" t="s">
        <v>780</v>
      </c>
      <c r="E5092" t="s">
        <v>406</v>
      </c>
      <c r="F5092" t="s">
        <v>244</v>
      </c>
      <c r="G5092" s="39">
        <v>43698</v>
      </c>
      <c r="J5092" t="s">
        <v>90</v>
      </c>
    </row>
    <row r="5093" spans="1:10" x14ac:dyDescent="0.35">
      <c r="A5093">
        <v>11618</v>
      </c>
      <c r="B5093" t="s">
        <v>867</v>
      </c>
      <c r="C5093" t="s">
        <v>92</v>
      </c>
      <c r="D5093" t="s">
        <v>780</v>
      </c>
      <c r="E5093" t="s">
        <v>406</v>
      </c>
      <c r="F5093" t="s">
        <v>244</v>
      </c>
      <c r="G5093" s="39">
        <v>42933</v>
      </c>
      <c r="J5093" t="s">
        <v>90</v>
      </c>
    </row>
    <row r="5094" spans="1:10" x14ac:dyDescent="0.35">
      <c r="A5094">
        <v>120054</v>
      </c>
      <c r="B5094" t="s">
        <v>867</v>
      </c>
      <c r="C5094" t="s">
        <v>92</v>
      </c>
      <c r="D5094" t="s">
        <v>780</v>
      </c>
      <c r="E5094" t="s">
        <v>477</v>
      </c>
      <c r="F5094" t="s">
        <v>411</v>
      </c>
      <c r="G5094" s="39">
        <v>44572</v>
      </c>
      <c r="J5094" t="s">
        <v>90</v>
      </c>
    </row>
    <row r="5095" spans="1:10" x14ac:dyDescent="0.35">
      <c r="A5095">
        <v>600026</v>
      </c>
      <c r="B5095" t="s">
        <v>867</v>
      </c>
      <c r="C5095" t="s">
        <v>92</v>
      </c>
      <c r="D5095" t="s">
        <v>791</v>
      </c>
      <c r="E5095" t="s">
        <v>122</v>
      </c>
      <c r="F5095" t="s">
        <v>244</v>
      </c>
      <c r="G5095" s="39">
        <v>38992</v>
      </c>
      <c r="J5095" t="s">
        <v>90</v>
      </c>
    </row>
    <row r="5096" spans="1:10" x14ac:dyDescent="0.35">
      <c r="A5096">
        <v>600027</v>
      </c>
      <c r="B5096" t="s">
        <v>867</v>
      </c>
      <c r="C5096" t="s">
        <v>92</v>
      </c>
      <c r="D5096" t="s">
        <v>791</v>
      </c>
      <c r="E5096" t="s">
        <v>122</v>
      </c>
      <c r="F5096" t="s">
        <v>244</v>
      </c>
      <c r="G5096" s="39">
        <v>39212</v>
      </c>
      <c r="J5096" t="s">
        <v>90</v>
      </c>
    </row>
    <row r="5097" spans="1:10" x14ac:dyDescent="0.35">
      <c r="A5097">
        <v>12317</v>
      </c>
      <c r="B5097" t="s">
        <v>736</v>
      </c>
      <c r="C5097" t="s">
        <v>92</v>
      </c>
      <c r="D5097" t="s">
        <v>92</v>
      </c>
      <c r="E5097" t="s">
        <v>464</v>
      </c>
      <c r="F5097" t="s">
        <v>244</v>
      </c>
      <c r="G5097" s="39">
        <v>43682</v>
      </c>
      <c r="J5097" t="s">
        <v>90</v>
      </c>
    </row>
    <row r="5098" spans="1:10" x14ac:dyDescent="0.35">
      <c r="A5098">
        <v>400044</v>
      </c>
      <c r="B5098" t="s">
        <v>736</v>
      </c>
      <c r="C5098" t="s">
        <v>92</v>
      </c>
      <c r="D5098" t="s">
        <v>780</v>
      </c>
      <c r="E5098" t="s">
        <v>151</v>
      </c>
      <c r="F5098" t="s">
        <v>244</v>
      </c>
      <c r="G5098" s="39">
        <v>42821</v>
      </c>
      <c r="J5098" t="s">
        <v>90</v>
      </c>
    </row>
    <row r="5099" spans="1:10" x14ac:dyDescent="0.35">
      <c r="A5099">
        <v>280002</v>
      </c>
      <c r="B5099" t="s">
        <v>736</v>
      </c>
      <c r="C5099" t="s">
        <v>92</v>
      </c>
      <c r="D5099" t="s">
        <v>780</v>
      </c>
      <c r="E5099" t="s">
        <v>506</v>
      </c>
      <c r="F5099" t="s">
        <v>244</v>
      </c>
      <c r="G5099" s="39">
        <v>39176</v>
      </c>
      <c r="J5099" t="s">
        <v>90</v>
      </c>
    </row>
    <row r="5100" spans="1:10" x14ac:dyDescent="0.35">
      <c r="A5100">
        <v>270004</v>
      </c>
      <c r="B5100" t="s">
        <v>736</v>
      </c>
      <c r="C5100" t="s">
        <v>92</v>
      </c>
      <c r="D5100" t="s">
        <v>780</v>
      </c>
      <c r="E5100" t="s">
        <v>506</v>
      </c>
      <c r="F5100" t="s">
        <v>244</v>
      </c>
      <c r="G5100" s="39">
        <v>36685</v>
      </c>
      <c r="J5100" t="s">
        <v>90</v>
      </c>
    </row>
    <row r="5101" spans="1:10" x14ac:dyDescent="0.35">
      <c r="A5101">
        <v>270026</v>
      </c>
      <c r="B5101" t="s">
        <v>736</v>
      </c>
      <c r="C5101" t="s">
        <v>92</v>
      </c>
      <c r="D5101" t="s">
        <v>780</v>
      </c>
      <c r="E5101" t="s">
        <v>487</v>
      </c>
      <c r="F5101" t="s">
        <v>244</v>
      </c>
      <c r="G5101" s="39">
        <v>41710</v>
      </c>
      <c r="J5101" t="s">
        <v>90</v>
      </c>
    </row>
    <row r="5102" spans="1:10" x14ac:dyDescent="0.35">
      <c r="A5102">
        <v>15215</v>
      </c>
      <c r="B5102" t="s">
        <v>736</v>
      </c>
      <c r="C5102" t="s">
        <v>92</v>
      </c>
      <c r="D5102" t="s">
        <v>780</v>
      </c>
      <c r="E5102" t="s">
        <v>487</v>
      </c>
      <c r="F5102" t="s">
        <v>244</v>
      </c>
      <c r="G5102" s="39">
        <v>44988</v>
      </c>
      <c r="J5102" t="s">
        <v>90</v>
      </c>
    </row>
    <row r="5103" spans="1:10" x14ac:dyDescent="0.35">
      <c r="A5103">
        <v>270041</v>
      </c>
      <c r="B5103" t="s">
        <v>736</v>
      </c>
      <c r="C5103" t="s">
        <v>92</v>
      </c>
      <c r="D5103" t="s">
        <v>780</v>
      </c>
      <c r="E5103" t="s">
        <v>406</v>
      </c>
      <c r="F5103" t="s">
        <v>245</v>
      </c>
      <c r="G5103" s="39">
        <v>43353</v>
      </c>
      <c r="J5103" t="s">
        <v>90</v>
      </c>
    </row>
    <row r="5104" spans="1:10" x14ac:dyDescent="0.35">
      <c r="A5104">
        <v>270046</v>
      </c>
      <c r="B5104" t="s">
        <v>736</v>
      </c>
      <c r="C5104" t="s">
        <v>92</v>
      </c>
      <c r="D5104" t="s">
        <v>780</v>
      </c>
      <c r="E5104" t="s">
        <v>406</v>
      </c>
      <c r="F5104" t="s">
        <v>244</v>
      </c>
      <c r="G5104" s="39">
        <v>43777</v>
      </c>
      <c r="J5104" t="s">
        <v>90</v>
      </c>
    </row>
    <row r="5105" spans="1:10" x14ac:dyDescent="0.35">
      <c r="A5105">
        <v>820014</v>
      </c>
      <c r="B5105" t="s">
        <v>736</v>
      </c>
      <c r="C5105" t="s">
        <v>92</v>
      </c>
      <c r="D5105" t="s">
        <v>780</v>
      </c>
      <c r="E5105" t="s">
        <v>406</v>
      </c>
      <c r="F5105" t="s">
        <v>244</v>
      </c>
      <c r="G5105" s="39">
        <v>41925</v>
      </c>
      <c r="J5105" t="s">
        <v>90</v>
      </c>
    </row>
    <row r="5106" spans="1:10" x14ac:dyDescent="0.35">
      <c r="A5106">
        <v>260007</v>
      </c>
      <c r="B5106" t="s">
        <v>736</v>
      </c>
      <c r="C5106" t="s">
        <v>92</v>
      </c>
      <c r="D5106" t="s">
        <v>780</v>
      </c>
      <c r="E5106" t="s">
        <v>406</v>
      </c>
      <c r="F5106" t="s">
        <v>244</v>
      </c>
      <c r="G5106" s="39">
        <v>37211</v>
      </c>
      <c r="J5106" t="s">
        <v>90</v>
      </c>
    </row>
    <row r="5107" spans="1:10" x14ac:dyDescent="0.35">
      <c r="A5107">
        <v>870026</v>
      </c>
      <c r="B5107" t="s">
        <v>736</v>
      </c>
      <c r="C5107" t="s">
        <v>92</v>
      </c>
      <c r="D5107" t="s">
        <v>780</v>
      </c>
      <c r="E5107" t="s">
        <v>406</v>
      </c>
      <c r="F5107" t="s">
        <v>244</v>
      </c>
      <c r="G5107" s="39">
        <v>42821</v>
      </c>
      <c r="J5107" t="s">
        <v>90</v>
      </c>
    </row>
    <row r="5108" spans="1:10" x14ac:dyDescent="0.35">
      <c r="A5108">
        <v>280017</v>
      </c>
      <c r="B5108" t="s">
        <v>736</v>
      </c>
      <c r="C5108" t="s">
        <v>92</v>
      </c>
      <c r="D5108" t="s">
        <v>780</v>
      </c>
      <c r="E5108" t="s">
        <v>406</v>
      </c>
      <c r="F5108" t="s">
        <v>244</v>
      </c>
      <c r="G5108" s="39">
        <v>37202</v>
      </c>
      <c r="J5108" t="s">
        <v>90</v>
      </c>
    </row>
    <row r="5109" spans="1:10" x14ac:dyDescent="0.35">
      <c r="A5109">
        <v>770018</v>
      </c>
      <c r="B5109" t="s">
        <v>736</v>
      </c>
      <c r="C5109" t="s">
        <v>92</v>
      </c>
      <c r="D5109" t="s">
        <v>780</v>
      </c>
      <c r="E5109" t="s">
        <v>406</v>
      </c>
      <c r="F5109" t="s">
        <v>244</v>
      </c>
      <c r="G5109" s="39">
        <v>42352</v>
      </c>
      <c r="J5109" t="s">
        <v>90</v>
      </c>
    </row>
    <row r="5110" spans="1:10" x14ac:dyDescent="0.35">
      <c r="A5110">
        <v>260016</v>
      </c>
      <c r="B5110" t="s">
        <v>736</v>
      </c>
      <c r="C5110" t="s">
        <v>92</v>
      </c>
      <c r="D5110" t="s">
        <v>780</v>
      </c>
      <c r="E5110" t="s">
        <v>406</v>
      </c>
      <c r="F5110" t="s">
        <v>244</v>
      </c>
      <c r="G5110" s="39">
        <v>43843</v>
      </c>
      <c r="J5110" t="s">
        <v>90</v>
      </c>
    </row>
    <row r="5111" spans="1:10" x14ac:dyDescent="0.35">
      <c r="A5111">
        <v>18234</v>
      </c>
      <c r="B5111" t="s">
        <v>736</v>
      </c>
      <c r="C5111" t="s">
        <v>92</v>
      </c>
      <c r="D5111" t="s">
        <v>780</v>
      </c>
      <c r="E5111" t="s">
        <v>783</v>
      </c>
      <c r="F5111" t="s">
        <v>244</v>
      </c>
      <c r="G5111" s="39">
        <v>46066</v>
      </c>
      <c r="J5111" t="s">
        <v>90</v>
      </c>
    </row>
    <row r="5112" spans="1:10" x14ac:dyDescent="0.35">
      <c r="A5112">
        <v>850115</v>
      </c>
      <c r="B5112" t="s">
        <v>736</v>
      </c>
      <c r="C5112" t="s">
        <v>92</v>
      </c>
      <c r="D5112" t="s">
        <v>780</v>
      </c>
      <c r="E5112" t="s">
        <v>477</v>
      </c>
      <c r="F5112" t="s">
        <v>244</v>
      </c>
      <c r="G5112" s="39">
        <v>44257</v>
      </c>
      <c r="J5112" t="s">
        <v>90</v>
      </c>
    </row>
    <row r="5113" spans="1:10" x14ac:dyDescent="0.35">
      <c r="A5113">
        <v>16354</v>
      </c>
      <c r="B5113" t="s">
        <v>736</v>
      </c>
      <c r="C5113" t="s">
        <v>92</v>
      </c>
      <c r="D5113" t="s">
        <v>780</v>
      </c>
      <c r="E5113" t="s">
        <v>473</v>
      </c>
      <c r="F5113" t="s">
        <v>244</v>
      </c>
      <c r="G5113" s="39">
        <v>45358</v>
      </c>
      <c r="J5113" t="s">
        <v>90</v>
      </c>
    </row>
    <row r="5114" spans="1:10" x14ac:dyDescent="0.35">
      <c r="A5114">
        <v>18051</v>
      </c>
      <c r="B5114" t="s">
        <v>736</v>
      </c>
      <c r="C5114" t="s">
        <v>92</v>
      </c>
      <c r="D5114" t="s">
        <v>780</v>
      </c>
      <c r="E5114" t="s">
        <v>473</v>
      </c>
      <c r="F5114" t="s">
        <v>244</v>
      </c>
      <c r="G5114" s="39">
        <v>45978</v>
      </c>
      <c r="J5114" t="s">
        <v>90</v>
      </c>
    </row>
    <row r="5115" spans="1:10" x14ac:dyDescent="0.35">
      <c r="A5115">
        <v>280037</v>
      </c>
      <c r="B5115" t="s">
        <v>736</v>
      </c>
      <c r="C5115" t="s">
        <v>92</v>
      </c>
      <c r="D5115" t="s">
        <v>780</v>
      </c>
      <c r="E5115" t="s">
        <v>477</v>
      </c>
      <c r="F5115" t="s">
        <v>244</v>
      </c>
      <c r="G5115" s="39">
        <v>44624</v>
      </c>
      <c r="J5115" t="s">
        <v>90</v>
      </c>
    </row>
    <row r="5116" spans="1:10" x14ac:dyDescent="0.35">
      <c r="A5116">
        <v>300258</v>
      </c>
      <c r="B5116" t="s">
        <v>736</v>
      </c>
      <c r="C5116" t="s">
        <v>92</v>
      </c>
      <c r="D5116" t="s">
        <v>780</v>
      </c>
      <c r="E5116" t="s">
        <v>477</v>
      </c>
      <c r="F5116" t="s">
        <v>244</v>
      </c>
      <c r="G5116" s="39">
        <v>44631</v>
      </c>
      <c r="J5116" t="s">
        <v>90</v>
      </c>
    </row>
    <row r="5117" spans="1:10" x14ac:dyDescent="0.35">
      <c r="A5117">
        <v>18099</v>
      </c>
      <c r="B5117" t="s">
        <v>736</v>
      </c>
      <c r="C5117" t="s">
        <v>92</v>
      </c>
      <c r="D5117" t="s">
        <v>780</v>
      </c>
      <c r="E5117" t="s">
        <v>473</v>
      </c>
      <c r="F5117" t="s">
        <v>244</v>
      </c>
      <c r="G5117" s="39">
        <v>45994</v>
      </c>
      <c r="J5117" t="s">
        <v>90</v>
      </c>
    </row>
    <row r="5118" spans="1:10" x14ac:dyDescent="0.35">
      <c r="A5118">
        <v>270014</v>
      </c>
      <c r="B5118" t="s">
        <v>736</v>
      </c>
      <c r="C5118" t="s">
        <v>92</v>
      </c>
      <c r="D5118" t="s">
        <v>791</v>
      </c>
      <c r="E5118" t="s">
        <v>122</v>
      </c>
      <c r="F5118" t="s">
        <v>244</v>
      </c>
      <c r="G5118" s="39">
        <v>41236</v>
      </c>
      <c r="J5118" t="s">
        <v>90</v>
      </c>
    </row>
    <row r="5119" spans="1:10" x14ac:dyDescent="0.35">
      <c r="A5119">
        <v>14088</v>
      </c>
      <c r="B5119" t="s">
        <v>736</v>
      </c>
      <c r="C5119" t="s">
        <v>92</v>
      </c>
      <c r="D5119" t="s">
        <v>827</v>
      </c>
      <c r="E5119" t="s">
        <v>151</v>
      </c>
      <c r="F5119" t="s">
        <v>244</v>
      </c>
      <c r="G5119" s="39">
        <v>44656</v>
      </c>
      <c r="J5119" t="s">
        <v>90</v>
      </c>
    </row>
    <row r="5120" spans="1:10" x14ac:dyDescent="0.35">
      <c r="A5120">
        <v>250050</v>
      </c>
      <c r="B5120" t="s">
        <v>736</v>
      </c>
      <c r="C5120" t="s">
        <v>92</v>
      </c>
      <c r="D5120" t="s">
        <v>827</v>
      </c>
      <c r="E5120" t="s">
        <v>109</v>
      </c>
      <c r="F5120" t="s">
        <v>244</v>
      </c>
      <c r="G5120" s="39">
        <v>44545</v>
      </c>
      <c r="J5120" t="s">
        <v>90</v>
      </c>
    </row>
    <row r="5121" spans="1:10" x14ac:dyDescent="0.35">
      <c r="A5121">
        <v>15345</v>
      </c>
      <c r="B5121" t="s">
        <v>736</v>
      </c>
      <c r="C5121" t="s">
        <v>92</v>
      </c>
      <c r="D5121" t="s">
        <v>827</v>
      </c>
      <c r="E5121" t="s">
        <v>102</v>
      </c>
      <c r="F5121" t="s">
        <v>244</v>
      </c>
      <c r="G5121" s="39">
        <v>45036</v>
      </c>
      <c r="J5121" t="s">
        <v>90</v>
      </c>
    </row>
    <row r="5122" spans="1:10" x14ac:dyDescent="0.35">
      <c r="A5122">
        <v>17337</v>
      </c>
      <c r="B5122" t="s">
        <v>736</v>
      </c>
      <c r="C5122" t="s">
        <v>92</v>
      </c>
      <c r="D5122" t="s">
        <v>827</v>
      </c>
      <c r="E5122" t="s">
        <v>106</v>
      </c>
      <c r="F5122" t="s">
        <v>244</v>
      </c>
      <c r="G5122" s="39">
        <v>45712</v>
      </c>
      <c r="J5122" t="s">
        <v>90</v>
      </c>
    </row>
    <row r="5123" spans="1:10" x14ac:dyDescent="0.35">
      <c r="A5123">
        <v>18414</v>
      </c>
      <c r="B5123" t="s">
        <v>736</v>
      </c>
      <c r="C5123" t="s">
        <v>92</v>
      </c>
      <c r="D5123" t="s">
        <v>827</v>
      </c>
      <c r="E5123" t="s">
        <v>106</v>
      </c>
      <c r="F5123" t="s">
        <v>244</v>
      </c>
      <c r="G5123" s="39">
        <v>46126</v>
      </c>
      <c r="J5123" t="s">
        <v>90</v>
      </c>
    </row>
    <row r="5124" spans="1:10" x14ac:dyDescent="0.35">
      <c r="A5124">
        <v>210001</v>
      </c>
      <c r="B5124" t="s">
        <v>868</v>
      </c>
      <c r="C5124" t="s">
        <v>92</v>
      </c>
      <c r="D5124" t="s">
        <v>92</v>
      </c>
      <c r="E5124" t="s">
        <v>464</v>
      </c>
      <c r="F5124" t="s">
        <v>244</v>
      </c>
      <c r="G5124" s="39">
        <v>36745</v>
      </c>
      <c r="J5124" t="s">
        <v>90</v>
      </c>
    </row>
    <row r="5125" spans="1:10" x14ac:dyDescent="0.35">
      <c r="A5125">
        <v>210024</v>
      </c>
      <c r="B5125" t="s">
        <v>868</v>
      </c>
      <c r="C5125" t="s">
        <v>92</v>
      </c>
      <c r="D5125" t="s">
        <v>780</v>
      </c>
      <c r="E5125" t="s">
        <v>506</v>
      </c>
      <c r="F5125" t="s">
        <v>244</v>
      </c>
      <c r="G5125" s="39">
        <v>36690</v>
      </c>
      <c r="J5125" t="s">
        <v>90</v>
      </c>
    </row>
    <row r="5126" spans="1:10" x14ac:dyDescent="0.35">
      <c r="A5126">
        <v>210025</v>
      </c>
      <c r="B5126" t="s">
        <v>868</v>
      </c>
      <c r="C5126" t="s">
        <v>92</v>
      </c>
      <c r="D5126" t="s">
        <v>780</v>
      </c>
      <c r="E5126" t="s">
        <v>506</v>
      </c>
      <c r="F5126" t="s">
        <v>244</v>
      </c>
      <c r="G5126" s="39">
        <v>39916</v>
      </c>
      <c r="J5126" t="s">
        <v>90</v>
      </c>
    </row>
    <row r="5127" spans="1:10" x14ac:dyDescent="0.35">
      <c r="A5127">
        <v>17329</v>
      </c>
      <c r="B5127" t="s">
        <v>868</v>
      </c>
      <c r="C5127" t="s">
        <v>92</v>
      </c>
      <c r="D5127" t="s">
        <v>780</v>
      </c>
      <c r="E5127" t="s">
        <v>474</v>
      </c>
      <c r="F5127" t="s">
        <v>244</v>
      </c>
      <c r="G5127" s="39">
        <v>45709</v>
      </c>
      <c r="J5127" t="s">
        <v>90</v>
      </c>
    </row>
    <row r="5128" spans="1:10" x14ac:dyDescent="0.35">
      <c r="A5128">
        <v>180034</v>
      </c>
      <c r="B5128" t="s">
        <v>868</v>
      </c>
      <c r="C5128" t="s">
        <v>92</v>
      </c>
      <c r="D5128" t="s">
        <v>780</v>
      </c>
      <c r="E5128" t="s">
        <v>406</v>
      </c>
      <c r="F5128" t="s">
        <v>244</v>
      </c>
      <c r="G5128" s="39">
        <v>42079</v>
      </c>
      <c r="J5128" t="s">
        <v>90</v>
      </c>
    </row>
    <row r="5129" spans="1:10" x14ac:dyDescent="0.35">
      <c r="A5129">
        <v>210035</v>
      </c>
      <c r="B5129" t="s">
        <v>868</v>
      </c>
      <c r="C5129" t="s">
        <v>92</v>
      </c>
      <c r="D5129" t="s">
        <v>780</v>
      </c>
      <c r="E5129" t="s">
        <v>406</v>
      </c>
      <c r="F5129" t="s">
        <v>244</v>
      </c>
      <c r="G5129" s="39">
        <v>43628</v>
      </c>
      <c r="J5129" t="s">
        <v>90</v>
      </c>
    </row>
    <row r="5130" spans="1:10" x14ac:dyDescent="0.35">
      <c r="A5130">
        <v>210009</v>
      </c>
      <c r="B5130" t="s">
        <v>868</v>
      </c>
      <c r="C5130" t="s">
        <v>92</v>
      </c>
      <c r="D5130" t="s">
        <v>780</v>
      </c>
      <c r="E5130" t="s">
        <v>406</v>
      </c>
      <c r="F5130" t="s">
        <v>244</v>
      </c>
      <c r="G5130" s="39">
        <v>40246</v>
      </c>
      <c r="J5130" t="s">
        <v>90</v>
      </c>
    </row>
    <row r="5131" spans="1:10" x14ac:dyDescent="0.35">
      <c r="A5131">
        <v>210034</v>
      </c>
      <c r="B5131" t="s">
        <v>868</v>
      </c>
      <c r="C5131" t="s">
        <v>92</v>
      </c>
      <c r="D5131" t="s">
        <v>780</v>
      </c>
      <c r="E5131" t="s">
        <v>406</v>
      </c>
      <c r="F5131" t="s">
        <v>244</v>
      </c>
      <c r="G5131" s="39">
        <v>43385</v>
      </c>
      <c r="J5131" t="s">
        <v>90</v>
      </c>
    </row>
    <row r="5132" spans="1:10" x14ac:dyDescent="0.35">
      <c r="A5132">
        <v>220027</v>
      </c>
      <c r="B5132" t="s">
        <v>868</v>
      </c>
      <c r="C5132" t="s">
        <v>92</v>
      </c>
      <c r="D5132" t="s">
        <v>780</v>
      </c>
      <c r="E5132" t="s">
        <v>406</v>
      </c>
      <c r="F5132" t="s">
        <v>244</v>
      </c>
      <c r="G5132" s="39">
        <v>43271</v>
      </c>
      <c r="J5132" t="s">
        <v>90</v>
      </c>
    </row>
    <row r="5133" spans="1:10" x14ac:dyDescent="0.35">
      <c r="A5133">
        <v>800014</v>
      </c>
      <c r="B5133" t="s">
        <v>868</v>
      </c>
      <c r="C5133" t="s">
        <v>92</v>
      </c>
      <c r="D5133" t="s">
        <v>780</v>
      </c>
      <c r="E5133" t="s">
        <v>477</v>
      </c>
      <c r="F5133" t="s">
        <v>244</v>
      </c>
      <c r="G5133" s="39">
        <v>40221</v>
      </c>
      <c r="J5133" t="s">
        <v>90</v>
      </c>
    </row>
    <row r="5134" spans="1:10" x14ac:dyDescent="0.35">
      <c r="A5134">
        <v>14593</v>
      </c>
      <c r="B5134" t="s">
        <v>868</v>
      </c>
      <c r="C5134" t="s">
        <v>92</v>
      </c>
      <c r="D5134" t="s">
        <v>780</v>
      </c>
      <c r="E5134" t="s">
        <v>477</v>
      </c>
      <c r="F5134" t="s">
        <v>244</v>
      </c>
      <c r="G5134" s="39">
        <v>44806</v>
      </c>
      <c r="J5134" t="s">
        <v>90</v>
      </c>
    </row>
    <row r="5135" spans="1:10" x14ac:dyDescent="0.35">
      <c r="A5135">
        <v>15830</v>
      </c>
      <c r="B5135" t="s">
        <v>868</v>
      </c>
      <c r="C5135" t="s">
        <v>92</v>
      </c>
      <c r="D5135" t="s">
        <v>780</v>
      </c>
      <c r="E5135" t="s">
        <v>473</v>
      </c>
      <c r="F5135" t="s">
        <v>244</v>
      </c>
      <c r="G5135" s="39">
        <v>45209</v>
      </c>
      <c r="J5135" t="s">
        <v>90</v>
      </c>
    </row>
    <row r="5136" spans="1:10" x14ac:dyDescent="0.35">
      <c r="A5136">
        <v>210015</v>
      </c>
      <c r="B5136" t="s">
        <v>868</v>
      </c>
      <c r="C5136" t="s">
        <v>92</v>
      </c>
      <c r="D5136" t="s">
        <v>791</v>
      </c>
      <c r="E5136" t="s">
        <v>122</v>
      </c>
      <c r="F5136" t="s">
        <v>244</v>
      </c>
      <c r="G5136" s="39">
        <v>38838</v>
      </c>
      <c r="J5136" t="s">
        <v>90</v>
      </c>
    </row>
    <row r="5137" spans="1:10" x14ac:dyDescent="0.35">
      <c r="A5137">
        <v>11480</v>
      </c>
      <c r="B5137" t="s">
        <v>869</v>
      </c>
      <c r="C5137" t="s">
        <v>92</v>
      </c>
      <c r="D5137" t="s">
        <v>92</v>
      </c>
      <c r="E5137" t="s">
        <v>464</v>
      </c>
      <c r="F5137" t="s">
        <v>244</v>
      </c>
      <c r="G5137" s="39">
        <v>42748</v>
      </c>
      <c r="J5137" t="s">
        <v>90</v>
      </c>
    </row>
    <row r="5138" spans="1:10" x14ac:dyDescent="0.35">
      <c r="A5138">
        <v>170004</v>
      </c>
      <c r="B5138" t="s">
        <v>869</v>
      </c>
      <c r="C5138" t="s">
        <v>92</v>
      </c>
      <c r="D5138" t="s">
        <v>780</v>
      </c>
      <c r="E5138" t="s">
        <v>506</v>
      </c>
      <c r="F5138" t="s">
        <v>244</v>
      </c>
      <c r="G5138" s="39">
        <v>38749</v>
      </c>
      <c r="J5138" t="s">
        <v>90</v>
      </c>
    </row>
    <row r="5139" spans="1:10" x14ac:dyDescent="0.35">
      <c r="A5139">
        <v>113031</v>
      </c>
      <c r="B5139" t="s">
        <v>869</v>
      </c>
      <c r="C5139" t="s">
        <v>92</v>
      </c>
      <c r="D5139" t="s">
        <v>780</v>
      </c>
      <c r="E5139" t="s">
        <v>506</v>
      </c>
      <c r="F5139" t="s">
        <v>245</v>
      </c>
      <c r="G5139" s="39">
        <v>42485</v>
      </c>
      <c r="J5139" t="s">
        <v>90</v>
      </c>
    </row>
    <row r="5140" spans="1:10" x14ac:dyDescent="0.35">
      <c r="A5140">
        <v>270037</v>
      </c>
      <c r="B5140" t="s">
        <v>869</v>
      </c>
      <c r="C5140" t="s">
        <v>92</v>
      </c>
      <c r="D5140" t="s">
        <v>780</v>
      </c>
      <c r="E5140" t="s">
        <v>151</v>
      </c>
      <c r="F5140" t="s">
        <v>244</v>
      </c>
      <c r="G5140" s="39">
        <v>43238</v>
      </c>
      <c r="J5140" t="s">
        <v>90</v>
      </c>
    </row>
    <row r="5141" spans="1:10" x14ac:dyDescent="0.35">
      <c r="A5141">
        <v>250039</v>
      </c>
      <c r="B5141" t="s">
        <v>869</v>
      </c>
      <c r="C5141" t="s">
        <v>92</v>
      </c>
      <c r="D5141" t="s">
        <v>780</v>
      </c>
      <c r="E5141" t="s">
        <v>406</v>
      </c>
      <c r="F5141" t="s">
        <v>244</v>
      </c>
      <c r="G5141" s="39">
        <v>43244</v>
      </c>
      <c r="J5141" t="s">
        <v>90</v>
      </c>
    </row>
    <row r="5142" spans="1:10" x14ac:dyDescent="0.35">
      <c r="A5142">
        <v>170032</v>
      </c>
      <c r="B5142" t="s">
        <v>869</v>
      </c>
      <c r="C5142" t="s">
        <v>92</v>
      </c>
      <c r="D5142" t="s">
        <v>780</v>
      </c>
      <c r="E5142" t="s">
        <v>406</v>
      </c>
      <c r="F5142" t="s">
        <v>244</v>
      </c>
      <c r="G5142" s="39">
        <v>42842</v>
      </c>
      <c r="J5142" t="s">
        <v>90</v>
      </c>
    </row>
    <row r="5143" spans="1:10" x14ac:dyDescent="0.35">
      <c r="A5143">
        <v>14254</v>
      </c>
      <c r="B5143" t="s">
        <v>869</v>
      </c>
      <c r="C5143" t="s">
        <v>92</v>
      </c>
      <c r="D5143" t="s">
        <v>780</v>
      </c>
      <c r="E5143" t="s">
        <v>406</v>
      </c>
      <c r="F5143" t="s">
        <v>244</v>
      </c>
      <c r="G5143" s="39">
        <v>44713</v>
      </c>
      <c r="J5143" t="s">
        <v>90</v>
      </c>
    </row>
    <row r="5144" spans="1:10" x14ac:dyDescent="0.35">
      <c r="A5144">
        <v>120052</v>
      </c>
      <c r="B5144" t="s">
        <v>869</v>
      </c>
      <c r="C5144" t="s">
        <v>92</v>
      </c>
      <c r="D5144" t="s">
        <v>780</v>
      </c>
      <c r="E5144" t="s">
        <v>406</v>
      </c>
      <c r="F5144" t="s">
        <v>244</v>
      </c>
      <c r="G5144" s="39">
        <v>43824</v>
      </c>
      <c r="J5144" t="s">
        <v>90</v>
      </c>
    </row>
    <row r="5145" spans="1:10" x14ac:dyDescent="0.35">
      <c r="A5145">
        <v>130055</v>
      </c>
      <c r="B5145" t="s">
        <v>869</v>
      </c>
      <c r="C5145" t="s">
        <v>92</v>
      </c>
      <c r="D5145" t="s">
        <v>780</v>
      </c>
      <c r="E5145" t="s">
        <v>406</v>
      </c>
      <c r="F5145" t="s">
        <v>244</v>
      </c>
      <c r="G5145" s="39">
        <v>44120</v>
      </c>
      <c r="J5145" t="s">
        <v>90</v>
      </c>
    </row>
    <row r="5146" spans="1:10" x14ac:dyDescent="0.35">
      <c r="A5146">
        <v>14819</v>
      </c>
      <c r="B5146" t="s">
        <v>869</v>
      </c>
      <c r="C5146" t="s">
        <v>92</v>
      </c>
      <c r="D5146" t="s">
        <v>780</v>
      </c>
      <c r="E5146" t="s">
        <v>477</v>
      </c>
      <c r="F5146" t="s">
        <v>244</v>
      </c>
      <c r="G5146" s="39">
        <v>44866</v>
      </c>
      <c r="J5146" t="s">
        <v>90</v>
      </c>
    </row>
    <row r="5147" spans="1:10" x14ac:dyDescent="0.35">
      <c r="A5147">
        <v>170043</v>
      </c>
      <c r="B5147" t="s">
        <v>869</v>
      </c>
      <c r="C5147" t="s">
        <v>92</v>
      </c>
      <c r="D5147" t="s">
        <v>780</v>
      </c>
      <c r="E5147" t="s">
        <v>477</v>
      </c>
      <c r="F5147" t="s">
        <v>244</v>
      </c>
      <c r="G5147" s="39">
        <v>44503</v>
      </c>
      <c r="J5147" t="s">
        <v>90</v>
      </c>
    </row>
    <row r="5148" spans="1:10" x14ac:dyDescent="0.35">
      <c r="A5148">
        <v>15759</v>
      </c>
      <c r="B5148" t="s">
        <v>869</v>
      </c>
      <c r="C5148" t="s">
        <v>92</v>
      </c>
      <c r="D5148" t="s">
        <v>780</v>
      </c>
      <c r="E5148" t="s">
        <v>477</v>
      </c>
      <c r="F5148" t="s">
        <v>244</v>
      </c>
      <c r="G5148" s="39">
        <v>45184</v>
      </c>
      <c r="J5148" t="s">
        <v>90</v>
      </c>
    </row>
    <row r="5149" spans="1:10" x14ac:dyDescent="0.35">
      <c r="A5149">
        <v>17473</v>
      </c>
      <c r="B5149" t="s">
        <v>869</v>
      </c>
      <c r="C5149" t="s">
        <v>92</v>
      </c>
      <c r="D5149" t="s">
        <v>780</v>
      </c>
      <c r="E5149" t="s">
        <v>473</v>
      </c>
      <c r="F5149" t="s">
        <v>244</v>
      </c>
      <c r="G5149" s="39">
        <v>45762</v>
      </c>
      <c r="J5149" t="s">
        <v>90</v>
      </c>
    </row>
    <row r="5150" spans="1:10" x14ac:dyDescent="0.35">
      <c r="A5150">
        <v>15412</v>
      </c>
      <c r="B5150" t="s">
        <v>869</v>
      </c>
      <c r="C5150" t="s">
        <v>92</v>
      </c>
      <c r="D5150" t="s">
        <v>780</v>
      </c>
      <c r="E5150" t="s">
        <v>477</v>
      </c>
      <c r="F5150" t="s">
        <v>244</v>
      </c>
      <c r="G5150" s="39">
        <v>45064</v>
      </c>
      <c r="J5150" t="s">
        <v>90</v>
      </c>
    </row>
    <row r="5151" spans="1:10" x14ac:dyDescent="0.35">
      <c r="A5151">
        <v>16448</v>
      </c>
      <c r="B5151" t="s">
        <v>869</v>
      </c>
      <c r="C5151" t="s">
        <v>92</v>
      </c>
      <c r="D5151" t="s">
        <v>780</v>
      </c>
      <c r="E5151" t="s">
        <v>473</v>
      </c>
      <c r="F5151" t="s">
        <v>244</v>
      </c>
      <c r="G5151" s="39">
        <v>45405</v>
      </c>
      <c r="J5151" t="s">
        <v>90</v>
      </c>
    </row>
    <row r="5152" spans="1:10" x14ac:dyDescent="0.35">
      <c r="A5152">
        <v>300240</v>
      </c>
      <c r="B5152" t="s">
        <v>869</v>
      </c>
      <c r="C5152" t="s">
        <v>92</v>
      </c>
      <c r="D5152" t="s">
        <v>780</v>
      </c>
      <c r="E5152" t="s">
        <v>487</v>
      </c>
      <c r="F5152" t="s">
        <v>244</v>
      </c>
      <c r="G5152" s="39">
        <v>44518</v>
      </c>
      <c r="J5152" t="s">
        <v>90</v>
      </c>
    </row>
    <row r="5153" spans="1:10" x14ac:dyDescent="0.35">
      <c r="A5153">
        <v>170011</v>
      </c>
      <c r="B5153" t="s">
        <v>869</v>
      </c>
      <c r="C5153" t="s">
        <v>92</v>
      </c>
      <c r="D5153" t="s">
        <v>791</v>
      </c>
      <c r="E5153" t="s">
        <v>122</v>
      </c>
      <c r="F5153" t="s">
        <v>244</v>
      </c>
      <c r="G5153" s="39">
        <v>40760</v>
      </c>
      <c r="J5153" t="s">
        <v>90</v>
      </c>
    </row>
    <row r="5154" spans="1:10" x14ac:dyDescent="0.35">
      <c r="A5154">
        <v>510004</v>
      </c>
      <c r="B5154" t="s">
        <v>870</v>
      </c>
      <c r="C5154" t="s">
        <v>92</v>
      </c>
      <c r="D5154" t="s">
        <v>92</v>
      </c>
      <c r="E5154" t="s">
        <v>464</v>
      </c>
      <c r="F5154" t="s">
        <v>244</v>
      </c>
      <c r="G5154" s="39">
        <v>41533</v>
      </c>
      <c r="J5154" t="s">
        <v>90</v>
      </c>
    </row>
    <row r="5155" spans="1:10" x14ac:dyDescent="0.35">
      <c r="A5155">
        <v>119016</v>
      </c>
      <c r="B5155" t="s">
        <v>870</v>
      </c>
      <c r="C5155" t="s">
        <v>92</v>
      </c>
      <c r="D5155" t="s">
        <v>780</v>
      </c>
      <c r="E5155" t="s">
        <v>548</v>
      </c>
      <c r="F5155" t="s">
        <v>244</v>
      </c>
      <c r="G5155" s="39">
        <v>42408</v>
      </c>
      <c r="J5155" t="s">
        <v>90</v>
      </c>
    </row>
    <row r="5156" spans="1:10" x14ac:dyDescent="0.35">
      <c r="A5156">
        <v>600014</v>
      </c>
      <c r="B5156" t="s">
        <v>870</v>
      </c>
      <c r="C5156" t="s">
        <v>92</v>
      </c>
      <c r="D5156" t="s">
        <v>780</v>
      </c>
      <c r="E5156" t="s">
        <v>548</v>
      </c>
      <c r="F5156" t="s">
        <v>244</v>
      </c>
      <c r="G5156" s="39">
        <v>39687</v>
      </c>
      <c r="J5156" t="s">
        <v>90</v>
      </c>
    </row>
    <row r="5157" spans="1:10" x14ac:dyDescent="0.35">
      <c r="A5157">
        <v>14391</v>
      </c>
      <c r="B5157" t="s">
        <v>870</v>
      </c>
      <c r="C5157" t="s">
        <v>92</v>
      </c>
      <c r="D5157" t="s">
        <v>780</v>
      </c>
      <c r="E5157" t="s">
        <v>531</v>
      </c>
      <c r="F5157" t="s">
        <v>244</v>
      </c>
      <c r="G5157" s="39">
        <v>44746</v>
      </c>
      <c r="J5157" t="s">
        <v>90</v>
      </c>
    </row>
    <row r="5158" spans="1:10" x14ac:dyDescent="0.35">
      <c r="A5158">
        <v>14959</v>
      </c>
      <c r="B5158" t="s">
        <v>870</v>
      </c>
      <c r="C5158" t="s">
        <v>92</v>
      </c>
      <c r="D5158" t="s">
        <v>780</v>
      </c>
      <c r="E5158" t="s">
        <v>531</v>
      </c>
      <c r="F5158" t="s">
        <v>244</v>
      </c>
      <c r="G5158" s="39">
        <v>44900</v>
      </c>
      <c r="J5158" t="s">
        <v>90</v>
      </c>
    </row>
    <row r="5159" spans="1:10" x14ac:dyDescent="0.35">
      <c r="A5159">
        <v>118031</v>
      </c>
      <c r="B5159" t="s">
        <v>870</v>
      </c>
      <c r="C5159" t="s">
        <v>92</v>
      </c>
      <c r="D5159" t="s">
        <v>780</v>
      </c>
      <c r="E5159" t="s">
        <v>487</v>
      </c>
      <c r="F5159" t="s">
        <v>244</v>
      </c>
      <c r="G5159" s="39">
        <v>43839</v>
      </c>
      <c r="J5159" t="s">
        <v>90</v>
      </c>
    </row>
    <row r="5160" spans="1:10" x14ac:dyDescent="0.35">
      <c r="A5160">
        <v>160034</v>
      </c>
      <c r="B5160" t="s">
        <v>870</v>
      </c>
      <c r="C5160" t="s">
        <v>92</v>
      </c>
      <c r="D5160" t="s">
        <v>780</v>
      </c>
      <c r="E5160" t="s">
        <v>151</v>
      </c>
      <c r="F5160" t="s">
        <v>244</v>
      </c>
      <c r="G5160" s="39">
        <v>42380</v>
      </c>
      <c r="J5160" t="s">
        <v>90</v>
      </c>
    </row>
    <row r="5161" spans="1:10" x14ac:dyDescent="0.35">
      <c r="A5161">
        <v>300196</v>
      </c>
      <c r="B5161" t="s">
        <v>870</v>
      </c>
      <c r="C5161" t="s">
        <v>92</v>
      </c>
      <c r="D5161" t="s">
        <v>780</v>
      </c>
      <c r="E5161" t="s">
        <v>406</v>
      </c>
      <c r="F5161" t="s">
        <v>244</v>
      </c>
      <c r="G5161" s="39">
        <v>43823</v>
      </c>
      <c r="J5161" t="s">
        <v>90</v>
      </c>
    </row>
    <row r="5162" spans="1:10" x14ac:dyDescent="0.35">
      <c r="A5162">
        <v>130040</v>
      </c>
      <c r="B5162" t="s">
        <v>870</v>
      </c>
      <c r="C5162" t="s">
        <v>92</v>
      </c>
      <c r="D5162" t="s">
        <v>780</v>
      </c>
      <c r="E5162" t="s">
        <v>406</v>
      </c>
      <c r="F5162" t="s">
        <v>244</v>
      </c>
      <c r="G5162" s="39">
        <v>42527</v>
      </c>
      <c r="J5162" t="s">
        <v>90</v>
      </c>
    </row>
    <row r="5163" spans="1:10" x14ac:dyDescent="0.35">
      <c r="A5163">
        <v>400049</v>
      </c>
      <c r="B5163" t="s">
        <v>870</v>
      </c>
      <c r="C5163" t="s">
        <v>92</v>
      </c>
      <c r="D5163" t="s">
        <v>780</v>
      </c>
      <c r="E5163" t="s">
        <v>406</v>
      </c>
      <c r="F5163" t="s">
        <v>244</v>
      </c>
      <c r="G5163" s="39">
        <v>43601</v>
      </c>
      <c r="J5163" t="s">
        <v>90</v>
      </c>
    </row>
    <row r="5164" spans="1:10" x14ac:dyDescent="0.35">
      <c r="A5164">
        <v>980004</v>
      </c>
      <c r="B5164" t="s">
        <v>870</v>
      </c>
      <c r="C5164" t="s">
        <v>92</v>
      </c>
      <c r="D5164" t="s">
        <v>780</v>
      </c>
      <c r="E5164" t="s">
        <v>406</v>
      </c>
      <c r="F5164" t="s">
        <v>244</v>
      </c>
      <c r="G5164" s="39">
        <v>40422</v>
      </c>
      <c r="J5164" t="s">
        <v>90</v>
      </c>
    </row>
    <row r="5165" spans="1:10" x14ac:dyDescent="0.35">
      <c r="A5165">
        <v>122018</v>
      </c>
      <c r="B5165" t="s">
        <v>870</v>
      </c>
      <c r="C5165" t="s">
        <v>92</v>
      </c>
      <c r="D5165" t="s">
        <v>780</v>
      </c>
      <c r="E5165" t="s">
        <v>406</v>
      </c>
      <c r="F5165" t="s">
        <v>244</v>
      </c>
      <c r="G5165" s="39">
        <v>44099</v>
      </c>
      <c r="J5165" t="s">
        <v>90</v>
      </c>
    </row>
    <row r="5166" spans="1:10" x14ac:dyDescent="0.35">
      <c r="A5166">
        <v>14978</v>
      </c>
      <c r="B5166" t="s">
        <v>870</v>
      </c>
      <c r="C5166" t="s">
        <v>92</v>
      </c>
      <c r="D5166" t="s">
        <v>780</v>
      </c>
      <c r="E5166" t="s">
        <v>477</v>
      </c>
      <c r="F5166" t="s">
        <v>244</v>
      </c>
      <c r="G5166" s="39">
        <v>44904</v>
      </c>
      <c r="J5166" t="s">
        <v>90</v>
      </c>
    </row>
    <row r="5167" spans="1:10" x14ac:dyDescent="0.35">
      <c r="A5167">
        <v>15697</v>
      </c>
      <c r="B5167" t="s">
        <v>870</v>
      </c>
      <c r="C5167" t="s">
        <v>92</v>
      </c>
      <c r="D5167" t="s">
        <v>780</v>
      </c>
      <c r="E5167" t="s">
        <v>477</v>
      </c>
      <c r="F5167" t="s">
        <v>244</v>
      </c>
      <c r="G5167" s="39">
        <v>45167</v>
      </c>
      <c r="J5167" t="s">
        <v>90</v>
      </c>
    </row>
    <row r="5168" spans="1:10" x14ac:dyDescent="0.35">
      <c r="A5168">
        <v>190042</v>
      </c>
      <c r="B5168" t="s">
        <v>870</v>
      </c>
      <c r="C5168" t="s">
        <v>92</v>
      </c>
      <c r="D5168" t="s">
        <v>780</v>
      </c>
      <c r="E5168" t="s">
        <v>406</v>
      </c>
      <c r="F5168" t="s">
        <v>244</v>
      </c>
      <c r="G5168" s="39">
        <v>43164</v>
      </c>
      <c r="J5168" t="s">
        <v>90</v>
      </c>
    </row>
    <row r="5169" spans="1:10" x14ac:dyDescent="0.35">
      <c r="A5169">
        <v>16161</v>
      </c>
      <c r="B5169" t="s">
        <v>870</v>
      </c>
      <c r="C5169" t="s">
        <v>92</v>
      </c>
      <c r="D5169" t="s">
        <v>780</v>
      </c>
      <c r="E5169" t="s">
        <v>473</v>
      </c>
      <c r="F5169" t="s">
        <v>245</v>
      </c>
      <c r="G5169" s="39">
        <v>45306</v>
      </c>
      <c r="J5169" t="s">
        <v>90</v>
      </c>
    </row>
    <row r="5170" spans="1:10" x14ac:dyDescent="0.35">
      <c r="A5170">
        <v>300259</v>
      </c>
      <c r="B5170" t="s">
        <v>870</v>
      </c>
      <c r="C5170" t="s">
        <v>92</v>
      </c>
      <c r="D5170" t="s">
        <v>780</v>
      </c>
      <c r="E5170" t="s">
        <v>473</v>
      </c>
      <c r="F5170" t="s">
        <v>244</v>
      </c>
      <c r="G5170" s="39">
        <v>44635</v>
      </c>
      <c r="J5170" t="s">
        <v>90</v>
      </c>
    </row>
    <row r="5171" spans="1:10" x14ac:dyDescent="0.35">
      <c r="A5171">
        <v>127001</v>
      </c>
      <c r="B5171" t="s">
        <v>870</v>
      </c>
      <c r="C5171" t="s">
        <v>92</v>
      </c>
      <c r="D5171" t="s">
        <v>791</v>
      </c>
      <c r="E5171" t="s">
        <v>122</v>
      </c>
      <c r="F5171" t="s">
        <v>244</v>
      </c>
      <c r="G5171" s="39">
        <v>42900</v>
      </c>
      <c r="J5171" t="s">
        <v>90</v>
      </c>
    </row>
    <row r="5172" spans="1:10" x14ac:dyDescent="0.35">
      <c r="A5172">
        <v>12182</v>
      </c>
      <c r="B5172" t="s">
        <v>468</v>
      </c>
      <c r="C5172" t="s">
        <v>92</v>
      </c>
      <c r="D5172" t="s">
        <v>92</v>
      </c>
      <c r="E5172" t="s">
        <v>464</v>
      </c>
      <c r="F5172" t="s">
        <v>244</v>
      </c>
      <c r="G5172" s="39">
        <v>43563</v>
      </c>
      <c r="J5172" t="s">
        <v>90</v>
      </c>
    </row>
    <row r="5173" spans="1:10" x14ac:dyDescent="0.35">
      <c r="A5173">
        <v>14154</v>
      </c>
      <c r="B5173" t="s">
        <v>468</v>
      </c>
      <c r="C5173" t="s">
        <v>92</v>
      </c>
      <c r="D5173" t="s">
        <v>780</v>
      </c>
      <c r="E5173" t="s">
        <v>531</v>
      </c>
      <c r="F5173" t="s">
        <v>411</v>
      </c>
      <c r="G5173" s="39">
        <v>44677</v>
      </c>
      <c r="J5173" t="s">
        <v>90</v>
      </c>
    </row>
    <row r="5174" spans="1:10" x14ac:dyDescent="0.35">
      <c r="A5174">
        <v>15036</v>
      </c>
      <c r="B5174" t="s">
        <v>468</v>
      </c>
      <c r="C5174" t="s">
        <v>92</v>
      </c>
      <c r="D5174" t="s">
        <v>780</v>
      </c>
      <c r="E5174" t="s">
        <v>782</v>
      </c>
      <c r="F5174" t="s">
        <v>244</v>
      </c>
      <c r="G5174" s="39">
        <v>44931</v>
      </c>
      <c r="J5174" t="s">
        <v>90</v>
      </c>
    </row>
    <row r="5175" spans="1:10" x14ac:dyDescent="0.35">
      <c r="A5175">
        <v>17297</v>
      </c>
      <c r="B5175" t="s">
        <v>468</v>
      </c>
      <c r="C5175" t="s">
        <v>92</v>
      </c>
      <c r="D5175" t="s">
        <v>780</v>
      </c>
      <c r="E5175" t="s">
        <v>474</v>
      </c>
      <c r="F5175" t="s">
        <v>244</v>
      </c>
      <c r="G5175" s="39">
        <v>45698</v>
      </c>
      <c r="J5175" t="s">
        <v>90</v>
      </c>
    </row>
    <row r="5176" spans="1:10" x14ac:dyDescent="0.35">
      <c r="A5176">
        <v>160023</v>
      </c>
      <c r="B5176" t="s">
        <v>468</v>
      </c>
      <c r="C5176" t="s">
        <v>92</v>
      </c>
      <c r="D5176" t="s">
        <v>780</v>
      </c>
      <c r="E5176" t="s">
        <v>406</v>
      </c>
      <c r="F5176" t="s">
        <v>244</v>
      </c>
      <c r="G5176" s="39">
        <v>40299</v>
      </c>
      <c r="J5176" t="s">
        <v>90</v>
      </c>
    </row>
    <row r="5177" spans="1:10" x14ac:dyDescent="0.35">
      <c r="A5177">
        <v>134002</v>
      </c>
      <c r="B5177" t="s">
        <v>468</v>
      </c>
      <c r="C5177" t="s">
        <v>92</v>
      </c>
      <c r="D5177" t="s">
        <v>780</v>
      </c>
      <c r="E5177" t="s">
        <v>406</v>
      </c>
      <c r="F5177" t="s">
        <v>244</v>
      </c>
      <c r="G5177" s="39">
        <v>43843</v>
      </c>
      <c r="J5177" t="s">
        <v>90</v>
      </c>
    </row>
    <row r="5178" spans="1:10" x14ac:dyDescent="0.35">
      <c r="A5178">
        <v>15222</v>
      </c>
      <c r="B5178" t="s">
        <v>468</v>
      </c>
      <c r="C5178" t="s">
        <v>92</v>
      </c>
      <c r="D5178" t="s">
        <v>780</v>
      </c>
      <c r="E5178" t="s">
        <v>477</v>
      </c>
      <c r="F5178" t="s">
        <v>244</v>
      </c>
      <c r="G5178" s="39">
        <v>44991</v>
      </c>
      <c r="J5178" t="s">
        <v>90</v>
      </c>
    </row>
    <row r="5179" spans="1:10" x14ac:dyDescent="0.35">
      <c r="A5179">
        <v>16585</v>
      </c>
      <c r="B5179" t="s">
        <v>468</v>
      </c>
      <c r="C5179" t="s">
        <v>92</v>
      </c>
      <c r="D5179" t="s">
        <v>780</v>
      </c>
      <c r="E5179" t="s">
        <v>473</v>
      </c>
      <c r="F5179" t="s">
        <v>244</v>
      </c>
      <c r="G5179" s="39">
        <v>45490</v>
      </c>
      <c r="J5179" t="s">
        <v>90</v>
      </c>
    </row>
    <row r="5180" spans="1:10" x14ac:dyDescent="0.35">
      <c r="A5180">
        <v>17823</v>
      </c>
      <c r="B5180" t="s">
        <v>468</v>
      </c>
      <c r="C5180" t="s">
        <v>92</v>
      </c>
      <c r="D5180" t="s">
        <v>780</v>
      </c>
      <c r="E5180" t="s">
        <v>473</v>
      </c>
      <c r="F5180" t="s">
        <v>244</v>
      </c>
      <c r="G5180" s="39">
        <v>45884</v>
      </c>
      <c r="J5180" t="s">
        <v>90</v>
      </c>
    </row>
    <row r="5181" spans="1:10" x14ac:dyDescent="0.35">
      <c r="A5181">
        <v>17901</v>
      </c>
      <c r="B5181" t="s">
        <v>468</v>
      </c>
      <c r="C5181" t="s">
        <v>92</v>
      </c>
      <c r="D5181" t="s">
        <v>780</v>
      </c>
      <c r="E5181" t="s">
        <v>473</v>
      </c>
      <c r="F5181" t="s">
        <v>244</v>
      </c>
      <c r="G5181" s="39">
        <v>45910</v>
      </c>
      <c r="J5181" t="s">
        <v>90</v>
      </c>
    </row>
    <row r="5182" spans="1:10" x14ac:dyDescent="0.35">
      <c r="A5182">
        <v>900055</v>
      </c>
      <c r="B5182" t="s">
        <v>468</v>
      </c>
      <c r="C5182" t="s">
        <v>92</v>
      </c>
      <c r="D5182" t="s">
        <v>827</v>
      </c>
      <c r="E5182" t="s">
        <v>151</v>
      </c>
      <c r="F5182" t="s">
        <v>244</v>
      </c>
      <c r="G5182" s="39">
        <v>44477</v>
      </c>
      <c r="J5182" t="s">
        <v>90</v>
      </c>
    </row>
    <row r="5183" spans="1:10" x14ac:dyDescent="0.35">
      <c r="A5183">
        <v>540039</v>
      </c>
      <c r="B5183" t="s">
        <v>468</v>
      </c>
      <c r="C5183" t="s">
        <v>92</v>
      </c>
      <c r="D5183" t="s">
        <v>827</v>
      </c>
      <c r="E5183" t="s">
        <v>109</v>
      </c>
      <c r="F5183" t="s">
        <v>244</v>
      </c>
      <c r="G5183" s="39">
        <v>44410</v>
      </c>
      <c r="J5183" t="s">
        <v>90</v>
      </c>
    </row>
    <row r="5184" spans="1:10" x14ac:dyDescent="0.35">
      <c r="A5184">
        <v>16341</v>
      </c>
      <c r="B5184" t="s">
        <v>468</v>
      </c>
      <c r="C5184" t="s">
        <v>92</v>
      </c>
      <c r="D5184" t="s">
        <v>827</v>
      </c>
      <c r="E5184" t="s">
        <v>103</v>
      </c>
      <c r="F5184" t="s">
        <v>244</v>
      </c>
      <c r="G5184" s="39">
        <v>45356</v>
      </c>
      <c r="J5184" t="s">
        <v>90</v>
      </c>
    </row>
    <row r="5185" spans="1:10" x14ac:dyDescent="0.35">
      <c r="A5185">
        <v>15568</v>
      </c>
      <c r="B5185" t="s">
        <v>468</v>
      </c>
      <c r="C5185" t="s">
        <v>92</v>
      </c>
      <c r="D5185" t="s">
        <v>827</v>
      </c>
      <c r="E5185" t="s">
        <v>103</v>
      </c>
      <c r="F5185" t="s">
        <v>244</v>
      </c>
      <c r="G5185" s="39">
        <v>45127</v>
      </c>
      <c r="J5185" t="s">
        <v>90</v>
      </c>
    </row>
    <row r="5186" spans="1:10" x14ac:dyDescent="0.35">
      <c r="A5186">
        <v>16333</v>
      </c>
      <c r="B5186" t="s">
        <v>468</v>
      </c>
      <c r="C5186" t="s">
        <v>92</v>
      </c>
      <c r="D5186" t="s">
        <v>827</v>
      </c>
      <c r="E5186" t="s">
        <v>103</v>
      </c>
      <c r="F5186" t="s">
        <v>244</v>
      </c>
      <c r="G5186" s="39">
        <v>45356</v>
      </c>
      <c r="J5186" t="s">
        <v>90</v>
      </c>
    </row>
    <row r="5187" spans="1:10" x14ac:dyDescent="0.35">
      <c r="A5187">
        <v>16642</v>
      </c>
      <c r="B5187" t="s">
        <v>468</v>
      </c>
      <c r="C5187" t="s">
        <v>92</v>
      </c>
      <c r="D5187" t="s">
        <v>791</v>
      </c>
      <c r="E5187" t="s">
        <v>122</v>
      </c>
      <c r="F5187" t="s">
        <v>244</v>
      </c>
      <c r="G5187" s="39">
        <v>45509</v>
      </c>
      <c r="J5187" t="s">
        <v>90</v>
      </c>
    </row>
    <row r="5188" spans="1:10" x14ac:dyDescent="0.35">
      <c r="A5188">
        <v>900001</v>
      </c>
      <c r="B5188" t="s">
        <v>467</v>
      </c>
      <c r="C5188" t="s">
        <v>92</v>
      </c>
      <c r="D5188" t="s">
        <v>92</v>
      </c>
      <c r="E5188" t="s">
        <v>464</v>
      </c>
      <c r="F5188" t="s">
        <v>244</v>
      </c>
      <c r="G5188" s="39">
        <v>41554</v>
      </c>
      <c r="J5188" t="s">
        <v>90</v>
      </c>
    </row>
    <row r="5189" spans="1:10" x14ac:dyDescent="0.35">
      <c r="A5189">
        <v>190041</v>
      </c>
      <c r="B5189" t="s">
        <v>467</v>
      </c>
      <c r="C5189" t="s">
        <v>92</v>
      </c>
      <c r="D5189" t="s">
        <v>780</v>
      </c>
      <c r="E5189" t="s">
        <v>151</v>
      </c>
      <c r="F5189" t="s">
        <v>244</v>
      </c>
      <c r="G5189" s="39">
        <v>42760</v>
      </c>
      <c r="J5189" t="s">
        <v>90</v>
      </c>
    </row>
    <row r="5190" spans="1:10" x14ac:dyDescent="0.35">
      <c r="A5190">
        <v>900035</v>
      </c>
      <c r="B5190" t="s">
        <v>467</v>
      </c>
      <c r="C5190" t="s">
        <v>92</v>
      </c>
      <c r="D5190" t="s">
        <v>780</v>
      </c>
      <c r="E5190" t="s">
        <v>506</v>
      </c>
      <c r="F5190" t="s">
        <v>244</v>
      </c>
      <c r="G5190" s="39">
        <v>41821</v>
      </c>
      <c r="J5190" t="s">
        <v>90</v>
      </c>
    </row>
    <row r="5191" spans="1:10" x14ac:dyDescent="0.35">
      <c r="A5191">
        <v>142002</v>
      </c>
      <c r="B5191" t="s">
        <v>467</v>
      </c>
      <c r="C5191" t="s">
        <v>92</v>
      </c>
      <c r="D5191" t="s">
        <v>780</v>
      </c>
      <c r="E5191" t="s">
        <v>506</v>
      </c>
      <c r="F5191" t="s">
        <v>244</v>
      </c>
      <c r="G5191" s="39">
        <v>44554</v>
      </c>
      <c r="J5191" t="s">
        <v>90</v>
      </c>
    </row>
    <row r="5192" spans="1:10" x14ac:dyDescent="0.35">
      <c r="A5192">
        <v>14659</v>
      </c>
      <c r="B5192" t="s">
        <v>467</v>
      </c>
      <c r="C5192" t="s">
        <v>92</v>
      </c>
      <c r="D5192" t="s">
        <v>780</v>
      </c>
      <c r="E5192" t="s">
        <v>496</v>
      </c>
      <c r="F5192" t="s">
        <v>244</v>
      </c>
      <c r="G5192" s="39">
        <v>44816</v>
      </c>
      <c r="J5192" t="s">
        <v>90</v>
      </c>
    </row>
    <row r="5193" spans="1:10" x14ac:dyDescent="0.35">
      <c r="A5193">
        <v>17951</v>
      </c>
      <c r="B5193" t="s">
        <v>467</v>
      </c>
      <c r="C5193" t="s">
        <v>92</v>
      </c>
      <c r="D5193" t="s">
        <v>780</v>
      </c>
      <c r="E5193" t="s">
        <v>496</v>
      </c>
      <c r="F5193" t="s">
        <v>244</v>
      </c>
      <c r="G5193" s="39">
        <v>45936</v>
      </c>
      <c r="J5193" t="s">
        <v>90</v>
      </c>
    </row>
    <row r="5194" spans="1:10" x14ac:dyDescent="0.35">
      <c r="A5194">
        <v>15756</v>
      </c>
      <c r="B5194" t="s">
        <v>467</v>
      </c>
      <c r="C5194" t="s">
        <v>92</v>
      </c>
      <c r="D5194" t="s">
        <v>780</v>
      </c>
      <c r="E5194" t="s">
        <v>487</v>
      </c>
      <c r="F5194" t="s">
        <v>244</v>
      </c>
      <c r="G5194" s="39">
        <v>45183</v>
      </c>
      <c r="J5194" t="s">
        <v>90</v>
      </c>
    </row>
    <row r="5195" spans="1:10" x14ac:dyDescent="0.35">
      <c r="A5195">
        <v>300026</v>
      </c>
      <c r="B5195" t="s">
        <v>467</v>
      </c>
      <c r="C5195" t="s">
        <v>92</v>
      </c>
      <c r="D5195" t="s">
        <v>780</v>
      </c>
      <c r="E5195" t="s">
        <v>406</v>
      </c>
      <c r="F5195" t="s">
        <v>244</v>
      </c>
      <c r="G5195" s="39">
        <v>41456</v>
      </c>
      <c r="J5195" t="s">
        <v>90</v>
      </c>
    </row>
    <row r="5196" spans="1:10" x14ac:dyDescent="0.35">
      <c r="A5196">
        <v>720046</v>
      </c>
      <c r="B5196" t="s">
        <v>467</v>
      </c>
      <c r="C5196" t="s">
        <v>92</v>
      </c>
      <c r="D5196" t="s">
        <v>780</v>
      </c>
      <c r="E5196" t="s">
        <v>406</v>
      </c>
      <c r="F5196" t="s">
        <v>244</v>
      </c>
      <c r="G5196" s="39">
        <v>43782</v>
      </c>
      <c r="J5196" t="s">
        <v>90</v>
      </c>
    </row>
    <row r="5197" spans="1:10" x14ac:dyDescent="0.35">
      <c r="A5197">
        <v>880046</v>
      </c>
      <c r="B5197" t="s">
        <v>467</v>
      </c>
      <c r="C5197" t="s">
        <v>92</v>
      </c>
      <c r="D5197" t="s">
        <v>780</v>
      </c>
      <c r="E5197" t="s">
        <v>406</v>
      </c>
      <c r="F5197" t="s">
        <v>244</v>
      </c>
      <c r="G5197" s="39">
        <v>43760</v>
      </c>
      <c r="J5197" t="s">
        <v>90</v>
      </c>
    </row>
    <row r="5198" spans="1:10" x14ac:dyDescent="0.35">
      <c r="A5198">
        <v>400043</v>
      </c>
      <c r="B5198" t="s">
        <v>467</v>
      </c>
      <c r="C5198" t="s">
        <v>92</v>
      </c>
      <c r="D5198" t="s">
        <v>780</v>
      </c>
      <c r="E5198" t="s">
        <v>477</v>
      </c>
      <c r="F5198" t="s">
        <v>244</v>
      </c>
      <c r="G5198" s="39">
        <v>42726</v>
      </c>
      <c r="J5198" t="s">
        <v>90</v>
      </c>
    </row>
    <row r="5199" spans="1:10" x14ac:dyDescent="0.35">
      <c r="A5199">
        <v>130051</v>
      </c>
      <c r="B5199" t="s">
        <v>467</v>
      </c>
      <c r="C5199" t="s">
        <v>92</v>
      </c>
      <c r="D5199" t="s">
        <v>780</v>
      </c>
      <c r="E5199" t="s">
        <v>477</v>
      </c>
      <c r="F5199" t="s">
        <v>411</v>
      </c>
      <c r="G5199" s="39">
        <v>43390</v>
      </c>
      <c r="J5199" t="s">
        <v>90</v>
      </c>
    </row>
    <row r="5200" spans="1:10" x14ac:dyDescent="0.35">
      <c r="A5200">
        <v>17911</v>
      </c>
      <c r="B5200" t="s">
        <v>467</v>
      </c>
      <c r="C5200" t="s">
        <v>92</v>
      </c>
      <c r="D5200" t="s">
        <v>780</v>
      </c>
      <c r="E5200" t="s">
        <v>832</v>
      </c>
      <c r="F5200" t="s">
        <v>244</v>
      </c>
      <c r="G5200" s="39">
        <v>45912</v>
      </c>
      <c r="J5200" t="s">
        <v>90</v>
      </c>
    </row>
    <row r="5201" spans="1:10" x14ac:dyDescent="0.35">
      <c r="A5201">
        <v>16052</v>
      </c>
      <c r="B5201" t="s">
        <v>467</v>
      </c>
      <c r="C5201" t="s">
        <v>92</v>
      </c>
      <c r="D5201" t="s">
        <v>780</v>
      </c>
      <c r="E5201" t="s">
        <v>406</v>
      </c>
      <c r="F5201" t="s">
        <v>244</v>
      </c>
      <c r="G5201" s="39">
        <v>45278</v>
      </c>
      <c r="J5201" t="s">
        <v>90</v>
      </c>
    </row>
    <row r="5202" spans="1:10" x14ac:dyDescent="0.35">
      <c r="A5202">
        <v>460026</v>
      </c>
      <c r="B5202" t="s">
        <v>467</v>
      </c>
      <c r="C5202" t="s">
        <v>92</v>
      </c>
      <c r="D5202" t="s">
        <v>780</v>
      </c>
      <c r="E5202" t="s">
        <v>406</v>
      </c>
      <c r="F5202" t="s">
        <v>244</v>
      </c>
      <c r="G5202" s="39">
        <v>42810</v>
      </c>
      <c r="J5202" t="s">
        <v>90</v>
      </c>
    </row>
    <row r="5203" spans="1:10" x14ac:dyDescent="0.35">
      <c r="A5203">
        <v>400059</v>
      </c>
      <c r="B5203" t="s">
        <v>467</v>
      </c>
      <c r="C5203" t="s">
        <v>92</v>
      </c>
      <c r="D5203" t="s">
        <v>780</v>
      </c>
      <c r="E5203" t="s">
        <v>477</v>
      </c>
      <c r="F5203" t="s">
        <v>244</v>
      </c>
      <c r="G5203" s="39">
        <v>44608</v>
      </c>
      <c r="J5203" t="s">
        <v>90</v>
      </c>
    </row>
    <row r="5204" spans="1:10" x14ac:dyDescent="0.35">
      <c r="A5204">
        <v>140030</v>
      </c>
      <c r="B5204" t="s">
        <v>467</v>
      </c>
      <c r="C5204" t="s">
        <v>92</v>
      </c>
      <c r="D5204" t="s">
        <v>780</v>
      </c>
      <c r="E5204" t="s">
        <v>477</v>
      </c>
      <c r="F5204" t="s">
        <v>244</v>
      </c>
      <c r="G5204" s="39">
        <v>42670</v>
      </c>
      <c r="J5204" t="s">
        <v>90</v>
      </c>
    </row>
    <row r="5205" spans="1:10" x14ac:dyDescent="0.35">
      <c r="A5205">
        <v>150040</v>
      </c>
      <c r="B5205" t="s">
        <v>467</v>
      </c>
      <c r="C5205" t="s">
        <v>92</v>
      </c>
      <c r="D5205" t="s">
        <v>780</v>
      </c>
      <c r="E5205" t="s">
        <v>477</v>
      </c>
      <c r="F5205" t="s">
        <v>244</v>
      </c>
      <c r="G5205" s="39">
        <v>44159</v>
      </c>
      <c r="J5205" t="s">
        <v>90</v>
      </c>
    </row>
    <row r="5206" spans="1:10" x14ac:dyDescent="0.35">
      <c r="A5206">
        <v>16635</v>
      </c>
      <c r="B5206" t="s">
        <v>467</v>
      </c>
      <c r="C5206" t="s">
        <v>92</v>
      </c>
      <c r="D5206" t="s">
        <v>780</v>
      </c>
      <c r="E5206" t="s">
        <v>477</v>
      </c>
      <c r="F5206" t="s">
        <v>244</v>
      </c>
      <c r="G5206" s="39">
        <v>45506</v>
      </c>
      <c r="J5206" t="s">
        <v>90</v>
      </c>
    </row>
    <row r="5207" spans="1:10" x14ac:dyDescent="0.35">
      <c r="A5207">
        <v>14245</v>
      </c>
      <c r="B5207" t="s">
        <v>467</v>
      </c>
      <c r="C5207" t="s">
        <v>92</v>
      </c>
      <c r="D5207" t="s">
        <v>780</v>
      </c>
      <c r="E5207" t="s">
        <v>477</v>
      </c>
      <c r="F5207" t="s">
        <v>244</v>
      </c>
      <c r="G5207" s="39">
        <v>44704</v>
      </c>
      <c r="J5207" t="s">
        <v>90</v>
      </c>
    </row>
    <row r="5208" spans="1:10" x14ac:dyDescent="0.35">
      <c r="A5208">
        <v>220032</v>
      </c>
      <c r="B5208" t="s">
        <v>467</v>
      </c>
      <c r="C5208" t="s">
        <v>92</v>
      </c>
      <c r="D5208" t="s">
        <v>780</v>
      </c>
      <c r="E5208" t="s">
        <v>477</v>
      </c>
      <c r="F5208" t="s">
        <v>244</v>
      </c>
      <c r="G5208" s="39">
        <v>44483</v>
      </c>
      <c r="J5208" t="s">
        <v>90</v>
      </c>
    </row>
    <row r="5209" spans="1:10" x14ac:dyDescent="0.35">
      <c r="A5209">
        <v>16991</v>
      </c>
      <c r="B5209" t="s">
        <v>467</v>
      </c>
      <c r="C5209" t="s">
        <v>92</v>
      </c>
      <c r="D5209" t="s">
        <v>780</v>
      </c>
      <c r="E5209" t="s">
        <v>473</v>
      </c>
      <c r="F5209" t="s">
        <v>244</v>
      </c>
      <c r="G5209" s="39">
        <v>45587</v>
      </c>
      <c r="J5209" t="s">
        <v>90</v>
      </c>
    </row>
    <row r="5210" spans="1:10" x14ac:dyDescent="0.35">
      <c r="A5210">
        <v>16835</v>
      </c>
      <c r="B5210" t="s">
        <v>467</v>
      </c>
      <c r="C5210" t="s">
        <v>92</v>
      </c>
      <c r="D5210" t="s">
        <v>780</v>
      </c>
      <c r="E5210" t="s">
        <v>473</v>
      </c>
      <c r="F5210" t="s">
        <v>244</v>
      </c>
      <c r="G5210" s="39">
        <v>45568</v>
      </c>
      <c r="J5210" t="s">
        <v>90</v>
      </c>
    </row>
    <row r="5211" spans="1:10" x14ac:dyDescent="0.35">
      <c r="A5211">
        <v>400013</v>
      </c>
      <c r="B5211" t="s">
        <v>467</v>
      </c>
      <c r="C5211" t="s">
        <v>92</v>
      </c>
      <c r="D5211" t="s">
        <v>791</v>
      </c>
      <c r="E5211" t="s">
        <v>122</v>
      </c>
      <c r="F5211" t="s">
        <v>244</v>
      </c>
      <c r="G5211" s="39">
        <v>41214</v>
      </c>
      <c r="J5211" t="s">
        <v>90</v>
      </c>
    </row>
    <row r="5212" spans="1:10" x14ac:dyDescent="0.35">
      <c r="A5212">
        <v>140029</v>
      </c>
      <c r="B5212" t="s">
        <v>871</v>
      </c>
      <c r="C5212" t="s">
        <v>92</v>
      </c>
      <c r="D5212" t="s">
        <v>92</v>
      </c>
      <c r="E5212" t="s">
        <v>464</v>
      </c>
      <c r="F5212" t="s">
        <v>244</v>
      </c>
      <c r="G5212" s="39">
        <v>42324</v>
      </c>
      <c r="J5212" t="s">
        <v>90</v>
      </c>
    </row>
    <row r="5213" spans="1:10" x14ac:dyDescent="0.35">
      <c r="A5213">
        <v>980024</v>
      </c>
      <c r="B5213" t="s">
        <v>871</v>
      </c>
      <c r="C5213" t="s">
        <v>92</v>
      </c>
      <c r="D5213" t="s">
        <v>780</v>
      </c>
      <c r="E5213" t="s">
        <v>548</v>
      </c>
      <c r="F5213" t="s">
        <v>411</v>
      </c>
      <c r="G5213" s="39">
        <v>43696</v>
      </c>
      <c r="J5213" t="s">
        <v>90</v>
      </c>
    </row>
    <row r="5214" spans="1:10" x14ac:dyDescent="0.35">
      <c r="A5214">
        <v>17812</v>
      </c>
      <c r="B5214" t="s">
        <v>871</v>
      </c>
      <c r="C5214" t="s">
        <v>92</v>
      </c>
      <c r="D5214" t="s">
        <v>780</v>
      </c>
      <c r="E5214" t="s">
        <v>821</v>
      </c>
      <c r="F5214" t="s">
        <v>244</v>
      </c>
      <c r="G5214" s="39">
        <v>45882</v>
      </c>
      <c r="J5214" t="s">
        <v>90</v>
      </c>
    </row>
    <row r="5215" spans="1:10" x14ac:dyDescent="0.35">
      <c r="A5215">
        <v>710013</v>
      </c>
      <c r="B5215" t="s">
        <v>871</v>
      </c>
      <c r="C5215" t="s">
        <v>92</v>
      </c>
      <c r="D5215" t="s">
        <v>780</v>
      </c>
      <c r="E5215" t="s">
        <v>506</v>
      </c>
      <c r="F5215" t="s">
        <v>244</v>
      </c>
      <c r="G5215" s="39">
        <v>40042</v>
      </c>
      <c r="J5215" t="s">
        <v>90</v>
      </c>
    </row>
    <row r="5216" spans="1:10" x14ac:dyDescent="0.35">
      <c r="A5216">
        <v>800011</v>
      </c>
      <c r="B5216" t="s">
        <v>871</v>
      </c>
      <c r="C5216" t="s">
        <v>92</v>
      </c>
      <c r="D5216" t="s">
        <v>780</v>
      </c>
      <c r="E5216" t="s">
        <v>506</v>
      </c>
      <c r="F5216" t="s">
        <v>244</v>
      </c>
      <c r="G5216" s="39">
        <v>38918</v>
      </c>
      <c r="J5216" t="s">
        <v>90</v>
      </c>
    </row>
    <row r="5217" spans="1:10" x14ac:dyDescent="0.35">
      <c r="A5217">
        <v>17492</v>
      </c>
      <c r="B5217" t="s">
        <v>871</v>
      </c>
      <c r="C5217" t="s">
        <v>92</v>
      </c>
      <c r="D5217" t="s">
        <v>780</v>
      </c>
      <c r="E5217" t="s">
        <v>496</v>
      </c>
      <c r="F5217" t="s">
        <v>244</v>
      </c>
      <c r="G5217" s="39">
        <v>45769</v>
      </c>
      <c r="J5217" t="s">
        <v>90</v>
      </c>
    </row>
    <row r="5218" spans="1:10" x14ac:dyDescent="0.35">
      <c r="A5218">
        <v>110008</v>
      </c>
      <c r="B5218" t="s">
        <v>871</v>
      </c>
      <c r="C5218" t="s">
        <v>92</v>
      </c>
      <c r="D5218" t="s">
        <v>780</v>
      </c>
      <c r="E5218" t="s">
        <v>406</v>
      </c>
      <c r="F5218" t="s">
        <v>244</v>
      </c>
      <c r="G5218" s="39">
        <v>39231</v>
      </c>
      <c r="J5218" t="s">
        <v>90</v>
      </c>
    </row>
    <row r="5219" spans="1:10" x14ac:dyDescent="0.35">
      <c r="A5219">
        <v>20015</v>
      </c>
      <c r="B5219" t="s">
        <v>871</v>
      </c>
      <c r="C5219" t="s">
        <v>92</v>
      </c>
      <c r="D5219" t="s">
        <v>780</v>
      </c>
      <c r="E5219" t="s">
        <v>406</v>
      </c>
      <c r="F5219" t="s">
        <v>244</v>
      </c>
      <c r="G5219" s="39">
        <v>39036</v>
      </c>
      <c r="J5219" t="s">
        <v>90</v>
      </c>
    </row>
    <row r="5220" spans="1:10" x14ac:dyDescent="0.35">
      <c r="A5220">
        <v>14081</v>
      </c>
      <c r="B5220" t="s">
        <v>871</v>
      </c>
      <c r="C5220" t="s">
        <v>92</v>
      </c>
      <c r="D5220" t="s">
        <v>780</v>
      </c>
      <c r="E5220" t="s">
        <v>477</v>
      </c>
      <c r="F5220" t="s">
        <v>244</v>
      </c>
      <c r="G5220" s="39">
        <v>44656</v>
      </c>
      <c r="J5220" t="s">
        <v>90</v>
      </c>
    </row>
    <row r="5221" spans="1:10" x14ac:dyDescent="0.35">
      <c r="A5221">
        <v>14979</v>
      </c>
      <c r="B5221" t="s">
        <v>871</v>
      </c>
      <c r="C5221" t="s">
        <v>92</v>
      </c>
      <c r="D5221" t="s">
        <v>780</v>
      </c>
      <c r="E5221" t="s">
        <v>477</v>
      </c>
      <c r="F5221" t="s">
        <v>411</v>
      </c>
      <c r="G5221" s="39">
        <v>44907</v>
      </c>
      <c r="J5221" t="s">
        <v>90</v>
      </c>
    </row>
    <row r="5222" spans="1:10" x14ac:dyDescent="0.35">
      <c r="A5222">
        <v>17836</v>
      </c>
      <c r="B5222" t="s">
        <v>871</v>
      </c>
      <c r="C5222" t="s">
        <v>92</v>
      </c>
      <c r="D5222" t="s">
        <v>780</v>
      </c>
      <c r="E5222" t="s">
        <v>832</v>
      </c>
      <c r="F5222" t="s">
        <v>244</v>
      </c>
      <c r="G5222" s="39">
        <v>45889</v>
      </c>
      <c r="J5222" t="s">
        <v>90</v>
      </c>
    </row>
    <row r="5223" spans="1:10" x14ac:dyDescent="0.35">
      <c r="A5223">
        <v>17846</v>
      </c>
      <c r="B5223" t="s">
        <v>871</v>
      </c>
      <c r="C5223" t="s">
        <v>92</v>
      </c>
      <c r="D5223" t="s">
        <v>780</v>
      </c>
      <c r="E5223" t="s">
        <v>477</v>
      </c>
      <c r="F5223" t="s">
        <v>244</v>
      </c>
      <c r="G5223" s="39">
        <v>45890</v>
      </c>
      <c r="J5223" t="s">
        <v>90</v>
      </c>
    </row>
    <row r="5224" spans="1:10" x14ac:dyDescent="0.35">
      <c r="A5224">
        <v>17113</v>
      </c>
      <c r="B5224" t="s">
        <v>871</v>
      </c>
      <c r="C5224" t="s">
        <v>92</v>
      </c>
      <c r="D5224" t="s">
        <v>780</v>
      </c>
      <c r="E5224" t="s">
        <v>473</v>
      </c>
      <c r="F5224" t="s">
        <v>244</v>
      </c>
      <c r="G5224" s="39">
        <v>45635</v>
      </c>
      <c r="J5224" t="s">
        <v>90</v>
      </c>
    </row>
    <row r="5225" spans="1:10" x14ac:dyDescent="0.35">
      <c r="A5225">
        <v>17784</v>
      </c>
      <c r="B5225" t="s">
        <v>871</v>
      </c>
      <c r="C5225" t="s">
        <v>92</v>
      </c>
      <c r="D5225" t="s">
        <v>780</v>
      </c>
      <c r="E5225" t="s">
        <v>473</v>
      </c>
      <c r="F5225" t="s">
        <v>244</v>
      </c>
      <c r="G5225" s="39">
        <v>45877</v>
      </c>
      <c r="J5225" t="s">
        <v>90</v>
      </c>
    </row>
    <row r="5226" spans="1:10" x14ac:dyDescent="0.35">
      <c r="A5226">
        <v>140037</v>
      </c>
      <c r="B5226" t="s">
        <v>871</v>
      </c>
      <c r="C5226" t="s">
        <v>92</v>
      </c>
      <c r="D5226" t="s">
        <v>780</v>
      </c>
      <c r="E5226" t="s">
        <v>473</v>
      </c>
      <c r="F5226" t="s">
        <v>244</v>
      </c>
      <c r="G5226" s="39">
        <v>43087</v>
      </c>
      <c r="J5226" t="s">
        <v>90</v>
      </c>
    </row>
    <row r="5227" spans="1:10" x14ac:dyDescent="0.35">
      <c r="A5227">
        <v>15981</v>
      </c>
      <c r="B5227" t="s">
        <v>871</v>
      </c>
      <c r="C5227" t="s">
        <v>92</v>
      </c>
      <c r="D5227" t="s">
        <v>780</v>
      </c>
      <c r="E5227" t="s">
        <v>487</v>
      </c>
      <c r="F5227" t="s">
        <v>244</v>
      </c>
      <c r="G5227" s="39">
        <v>45254</v>
      </c>
      <c r="J5227" t="s">
        <v>90</v>
      </c>
    </row>
    <row r="5228" spans="1:10" x14ac:dyDescent="0.35">
      <c r="A5228">
        <v>15070</v>
      </c>
      <c r="B5228" t="s">
        <v>871</v>
      </c>
      <c r="C5228" t="s">
        <v>92</v>
      </c>
      <c r="D5228" t="s">
        <v>791</v>
      </c>
      <c r="E5228" t="s">
        <v>122</v>
      </c>
      <c r="F5228" t="s">
        <v>244</v>
      </c>
      <c r="G5228" s="39">
        <v>44937</v>
      </c>
      <c r="J5228" t="s">
        <v>90</v>
      </c>
    </row>
    <row r="5229" spans="1:10" x14ac:dyDescent="0.35">
      <c r="A5229">
        <v>570042</v>
      </c>
      <c r="B5229" t="s">
        <v>92</v>
      </c>
      <c r="C5229" t="s">
        <v>872</v>
      </c>
      <c r="D5229" t="s">
        <v>780</v>
      </c>
      <c r="E5229" t="s">
        <v>548</v>
      </c>
      <c r="F5229" t="s">
        <v>244</v>
      </c>
      <c r="G5229" s="39">
        <v>43839</v>
      </c>
      <c r="J5229" t="s">
        <v>90</v>
      </c>
    </row>
    <row r="5230" spans="1:10" x14ac:dyDescent="0.35">
      <c r="A5230">
        <v>14173</v>
      </c>
      <c r="B5230" t="s">
        <v>92</v>
      </c>
      <c r="C5230" t="s">
        <v>872</v>
      </c>
      <c r="D5230" t="s">
        <v>780</v>
      </c>
      <c r="E5230" t="s">
        <v>782</v>
      </c>
      <c r="F5230" t="s">
        <v>244</v>
      </c>
      <c r="G5230" s="39">
        <v>44687</v>
      </c>
      <c r="J5230" t="s">
        <v>90</v>
      </c>
    </row>
    <row r="5231" spans="1:10" x14ac:dyDescent="0.35">
      <c r="A5231">
        <v>17290</v>
      </c>
      <c r="B5231" t="s">
        <v>92</v>
      </c>
      <c r="C5231" t="s">
        <v>872</v>
      </c>
      <c r="D5231" t="s">
        <v>780</v>
      </c>
      <c r="E5231" t="s">
        <v>496</v>
      </c>
      <c r="F5231" t="s">
        <v>244</v>
      </c>
      <c r="G5231" s="39">
        <v>45693</v>
      </c>
      <c r="J5231" t="s">
        <v>90</v>
      </c>
    </row>
    <row r="5232" spans="1:10" x14ac:dyDescent="0.35">
      <c r="A5232">
        <v>11121</v>
      </c>
      <c r="B5232" t="s">
        <v>92</v>
      </c>
      <c r="C5232" t="s">
        <v>873</v>
      </c>
      <c r="D5232" t="s">
        <v>92</v>
      </c>
      <c r="E5232" t="s">
        <v>464</v>
      </c>
      <c r="F5232" t="s">
        <v>244</v>
      </c>
      <c r="G5232" s="39">
        <v>42290</v>
      </c>
      <c r="J5232" t="s">
        <v>90</v>
      </c>
    </row>
    <row r="5233" spans="1:10" x14ac:dyDescent="0.35">
      <c r="A5233">
        <v>750033</v>
      </c>
      <c r="B5233" t="s">
        <v>92</v>
      </c>
      <c r="C5233" t="s">
        <v>873</v>
      </c>
      <c r="D5233" t="s">
        <v>780</v>
      </c>
      <c r="E5233" t="s">
        <v>548</v>
      </c>
      <c r="F5233" t="s">
        <v>244</v>
      </c>
      <c r="G5233" s="39">
        <v>43815</v>
      </c>
      <c r="J5233" t="s">
        <v>90</v>
      </c>
    </row>
    <row r="5234" spans="1:10" x14ac:dyDescent="0.35">
      <c r="A5234">
        <v>750010</v>
      </c>
      <c r="B5234" t="s">
        <v>92</v>
      </c>
      <c r="C5234" t="s">
        <v>873</v>
      </c>
      <c r="D5234" t="s">
        <v>780</v>
      </c>
      <c r="E5234" t="s">
        <v>799</v>
      </c>
      <c r="F5234" t="s">
        <v>244</v>
      </c>
      <c r="G5234" s="39">
        <v>37683</v>
      </c>
      <c r="J5234" t="s">
        <v>90</v>
      </c>
    </row>
    <row r="5235" spans="1:10" x14ac:dyDescent="0.35">
      <c r="A5235">
        <v>750035</v>
      </c>
      <c r="B5235" t="s">
        <v>92</v>
      </c>
      <c r="C5235" t="s">
        <v>873</v>
      </c>
      <c r="D5235" t="s">
        <v>780</v>
      </c>
      <c r="E5235" t="s">
        <v>782</v>
      </c>
      <c r="F5235" t="s">
        <v>244</v>
      </c>
      <c r="G5235" s="39">
        <v>43844</v>
      </c>
      <c r="J5235" t="s">
        <v>90</v>
      </c>
    </row>
    <row r="5236" spans="1:10" x14ac:dyDescent="0.35">
      <c r="A5236">
        <v>17767</v>
      </c>
      <c r="B5236" t="s">
        <v>92</v>
      </c>
      <c r="C5236" t="s">
        <v>873</v>
      </c>
      <c r="D5236" t="s">
        <v>780</v>
      </c>
      <c r="E5236" t="s">
        <v>496</v>
      </c>
      <c r="F5236" t="s">
        <v>244</v>
      </c>
      <c r="G5236" s="39">
        <v>45873</v>
      </c>
      <c r="J5236" t="s">
        <v>90</v>
      </c>
    </row>
    <row r="5237" spans="1:10" x14ac:dyDescent="0.35">
      <c r="A5237">
        <v>630015</v>
      </c>
      <c r="B5237" t="s">
        <v>92</v>
      </c>
      <c r="C5237" t="s">
        <v>874</v>
      </c>
      <c r="D5237" t="s">
        <v>92</v>
      </c>
      <c r="E5237" t="s">
        <v>464</v>
      </c>
      <c r="F5237" t="s">
        <v>244</v>
      </c>
      <c r="G5237" s="39">
        <v>42115</v>
      </c>
      <c r="J5237" t="s">
        <v>90</v>
      </c>
    </row>
    <row r="5238" spans="1:10" x14ac:dyDescent="0.35">
      <c r="A5238">
        <v>17044</v>
      </c>
      <c r="B5238" t="s">
        <v>92</v>
      </c>
      <c r="C5238" t="s">
        <v>874</v>
      </c>
      <c r="D5238" t="s">
        <v>780</v>
      </c>
      <c r="E5238" t="s">
        <v>496</v>
      </c>
      <c r="F5238" t="s">
        <v>244</v>
      </c>
      <c r="G5238" s="39">
        <v>45601</v>
      </c>
      <c r="J5238" t="s">
        <v>90</v>
      </c>
    </row>
    <row r="5239" spans="1:10" x14ac:dyDescent="0.35">
      <c r="A5239">
        <v>820015</v>
      </c>
      <c r="B5239" t="s">
        <v>92</v>
      </c>
      <c r="C5239" t="s">
        <v>875</v>
      </c>
      <c r="D5239" t="s">
        <v>92</v>
      </c>
      <c r="E5239" t="s">
        <v>464</v>
      </c>
      <c r="F5239" t="s">
        <v>244</v>
      </c>
      <c r="G5239" s="39">
        <v>42052</v>
      </c>
      <c r="J5239" t="s">
        <v>90</v>
      </c>
    </row>
    <row r="5240" spans="1:10" x14ac:dyDescent="0.35">
      <c r="A5240">
        <v>730038</v>
      </c>
      <c r="B5240" t="s">
        <v>92</v>
      </c>
      <c r="C5240" t="s">
        <v>875</v>
      </c>
      <c r="D5240" t="s">
        <v>780</v>
      </c>
      <c r="E5240" t="s">
        <v>548</v>
      </c>
      <c r="F5240" t="s">
        <v>244</v>
      </c>
      <c r="G5240" s="39">
        <v>43399</v>
      </c>
      <c r="J5240" t="s">
        <v>90</v>
      </c>
    </row>
    <row r="5241" spans="1:10" x14ac:dyDescent="0.35">
      <c r="A5241">
        <v>207004</v>
      </c>
      <c r="B5241" t="s">
        <v>92</v>
      </c>
      <c r="C5241" t="s">
        <v>875</v>
      </c>
      <c r="D5241" t="s">
        <v>780</v>
      </c>
      <c r="E5241" t="s">
        <v>799</v>
      </c>
      <c r="F5241" t="s">
        <v>244</v>
      </c>
      <c r="G5241" s="39">
        <v>44231</v>
      </c>
      <c r="J5241" t="s">
        <v>90</v>
      </c>
    </row>
    <row r="5242" spans="1:10" x14ac:dyDescent="0.35">
      <c r="A5242">
        <v>730057</v>
      </c>
      <c r="B5242" t="s">
        <v>92</v>
      </c>
      <c r="C5242" t="s">
        <v>875</v>
      </c>
      <c r="D5242" t="s">
        <v>780</v>
      </c>
      <c r="E5242" t="s">
        <v>782</v>
      </c>
      <c r="F5242" t="s">
        <v>244</v>
      </c>
      <c r="G5242" s="39">
        <v>44613</v>
      </c>
      <c r="J5242" t="s">
        <v>90</v>
      </c>
    </row>
    <row r="5243" spans="1:10" x14ac:dyDescent="0.35">
      <c r="A5243">
        <v>17348</v>
      </c>
      <c r="B5243" t="s">
        <v>92</v>
      </c>
      <c r="C5243" t="s">
        <v>875</v>
      </c>
      <c r="D5243" t="s">
        <v>780</v>
      </c>
      <c r="E5243" t="s">
        <v>496</v>
      </c>
      <c r="F5243" t="s">
        <v>244</v>
      </c>
      <c r="G5243" s="39">
        <v>45715</v>
      </c>
      <c r="J5243" t="s">
        <v>90</v>
      </c>
    </row>
    <row r="5244" spans="1:10" x14ac:dyDescent="0.35">
      <c r="A5244">
        <v>300069</v>
      </c>
      <c r="B5244" t="s">
        <v>92</v>
      </c>
      <c r="C5244" t="s">
        <v>876</v>
      </c>
      <c r="D5244" t="s">
        <v>92</v>
      </c>
      <c r="E5244" t="s">
        <v>464</v>
      </c>
      <c r="F5244" t="s">
        <v>244</v>
      </c>
      <c r="G5244" s="39">
        <v>42811</v>
      </c>
      <c r="J5244" t="s">
        <v>90</v>
      </c>
    </row>
    <row r="5245" spans="1:10" x14ac:dyDescent="0.35">
      <c r="A5245">
        <v>620026</v>
      </c>
      <c r="B5245" t="s">
        <v>92</v>
      </c>
      <c r="C5245" t="s">
        <v>876</v>
      </c>
      <c r="D5245" t="s">
        <v>780</v>
      </c>
      <c r="E5245" t="s">
        <v>548</v>
      </c>
      <c r="F5245" t="s">
        <v>244</v>
      </c>
      <c r="G5245" s="39">
        <v>42845</v>
      </c>
      <c r="J5245" t="s">
        <v>90</v>
      </c>
    </row>
    <row r="5246" spans="1:10" x14ac:dyDescent="0.35">
      <c r="A5246">
        <v>620030</v>
      </c>
      <c r="B5246" t="s">
        <v>92</v>
      </c>
      <c r="C5246" t="s">
        <v>876</v>
      </c>
      <c r="D5246" t="s">
        <v>780</v>
      </c>
      <c r="E5246" t="s">
        <v>548</v>
      </c>
      <c r="F5246" t="s">
        <v>244</v>
      </c>
      <c r="G5246" s="39">
        <v>43810</v>
      </c>
      <c r="J5246" t="s">
        <v>90</v>
      </c>
    </row>
    <row r="5247" spans="1:10" x14ac:dyDescent="0.35">
      <c r="A5247">
        <v>300186</v>
      </c>
      <c r="B5247" t="s">
        <v>92</v>
      </c>
      <c r="C5247" t="s">
        <v>876</v>
      </c>
      <c r="D5247" t="s">
        <v>780</v>
      </c>
      <c r="E5247" t="s">
        <v>548</v>
      </c>
      <c r="F5247" t="s">
        <v>244</v>
      </c>
      <c r="G5247" s="39">
        <v>43732</v>
      </c>
      <c r="J5247" t="s">
        <v>90</v>
      </c>
    </row>
    <row r="5248" spans="1:10" x14ac:dyDescent="0.35">
      <c r="A5248">
        <v>113017</v>
      </c>
      <c r="B5248" t="s">
        <v>92</v>
      </c>
      <c r="C5248" t="s">
        <v>877</v>
      </c>
      <c r="D5248" t="s">
        <v>92</v>
      </c>
      <c r="E5248" t="s">
        <v>464</v>
      </c>
      <c r="F5248" t="s">
        <v>244</v>
      </c>
      <c r="G5248" s="39">
        <v>40828</v>
      </c>
      <c r="J5248" t="s">
        <v>90</v>
      </c>
    </row>
    <row r="5249" spans="1:10" x14ac:dyDescent="0.35">
      <c r="A5249">
        <v>390026</v>
      </c>
      <c r="B5249" t="s">
        <v>92</v>
      </c>
      <c r="C5249" t="s">
        <v>877</v>
      </c>
      <c r="D5249" t="s">
        <v>780</v>
      </c>
      <c r="E5249" t="s">
        <v>548</v>
      </c>
      <c r="F5249" t="s">
        <v>244</v>
      </c>
      <c r="G5249" s="39">
        <v>43810</v>
      </c>
      <c r="J5249" t="s">
        <v>90</v>
      </c>
    </row>
    <row r="5250" spans="1:10" x14ac:dyDescent="0.35">
      <c r="A5250">
        <v>390037</v>
      </c>
      <c r="B5250" t="s">
        <v>92</v>
      </c>
      <c r="C5250" t="s">
        <v>877</v>
      </c>
      <c r="D5250" t="s">
        <v>780</v>
      </c>
      <c r="E5250" t="s">
        <v>548</v>
      </c>
      <c r="F5250" t="s">
        <v>244</v>
      </c>
      <c r="G5250" s="39">
        <v>43983</v>
      </c>
      <c r="J5250" t="s">
        <v>90</v>
      </c>
    </row>
    <row r="5251" spans="1:10" x14ac:dyDescent="0.35">
      <c r="A5251">
        <v>390032</v>
      </c>
      <c r="B5251" t="s">
        <v>92</v>
      </c>
      <c r="C5251" t="s">
        <v>877</v>
      </c>
      <c r="D5251" t="s">
        <v>780</v>
      </c>
      <c r="E5251" t="s">
        <v>548</v>
      </c>
      <c r="F5251" t="s">
        <v>244</v>
      </c>
      <c r="G5251" s="39">
        <v>43957</v>
      </c>
      <c r="J5251" t="s">
        <v>90</v>
      </c>
    </row>
    <row r="5252" spans="1:10" x14ac:dyDescent="0.35">
      <c r="A5252">
        <v>390035</v>
      </c>
      <c r="B5252" t="s">
        <v>92</v>
      </c>
      <c r="C5252" t="s">
        <v>877</v>
      </c>
      <c r="D5252" t="s">
        <v>780</v>
      </c>
      <c r="E5252" t="s">
        <v>548</v>
      </c>
      <c r="F5252" t="s">
        <v>244</v>
      </c>
      <c r="G5252" s="39">
        <v>43963</v>
      </c>
      <c r="J5252" t="s">
        <v>90</v>
      </c>
    </row>
    <row r="5253" spans="1:10" x14ac:dyDescent="0.35">
      <c r="A5253">
        <v>390033</v>
      </c>
      <c r="B5253" t="s">
        <v>92</v>
      </c>
      <c r="C5253" t="s">
        <v>877</v>
      </c>
      <c r="D5253" t="s">
        <v>780</v>
      </c>
      <c r="E5253" t="s">
        <v>548</v>
      </c>
      <c r="F5253" t="s">
        <v>244</v>
      </c>
      <c r="G5253" s="39">
        <v>43963</v>
      </c>
      <c r="J5253" t="s">
        <v>90</v>
      </c>
    </row>
    <row r="5254" spans="1:10" x14ac:dyDescent="0.35">
      <c r="A5254">
        <v>390039</v>
      </c>
      <c r="B5254" t="s">
        <v>92</v>
      </c>
      <c r="C5254" t="s">
        <v>877</v>
      </c>
      <c r="D5254" t="s">
        <v>780</v>
      </c>
      <c r="E5254" t="s">
        <v>548</v>
      </c>
      <c r="F5254" t="s">
        <v>244</v>
      </c>
      <c r="G5254" s="39">
        <v>43994</v>
      </c>
      <c r="J5254" t="s">
        <v>90</v>
      </c>
    </row>
    <row r="5255" spans="1:10" x14ac:dyDescent="0.35">
      <c r="A5255">
        <v>390030</v>
      </c>
      <c r="B5255" t="s">
        <v>92</v>
      </c>
      <c r="C5255" t="s">
        <v>877</v>
      </c>
      <c r="D5255" t="s">
        <v>780</v>
      </c>
      <c r="E5255" t="s">
        <v>548</v>
      </c>
      <c r="F5255" t="s">
        <v>244</v>
      </c>
      <c r="G5255" s="39">
        <v>43957</v>
      </c>
      <c r="J5255" t="s">
        <v>90</v>
      </c>
    </row>
    <row r="5256" spans="1:10" x14ac:dyDescent="0.35">
      <c r="A5256">
        <v>123004</v>
      </c>
      <c r="B5256" t="s">
        <v>92</v>
      </c>
      <c r="C5256" t="s">
        <v>877</v>
      </c>
      <c r="D5256" t="s">
        <v>780</v>
      </c>
      <c r="E5256" t="s">
        <v>548</v>
      </c>
      <c r="F5256" t="s">
        <v>244</v>
      </c>
      <c r="G5256" s="39">
        <v>43745</v>
      </c>
      <c r="J5256" t="s">
        <v>90</v>
      </c>
    </row>
    <row r="5257" spans="1:10" x14ac:dyDescent="0.35">
      <c r="A5257">
        <v>390031</v>
      </c>
      <c r="B5257" t="s">
        <v>92</v>
      </c>
      <c r="C5257" t="s">
        <v>877</v>
      </c>
      <c r="D5257" t="s">
        <v>780</v>
      </c>
      <c r="E5257" t="s">
        <v>799</v>
      </c>
      <c r="F5257" t="s">
        <v>244</v>
      </c>
      <c r="G5257" s="39">
        <v>43957</v>
      </c>
      <c r="J5257" t="s">
        <v>90</v>
      </c>
    </row>
    <row r="5258" spans="1:10" x14ac:dyDescent="0.35">
      <c r="A5258">
        <v>390038</v>
      </c>
      <c r="B5258" t="s">
        <v>92</v>
      </c>
      <c r="C5258" t="s">
        <v>877</v>
      </c>
      <c r="D5258" t="s">
        <v>780</v>
      </c>
      <c r="E5258" t="s">
        <v>799</v>
      </c>
      <c r="F5258" t="s">
        <v>244</v>
      </c>
      <c r="G5258" s="39">
        <v>43994</v>
      </c>
      <c r="J5258" t="s">
        <v>90</v>
      </c>
    </row>
    <row r="5259" spans="1:10" x14ac:dyDescent="0.35">
      <c r="A5259">
        <v>390034</v>
      </c>
      <c r="B5259" t="s">
        <v>92</v>
      </c>
      <c r="C5259" t="s">
        <v>877</v>
      </c>
      <c r="D5259" t="s">
        <v>780</v>
      </c>
      <c r="E5259" t="s">
        <v>799</v>
      </c>
      <c r="F5259" t="s">
        <v>244</v>
      </c>
      <c r="G5259" s="39">
        <v>43963</v>
      </c>
      <c r="J5259" t="s">
        <v>90</v>
      </c>
    </row>
    <row r="5260" spans="1:10" x14ac:dyDescent="0.35">
      <c r="A5260">
        <v>910007</v>
      </c>
      <c r="B5260" t="s">
        <v>92</v>
      </c>
      <c r="C5260" t="s">
        <v>877</v>
      </c>
      <c r="D5260" t="s">
        <v>780</v>
      </c>
      <c r="E5260" t="s">
        <v>799</v>
      </c>
      <c r="F5260" t="s">
        <v>244</v>
      </c>
      <c r="G5260" s="39">
        <v>44448</v>
      </c>
      <c r="J5260" t="s">
        <v>90</v>
      </c>
    </row>
    <row r="5261" spans="1:10" x14ac:dyDescent="0.35">
      <c r="A5261">
        <v>910008</v>
      </c>
      <c r="B5261" t="s">
        <v>92</v>
      </c>
      <c r="C5261" t="s">
        <v>877</v>
      </c>
      <c r="D5261" t="s">
        <v>780</v>
      </c>
      <c r="E5261" t="s">
        <v>799</v>
      </c>
      <c r="F5261" t="s">
        <v>244</v>
      </c>
      <c r="G5261" s="39">
        <v>44621</v>
      </c>
      <c r="J5261" t="s">
        <v>90</v>
      </c>
    </row>
    <row r="5262" spans="1:10" x14ac:dyDescent="0.35">
      <c r="A5262">
        <v>910009</v>
      </c>
      <c r="B5262" t="s">
        <v>92</v>
      </c>
      <c r="C5262" t="s">
        <v>877</v>
      </c>
      <c r="D5262" t="s">
        <v>780</v>
      </c>
      <c r="E5262" t="s">
        <v>799</v>
      </c>
      <c r="F5262" t="s">
        <v>244</v>
      </c>
      <c r="G5262" s="39">
        <v>44623</v>
      </c>
      <c r="J5262" t="s">
        <v>90</v>
      </c>
    </row>
    <row r="5263" spans="1:10" x14ac:dyDescent="0.35">
      <c r="A5263">
        <v>910010</v>
      </c>
      <c r="B5263" t="s">
        <v>92</v>
      </c>
      <c r="C5263" t="s">
        <v>877</v>
      </c>
      <c r="D5263" t="s">
        <v>780</v>
      </c>
      <c r="E5263" t="s">
        <v>782</v>
      </c>
      <c r="F5263" t="s">
        <v>244</v>
      </c>
      <c r="G5263" s="39">
        <v>44652</v>
      </c>
      <c r="J5263" t="s">
        <v>90</v>
      </c>
    </row>
    <row r="5264" spans="1:10" x14ac:dyDescent="0.35">
      <c r="A5264">
        <v>650007</v>
      </c>
      <c r="B5264" t="s">
        <v>92</v>
      </c>
      <c r="C5264" t="s">
        <v>878</v>
      </c>
      <c r="D5264" t="s">
        <v>92</v>
      </c>
      <c r="E5264" t="s">
        <v>464</v>
      </c>
      <c r="F5264" t="s">
        <v>244</v>
      </c>
      <c r="G5264" s="39">
        <v>40087</v>
      </c>
      <c r="J5264" t="s">
        <v>90</v>
      </c>
    </row>
    <row r="5265" spans="1:10" x14ac:dyDescent="0.35">
      <c r="A5265">
        <v>650025</v>
      </c>
      <c r="B5265" t="s">
        <v>92</v>
      </c>
      <c r="C5265" t="s">
        <v>878</v>
      </c>
      <c r="D5265" t="s">
        <v>780</v>
      </c>
      <c r="E5265" t="s">
        <v>548</v>
      </c>
      <c r="F5265" t="s">
        <v>244</v>
      </c>
      <c r="G5265" s="39">
        <v>42965</v>
      </c>
      <c r="J5265" t="s">
        <v>90</v>
      </c>
    </row>
    <row r="5266" spans="1:10" x14ac:dyDescent="0.35">
      <c r="A5266">
        <v>209002</v>
      </c>
      <c r="B5266" t="s">
        <v>92</v>
      </c>
      <c r="C5266" t="s">
        <v>878</v>
      </c>
      <c r="D5266" t="s">
        <v>780</v>
      </c>
      <c r="E5266" t="s">
        <v>548</v>
      </c>
      <c r="F5266" t="s">
        <v>244</v>
      </c>
      <c r="G5266" s="39">
        <v>43480</v>
      </c>
      <c r="J5266" t="s">
        <v>90</v>
      </c>
    </row>
    <row r="5267" spans="1:10" x14ac:dyDescent="0.35">
      <c r="A5267">
        <v>14705</v>
      </c>
      <c r="B5267" t="s">
        <v>92</v>
      </c>
      <c r="C5267" t="s">
        <v>878</v>
      </c>
      <c r="D5267" t="s">
        <v>780</v>
      </c>
      <c r="E5267" t="s">
        <v>782</v>
      </c>
      <c r="F5267" t="s">
        <v>244</v>
      </c>
      <c r="G5267" s="39">
        <v>44831</v>
      </c>
      <c r="J5267" t="s">
        <v>90</v>
      </c>
    </row>
    <row r="5268" spans="1:10" x14ac:dyDescent="0.35">
      <c r="A5268">
        <v>15982</v>
      </c>
      <c r="B5268" t="s">
        <v>92</v>
      </c>
      <c r="C5268" t="s">
        <v>878</v>
      </c>
      <c r="D5268" t="s">
        <v>780</v>
      </c>
      <c r="E5268" t="s">
        <v>496</v>
      </c>
      <c r="F5268" t="s">
        <v>244</v>
      </c>
      <c r="G5268" s="39">
        <v>45254</v>
      </c>
      <c r="J5268" t="s">
        <v>90</v>
      </c>
    </row>
    <row r="5269" spans="1:10" x14ac:dyDescent="0.35">
      <c r="A5269">
        <v>11838</v>
      </c>
      <c r="B5269" t="s">
        <v>92</v>
      </c>
      <c r="C5269" t="s">
        <v>879</v>
      </c>
      <c r="D5269" t="s">
        <v>92</v>
      </c>
      <c r="E5269" t="s">
        <v>464</v>
      </c>
      <c r="F5269" t="s">
        <v>244</v>
      </c>
      <c r="G5269" s="39">
        <v>43192</v>
      </c>
      <c r="J5269" t="s">
        <v>90</v>
      </c>
    </row>
    <row r="5270" spans="1:10" x14ac:dyDescent="0.35">
      <c r="A5270">
        <v>880029</v>
      </c>
      <c r="B5270" t="s">
        <v>92</v>
      </c>
      <c r="C5270" t="s">
        <v>879</v>
      </c>
      <c r="D5270" t="s">
        <v>780</v>
      </c>
      <c r="E5270" t="s">
        <v>548</v>
      </c>
      <c r="F5270" t="s">
        <v>244</v>
      </c>
      <c r="G5270" s="39">
        <v>42464</v>
      </c>
      <c r="J5270" t="s">
        <v>90</v>
      </c>
    </row>
    <row r="5271" spans="1:10" x14ac:dyDescent="0.35">
      <c r="A5271">
        <v>202001</v>
      </c>
      <c r="B5271" t="s">
        <v>92</v>
      </c>
      <c r="C5271" t="s">
        <v>879</v>
      </c>
      <c r="D5271" t="s">
        <v>780</v>
      </c>
      <c r="E5271" t="s">
        <v>799</v>
      </c>
      <c r="F5271" t="s">
        <v>245</v>
      </c>
      <c r="G5271" s="39">
        <v>43654</v>
      </c>
      <c r="J5271" t="s">
        <v>90</v>
      </c>
    </row>
    <row r="5272" spans="1:10" x14ac:dyDescent="0.35">
      <c r="A5272">
        <v>18848</v>
      </c>
      <c r="B5272" t="s">
        <v>92</v>
      </c>
      <c r="C5272" t="s">
        <v>879</v>
      </c>
      <c r="D5272" t="s">
        <v>780</v>
      </c>
      <c r="E5272" t="s">
        <v>789</v>
      </c>
      <c r="F5272" t="s">
        <v>244</v>
      </c>
      <c r="G5272" s="39">
        <v>46224</v>
      </c>
      <c r="J5272" t="s">
        <v>90</v>
      </c>
    </row>
    <row r="5273" spans="1:10" x14ac:dyDescent="0.35">
      <c r="A5273">
        <v>15530</v>
      </c>
      <c r="B5273" t="s">
        <v>92</v>
      </c>
      <c r="C5273" t="s">
        <v>879</v>
      </c>
      <c r="D5273" t="s">
        <v>780</v>
      </c>
      <c r="E5273" t="s">
        <v>782</v>
      </c>
      <c r="F5273" t="s">
        <v>244</v>
      </c>
      <c r="G5273" s="39">
        <v>45112</v>
      </c>
      <c r="J5273" t="s">
        <v>90</v>
      </c>
    </row>
    <row r="5274" spans="1:10" x14ac:dyDescent="0.35">
      <c r="A5274">
        <v>15531</v>
      </c>
      <c r="B5274" t="s">
        <v>92</v>
      </c>
      <c r="C5274" t="s">
        <v>879</v>
      </c>
      <c r="D5274" t="s">
        <v>780</v>
      </c>
      <c r="E5274" t="s">
        <v>782</v>
      </c>
      <c r="F5274" t="s">
        <v>244</v>
      </c>
      <c r="G5274" s="39">
        <v>45112</v>
      </c>
      <c r="J5274" t="s">
        <v>90</v>
      </c>
    </row>
    <row r="5275" spans="1:10" x14ac:dyDescent="0.35">
      <c r="A5275">
        <v>18748</v>
      </c>
      <c r="B5275" t="s">
        <v>92</v>
      </c>
      <c r="C5275" t="s">
        <v>879</v>
      </c>
      <c r="D5275" t="s">
        <v>780</v>
      </c>
      <c r="E5275" t="s">
        <v>783</v>
      </c>
      <c r="F5275" t="s">
        <v>244</v>
      </c>
      <c r="G5275" s="39">
        <v>46204</v>
      </c>
      <c r="J5275" t="s">
        <v>90</v>
      </c>
    </row>
    <row r="5276" spans="1:10" x14ac:dyDescent="0.35">
      <c r="A5276">
        <v>460007</v>
      </c>
      <c r="B5276" t="s">
        <v>92</v>
      </c>
      <c r="C5276" t="s">
        <v>880</v>
      </c>
      <c r="D5276" t="s">
        <v>92</v>
      </c>
      <c r="E5276" t="s">
        <v>464</v>
      </c>
      <c r="F5276" t="s">
        <v>244</v>
      </c>
      <c r="G5276" s="39">
        <v>40311</v>
      </c>
      <c r="J5276" t="s">
        <v>90</v>
      </c>
    </row>
    <row r="5277" spans="1:10" x14ac:dyDescent="0.35">
      <c r="A5277">
        <v>15099</v>
      </c>
      <c r="B5277" t="s">
        <v>92</v>
      </c>
      <c r="C5277" t="s">
        <v>880</v>
      </c>
      <c r="D5277" t="s">
        <v>780</v>
      </c>
      <c r="E5277" t="s">
        <v>782</v>
      </c>
      <c r="F5277" t="s">
        <v>244</v>
      </c>
      <c r="G5277" s="39">
        <v>44949</v>
      </c>
      <c r="J5277" t="s">
        <v>90</v>
      </c>
    </row>
    <row r="5278" spans="1:10" x14ac:dyDescent="0.35">
      <c r="A5278">
        <v>15101</v>
      </c>
      <c r="B5278" t="s">
        <v>92</v>
      </c>
      <c r="C5278" t="s">
        <v>880</v>
      </c>
      <c r="D5278" t="s">
        <v>780</v>
      </c>
      <c r="E5278" t="s">
        <v>782</v>
      </c>
      <c r="F5278" t="s">
        <v>244</v>
      </c>
      <c r="G5278" s="39">
        <v>44949</v>
      </c>
      <c r="J5278" t="s">
        <v>90</v>
      </c>
    </row>
    <row r="5279" spans="1:10" x14ac:dyDescent="0.35">
      <c r="A5279">
        <v>15102</v>
      </c>
      <c r="B5279" t="s">
        <v>92</v>
      </c>
      <c r="C5279" t="s">
        <v>880</v>
      </c>
      <c r="D5279" t="s">
        <v>780</v>
      </c>
      <c r="E5279" t="s">
        <v>782</v>
      </c>
      <c r="F5279" t="s">
        <v>244</v>
      </c>
      <c r="G5279" s="39">
        <v>44949</v>
      </c>
      <c r="J5279" t="s">
        <v>90</v>
      </c>
    </row>
    <row r="5280" spans="1:10" x14ac:dyDescent="0.35">
      <c r="A5280">
        <v>15289</v>
      </c>
      <c r="B5280" t="s">
        <v>92</v>
      </c>
      <c r="C5280" t="s">
        <v>880</v>
      </c>
      <c r="D5280" t="s">
        <v>780</v>
      </c>
      <c r="E5280" t="s">
        <v>782</v>
      </c>
      <c r="F5280" t="s">
        <v>244</v>
      </c>
      <c r="G5280" s="39">
        <v>45019</v>
      </c>
      <c r="J5280" t="s">
        <v>90</v>
      </c>
    </row>
    <row r="5281" spans="1:10" x14ac:dyDescent="0.35">
      <c r="A5281">
        <v>139001</v>
      </c>
      <c r="B5281" t="s">
        <v>92</v>
      </c>
      <c r="C5281" t="s">
        <v>881</v>
      </c>
      <c r="D5281" t="s">
        <v>780</v>
      </c>
      <c r="E5281" t="s">
        <v>548</v>
      </c>
      <c r="F5281" t="s">
        <v>244</v>
      </c>
      <c r="G5281" s="39">
        <v>44061</v>
      </c>
      <c r="J5281" t="s">
        <v>90</v>
      </c>
    </row>
    <row r="5282" spans="1:10" x14ac:dyDescent="0.35">
      <c r="A5282">
        <v>790003</v>
      </c>
      <c r="B5282" t="s">
        <v>92</v>
      </c>
      <c r="C5282" t="s">
        <v>881</v>
      </c>
      <c r="D5282" t="s">
        <v>780</v>
      </c>
      <c r="E5282" t="s">
        <v>782</v>
      </c>
      <c r="F5282" t="s">
        <v>244</v>
      </c>
      <c r="G5282" s="39">
        <v>36727</v>
      </c>
      <c r="J5282" t="s">
        <v>90</v>
      </c>
    </row>
    <row r="5283" spans="1:10" x14ac:dyDescent="0.35">
      <c r="A5283">
        <v>790027</v>
      </c>
      <c r="B5283" t="s">
        <v>92</v>
      </c>
      <c r="C5283" t="s">
        <v>881</v>
      </c>
      <c r="D5283" t="s">
        <v>780</v>
      </c>
      <c r="E5283" t="s">
        <v>782</v>
      </c>
      <c r="F5283" t="s">
        <v>244</v>
      </c>
      <c r="G5283" s="39">
        <v>43858</v>
      </c>
      <c r="J5283" t="s">
        <v>90</v>
      </c>
    </row>
    <row r="5284" spans="1:10" x14ac:dyDescent="0.35">
      <c r="A5284">
        <v>14586</v>
      </c>
      <c r="B5284" t="s">
        <v>92</v>
      </c>
      <c r="C5284" t="s">
        <v>881</v>
      </c>
      <c r="D5284" t="s">
        <v>780</v>
      </c>
      <c r="E5284" t="s">
        <v>782</v>
      </c>
      <c r="F5284" t="s">
        <v>244</v>
      </c>
      <c r="G5284" s="39">
        <v>44790</v>
      </c>
      <c r="J5284" t="s">
        <v>90</v>
      </c>
    </row>
    <row r="5285" spans="1:10" x14ac:dyDescent="0.35">
      <c r="A5285">
        <v>12030</v>
      </c>
      <c r="B5285" t="s">
        <v>92</v>
      </c>
      <c r="C5285" t="s">
        <v>882</v>
      </c>
      <c r="D5285" t="s">
        <v>92</v>
      </c>
      <c r="E5285" t="s">
        <v>464</v>
      </c>
      <c r="F5285" t="s">
        <v>244</v>
      </c>
      <c r="G5285" s="39">
        <v>43392</v>
      </c>
      <c r="J5285" t="s">
        <v>90</v>
      </c>
    </row>
    <row r="5286" spans="1:10" x14ac:dyDescent="0.35">
      <c r="A5286">
        <v>209003</v>
      </c>
      <c r="B5286" t="s">
        <v>92</v>
      </c>
      <c r="C5286" t="s">
        <v>882</v>
      </c>
      <c r="D5286" t="s">
        <v>780</v>
      </c>
      <c r="E5286" t="s">
        <v>548</v>
      </c>
      <c r="F5286" t="s">
        <v>244</v>
      </c>
      <c r="G5286" s="39">
        <v>43490</v>
      </c>
      <c r="J5286" t="s">
        <v>90</v>
      </c>
    </row>
    <row r="5287" spans="1:10" x14ac:dyDescent="0.35">
      <c r="A5287">
        <v>760030</v>
      </c>
      <c r="B5287" t="s">
        <v>92</v>
      </c>
      <c r="C5287" t="s">
        <v>882</v>
      </c>
      <c r="D5287" t="s">
        <v>780</v>
      </c>
      <c r="E5287" t="s">
        <v>548</v>
      </c>
      <c r="F5287" t="s">
        <v>244</v>
      </c>
      <c r="G5287" s="39">
        <v>42516</v>
      </c>
      <c r="J5287" t="s">
        <v>90</v>
      </c>
    </row>
    <row r="5288" spans="1:10" x14ac:dyDescent="0.35">
      <c r="A5288">
        <v>209001</v>
      </c>
      <c r="B5288" t="s">
        <v>92</v>
      </c>
      <c r="C5288" t="s">
        <v>882</v>
      </c>
      <c r="D5288" t="s">
        <v>780</v>
      </c>
      <c r="E5288" t="s">
        <v>548</v>
      </c>
      <c r="F5288" t="s">
        <v>244</v>
      </c>
      <c r="G5288" s="39">
        <v>43472</v>
      </c>
      <c r="J5288" t="s">
        <v>90</v>
      </c>
    </row>
    <row r="5289" spans="1:10" x14ac:dyDescent="0.35">
      <c r="A5289">
        <v>17411</v>
      </c>
      <c r="B5289" t="s">
        <v>92</v>
      </c>
      <c r="C5289" t="s">
        <v>882</v>
      </c>
      <c r="D5289" t="s">
        <v>780</v>
      </c>
      <c r="E5289" t="s">
        <v>496</v>
      </c>
      <c r="F5289" t="s">
        <v>244</v>
      </c>
      <c r="G5289" s="39">
        <v>45748</v>
      </c>
      <c r="J5289" t="s">
        <v>90</v>
      </c>
    </row>
    <row r="5290" spans="1:10" x14ac:dyDescent="0.35">
      <c r="A5290">
        <v>510018</v>
      </c>
      <c r="B5290" t="s">
        <v>92</v>
      </c>
      <c r="C5290" t="s">
        <v>883</v>
      </c>
      <c r="D5290" t="s">
        <v>92</v>
      </c>
      <c r="E5290" t="s">
        <v>464</v>
      </c>
      <c r="F5290" t="s">
        <v>244</v>
      </c>
      <c r="G5290" s="39">
        <v>41760</v>
      </c>
      <c r="J5290" t="s">
        <v>90</v>
      </c>
    </row>
    <row r="5291" spans="1:10" x14ac:dyDescent="0.35">
      <c r="A5291">
        <v>610028</v>
      </c>
      <c r="B5291" t="s">
        <v>92</v>
      </c>
      <c r="C5291" t="s">
        <v>883</v>
      </c>
      <c r="D5291" t="s">
        <v>780</v>
      </c>
      <c r="E5291" t="s">
        <v>548</v>
      </c>
      <c r="F5291" t="s">
        <v>244</v>
      </c>
      <c r="G5291" s="39">
        <v>43661</v>
      </c>
      <c r="J5291" t="s">
        <v>90</v>
      </c>
    </row>
    <row r="5292" spans="1:10" x14ac:dyDescent="0.35">
      <c r="A5292">
        <v>113054</v>
      </c>
      <c r="B5292" t="s">
        <v>92</v>
      </c>
      <c r="C5292" t="s">
        <v>883</v>
      </c>
      <c r="D5292" t="s">
        <v>780</v>
      </c>
      <c r="E5292" t="s">
        <v>799</v>
      </c>
      <c r="F5292" t="s">
        <v>244</v>
      </c>
      <c r="G5292" s="39">
        <v>44517</v>
      </c>
      <c r="J5292" t="s">
        <v>90</v>
      </c>
    </row>
    <row r="5293" spans="1:10" x14ac:dyDescent="0.35">
      <c r="A5293">
        <v>113013</v>
      </c>
      <c r="B5293" t="s">
        <v>92</v>
      </c>
      <c r="C5293" t="s">
        <v>883</v>
      </c>
      <c r="D5293" t="s">
        <v>780</v>
      </c>
      <c r="E5293" t="s">
        <v>782</v>
      </c>
      <c r="F5293" t="s">
        <v>244</v>
      </c>
      <c r="G5293" s="39">
        <v>38874</v>
      </c>
      <c r="J5293" t="s">
        <v>90</v>
      </c>
    </row>
    <row r="5294" spans="1:10" x14ac:dyDescent="0.35">
      <c r="A5294">
        <v>18032</v>
      </c>
      <c r="B5294" t="s">
        <v>92</v>
      </c>
      <c r="C5294" t="s">
        <v>883</v>
      </c>
      <c r="D5294" t="s">
        <v>780</v>
      </c>
      <c r="E5294" t="s">
        <v>496</v>
      </c>
      <c r="F5294" t="s">
        <v>244</v>
      </c>
      <c r="G5294" s="39">
        <v>45967</v>
      </c>
      <c r="J5294" t="s">
        <v>90</v>
      </c>
    </row>
    <row r="5295" spans="1:10" x14ac:dyDescent="0.35">
      <c r="A5295">
        <v>18123</v>
      </c>
      <c r="B5295" t="s">
        <v>92</v>
      </c>
      <c r="C5295" t="s">
        <v>883</v>
      </c>
      <c r="D5295" t="s">
        <v>780</v>
      </c>
      <c r="E5295" t="s">
        <v>783</v>
      </c>
      <c r="F5295" t="s">
        <v>244</v>
      </c>
      <c r="G5295" s="39">
        <v>46006</v>
      </c>
      <c r="J5295" t="s">
        <v>90</v>
      </c>
    </row>
    <row r="5296" spans="1:10" x14ac:dyDescent="0.35">
      <c r="A5296">
        <v>240010</v>
      </c>
      <c r="B5296" t="s">
        <v>884</v>
      </c>
      <c r="C5296" t="s">
        <v>92</v>
      </c>
      <c r="D5296" t="s">
        <v>92</v>
      </c>
      <c r="E5296" t="s">
        <v>464</v>
      </c>
      <c r="F5296" t="s">
        <v>244</v>
      </c>
      <c r="G5296" s="39">
        <v>41065</v>
      </c>
      <c r="J5296" t="s">
        <v>90</v>
      </c>
    </row>
    <row r="5297" spans="1:10" x14ac:dyDescent="0.35">
      <c r="A5297">
        <v>17174</v>
      </c>
      <c r="B5297" t="s">
        <v>884</v>
      </c>
      <c r="C5297" t="s">
        <v>92</v>
      </c>
      <c r="D5297" t="s">
        <v>780</v>
      </c>
      <c r="E5297" t="s">
        <v>474</v>
      </c>
      <c r="F5297" t="s">
        <v>245</v>
      </c>
      <c r="G5297" s="39">
        <v>45667</v>
      </c>
      <c r="J5297" t="s">
        <v>90</v>
      </c>
    </row>
    <row r="5298" spans="1:10" x14ac:dyDescent="0.35">
      <c r="A5298">
        <v>570031</v>
      </c>
      <c r="B5298" t="s">
        <v>884</v>
      </c>
      <c r="C5298" t="s">
        <v>92</v>
      </c>
      <c r="D5298" t="s">
        <v>780</v>
      </c>
      <c r="E5298" t="s">
        <v>151</v>
      </c>
      <c r="F5298" t="s">
        <v>244</v>
      </c>
      <c r="G5298" s="39">
        <v>42779</v>
      </c>
      <c r="J5298" t="s">
        <v>90</v>
      </c>
    </row>
    <row r="5299" spans="1:10" x14ac:dyDescent="0.35">
      <c r="A5299">
        <v>300062</v>
      </c>
      <c r="B5299" t="s">
        <v>884</v>
      </c>
      <c r="C5299" t="s">
        <v>92</v>
      </c>
      <c r="D5299" t="s">
        <v>780</v>
      </c>
      <c r="E5299" t="s">
        <v>406</v>
      </c>
      <c r="F5299" t="s">
        <v>244</v>
      </c>
      <c r="G5299" s="39">
        <v>42790</v>
      </c>
      <c r="J5299" t="s">
        <v>90</v>
      </c>
    </row>
    <row r="5300" spans="1:10" x14ac:dyDescent="0.35">
      <c r="A5300">
        <v>122014</v>
      </c>
      <c r="B5300" t="s">
        <v>884</v>
      </c>
      <c r="C5300" t="s">
        <v>92</v>
      </c>
      <c r="D5300" t="s">
        <v>780</v>
      </c>
      <c r="E5300" t="s">
        <v>406</v>
      </c>
      <c r="F5300" t="s">
        <v>244</v>
      </c>
      <c r="G5300" s="39">
        <v>43605</v>
      </c>
      <c r="J5300" t="s">
        <v>90</v>
      </c>
    </row>
    <row r="5301" spans="1:10" x14ac:dyDescent="0.35">
      <c r="A5301">
        <v>570040</v>
      </c>
      <c r="B5301" t="s">
        <v>884</v>
      </c>
      <c r="C5301" t="s">
        <v>92</v>
      </c>
      <c r="D5301" t="s">
        <v>780</v>
      </c>
      <c r="E5301" t="s">
        <v>477</v>
      </c>
      <c r="F5301" t="s">
        <v>244</v>
      </c>
      <c r="G5301" s="39">
        <v>43781</v>
      </c>
      <c r="J5301" t="s">
        <v>90</v>
      </c>
    </row>
    <row r="5302" spans="1:10" x14ac:dyDescent="0.35">
      <c r="A5302">
        <v>570033</v>
      </c>
      <c r="B5302" t="s">
        <v>884</v>
      </c>
      <c r="C5302" t="s">
        <v>92</v>
      </c>
      <c r="D5302" t="s">
        <v>780</v>
      </c>
      <c r="E5302" t="s">
        <v>477</v>
      </c>
      <c r="F5302" t="s">
        <v>244</v>
      </c>
      <c r="G5302" s="39">
        <v>43035</v>
      </c>
      <c r="J5302" t="s">
        <v>90</v>
      </c>
    </row>
    <row r="5303" spans="1:10" x14ac:dyDescent="0.35">
      <c r="A5303">
        <v>570051</v>
      </c>
      <c r="B5303" t="s">
        <v>884</v>
      </c>
      <c r="C5303" t="s">
        <v>92</v>
      </c>
      <c r="D5303" t="s">
        <v>780</v>
      </c>
      <c r="E5303" t="s">
        <v>406</v>
      </c>
      <c r="F5303" t="s">
        <v>244</v>
      </c>
      <c r="G5303" s="39">
        <v>44572</v>
      </c>
      <c r="J5303" t="s">
        <v>90</v>
      </c>
    </row>
    <row r="5304" spans="1:10" x14ac:dyDescent="0.35">
      <c r="A5304">
        <v>570054</v>
      </c>
      <c r="B5304" t="s">
        <v>884</v>
      </c>
      <c r="C5304" t="s">
        <v>92</v>
      </c>
      <c r="D5304" t="s">
        <v>780</v>
      </c>
      <c r="E5304" t="s">
        <v>477</v>
      </c>
      <c r="F5304" t="s">
        <v>411</v>
      </c>
      <c r="G5304" s="39">
        <v>44621</v>
      </c>
      <c r="J5304" t="s">
        <v>90</v>
      </c>
    </row>
    <row r="5305" spans="1:10" x14ac:dyDescent="0.35">
      <c r="A5305">
        <v>122019</v>
      </c>
      <c r="B5305" t="s">
        <v>884</v>
      </c>
      <c r="C5305" t="s">
        <v>92</v>
      </c>
      <c r="D5305" t="s">
        <v>780</v>
      </c>
      <c r="E5305" t="s">
        <v>406</v>
      </c>
      <c r="F5305" t="s">
        <v>244</v>
      </c>
      <c r="G5305" s="39">
        <v>44466</v>
      </c>
      <c r="J5305" t="s">
        <v>90</v>
      </c>
    </row>
    <row r="5306" spans="1:10" x14ac:dyDescent="0.35">
      <c r="A5306">
        <v>15539</v>
      </c>
      <c r="B5306" t="s">
        <v>884</v>
      </c>
      <c r="C5306" t="s">
        <v>92</v>
      </c>
      <c r="D5306" t="s">
        <v>780</v>
      </c>
      <c r="E5306" t="s">
        <v>477</v>
      </c>
      <c r="F5306" t="s">
        <v>244</v>
      </c>
      <c r="G5306" s="39">
        <v>45119</v>
      </c>
      <c r="J5306" t="s">
        <v>90</v>
      </c>
    </row>
    <row r="5307" spans="1:10" x14ac:dyDescent="0.35">
      <c r="A5307">
        <v>17029</v>
      </c>
      <c r="B5307" t="s">
        <v>884</v>
      </c>
      <c r="C5307" t="s">
        <v>92</v>
      </c>
      <c r="D5307" t="s">
        <v>780</v>
      </c>
      <c r="E5307" t="s">
        <v>473</v>
      </c>
      <c r="F5307" t="s">
        <v>244</v>
      </c>
      <c r="G5307" s="39">
        <v>45622</v>
      </c>
      <c r="J5307" t="s">
        <v>90</v>
      </c>
    </row>
    <row r="5308" spans="1:10" x14ac:dyDescent="0.35">
      <c r="A5308">
        <v>14686</v>
      </c>
      <c r="B5308" t="s">
        <v>884</v>
      </c>
      <c r="C5308" t="s">
        <v>92</v>
      </c>
      <c r="D5308" t="s">
        <v>780</v>
      </c>
      <c r="E5308" t="s">
        <v>477</v>
      </c>
      <c r="F5308" t="s">
        <v>244</v>
      </c>
      <c r="G5308" s="39">
        <v>44824</v>
      </c>
      <c r="J5308" t="s">
        <v>90</v>
      </c>
    </row>
    <row r="5309" spans="1:10" x14ac:dyDescent="0.35">
      <c r="A5309">
        <v>15241</v>
      </c>
      <c r="B5309" t="s">
        <v>884</v>
      </c>
      <c r="C5309" t="s">
        <v>92</v>
      </c>
      <c r="D5309" t="s">
        <v>780</v>
      </c>
      <c r="E5309" t="s">
        <v>782</v>
      </c>
      <c r="F5309" t="s">
        <v>244</v>
      </c>
      <c r="G5309" s="39">
        <v>44998</v>
      </c>
      <c r="J5309" t="s">
        <v>90</v>
      </c>
    </row>
    <row r="5310" spans="1:10" x14ac:dyDescent="0.35">
      <c r="A5310">
        <v>18850</v>
      </c>
      <c r="B5310" t="s">
        <v>884</v>
      </c>
      <c r="C5310" t="s">
        <v>92</v>
      </c>
      <c r="D5310" t="s">
        <v>780</v>
      </c>
      <c r="E5310" t="s">
        <v>824</v>
      </c>
      <c r="F5310" t="s">
        <v>244</v>
      </c>
      <c r="G5310" s="39">
        <v>46224</v>
      </c>
      <c r="J5310" t="s">
        <v>90</v>
      </c>
    </row>
    <row r="5311" spans="1:10" x14ac:dyDescent="0.35">
      <c r="A5311">
        <v>570046</v>
      </c>
      <c r="B5311" t="s">
        <v>884</v>
      </c>
      <c r="C5311" t="s">
        <v>92</v>
      </c>
      <c r="D5311" t="s">
        <v>791</v>
      </c>
      <c r="E5311" t="s">
        <v>122</v>
      </c>
      <c r="F5311" t="s">
        <v>244</v>
      </c>
      <c r="G5311" s="39">
        <v>44204</v>
      </c>
      <c r="J5311" t="s">
        <v>90</v>
      </c>
    </row>
    <row r="5312" spans="1:10" x14ac:dyDescent="0.35">
      <c r="A5312">
        <v>15471</v>
      </c>
      <c r="B5312" t="s">
        <v>884</v>
      </c>
      <c r="C5312" t="s">
        <v>92</v>
      </c>
      <c r="D5312" t="s">
        <v>827</v>
      </c>
      <c r="E5312" t="s">
        <v>151</v>
      </c>
      <c r="F5312" t="s">
        <v>244</v>
      </c>
      <c r="G5312" s="39">
        <v>45084</v>
      </c>
      <c r="J5312" t="s">
        <v>90</v>
      </c>
    </row>
    <row r="5313" spans="1:10" x14ac:dyDescent="0.35">
      <c r="A5313">
        <v>570052</v>
      </c>
      <c r="B5313" t="s">
        <v>884</v>
      </c>
      <c r="C5313" t="s">
        <v>92</v>
      </c>
      <c r="D5313" t="s">
        <v>827</v>
      </c>
      <c r="E5313" t="s">
        <v>109</v>
      </c>
      <c r="F5313" t="s">
        <v>244</v>
      </c>
      <c r="G5313" s="39">
        <v>44610</v>
      </c>
      <c r="J5313" t="s">
        <v>90</v>
      </c>
    </row>
    <row r="5314" spans="1:10" x14ac:dyDescent="0.35">
      <c r="A5314">
        <v>570048</v>
      </c>
      <c r="B5314" t="s">
        <v>884</v>
      </c>
      <c r="C5314" t="s">
        <v>92</v>
      </c>
      <c r="D5314" t="s">
        <v>827</v>
      </c>
      <c r="E5314" t="s">
        <v>109</v>
      </c>
      <c r="F5314" t="s">
        <v>244</v>
      </c>
      <c r="G5314" s="39">
        <v>44523</v>
      </c>
      <c r="J5314" t="s">
        <v>90</v>
      </c>
    </row>
    <row r="5315" spans="1:10" x14ac:dyDescent="0.35">
      <c r="A5315">
        <v>17932</v>
      </c>
      <c r="B5315" t="s">
        <v>884</v>
      </c>
      <c r="C5315" t="s">
        <v>92</v>
      </c>
      <c r="D5315" t="s">
        <v>827</v>
      </c>
      <c r="E5315" t="s">
        <v>102</v>
      </c>
      <c r="F5315" t="s">
        <v>244</v>
      </c>
      <c r="G5315" s="39">
        <v>45924</v>
      </c>
      <c r="J5315" t="s">
        <v>90</v>
      </c>
    </row>
    <row r="5316" spans="1:10" x14ac:dyDescent="0.35">
      <c r="A5316">
        <v>133002</v>
      </c>
      <c r="B5316" t="s">
        <v>885</v>
      </c>
      <c r="C5316" t="s">
        <v>92</v>
      </c>
      <c r="D5316" t="s">
        <v>92</v>
      </c>
      <c r="E5316" t="s">
        <v>464</v>
      </c>
      <c r="F5316" t="s">
        <v>244</v>
      </c>
      <c r="G5316" s="39">
        <v>42501</v>
      </c>
      <c r="J5316" t="s">
        <v>90</v>
      </c>
    </row>
    <row r="5317" spans="1:10" x14ac:dyDescent="0.35">
      <c r="A5317">
        <v>570030</v>
      </c>
      <c r="B5317" t="s">
        <v>885</v>
      </c>
      <c r="C5317" t="s">
        <v>92</v>
      </c>
      <c r="D5317" t="s">
        <v>780</v>
      </c>
      <c r="E5317" t="s">
        <v>506</v>
      </c>
      <c r="F5317" t="s">
        <v>244</v>
      </c>
      <c r="G5317" s="39">
        <v>42592</v>
      </c>
      <c r="J5317" t="s">
        <v>90</v>
      </c>
    </row>
    <row r="5318" spans="1:10" x14ac:dyDescent="0.35">
      <c r="A5318">
        <v>117018</v>
      </c>
      <c r="B5318" t="s">
        <v>885</v>
      </c>
      <c r="C5318" t="s">
        <v>92</v>
      </c>
      <c r="D5318" t="s">
        <v>780</v>
      </c>
      <c r="E5318" t="s">
        <v>530</v>
      </c>
      <c r="F5318" t="s">
        <v>244</v>
      </c>
      <c r="G5318" s="39">
        <v>36832</v>
      </c>
      <c r="J5318" t="s">
        <v>90</v>
      </c>
    </row>
    <row r="5319" spans="1:10" x14ac:dyDescent="0.35">
      <c r="A5319">
        <v>117011</v>
      </c>
      <c r="B5319" t="s">
        <v>885</v>
      </c>
      <c r="C5319" t="s">
        <v>92</v>
      </c>
      <c r="D5319" t="s">
        <v>780</v>
      </c>
      <c r="E5319" t="s">
        <v>406</v>
      </c>
      <c r="F5319" t="s">
        <v>244</v>
      </c>
      <c r="G5319" s="39">
        <v>36756</v>
      </c>
      <c r="J5319" t="s">
        <v>90</v>
      </c>
    </row>
    <row r="5320" spans="1:10" x14ac:dyDescent="0.35">
      <c r="A5320">
        <v>300071</v>
      </c>
      <c r="B5320" t="s">
        <v>885</v>
      </c>
      <c r="C5320" t="s">
        <v>92</v>
      </c>
      <c r="D5320" t="s">
        <v>780</v>
      </c>
      <c r="E5320" t="s">
        <v>406</v>
      </c>
      <c r="F5320" t="s">
        <v>244</v>
      </c>
      <c r="G5320" s="39">
        <v>42831</v>
      </c>
      <c r="J5320" t="s">
        <v>90</v>
      </c>
    </row>
    <row r="5321" spans="1:10" x14ac:dyDescent="0.35">
      <c r="A5321">
        <v>117024</v>
      </c>
      <c r="B5321" t="s">
        <v>885</v>
      </c>
      <c r="C5321" t="s">
        <v>92</v>
      </c>
      <c r="D5321" t="s">
        <v>780</v>
      </c>
      <c r="E5321" t="s">
        <v>406</v>
      </c>
      <c r="F5321" t="s">
        <v>244</v>
      </c>
      <c r="G5321" s="39">
        <v>43108</v>
      </c>
      <c r="J5321" t="s">
        <v>90</v>
      </c>
    </row>
    <row r="5322" spans="1:10" x14ac:dyDescent="0.35">
      <c r="A5322">
        <v>117021</v>
      </c>
      <c r="B5322" t="s">
        <v>885</v>
      </c>
      <c r="C5322" t="s">
        <v>92</v>
      </c>
      <c r="D5322" t="s">
        <v>780</v>
      </c>
      <c r="E5322" t="s">
        <v>406</v>
      </c>
      <c r="F5322" t="s">
        <v>244</v>
      </c>
      <c r="G5322" s="39">
        <v>42776</v>
      </c>
      <c r="J5322" t="s">
        <v>90</v>
      </c>
    </row>
    <row r="5323" spans="1:10" x14ac:dyDescent="0.35">
      <c r="A5323">
        <v>410059</v>
      </c>
      <c r="B5323" t="s">
        <v>885</v>
      </c>
      <c r="C5323" t="s">
        <v>92</v>
      </c>
      <c r="D5323" t="s">
        <v>780</v>
      </c>
      <c r="E5323" t="s">
        <v>406</v>
      </c>
      <c r="F5323" t="s">
        <v>244</v>
      </c>
      <c r="G5323" s="39">
        <v>43675</v>
      </c>
      <c r="J5323" t="s">
        <v>90</v>
      </c>
    </row>
    <row r="5324" spans="1:10" x14ac:dyDescent="0.35">
      <c r="A5324">
        <v>117028</v>
      </c>
      <c r="B5324" t="s">
        <v>885</v>
      </c>
      <c r="C5324" t="s">
        <v>92</v>
      </c>
      <c r="D5324" t="s">
        <v>780</v>
      </c>
      <c r="E5324" t="s">
        <v>406</v>
      </c>
      <c r="F5324" t="s">
        <v>244</v>
      </c>
      <c r="G5324" s="39">
        <v>44054</v>
      </c>
      <c r="J5324" t="s">
        <v>90</v>
      </c>
    </row>
    <row r="5325" spans="1:10" x14ac:dyDescent="0.35">
      <c r="A5325">
        <v>15243</v>
      </c>
      <c r="B5325" t="s">
        <v>885</v>
      </c>
      <c r="C5325" t="s">
        <v>92</v>
      </c>
      <c r="D5325" t="s">
        <v>780</v>
      </c>
      <c r="E5325" t="s">
        <v>473</v>
      </c>
      <c r="F5325" t="s">
        <v>244</v>
      </c>
      <c r="G5325" s="39">
        <v>44998</v>
      </c>
      <c r="J5325" t="s">
        <v>90</v>
      </c>
    </row>
    <row r="5326" spans="1:10" x14ac:dyDescent="0.35">
      <c r="A5326">
        <v>16079</v>
      </c>
      <c r="B5326" t="s">
        <v>885</v>
      </c>
      <c r="C5326" t="s">
        <v>92</v>
      </c>
      <c r="D5326" t="s">
        <v>780</v>
      </c>
      <c r="E5326" t="s">
        <v>473</v>
      </c>
      <c r="F5326" t="s">
        <v>244</v>
      </c>
      <c r="G5326" s="39">
        <v>45279</v>
      </c>
      <c r="J5326" t="s">
        <v>90</v>
      </c>
    </row>
    <row r="5327" spans="1:10" x14ac:dyDescent="0.35">
      <c r="A5327">
        <v>15825</v>
      </c>
      <c r="B5327" t="s">
        <v>885</v>
      </c>
      <c r="C5327" t="s">
        <v>92</v>
      </c>
      <c r="D5327" t="s">
        <v>780</v>
      </c>
      <c r="E5327" t="s">
        <v>487</v>
      </c>
      <c r="F5327" t="s">
        <v>245</v>
      </c>
      <c r="G5327" s="39">
        <v>45209</v>
      </c>
      <c r="J5327" t="s">
        <v>90</v>
      </c>
    </row>
    <row r="5328" spans="1:10" x14ac:dyDescent="0.35">
      <c r="A5328">
        <v>12283</v>
      </c>
      <c r="B5328" t="s">
        <v>886</v>
      </c>
      <c r="C5328" t="s">
        <v>92</v>
      </c>
      <c r="D5328" t="s">
        <v>92</v>
      </c>
      <c r="E5328" t="s">
        <v>464</v>
      </c>
      <c r="F5328" t="s">
        <v>244</v>
      </c>
      <c r="G5328" s="39">
        <v>43662</v>
      </c>
      <c r="J5328" t="s">
        <v>90</v>
      </c>
    </row>
    <row r="5329" spans="1:10" x14ac:dyDescent="0.35">
      <c r="A5329">
        <v>650029</v>
      </c>
      <c r="B5329" t="s">
        <v>886</v>
      </c>
      <c r="C5329" t="s">
        <v>92</v>
      </c>
      <c r="D5329" t="s">
        <v>780</v>
      </c>
      <c r="E5329" t="s">
        <v>782</v>
      </c>
      <c r="F5329" t="s">
        <v>244</v>
      </c>
      <c r="G5329" s="39">
        <v>43957</v>
      </c>
      <c r="J5329" t="s">
        <v>90</v>
      </c>
    </row>
    <row r="5330" spans="1:10" x14ac:dyDescent="0.35">
      <c r="A5330">
        <v>650030</v>
      </c>
      <c r="B5330" t="s">
        <v>886</v>
      </c>
      <c r="C5330" t="s">
        <v>92</v>
      </c>
      <c r="D5330" t="s">
        <v>780</v>
      </c>
      <c r="E5330" t="s">
        <v>531</v>
      </c>
      <c r="F5330" t="s">
        <v>244</v>
      </c>
      <c r="G5330" s="39">
        <v>44460</v>
      </c>
      <c r="J5330" t="s">
        <v>90</v>
      </c>
    </row>
    <row r="5331" spans="1:10" x14ac:dyDescent="0.35">
      <c r="A5331">
        <v>17738</v>
      </c>
      <c r="B5331" t="s">
        <v>886</v>
      </c>
      <c r="C5331" t="s">
        <v>92</v>
      </c>
      <c r="D5331" t="s">
        <v>780</v>
      </c>
      <c r="E5331" t="s">
        <v>474</v>
      </c>
      <c r="F5331" t="s">
        <v>244</v>
      </c>
      <c r="G5331" s="39">
        <v>45860</v>
      </c>
      <c r="J5331" t="s">
        <v>90</v>
      </c>
    </row>
    <row r="5332" spans="1:10" x14ac:dyDescent="0.35">
      <c r="A5332">
        <v>650017</v>
      </c>
      <c r="B5332" t="s">
        <v>886</v>
      </c>
      <c r="C5332" t="s">
        <v>92</v>
      </c>
      <c r="D5332" t="s">
        <v>780</v>
      </c>
      <c r="E5332" t="s">
        <v>406</v>
      </c>
      <c r="F5332" t="s">
        <v>244</v>
      </c>
      <c r="G5332" s="39">
        <v>42339</v>
      </c>
      <c r="J5332" t="s">
        <v>90</v>
      </c>
    </row>
    <row r="5333" spans="1:10" x14ac:dyDescent="0.35">
      <c r="A5333">
        <v>650020</v>
      </c>
      <c r="B5333" t="s">
        <v>886</v>
      </c>
      <c r="C5333" t="s">
        <v>92</v>
      </c>
      <c r="D5333" t="s">
        <v>780</v>
      </c>
      <c r="E5333" t="s">
        <v>406</v>
      </c>
      <c r="F5333" t="s">
        <v>244</v>
      </c>
      <c r="G5333" s="39">
        <v>42531</v>
      </c>
      <c r="J5333" t="s">
        <v>90</v>
      </c>
    </row>
    <row r="5334" spans="1:10" x14ac:dyDescent="0.35">
      <c r="A5334">
        <v>650021</v>
      </c>
      <c r="B5334" t="s">
        <v>886</v>
      </c>
      <c r="C5334" t="s">
        <v>92</v>
      </c>
      <c r="D5334" t="s">
        <v>780</v>
      </c>
      <c r="E5334" t="s">
        <v>406</v>
      </c>
      <c r="F5334" t="s">
        <v>244</v>
      </c>
      <c r="G5334" s="39">
        <v>42730</v>
      </c>
      <c r="J5334" t="s">
        <v>90</v>
      </c>
    </row>
    <row r="5335" spans="1:10" x14ac:dyDescent="0.35">
      <c r="A5335">
        <v>16718</v>
      </c>
      <c r="B5335" t="s">
        <v>886</v>
      </c>
      <c r="C5335" t="s">
        <v>92</v>
      </c>
      <c r="D5335" t="s">
        <v>780</v>
      </c>
      <c r="E5335" t="s">
        <v>823</v>
      </c>
      <c r="F5335" t="s">
        <v>244</v>
      </c>
      <c r="G5335" s="39">
        <v>45544</v>
      </c>
      <c r="J5335" t="s">
        <v>90</v>
      </c>
    </row>
    <row r="5336" spans="1:10" x14ac:dyDescent="0.35">
      <c r="A5336">
        <v>15973</v>
      </c>
      <c r="B5336" t="s">
        <v>886</v>
      </c>
      <c r="C5336" t="s">
        <v>92</v>
      </c>
      <c r="D5336" t="s">
        <v>791</v>
      </c>
      <c r="E5336" t="s">
        <v>122</v>
      </c>
      <c r="F5336" t="s">
        <v>244</v>
      </c>
      <c r="G5336" s="39">
        <v>45250</v>
      </c>
      <c r="J5336" t="s">
        <v>90</v>
      </c>
    </row>
    <row r="5337" spans="1:10" x14ac:dyDescent="0.35">
      <c r="A5337">
        <v>290038</v>
      </c>
      <c r="B5337" t="s">
        <v>887</v>
      </c>
      <c r="C5337" t="s">
        <v>92</v>
      </c>
      <c r="D5337" t="s">
        <v>92</v>
      </c>
      <c r="E5337" t="s">
        <v>464</v>
      </c>
      <c r="F5337" t="s">
        <v>244</v>
      </c>
      <c r="G5337" s="39">
        <v>42311</v>
      </c>
      <c r="J5337" t="s">
        <v>90</v>
      </c>
    </row>
    <row r="5338" spans="1:10" x14ac:dyDescent="0.35">
      <c r="A5338">
        <v>290048</v>
      </c>
      <c r="B5338" t="s">
        <v>887</v>
      </c>
      <c r="C5338" t="s">
        <v>92</v>
      </c>
      <c r="D5338" t="s">
        <v>780</v>
      </c>
      <c r="E5338" t="s">
        <v>151</v>
      </c>
      <c r="F5338" t="s">
        <v>244</v>
      </c>
      <c r="G5338" s="39">
        <v>42898</v>
      </c>
      <c r="J5338" t="s">
        <v>90</v>
      </c>
    </row>
    <row r="5339" spans="1:10" x14ac:dyDescent="0.35">
      <c r="A5339">
        <v>560002</v>
      </c>
      <c r="B5339" t="s">
        <v>887</v>
      </c>
      <c r="C5339" t="s">
        <v>92</v>
      </c>
      <c r="D5339" t="s">
        <v>780</v>
      </c>
      <c r="E5339" t="s">
        <v>506</v>
      </c>
      <c r="F5339" t="s">
        <v>244</v>
      </c>
      <c r="G5339" s="39">
        <v>36843</v>
      </c>
      <c r="J5339" t="s">
        <v>90</v>
      </c>
    </row>
    <row r="5340" spans="1:10" x14ac:dyDescent="0.35">
      <c r="A5340">
        <v>300054</v>
      </c>
      <c r="B5340" t="s">
        <v>887</v>
      </c>
      <c r="C5340" t="s">
        <v>92</v>
      </c>
      <c r="D5340" t="s">
        <v>780</v>
      </c>
      <c r="E5340" t="s">
        <v>548</v>
      </c>
      <c r="F5340" t="s">
        <v>244</v>
      </c>
      <c r="G5340" s="39">
        <v>42768</v>
      </c>
      <c r="J5340" t="s">
        <v>90</v>
      </c>
    </row>
    <row r="5341" spans="1:10" x14ac:dyDescent="0.35">
      <c r="A5341">
        <v>560020</v>
      </c>
      <c r="B5341" t="s">
        <v>887</v>
      </c>
      <c r="C5341" t="s">
        <v>92</v>
      </c>
      <c r="D5341" t="s">
        <v>780</v>
      </c>
      <c r="E5341" t="s">
        <v>487</v>
      </c>
      <c r="F5341" t="s">
        <v>411</v>
      </c>
      <c r="G5341" s="39">
        <v>44179</v>
      </c>
      <c r="J5341" t="s">
        <v>90</v>
      </c>
    </row>
    <row r="5342" spans="1:10" x14ac:dyDescent="0.35">
      <c r="A5342">
        <v>18667</v>
      </c>
      <c r="B5342" t="s">
        <v>887</v>
      </c>
      <c r="C5342" t="s">
        <v>92</v>
      </c>
      <c r="D5342" t="s">
        <v>780</v>
      </c>
      <c r="E5342" t="s">
        <v>826</v>
      </c>
      <c r="F5342" t="s">
        <v>244</v>
      </c>
      <c r="G5342" s="39">
        <v>46190</v>
      </c>
      <c r="J5342" t="s">
        <v>90</v>
      </c>
    </row>
    <row r="5343" spans="1:10" x14ac:dyDescent="0.35">
      <c r="A5343">
        <v>880028</v>
      </c>
      <c r="B5343" t="s">
        <v>887</v>
      </c>
      <c r="C5343" t="s">
        <v>92</v>
      </c>
      <c r="D5343" t="s">
        <v>780</v>
      </c>
      <c r="E5343" t="s">
        <v>406</v>
      </c>
      <c r="F5343" t="s">
        <v>244</v>
      </c>
      <c r="G5343" s="39">
        <v>42339</v>
      </c>
      <c r="J5343" t="s">
        <v>90</v>
      </c>
    </row>
    <row r="5344" spans="1:10" x14ac:dyDescent="0.35">
      <c r="A5344">
        <v>560010</v>
      </c>
      <c r="B5344" t="s">
        <v>887</v>
      </c>
      <c r="C5344" t="s">
        <v>92</v>
      </c>
      <c r="D5344" t="s">
        <v>780</v>
      </c>
      <c r="E5344" t="s">
        <v>406</v>
      </c>
      <c r="F5344" t="s">
        <v>244</v>
      </c>
      <c r="G5344" s="39">
        <v>40391</v>
      </c>
      <c r="J5344" t="s">
        <v>90</v>
      </c>
    </row>
    <row r="5345" spans="1:10" x14ac:dyDescent="0.35">
      <c r="A5345">
        <v>560018</v>
      </c>
      <c r="B5345" t="s">
        <v>887</v>
      </c>
      <c r="C5345" t="s">
        <v>92</v>
      </c>
      <c r="D5345" t="s">
        <v>780</v>
      </c>
      <c r="E5345" t="s">
        <v>406</v>
      </c>
      <c r="F5345" t="s">
        <v>244</v>
      </c>
      <c r="G5345" s="39">
        <v>43075</v>
      </c>
      <c r="J5345" t="s">
        <v>90</v>
      </c>
    </row>
    <row r="5346" spans="1:10" x14ac:dyDescent="0.35">
      <c r="A5346">
        <v>390019</v>
      </c>
      <c r="B5346" t="s">
        <v>887</v>
      </c>
      <c r="C5346" t="s">
        <v>92</v>
      </c>
      <c r="D5346" t="s">
        <v>780</v>
      </c>
      <c r="E5346" t="s">
        <v>477</v>
      </c>
      <c r="F5346" t="s">
        <v>411</v>
      </c>
      <c r="G5346" s="39">
        <v>42688</v>
      </c>
      <c r="J5346" t="s">
        <v>90</v>
      </c>
    </row>
    <row r="5347" spans="1:10" x14ac:dyDescent="0.35">
      <c r="A5347">
        <v>17927</v>
      </c>
      <c r="B5347" t="s">
        <v>887</v>
      </c>
      <c r="C5347" t="s">
        <v>92</v>
      </c>
      <c r="D5347" t="s">
        <v>780</v>
      </c>
      <c r="E5347" t="s">
        <v>832</v>
      </c>
      <c r="F5347" t="s">
        <v>244</v>
      </c>
      <c r="G5347" s="39">
        <v>45923</v>
      </c>
      <c r="J5347" t="s">
        <v>90</v>
      </c>
    </row>
    <row r="5348" spans="1:10" x14ac:dyDescent="0.35">
      <c r="A5348">
        <v>560016</v>
      </c>
      <c r="B5348" t="s">
        <v>887</v>
      </c>
      <c r="C5348" t="s">
        <v>92</v>
      </c>
      <c r="D5348" t="s">
        <v>791</v>
      </c>
      <c r="E5348" t="s">
        <v>122</v>
      </c>
      <c r="F5348" t="s">
        <v>244</v>
      </c>
      <c r="G5348" s="39">
        <v>42635</v>
      </c>
      <c r="J5348" t="s">
        <v>90</v>
      </c>
    </row>
    <row r="5349" spans="1:10" x14ac:dyDescent="0.35">
      <c r="A5349">
        <v>13004</v>
      </c>
      <c r="B5349" t="s">
        <v>888</v>
      </c>
      <c r="C5349" t="s">
        <v>92</v>
      </c>
      <c r="D5349" t="s">
        <v>92</v>
      </c>
      <c r="E5349" t="s">
        <v>464</v>
      </c>
      <c r="F5349" t="s">
        <v>244</v>
      </c>
      <c r="G5349" s="39">
        <v>44187</v>
      </c>
      <c r="J5349" t="s">
        <v>90</v>
      </c>
    </row>
    <row r="5350" spans="1:10" x14ac:dyDescent="0.35">
      <c r="A5350">
        <v>300132</v>
      </c>
      <c r="B5350" t="s">
        <v>888</v>
      </c>
      <c r="C5350" t="s">
        <v>92</v>
      </c>
      <c r="D5350" t="s">
        <v>780</v>
      </c>
      <c r="E5350" t="s">
        <v>151</v>
      </c>
      <c r="F5350" t="s">
        <v>244</v>
      </c>
      <c r="G5350" s="39">
        <v>43271</v>
      </c>
      <c r="J5350" t="s">
        <v>90</v>
      </c>
    </row>
    <row r="5351" spans="1:10" x14ac:dyDescent="0.35">
      <c r="A5351">
        <v>14336</v>
      </c>
      <c r="B5351" t="s">
        <v>888</v>
      </c>
      <c r="C5351" t="s">
        <v>92</v>
      </c>
      <c r="D5351" t="s">
        <v>780</v>
      </c>
      <c r="E5351" t="s">
        <v>782</v>
      </c>
      <c r="F5351" t="s">
        <v>244</v>
      </c>
      <c r="G5351" s="39">
        <v>44735</v>
      </c>
      <c r="J5351" t="s">
        <v>90</v>
      </c>
    </row>
    <row r="5352" spans="1:10" x14ac:dyDescent="0.35">
      <c r="A5352">
        <v>300091</v>
      </c>
      <c r="B5352" t="s">
        <v>888</v>
      </c>
      <c r="C5352" t="s">
        <v>92</v>
      </c>
      <c r="D5352" t="s">
        <v>780</v>
      </c>
      <c r="E5352" t="s">
        <v>506</v>
      </c>
      <c r="F5352" t="s">
        <v>244</v>
      </c>
      <c r="G5352" s="39">
        <v>42909</v>
      </c>
      <c r="J5352" t="s">
        <v>90</v>
      </c>
    </row>
    <row r="5353" spans="1:10" x14ac:dyDescent="0.35">
      <c r="A5353">
        <v>580015</v>
      </c>
      <c r="B5353" t="s">
        <v>888</v>
      </c>
      <c r="C5353" t="s">
        <v>92</v>
      </c>
      <c r="D5353" t="s">
        <v>780</v>
      </c>
      <c r="E5353" t="s">
        <v>406</v>
      </c>
      <c r="F5353" t="s">
        <v>244</v>
      </c>
      <c r="G5353" s="39">
        <v>42731</v>
      </c>
      <c r="J5353" t="s">
        <v>90</v>
      </c>
    </row>
    <row r="5354" spans="1:10" x14ac:dyDescent="0.35">
      <c r="A5354">
        <v>580007</v>
      </c>
      <c r="B5354" t="s">
        <v>888</v>
      </c>
      <c r="C5354" t="s">
        <v>92</v>
      </c>
      <c r="D5354" t="s">
        <v>780</v>
      </c>
      <c r="E5354" t="s">
        <v>406</v>
      </c>
      <c r="F5354" t="s">
        <v>244</v>
      </c>
      <c r="G5354" s="39">
        <v>39087</v>
      </c>
      <c r="J5354" t="s">
        <v>90</v>
      </c>
    </row>
    <row r="5355" spans="1:10" x14ac:dyDescent="0.35">
      <c r="A5355">
        <v>580018</v>
      </c>
      <c r="B5355" t="s">
        <v>888</v>
      </c>
      <c r="C5355" t="s">
        <v>92</v>
      </c>
      <c r="D5355" t="s">
        <v>780</v>
      </c>
      <c r="E5355" t="s">
        <v>406</v>
      </c>
      <c r="F5355" t="s">
        <v>244</v>
      </c>
      <c r="G5355" s="39">
        <v>44047</v>
      </c>
      <c r="J5355" t="s">
        <v>90</v>
      </c>
    </row>
    <row r="5356" spans="1:10" x14ac:dyDescent="0.35">
      <c r="A5356">
        <v>18939</v>
      </c>
      <c r="B5356" t="s">
        <v>888</v>
      </c>
      <c r="C5356" t="s">
        <v>92</v>
      </c>
      <c r="D5356" t="s">
        <v>780</v>
      </c>
      <c r="E5356" t="s">
        <v>475</v>
      </c>
      <c r="F5356" t="s">
        <v>244</v>
      </c>
      <c r="G5356" s="39">
        <v>46246</v>
      </c>
      <c r="J5356" t="s">
        <v>90</v>
      </c>
    </row>
    <row r="5357" spans="1:10" x14ac:dyDescent="0.35">
      <c r="A5357">
        <v>16186</v>
      </c>
      <c r="B5357" t="s">
        <v>888</v>
      </c>
      <c r="C5357" t="s">
        <v>92</v>
      </c>
      <c r="D5357" t="s">
        <v>791</v>
      </c>
      <c r="E5357" t="s">
        <v>122</v>
      </c>
      <c r="F5357" t="s">
        <v>244</v>
      </c>
      <c r="G5357" s="39">
        <v>45310</v>
      </c>
      <c r="J5357" t="s">
        <v>90</v>
      </c>
    </row>
    <row r="5358" spans="1:10" x14ac:dyDescent="0.35">
      <c r="A5358">
        <v>810019</v>
      </c>
      <c r="B5358" t="s">
        <v>890</v>
      </c>
      <c r="C5358" t="s">
        <v>92</v>
      </c>
      <c r="D5358" t="s">
        <v>92</v>
      </c>
      <c r="E5358" t="s">
        <v>464</v>
      </c>
      <c r="F5358" t="s">
        <v>244</v>
      </c>
      <c r="G5358" s="39">
        <v>42751</v>
      </c>
      <c r="J5358" t="s">
        <v>90</v>
      </c>
    </row>
    <row r="5359" spans="1:10" x14ac:dyDescent="0.35">
      <c r="A5359">
        <v>830021</v>
      </c>
      <c r="B5359" t="s">
        <v>890</v>
      </c>
      <c r="C5359" t="s">
        <v>92</v>
      </c>
      <c r="D5359" t="s">
        <v>780</v>
      </c>
      <c r="E5359" t="s">
        <v>506</v>
      </c>
      <c r="F5359" t="s">
        <v>244</v>
      </c>
      <c r="G5359" s="39">
        <v>42424</v>
      </c>
      <c r="J5359" t="s">
        <v>90</v>
      </c>
    </row>
    <row r="5360" spans="1:10" x14ac:dyDescent="0.35">
      <c r="A5360">
        <v>17049</v>
      </c>
      <c r="B5360" t="s">
        <v>890</v>
      </c>
      <c r="C5360" t="s">
        <v>92</v>
      </c>
      <c r="D5360" t="s">
        <v>780</v>
      </c>
      <c r="E5360" t="s">
        <v>474</v>
      </c>
      <c r="F5360" t="s">
        <v>244</v>
      </c>
      <c r="G5360" s="39">
        <v>45602</v>
      </c>
      <c r="J5360" t="s">
        <v>90</v>
      </c>
    </row>
    <row r="5361" spans="1:10" x14ac:dyDescent="0.35">
      <c r="A5361">
        <v>830017</v>
      </c>
      <c r="B5361" t="s">
        <v>890</v>
      </c>
      <c r="C5361" t="s">
        <v>92</v>
      </c>
      <c r="D5361" t="s">
        <v>780</v>
      </c>
      <c r="E5361" t="s">
        <v>406</v>
      </c>
      <c r="F5361" t="s">
        <v>244</v>
      </c>
      <c r="G5361" s="39">
        <v>42318</v>
      </c>
      <c r="J5361" t="s">
        <v>90</v>
      </c>
    </row>
    <row r="5362" spans="1:10" x14ac:dyDescent="0.35">
      <c r="A5362">
        <v>420026</v>
      </c>
      <c r="B5362" t="s">
        <v>890</v>
      </c>
      <c r="C5362" t="s">
        <v>92</v>
      </c>
      <c r="D5362" t="s">
        <v>780</v>
      </c>
      <c r="E5362" t="s">
        <v>406</v>
      </c>
      <c r="F5362" t="s">
        <v>244</v>
      </c>
      <c r="G5362" s="39">
        <v>42207</v>
      </c>
      <c r="J5362" t="s">
        <v>90</v>
      </c>
    </row>
    <row r="5363" spans="1:10" x14ac:dyDescent="0.35">
      <c r="A5363">
        <v>830018</v>
      </c>
      <c r="B5363" t="s">
        <v>890</v>
      </c>
      <c r="C5363" t="s">
        <v>92</v>
      </c>
      <c r="D5363" t="s">
        <v>780</v>
      </c>
      <c r="E5363" t="s">
        <v>406</v>
      </c>
      <c r="F5363" t="s">
        <v>411</v>
      </c>
      <c r="G5363" s="39">
        <v>42339</v>
      </c>
      <c r="J5363" t="s">
        <v>90</v>
      </c>
    </row>
    <row r="5364" spans="1:10" x14ac:dyDescent="0.35">
      <c r="A5364">
        <v>17990</v>
      </c>
      <c r="B5364" t="s">
        <v>890</v>
      </c>
      <c r="C5364" t="s">
        <v>92</v>
      </c>
      <c r="D5364" t="s">
        <v>780</v>
      </c>
      <c r="E5364" t="s">
        <v>845</v>
      </c>
      <c r="F5364" t="s">
        <v>244</v>
      </c>
      <c r="G5364" s="39">
        <v>45951</v>
      </c>
      <c r="J5364" t="s">
        <v>90</v>
      </c>
    </row>
    <row r="5365" spans="1:10" x14ac:dyDescent="0.35">
      <c r="A5365">
        <v>830016</v>
      </c>
      <c r="B5365" t="s">
        <v>890</v>
      </c>
      <c r="C5365" t="s">
        <v>92</v>
      </c>
      <c r="D5365" t="s">
        <v>780</v>
      </c>
      <c r="E5365" t="s">
        <v>406</v>
      </c>
      <c r="F5365" t="s">
        <v>244</v>
      </c>
      <c r="G5365" s="39">
        <v>41946</v>
      </c>
      <c r="J5365" t="s">
        <v>90</v>
      </c>
    </row>
    <row r="5366" spans="1:10" x14ac:dyDescent="0.35">
      <c r="A5366">
        <v>830015</v>
      </c>
      <c r="B5366" t="s">
        <v>890</v>
      </c>
      <c r="C5366" t="s">
        <v>92</v>
      </c>
      <c r="D5366" t="s">
        <v>780</v>
      </c>
      <c r="E5366" t="s">
        <v>406</v>
      </c>
      <c r="F5366" t="s">
        <v>411</v>
      </c>
      <c r="G5366" s="39">
        <v>41927</v>
      </c>
      <c r="J5366" t="s">
        <v>90</v>
      </c>
    </row>
    <row r="5367" spans="1:10" x14ac:dyDescent="0.35">
      <c r="A5367">
        <v>18074</v>
      </c>
      <c r="B5367" t="s">
        <v>890</v>
      </c>
      <c r="C5367" t="s">
        <v>92</v>
      </c>
      <c r="D5367" t="s">
        <v>780</v>
      </c>
      <c r="E5367" t="s">
        <v>832</v>
      </c>
      <c r="F5367" t="s">
        <v>244</v>
      </c>
      <c r="G5367" s="39">
        <v>45985</v>
      </c>
      <c r="J5367" t="s">
        <v>90</v>
      </c>
    </row>
    <row r="5368" spans="1:10" x14ac:dyDescent="0.35">
      <c r="A5368">
        <v>830031</v>
      </c>
      <c r="B5368" t="s">
        <v>890</v>
      </c>
      <c r="C5368" t="s">
        <v>92</v>
      </c>
      <c r="D5368" t="s">
        <v>780</v>
      </c>
      <c r="E5368" t="s">
        <v>477</v>
      </c>
      <c r="F5368" t="s">
        <v>411</v>
      </c>
      <c r="G5368" s="39">
        <v>43675</v>
      </c>
      <c r="J5368" t="s">
        <v>90</v>
      </c>
    </row>
    <row r="5369" spans="1:10" x14ac:dyDescent="0.35">
      <c r="A5369">
        <v>16994</v>
      </c>
      <c r="B5369" t="s">
        <v>890</v>
      </c>
      <c r="C5369" t="s">
        <v>92</v>
      </c>
      <c r="D5369" t="s">
        <v>780</v>
      </c>
      <c r="E5369" t="s">
        <v>832</v>
      </c>
      <c r="F5369" t="s">
        <v>244</v>
      </c>
      <c r="G5369" s="39">
        <v>45589</v>
      </c>
      <c r="J5369" t="s">
        <v>90</v>
      </c>
    </row>
    <row r="5370" spans="1:10" x14ac:dyDescent="0.35">
      <c r="A5370">
        <v>830025</v>
      </c>
      <c r="B5370" t="s">
        <v>890</v>
      </c>
      <c r="C5370" t="s">
        <v>92</v>
      </c>
      <c r="D5370" t="s">
        <v>780</v>
      </c>
      <c r="E5370" t="s">
        <v>406</v>
      </c>
      <c r="F5370" t="s">
        <v>244</v>
      </c>
      <c r="G5370" s="39">
        <v>43104</v>
      </c>
      <c r="J5370" t="s">
        <v>90</v>
      </c>
    </row>
    <row r="5371" spans="1:10" x14ac:dyDescent="0.35">
      <c r="A5371">
        <v>17225</v>
      </c>
      <c r="B5371" t="s">
        <v>890</v>
      </c>
      <c r="C5371" t="s">
        <v>92</v>
      </c>
      <c r="D5371" t="s">
        <v>780</v>
      </c>
      <c r="E5371" t="s">
        <v>473</v>
      </c>
      <c r="F5371" t="s">
        <v>244</v>
      </c>
      <c r="G5371" s="39">
        <v>45673</v>
      </c>
      <c r="J5371" t="s">
        <v>90</v>
      </c>
    </row>
    <row r="5372" spans="1:10" x14ac:dyDescent="0.35">
      <c r="A5372">
        <v>17890</v>
      </c>
      <c r="B5372" t="s">
        <v>890</v>
      </c>
      <c r="C5372" t="s">
        <v>92</v>
      </c>
      <c r="D5372" t="s">
        <v>791</v>
      </c>
      <c r="E5372" t="s">
        <v>122</v>
      </c>
      <c r="F5372" t="s">
        <v>244</v>
      </c>
      <c r="G5372" s="39">
        <v>45908</v>
      </c>
      <c r="J5372" t="s">
        <v>90</v>
      </c>
    </row>
    <row r="5373" spans="1:10" x14ac:dyDescent="0.35">
      <c r="A5373">
        <v>11853</v>
      </c>
      <c r="B5373" t="s">
        <v>891</v>
      </c>
      <c r="C5373" t="s">
        <v>92</v>
      </c>
      <c r="D5373" t="s">
        <v>92</v>
      </c>
      <c r="E5373" t="s">
        <v>464</v>
      </c>
      <c r="F5373" t="s">
        <v>244</v>
      </c>
      <c r="G5373" s="39">
        <v>43200</v>
      </c>
      <c r="J5373" t="s">
        <v>90</v>
      </c>
    </row>
    <row r="5374" spans="1:10" x14ac:dyDescent="0.35">
      <c r="A5374">
        <v>670041</v>
      </c>
      <c r="B5374" t="s">
        <v>891</v>
      </c>
      <c r="C5374" t="s">
        <v>92</v>
      </c>
      <c r="D5374" t="s">
        <v>780</v>
      </c>
      <c r="E5374" t="s">
        <v>548</v>
      </c>
      <c r="F5374" t="s">
        <v>244</v>
      </c>
      <c r="G5374" s="39">
        <v>43325</v>
      </c>
      <c r="J5374" t="s">
        <v>90</v>
      </c>
    </row>
    <row r="5375" spans="1:10" x14ac:dyDescent="0.35">
      <c r="A5375">
        <v>14201</v>
      </c>
      <c r="B5375" t="s">
        <v>891</v>
      </c>
      <c r="C5375" t="s">
        <v>92</v>
      </c>
      <c r="D5375" t="s">
        <v>780</v>
      </c>
      <c r="E5375" t="s">
        <v>531</v>
      </c>
      <c r="F5375" t="s">
        <v>244</v>
      </c>
      <c r="G5375" s="39">
        <v>44698</v>
      </c>
      <c r="J5375" t="s">
        <v>90</v>
      </c>
    </row>
    <row r="5376" spans="1:10" x14ac:dyDescent="0.35">
      <c r="A5376">
        <v>750028</v>
      </c>
      <c r="B5376" t="s">
        <v>891</v>
      </c>
      <c r="C5376" t="s">
        <v>92</v>
      </c>
      <c r="D5376" t="s">
        <v>780</v>
      </c>
      <c r="E5376" t="s">
        <v>487</v>
      </c>
      <c r="F5376" t="s">
        <v>244</v>
      </c>
      <c r="G5376" s="39">
        <v>42636</v>
      </c>
      <c r="J5376" t="s">
        <v>90</v>
      </c>
    </row>
    <row r="5377" spans="1:10" x14ac:dyDescent="0.35">
      <c r="A5377">
        <v>750019</v>
      </c>
      <c r="B5377" t="s">
        <v>891</v>
      </c>
      <c r="C5377" t="s">
        <v>92</v>
      </c>
      <c r="D5377" t="s">
        <v>780</v>
      </c>
      <c r="E5377" t="s">
        <v>406</v>
      </c>
      <c r="F5377" t="s">
        <v>244</v>
      </c>
      <c r="G5377" s="39">
        <v>41968</v>
      </c>
      <c r="J5377" t="s">
        <v>90</v>
      </c>
    </row>
    <row r="5378" spans="1:10" x14ac:dyDescent="0.35">
      <c r="A5378">
        <v>750023</v>
      </c>
      <c r="B5378" t="s">
        <v>891</v>
      </c>
      <c r="C5378" t="s">
        <v>92</v>
      </c>
      <c r="D5378" t="s">
        <v>780</v>
      </c>
      <c r="E5378" t="s">
        <v>406</v>
      </c>
      <c r="F5378" t="s">
        <v>244</v>
      </c>
      <c r="G5378" s="39">
        <v>42060</v>
      </c>
      <c r="J5378" t="s">
        <v>90</v>
      </c>
    </row>
    <row r="5379" spans="1:10" x14ac:dyDescent="0.35">
      <c r="A5379">
        <v>430015</v>
      </c>
      <c r="B5379" t="s">
        <v>891</v>
      </c>
      <c r="C5379" t="s">
        <v>92</v>
      </c>
      <c r="D5379" t="s">
        <v>780</v>
      </c>
      <c r="E5379" t="s">
        <v>477</v>
      </c>
      <c r="F5379" t="s">
        <v>244</v>
      </c>
      <c r="G5379" s="39">
        <v>42163</v>
      </c>
      <c r="J5379" t="s">
        <v>90</v>
      </c>
    </row>
    <row r="5380" spans="1:10" x14ac:dyDescent="0.35">
      <c r="A5380">
        <v>750036</v>
      </c>
      <c r="B5380" t="s">
        <v>891</v>
      </c>
      <c r="C5380" t="s">
        <v>92</v>
      </c>
      <c r="D5380" t="s">
        <v>780</v>
      </c>
      <c r="E5380" t="s">
        <v>473</v>
      </c>
      <c r="F5380" t="s">
        <v>244</v>
      </c>
      <c r="G5380" s="39">
        <v>44606</v>
      </c>
      <c r="J5380" t="s">
        <v>90</v>
      </c>
    </row>
    <row r="5381" spans="1:10" x14ac:dyDescent="0.35">
      <c r="A5381">
        <v>750016</v>
      </c>
      <c r="B5381" t="s">
        <v>891</v>
      </c>
      <c r="C5381" t="s">
        <v>92</v>
      </c>
      <c r="D5381" t="s">
        <v>791</v>
      </c>
      <c r="E5381" t="s">
        <v>122</v>
      </c>
      <c r="F5381" t="s">
        <v>244</v>
      </c>
      <c r="G5381" s="39">
        <v>40787</v>
      </c>
      <c r="J5381" t="s">
        <v>90</v>
      </c>
    </row>
    <row r="5382" spans="1:10" x14ac:dyDescent="0.35">
      <c r="A5382">
        <v>550027</v>
      </c>
      <c r="B5382" t="s">
        <v>892</v>
      </c>
      <c r="C5382" t="s">
        <v>92</v>
      </c>
      <c r="D5382" t="s">
        <v>92</v>
      </c>
      <c r="E5382" t="s">
        <v>464</v>
      </c>
      <c r="F5382" t="s">
        <v>244</v>
      </c>
      <c r="G5382" s="39">
        <v>42249</v>
      </c>
      <c r="J5382" t="s">
        <v>90</v>
      </c>
    </row>
    <row r="5383" spans="1:10" x14ac:dyDescent="0.35">
      <c r="A5383">
        <v>670008</v>
      </c>
      <c r="B5383" t="s">
        <v>892</v>
      </c>
      <c r="C5383" t="s">
        <v>92</v>
      </c>
      <c r="D5383" t="s">
        <v>92</v>
      </c>
      <c r="E5383" t="s">
        <v>99</v>
      </c>
      <c r="F5383" t="s">
        <v>244</v>
      </c>
      <c r="G5383" s="39">
        <v>40883</v>
      </c>
      <c r="J5383" t="s">
        <v>90</v>
      </c>
    </row>
    <row r="5384" spans="1:10" x14ac:dyDescent="0.35">
      <c r="A5384">
        <v>440020</v>
      </c>
      <c r="B5384" t="s">
        <v>892</v>
      </c>
      <c r="C5384" t="s">
        <v>92</v>
      </c>
      <c r="D5384" t="s">
        <v>780</v>
      </c>
      <c r="E5384" t="s">
        <v>506</v>
      </c>
      <c r="F5384" t="s">
        <v>244</v>
      </c>
      <c r="G5384" s="39">
        <v>41421</v>
      </c>
      <c r="J5384" t="s">
        <v>90</v>
      </c>
    </row>
    <row r="5385" spans="1:10" x14ac:dyDescent="0.35">
      <c r="A5385">
        <v>16956</v>
      </c>
      <c r="B5385" t="s">
        <v>892</v>
      </c>
      <c r="C5385" t="s">
        <v>92</v>
      </c>
      <c r="D5385" t="s">
        <v>780</v>
      </c>
      <c r="E5385" t="s">
        <v>530</v>
      </c>
      <c r="F5385" t="s">
        <v>244</v>
      </c>
      <c r="G5385" s="39">
        <v>45576</v>
      </c>
      <c r="J5385" t="s">
        <v>90</v>
      </c>
    </row>
    <row r="5386" spans="1:10" x14ac:dyDescent="0.35">
      <c r="A5386">
        <v>12729</v>
      </c>
      <c r="B5386" t="s">
        <v>892</v>
      </c>
      <c r="C5386" t="s">
        <v>92</v>
      </c>
      <c r="D5386" t="s">
        <v>780</v>
      </c>
      <c r="E5386" t="s">
        <v>171</v>
      </c>
      <c r="F5386" t="s">
        <v>244</v>
      </c>
      <c r="G5386" s="39">
        <v>43882</v>
      </c>
      <c r="J5386" t="s">
        <v>90</v>
      </c>
    </row>
    <row r="5387" spans="1:10" x14ac:dyDescent="0.35">
      <c r="A5387">
        <v>13370</v>
      </c>
      <c r="B5387" t="s">
        <v>892</v>
      </c>
      <c r="C5387" t="s">
        <v>92</v>
      </c>
      <c r="D5387" t="s">
        <v>780</v>
      </c>
      <c r="E5387" t="s">
        <v>171</v>
      </c>
      <c r="F5387" t="s">
        <v>244</v>
      </c>
      <c r="G5387" s="39">
        <v>44411</v>
      </c>
      <c r="J5387" t="s">
        <v>90</v>
      </c>
    </row>
    <row r="5388" spans="1:10" x14ac:dyDescent="0.35">
      <c r="A5388">
        <v>16795</v>
      </c>
      <c r="B5388" t="s">
        <v>892</v>
      </c>
      <c r="C5388" t="s">
        <v>92</v>
      </c>
      <c r="D5388" t="s">
        <v>780</v>
      </c>
      <c r="E5388" t="s">
        <v>474</v>
      </c>
      <c r="F5388" t="s">
        <v>244</v>
      </c>
      <c r="G5388" s="39">
        <v>45551</v>
      </c>
      <c r="J5388" t="s">
        <v>90</v>
      </c>
    </row>
    <row r="5389" spans="1:10" x14ac:dyDescent="0.35">
      <c r="A5389">
        <v>440046</v>
      </c>
      <c r="B5389" t="s">
        <v>892</v>
      </c>
      <c r="C5389" t="s">
        <v>92</v>
      </c>
      <c r="D5389" t="s">
        <v>780</v>
      </c>
      <c r="E5389" t="s">
        <v>406</v>
      </c>
      <c r="F5389" t="s">
        <v>244</v>
      </c>
      <c r="G5389" s="39">
        <v>43418</v>
      </c>
      <c r="J5389" t="s">
        <v>90</v>
      </c>
    </row>
    <row r="5390" spans="1:10" x14ac:dyDescent="0.35">
      <c r="A5390">
        <v>440043</v>
      </c>
      <c r="B5390" t="s">
        <v>892</v>
      </c>
      <c r="C5390" t="s">
        <v>92</v>
      </c>
      <c r="D5390" t="s">
        <v>780</v>
      </c>
      <c r="E5390" t="s">
        <v>406</v>
      </c>
      <c r="F5390" t="s">
        <v>244</v>
      </c>
      <c r="G5390" s="39">
        <v>43283</v>
      </c>
      <c r="J5390" t="s">
        <v>90</v>
      </c>
    </row>
    <row r="5391" spans="1:10" x14ac:dyDescent="0.35">
      <c r="A5391">
        <v>440047</v>
      </c>
      <c r="B5391" t="s">
        <v>892</v>
      </c>
      <c r="C5391" t="s">
        <v>92</v>
      </c>
      <c r="D5391" t="s">
        <v>780</v>
      </c>
      <c r="E5391" t="s">
        <v>406</v>
      </c>
      <c r="F5391" t="s">
        <v>244</v>
      </c>
      <c r="G5391" s="39">
        <v>43591</v>
      </c>
      <c r="J5391" t="s">
        <v>90</v>
      </c>
    </row>
    <row r="5392" spans="1:10" x14ac:dyDescent="0.35">
      <c r="A5392">
        <v>440049</v>
      </c>
      <c r="B5392" t="s">
        <v>892</v>
      </c>
      <c r="C5392" t="s">
        <v>92</v>
      </c>
      <c r="D5392" t="s">
        <v>780</v>
      </c>
      <c r="E5392" t="s">
        <v>406</v>
      </c>
      <c r="F5392" t="s">
        <v>244</v>
      </c>
      <c r="G5392" s="39">
        <v>43824</v>
      </c>
      <c r="J5392" t="s">
        <v>90</v>
      </c>
    </row>
    <row r="5393" spans="1:10" x14ac:dyDescent="0.35">
      <c r="A5393">
        <v>440036</v>
      </c>
      <c r="B5393" t="s">
        <v>892</v>
      </c>
      <c r="C5393" t="s">
        <v>92</v>
      </c>
      <c r="D5393" t="s">
        <v>780</v>
      </c>
      <c r="E5393" t="s">
        <v>406</v>
      </c>
      <c r="F5393" t="s">
        <v>244</v>
      </c>
      <c r="G5393" s="39">
        <v>42787</v>
      </c>
      <c r="J5393" t="s">
        <v>90</v>
      </c>
    </row>
    <row r="5394" spans="1:10" x14ac:dyDescent="0.35">
      <c r="A5394">
        <v>440054</v>
      </c>
      <c r="B5394" t="s">
        <v>892</v>
      </c>
      <c r="C5394" t="s">
        <v>92</v>
      </c>
      <c r="D5394" t="s">
        <v>780</v>
      </c>
      <c r="E5394" t="s">
        <v>406</v>
      </c>
      <c r="F5394" t="s">
        <v>244</v>
      </c>
      <c r="G5394" s="39">
        <v>44595</v>
      </c>
      <c r="J5394" t="s">
        <v>90</v>
      </c>
    </row>
    <row r="5395" spans="1:10" x14ac:dyDescent="0.35">
      <c r="A5395">
        <v>440051</v>
      </c>
      <c r="B5395" t="s">
        <v>892</v>
      </c>
      <c r="C5395" t="s">
        <v>92</v>
      </c>
      <c r="D5395" t="s">
        <v>780</v>
      </c>
      <c r="E5395" t="s">
        <v>477</v>
      </c>
      <c r="F5395" t="s">
        <v>244</v>
      </c>
      <c r="G5395" s="39">
        <v>44361</v>
      </c>
      <c r="J5395" t="s">
        <v>90</v>
      </c>
    </row>
    <row r="5396" spans="1:10" x14ac:dyDescent="0.35">
      <c r="A5396">
        <v>440055</v>
      </c>
      <c r="B5396" t="s">
        <v>892</v>
      </c>
      <c r="C5396" t="s">
        <v>92</v>
      </c>
      <c r="D5396" t="s">
        <v>780</v>
      </c>
      <c r="E5396" t="s">
        <v>477</v>
      </c>
      <c r="F5396" t="s">
        <v>244</v>
      </c>
      <c r="G5396" s="39">
        <v>44610</v>
      </c>
      <c r="J5396" t="s">
        <v>90</v>
      </c>
    </row>
    <row r="5397" spans="1:10" x14ac:dyDescent="0.35">
      <c r="A5397">
        <v>440052</v>
      </c>
      <c r="B5397" t="s">
        <v>892</v>
      </c>
      <c r="C5397" t="s">
        <v>92</v>
      </c>
      <c r="D5397" t="s">
        <v>780</v>
      </c>
      <c r="E5397" t="s">
        <v>477</v>
      </c>
      <c r="F5397" t="s">
        <v>244</v>
      </c>
      <c r="G5397" s="39">
        <v>44546</v>
      </c>
      <c r="J5397" t="s">
        <v>90</v>
      </c>
    </row>
    <row r="5398" spans="1:10" x14ac:dyDescent="0.35">
      <c r="A5398">
        <v>15027</v>
      </c>
      <c r="B5398" t="s">
        <v>892</v>
      </c>
      <c r="C5398" t="s">
        <v>92</v>
      </c>
      <c r="D5398" t="s">
        <v>780</v>
      </c>
      <c r="E5398" t="s">
        <v>473</v>
      </c>
      <c r="F5398" t="s">
        <v>244</v>
      </c>
      <c r="G5398" s="39">
        <v>44921</v>
      </c>
      <c r="J5398" t="s">
        <v>90</v>
      </c>
    </row>
    <row r="5399" spans="1:10" x14ac:dyDescent="0.35">
      <c r="A5399">
        <v>16163</v>
      </c>
      <c r="B5399" t="s">
        <v>892</v>
      </c>
      <c r="C5399" t="s">
        <v>92</v>
      </c>
      <c r="D5399" t="s">
        <v>780</v>
      </c>
      <c r="E5399" t="s">
        <v>473</v>
      </c>
      <c r="F5399" t="s">
        <v>244</v>
      </c>
      <c r="G5399" s="39">
        <v>45308</v>
      </c>
      <c r="J5399" t="s">
        <v>90</v>
      </c>
    </row>
    <row r="5400" spans="1:10" x14ac:dyDescent="0.35">
      <c r="A5400">
        <v>440050</v>
      </c>
      <c r="B5400" t="s">
        <v>892</v>
      </c>
      <c r="C5400" t="s">
        <v>92</v>
      </c>
      <c r="D5400" t="s">
        <v>791</v>
      </c>
      <c r="E5400" t="s">
        <v>122</v>
      </c>
      <c r="F5400" t="s">
        <v>244</v>
      </c>
      <c r="G5400" s="39">
        <v>44063</v>
      </c>
      <c r="J5400" t="s">
        <v>90</v>
      </c>
    </row>
    <row r="5401" spans="1:10" x14ac:dyDescent="0.35">
      <c r="A5401">
        <v>15198</v>
      </c>
      <c r="B5401" t="s">
        <v>892</v>
      </c>
      <c r="C5401" t="s">
        <v>92</v>
      </c>
      <c r="D5401" t="s">
        <v>827</v>
      </c>
      <c r="E5401" t="s">
        <v>151</v>
      </c>
      <c r="F5401" t="s">
        <v>244</v>
      </c>
      <c r="G5401" s="39">
        <v>44986</v>
      </c>
      <c r="J5401" t="s">
        <v>90</v>
      </c>
    </row>
    <row r="5402" spans="1:10" x14ac:dyDescent="0.35">
      <c r="A5402">
        <v>118023</v>
      </c>
      <c r="B5402" t="s">
        <v>892</v>
      </c>
      <c r="C5402" t="s">
        <v>92</v>
      </c>
      <c r="D5402" t="s">
        <v>827</v>
      </c>
      <c r="E5402" t="s">
        <v>109</v>
      </c>
      <c r="F5402" t="s">
        <v>244</v>
      </c>
      <c r="G5402" s="39">
        <v>42555</v>
      </c>
      <c r="J5402" t="s">
        <v>90</v>
      </c>
    </row>
    <row r="5403" spans="1:10" x14ac:dyDescent="0.35">
      <c r="A5403">
        <v>440038</v>
      </c>
      <c r="B5403" t="s">
        <v>892</v>
      </c>
      <c r="C5403" t="s">
        <v>92</v>
      </c>
      <c r="D5403" t="s">
        <v>827</v>
      </c>
      <c r="E5403" t="s">
        <v>109</v>
      </c>
      <c r="F5403" t="s">
        <v>244</v>
      </c>
      <c r="G5403" s="39">
        <v>42891</v>
      </c>
      <c r="J5403" t="s">
        <v>90</v>
      </c>
    </row>
    <row r="5404" spans="1:10" x14ac:dyDescent="0.35">
      <c r="A5404">
        <v>14289</v>
      </c>
      <c r="B5404" t="s">
        <v>892</v>
      </c>
      <c r="C5404" t="s">
        <v>92</v>
      </c>
      <c r="D5404" t="s">
        <v>827</v>
      </c>
      <c r="E5404" t="s">
        <v>109</v>
      </c>
      <c r="F5404" t="s">
        <v>244</v>
      </c>
      <c r="G5404" s="39">
        <v>44715</v>
      </c>
      <c r="J5404" t="s">
        <v>90</v>
      </c>
    </row>
    <row r="5405" spans="1:10" x14ac:dyDescent="0.35">
      <c r="A5405">
        <v>17047</v>
      </c>
      <c r="B5405" t="s">
        <v>892</v>
      </c>
      <c r="C5405" t="s">
        <v>92</v>
      </c>
      <c r="D5405" t="s">
        <v>827</v>
      </c>
      <c r="E5405" t="s">
        <v>103</v>
      </c>
      <c r="F5405" t="s">
        <v>244</v>
      </c>
      <c r="G5405" s="39">
        <v>45601</v>
      </c>
      <c r="J5405" t="s">
        <v>90</v>
      </c>
    </row>
    <row r="5406" spans="1:10" x14ac:dyDescent="0.35">
      <c r="A5406">
        <v>17074</v>
      </c>
      <c r="B5406" t="s">
        <v>892</v>
      </c>
      <c r="C5406" t="s">
        <v>92</v>
      </c>
      <c r="D5406" t="s">
        <v>827</v>
      </c>
      <c r="E5406" t="s">
        <v>103</v>
      </c>
      <c r="F5406" t="s">
        <v>244</v>
      </c>
      <c r="G5406" s="39">
        <v>45621</v>
      </c>
      <c r="J5406" t="s">
        <v>90</v>
      </c>
    </row>
    <row r="5407" spans="1:10" x14ac:dyDescent="0.35">
      <c r="A5407">
        <v>870004</v>
      </c>
      <c r="B5407" t="s">
        <v>893</v>
      </c>
      <c r="C5407" t="s">
        <v>92</v>
      </c>
      <c r="D5407" t="s">
        <v>92</v>
      </c>
      <c r="E5407" t="s">
        <v>464</v>
      </c>
      <c r="F5407" t="s">
        <v>244</v>
      </c>
      <c r="G5407" s="39">
        <v>39394</v>
      </c>
      <c r="J5407" t="s">
        <v>90</v>
      </c>
    </row>
    <row r="5408" spans="1:10" x14ac:dyDescent="0.35">
      <c r="A5408">
        <v>880027</v>
      </c>
      <c r="B5408" t="s">
        <v>893</v>
      </c>
      <c r="C5408" t="s">
        <v>92</v>
      </c>
      <c r="D5408" t="s">
        <v>780</v>
      </c>
      <c r="E5408" t="s">
        <v>151</v>
      </c>
      <c r="F5408" t="s">
        <v>244</v>
      </c>
      <c r="G5408" s="39">
        <v>42241</v>
      </c>
      <c r="J5408" t="s">
        <v>90</v>
      </c>
    </row>
    <row r="5409" spans="1:10" x14ac:dyDescent="0.35">
      <c r="A5409">
        <v>410027</v>
      </c>
      <c r="B5409" t="s">
        <v>893</v>
      </c>
      <c r="C5409" t="s">
        <v>92</v>
      </c>
      <c r="D5409" t="s">
        <v>780</v>
      </c>
      <c r="E5409" t="s">
        <v>506</v>
      </c>
      <c r="F5409" t="s">
        <v>244</v>
      </c>
      <c r="G5409" s="39">
        <v>38240</v>
      </c>
      <c r="J5409" t="s">
        <v>90</v>
      </c>
    </row>
    <row r="5410" spans="1:10" x14ac:dyDescent="0.35">
      <c r="A5410">
        <v>410048</v>
      </c>
      <c r="B5410" t="s">
        <v>893</v>
      </c>
      <c r="C5410" t="s">
        <v>92</v>
      </c>
      <c r="D5410" t="s">
        <v>780</v>
      </c>
      <c r="E5410" t="s">
        <v>506</v>
      </c>
      <c r="F5410" t="s">
        <v>244</v>
      </c>
      <c r="G5410" s="39">
        <v>42759</v>
      </c>
      <c r="J5410" t="s">
        <v>90</v>
      </c>
    </row>
    <row r="5411" spans="1:10" x14ac:dyDescent="0.35">
      <c r="A5411">
        <v>15569</v>
      </c>
      <c r="B5411" t="s">
        <v>893</v>
      </c>
      <c r="C5411" t="s">
        <v>92</v>
      </c>
      <c r="D5411" t="s">
        <v>780</v>
      </c>
      <c r="E5411" t="s">
        <v>496</v>
      </c>
      <c r="F5411" t="s">
        <v>244</v>
      </c>
      <c r="G5411" s="39">
        <v>45128</v>
      </c>
      <c r="J5411" t="s">
        <v>90</v>
      </c>
    </row>
    <row r="5412" spans="1:10" x14ac:dyDescent="0.35">
      <c r="A5412">
        <v>16167</v>
      </c>
      <c r="B5412" t="s">
        <v>893</v>
      </c>
      <c r="C5412" t="s">
        <v>92</v>
      </c>
      <c r="D5412" t="s">
        <v>780</v>
      </c>
      <c r="E5412" t="s">
        <v>496</v>
      </c>
      <c r="F5412" t="s">
        <v>244</v>
      </c>
      <c r="G5412" s="39">
        <v>45308</v>
      </c>
      <c r="J5412" t="s">
        <v>90</v>
      </c>
    </row>
    <row r="5413" spans="1:10" x14ac:dyDescent="0.35">
      <c r="A5413">
        <v>18008</v>
      </c>
      <c r="B5413" t="s">
        <v>893</v>
      </c>
      <c r="C5413" t="s">
        <v>92</v>
      </c>
      <c r="D5413" t="s">
        <v>780</v>
      </c>
      <c r="E5413" t="s">
        <v>783</v>
      </c>
      <c r="F5413" t="s">
        <v>244</v>
      </c>
      <c r="G5413" s="39">
        <v>45958</v>
      </c>
      <c r="J5413" t="s">
        <v>90</v>
      </c>
    </row>
    <row r="5414" spans="1:10" x14ac:dyDescent="0.35">
      <c r="A5414">
        <v>18152</v>
      </c>
      <c r="B5414" t="s">
        <v>893</v>
      </c>
      <c r="C5414" t="s">
        <v>92</v>
      </c>
      <c r="D5414" t="s">
        <v>780</v>
      </c>
      <c r="E5414" t="s">
        <v>783</v>
      </c>
      <c r="F5414" t="s">
        <v>244</v>
      </c>
      <c r="G5414" s="39">
        <v>46016</v>
      </c>
      <c r="J5414" t="s">
        <v>90</v>
      </c>
    </row>
    <row r="5415" spans="1:10" x14ac:dyDescent="0.35">
      <c r="A5415">
        <v>17120</v>
      </c>
      <c r="B5415" t="s">
        <v>893</v>
      </c>
      <c r="C5415" t="s">
        <v>92</v>
      </c>
      <c r="D5415" t="s">
        <v>780</v>
      </c>
      <c r="E5415" t="s">
        <v>474</v>
      </c>
      <c r="F5415" t="s">
        <v>244</v>
      </c>
      <c r="G5415" s="39">
        <v>45638</v>
      </c>
      <c r="J5415" t="s">
        <v>90</v>
      </c>
    </row>
    <row r="5416" spans="1:10" x14ac:dyDescent="0.35">
      <c r="A5416">
        <v>14572</v>
      </c>
      <c r="B5416" t="s">
        <v>893</v>
      </c>
      <c r="C5416" t="s">
        <v>92</v>
      </c>
      <c r="D5416" t="s">
        <v>780</v>
      </c>
      <c r="E5416" t="s">
        <v>487</v>
      </c>
      <c r="F5416" t="s">
        <v>244</v>
      </c>
      <c r="G5416" s="39">
        <v>44788</v>
      </c>
      <c r="J5416" t="s">
        <v>90</v>
      </c>
    </row>
    <row r="5417" spans="1:10" x14ac:dyDescent="0.35">
      <c r="A5417">
        <v>300095</v>
      </c>
      <c r="B5417" t="s">
        <v>893</v>
      </c>
      <c r="C5417" t="s">
        <v>92</v>
      </c>
      <c r="D5417" t="s">
        <v>780</v>
      </c>
      <c r="E5417" t="s">
        <v>406</v>
      </c>
      <c r="F5417" t="s">
        <v>244</v>
      </c>
      <c r="G5417" s="39">
        <v>42934</v>
      </c>
      <c r="J5417" t="s">
        <v>90</v>
      </c>
    </row>
    <row r="5418" spans="1:10" x14ac:dyDescent="0.35">
      <c r="A5418">
        <v>410055</v>
      </c>
      <c r="B5418" t="s">
        <v>893</v>
      </c>
      <c r="C5418" t="s">
        <v>92</v>
      </c>
      <c r="D5418" t="s">
        <v>780</v>
      </c>
      <c r="E5418" t="s">
        <v>406</v>
      </c>
      <c r="F5418" t="s">
        <v>244</v>
      </c>
      <c r="G5418" s="39">
        <v>43124</v>
      </c>
      <c r="J5418" t="s">
        <v>90</v>
      </c>
    </row>
    <row r="5419" spans="1:10" x14ac:dyDescent="0.35">
      <c r="A5419">
        <v>410035</v>
      </c>
      <c r="B5419" t="s">
        <v>893</v>
      </c>
      <c r="C5419" t="s">
        <v>92</v>
      </c>
      <c r="D5419" t="s">
        <v>780</v>
      </c>
      <c r="E5419" t="s">
        <v>406</v>
      </c>
      <c r="F5419" t="s">
        <v>244</v>
      </c>
      <c r="G5419" s="39">
        <v>42082</v>
      </c>
      <c r="J5419" t="s">
        <v>90</v>
      </c>
    </row>
    <row r="5420" spans="1:10" x14ac:dyDescent="0.35">
      <c r="A5420">
        <v>480031</v>
      </c>
      <c r="B5420" t="s">
        <v>893</v>
      </c>
      <c r="C5420" t="s">
        <v>92</v>
      </c>
      <c r="D5420" t="s">
        <v>780</v>
      </c>
      <c r="E5420" t="s">
        <v>406</v>
      </c>
      <c r="F5420" t="s">
        <v>244</v>
      </c>
      <c r="G5420" s="39">
        <v>43455</v>
      </c>
      <c r="J5420" t="s">
        <v>90</v>
      </c>
    </row>
    <row r="5421" spans="1:10" x14ac:dyDescent="0.35">
      <c r="A5421">
        <v>410037</v>
      </c>
      <c r="B5421" t="s">
        <v>893</v>
      </c>
      <c r="C5421" t="s">
        <v>92</v>
      </c>
      <c r="D5421" t="s">
        <v>780</v>
      </c>
      <c r="E5421" t="s">
        <v>406</v>
      </c>
      <c r="F5421" t="s">
        <v>244</v>
      </c>
      <c r="G5421" s="39">
        <v>42095</v>
      </c>
      <c r="J5421" t="s">
        <v>90</v>
      </c>
    </row>
    <row r="5422" spans="1:10" x14ac:dyDescent="0.35">
      <c r="A5422">
        <v>880044</v>
      </c>
      <c r="B5422" t="s">
        <v>893</v>
      </c>
      <c r="C5422" t="s">
        <v>92</v>
      </c>
      <c r="D5422" t="s">
        <v>780</v>
      </c>
      <c r="E5422" t="s">
        <v>406</v>
      </c>
      <c r="F5422" t="s">
        <v>244</v>
      </c>
      <c r="G5422" s="39">
        <v>43565</v>
      </c>
      <c r="J5422" t="s">
        <v>90</v>
      </c>
    </row>
    <row r="5423" spans="1:10" x14ac:dyDescent="0.35">
      <c r="A5423">
        <v>410034</v>
      </c>
      <c r="B5423" t="s">
        <v>893</v>
      </c>
      <c r="C5423" t="s">
        <v>92</v>
      </c>
      <c r="D5423" t="s">
        <v>780</v>
      </c>
      <c r="E5423" t="s">
        <v>406</v>
      </c>
      <c r="F5423" t="s">
        <v>244</v>
      </c>
      <c r="G5423" s="39">
        <v>42081</v>
      </c>
      <c r="J5423" t="s">
        <v>90</v>
      </c>
    </row>
    <row r="5424" spans="1:10" x14ac:dyDescent="0.35">
      <c r="A5424">
        <v>410060</v>
      </c>
      <c r="B5424" t="s">
        <v>893</v>
      </c>
      <c r="C5424" t="s">
        <v>92</v>
      </c>
      <c r="D5424" t="s">
        <v>780</v>
      </c>
      <c r="E5424" t="s">
        <v>477</v>
      </c>
      <c r="F5424" t="s">
        <v>411</v>
      </c>
      <c r="G5424" s="39">
        <v>43824</v>
      </c>
      <c r="J5424" t="s">
        <v>90</v>
      </c>
    </row>
    <row r="5425" spans="1:10" x14ac:dyDescent="0.35">
      <c r="A5425">
        <v>18235</v>
      </c>
      <c r="B5425" t="s">
        <v>893</v>
      </c>
      <c r="C5425" t="s">
        <v>92</v>
      </c>
      <c r="D5425" t="s">
        <v>780</v>
      </c>
      <c r="E5425" t="s">
        <v>835</v>
      </c>
      <c r="F5425" t="s">
        <v>244</v>
      </c>
      <c r="G5425" s="39">
        <v>46066</v>
      </c>
      <c r="J5425" t="s">
        <v>90</v>
      </c>
    </row>
    <row r="5426" spans="1:10" x14ac:dyDescent="0.35">
      <c r="A5426">
        <v>15413</v>
      </c>
      <c r="B5426" t="s">
        <v>893</v>
      </c>
      <c r="C5426" t="s">
        <v>92</v>
      </c>
      <c r="D5426" t="s">
        <v>780</v>
      </c>
      <c r="E5426" t="s">
        <v>473</v>
      </c>
      <c r="F5426" t="s">
        <v>244</v>
      </c>
      <c r="G5426" s="39">
        <v>45064</v>
      </c>
      <c r="J5426" t="s">
        <v>90</v>
      </c>
    </row>
    <row r="5427" spans="1:10" x14ac:dyDescent="0.35">
      <c r="A5427">
        <v>15244</v>
      </c>
      <c r="B5427" t="s">
        <v>893</v>
      </c>
      <c r="C5427" t="s">
        <v>92</v>
      </c>
      <c r="D5427" t="s">
        <v>780</v>
      </c>
      <c r="E5427" t="s">
        <v>477</v>
      </c>
      <c r="F5427" t="s">
        <v>244</v>
      </c>
      <c r="G5427" s="39">
        <v>44999</v>
      </c>
      <c r="J5427" t="s">
        <v>90</v>
      </c>
    </row>
    <row r="5428" spans="1:10" x14ac:dyDescent="0.35">
      <c r="A5428">
        <v>15501</v>
      </c>
      <c r="B5428" t="s">
        <v>893</v>
      </c>
      <c r="C5428" t="s">
        <v>92</v>
      </c>
      <c r="D5428" t="s">
        <v>780</v>
      </c>
      <c r="E5428" t="s">
        <v>473</v>
      </c>
      <c r="F5428" t="s">
        <v>244</v>
      </c>
      <c r="G5428" s="39">
        <v>45099</v>
      </c>
      <c r="J5428" t="s">
        <v>90</v>
      </c>
    </row>
    <row r="5429" spans="1:10" x14ac:dyDescent="0.35">
      <c r="A5429">
        <v>16695</v>
      </c>
      <c r="B5429" t="s">
        <v>893</v>
      </c>
      <c r="C5429" t="s">
        <v>92</v>
      </c>
      <c r="D5429" t="s">
        <v>780</v>
      </c>
      <c r="E5429" t="s">
        <v>473</v>
      </c>
      <c r="F5429" t="s">
        <v>244</v>
      </c>
      <c r="G5429" s="39">
        <v>45527</v>
      </c>
      <c r="J5429" t="s">
        <v>90</v>
      </c>
    </row>
    <row r="5430" spans="1:10" x14ac:dyDescent="0.35">
      <c r="A5430">
        <v>17236</v>
      </c>
      <c r="B5430" t="s">
        <v>893</v>
      </c>
      <c r="C5430" t="s">
        <v>92</v>
      </c>
      <c r="D5430" t="s">
        <v>780</v>
      </c>
      <c r="E5430" t="s">
        <v>473</v>
      </c>
      <c r="F5430" t="s">
        <v>244</v>
      </c>
      <c r="G5430" s="39">
        <v>45679</v>
      </c>
      <c r="J5430" t="s">
        <v>90</v>
      </c>
    </row>
    <row r="5431" spans="1:10" x14ac:dyDescent="0.35">
      <c r="A5431">
        <v>16675</v>
      </c>
      <c r="B5431" t="s">
        <v>893</v>
      </c>
      <c r="C5431" t="s">
        <v>92</v>
      </c>
      <c r="D5431" t="s">
        <v>780</v>
      </c>
      <c r="E5431" t="s">
        <v>473</v>
      </c>
      <c r="F5431" t="s">
        <v>244</v>
      </c>
      <c r="G5431" s="39">
        <v>45517</v>
      </c>
      <c r="J5431" t="s">
        <v>90</v>
      </c>
    </row>
    <row r="5432" spans="1:10" x14ac:dyDescent="0.35">
      <c r="A5432">
        <v>410068</v>
      </c>
      <c r="B5432" t="s">
        <v>893</v>
      </c>
      <c r="C5432" t="s">
        <v>92</v>
      </c>
      <c r="D5432" t="s">
        <v>791</v>
      </c>
      <c r="E5432" t="s">
        <v>122</v>
      </c>
      <c r="F5432" t="s">
        <v>244</v>
      </c>
      <c r="G5432" s="39">
        <v>44574</v>
      </c>
      <c r="J5432" t="s">
        <v>90</v>
      </c>
    </row>
    <row r="5433" spans="1:10" x14ac:dyDescent="0.35">
      <c r="A5433">
        <v>15043</v>
      </c>
      <c r="B5433" t="s">
        <v>893</v>
      </c>
      <c r="C5433" t="s">
        <v>92</v>
      </c>
      <c r="D5433" t="s">
        <v>791</v>
      </c>
      <c r="E5433" t="s">
        <v>122</v>
      </c>
      <c r="F5433" t="s">
        <v>244</v>
      </c>
      <c r="G5433" s="39">
        <v>44931</v>
      </c>
      <c r="J5433" t="s">
        <v>90</v>
      </c>
    </row>
    <row r="5434" spans="1:10" x14ac:dyDescent="0.35">
      <c r="A5434">
        <v>570047</v>
      </c>
      <c r="B5434" t="s">
        <v>893</v>
      </c>
      <c r="C5434" t="s">
        <v>92</v>
      </c>
      <c r="D5434" t="s">
        <v>827</v>
      </c>
      <c r="E5434" t="s">
        <v>151</v>
      </c>
      <c r="F5434" t="s">
        <v>244</v>
      </c>
      <c r="G5434" s="39">
        <v>44467</v>
      </c>
      <c r="J5434" t="s">
        <v>90</v>
      </c>
    </row>
    <row r="5435" spans="1:10" x14ac:dyDescent="0.35">
      <c r="A5435">
        <v>14120</v>
      </c>
      <c r="B5435" t="s">
        <v>893</v>
      </c>
      <c r="C5435" t="s">
        <v>92</v>
      </c>
      <c r="D5435" t="s">
        <v>827</v>
      </c>
      <c r="E5435" t="s">
        <v>109</v>
      </c>
      <c r="F5435" t="s">
        <v>244</v>
      </c>
      <c r="G5435" s="39">
        <v>44665</v>
      </c>
      <c r="J5435" t="s">
        <v>90</v>
      </c>
    </row>
    <row r="5436" spans="1:10" x14ac:dyDescent="0.35">
      <c r="A5436">
        <v>410064</v>
      </c>
      <c r="B5436" t="s">
        <v>893</v>
      </c>
      <c r="C5436" t="s">
        <v>92</v>
      </c>
      <c r="D5436" t="s">
        <v>827</v>
      </c>
      <c r="E5436" t="s">
        <v>109</v>
      </c>
      <c r="F5436" t="s">
        <v>244</v>
      </c>
      <c r="G5436" s="39">
        <v>44440</v>
      </c>
      <c r="J5436" t="s">
        <v>90</v>
      </c>
    </row>
    <row r="5437" spans="1:10" x14ac:dyDescent="0.35">
      <c r="A5437">
        <v>410065</v>
      </c>
      <c r="B5437" t="s">
        <v>893</v>
      </c>
      <c r="C5437" t="s">
        <v>92</v>
      </c>
      <c r="D5437" t="s">
        <v>827</v>
      </c>
      <c r="E5437" t="s">
        <v>109</v>
      </c>
      <c r="F5437" t="s">
        <v>244</v>
      </c>
      <c r="G5437" s="39">
        <v>44516</v>
      </c>
      <c r="J5437" t="s">
        <v>90</v>
      </c>
    </row>
    <row r="5438" spans="1:10" x14ac:dyDescent="0.35">
      <c r="A5438">
        <v>410063</v>
      </c>
      <c r="B5438" t="s">
        <v>893</v>
      </c>
      <c r="C5438" t="s">
        <v>92</v>
      </c>
      <c r="D5438" t="s">
        <v>827</v>
      </c>
      <c r="E5438" t="s">
        <v>102</v>
      </c>
      <c r="F5438" t="s">
        <v>244</v>
      </c>
      <c r="G5438" s="39">
        <v>44440</v>
      </c>
      <c r="J5438" t="s">
        <v>90</v>
      </c>
    </row>
    <row r="5439" spans="1:10" x14ac:dyDescent="0.35">
      <c r="A5439">
        <v>18329</v>
      </c>
      <c r="B5439" t="s">
        <v>893</v>
      </c>
      <c r="C5439" t="s">
        <v>92</v>
      </c>
      <c r="D5439" t="s">
        <v>827</v>
      </c>
      <c r="E5439" t="s">
        <v>106</v>
      </c>
      <c r="F5439" t="s">
        <v>244</v>
      </c>
      <c r="G5439" s="39">
        <v>46092</v>
      </c>
      <c r="J5439" t="s">
        <v>90</v>
      </c>
    </row>
    <row r="5440" spans="1:10" x14ac:dyDescent="0.35">
      <c r="A5440">
        <v>840016</v>
      </c>
      <c r="B5440" t="s">
        <v>895</v>
      </c>
      <c r="C5440" t="s">
        <v>92</v>
      </c>
      <c r="D5440" t="s">
        <v>92</v>
      </c>
      <c r="E5440" t="s">
        <v>464</v>
      </c>
      <c r="F5440" t="s">
        <v>244</v>
      </c>
      <c r="G5440" s="39">
        <v>42269</v>
      </c>
      <c r="J5440" t="s">
        <v>90</v>
      </c>
    </row>
    <row r="5441" spans="1:10" x14ac:dyDescent="0.35">
      <c r="A5441">
        <v>12036</v>
      </c>
      <c r="B5441" t="s">
        <v>895</v>
      </c>
      <c r="C5441" t="s">
        <v>92</v>
      </c>
      <c r="D5441" t="s">
        <v>92</v>
      </c>
      <c r="E5441" t="s">
        <v>99</v>
      </c>
      <c r="F5441" t="s">
        <v>244</v>
      </c>
      <c r="G5441" s="39">
        <v>43397</v>
      </c>
      <c r="J5441" t="s">
        <v>90</v>
      </c>
    </row>
    <row r="5442" spans="1:10" x14ac:dyDescent="0.35">
      <c r="A5442">
        <v>550043</v>
      </c>
      <c r="B5442" t="s">
        <v>895</v>
      </c>
      <c r="C5442" t="s">
        <v>92</v>
      </c>
      <c r="D5442" t="s">
        <v>780</v>
      </c>
      <c r="E5442" t="s">
        <v>506</v>
      </c>
      <c r="F5442" t="s">
        <v>244</v>
      </c>
      <c r="G5442" s="39">
        <v>44594</v>
      </c>
      <c r="J5442" t="s">
        <v>90</v>
      </c>
    </row>
    <row r="5443" spans="1:10" x14ac:dyDescent="0.35">
      <c r="A5443">
        <v>550010</v>
      </c>
      <c r="B5443" t="s">
        <v>895</v>
      </c>
      <c r="C5443" t="s">
        <v>92</v>
      </c>
      <c r="D5443" t="s">
        <v>780</v>
      </c>
      <c r="E5443" t="s">
        <v>171</v>
      </c>
      <c r="F5443" t="s">
        <v>244</v>
      </c>
      <c r="G5443" s="39">
        <v>37996</v>
      </c>
      <c r="J5443" t="s">
        <v>90</v>
      </c>
    </row>
    <row r="5444" spans="1:10" x14ac:dyDescent="0.35">
      <c r="A5444">
        <v>11689</v>
      </c>
      <c r="B5444" t="s">
        <v>895</v>
      </c>
      <c r="C5444" t="s">
        <v>92</v>
      </c>
      <c r="D5444" t="s">
        <v>780</v>
      </c>
      <c r="E5444" t="s">
        <v>171</v>
      </c>
      <c r="F5444" t="s">
        <v>244</v>
      </c>
      <c r="G5444" s="39">
        <v>43021</v>
      </c>
      <c r="J5444" t="s">
        <v>90</v>
      </c>
    </row>
    <row r="5445" spans="1:10" x14ac:dyDescent="0.35">
      <c r="A5445">
        <v>18137</v>
      </c>
      <c r="B5445" t="s">
        <v>895</v>
      </c>
      <c r="C5445" t="s">
        <v>92</v>
      </c>
      <c r="D5445" t="s">
        <v>780</v>
      </c>
      <c r="E5445" t="s">
        <v>783</v>
      </c>
      <c r="F5445" t="s">
        <v>244</v>
      </c>
      <c r="G5445" s="39">
        <v>46009</v>
      </c>
      <c r="J5445" t="s">
        <v>90</v>
      </c>
    </row>
    <row r="5446" spans="1:10" x14ac:dyDescent="0.35">
      <c r="A5446">
        <v>18313</v>
      </c>
      <c r="B5446" t="s">
        <v>895</v>
      </c>
      <c r="C5446" t="s">
        <v>92</v>
      </c>
      <c r="D5446" t="s">
        <v>780</v>
      </c>
      <c r="E5446" t="s">
        <v>783</v>
      </c>
      <c r="F5446" t="s">
        <v>244</v>
      </c>
      <c r="G5446" s="39">
        <v>46084</v>
      </c>
      <c r="J5446" t="s">
        <v>90</v>
      </c>
    </row>
    <row r="5447" spans="1:10" x14ac:dyDescent="0.35">
      <c r="A5447">
        <v>17606</v>
      </c>
      <c r="B5447" t="s">
        <v>895</v>
      </c>
      <c r="C5447" t="s">
        <v>92</v>
      </c>
      <c r="D5447" t="s">
        <v>780</v>
      </c>
      <c r="E5447" t="s">
        <v>474</v>
      </c>
      <c r="F5447" t="s">
        <v>244</v>
      </c>
      <c r="G5447" s="39">
        <v>45813</v>
      </c>
      <c r="J5447" t="s">
        <v>90</v>
      </c>
    </row>
    <row r="5448" spans="1:10" x14ac:dyDescent="0.35">
      <c r="A5448">
        <v>550039</v>
      </c>
      <c r="B5448" t="s">
        <v>895</v>
      </c>
      <c r="C5448" t="s">
        <v>92</v>
      </c>
      <c r="D5448" t="s">
        <v>780</v>
      </c>
      <c r="E5448" t="s">
        <v>406</v>
      </c>
      <c r="F5448" t="s">
        <v>244</v>
      </c>
      <c r="G5448" s="39">
        <v>43628</v>
      </c>
      <c r="J5448" t="s">
        <v>90</v>
      </c>
    </row>
    <row r="5449" spans="1:10" x14ac:dyDescent="0.35">
      <c r="A5449">
        <v>550033</v>
      </c>
      <c r="B5449" t="s">
        <v>895</v>
      </c>
      <c r="C5449" t="s">
        <v>92</v>
      </c>
      <c r="D5449" t="s">
        <v>780</v>
      </c>
      <c r="E5449" t="s">
        <v>406</v>
      </c>
      <c r="F5449" t="s">
        <v>244</v>
      </c>
      <c r="G5449" s="39">
        <v>42578</v>
      </c>
      <c r="J5449" t="s">
        <v>90</v>
      </c>
    </row>
    <row r="5450" spans="1:10" x14ac:dyDescent="0.35">
      <c r="A5450">
        <v>550037</v>
      </c>
      <c r="B5450" t="s">
        <v>895</v>
      </c>
      <c r="C5450" t="s">
        <v>92</v>
      </c>
      <c r="D5450" t="s">
        <v>780</v>
      </c>
      <c r="E5450" t="s">
        <v>406</v>
      </c>
      <c r="F5450" t="s">
        <v>244</v>
      </c>
      <c r="G5450" s="39">
        <v>43273</v>
      </c>
      <c r="J5450" t="s">
        <v>90</v>
      </c>
    </row>
    <row r="5451" spans="1:10" x14ac:dyDescent="0.35">
      <c r="A5451">
        <v>550040</v>
      </c>
      <c r="B5451" t="s">
        <v>895</v>
      </c>
      <c r="C5451" t="s">
        <v>92</v>
      </c>
      <c r="D5451" t="s">
        <v>780</v>
      </c>
      <c r="E5451" t="s">
        <v>406</v>
      </c>
      <c r="F5451" t="s">
        <v>244</v>
      </c>
      <c r="G5451" s="39">
        <v>43668</v>
      </c>
      <c r="J5451" t="s">
        <v>90</v>
      </c>
    </row>
    <row r="5452" spans="1:10" x14ac:dyDescent="0.35">
      <c r="A5452">
        <v>15276</v>
      </c>
      <c r="B5452" t="s">
        <v>895</v>
      </c>
      <c r="C5452" t="s">
        <v>92</v>
      </c>
      <c r="D5452" t="s">
        <v>780</v>
      </c>
      <c r="E5452" t="s">
        <v>477</v>
      </c>
      <c r="F5452" t="s">
        <v>244</v>
      </c>
      <c r="G5452" s="39">
        <v>45019</v>
      </c>
      <c r="J5452" t="s">
        <v>90</v>
      </c>
    </row>
    <row r="5453" spans="1:10" x14ac:dyDescent="0.35">
      <c r="A5453">
        <v>18416</v>
      </c>
      <c r="B5453" t="s">
        <v>895</v>
      </c>
      <c r="C5453" t="s">
        <v>92</v>
      </c>
      <c r="D5453" t="s">
        <v>780</v>
      </c>
      <c r="E5453" t="s">
        <v>823</v>
      </c>
      <c r="F5453" t="s">
        <v>244</v>
      </c>
      <c r="G5453" s="39">
        <v>46126</v>
      </c>
      <c r="J5453" t="s">
        <v>90</v>
      </c>
    </row>
    <row r="5454" spans="1:10" x14ac:dyDescent="0.35">
      <c r="A5454">
        <v>15083</v>
      </c>
      <c r="B5454" t="s">
        <v>895</v>
      </c>
      <c r="C5454" t="s">
        <v>92</v>
      </c>
      <c r="D5454" t="s">
        <v>780</v>
      </c>
      <c r="E5454" t="s">
        <v>477</v>
      </c>
      <c r="F5454" t="s">
        <v>244</v>
      </c>
      <c r="G5454" s="39">
        <v>44943</v>
      </c>
      <c r="J5454" t="s">
        <v>90</v>
      </c>
    </row>
    <row r="5455" spans="1:10" x14ac:dyDescent="0.35">
      <c r="A5455">
        <v>16140</v>
      </c>
      <c r="B5455" t="s">
        <v>895</v>
      </c>
      <c r="C5455" t="s">
        <v>92</v>
      </c>
      <c r="D5455" t="s">
        <v>780</v>
      </c>
      <c r="E5455" t="s">
        <v>477</v>
      </c>
      <c r="F5455" t="s">
        <v>244</v>
      </c>
      <c r="G5455" s="39">
        <v>45302</v>
      </c>
      <c r="J5455" t="s">
        <v>90</v>
      </c>
    </row>
    <row r="5456" spans="1:10" x14ac:dyDescent="0.35">
      <c r="A5456">
        <v>550044</v>
      </c>
      <c r="B5456" t="s">
        <v>895</v>
      </c>
      <c r="C5456" t="s">
        <v>92</v>
      </c>
      <c r="D5456" t="s">
        <v>780</v>
      </c>
      <c r="E5456" t="s">
        <v>473</v>
      </c>
      <c r="F5456" t="s">
        <v>244</v>
      </c>
      <c r="G5456" s="39">
        <v>44609</v>
      </c>
      <c r="J5456" t="s">
        <v>90</v>
      </c>
    </row>
    <row r="5457" spans="1:10" x14ac:dyDescent="0.35">
      <c r="A5457">
        <v>18625</v>
      </c>
      <c r="B5457" t="s">
        <v>895</v>
      </c>
      <c r="C5457" t="s">
        <v>92</v>
      </c>
      <c r="D5457" t="s">
        <v>780</v>
      </c>
      <c r="E5457" t="s">
        <v>853</v>
      </c>
      <c r="F5457" t="s">
        <v>244</v>
      </c>
      <c r="G5457" s="39">
        <v>46176</v>
      </c>
      <c r="J5457" t="s">
        <v>90</v>
      </c>
    </row>
    <row r="5458" spans="1:10" x14ac:dyDescent="0.35">
      <c r="A5458">
        <v>17496</v>
      </c>
      <c r="B5458" t="s">
        <v>895</v>
      </c>
      <c r="C5458" t="s">
        <v>92</v>
      </c>
      <c r="D5458" t="s">
        <v>791</v>
      </c>
      <c r="E5458" t="s">
        <v>122</v>
      </c>
      <c r="F5458" t="s">
        <v>244</v>
      </c>
      <c r="G5458" s="39">
        <v>45770</v>
      </c>
      <c r="J5458" t="s">
        <v>90</v>
      </c>
    </row>
    <row r="5459" spans="1:10" x14ac:dyDescent="0.35">
      <c r="A5459">
        <v>730031</v>
      </c>
      <c r="B5459" t="s">
        <v>896</v>
      </c>
      <c r="C5459" t="s">
        <v>92</v>
      </c>
      <c r="D5459" t="s">
        <v>92</v>
      </c>
      <c r="E5459" t="s">
        <v>464</v>
      </c>
      <c r="F5459" t="s">
        <v>244</v>
      </c>
      <c r="G5459" s="39">
        <v>42265</v>
      </c>
      <c r="J5459" t="s">
        <v>90</v>
      </c>
    </row>
    <row r="5460" spans="1:10" x14ac:dyDescent="0.35">
      <c r="A5460">
        <v>730049</v>
      </c>
      <c r="B5460" t="s">
        <v>896</v>
      </c>
      <c r="C5460" t="s">
        <v>92</v>
      </c>
      <c r="D5460" t="s">
        <v>780</v>
      </c>
      <c r="E5460" t="s">
        <v>406</v>
      </c>
      <c r="F5460" t="s">
        <v>244</v>
      </c>
      <c r="G5460" s="39">
        <v>44363</v>
      </c>
      <c r="J5460" t="s">
        <v>90</v>
      </c>
    </row>
    <row r="5461" spans="1:10" x14ac:dyDescent="0.35">
      <c r="A5461">
        <v>16807</v>
      </c>
      <c r="B5461" t="s">
        <v>896</v>
      </c>
      <c r="C5461" t="s">
        <v>92</v>
      </c>
      <c r="D5461" t="s">
        <v>780</v>
      </c>
      <c r="E5461" t="s">
        <v>530</v>
      </c>
      <c r="F5461" t="s">
        <v>244</v>
      </c>
      <c r="G5461" s="39">
        <v>45554</v>
      </c>
      <c r="J5461" t="s">
        <v>90</v>
      </c>
    </row>
    <row r="5462" spans="1:10" x14ac:dyDescent="0.35">
      <c r="A5462">
        <v>15214</v>
      </c>
      <c r="B5462" t="s">
        <v>896</v>
      </c>
      <c r="C5462" t="s">
        <v>92</v>
      </c>
      <c r="D5462" t="s">
        <v>780</v>
      </c>
      <c r="E5462" t="s">
        <v>782</v>
      </c>
      <c r="F5462" t="s">
        <v>244</v>
      </c>
      <c r="G5462" s="39">
        <v>44988</v>
      </c>
      <c r="J5462" t="s">
        <v>90</v>
      </c>
    </row>
    <row r="5463" spans="1:10" x14ac:dyDescent="0.35">
      <c r="A5463">
        <v>119015</v>
      </c>
      <c r="B5463" t="s">
        <v>896</v>
      </c>
      <c r="C5463" t="s">
        <v>92</v>
      </c>
      <c r="D5463" t="s">
        <v>791</v>
      </c>
      <c r="E5463" t="s">
        <v>122</v>
      </c>
      <c r="F5463" t="s">
        <v>244</v>
      </c>
      <c r="G5463" s="39">
        <v>42321</v>
      </c>
      <c r="J5463" t="s">
        <v>90</v>
      </c>
    </row>
    <row r="5464" spans="1:10" x14ac:dyDescent="0.35">
      <c r="A5464">
        <v>300040</v>
      </c>
      <c r="B5464" t="s">
        <v>897</v>
      </c>
      <c r="C5464" t="s">
        <v>92</v>
      </c>
      <c r="D5464" t="s">
        <v>92</v>
      </c>
      <c r="E5464" t="s">
        <v>464</v>
      </c>
      <c r="F5464" t="s">
        <v>244</v>
      </c>
      <c r="G5464" s="39">
        <v>42716</v>
      </c>
      <c r="J5464" t="s">
        <v>90</v>
      </c>
    </row>
    <row r="5465" spans="1:10" x14ac:dyDescent="0.35">
      <c r="A5465">
        <v>820006</v>
      </c>
      <c r="B5465" t="s">
        <v>897</v>
      </c>
      <c r="C5465" t="s">
        <v>92</v>
      </c>
      <c r="D5465" t="s">
        <v>780</v>
      </c>
      <c r="E5465" t="s">
        <v>506</v>
      </c>
      <c r="F5465" t="s">
        <v>244</v>
      </c>
      <c r="G5465" s="39">
        <v>40969</v>
      </c>
      <c r="J5465" t="s">
        <v>90</v>
      </c>
    </row>
    <row r="5466" spans="1:10" x14ac:dyDescent="0.35">
      <c r="A5466">
        <v>18256</v>
      </c>
      <c r="B5466" t="s">
        <v>897</v>
      </c>
      <c r="C5466" t="s">
        <v>92</v>
      </c>
      <c r="D5466" t="s">
        <v>780</v>
      </c>
      <c r="E5466" t="s">
        <v>783</v>
      </c>
      <c r="F5466" t="s">
        <v>244</v>
      </c>
      <c r="G5466" s="39">
        <v>46073</v>
      </c>
      <c r="J5466" t="s">
        <v>90</v>
      </c>
    </row>
    <row r="5467" spans="1:10" x14ac:dyDescent="0.35">
      <c r="A5467">
        <v>670011</v>
      </c>
      <c r="B5467" t="s">
        <v>897</v>
      </c>
      <c r="C5467" t="s">
        <v>92</v>
      </c>
      <c r="D5467" t="s">
        <v>780</v>
      </c>
      <c r="E5467" t="s">
        <v>406</v>
      </c>
      <c r="F5467" t="s">
        <v>244</v>
      </c>
      <c r="G5467" s="39">
        <v>39584</v>
      </c>
      <c r="J5467" t="s">
        <v>90</v>
      </c>
    </row>
    <row r="5468" spans="1:10" x14ac:dyDescent="0.35">
      <c r="A5468">
        <v>820024</v>
      </c>
      <c r="B5468" t="s">
        <v>897</v>
      </c>
      <c r="C5468" t="s">
        <v>92</v>
      </c>
      <c r="D5468" t="s">
        <v>780</v>
      </c>
      <c r="E5468" t="s">
        <v>406</v>
      </c>
      <c r="F5468" t="s">
        <v>244</v>
      </c>
      <c r="G5468" s="39">
        <v>42845</v>
      </c>
      <c r="J5468" t="s">
        <v>90</v>
      </c>
    </row>
    <row r="5469" spans="1:10" x14ac:dyDescent="0.35">
      <c r="A5469">
        <v>550036</v>
      </c>
      <c r="B5469" t="s">
        <v>897</v>
      </c>
      <c r="C5469" t="s">
        <v>92</v>
      </c>
      <c r="D5469" t="s">
        <v>780</v>
      </c>
      <c r="E5469" t="s">
        <v>151</v>
      </c>
      <c r="F5469" t="s">
        <v>244</v>
      </c>
      <c r="G5469" s="39">
        <v>43262</v>
      </c>
      <c r="J5469" t="s">
        <v>90</v>
      </c>
    </row>
    <row r="5470" spans="1:10" x14ac:dyDescent="0.35">
      <c r="A5470">
        <v>660040</v>
      </c>
      <c r="B5470" t="s">
        <v>897</v>
      </c>
      <c r="C5470" t="s">
        <v>92</v>
      </c>
      <c r="D5470" t="s">
        <v>780</v>
      </c>
      <c r="E5470" t="s">
        <v>406</v>
      </c>
      <c r="F5470" t="s">
        <v>244</v>
      </c>
      <c r="G5470" s="39">
        <v>43760</v>
      </c>
      <c r="J5470" t="s">
        <v>90</v>
      </c>
    </row>
    <row r="5471" spans="1:10" x14ac:dyDescent="0.35">
      <c r="A5471">
        <v>670051</v>
      </c>
      <c r="B5471" t="s">
        <v>897</v>
      </c>
      <c r="C5471" t="s">
        <v>92</v>
      </c>
      <c r="D5471" t="s">
        <v>780</v>
      </c>
      <c r="E5471" t="s">
        <v>477</v>
      </c>
      <c r="F5471" t="s">
        <v>244</v>
      </c>
      <c r="G5471" s="39">
        <v>44578</v>
      </c>
      <c r="J5471" t="s">
        <v>90</v>
      </c>
    </row>
    <row r="5472" spans="1:10" x14ac:dyDescent="0.35">
      <c r="A5472">
        <v>14755</v>
      </c>
      <c r="B5472" t="s">
        <v>897</v>
      </c>
      <c r="C5472" t="s">
        <v>92</v>
      </c>
      <c r="D5472" t="s">
        <v>780</v>
      </c>
      <c r="E5472" t="s">
        <v>477</v>
      </c>
      <c r="F5472" t="s">
        <v>244</v>
      </c>
      <c r="G5472" s="39">
        <v>44852</v>
      </c>
      <c r="J5472" t="s">
        <v>90</v>
      </c>
    </row>
    <row r="5473" spans="1:10" x14ac:dyDescent="0.35">
      <c r="A5473">
        <v>16603</v>
      </c>
      <c r="B5473" t="s">
        <v>897</v>
      </c>
      <c r="C5473" t="s">
        <v>92</v>
      </c>
      <c r="D5473" t="s">
        <v>780</v>
      </c>
      <c r="E5473" t="s">
        <v>473</v>
      </c>
      <c r="F5473" t="s">
        <v>244</v>
      </c>
      <c r="G5473" s="39">
        <v>45492</v>
      </c>
      <c r="J5473" t="s">
        <v>90</v>
      </c>
    </row>
    <row r="5474" spans="1:10" x14ac:dyDescent="0.35">
      <c r="A5474">
        <v>14256</v>
      </c>
      <c r="B5474" t="s">
        <v>897</v>
      </c>
      <c r="C5474" t="s">
        <v>92</v>
      </c>
      <c r="D5474" t="s">
        <v>780</v>
      </c>
      <c r="E5474" t="s">
        <v>477</v>
      </c>
      <c r="F5474" t="s">
        <v>244</v>
      </c>
      <c r="G5474" s="39">
        <v>44713</v>
      </c>
      <c r="J5474" t="s">
        <v>90</v>
      </c>
    </row>
    <row r="5475" spans="1:10" x14ac:dyDescent="0.35">
      <c r="A5475">
        <v>14759</v>
      </c>
      <c r="B5475" t="s">
        <v>897</v>
      </c>
      <c r="C5475" t="s">
        <v>92</v>
      </c>
      <c r="D5475" t="s">
        <v>780</v>
      </c>
      <c r="E5475" t="s">
        <v>473</v>
      </c>
      <c r="F5475" t="s">
        <v>244</v>
      </c>
      <c r="G5475" s="39">
        <v>44852</v>
      </c>
      <c r="J5475" t="s">
        <v>90</v>
      </c>
    </row>
    <row r="5476" spans="1:10" x14ac:dyDescent="0.35">
      <c r="A5476">
        <v>16769</v>
      </c>
      <c r="B5476" t="s">
        <v>897</v>
      </c>
      <c r="C5476" t="s">
        <v>92</v>
      </c>
      <c r="D5476" t="s">
        <v>780</v>
      </c>
      <c r="E5476" t="s">
        <v>473</v>
      </c>
      <c r="F5476" t="s">
        <v>244</v>
      </c>
      <c r="G5476" s="39">
        <v>45541</v>
      </c>
      <c r="J5476" t="s">
        <v>90</v>
      </c>
    </row>
    <row r="5477" spans="1:10" x14ac:dyDescent="0.35">
      <c r="A5477">
        <v>18395</v>
      </c>
      <c r="B5477" t="s">
        <v>897</v>
      </c>
      <c r="C5477" t="s">
        <v>92</v>
      </c>
      <c r="D5477" t="s">
        <v>780</v>
      </c>
      <c r="E5477" t="s">
        <v>475</v>
      </c>
      <c r="F5477" t="s">
        <v>244</v>
      </c>
      <c r="G5477" s="39">
        <v>46120</v>
      </c>
      <c r="J5477" t="s">
        <v>90</v>
      </c>
    </row>
    <row r="5478" spans="1:10" x14ac:dyDescent="0.35">
      <c r="A5478">
        <v>17075</v>
      </c>
      <c r="B5478" t="s">
        <v>897</v>
      </c>
      <c r="C5478" t="s">
        <v>92</v>
      </c>
      <c r="D5478" t="s">
        <v>791</v>
      </c>
      <c r="E5478" t="s">
        <v>122</v>
      </c>
      <c r="F5478" t="s">
        <v>244</v>
      </c>
      <c r="G5478" s="39">
        <v>45621</v>
      </c>
      <c r="J5478" t="s">
        <v>90</v>
      </c>
    </row>
    <row r="5479" spans="1:10" x14ac:dyDescent="0.35">
      <c r="A5479">
        <v>660045</v>
      </c>
      <c r="B5479" t="s">
        <v>897</v>
      </c>
      <c r="C5479" t="s">
        <v>92</v>
      </c>
      <c r="D5479" t="s">
        <v>827</v>
      </c>
      <c r="E5479" t="s">
        <v>151</v>
      </c>
      <c r="F5479" t="s">
        <v>244</v>
      </c>
      <c r="G5479" s="39">
        <v>44448</v>
      </c>
      <c r="J5479" t="s">
        <v>90</v>
      </c>
    </row>
    <row r="5480" spans="1:10" x14ac:dyDescent="0.35">
      <c r="A5480">
        <v>670049</v>
      </c>
      <c r="B5480" t="s">
        <v>897</v>
      </c>
      <c r="C5480" t="s">
        <v>92</v>
      </c>
      <c r="D5480" t="s">
        <v>827</v>
      </c>
      <c r="E5480" t="s">
        <v>102</v>
      </c>
      <c r="F5480" t="s">
        <v>244</v>
      </c>
      <c r="G5480" s="39">
        <v>44516</v>
      </c>
      <c r="J5480" t="s">
        <v>90</v>
      </c>
    </row>
    <row r="5481" spans="1:10" x14ac:dyDescent="0.35">
      <c r="A5481">
        <v>670050</v>
      </c>
      <c r="B5481" t="s">
        <v>897</v>
      </c>
      <c r="C5481" t="s">
        <v>92</v>
      </c>
      <c r="D5481" t="s">
        <v>827</v>
      </c>
      <c r="E5481" t="s">
        <v>102</v>
      </c>
      <c r="F5481" t="s">
        <v>244</v>
      </c>
      <c r="G5481" s="39">
        <v>44516</v>
      </c>
      <c r="J5481" t="s">
        <v>90</v>
      </c>
    </row>
    <row r="5482" spans="1:10" x14ac:dyDescent="0.35">
      <c r="A5482">
        <v>18332</v>
      </c>
      <c r="B5482" t="s">
        <v>897</v>
      </c>
      <c r="C5482" t="s">
        <v>92</v>
      </c>
      <c r="D5482" t="s">
        <v>827</v>
      </c>
      <c r="E5482" t="s">
        <v>106</v>
      </c>
      <c r="F5482" t="s">
        <v>244</v>
      </c>
      <c r="G5482" s="39">
        <v>46094</v>
      </c>
      <c r="J5482" t="s">
        <v>90</v>
      </c>
    </row>
    <row r="5483" spans="1:10" x14ac:dyDescent="0.35">
      <c r="A5483">
        <v>660017</v>
      </c>
      <c r="B5483" t="s">
        <v>898</v>
      </c>
      <c r="C5483" t="s">
        <v>92</v>
      </c>
      <c r="D5483" t="s">
        <v>92</v>
      </c>
      <c r="E5483" t="s">
        <v>464</v>
      </c>
      <c r="F5483" t="s">
        <v>244</v>
      </c>
      <c r="G5483" s="39">
        <v>41871</v>
      </c>
      <c r="J5483" t="s">
        <v>90</v>
      </c>
    </row>
    <row r="5484" spans="1:10" x14ac:dyDescent="0.35">
      <c r="A5484">
        <v>980017</v>
      </c>
      <c r="B5484" t="s">
        <v>898</v>
      </c>
      <c r="C5484" t="s">
        <v>92</v>
      </c>
      <c r="D5484" t="s">
        <v>780</v>
      </c>
      <c r="E5484" t="s">
        <v>548</v>
      </c>
      <c r="F5484" t="s">
        <v>244</v>
      </c>
      <c r="G5484" s="39">
        <v>42858</v>
      </c>
      <c r="J5484" t="s">
        <v>90</v>
      </c>
    </row>
    <row r="5485" spans="1:10" x14ac:dyDescent="0.35">
      <c r="A5485">
        <v>810018</v>
      </c>
      <c r="B5485" t="s">
        <v>898</v>
      </c>
      <c r="C5485" t="s">
        <v>92</v>
      </c>
      <c r="D5485" t="s">
        <v>780</v>
      </c>
      <c r="E5485" t="s">
        <v>548</v>
      </c>
      <c r="F5485" t="s">
        <v>244</v>
      </c>
      <c r="G5485" s="39">
        <v>42725</v>
      </c>
      <c r="J5485" t="s">
        <v>90</v>
      </c>
    </row>
    <row r="5486" spans="1:10" x14ac:dyDescent="0.35">
      <c r="A5486">
        <v>201006</v>
      </c>
      <c r="B5486" t="s">
        <v>898</v>
      </c>
      <c r="C5486" t="s">
        <v>92</v>
      </c>
      <c r="D5486" t="s">
        <v>780</v>
      </c>
      <c r="E5486" t="s">
        <v>782</v>
      </c>
      <c r="F5486" t="s">
        <v>244</v>
      </c>
      <c r="G5486" s="39">
        <v>44501</v>
      </c>
      <c r="J5486" t="s">
        <v>90</v>
      </c>
    </row>
    <row r="5487" spans="1:10" x14ac:dyDescent="0.35">
      <c r="A5487">
        <v>16113</v>
      </c>
      <c r="B5487" t="s">
        <v>898</v>
      </c>
      <c r="C5487" t="s">
        <v>92</v>
      </c>
      <c r="D5487" t="s">
        <v>780</v>
      </c>
      <c r="E5487" t="s">
        <v>496</v>
      </c>
      <c r="F5487" t="s">
        <v>244</v>
      </c>
      <c r="G5487" s="39">
        <v>45287</v>
      </c>
      <c r="J5487" t="s">
        <v>90</v>
      </c>
    </row>
    <row r="5488" spans="1:10" x14ac:dyDescent="0.35">
      <c r="A5488">
        <v>18631</v>
      </c>
      <c r="B5488" t="s">
        <v>898</v>
      </c>
      <c r="C5488" t="s">
        <v>92</v>
      </c>
      <c r="D5488" t="s">
        <v>780</v>
      </c>
      <c r="E5488" t="s">
        <v>783</v>
      </c>
      <c r="F5488" t="s">
        <v>244</v>
      </c>
      <c r="G5488" s="39">
        <v>46176</v>
      </c>
      <c r="J5488" t="s">
        <v>90</v>
      </c>
    </row>
    <row r="5489" spans="1:10" x14ac:dyDescent="0.35">
      <c r="A5489">
        <v>660034</v>
      </c>
      <c r="B5489" t="s">
        <v>898</v>
      </c>
      <c r="C5489" t="s">
        <v>92</v>
      </c>
      <c r="D5489" t="s">
        <v>780</v>
      </c>
      <c r="E5489" t="s">
        <v>406</v>
      </c>
      <c r="F5489" t="s">
        <v>244</v>
      </c>
      <c r="G5489" s="39">
        <v>43011</v>
      </c>
      <c r="J5489" t="s">
        <v>90</v>
      </c>
    </row>
    <row r="5490" spans="1:10" x14ac:dyDescent="0.35">
      <c r="A5490">
        <v>750031</v>
      </c>
      <c r="B5490" t="s">
        <v>898</v>
      </c>
      <c r="C5490" t="s">
        <v>92</v>
      </c>
      <c r="D5490" t="s">
        <v>780</v>
      </c>
      <c r="E5490" t="s">
        <v>406</v>
      </c>
      <c r="F5490" t="s">
        <v>244</v>
      </c>
      <c r="G5490" s="39">
        <v>43325</v>
      </c>
      <c r="J5490" t="s">
        <v>90</v>
      </c>
    </row>
    <row r="5491" spans="1:10" x14ac:dyDescent="0.35">
      <c r="A5491">
        <v>660047</v>
      </c>
      <c r="B5491" t="s">
        <v>898</v>
      </c>
      <c r="C5491" t="s">
        <v>92</v>
      </c>
      <c r="D5491" t="s">
        <v>780</v>
      </c>
      <c r="E5491" t="s">
        <v>477</v>
      </c>
      <c r="F5491" t="s">
        <v>244</v>
      </c>
      <c r="G5491" s="39">
        <v>44502</v>
      </c>
      <c r="J5491" t="s">
        <v>90</v>
      </c>
    </row>
    <row r="5492" spans="1:10" x14ac:dyDescent="0.35">
      <c r="A5492">
        <v>660032</v>
      </c>
      <c r="B5492" t="s">
        <v>898</v>
      </c>
      <c r="C5492" t="s">
        <v>92</v>
      </c>
      <c r="D5492" t="s">
        <v>791</v>
      </c>
      <c r="E5492" t="s">
        <v>122</v>
      </c>
      <c r="F5492" t="s">
        <v>244</v>
      </c>
      <c r="G5492" s="39">
        <v>42866</v>
      </c>
      <c r="J5492" t="s">
        <v>90</v>
      </c>
    </row>
    <row r="5493" spans="1:10" x14ac:dyDescent="0.35">
      <c r="A5493">
        <v>115016</v>
      </c>
      <c r="B5493" t="s">
        <v>899</v>
      </c>
      <c r="C5493" t="s">
        <v>92</v>
      </c>
      <c r="D5493" t="s">
        <v>780</v>
      </c>
      <c r="E5493" t="s">
        <v>406</v>
      </c>
      <c r="F5493" t="s">
        <v>244</v>
      </c>
      <c r="G5493" s="39">
        <v>42810</v>
      </c>
      <c r="J5493" t="s">
        <v>90</v>
      </c>
    </row>
    <row r="5494" spans="1:10" x14ac:dyDescent="0.35">
      <c r="A5494">
        <v>115006</v>
      </c>
      <c r="B5494" t="s">
        <v>899</v>
      </c>
      <c r="C5494" t="s">
        <v>92</v>
      </c>
      <c r="D5494" t="s">
        <v>780</v>
      </c>
      <c r="E5494" t="s">
        <v>406</v>
      </c>
      <c r="F5494" t="s">
        <v>244</v>
      </c>
      <c r="G5494" s="39">
        <v>41170</v>
      </c>
      <c r="J5494" t="s">
        <v>90</v>
      </c>
    </row>
    <row r="5495" spans="1:10" x14ac:dyDescent="0.35">
      <c r="A5495">
        <v>115014</v>
      </c>
      <c r="B5495" t="s">
        <v>899</v>
      </c>
      <c r="C5495" t="s">
        <v>92</v>
      </c>
      <c r="D5495" t="s">
        <v>780</v>
      </c>
      <c r="E5495" t="s">
        <v>477</v>
      </c>
      <c r="F5495" t="s">
        <v>244</v>
      </c>
      <c r="G5495" s="39">
        <v>42342</v>
      </c>
      <c r="J5495" t="s">
        <v>90</v>
      </c>
    </row>
    <row r="5496" spans="1:10" x14ac:dyDescent="0.35">
      <c r="A5496">
        <v>18079</v>
      </c>
      <c r="B5496" t="s">
        <v>899</v>
      </c>
      <c r="C5496" t="s">
        <v>92</v>
      </c>
      <c r="D5496" t="s">
        <v>780</v>
      </c>
      <c r="E5496" t="s">
        <v>530</v>
      </c>
      <c r="F5496" t="s">
        <v>244</v>
      </c>
      <c r="G5496" s="39">
        <v>45986</v>
      </c>
      <c r="J5496" t="s">
        <v>90</v>
      </c>
    </row>
    <row r="5497" spans="1:10" x14ac:dyDescent="0.35">
      <c r="A5497">
        <v>115010</v>
      </c>
      <c r="B5497" t="s">
        <v>899</v>
      </c>
      <c r="C5497" t="s">
        <v>92</v>
      </c>
      <c r="D5497" t="s">
        <v>791</v>
      </c>
      <c r="E5497" t="s">
        <v>122</v>
      </c>
      <c r="F5497" t="s">
        <v>244</v>
      </c>
      <c r="G5497" s="39">
        <v>41352</v>
      </c>
      <c r="J5497" t="s">
        <v>90</v>
      </c>
    </row>
    <row r="5498" spans="1:10" x14ac:dyDescent="0.35">
      <c r="A5498">
        <v>590006</v>
      </c>
      <c r="B5498" t="s">
        <v>900</v>
      </c>
      <c r="C5498" t="s">
        <v>92</v>
      </c>
      <c r="D5498" t="s">
        <v>92</v>
      </c>
      <c r="E5498" t="s">
        <v>464</v>
      </c>
      <c r="F5498" t="s">
        <v>244</v>
      </c>
      <c r="G5498" s="39">
        <v>41071</v>
      </c>
      <c r="J5498" t="s">
        <v>90</v>
      </c>
    </row>
    <row r="5499" spans="1:10" x14ac:dyDescent="0.35">
      <c r="A5499">
        <v>720016</v>
      </c>
      <c r="B5499" t="s">
        <v>900</v>
      </c>
      <c r="C5499" t="s">
        <v>92</v>
      </c>
      <c r="D5499" t="s">
        <v>780</v>
      </c>
      <c r="E5499" t="s">
        <v>406</v>
      </c>
      <c r="F5499" t="s">
        <v>244</v>
      </c>
      <c r="G5499" s="39">
        <v>39444</v>
      </c>
      <c r="J5499" t="s">
        <v>90</v>
      </c>
    </row>
    <row r="5500" spans="1:10" x14ac:dyDescent="0.35">
      <c r="A5500">
        <v>15255</v>
      </c>
      <c r="B5500" t="s">
        <v>900</v>
      </c>
      <c r="C5500" t="s">
        <v>92</v>
      </c>
      <c r="D5500" t="s">
        <v>780</v>
      </c>
      <c r="E5500" t="s">
        <v>477</v>
      </c>
      <c r="F5500" t="s">
        <v>244</v>
      </c>
      <c r="G5500" s="39">
        <v>45001</v>
      </c>
      <c r="J5500" t="s">
        <v>90</v>
      </c>
    </row>
    <row r="5501" spans="1:10" x14ac:dyDescent="0.35">
      <c r="A5501">
        <v>17223</v>
      </c>
      <c r="B5501" t="s">
        <v>900</v>
      </c>
      <c r="C5501" t="s">
        <v>92</v>
      </c>
      <c r="D5501" t="s">
        <v>780</v>
      </c>
      <c r="E5501" t="s">
        <v>530</v>
      </c>
      <c r="F5501" t="s">
        <v>244</v>
      </c>
      <c r="G5501" s="39">
        <v>45672</v>
      </c>
      <c r="J5501" t="s">
        <v>90</v>
      </c>
    </row>
    <row r="5502" spans="1:10" x14ac:dyDescent="0.35">
      <c r="A5502">
        <v>17568</v>
      </c>
      <c r="B5502" t="s">
        <v>900</v>
      </c>
      <c r="C5502" t="s">
        <v>92</v>
      </c>
      <c r="D5502" t="s">
        <v>780</v>
      </c>
      <c r="E5502" t="s">
        <v>496</v>
      </c>
      <c r="F5502" t="s">
        <v>244</v>
      </c>
      <c r="G5502" s="39">
        <v>45793</v>
      </c>
      <c r="J5502" t="s">
        <v>90</v>
      </c>
    </row>
    <row r="5503" spans="1:10" x14ac:dyDescent="0.35">
      <c r="A5503">
        <v>15533</v>
      </c>
      <c r="B5503" t="s">
        <v>900</v>
      </c>
      <c r="C5503" t="s">
        <v>92</v>
      </c>
      <c r="D5503" t="s">
        <v>791</v>
      </c>
      <c r="E5503" t="s">
        <v>792</v>
      </c>
      <c r="F5503" t="s">
        <v>244</v>
      </c>
      <c r="G5503" s="39">
        <v>45112</v>
      </c>
      <c r="J5503" t="s">
        <v>90</v>
      </c>
    </row>
    <row r="5504" spans="1:10" x14ac:dyDescent="0.35">
      <c r="A5504">
        <v>440032</v>
      </c>
      <c r="B5504" t="s">
        <v>901</v>
      </c>
      <c r="C5504" t="s">
        <v>92</v>
      </c>
      <c r="D5504" t="s">
        <v>92</v>
      </c>
      <c r="E5504" t="s">
        <v>464</v>
      </c>
      <c r="F5504" t="s">
        <v>244</v>
      </c>
      <c r="G5504" s="39">
        <v>42339</v>
      </c>
      <c r="J5504" t="s">
        <v>90</v>
      </c>
    </row>
    <row r="5505" spans="1:10" x14ac:dyDescent="0.35">
      <c r="A5505">
        <v>14071</v>
      </c>
      <c r="B5505" t="s">
        <v>901</v>
      </c>
      <c r="C5505" t="s">
        <v>92</v>
      </c>
      <c r="D5505" t="s">
        <v>780</v>
      </c>
      <c r="E5505" t="s">
        <v>782</v>
      </c>
      <c r="F5505" t="s">
        <v>244</v>
      </c>
      <c r="G5505" s="39">
        <v>44652</v>
      </c>
      <c r="J5505" t="s">
        <v>90</v>
      </c>
    </row>
    <row r="5506" spans="1:10" x14ac:dyDescent="0.35">
      <c r="A5506">
        <v>15478</v>
      </c>
      <c r="B5506" t="s">
        <v>901</v>
      </c>
      <c r="C5506" t="s">
        <v>92</v>
      </c>
      <c r="D5506" t="s">
        <v>780</v>
      </c>
      <c r="E5506" t="s">
        <v>530</v>
      </c>
      <c r="F5506" t="s">
        <v>244</v>
      </c>
      <c r="G5506" s="39">
        <v>45086</v>
      </c>
      <c r="J5506" t="s">
        <v>90</v>
      </c>
    </row>
    <row r="5507" spans="1:10" x14ac:dyDescent="0.35">
      <c r="A5507">
        <v>14837</v>
      </c>
      <c r="B5507" t="s">
        <v>901</v>
      </c>
      <c r="C5507" t="s">
        <v>92</v>
      </c>
      <c r="D5507" t="s">
        <v>780</v>
      </c>
      <c r="E5507" t="s">
        <v>496</v>
      </c>
      <c r="F5507" t="s">
        <v>244</v>
      </c>
      <c r="G5507" s="39">
        <v>44875</v>
      </c>
      <c r="J5507" t="s">
        <v>90</v>
      </c>
    </row>
    <row r="5508" spans="1:10" x14ac:dyDescent="0.35">
      <c r="A5508">
        <v>17247</v>
      </c>
      <c r="B5508" t="s">
        <v>901</v>
      </c>
      <c r="C5508" t="s">
        <v>92</v>
      </c>
      <c r="D5508" t="s">
        <v>780</v>
      </c>
      <c r="E5508" t="s">
        <v>474</v>
      </c>
      <c r="F5508" t="s">
        <v>244</v>
      </c>
      <c r="G5508" s="39">
        <v>45681</v>
      </c>
      <c r="J5508" t="s">
        <v>90</v>
      </c>
    </row>
    <row r="5509" spans="1:10" x14ac:dyDescent="0.35">
      <c r="A5509">
        <v>118027</v>
      </c>
      <c r="B5509" t="s">
        <v>901</v>
      </c>
      <c r="C5509" t="s">
        <v>92</v>
      </c>
      <c r="D5509" t="s">
        <v>780</v>
      </c>
      <c r="E5509" t="s">
        <v>406</v>
      </c>
      <c r="F5509" t="s">
        <v>244</v>
      </c>
      <c r="G5509" s="39">
        <v>43199</v>
      </c>
      <c r="J5509" t="s">
        <v>90</v>
      </c>
    </row>
    <row r="5510" spans="1:10" x14ac:dyDescent="0.35">
      <c r="A5510">
        <v>118029</v>
      </c>
      <c r="B5510" t="s">
        <v>901</v>
      </c>
      <c r="C5510" t="s">
        <v>92</v>
      </c>
      <c r="D5510" t="s">
        <v>780</v>
      </c>
      <c r="E5510" t="s">
        <v>406</v>
      </c>
      <c r="F5510" t="s">
        <v>244</v>
      </c>
      <c r="G5510" s="39">
        <v>43257</v>
      </c>
      <c r="J5510" t="s">
        <v>90</v>
      </c>
    </row>
    <row r="5511" spans="1:10" x14ac:dyDescent="0.35">
      <c r="A5511">
        <v>118013</v>
      </c>
      <c r="B5511" t="s">
        <v>901</v>
      </c>
      <c r="C5511" t="s">
        <v>92</v>
      </c>
      <c r="D5511" t="s">
        <v>780</v>
      </c>
      <c r="E5511" t="s">
        <v>406</v>
      </c>
      <c r="F5511" t="s">
        <v>244</v>
      </c>
      <c r="G5511" s="39">
        <v>39874</v>
      </c>
      <c r="J5511" t="s">
        <v>90</v>
      </c>
    </row>
    <row r="5512" spans="1:10" x14ac:dyDescent="0.35">
      <c r="A5512">
        <v>118033</v>
      </c>
      <c r="B5512" t="s">
        <v>901</v>
      </c>
      <c r="C5512" t="s">
        <v>92</v>
      </c>
      <c r="D5512" t="s">
        <v>780</v>
      </c>
      <c r="E5512" t="s">
        <v>477</v>
      </c>
      <c r="F5512" t="s">
        <v>244</v>
      </c>
      <c r="G5512" s="39">
        <v>44552</v>
      </c>
      <c r="J5512" t="s">
        <v>90</v>
      </c>
    </row>
    <row r="5513" spans="1:10" x14ac:dyDescent="0.35">
      <c r="A5513">
        <v>118011</v>
      </c>
      <c r="B5513" t="s">
        <v>901</v>
      </c>
      <c r="C5513" t="s">
        <v>92</v>
      </c>
      <c r="D5513" t="s">
        <v>791</v>
      </c>
      <c r="E5513" t="s">
        <v>122</v>
      </c>
      <c r="F5513" t="s">
        <v>244</v>
      </c>
      <c r="G5513" s="39">
        <v>36708</v>
      </c>
      <c r="J5513" t="s">
        <v>90</v>
      </c>
    </row>
    <row r="5514" spans="1:10" x14ac:dyDescent="0.35">
      <c r="A5514">
        <v>630016</v>
      </c>
      <c r="B5514" t="s">
        <v>902</v>
      </c>
      <c r="C5514" t="s">
        <v>92</v>
      </c>
      <c r="D5514" t="s">
        <v>92</v>
      </c>
      <c r="E5514" t="s">
        <v>464</v>
      </c>
      <c r="F5514" t="s">
        <v>244</v>
      </c>
      <c r="G5514" s="39">
        <v>42430</v>
      </c>
      <c r="J5514" t="s">
        <v>90</v>
      </c>
    </row>
    <row r="5515" spans="1:10" x14ac:dyDescent="0.35">
      <c r="A5515">
        <v>14523</v>
      </c>
      <c r="B5515" t="s">
        <v>902</v>
      </c>
      <c r="C5515" t="s">
        <v>92</v>
      </c>
      <c r="D5515" t="s">
        <v>780</v>
      </c>
      <c r="E5515" t="s">
        <v>531</v>
      </c>
      <c r="F5515" t="s">
        <v>244</v>
      </c>
      <c r="G5515" s="39">
        <v>44777</v>
      </c>
      <c r="J5515" t="s">
        <v>90</v>
      </c>
    </row>
    <row r="5516" spans="1:10" x14ac:dyDescent="0.35">
      <c r="A5516">
        <v>890014</v>
      </c>
      <c r="B5516" t="s">
        <v>902</v>
      </c>
      <c r="C5516" t="s">
        <v>92</v>
      </c>
      <c r="D5516" t="s">
        <v>780</v>
      </c>
      <c r="E5516" t="s">
        <v>406</v>
      </c>
      <c r="F5516" t="s">
        <v>244</v>
      </c>
      <c r="G5516" s="39">
        <v>42019</v>
      </c>
      <c r="J5516" t="s">
        <v>90</v>
      </c>
    </row>
    <row r="5517" spans="1:10" x14ac:dyDescent="0.35">
      <c r="A5517">
        <v>890017</v>
      </c>
      <c r="B5517" t="s">
        <v>902</v>
      </c>
      <c r="C5517" t="s">
        <v>92</v>
      </c>
      <c r="D5517" t="s">
        <v>780</v>
      </c>
      <c r="E5517" t="s">
        <v>406</v>
      </c>
      <c r="F5517" t="s">
        <v>244</v>
      </c>
      <c r="G5517" s="39">
        <v>42800</v>
      </c>
      <c r="J5517" t="s">
        <v>90</v>
      </c>
    </row>
    <row r="5518" spans="1:10" x14ac:dyDescent="0.35">
      <c r="A5518">
        <v>890013</v>
      </c>
      <c r="B5518" t="s">
        <v>902</v>
      </c>
      <c r="C5518" t="s">
        <v>92</v>
      </c>
      <c r="D5518" t="s">
        <v>780</v>
      </c>
      <c r="E5518" t="s">
        <v>406</v>
      </c>
      <c r="F5518" t="s">
        <v>244</v>
      </c>
      <c r="G5518" s="39">
        <v>41646</v>
      </c>
      <c r="J5518" t="s">
        <v>90</v>
      </c>
    </row>
    <row r="5519" spans="1:10" x14ac:dyDescent="0.35">
      <c r="A5519">
        <v>890020</v>
      </c>
      <c r="B5519" t="s">
        <v>902</v>
      </c>
      <c r="C5519" t="s">
        <v>92</v>
      </c>
      <c r="D5519" t="s">
        <v>780</v>
      </c>
      <c r="E5519" t="s">
        <v>487</v>
      </c>
      <c r="F5519" t="s">
        <v>411</v>
      </c>
      <c r="G5519" s="39">
        <v>43294</v>
      </c>
      <c r="J5519" t="s">
        <v>90</v>
      </c>
    </row>
    <row r="5520" spans="1:10" x14ac:dyDescent="0.35">
      <c r="A5520">
        <v>17827</v>
      </c>
      <c r="B5520" t="s">
        <v>902</v>
      </c>
      <c r="C5520" t="s">
        <v>92</v>
      </c>
      <c r="D5520" t="s">
        <v>780</v>
      </c>
      <c r="E5520" t="s">
        <v>536</v>
      </c>
      <c r="F5520" t="s">
        <v>244</v>
      </c>
      <c r="G5520" s="39">
        <v>45884</v>
      </c>
      <c r="J5520" t="s">
        <v>90</v>
      </c>
    </row>
    <row r="5521" spans="1:10" x14ac:dyDescent="0.35">
      <c r="A5521">
        <v>890015</v>
      </c>
      <c r="B5521" t="s">
        <v>902</v>
      </c>
      <c r="C5521" t="s">
        <v>92</v>
      </c>
      <c r="D5521" t="s">
        <v>791</v>
      </c>
      <c r="E5521" t="s">
        <v>122</v>
      </c>
      <c r="F5521" t="s">
        <v>244</v>
      </c>
      <c r="G5521" s="39">
        <v>42627</v>
      </c>
      <c r="J5521" t="s">
        <v>90</v>
      </c>
    </row>
    <row r="5522" spans="1:10" x14ac:dyDescent="0.35">
      <c r="A5522">
        <v>540001</v>
      </c>
      <c r="B5522" t="s">
        <v>903</v>
      </c>
      <c r="C5522" t="s">
        <v>92</v>
      </c>
      <c r="D5522" t="s">
        <v>92</v>
      </c>
      <c r="E5522" t="s">
        <v>464</v>
      </c>
      <c r="F5522" t="s">
        <v>244</v>
      </c>
      <c r="G5522" s="39">
        <v>40429</v>
      </c>
      <c r="J5522" t="s">
        <v>90</v>
      </c>
    </row>
    <row r="5523" spans="1:10" x14ac:dyDescent="0.35">
      <c r="A5523">
        <v>310034</v>
      </c>
      <c r="B5523" t="s">
        <v>903</v>
      </c>
      <c r="C5523" t="s">
        <v>92</v>
      </c>
      <c r="D5523" t="s">
        <v>780</v>
      </c>
      <c r="E5523" t="s">
        <v>151</v>
      </c>
      <c r="F5523" t="s">
        <v>244</v>
      </c>
      <c r="G5523" s="39">
        <v>42984</v>
      </c>
      <c r="J5523" t="s">
        <v>90</v>
      </c>
    </row>
    <row r="5524" spans="1:10" x14ac:dyDescent="0.35">
      <c r="A5524">
        <v>290059</v>
      </c>
      <c r="B5524" t="s">
        <v>903</v>
      </c>
      <c r="C5524" t="s">
        <v>92</v>
      </c>
      <c r="D5524" t="s">
        <v>780</v>
      </c>
      <c r="E5524" t="s">
        <v>577</v>
      </c>
      <c r="F5524" t="s">
        <v>244</v>
      </c>
      <c r="G5524" s="39">
        <v>44097</v>
      </c>
      <c r="J5524" t="s">
        <v>90</v>
      </c>
    </row>
    <row r="5525" spans="1:10" x14ac:dyDescent="0.35">
      <c r="A5525">
        <v>290035</v>
      </c>
      <c r="B5525" t="s">
        <v>903</v>
      </c>
      <c r="C5525" t="s">
        <v>92</v>
      </c>
      <c r="D5525" t="s">
        <v>780</v>
      </c>
      <c r="E5525" t="s">
        <v>506</v>
      </c>
      <c r="F5525" t="s">
        <v>244</v>
      </c>
      <c r="G5525" s="39">
        <v>42142</v>
      </c>
      <c r="J5525" t="s">
        <v>90</v>
      </c>
    </row>
    <row r="5526" spans="1:10" x14ac:dyDescent="0.35">
      <c r="A5526">
        <v>300046</v>
      </c>
      <c r="B5526" t="s">
        <v>903</v>
      </c>
      <c r="C5526" t="s">
        <v>92</v>
      </c>
      <c r="D5526" t="s">
        <v>780</v>
      </c>
      <c r="E5526" t="s">
        <v>506</v>
      </c>
      <c r="F5526" t="s">
        <v>244</v>
      </c>
      <c r="G5526" s="39">
        <v>42720</v>
      </c>
      <c r="J5526" t="s">
        <v>90</v>
      </c>
    </row>
    <row r="5527" spans="1:10" x14ac:dyDescent="0.35">
      <c r="A5527">
        <v>15193</v>
      </c>
      <c r="B5527" t="s">
        <v>903</v>
      </c>
      <c r="C5527" t="s">
        <v>92</v>
      </c>
      <c r="D5527" t="s">
        <v>780</v>
      </c>
      <c r="E5527" t="s">
        <v>531</v>
      </c>
      <c r="F5527" t="s">
        <v>244</v>
      </c>
      <c r="G5527" s="39">
        <v>44980</v>
      </c>
      <c r="J5527" t="s">
        <v>90</v>
      </c>
    </row>
    <row r="5528" spans="1:10" x14ac:dyDescent="0.35">
      <c r="A5528">
        <v>290064</v>
      </c>
      <c r="B5528" t="s">
        <v>903</v>
      </c>
      <c r="C5528" t="s">
        <v>92</v>
      </c>
      <c r="D5528" t="s">
        <v>780</v>
      </c>
      <c r="E5528" t="s">
        <v>799</v>
      </c>
      <c r="F5528" t="s">
        <v>244</v>
      </c>
      <c r="G5528" s="39">
        <v>44602</v>
      </c>
      <c r="J5528" t="s">
        <v>90</v>
      </c>
    </row>
    <row r="5529" spans="1:10" x14ac:dyDescent="0.35">
      <c r="A5529">
        <v>16673</v>
      </c>
      <c r="B5529" t="s">
        <v>903</v>
      </c>
      <c r="C5529" t="s">
        <v>92</v>
      </c>
      <c r="D5529" t="s">
        <v>780</v>
      </c>
      <c r="E5529" t="s">
        <v>474</v>
      </c>
      <c r="F5529" t="s">
        <v>244</v>
      </c>
      <c r="G5529" s="39">
        <v>45517</v>
      </c>
      <c r="J5529" t="s">
        <v>90</v>
      </c>
    </row>
    <row r="5530" spans="1:10" x14ac:dyDescent="0.35">
      <c r="A5530">
        <v>114016</v>
      </c>
      <c r="B5530" t="s">
        <v>903</v>
      </c>
      <c r="C5530" t="s">
        <v>92</v>
      </c>
      <c r="D5530" t="s">
        <v>780</v>
      </c>
      <c r="E5530" t="s">
        <v>406</v>
      </c>
      <c r="F5530" t="s">
        <v>244</v>
      </c>
      <c r="G5530" s="39">
        <v>42417</v>
      </c>
      <c r="J5530" t="s">
        <v>90</v>
      </c>
    </row>
    <row r="5531" spans="1:10" x14ac:dyDescent="0.35">
      <c r="A5531">
        <v>310033</v>
      </c>
      <c r="B5531" t="s">
        <v>903</v>
      </c>
      <c r="C5531" t="s">
        <v>92</v>
      </c>
      <c r="D5531" t="s">
        <v>780</v>
      </c>
      <c r="E5531" t="s">
        <v>406</v>
      </c>
      <c r="F5531" t="s">
        <v>244</v>
      </c>
      <c r="G5531" s="39">
        <v>42881</v>
      </c>
      <c r="J5531" t="s">
        <v>90</v>
      </c>
    </row>
    <row r="5532" spans="1:10" x14ac:dyDescent="0.35">
      <c r="A5532">
        <v>510022</v>
      </c>
      <c r="B5532" t="s">
        <v>903</v>
      </c>
      <c r="C5532" t="s">
        <v>92</v>
      </c>
      <c r="D5532" t="s">
        <v>780</v>
      </c>
      <c r="E5532" t="s">
        <v>406</v>
      </c>
      <c r="F5532" t="s">
        <v>244</v>
      </c>
      <c r="G5532" s="39">
        <v>42177</v>
      </c>
      <c r="J5532" t="s">
        <v>90</v>
      </c>
    </row>
    <row r="5533" spans="1:10" x14ac:dyDescent="0.35">
      <c r="A5533">
        <v>540009</v>
      </c>
      <c r="B5533" t="s">
        <v>903</v>
      </c>
      <c r="C5533" t="s">
        <v>92</v>
      </c>
      <c r="D5533" t="s">
        <v>780</v>
      </c>
      <c r="E5533" t="s">
        <v>406</v>
      </c>
      <c r="F5533" t="s">
        <v>244</v>
      </c>
      <c r="G5533" s="39">
        <v>41221</v>
      </c>
      <c r="J5533" t="s">
        <v>90</v>
      </c>
    </row>
    <row r="5534" spans="1:10" x14ac:dyDescent="0.35">
      <c r="A5534">
        <v>290005</v>
      </c>
      <c r="B5534" t="s">
        <v>903</v>
      </c>
      <c r="C5534" t="s">
        <v>92</v>
      </c>
      <c r="D5534" t="s">
        <v>780</v>
      </c>
      <c r="E5534" t="s">
        <v>406</v>
      </c>
      <c r="F5534" t="s">
        <v>244</v>
      </c>
      <c r="G5534" s="39">
        <v>39920</v>
      </c>
      <c r="J5534" t="s">
        <v>90</v>
      </c>
    </row>
    <row r="5535" spans="1:10" x14ac:dyDescent="0.35">
      <c r="A5535">
        <v>300048</v>
      </c>
      <c r="B5535" t="s">
        <v>903</v>
      </c>
      <c r="C5535" t="s">
        <v>92</v>
      </c>
      <c r="D5535" t="s">
        <v>780</v>
      </c>
      <c r="E5535" t="s">
        <v>477</v>
      </c>
      <c r="F5535" t="s">
        <v>411</v>
      </c>
      <c r="G5535" s="39">
        <v>42726</v>
      </c>
      <c r="J5535" t="s">
        <v>90</v>
      </c>
    </row>
    <row r="5536" spans="1:10" x14ac:dyDescent="0.35">
      <c r="A5536">
        <v>16425</v>
      </c>
      <c r="B5536" t="s">
        <v>903</v>
      </c>
      <c r="C5536" t="s">
        <v>92</v>
      </c>
      <c r="D5536" t="s">
        <v>780</v>
      </c>
      <c r="E5536" t="s">
        <v>832</v>
      </c>
      <c r="F5536" t="s">
        <v>244</v>
      </c>
      <c r="G5536" s="39">
        <v>45386</v>
      </c>
      <c r="J5536" t="s">
        <v>90</v>
      </c>
    </row>
    <row r="5537" spans="1:10" x14ac:dyDescent="0.35">
      <c r="A5537">
        <v>300116</v>
      </c>
      <c r="B5537" t="s">
        <v>903</v>
      </c>
      <c r="C5537" t="s">
        <v>92</v>
      </c>
      <c r="D5537" t="s">
        <v>780</v>
      </c>
      <c r="E5537" t="s">
        <v>406</v>
      </c>
      <c r="F5537" t="s">
        <v>244</v>
      </c>
      <c r="G5537" s="39">
        <v>43104</v>
      </c>
      <c r="J5537" t="s">
        <v>90</v>
      </c>
    </row>
    <row r="5538" spans="1:10" x14ac:dyDescent="0.35">
      <c r="A5538">
        <v>114019</v>
      </c>
      <c r="B5538" t="s">
        <v>903</v>
      </c>
      <c r="C5538" t="s">
        <v>92</v>
      </c>
      <c r="D5538" t="s">
        <v>780</v>
      </c>
      <c r="E5538" t="s">
        <v>406</v>
      </c>
      <c r="F5538" t="s">
        <v>244</v>
      </c>
      <c r="G5538" s="39">
        <v>42678</v>
      </c>
      <c r="J5538" t="s">
        <v>90</v>
      </c>
    </row>
    <row r="5539" spans="1:10" x14ac:dyDescent="0.35">
      <c r="A5539">
        <v>14298</v>
      </c>
      <c r="B5539" t="s">
        <v>903</v>
      </c>
      <c r="C5539" t="s">
        <v>92</v>
      </c>
      <c r="D5539" t="s">
        <v>780</v>
      </c>
      <c r="E5539" t="s">
        <v>477</v>
      </c>
      <c r="F5539" t="s">
        <v>244</v>
      </c>
      <c r="G5539" s="39">
        <v>44721</v>
      </c>
      <c r="J5539" t="s">
        <v>90</v>
      </c>
    </row>
    <row r="5540" spans="1:10" x14ac:dyDescent="0.35">
      <c r="A5540">
        <v>310030</v>
      </c>
      <c r="B5540" t="s">
        <v>903</v>
      </c>
      <c r="C5540" t="s">
        <v>92</v>
      </c>
      <c r="D5540" t="s">
        <v>780</v>
      </c>
      <c r="E5540" t="s">
        <v>406</v>
      </c>
      <c r="F5540" t="s">
        <v>244</v>
      </c>
      <c r="G5540" s="39">
        <v>42590</v>
      </c>
      <c r="J5540" t="s">
        <v>90</v>
      </c>
    </row>
    <row r="5541" spans="1:10" x14ac:dyDescent="0.35">
      <c r="A5541">
        <v>15274</v>
      </c>
      <c r="B5541" t="s">
        <v>903</v>
      </c>
      <c r="C5541" t="s">
        <v>92</v>
      </c>
      <c r="D5541" t="s">
        <v>780</v>
      </c>
      <c r="E5541" t="s">
        <v>473</v>
      </c>
      <c r="F5541" t="s">
        <v>244</v>
      </c>
      <c r="G5541" s="39">
        <v>45019</v>
      </c>
      <c r="J5541" t="s">
        <v>90</v>
      </c>
    </row>
    <row r="5542" spans="1:10" x14ac:dyDescent="0.35">
      <c r="A5542">
        <v>16214</v>
      </c>
      <c r="B5542" t="s">
        <v>903</v>
      </c>
      <c r="C5542" t="s">
        <v>92</v>
      </c>
      <c r="D5542" t="s">
        <v>780</v>
      </c>
      <c r="E5542" t="s">
        <v>473</v>
      </c>
      <c r="F5542" t="s">
        <v>244</v>
      </c>
      <c r="G5542" s="39">
        <v>45323</v>
      </c>
      <c r="J5542" t="s">
        <v>90</v>
      </c>
    </row>
    <row r="5543" spans="1:10" x14ac:dyDescent="0.35">
      <c r="A5543">
        <v>114025</v>
      </c>
      <c r="B5543" t="s">
        <v>903</v>
      </c>
      <c r="C5543" t="s">
        <v>92</v>
      </c>
      <c r="D5543" t="s">
        <v>780</v>
      </c>
      <c r="E5543" t="s">
        <v>477</v>
      </c>
      <c r="F5543" t="s">
        <v>244</v>
      </c>
      <c r="G5543" s="39">
        <v>43825</v>
      </c>
      <c r="J5543" t="s">
        <v>90</v>
      </c>
    </row>
    <row r="5544" spans="1:10" x14ac:dyDescent="0.35">
      <c r="A5544">
        <v>290044</v>
      </c>
      <c r="B5544" t="s">
        <v>903</v>
      </c>
      <c r="C5544" t="s">
        <v>92</v>
      </c>
      <c r="D5544" t="s">
        <v>791</v>
      </c>
      <c r="E5544" t="s">
        <v>122</v>
      </c>
      <c r="F5544" t="s">
        <v>244</v>
      </c>
      <c r="G5544" s="39">
        <v>42709</v>
      </c>
      <c r="J5544" t="s">
        <v>90</v>
      </c>
    </row>
    <row r="5545" spans="1:10" x14ac:dyDescent="0.35">
      <c r="A5545">
        <v>510020</v>
      </c>
      <c r="B5545" t="s">
        <v>904</v>
      </c>
      <c r="C5545" t="s">
        <v>92</v>
      </c>
      <c r="D5545" t="s">
        <v>92</v>
      </c>
      <c r="E5545" t="s">
        <v>464</v>
      </c>
      <c r="F5545" t="s">
        <v>244</v>
      </c>
      <c r="G5545" s="39">
        <v>42027</v>
      </c>
      <c r="J5545" t="s">
        <v>90</v>
      </c>
    </row>
    <row r="5546" spans="1:10" x14ac:dyDescent="0.35">
      <c r="A5546">
        <v>290030</v>
      </c>
      <c r="B5546" t="s">
        <v>904</v>
      </c>
      <c r="C5546" t="s">
        <v>92</v>
      </c>
      <c r="D5546" t="s">
        <v>780</v>
      </c>
      <c r="E5546" t="s">
        <v>506</v>
      </c>
      <c r="F5546" t="s">
        <v>244</v>
      </c>
      <c r="G5546" s="39">
        <v>40183</v>
      </c>
      <c r="J5546" t="s">
        <v>90</v>
      </c>
    </row>
    <row r="5547" spans="1:10" x14ac:dyDescent="0.35">
      <c r="A5547">
        <v>310041</v>
      </c>
      <c r="B5547" t="s">
        <v>904</v>
      </c>
      <c r="C5547" t="s">
        <v>92</v>
      </c>
      <c r="D5547" t="s">
        <v>780</v>
      </c>
      <c r="E5547" t="s">
        <v>406</v>
      </c>
      <c r="F5547" t="s">
        <v>244</v>
      </c>
      <c r="G5547" s="39">
        <v>43418</v>
      </c>
      <c r="J5547" t="s">
        <v>90</v>
      </c>
    </row>
    <row r="5548" spans="1:10" x14ac:dyDescent="0.35">
      <c r="A5548">
        <v>510027</v>
      </c>
      <c r="B5548" t="s">
        <v>904</v>
      </c>
      <c r="C5548" t="s">
        <v>92</v>
      </c>
      <c r="D5548" t="s">
        <v>780</v>
      </c>
      <c r="E5548" t="s">
        <v>406</v>
      </c>
      <c r="F5548" t="s">
        <v>244</v>
      </c>
      <c r="G5548" s="39">
        <v>42486</v>
      </c>
      <c r="J5548" t="s">
        <v>90</v>
      </c>
    </row>
    <row r="5549" spans="1:10" x14ac:dyDescent="0.35">
      <c r="A5549">
        <v>310005</v>
      </c>
      <c r="B5549" t="s">
        <v>904</v>
      </c>
      <c r="C5549" t="s">
        <v>92</v>
      </c>
      <c r="D5549" t="s">
        <v>780</v>
      </c>
      <c r="E5549" t="s">
        <v>406</v>
      </c>
      <c r="F5549" t="s">
        <v>244</v>
      </c>
      <c r="G5549" s="39">
        <v>36731</v>
      </c>
      <c r="J5549" t="s">
        <v>90</v>
      </c>
    </row>
    <row r="5550" spans="1:10" x14ac:dyDescent="0.35">
      <c r="A5550">
        <v>290057</v>
      </c>
      <c r="B5550" t="s">
        <v>904</v>
      </c>
      <c r="C5550" t="s">
        <v>92</v>
      </c>
      <c r="D5550" t="s">
        <v>780</v>
      </c>
      <c r="E5550" t="s">
        <v>406</v>
      </c>
      <c r="F5550" t="s">
        <v>244</v>
      </c>
      <c r="G5550" s="39">
        <v>43998</v>
      </c>
      <c r="J5550" t="s">
        <v>90</v>
      </c>
    </row>
    <row r="5551" spans="1:10" x14ac:dyDescent="0.35">
      <c r="A5551">
        <v>290036</v>
      </c>
      <c r="B5551" t="s">
        <v>904</v>
      </c>
      <c r="C5551" t="s">
        <v>92</v>
      </c>
      <c r="D5551" t="s">
        <v>780</v>
      </c>
      <c r="E5551" t="s">
        <v>406</v>
      </c>
      <c r="F5551" t="s">
        <v>411</v>
      </c>
      <c r="G5551" s="39">
        <v>42186</v>
      </c>
      <c r="J5551" t="s">
        <v>90</v>
      </c>
    </row>
    <row r="5552" spans="1:10" x14ac:dyDescent="0.35">
      <c r="A5552">
        <v>16713</v>
      </c>
      <c r="B5552" t="s">
        <v>904</v>
      </c>
      <c r="C5552" t="s">
        <v>92</v>
      </c>
      <c r="D5552" t="s">
        <v>780</v>
      </c>
      <c r="E5552" t="s">
        <v>832</v>
      </c>
      <c r="F5552" t="s">
        <v>244</v>
      </c>
      <c r="G5552" s="39">
        <v>45544</v>
      </c>
      <c r="J5552" t="s">
        <v>90</v>
      </c>
    </row>
    <row r="5553" spans="1:10" x14ac:dyDescent="0.35">
      <c r="A5553">
        <v>300049</v>
      </c>
      <c r="B5553" t="s">
        <v>904</v>
      </c>
      <c r="C5553" t="s">
        <v>92</v>
      </c>
      <c r="D5553" t="s">
        <v>780</v>
      </c>
      <c r="E5553" t="s">
        <v>151</v>
      </c>
      <c r="F5553" t="s">
        <v>244</v>
      </c>
      <c r="G5553" s="39">
        <v>42726</v>
      </c>
      <c r="J5553" t="s">
        <v>90</v>
      </c>
    </row>
    <row r="5554" spans="1:10" x14ac:dyDescent="0.35">
      <c r="A5554">
        <v>290060</v>
      </c>
      <c r="B5554" t="s">
        <v>904</v>
      </c>
      <c r="C5554" t="s">
        <v>92</v>
      </c>
      <c r="D5554" t="s">
        <v>780</v>
      </c>
      <c r="E5554" t="s">
        <v>406</v>
      </c>
      <c r="F5554" t="s">
        <v>244</v>
      </c>
      <c r="G5554" s="39">
        <v>44371</v>
      </c>
      <c r="J5554" t="s">
        <v>90</v>
      </c>
    </row>
    <row r="5555" spans="1:10" x14ac:dyDescent="0.35">
      <c r="A5555">
        <v>14150</v>
      </c>
      <c r="B5555" t="s">
        <v>904</v>
      </c>
      <c r="C5555" t="s">
        <v>92</v>
      </c>
      <c r="D5555" t="s">
        <v>780</v>
      </c>
      <c r="E5555" t="s">
        <v>477</v>
      </c>
      <c r="F5555" t="s">
        <v>244</v>
      </c>
      <c r="G5555" s="39">
        <v>44677</v>
      </c>
      <c r="J5555" t="s">
        <v>90</v>
      </c>
    </row>
    <row r="5556" spans="1:10" x14ac:dyDescent="0.35">
      <c r="A5556">
        <v>290063</v>
      </c>
      <c r="B5556" t="s">
        <v>904</v>
      </c>
      <c r="C5556" t="s">
        <v>92</v>
      </c>
      <c r="D5556" t="s">
        <v>780</v>
      </c>
      <c r="E5556" t="s">
        <v>473</v>
      </c>
      <c r="F5556" t="s">
        <v>244</v>
      </c>
      <c r="G5556" s="39">
        <v>44568</v>
      </c>
      <c r="J5556" t="s">
        <v>90</v>
      </c>
    </row>
    <row r="5557" spans="1:10" x14ac:dyDescent="0.35">
      <c r="A5557">
        <v>17985</v>
      </c>
      <c r="B5557" t="s">
        <v>904</v>
      </c>
      <c r="C5557" t="s">
        <v>92</v>
      </c>
      <c r="D5557" t="s">
        <v>780</v>
      </c>
      <c r="E5557" t="s">
        <v>474</v>
      </c>
      <c r="F5557" t="s">
        <v>244</v>
      </c>
      <c r="G5557" s="39">
        <v>45946</v>
      </c>
      <c r="J5557" t="s">
        <v>90</v>
      </c>
    </row>
    <row r="5558" spans="1:10" x14ac:dyDescent="0.35">
      <c r="A5558">
        <v>19193</v>
      </c>
      <c r="B5558" t="s">
        <v>904</v>
      </c>
      <c r="C5558" t="s">
        <v>92</v>
      </c>
      <c r="D5558" t="s">
        <v>780</v>
      </c>
      <c r="E5558" t="s">
        <v>474</v>
      </c>
      <c r="F5558" t="s">
        <v>244</v>
      </c>
      <c r="G5558" s="39">
        <v>46280</v>
      </c>
      <c r="J5558" t="s">
        <v>90</v>
      </c>
    </row>
    <row r="5559" spans="1:10" x14ac:dyDescent="0.35">
      <c r="A5559">
        <v>300128</v>
      </c>
      <c r="B5559" t="s">
        <v>904</v>
      </c>
      <c r="C5559" t="s">
        <v>92</v>
      </c>
      <c r="D5559" t="s">
        <v>791</v>
      </c>
      <c r="E5559" t="s">
        <v>122</v>
      </c>
      <c r="F5559" t="s">
        <v>244</v>
      </c>
      <c r="G5559" s="39">
        <v>43192</v>
      </c>
      <c r="J5559" t="s">
        <v>90</v>
      </c>
    </row>
    <row r="5560" spans="1:10" x14ac:dyDescent="0.35">
      <c r="A5560">
        <v>135002</v>
      </c>
      <c r="B5560" t="s">
        <v>904</v>
      </c>
      <c r="C5560" t="s">
        <v>92</v>
      </c>
      <c r="D5560" t="s">
        <v>827</v>
      </c>
      <c r="E5560" t="s">
        <v>151</v>
      </c>
      <c r="F5560" t="s">
        <v>244</v>
      </c>
      <c r="G5560" s="39">
        <v>44333</v>
      </c>
      <c r="J5560" t="s">
        <v>90</v>
      </c>
    </row>
    <row r="5561" spans="1:10" x14ac:dyDescent="0.35">
      <c r="A5561">
        <v>135003</v>
      </c>
      <c r="B5561" t="s">
        <v>904</v>
      </c>
      <c r="C5561" t="s">
        <v>92</v>
      </c>
      <c r="D5561" t="s">
        <v>827</v>
      </c>
      <c r="E5561" t="s">
        <v>109</v>
      </c>
      <c r="F5561" t="s">
        <v>244</v>
      </c>
      <c r="G5561" s="39">
        <v>44383</v>
      </c>
      <c r="J5561" t="s">
        <v>90</v>
      </c>
    </row>
    <row r="5562" spans="1:10" x14ac:dyDescent="0.35">
      <c r="A5562">
        <v>135009</v>
      </c>
      <c r="B5562" t="s">
        <v>904</v>
      </c>
      <c r="C5562" t="s">
        <v>92</v>
      </c>
      <c r="D5562" t="s">
        <v>827</v>
      </c>
      <c r="E5562" t="s">
        <v>109</v>
      </c>
      <c r="F5562" t="s">
        <v>244</v>
      </c>
      <c r="G5562" s="39">
        <v>44568</v>
      </c>
      <c r="J5562" t="s">
        <v>90</v>
      </c>
    </row>
    <row r="5563" spans="1:10" x14ac:dyDescent="0.35">
      <c r="A5563">
        <v>15163</v>
      </c>
      <c r="B5563" t="s">
        <v>904</v>
      </c>
      <c r="C5563" t="s">
        <v>92</v>
      </c>
      <c r="D5563" t="s">
        <v>827</v>
      </c>
      <c r="E5563" t="s">
        <v>102</v>
      </c>
      <c r="F5563" t="s">
        <v>244</v>
      </c>
      <c r="G5563" s="39">
        <v>44970</v>
      </c>
      <c r="J5563" t="s">
        <v>90</v>
      </c>
    </row>
    <row r="5564" spans="1:10" x14ac:dyDescent="0.35">
      <c r="A5564">
        <v>14531</v>
      </c>
      <c r="B5564" t="s">
        <v>904</v>
      </c>
      <c r="C5564" t="s">
        <v>92</v>
      </c>
      <c r="D5564" t="s">
        <v>827</v>
      </c>
      <c r="E5564" t="s">
        <v>102</v>
      </c>
      <c r="F5564" t="s">
        <v>244</v>
      </c>
      <c r="G5564" s="39">
        <v>44778</v>
      </c>
      <c r="J5564" t="s">
        <v>90</v>
      </c>
    </row>
    <row r="5565" spans="1:10" x14ac:dyDescent="0.35">
      <c r="A5565">
        <v>18396</v>
      </c>
      <c r="B5565" t="s">
        <v>904</v>
      </c>
      <c r="C5565" t="s">
        <v>92</v>
      </c>
      <c r="D5565" t="s">
        <v>827</v>
      </c>
      <c r="E5565" t="s">
        <v>106</v>
      </c>
      <c r="F5565" t="s">
        <v>244</v>
      </c>
      <c r="G5565" s="39">
        <v>46120</v>
      </c>
      <c r="J5565" t="s">
        <v>90</v>
      </c>
    </row>
    <row r="5566" spans="1:10" x14ac:dyDescent="0.35">
      <c r="A5566">
        <v>290023</v>
      </c>
      <c r="B5566" t="s">
        <v>905</v>
      </c>
      <c r="C5566" t="s">
        <v>92</v>
      </c>
      <c r="D5566" t="s">
        <v>92</v>
      </c>
      <c r="E5566" t="s">
        <v>464</v>
      </c>
      <c r="F5566" t="s">
        <v>244</v>
      </c>
      <c r="G5566" s="39">
        <v>38642</v>
      </c>
      <c r="J5566" t="s">
        <v>90</v>
      </c>
    </row>
    <row r="5567" spans="1:10" x14ac:dyDescent="0.35">
      <c r="A5567">
        <v>540015</v>
      </c>
      <c r="B5567" t="s">
        <v>905</v>
      </c>
      <c r="C5567" t="s">
        <v>92</v>
      </c>
      <c r="D5567" t="s">
        <v>780</v>
      </c>
      <c r="E5567" t="s">
        <v>506</v>
      </c>
      <c r="F5567" t="s">
        <v>244</v>
      </c>
      <c r="G5567" s="39">
        <v>41235</v>
      </c>
      <c r="J5567" t="s">
        <v>90</v>
      </c>
    </row>
    <row r="5568" spans="1:10" x14ac:dyDescent="0.35">
      <c r="A5568">
        <v>17110</v>
      </c>
      <c r="B5568" t="s">
        <v>905</v>
      </c>
      <c r="C5568" t="s">
        <v>92</v>
      </c>
      <c r="D5568" t="s">
        <v>780</v>
      </c>
      <c r="E5568" t="s">
        <v>474</v>
      </c>
      <c r="F5568" t="s">
        <v>244</v>
      </c>
      <c r="G5568" s="39">
        <v>45632</v>
      </c>
      <c r="J5568" t="s">
        <v>90</v>
      </c>
    </row>
    <row r="5569" spans="1:10" x14ac:dyDescent="0.35">
      <c r="A5569">
        <v>540036</v>
      </c>
      <c r="B5569" t="s">
        <v>905</v>
      </c>
      <c r="C5569" t="s">
        <v>92</v>
      </c>
      <c r="D5569" t="s">
        <v>780</v>
      </c>
      <c r="E5569" t="s">
        <v>406</v>
      </c>
      <c r="F5569" t="s">
        <v>244</v>
      </c>
      <c r="G5569" s="39">
        <v>43811</v>
      </c>
      <c r="J5569" t="s">
        <v>90</v>
      </c>
    </row>
    <row r="5570" spans="1:10" x14ac:dyDescent="0.35">
      <c r="A5570">
        <v>890018</v>
      </c>
      <c r="B5570" t="s">
        <v>905</v>
      </c>
      <c r="C5570" t="s">
        <v>92</v>
      </c>
      <c r="D5570" t="s">
        <v>780</v>
      </c>
      <c r="E5570" t="s">
        <v>406</v>
      </c>
      <c r="F5570" t="s">
        <v>244</v>
      </c>
      <c r="G5570" s="39">
        <v>42809</v>
      </c>
      <c r="J5570" t="s">
        <v>90</v>
      </c>
    </row>
    <row r="5571" spans="1:10" x14ac:dyDescent="0.35">
      <c r="A5571">
        <v>540040</v>
      </c>
      <c r="B5571" t="s">
        <v>905</v>
      </c>
      <c r="C5571" t="s">
        <v>92</v>
      </c>
      <c r="D5571" t="s">
        <v>780</v>
      </c>
      <c r="E5571" t="s">
        <v>477</v>
      </c>
      <c r="F5571" t="s">
        <v>244</v>
      </c>
      <c r="G5571" s="39">
        <v>44411</v>
      </c>
      <c r="J5571" t="s">
        <v>90</v>
      </c>
    </row>
    <row r="5572" spans="1:10" x14ac:dyDescent="0.35">
      <c r="A5572">
        <v>540032</v>
      </c>
      <c r="B5572" t="s">
        <v>905</v>
      </c>
      <c r="C5572" t="s">
        <v>92</v>
      </c>
      <c r="D5572" t="s">
        <v>780</v>
      </c>
      <c r="E5572" t="s">
        <v>477</v>
      </c>
      <c r="F5572" t="s">
        <v>244</v>
      </c>
      <c r="G5572" s="39">
        <v>43430</v>
      </c>
      <c r="J5572" t="s">
        <v>90</v>
      </c>
    </row>
    <row r="5573" spans="1:10" x14ac:dyDescent="0.35">
      <c r="A5573">
        <v>15437</v>
      </c>
      <c r="B5573" t="s">
        <v>905</v>
      </c>
      <c r="C5573" t="s">
        <v>92</v>
      </c>
      <c r="D5573" t="s">
        <v>780</v>
      </c>
      <c r="E5573" t="s">
        <v>477</v>
      </c>
      <c r="F5573" t="s">
        <v>244</v>
      </c>
      <c r="G5573" s="39">
        <v>45070</v>
      </c>
      <c r="J5573" t="s">
        <v>90</v>
      </c>
    </row>
    <row r="5574" spans="1:10" x14ac:dyDescent="0.35">
      <c r="A5574">
        <v>16575</v>
      </c>
      <c r="B5574" t="s">
        <v>905</v>
      </c>
      <c r="C5574" t="s">
        <v>92</v>
      </c>
      <c r="D5574" t="s">
        <v>780</v>
      </c>
      <c r="E5574" t="s">
        <v>823</v>
      </c>
      <c r="F5574" t="s">
        <v>244</v>
      </c>
      <c r="G5574" s="39">
        <v>45475</v>
      </c>
      <c r="J5574" t="s">
        <v>90</v>
      </c>
    </row>
    <row r="5575" spans="1:10" x14ac:dyDescent="0.35">
      <c r="A5575">
        <v>14982</v>
      </c>
      <c r="B5575" t="s">
        <v>905</v>
      </c>
      <c r="C5575" t="s">
        <v>92</v>
      </c>
      <c r="D5575" t="s">
        <v>780</v>
      </c>
      <c r="E5575" t="s">
        <v>477</v>
      </c>
      <c r="F5575" t="s">
        <v>244</v>
      </c>
      <c r="G5575" s="39">
        <v>44907</v>
      </c>
      <c r="J5575" t="s">
        <v>90</v>
      </c>
    </row>
    <row r="5576" spans="1:10" x14ac:dyDescent="0.35">
      <c r="A5576">
        <v>540028</v>
      </c>
      <c r="B5576" t="s">
        <v>905</v>
      </c>
      <c r="C5576" t="s">
        <v>92</v>
      </c>
      <c r="D5576" t="s">
        <v>780</v>
      </c>
      <c r="E5576" t="s">
        <v>477</v>
      </c>
      <c r="F5576" t="s">
        <v>244</v>
      </c>
      <c r="G5576" s="39">
        <v>43116</v>
      </c>
      <c r="J5576" t="s">
        <v>90</v>
      </c>
    </row>
    <row r="5577" spans="1:10" x14ac:dyDescent="0.35">
      <c r="A5577">
        <v>17298</v>
      </c>
      <c r="B5577" t="s">
        <v>905</v>
      </c>
      <c r="C5577" t="s">
        <v>92</v>
      </c>
      <c r="D5577" t="s">
        <v>780</v>
      </c>
      <c r="E5577" t="s">
        <v>496</v>
      </c>
      <c r="F5577" t="s">
        <v>244</v>
      </c>
      <c r="G5577" s="39">
        <v>45698</v>
      </c>
      <c r="J5577" t="s">
        <v>90</v>
      </c>
    </row>
    <row r="5578" spans="1:10" x14ac:dyDescent="0.35">
      <c r="A5578">
        <v>15938</v>
      </c>
      <c r="B5578" t="s">
        <v>905</v>
      </c>
      <c r="C5578" t="s">
        <v>92</v>
      </c>
      <c r="D5578" t="s">
        <v>791</v>
      </c>
      <c r="E5578" t="s">
        <v>122</v>
      </c>
      <c r="F5578" t="s">
        <v>244</v>
      </c>
      <c r="G5578" s="39">
        <v>45246</v>
      </c>
      <c r="J5578" t="s">
        <v>90</v>
      </c>
    </row>
    <row r="5579" spans="1:10" x14ac:dyDescent="0.35">
      <c r="A5579">
        <v>15630</v>
      </c>
      <c r="B5579" t="s">
        <v>905</v>
      </c>
      <c r="C5579" t="s">
        <v>92</v>
      </c>
      <c r="D5579" t="s">
        <v>827</v>
      </c>
      <c r="E5579" t="s">
        <v>151</v>
      </c>
      <c r="F5579" t="s">
        <v>244</v>
      </c>
      <c r="G5579" s="39">
        <v>45146</v>
      </c>
      <c r="J5579" t="s">
        <v>90</v>
      </c>
    </row>
    <row r="5580" spans="1:10" x14ac:dyDescent="0.35">
      <c r="A5580">
        <v>540033</v>
      </c>
      <c r="B5580" t="s">
        <v>905</v>
      </c>
      <c r="C5580" t="s">
        <v>92</v>
      </c>
      <c r="D5580" t="s">
        <v>827</v>
      </c>
      <c r="E5580" t="s">
        <v>109</v>
      </c>
      <c r="F5580" t="s">
        <v>244</v>
      </c>
      <c r="G5580" s="39">
        <v>43577</v>
      </c>
      <c r="J5580" t="s">
        <v>90</v>
      </c>
    </row>
    <row r="5581" spans="1:10" x14ac:dyDescent="0.35">
      <c r="A5581">
        <v>540041</v>
      </c>
      <c r="B5581" t="s">
        <v>905</v>
      </c>
      <c r="C5581" t="s">
        <v>92</v>
      </c>
      <c r="D5581" t="s">
        <v>827</v>
      </c>
      <c r="E5581" t="s">
        <v>109</v>
      </c>
      <c r="F5581" t="s">
        <v>244</v>
      </c>
      <c r="G5581" s="39">
        <v>44433</v>
      </c>
      <c r="J5581" t="s">
        <v>90</v>
      </c>
    </row>
    <row r="5582" spans="1:10" x14ac:dyDescent="0.35">
      <c r="A5582">
        <v>540044</v>
      </c>
      <c r="B5582" t="s">
        <v>905</v>
      </c>
      <c r="C5582" t="s">
        <v>92</v>
      </c>
      <c r="D5582" t="s">
        <v>827</v>
      </c>
      <c r="E5582" t="s">
        <v>102</v>
      </c>
      <c r="F5582" t="s">
        <v>244</v>
      </c>
      <c r="G5582" s="39">
        <v>44554</v>
      </c>
      <c r="J5582" t="s">
        <v>90</v>
      </c>
    </row>
    <row r="5583" spans="1:10" x14ac:dyDescent="0.35">
      <c r="A5583">
        <v>15890</v>
      </c>
      <c r="B5583" t="s">
        <v>905</v>
      </c>
      <c r="C5583" t="s">
        <v>92</v>
      </c>
      <c r="D5583" t="s">
        <v>827</v>
      </c>
      <c r="E5583" t="s">
        <v>102</v>
      </c>
      <c r="F5583" t="s">
        <v>244</v>
      </c>
      <c r="G5583" s="39">
        <v>45232</v>
      </c>
      <c r="J5583" t="s">
        <v>90</v>
      </c>
    </row>
    <row r="5584" spans="1:10" x14ac:dyDescent="0.35">
      <c r="A5584">
        <v>140047</v>
      </c>
      <c r="B5584" t="s">
        <v>906</v>
      </c>
      <c r="C5584" t="s">
        <v>92</v>
      </c>
      <c r="D5584" t="s">
        <v>92</v>
      </c>
      <c r="E5584" t="s">
        <v>464</v>
      </c>
      <c r="F5584" t="s">
        <v>244</v>
      </c>
      <c r="G5584" s="39">
        <v>44321</v>
      </c>
      <c r="J5584" t="s">
        <v>90</v>
      </c>
    </row>
    <row r="5585" spans="1:10" x14ac:dyDescent="0.35">
      <c r="A5585">
        <v>15209</v>
      </c>
      <c r="B5585" t="s">
        <v>906</v>
      </c>
      <c r="C5585" t="s">
        <v>92</v>
      </c>
      <c r="D5585" t="s">
        <v>780</v>
      </c>
      <c r="E5585" t="s">
        <v>782</v>
      </c>
      <c r="F5585" t="s">
        <v>244</v>
      </c>
      <c r="G5585" s="39">
        <v>44987</v>
      </c>
      <c r="J5585" t="s">
        <v>90</v>
      </c>
    </row>
    <row r="5586" spans="1:10" x14ac:dyDescent="0.35">
      <c r="A5586">
        <v>17321</v>
      </c>
      <c r="B5586" t="s">
        <v>906</v>
      </c>
      <c r="C5586" t="s">
        <v>92</v>
      </c>
      <c r="D5586" t="s">
        <v>780</v>
      </c>
      <c r="E5586" t="s">
        <v>530</v>
      </c>
      <c r="F5586" t="s">
        <v>244</v>
      </c>
      <c r="G5586" s="39">
        <v>45708</v>
      </c>
      <c r="J5586" t="s">
        <v>90</v>
      </c>
    </row>
    <row r="5587" spans="1:10" x14ac:dyDescent="0.35">
      <c r="A5587">
        <v>870002</v>
      </c>
      <c r="B5587" t="s">
        <v>906</v>
      </c>
      <c r="C5587" t="s">
        <v>92</v>
      </c>
      <c r="D5587" t="s">
        <v>780</v>
      </c>
      <c r="E5587" t="s">
        <v>406</v>
      </c>
      <c r="F5587" t="s">
        <v>244</v>
      </c>
      <c r="G5587" s="39">
        <v>40044</v>
      </c>
      <c r="J5587" t="s">
        <v>90</v>
      </c>
    </row>
    <row r="5588" spans="1:10" x14ac:dyDescent="0.35">
      <c r="A5588">
        <v>880034</v>
      </c>
      <c r="B5588" t="s">
        <v>906</v>
      </c>
      <c r="C5588" t="s">
        <v>92</v>
      </c>
      <c r="D5588" t="s">
        <v>780</v>
      </c>
      <c r="E5588" t="s">
        <v>406</v>
      </c>
      <c r="F5588" t="s">
        <v>244</v>
      </c>
      <c r="G5588" s="39">
        <v>42828</v>
      </c>
      <c r="J5588" t="s">
        <v>90</v>
      </c>
    </row>
    <row r="5589" spans="1:10" x14ac:dyDescent="0.35">
      <c r="A5589">
        <v>290056</v>
      </c>
      <c r="B5589" t="s">
        <v>906</v>
      </c>
      <c r="C5589" t="s">
        <v>92</v>
      </c>
      <c r="D5589" t="s">
        <v>780</v>
      </c>
      <c r="E5589" t="s">
        <v>477</v>
      </c>
      <c r="F5589" t="s">
        <v>411</v>
      </c>
      <c r="G5589" s="39">
        <v>43776</v>
      </c>
      <c r="J5589" t="s">
        <v>90</v>
      </c>
    </row>
    <row r="5590" spans="1:10" x14ac:dyDescent="0.35">
      <c r="A5590">
        <v>15720</v>
      </c>
      <c r="B5590" t="s">
        <v>906</v>
      </c>
      <c r="C5590" t="s">
        <v>92</v>
      </c>
      <c r="D5590" t="s">
        <v>780</v>
      </c>
      <c r="E5590" t="s">
        <v>832</v>
      </c>
      <c r="F5590" t="s">
        <v>244</v>
      </c>
      <c r="G5590" s="39">
        <v>45176</v>
      </c>
      <c r="J5590" t="s">
        <v>90</v>
      </c>
    </row>
    <row r="5591" spans="1:10" x14ac:dyDescent="0.35">
      <c r="A5591">
        <v>870003</v>
      </c>
      <c r="B5591" t="s">
        <v>906</v>
      </c>
      <c r="C5591" t="s">
        <v>92</v>
      </c>
      <c r="D5591" t="s">
        <v>780</v>
      </c>
      <c r="E5591" t="s">
        <v>477</v>
      </c>
      <c r="F5591" t="s">
        <v>244</v>
      </c>
      <c r="G5591" s="39">
        <v>40269</v>
      </c>
      <c r="J5591" t="s">
        <v>90</v>
      </c>
    </row>
    <row r="5592" spans="1:10" x14ac:dyDescent="0.35">
      <c r="A5592">
        <v>870030</v>
      </c>
      <c r="B5592" t="s">
        <v>906</v>
      </c>
      <c r="C5592" t="s">
        <v>92</v>
      </c>
      <c r="D5592" t="s">
        <v>780</v>
      </c>
      <c r="E5592" t="s">
        <v>477</v>
      </c>
      <c r="F5592" t="s">
        <v>411</v>
      </c>
      <c r="G5592" s="39">
        <v>44025</v>
      </c>
      <c r="J5592" t="s">
        <v>90</v>
      </c>
    </row>
    <row r="5593" spans="1:10" x14ac:dyDescent="0.35">
      <c r="A5593">
        <v>15826</v>
      </c>
      <c r="B5593" t="s">
        <v>906</v>
      </c>
      <c r="C5593" t="s">
        <v>92</v>
      </c>
      <c r="D5593" t="s">
        <v>780</v>
      </c>
      <c r="E5593" t="s">
        <v>832</v>
      </c>
      <c r="F5593" t="s">
        <v>244</v>
      </c>
      <c r="G5593" s="39">
        <v>45208</v>
      </c>
      <c r="J5593" t="s">
        <v>90</v>
      </c>
    </row>
    <row r="5594" spans="1:10" x14ac:dyDescent="0.35">
      <c r="A5594">
        <v>360037</v>
      </c>
      <c r="B5594" t="s">
        <v>906</v>
      </c>
      <c r="C5594" t="s">
        <v>92</v>
      </c>
      <c r="D5594" t="s">
        <v>780</v>
      </c>
      <c r="E5594" t="s">
        <v>406</v>
      </c>
      <c r="F5594" t="s">
        <v>244</v>
      </c>
      <c r="G5594" s="39">
        <v>44209</v>
      </c>
      <c r="J5594" t="s">
        <v>90</v>
      </c>
    </row>
    <row r="5595" spans="1:10" x14ac:dyDescent="0.35">
      <c r="A5595">
        <v>840021</v>
      </c>
      <c r="B5595" t="s">
        <v>906</v>
      </c>
      <c r="C5595" t="s">
        <v>92</v>
      </c>
      <c r="D5595" t="s">
        <v>780</v>
      </c>
      <c r="E5595" t="s">
        <v>477</v>
      </c>
      <c r="F5595" t="s">
        <v>244</v>
      </c>
      <c r="G5595" s="39">
        <v>44568</v>
      </c>
      <c r="J5595" t="s">
        <v>90</v>
      </c>
    </row>
    <row r="5596" spans="1:10" x14ac:dyDescent="0.35">
      <c r="A5596">
        <v>15263</v>
      </c>
      <c r="B5596" t="s">
        <v>906</v>
      </c>
      <c r="C5596" t="s">
        <v>92</v>
      </c>
      <c r="D5596" t="s">
        <v>780</v>
      </c>
      <c r="E5596" t="s">
        <v>474</v>
      </c>
      <c r="F5596" t="s">
        <v>244</v>
      </c>
      <c r="G5596" s="39">
        <v>45000</v>
      </c>
      <c r="J5596" t="s">
        <v>90</v>
      </c>
    </row>
    <row r="5597" spans="1:10" x14ac:dyDescent="0.35">
      <c r="A5597">
        <v>18774</v>
      </c>
      <c r="B5597" t="s">
        <v>906</v>
      </c>
      <c r="C5597" t="s">
        <v>92</v>
      </c>
      <c r="D5597" t="s">
        <v>780</v>
      </c>
      <c r="E5597" t="s">
        <v>475</v>
      </c>
      <c r="F5597" t="s">
        <v>244</v>
      </c>
      <c r="G5597" s="39">
        <v>46210</v>
      </c>
      <c r="J5597" t="s">
        <v>90</v>
      </c>
    </row>
    <row r="5598" spans="1:10" x14ac:dyDescent="0.35">
      <c r="A5598">
        <v>870016</v>
      </c>
      <c r="B5598" t="s">
        <v>906</v>
      </c>
      <c r="C5598" t="s">
        <v>92</v>
      </c>
      <c r="D5598" t="s">
        <v>791</v>
      </c>
      <c r="E5598" t="s">
        <v>122</v>
      </c>
      <c r="F5598" t="s">
        <v>244</v>
      </c>
      <c r="G5598" s="39">
        <v>41149</v>
      </c>
      <c r="J5598" t="s">
        <v>90</v>
      </c>
    </row>
    <row r="5599" spans="1:10" x14ac:dyDescent="0.35">
      <c r="A5599">
        <v>14157</v>
      </c>
      <c r="B5599" t="s">
        <v>906</v>
      </c>
      <c r="C5599" t="s">
        <v>92</v>
      </c>
      <c r="D5599" t="s">
        <v>827</v>
      </c>
      <c r="E5599" t="s">
        <v>151</v>
      </c>
      <c r="F5599" t="s">
        <v>244</v>
      </c>
      <c r="G5599" s="39">
        <v>44677</v>
      </c>
      <c r="J5599" t="s">
        <v>90</v>
      </c>
    </row>
    <row r="5600" spans="1:10" x14ac:dyDescent="0.35">
      <c r="A5600">
        <v>15430</v>
      </c>
      <c r="B5600" t="s">
        <v>906</v>
      </c>
      <c r="C5600" t="s">
        <v>92</v>
      </c>
      <c r="D5600" t="s">
        <v>827</v>
      </c>
      <c r="E5600" t="s">
        <v>102</v>
      </c>
      <c r="F5600" t="s">
        <v>244</v>
      </c>
      <c r="G5600" s="39">
        <v>45069</v>
      </c>
      <c r="J5600" t="s">
        <v>90</v>
      </c>
    </row>
    <row r="5601" spans="1:10" x14ac:dyDescent="0.35">
      <c r="A5601">
        <v>15840</v>
      </c>
      <c r="B5601" t="s">
        <v>906</v>
      </c>
      <c r="C5601" t="s">
        <v>92</v>
      </c>
      <c r="D5601" t="s">
        <v>827</v>
      </c>
      <c r="E5601" t="s">
        <v>102</v>
      </c>
      <c r="F5601" t="s">
        <v>244</v>
      </c>
      <c r="G5601" s="39">
        <v>45212</v>
      </c>
      <c r="J5601" t="s">
        <v>90</v>
      </c>
    </row>
    <row r="5602" spans="1:10" x14ac:dyDescent="0.35">
      <c r="A5602">
        <v>16810</v>
      </c>
      <c r="B5602" t="s">
        <v>906</v>
      </c>
      <c r="C5602" t="s">
        <v>92</v>
      </c>
      <c r="D5602" t="s">
        <v>827</v>
      </c>
      <c r="E5602" t="s">
        <v>103</v>
      </c>
      <c r="F5602" t="s">
        <v>244</v>
      </c>
      <c r="G5602" s="39">
        <v>45555</v>
      </c>
      <c r="J5602" t="s">
        <v>90</v>
      </c>
    </row>
    <row r="5603" spans="1:10" x14ac:dyDescent="0.35">
      <c r="A5603">
        <v>17353</v>
      </c>
      <c r="B5603" t="s">
        <v>906</v>
      </c>
      <c r="C5603" t="s">
        <v>92</v>
      </c>
      <c r="D5603" t="s">
        <v>827</v>
      </c>
      <c r="E5603" t="s">
        <v>103</v>
      </c>
      <c r="F5603" t="s">
        <v>244</v>
      </c>
      <c r="G5603" s="39">
        <v>45715</v>
      </c>
      <c r="J5603" t="s">
        <v>90</v>
      </c>
    </row>
    <row r="5604" spans="1:10" x14ac:dyDescent="0.35">
      <c r="A5604">
        <v>300056</v>
      </c>
      <c r="B5604" t="s">
        <v>907</v>
      </c>
      <c r="C5604" t="s">
        <v>92</v>
      </c>
      <c r="D5604" t="s">
        <v>92</v>
      </c>
      <c r="E5604" t="s">
        <v>464</v>
      </c>
      <c r="F5604" t="s">
        <v>244</v>
      </c>
      <c r="G5604" s="39">
        <v>42779</v>
      </c>
      <c r="J5604" t="s">
        <v>90</v>
      </c>
    </row>
    <row r="5605" spans="1:10" x14ac:dyDescent="0.35">
      <c r="A5605">
        <v>300050</v>
      </c>
      <c r="B5605" t="s">
        <v>907</v>
      </c>
      <c r="C5605" t="s">
        <v>92</v>
      </c>
      <c r="D5605" t="s">
        <v>780</v>
      </c>
      <c r="E5605" t="s">
        <v>506</v>
      </c>
      <c r="F5605" t="s">
        <v>244</v>
      </c>
      <c r="G5605" s="39">
        <v>42752</v>
      </c>
      <c r="J5605" t="s">
        <v>90</v>
      </c>
    </row>
    <row r="5606" spans="1:10" x14ac:dyDescent="0.35">
      <c r="A5606">
        <v>114011</v>
      </c>
      <c r="B5606" t="s">
        <v>907</v>
      </c>
      <c r="C5606" t="s">
        <v>92</v>
      </c>
      <c r="D5606" t="s">
        <v>780</v>
      </c>
      <c r="E5606" t="s">
        <v>406</v>
      </c>
      <c r="F5606" t="s">
        <v>244</v>
      </c>
      <c r="G5606" s="39">
        <v>41613</v>
      </c>
      <c r="J5606" t="s">
        <v>90</v>
      </c>
    </row>
    <row r="5607" spans="1:10" x14ac:dyDescent="0.35">
      <c r="A5607">
        <v>115008</v>
      </c>
      <c r="B5607" t="s">
        <v>907</v>
      </c>
      <c r="C5607" t="s">
        <v>92</v>
      </c>
      <c r="D5607" t="s">
        <v>780</v>
      </c>
      <c r="E5607" t="s">
        <v>548</v>
      </c>
      <c r="F5607" t="s">
        <v>244</v>
      </c>
      <c r="G5607" s="39">
        <v>41381</v>
      </c>
      <c r="J5607" t="s">
        <v>90</v>
      </c>
    </row>
    <row r="5608" spans="1:10" x14ac:dyDescent="0.35">
      <c r="A5608">
        <v>17269</v>
      </c>
      <c r="B5608" t="s">
        <v>907</v>
      </c>
      <c r="C5608" t="s">
        <v>92</v>
      </c>
      <c r="D5608" t="s">
        <v>780</v>
      </c>
      <c r="E5608" t="s">
        <v>474</v>
      </c>
      <c r="F5608" t="s">
        <v>244</v>
      </c>
      <c r="G5608" s="39">
        <v>45694</v>
      </c>
      <c r="J5608" t="s">
        <v>90</v>
      </c>
    </row>
    <row r="5609" spans="1:10" x14ac:dyDescent="0.35">
      <c r="A5609">
        <v>114014</v>
      </c>
      <c r="B5609" t="s">
        <v>907</v>
      </c>
      <c r="C5609" t="s">
        <v>92</v>
      </c>
      <c r="D5609" t="s">
        <v>780</v>
      </c>
      <c r="E5609" t="s">
        <v>406</v>
      </c>
      <c r="F5609" t="s">
        <v>244</v>
      </c>
      <c r="G5609" s="39">
        <v>41899</v>
      </c>
      <c r="J5609" t="s">
        <v>90</v>
      </c>
    </row>
    <row r="5610" spans="1:10" x14ac:dyDescent="0.35">
      <c r="A5610">
        <v>114020</v>
      </c>
      <c r="B5610" t="s">
        <v>907</v>
      </c>
      <c r="C5610" t="s">
        <v>92</v>
      </c>
      <c r="D5610" t="s">
        <v>780</v>
      </c>
      <c r="E5610" t="s">
        <v>406</v>
      </c>
      <c r="F5610" t="s">
        <v>244</v>
      </c>
      <c r="G5610" s="39">
        <v>42866</v>
      </c>
      <c r="J5610" t="s">
        <v>90</v>
      </c>
    </row>
    <row r="5611" spans="1:10" x14ac:dyDescent="0.35">
      <c r="A5611">
        <v>114026</v>
      </c>
      <c r="B5611" t="s">
        <v>907</v>
      </c>
      <c r="C5611" t="s">
        <v>92</v>
      </c>
      <c r="D5611" t="s">
        <v>780</v>
      </c>
      <c r="E5611" t="s">
        <v>477</v>
      </c>
      <c r="F5611" t="s">
        <v>244</v>
      </c>
      <c r="G5611" s="39">
        <v>44573</v>
      </c>
      <c r="J5611" t="s">
        <v>90</v>
      </c>
    </row>
    <row r="5612" spans="1:10" x14ac:dyDescent="0.35">
      <c r="A5612">
        <v>114010</v>
      </c>
      <c r="B5612" t="s">
        <v>907</v>
      </c>
      <c r="C5612" t="s">
        <v>92</v>
      </c>
      <c r="D5612" t="s">
        <v>791</v>
      </c>
      <c r="E5612" t="s">
        <v>122</v>
      </c>
      <c r="F5612" t="s">
        <v>244</v>
      </c>
      <c r="G5612" s="39">
        <v>40087</v>
      </c>
      <c r="J5612" t="s">
        <v>90</v>
      </c>
    </row>
    <row r="5613" spans="1:10" x14ac:dyDescent="0.35">
      <c r="A5613">
        <v>450027</v>
      </c>
      <c r="B5613" t="s">
        <v>908</v>
      </c>
      <c r="C5613" t="s">
        <v>92</v>
      </c>
      <c r="D5613" t="s">
        <v>92</v>
      </c>
      <c r="E5613" t="s">
        <v>464</v>
      </c>
      <c r="F5613" t="s">
        <v>244</v>
      </c>
      <c r="G5613" s="39">
        <v>42352</v>
      </c>
      <c r="J5613" t="s">
        <v>90</v>
      </c>
    </row>
    <row r="5614" spans="1:10" x14ac:dyDescent="0.35">
      <c r="A5614">
        <v>450047</v>
      </c>
      <c r="B5614" t="s">
        <v>908</v>
      </c>
      <c r="C5614" t="s">
        <v>92</v>
      </c>
      <c r="D5614" t="s">
        <v>780</v>
      </c>
      <c r="E5614" t="s">
        <v>406</v>
      </c>
      <c r="F5614" t="s">
        <v>244</v>
      </c>
      <c r="G5614" s="39">
        <v>43430</v>
      </c>
      <c r="J5614" t="s">
        <v>90</v>
      </c>
    </row>
    <row r="5615" spans="1:10" x14ac:dyDescent="0.35">
      <c r="A5615">
        <v>450029</v>
      </c>
      <c r="B5615" t="s">
        <v>908</v>
      </c>
      <c r="C5615" t="s">
        <v>92</v>
      </c>
      <c r="D5615" t="s">
        <v>780</v>
      </c>
      <c r="E5615" t="s">
        <v>406</v>
      </c>
      <c r="F5615" t="s">
        <v>244</v>
      </c>
      <c r="G5615" s="39">
        <v>42408</v>
      </c>
      <c r="J5615" t="s">
        <v>90</v>
      </c>
    </row>
    <row r="5616" spans="1:10" x14ac:dyDescent="0.35">
      <c r="A5616">
        <v>680022</v>
      </c>
      <c r="B5616" t="s">
        <v>908</v>
      </c>
      <c r="C5616" t="s">
        <v>92</v>
      </c>
      <c r="D5616" t="s">
        <v>780</v>
      </c>
      <c r="E5616" t="s">
        <v>406</v>
      </c>
      <c r="F5616" t="s">
        <v>244</v>
      </c>
      <c r="G5616" s="39">
        <v>43242</v>
      </c>
      <c r="J5616" t="s">
        <v>90</v>
      </c>
    </row>
    <row r="5617" spans="1:10" x14ac:dyDescent="0.35">
      <c r="A5617">
        <v>680028</v>
      </c>
      <c r="B5617" t="s">
        <v>908</v>
      </c>
      <c r="C5617" t="s">
        <v>92</v>
      </c>
      <c r="D5617" t="s">
        <v>780</v>
      </c>
      <c r="E5617" t="s">
        <v>477</v>
      </c>
      <c r="F5617" t="s">
        <v>244</v>
      </c>
      <c r="G5617" s="39">
        <v>44637</v>
      </c>
      <c r="J5617" t="s">
        <v>90</v>
      </c>
    </row>
    <row r="5618" spans="1:10" x14ac:dyDescent="0.35">
      <c r="A5618">
        <v>14239</v>
      </c>
      <c r="B5618" t="s">
        <v>908</v>
      </c>
      <c r="C5618" t="s">
        <v>92</v>
      </c>
      <c r="D5618" t="s">
        <v>780</v>
      </c>
      <c r="E5618" t="s">
        <v>477</v>
      </c>
      <c r="F5618" t="s">
        <v>244</v>
      </c>
      <c r="G5618" s="39">
        <v>44704</v>
      </c>
      <c r="J5618" t="s">
        <v>90</v>
      </c>
    </row>
    <row r="5619" spans="1:10" x14ac:dyDescent="0.35">
      <c r="A5619">
        <v>16337</v>
      </c>
      <c r="B5619" t="s">
        <v>908</v>
      </c>
      <c r="C5619" t="s">
        <v>92</v>
      </c>
      <c r="D5619" t="s">
        <v>780</v>
      </c>
      <c r="E5619" t="s">
        <v>474</v>
      </c>
      <c r="F5619" t="s">
        <v>244</v>
      </c>
      <c r="G5619" s="39">
        <v>45357</v>
      </c>
      <c r="J5619" t="s">
        <v>90</v>
      </c>
    </row>
    <row r="5620" spans="1:10" x14ac:dyDescent="0.35">
      <c r="A5620">
        <v>18598</v>
      </c>
      <c r="B5620" t="s">
        <v>908</v>
      </c>
      <c r="C5620" t="s">
        <v>92</v>
      </c>
      <c r="D5620" t="s">
        <v>780</v>
      </c>
      <c r="E5620" t="s">
        <v>824</v>
      </c>
      <c r="F5620" t="s">
        <v>244</v>
      </c>
      <c r="G5620" s="39">
        <v>46163</v>
      </c>
      <c r="J5620" t="s">
        <v>90</v>
      </c>
    </row>
    <row r="5621" spans="1:10" x14ac:dyDescent="0.35">
      <c r="A5621">
        <v>680011</v>
      </c>
      <c r="B5621" t="s">
        <v>908</v>
      </c>
      <c r="C5621" t="s">
        <v>92</v>
      </c>
      <c r="D5621" t="s">
        <v>791</v>
      </c>
      <c r="E5621" t="s">
        <v>122</v>
      </c>
      <c r="F5621" t="s">
        <v>244</v>
      </c>
      <c r="G5621" s="39">
        <v>41031</v>
      </c>
      <c r="J5621" t="s">
        <v>90</v>
      </c>
    </row>
    <row r="5622" spans="1:10" x14ac:dyDescent="0.35">
      <c r="A5622">
        <v>720010</v>
      </c>
      <c r="B5622" t="s">
        <v>909</v>
      </c>
      <c r="C5622" t="s">
        <v>92</v>
      </c>
      <c r="D5622" t="s">
        <v>92</v>
      </c>
      <c r="E5622" t="s">
        <v>99</v>
      </c>
      <c r="F5622" t="s">
        <v>244</v>
      </c>
      <c r="G5622" s="39">
        <v>39737</v>
      </c>
      <c r="J5622" t="s">
        <v>90</v>
      </c>
    </row>
    <row r="5623" spans="1:10" x14ac:dyDescent="0.35">
      <c r="A5623">
        <v>710033</v>
      </c>
      <c r="B5623" t="s">
        <v>909</v>
      </c>
      <c r="C5623" t="s">
        <v>92</v>
      </c>
      <c r="D5623" t="s">
        <v>92</v>
      </c>
      <c r="E5623" t="s">
        <v>464</v>
      </c>
      <c r="F5623" t="s">
        <v>244</v>
      </c>
      <c r="G5623" s="39">
        <v>43200</v>
      </c>
      <c r="J5623" t="s">
        <v>90</v>
      </c>
    </row>
    <row r="5624" spans="1:10" x14ac:dyDescent="0.35">
      <c r="A5624">
        <v>720011</v>
      </c>
      <c r="B5624" t="s">
        <v>909</v>
      </c>
      <c r="C5624" t="s">
        <v>92</v>
      </c>
      <c r="D5624" t="s">
        <v>780</v>
      </c>
      <c r="E5624" t="s">
        <v>506</v>
      </c>
      <c r="F5624" t="s">
        <v>244</v>
      </c>
      <c r="G5624" s="39">
        <v>38456</v>
      </c>
      <c r="J5624" t="s">
        <v>90</v>
      </c>
    </row>
    <row r="5625" spans="1:10" x14ac:dyDescent="0.35">
      <c r="A5625">
        <v>17151</v>
      </c>
      <c r="B5625" t="s">
        <v>909</v>
      </c>
      <c r="C5625" t="s">
        <v>92</v>
      </c>
      <c r="D5625" t="s">
        <v>780</v>
      </c>
      <c r="E5625" t="s">
        <v>530</v>
      </c>
      <c r="F5625" t="s">
        <v>244</v>
      </c>
      <c r="G5625" s="39">
        <v>45663</v>
      </c>
      <c r="J5625" t="s">
        <v>90</v>
      </c>
    </row>
    <row r="5626" spans="1:10" x14ac:dyDescent="0.35">
      <c r="A5626">
        <v>710006</v>
      </c>
      <c r="B5626" t="s">
        <v>909</v>
      </c>
      <c r="C5626" t="s">
        <v>92</v>
      </c>
      <c r="D5626" t="s">
        <v>780</v>
      </c>
      <c r="E5626" t="s">
        <v>171</v>
      </c>
      <c r="F5626" t="s">
        <v>244</v>
      </c>
      <c r="G5626" s="39">
        <v>39296</v>
      </c>
      <c r="J5626" t="s">
        <v>90</v>
      </c>
    </row>
    <row r="5627" spans="1:10" x14ac:dyDescent="0.35">
      <c r="A5627">
        <v>12602</v>
      </c>
      <c r="B5627" t="s">
        <v>909</v>
      </c>
      <c r="C5627" t="s">
        <v>92</v>
      </c>
      <c r="D5627" t="s">
        <v>780</v>
      </c>
      <c r="E5627" t="s">
        <v>171</v>
      </c>
      <c r="F5627" t="s">
        <v>244</v>
      </c>
      <c r="G5627" s="39">
        <v>43838</v>
      </c>
      <c r="J5627" t="s">
        <v>90</v>
      </c>
    </row>
    <row r="5628" spans="1:10" x14ac:dyDescent="0.35">
      <c r="A5628">
        <v>630013</v>
      </c>
      <c r="B5628" t="s">
        <v>909</v>
      </c>
      <c r="C5628" t="s">
        <v>92</v>
      </c>
      <c r="D5628" t="s">
        <v>780</v>
      </c>
      <c r="E5628" t="s">
        <v>548</v>
      </c>
      <c r="F5628" t="s">
        <v>244</v>
      </c>
      <c r="G5628" s="39">
        <v>42027</v>
      </c>
      <c r="J5628" t="s">
        <v>90</v>
      </c>
    </row>
    <row r="5629" spans="1:10" x14ac:dyDescent="0.35">
      <c r="A5629">
        <v>15652</v>
      </c>
      <c r="B5629" t="s">
        <v>909</v>
      </c>
      <c r="C5629" t="s">
        <v>92</v>
      </c>
      <c r="D5629" t="s">
        <v>780</v>
      </c>
      <c r="E5629" t="s">
        <v>496</v>
      </c>
      <c r="F5629" t="s">
        <v>244</v>
      </c>
      <c r="G5629" s="39">
        <v>45154</v>
      </c>
      <c r="J5629" t="s">
        <v>90</v>
      </c>
    </row>
    <row r="5630" spans="1:10" x14ac:dyDescent="0.35">
      <c r="A5630">
        <v>14958</v>
      </c>
      <c r="B5630" t="s">
        <v>909</v>
      </c>
      <c r="C5630" t="s">
        <v>92</v>
      </c>
      <c r="D5630" t="s">
        <v>780</v>
      </c>
      <c r="E5630" t="s">
        <v>487</v>
      </c>
      <c r="F5630" t="s">
        <v>244</v>
      </c>
      <c r="G5630" s="39">
        <v>44900</v>
      </c>
      <c r="J5630" t="s">
        <v>90</v>
      </c>
    </row>
    <row r="5631" spans="1:10" x14ac:dyDescent="0.35">
      <c r="A5631">
        <v>17624</v>
      </c>
      <c r="B5631" t="s">
        <v>909</v>
      </c>
      <c r="C5631" t="s">
        <v>92</v>
      </c>
      <c r="D5631" t="s">
        <v>780</v>
      </c>
      <c r="E5631" t="s">
        <v>474</v>
      </c>
      <c r="F5631" t="s">
        <v>244</v>
      </c>
      <c r="G5631" s="39">
        <v>45819</v>
      </c>
      <c r="J5631" t="s">
        <v>90</v>
      </c>
    </row>
    <row r="5632" spans="1:10" x14ac:dyDescent="0.35">
      <c r="A5632">
        <v>720039</v>
      </c>
      <c r="B5632" t="s">
        <v>909</v>
      </c>
      <c r="C5632" t="s">
        <v>92</v>
      </c>
      <c r="D5632" t="s">
        <v>780</v>
      </c>
      <c r="E5632" t="s">
        <v>406</v>
      </c>
      <c r="F5632" t="s">
        <v>244</v>
      </c>
      <c r="G5632" s="39">
        <v>43238</v>
      </c>
      <c r="J5632" t="s">
        <v>90</v>
      </c>
    </row>
    <row r="5633" spans="1:10" x14ac:dyDescent="0.35">
      <c r="A5633">
        <v>720028</v>
      </c>
      <c r="B5633" t="s">
        <v>909</v>
      </c>
      <c r="C5633" t="s">
        <v>92</v>
      </c>
      <c r="D5633" t="s">
        <v>780</v>
      </c>
      <c r="E5633" t="s">
        <v>406</v>
      </c>
      <c r="F5633" t="s">
        <v>244</v>
      </c>
      <c r="G5633" s="39">
        <v>42500</v>
      </c>
      <c r="J5633" t="s">
        <v>90</v>
      </c>
    </row>
    <row r="5634" spans="1:10" x14ac:dyDescent="0.35">
      <c r="A5634">
        <v>720034</v>
      </c>
      <c r="B5634" t="s">
        <v>909</v>
      </c>
      <c r="C5634" t="s">
        <v>92</v>
      </c>
      <c r="D5634" t="s">
        <v>780</v>
      </c>
      <c r="E5634" t="s">
        <v>406</v>
      </c>
      <c r="F5634" t="s">
        <v>244</v>
      </c>
      <c r="G5634" s="39">
        <v>42685</v>
      </c>
      <c r="J5634" t="s">
        <v>90</v>
      </c>
    </row>
    <row r="5635" spans="1:10" x14ac:dyDescent="0.35">
      <c r="A5635">
        <v>720045</v>
      </c>
      <c r="B5635" t="s">
        <v>909</v>
      </c>
      <c r="C5635" t="s">
        <v>92</v>
      </c>
      <c r="D5635" t="s">
        <v>780</v>
      </c>
      <c r="E5635" t="s">
        <v>406</v>
      </c>
      <c r="F5635" t="s">
        <v>244</v>
      </c>
      <c r="G5635" s="39">
        <v>43630</v>
      </c>
      <c r="J5635" t="s">
        <v>90</v>
      </c>
    </row>
    <row r="5636" spans="1:10" x14ac:dyDescent="0.35">
      <c r="A5636">
        <v>720043</v>
      </c>
      <c r="B5636" t="s">
        <v>909</v>
      </c>
      <c r="C5636" t="s">
        <v>92</v>
      </c>
      <c r="D5636" t="s">
        <v>780</v>
      </c>
      <c r="E5636" t="s">
        <v>406</v>
      </c>
      <c r="F5636" t="s">
        <v>244</v>
      </c>
      <c r="G5636" s="39">
        <v>43326</v>
      </c>
      <c r="J5636" t="s">
        <v>90</v>
      </c>
    </row>
    <row r="5637" spans="1:10" x14ac:dyDescent="0.35">
      <c r="A5637">
        <v>720044</v>
      </c>
      <c r="B5637" t="s">
        <v>909</v>
      </c>
      <c r="C5637" t="s">
        <v>92</v>
      </c>
      <c r="D5637" t="s">
        <v>780</v>
      </c>
      <c r="E5637" t="s">
        <v>406</v>
      </c>
      <c r="F5637" t="s">
        <v>244</v>
      </c>
      <c r="G5637" s="39">
        <v>43430</v>
      </c>
      <c r="J5637" t="s">
        <v>90</v>
      </c>
    </row>
    <row r="5638" spans="1:10" x14ac:dyDescent="0.35">
      <c r="A5638">
        <v>720049</v>
      </c>
      <c r="B5638" t="s">
        <v>909</v>
      </c>
      <c r="C5638" t="s">
        <v>92</v>
      </c>
      <c r="D5638" t="s">
        <v>780</v>
      </c>
      <c r="E5638" t="s">
        <v>477</v>
      </c>
      <c r="F5638" t="s">
        <v>245</v>
      </c>
      <c r="G5638" s="39">
        <v>43868</v>
      </c>
      <c r="J5638" t="s">
        <v>90</v>
      </c>
    </row>
    <row r="5639" spans="1:10" x14ac:dyDescent="0.35">
      <c r="A5639">
        <v>18668</v>
      </c>
      <c r="B5639" t="s">
        <v>909</v>
      </c>
      <c r="C5639" t="s">
        <v>92</v>
      </c>
      <c r="D5639" t="s">
        <v>780</v>
      </c>
      <c r="E5639" t="s">
        <v>835</v>
      </c>
      <c r="F5639" t="s">
        <v>244</v>
      </c>
      <c r="G5639" s="39">
        <v>46190</v>
      </c>
      <c r="J5639" t="s">
        <v>90</v>
      </c>
    </row>
    <row r="5640" spans="1:10" x14ac:dyDescent="0.35">
      <c r="A5640">
        <v>14104</v>
      </c>
      <c r="B5640" t="s">
        <v>909</v>
      </c>
      <c r="C5640" t="s">
        <v>92</v>
      </c>
      <c r="D5640" t="s">
        <v>780</v>
      </c>
      <c r="E5640" t="s">
        <v>477</v>
      </c>
      <c r="F5640" t="s">
        <v>244</v>
      </c>
      <c r="G5640" s="39">
        <v>44659</v>
      </c>
      <c r="J5640" t="s">
        <v>90</v>
      </c>
    </row>
    <row r="5641" spans="1:10" x14ac:dyDescent="0.35">
      <c r="A5641">
        <v>720004</v>
      </c>
      <c r="B5641" t="s">
        <v>909</v>
      </c>
      <c r="C5641" t="s">
        <v>92</v>
      </c>
      <c r="D5641" t="s">
        <v>791</v>
      </c>
      <c r="E5641" t="s">
        <v>122</v>
      </c>
      <c r="F5641" t="s">
        <v>244</v>
      </c>
      <c r="G5641" s="39">
        <v>38477</v>
      </c>
      <c r="J5641" t="s">
        <v>90</v>
      </c>
    </row>
    <row r="5642" spans="1:10" x14ac:dyDescent="0.35">
      <c r="A5642">
        <v>16124</v>
      </c>
      <c r="B5642" t="s">
        <v>909</v>
      </c>
      <c r="C5642" t="s">
        <v>92</v>
      </c>
      <c r="D5642" t="s">
        <v>791</v>
      </c>
      <c r="E5642" t="s">
        <v>122</v>
      </c>
      <c r="F5642" t="s">
        <v>244</v>
      </c>
      <c r="G5642" s="39">
        <v>45288</v>
      </c>
      <c r="J5642" t="s">
        <v>90</v>
      </c>
    </row>
    <row r="5643" spans="1:10" x14ac:dyDescent="0.35">
      <c r="A5643">
        <v>720050</v>
      </c>
      <c r="B5643" t="s">
        <v>909</v>
      </c>
      <c r="C5643" t="s">
        <v>92</v>
      </c>
      <c r="D5643" t="s">
        <v>827</v>
      </c>
      <c r="E5643" t="s">
        <v>151</v>
      </c>
      <c r="F5643" t="s">
        <v>244</v>
      </c>
      <c r="G5643" s="39">
        <v>44480</v>
      </c>
      <c r="J5643" t="s">
        <v>90</v>
      </c>
    </row>
    <row r="5644" spans="1:10" x14ac:dyDescent="0.35">
      <c r="A5644">
        <v>720053</v>
      </c>
      <c r="B5644" t="s">
        <v>909</v>
      </c>
      <c r="C5644" t="s">
        <v>92</v>
      </c>
      <c r="D5644" t="s">
        <v>827</v>
      </c>
      <c r="E5644" t="s">
        <v>109</v>
      </c>
      <c r="F5644" t="s">
        <v>244</v>
      </c>
      <c r="G5644" s="39">
        <v>44599</v>
      </c>
      <c r="J5644" t="s">
        <v>90</v>
      </c>
    </row>
    <row r="5645" spans="1:10" x14ac:dyDescent="0.35">
      <c r="A5645">
        <v>720051</v>
      </c>
      <c r="B5645" t="s">
        <v>909</v>
      </c>
      <c r="C5645" t="s">
        <v>92</v>
      </c>
      <c r="D5645" t="s">
        <v>827</v>
      </c>
      <c r="E5645" t="s">
        <v>109</v>
      </c>
      <c r="F5645" t="s">
        <v>244</v>
      </c>
      <c r="G5645" s="39">
        <v>44531</v>
      </c>
      <c r="J5645" t="s">
        <v>90</v>
      </c>
    </row>
    <row r="5646" spans="1:10" x14ac:dyDescent="0.35">
      <c r="A5646">
        <v>720052</v>
      </c>
      <c r="B5646" t="s">
        <v>909</v>
      </c>
      <c r="C5646" t="s">
        <v>92</v>
      </c>
      <c r="D5646" t="s">
        <v>827</v>
      </c>
      <c r="E5646" t="s">
        <v>109</v>
      </c>
      <c r="F5646" t="s">
        <v>244</v>
      </c>
      <c r="G5646" s="39">
        <v>44599</v>
      </c>
      <c r="J5646" t="s">
        <v>90</v>
      </c>
    </row>
    <row r="5647" spans="1:10" x14ac:dyDescent="0.35">
      <c r="A5647">
        <v>520018</v>
      </c>
      <c r="B5647" t="s">
        <v>92</v>
      </c>
      <c r="C5647" t="s">
        <v>910</v>
      </c>
      <c r="D5647" t="s">
        <v>92</v>
      </c>
      <c r="E5647" t="s">
        <v>464</v>
      </c>
      <c r="F5647" t="s">
        <v>244</v>
      </c>
      <c r="G5647" s="39">
        <v>42114</v>
      </c>
      <c r="J5647" t="s">
        <v>90</v>
      </c>
    </row>
    <row r="5648" spans="1:10" x14ac:dyDescent="0.35">
      <c r="A5648">
        <v>15633</v>
      </c>
      <c r="B5648" t="s">
        <v>92</v>
      </c>
      <c r="C5648" t="s">
        <v>910</v>
      </c>
      <c r="D5648" t="s">
        <v>780</v>
      </c>
      <c r="E5648" t="s">
        <v>782</v>
      </c>
      <c r="F5648" t="s">
        <v>244</v>
      </c>
      <c r="G5648" s="39">
        <v>45147</v>
      </c>
      <c r="J5648" t="s">
        <v>90</v>
      </c>
    </row>
    <row r="5649" spans="1:10" x14ac:dyDescent="0.35">
      <c r="A5649">
        <v>190035</v>
      </c>
      <c r="B5649" t="s">
        <v>911</v>
      </c>
      <c r="C5649" t="s">
        <v>92</v>
      </c>
      <c r="D5649" t="s">
        <v>92</v>
      </c>
      <c r="E5649" t="s">
        <v>464</v>
      </c>
      <c r="F5649" t="s">
        <v>244</v>
      </c>
      <c r="G5649" s="39">
        <v>42194</v>
      </c>
      <c r="J5649" t="s">
        <v>90</v>
      </c>
    </row>
    <row r="5650" spans="1:10" x14ac:dyDescent="0.35">
      <c r="A5650">
        <v>490019</v>
      </c>
      <c r="B5650" t="s">
        <v>911</v>
      </c>
      <c r="C5650" t="s">
        <v>92</v>
      </c>
      <c r="D5650" t="s">
        <v>780</v>
      </c>
      <c r="E5650" t="s">
        <v>406</v>
      </c>
      <c r="F5650" t="s">
        <v>244</v>
      </c>
      <c r="G5650" s="39">
        <v>43060</v>
      </c>
      <c r="J5650" t="s">
        <v>90</v>
      </c>
    </row>
    <row r="5651" spans="1:10" x14ac:dyDescent="0.35">
      <c r="A5651">
        <v>440048</v>
      </c>
      <c r="B5651" t="s">
        <v>911</v>
      </c>
      <c r="C5651" t="s">
        <v>92</v>
      </c>
      <c r="D5651" t="s">
        <v>780</v>
      </c>
      <c r="E5651" t="s">
        <v>406</v>
      </c>
      <c r="F5651" t="s">
        <v>244</v>
      </c>
      <c r="G5651" s="39">
        <v>43823</v>
      </c>
      <c r="J5651" t="s">
        <v>90</v>
      </c>
    </row>
    <row r="5652" spans="1:10" x14ac:dyDescent="0.35">
      <c r="A5652">
        <v>16582</v>
      </c>
      <c r="B5652" t="s">
        <v>911</v>
      </c>
      <c r="C5652" t="s">
        <v>92</v>
      </c>
      <c r="D5652" t="s">
        <v>780</v>
      </c>
      <c r="E5652" t="s">
        <v>530</v>
      </c>
      <c r="F5652" t="s">
        <v>245</v>
      </c>
      <c r="G5652" s="39">
        <v>45475</v>
      </c>
      <c r="J5652" t="s">
        <v>90</v>
      </c>
    </row>
    <row r="5653" spans="1:10" x14ac:dyDescent="0.35">
      <c r="A5653">
        <v>18798</v>
      </c>
      <c r="B5653" t="s">
        <v>911</v>
      </c>
      <c r="C5653" t="s">
        <v>92</v>
      </c>
      <c r="D5653" t="s">
        <v>780</v>
      </c>
      <c r="E5653" t="s">
        <v>831</v>
      </c>
      <c r="F5653" t="s">
        <v>244</v>
      </c>
      <c r="G5653" s="39">
        <v>46217</v>
      </c>
      <c r="J5653" t="s">
        <v>90</v>
      </c>
    </row>
    <row r="5654" spans="1:10" x14ac:dyDescent="0.35">
      <c r="A5654">
        <v>17543</v>
      </c>
      <c r="B5654" t="s">
        <v>911</v>
      </c>
      <c r="C5654" t="s">
        <v>92</v>
      </c>
      <c r="D5654" t="s">
        <v>791</v>
      </c>
      <c r="E5654" t="s">
        <v>122</v>
      </c>
      <c r="F5654" t="s">
        <v>244</v>
      </c>
      <c r="G5654" s="39">
        <v>45785</v>
      </c>
      <c r="J5654" t="s">
        <v>90</v>
      </c>
    </row>
    <row r="5655" spans="1:10" x14ac:dyDescent="0.35">
      <c r="A5655">
        <v>900027</v>
      </c>
      <c r="B5655" t="s">
        <v>912</v>
      </c>
      <c r="C5655" t="s">
        <v>92</v>
      </c>
      <c r="D5655" t="s">
        <v>92</v>
      </c>
      <c r="E5655" t="s">
        <v>464</v>
      </c>
      <c r="F5655" t="s">
        <v>244</v>
      </c>
      <c r="G5655" s="39">
        <v>41592</v>
      </c>
      <c r="J5655" t="s">
        <v>90</v>
      </c>
    </row>
    <row r="5656" spans="1:10" x14ac:dyDescent="0.35">
      <c r="A5656">
        <v>730045</v>
      </c>
      <c r="B5656" t="s">
        <v>912</v>
      </c>
      <c r="C5656" t="s">
        <v>92</v>
      </c>
      <c r="D5656" t="s">
        <v>780</v>
      </c>
      <c r="E5656" t="s">
        <v>506</v>
      </c>
      <c r="F5656" t="s">
        <v>244</v>
      </c>
      <c r="G5656" s="39">
        <v>44026</v>
      </c>
      <c r="J5656" t="s">
        <v>90</v>
      </c>
    </row>
    <row r="5657" spans="1:10" x14ac:dyDescent="0.35">
      <c r="A5657">
        <v>730054</v>
      </c>
      <c r="B5657" t="s">
        <v>912</v>
      </c>
      <c r="C5657" t="s">
        <v>92</v>
      </c>
      <c r="D5657" t="s">
        <v>780</v>
      </c>
      <c r="E5657" t="s">
        <v>506</v>
      </c>
      <c r="F5657" t="s">
        <v>244</v>
      </c>
      <c r="G5657" s="39">
        <v>44572</v>
      </c>
      <c r="J5657" t="s">
        <v>90</v>
      </c>
    </row>
    <row r="5658" spans="1:10" x14ac:dyDescent="0.35">
      <c r="A5658">
        <v>730039</v>
      </c>
      <c r="B5658" t="s">
        <v>912</v>
      </c>
      <c r="C5658" t="s">
        <v>92</v>
      </c>
      <c r="D5658" t="s">
        <v>780</v>
      </c>
      <c r="E5658" t="s">
        <v>487</v>
      </c>
      <c r="F5658" t="s">
        <v>244</v>
      </c>
      <c r="G5658" s="39">
        <v>43453</v>
      </c>
      <c r="J5658" t="s">
        <v>90</v>
      </c>
    </row>
    <row r="5659" spans="1:10" x14ac:dyDescent="0.35">
      <c r="A5659">
        <v>300081</v>
      </c>
      <c r="B5659" t="s">
        <v>912</v>
      </c>
      <c r="C5659" t="s">
        <v>92</v>
      </c>
      <c r="D5659" t="s">
        <v>780</v>
      </c>
      <c r="E5659" t="s">
        <v>406</v>
      </c>
      <c r="F5659" t="s">
        <v>244</v>
      </c>
      <c r="G5659" s="39">
        <v>42891</v>
      </c>
      <c r="J5659" t="s">
        <v>90</v>
      </c>
    </row>
    <row r="5660" spans="1:10" x14ac:dyDescent="0.35">
      <c r="A5660">
        <v>730037</v>
      </c>
      <c r="B5660" t="s">
        <v>912</v>
      </c>
      <c r="C5660" t="s">
        <v>92</v>
      </c>
      <c r="D5660" t="s">
        <v>780</v>
      </c>
      <c r="E5660" t="s">
        <v>406</v>
      </c>
      <c r="F5660" t="s">
        <v>244</v>
      </c>
      <c r="G5660" s="39">
        <v>43333</v>
      </c>
      <c r="J5660" t="s">
        <v>90</v>
      </c>
    </row>
    <row r="5661" spans="1:10" x14ac:dyDescent="0.35">
      <c r="A5661">
        <v>207002</v>
      </c>
      <c r="B5661" t="s">
        <v>912</v>
      </c>
      <c r="C5661" t="s">
        <v>92</v>
      </c>
      <c r="D5661" t="s">
        <v>780</v>
      </c>
      <c r="E5661" t="s">
        <v>406</v>
      </c>
      <c r="F5661" t="s">
        <v>244</v>
      </c>
      <c r="G5661" s="39">
        <v>43452</v>
      </c>
      <c r="J5661" t="s">
        <v>90</v>
      </c>
    </row>
    <row r="5662" spans="1:10" x14ac:dyDescent="0.35">
      <c r="A5662">
        <v>640021</v>
      </c>
      <c r="B5662" t="s">
        <v>912</v>
      </c>
      <c r="C5662" t="s">
        <v>92</v>
      </c>
      <c r="D5662" t="s">
        <v>780</v>
      </c>
      <c r="E5662" t="s">
        <v>406</v>
      </c>
      <c r="F5662" t="s">
        <v>244</v>
      </c>
      <c r="G5662" s="39">
        <v>42552</v>
      </c>
      <c r="J5662" t="s">
        <v>90</v>
      </c>
    </row>
    <row r="5663" spans="1:10" x14ac:dyDescent="0.35">
      <c r="A5663">
        <v>730041</v>
      </c>
      <c r="B5663" t="s">
        <v>912</v>
      </c>
      <c r="C5663" t="s">
        <v>92</v>
      </c>
      <c r="D5663" t="s">
        <v>780</v>
      </c>
      <c r="E5663" t="s">
        <v>406</v>
      </c>
      <c r="F5663" t="s">
        <v>244</v>
      </c>
      <c r="G5663" s="39">
        <v>43874</v>
      </c>
      <c r="J5663" t="s">
        <v>90</v>
      </c>
    </row>
    <row r="5664" spans="1:10" x14ac:dyDescent="0.35">
      <c r="A5664">
        <v>730044</v>
      </c>
      <c r="B5664" t="s">
        <v>912</v>
      </c>
      <c r="C5664" t="s">
        <v>92</v>
      </c>
      <c r="D5664" t="s">
        <v>780</v>
      </c>
      <c r="E5664" t="s">
        <v>406</v>
      </c>
      <c r="F5664" t="s">
        <v>244</v>
      </c>
      <c r="G5664" s="39">
        <v>44005</v>
      </c>
      <c r="J5664" t="s">
        <v>90</v>
      </c>
    </row>
    <row r="5665" spans="1:10" x14ac:dyDescent="0.35">
      <c r="A5665">
        <v>730036</v>
      </c>
      <c r="B5665" t="s">
        <v>912</v>
      </c>
      <c r="C5665" t="s">
        <v>92</v>
      </c>
      <c r="D5665" t="s">
        <v>780</v>
      </c>
      <c r="E5665" t="s">
        <v>406</v>
      </c>
      <c r="F5665" t="s">
        <v>244</v>
      </c>
      <c r="G5665" s="39">
        <v>43224</v>
      </c>
      <c r="J5665" t="s">
        <v>90</v>
      </c>
    </row>
    <row r="5666" spans="1:10" x14ac:dyDescent="0.35">
      <c r="A5666">
        <v>730055</v>
      </c>
      <c r="B5666" t="s">
        <v>912</v>
      </c>
      <c r="C5666" t="s">
        <v>92</v>
      </c>
      <c r="D5666" t="s">
        <v>780</v>
      </c>
      <c r="E5666" t="s">
        <v>477</v>
      </c>
      <c r="F5666" t="s">
        <v>244</v>
      </c>
      <c r="G5666" s="39">
        <v>44572</v>
      </c>
      <c r="J5666" t="s">
        <v>90</v>
      </c>
    </row>
    <row r="5667" spans="1:10" x14ac:dyDescent="0.35">
      <c r="A5667">
        <v>18994</v>
      </c>
      <c r="B5667" t="s">
        <v>912</v>
      </c>
      <c r="C5667" t="s">
        <v>92</v>
      </c>
      <c r="D5667" t="s">
        <v>780</v>
      </c>
      <c r="E5667" t="s">
        <v>823</v>
      </c>
      <c r="F5667" t="s">
        <v>244</v>
      </c>
      <c r="G5667" s="39">
        <v>46255</v>
      </c>
      <c r="J5667" t="s">
        <v>90</v>
      </c>
    </row>
    <row r="5668" spans="1:10" x14ac:dyDescent="0.35">
      <c r="A5668">
        <v>16213</v>
      </c>
      <c r="B5668" t="s">
        <v>912</v>
      </c>
      <c r="C5668" t="s">
        <v>92</v>
      </c>
      <c r="D5668" t="s">
        <v>780</v>
      </c>
      <c r="E5668" t="s">
        <v>473</v>
      </c>
      <c r="F5668" t="s">
        <v>244</v>
      </c>
      <c r="G5668" s="39">
        <v>45323</v>
      </c>
      <c r="J5668" t="s">
        <v>90</v>
      </c>
    </row>
    <row r="5669" spans="1:10" x14ac:dyDescent="0.35">
      <c r="A5669">
        <v>730033</v>
      </c>
      <c r="B5669" t="s">
        <v>912</v>
      </c>
      <c r="C5669" t="s">
        <v>92</v>
      </c>
      <c r="D5669" t="s">
        <v>791</v>
      </c>
      <c r="E5669" t="s">
        <v>122</v>
      </c>
      <c r="F5669" t="s">
        <v>244</v>
      </c>
      <c r="G5669" s="39">
        <v>42599</v>
      </c>
      <c r="J5669" t="s">
        <v>90</v>
      </c>
    </row>
    <row r="5670" spans="1:10" x14ac:dyDescent="0.35">
      <c r="A5670">
        <v>730050</v>
      </c>
      <c r="B5670" t="s">
        <v>912</v>
      </c>
      <c r="C5670" t="s">
        <v>92</v>
      </c>
      <c r="D5670" t="s">
        <v>827</v>
      </c>
      <c r="E5670" t="s">
        <v>151</v>
      </c>
      <c r="F5670" t="s">
        <v>244</v>
      </c>
      <c r="G5670" s="39">
        <v>44412</v>
      </c>
      <c r="J5670" t="s">
        <v>90</v>
      </c>
    </row>
    <row r="5671" spans="1:10" x14ac:dyDescent="0.35">
      <c r="A5671">
        <v>300086</v>
      </c>
      <c r="B5671" t="s">
        <v>912</v>
      </c>
      <c r="C5671" t="s">
        <v>92</v>
      </c>
      <c r="D5671" t="s">
        <v>827</v>
      </c>
      <c r="E5671" t="s">
        <v>109</v>
      </c>
      <c r="F5671" t="s">
        <v>244</v>
      </c>
      <c r="G5671" s="39">
        <v>42900</v>
      </c>
      <c r="J5671" t="s">
        <v>90</v>
      </c>
    </row>
    <row r="5672" spans="1:10" x14ac:dyDescent="0.35">
      <c r="A5672">
        <v>730053</v>
      </c>
      <c r="B5672" t="s">
        <v>912</v>
      </c>
      <c r="C5672" t="s">
        <v>92</v>
      </c>
      <c r="D5672" t="s">
        <v>827</v>
      </c>
      <c r="E5672" t="s">
        <v>102</v>
      </c>
      <c r="F5672" t="s">
        <v>244</v>
      </c>
      <c r="G5672" s="39">
        <v>44474</v>
      </c>
      <c r="J5672" t="s">
        <v>90</v>
      </c>
    </row>
    <row r="5673" spans="1:10" x14ac:dyDescent="0.35">
      <c r="A5673">
        <v>16714</v>
      </c>
      <c r="B5673" t="s">
        <v>912</v>
      </c>
      <c r="C5673" t="s">
        <v>92</v>
      </c>
      <c r="D5673" t="s">
        <v>827</v>
      </c>
      <c r="E5673" t="s">
        <v>102</v>
      </c>
      <c r="F5673" t="s">
        <v>244</v>
      </c>
      <c r="G5673" s="39">
        <v>45545</v>
      </c>
      <c r="J5673" t="s">
        <v>90</v>
      </c>
    </row>
    <row r="5674" spans="1:10" x14ac:dyDescent="0.35">
      <c r="A5674">
        <v>14944</v>
      </c>
      <c r="B5674" t="s">
        <v>912</v>
      </c>
      <c r="C5674" t="s">
        <v>92</v>
      </c>
      <c r="D5674" t="s">
        <v>827</v>
      </c>
      <c r="E5674" t="s">
        <v>102</v>
      </c>
      <c r="F5674" t="s">
        <v>244</v>
      </c>
      <c r="G5674" s="39">
        <v>44896</v>
      </c>
      <c r="J5674" t="s">
        <v>90</v>
      </c>
    </row>
    <row r="5675" spans="1:10" x14ac:dyDescent="0.35">
      <c r="A5675">
        <v>760023</v>
      </c>
      <c r="B5675" t="s">
        <v>913</v>
      </c>
      <c r="C5675" t="s">
        <v>92</v>
      </c>
      <c r="D5675" t="s">
        <v>92</v>
      </c>
      <c r="E5675" t="s">
        <v>464</v>
      </c>
      <c r="F5675" t="s">
        <v>244</v>
      </c>
      <c r="G5675" s="39">
        <v>41927</v>
      </c>
      <c r="J5675" t="s">
        <v>90</v>
      </c>
    </row>
    <row r="5676" spans="1:10" x14ac:dyDescent="0.35">
      <c r="A5676">
        <v>790010</v>
      </c>
      <c r="B5676" t="s">
        <v>913</v>
      </c>
      <c r="C5676" t="s">
        <v>92</v>
      </c>
      <c r="D5676" t="s">
        <v>92</v>
      </c>
      <c r="E5676" t="s">
        <v>99</v>
      </c>
      <c r="F5676" t="s">
        <v>244</v>
      </c>
      <c r="G5676" s="39">
        <v>36726</v>
      </c>
      <c r="J5676" t="s">
        <v>90</v>
      </c>
    </row>
    <row r="5677" spans="1:10" x14ac:dyDescent="0.35">
      <c r="A5677">
        <v>860003</v>
      </c>
      <c r="B5677" t="s">
        <v>913</v>
      </c>
      <c r="C5677" t="s">
        <v>92</v>
      </c>
      <c r="D5677" t="s">
        <v>780</v>
      </c>
      <c r="E5677" t="s">
        <v>506</v>
      </c>
      <c r="F5677" t="s">
        <v>244</v>
      </c>
      <c r="G5677" s="39">
        <v>36871</v>
      </c>
      <c r="J5677" t="s">
        <v>90</v>
      </c>
    </row>
    <row r="5678" spans="1:10" x14ac:dyDescent="0.35">
      <c r="A5678">
        <v>870018</v>
      </c>
      <c r="B5678" t="s">
        <v>913</v>
      </c>
      <c r="C5678" t="s">
        <v>92</v>
      </c>
      <c r="D5678" t="s">
        <v>780</v>
      </c>
      <c r="E5678" t="s">
        <v>171</v>
      </c>
      <c r="F5678" t="s">
        <v>244</v>
      </c>
      <c r="G5678" s="39">
        <v>38729</v>
      </c>
      <c r="J5678" t="s">
        <v>90</v>
      </c>
    </row>
    <row r="5679" spans="1:10" x14ac:dyDescent="0.35">
      <c r="A5679">
        <v>860013</v>
      </c>
      <c r="B5679" t="s">
        <v>913</v>
      </c>
      <c r="C5679" t="s">
        <v>92</v>
      </c>
      <c r="D5679" t="s">
        <v>780</v>
      </c>
      <c r="E5679" t="s">
        <v>171</v>
      </c>
      <c r="F5679" t="s">
        <v>244</v>
      </c>
      <c r="G5679" s="39">
        <v>41404</v>
      </c>
      <c r="J5679" t="s">
        <v>90</v>
      </c>
    </row>
    <row r="5680" spans="1:10" x14ac:dyDescent="0.35">
      <c r="A5680">
        <v>18415</v>
      </c>
      <c r="B5680" t="s">
        <v>913</v>
      </c>
      <c r="C5680" t="s">
        <v>92</v>
      </c>
      <c r="D5680" t="s">
        <v>780</v>
      </c>
      <c r="E5680" t="s">
        <v>475</v>
      </c>
      <c r="F5680" t="s">
        <v>244</v>
      </c>
      <c r="G5680" s="39">
        <v>46126</v>
      </c>
      <c r="J5680" t="s">
        <v>90</v>
      </c>
    </row>
    <row r="5681" spans="1:10" x14ac:dyDescent="0.35">
      <c r="A5681">
        <v>860009</v>
      </c>
      <c r="B5681" t="s">
        <v>913</v>
      </c>
      <c r="C5681" t="s">
        <v>92</v>
      </c>
      <c r="D5681" t="s">
        <v>780</v>
      </c>
      <c r="E5681" t="s">
        <v>406</v>
      </c>
      <c r="F5681" t="s">
        <v>244</v>
      </c>
      <c r="G5681" s="39">
        <v>38895</v>
      </c>
      <c r="J5681" t="s">
        <v>90</v>
      </c>
    </row>
    <row r="5682" spans="1:10" x14ac:dyDescent="0.35">
      <c r="A5682">
        <v>860021</v>
      </c>
      <c r="B5682" t="s">
        <v>913</v>
      </c>
      <c r="C5682" t="s">
        <v>92</v>
      </c>
      <c r="D5682" t="s">
        <v>780</v>
      </c>
      <c r="E5682" t="s">
        <v>406</v>
      </c>
      <c r="F5682" t="s">
        <v>244</v>
      </c>
      <c r="G5682" s="39">
        <v>42695</v>
      </c>
      <c r="J5682" t="s">
        <v>90</v>
      </c>
    </row>
    <row r="5683" spans="1:10" x14ac:dyDescent="0.35">
      <c r="A5683">
        <v>860014</v>
      </c>
      <c r="B5683" t="s">
        <v>913</v>
      </c>
      <c r="C5683" t="s">
        <v>92</v>
      </c>
      <c r="D5683" t="s">
        <v>780</v>
      </c>
      <c r="E5683" t="s">
        <v>406</v>
      </c>
      <c r="F5683" t="s">
        <v>244</v>
      </c>
      <c r="G5683" s="39">
        <v>41367</v>
      </c>
      <c r="J5683" t="s">
        <v>90</v>
      </c>
    </row>
    <row r="5684" spans="1:10" x14ac:dyDescent="0.35">
      <c r="A5684">
        <v>860024</v>
      </c>
      <c r="B5684" t="s">
        <v>913</v>
      </c>
      <c r="C5684" t="s">
        <v>92</v>
      </c>
      <c r="D5684" t="s">
        <v>780</v>
      </c>
      <c r="E5684" t="s">
        <v>406</v>
      </c>
      <c r="F5684" t="s">
        <v>244</v>
      </c>
      <c r="G5684" s="39">
        <v>43824</v>
      </c>
      <c r="J5684" t="s">
        <v>90</v>
      </c>
    </row>
    <row r="5685" spans="1:10" x14ac:dyDescent="0.35">
      <c r="A5685">
        <v>16010</v>
      </c>
      <c r="B5685" t="s">
        <v>913</v>
      </c>
      <c r="C5685" t="s">
        <v>92</v>
      </c>
      <c r="D5685" t="s">
        <v>780</v>
      </c>
      <c r="E5685" t="s">
        <v>477</v>
      </c>
      <c r="F5685" t="s">
        <v>244</v>
      </c>
      <c r="G5685" s="39">
        <v>45265</v>
      </c>
      <c r="J5685" t="s">
        <v>90</v>
      </c>
    </row>
    <row r="5686" spans="1:10" x14ac:dyDescent="0.35">
      <c r="A5686">
        <v>15142</v>
      </c>
      <c r="B5686" t="s">
        <v>913</v>
      </c>
      <c r="C5686" t="s">
        <v>92</v>
      </c>
      <c r="D5686" t="s">
        <v>780</v>
      </c>
      <c r="E5686" t="s">
        <v>496</v>
      </c>
      <c r="F5686" t="s">
        <v>244</v>
      </c>
      <c r="G5686" s="39">
        <v>44963</v>
      </c>
      <c r="J5686" t="s">
        <v>90</v>
      </c>
    </row>
    <row r="5687" spans="1:10" x14ac:dyDescent="0.35">
      <c r="A5687">
        <v>860016</v>
      </c>
      <c r="B5687" t="s">
        <v>913</v>
      </c>
      <c r="C5687" t="s">
        <v>92</v>
      </c>
      <c r="D5687" t="s">
        <v>791</v>
      </c>
      <c r="E5687" t="s">
        <v>122</v>
      </c>
      <c r="F5687" t="s">
        <v>244</v>
      </c>
      <c r="G5687" s="39">
        <v>41968</v>
      </c>
      <c r="J5687" t="s">
        <v>90</v>
      </c>
    </row>
    <row r="5688" spans="1:10" x14ac:dyDescent="0.35">
      <c r="A5688">
        <v>118021</v>
      </c>
      <c r="B5688" t="s">
        <v>914</v>
      </c>
      <c r="C5688" t="s">
        <v>92</v>
      </c>
      <c r="D5688" t="s">
        <v>92</v>
      </c>
      <c r="E5688" t="s">
        <v>464</v>
      </c>
      <c r="F5688" t="s">
        <v>244</v>
      </c>
      <c r="G5688" s="39">
        <v>42326</v>
      </c>
      <c r="J5688" t="s">
        <v>90</v>
      </c>
    </row>
    <row r="5689" spans="1:10" x14ac:dyDescent="0.35">
      <c r="A5689">
        <v>300022</v>
      </c>
      <c r="B5689" t="s">
        <v>914</v>
      </c>
      <c r="C5689" t="s">
        <v>92</v>
      </c>
      <c r="D5689" t="s">
        <v>92</v>
      </c>
      <c r="E5689" t="s">
        <v>99</v>
      </c>
      <c r="F5689" t="s">
        <v>244</v>
      </c>
      <c r="G5689" s="39">
        <v>38880</v>
      </c>
      <c r="J5689" t="s">
        <v>90</v>
      </c>
    </row>
    <row r="5690" spans="1:10" x14ac:dyDescent="0.35">
      <c r="A5690">
        <v>290016</v>
      </c>
      <c r="B5690" t="s">
        <v>914</v>
      </c>
      <c r="C5690" t="s">
        <v>92</v>
      </c>
      <c r="D5690" t="s">
        <v>780</v>
      </c>
      <c r="E5690" t="s">
        <v>171</v>
      </c>
      <c r="F5690" t="s">
        <v>244</v>
      </c>
      <c r="G5690" s="39">
        <v>41246</v>
      </c>
      <c r="J5690" t="s">
        <v>90</v>
      </c>
    </row>
    <row r="5691" spans="1:10" x14ac:dyDescent="0.35">
      <c r="A5691">
        <v>310019</v>
      </c>
      <c r="B5691" t="s">
        <v>914</v>
      </c>
      <c r="C5691" t="s">
        <v>92</v>
      </c>
      <c r="D5691" t="s">
        <v>780</v>
      </c>
      <c r="E5691" t="s">
        <v>171</v>
      </c>
      <c r="F5691" t="s">
        <v>244</v>
      </c>
      <c r="G5691" s="39">
        <v>41262</v>
      </c>
      <c r="J5691" t="s">
        <v>90</v>
      </c>
    </row>
    <row r="5692" spans="1:10" x14ac:dyDescent="0.35">
      <c r="A5692">
        <v>310038</v>
      </c>
      <c r="B5692" t="s">
        <v>914</v>
      </c>
      <c r="C5692" t="s">
        <v>92</v>
      </c>
      <c r="D5692" t="s">
        <v>780</v>
      </c>
      <c r="E5692" t="s">
        <v>506</v>
      </c>
      <c r="F5692" t="s">
        <v>244</v>
      </c>
      <c r="G5692" s="39">
        <v>43090</v>
      </c>
      <c r="J5692" t="s">
        <v>90</v>
      </c>
    </row>
    <row r="5693" spans="1:10" x14ac:dyDescent="0.35">
      <c r="A5693">
        <v>310040</v>
      </c>
      <c r="B5693" t="s">
        <v>914</v>
      </c>
      <c r="C5693" t="s">
        <v>92</v>
      </c>
      <c r="D5693" t="s">
        <v>780</v>
      </c>
      <c r="E5693" t="s">
        <v>506</v>
      </c>
      <c r="F5693" t="s">
        <v>244</v>
      </c>
      <c r="G5693" s="39">
        <v>43318</v>
      </c>
      <c r="J5693" t="s">
        <v>90</v>
      </c>
    </row>
    <row r="5694" spans="1:10" x14ac:dyDescent="0.35">
      <c r="A5694">
        <v>17757</v>
      </c>
      <c r="B5694" t="s">
        <v>914</v>
      </c>
      <c r="C5694" t="s">
        <v>92</v>
      </c>
      <c r="D5694" t="s">
        <v>780</v>
      </c>
      <c r="E5694" t="s">
        <v>474</v>
      </c>
      <c r="F5694" t="s">
        <v>244</v>
      </c>
      <c r="G5694" s="39">
        <v>45863</v>
      </c>
      <c r="J5694" t="s">
        <v>90</v>
      </c>
    </row>
    <row r="5695" spans="1:10" x14ac:dyDescent="0.35">
      <c r="A5695">
        <v>310022</v>
      </c>
      <c r="B5695" t="s">
        <v>914</v>
      </c>
      <c r="C5695" t="s">
        <v>92</v>
      </c>
      <c r="D5695" t="s">
        <v>780</v>
      </c>
      <c r="E5695" t="s">
        <v>406</v>
      </c>
      <c r="F5695" t="s">
        <v>244</v>
      </c>
      <c r="G5695" s="39">
        <v>40597</v>
      </c>
      <c r="J5695" t="s">
        <v>90</v>
      </c>
    </row>
    <row r="5696" spans="1:10" x14ac:dyDescent="0.35">
      <c r="A5696">
        <v>510030</v>
      </c>
      <c r="B5696" t="s">
        <v>914</v>
      </c>
      <c r="C5696" t="s">
        <v>92</v>
      </c>
      <c r="D5696" t="s">
        <v>780</v>
      </c>
      <c r="E5696" t="s">
        <v>406</v>
      </c>
      <c r="F5696" t="s">
        <v>244</v>
      </c>
      <c r="G5696" s="39">
        <v>42831</v>
      </c>
      <c r="J5696" t="s">
        <v>90</v>
      </c>
    </row>
    <row r="5697" spans="1:10" x14ac:dyDescent="0.35">
      <c r="A5697">
        <v>300043</v>
      </c>
      <c r="B5697" t="s">
        <v>914</v>
      </c>
      <c r="C5697" t="s">
        <v>92</v>
      </c>
      <c r="D5697" t="s">
        <v>780</v>
      </c>
      <c r="E5697" t="s">
        <v>406</v>
      </c>
      <c r="F5697" t="s">
        <v>244</v>
      </c>
      <c r="G5697" s="39">
        <v>42720</v>
      </c>
      <c r="J5697" t="s">
        <v>90</v>
      </c>
    </row>
    <row r="5698" spans="1:10" x14ac:dyDescent="0.35">
      <c r="A5698">
        <v>290041</v>
      </c>
      <c r="B5698" t="s">
        <v>914</v>
      </c>
      <c r="C5698" t="s">
        <v>92</v>
      </c>
      <c r="D5698" t="s">
        <v>780</v>
      </c>
      <c r="E5698" t="s">
        <v>406</v>
      </c>
      <c r="F5698" t="s">
        <v>244</v>
      </c>
      <c r="G5698" s="39">
        <v>42380</v>
      </c>
      <c r="J5698" t="s">
        <v>90</v>
      </c>
    </row>
    <row r="5699" spans="1:10" x14ac:dyDescent="0.35">
      <c r="A5699">
        <v>310036</v>
      </c>
      <c r="B5699" t="s">
        <v>914</v>
      </c>
      <c r="C5699" t="s">
        <v>92</v>
      </c>
      <c r="D5699" t="s">
        <v>780</v>
      </c>
      <c r="E5699" t="s">
        <v>151</v>
      </c>
      <c r="F5699" t="s">
        <v>244</v>
      </c>
      <c r="G5699" s="39">
        <v>43054</v>
      </c>
      <c r="J5699" t="s">
        <v>90</v>
      </c>
    </row>
    <row r="5700" spans="1:10" x14ac:dyDescent="0.35">
      <c r="A5700">
        <v>540022</v>
      </c>
      <c r="B5700" t="s">
        <v>914</v>
      </c>
      <c r="C5700" t="s">
        <v>92</v>
      </c>
      <c r="D5700" t="s">
        <v>780</v>
      </c>
      <c r="E5700" t="s">
        <v>406</v>
      </c>
      <c r="F5700" t="s">
        <v>244</v>
      </c>
      <c r="G5700" s="39">
        <v>42019</v>
      </c>
      <c r="J5700" t="s">
        <v>90</v>
      </c>
    </row>
    <row r="5701" spans="1:10" x14ac:dyDescent="0.35">
      <c r="A5701">
        <v>115019</v>
      </c>
      <c r="B5701" t="s">
        <v>914</v>
      </c>
      <c r="C5701" t="s">
        <v>92</v>
      </c>
      <c r="D5701" t="s">
        <v>780</v>
      </c>
      <c r="E5701" t="s">
        <v>406</v>
      </c>
      <c r="F5701" t="s">
        <v>244</v>
      </c>
      <c r="G5701" s="39">
        <v>44159</v>
      </c>
      <c r="J5701" t="s">
        <v>90</v>
      </c>
    </row>
    <row r="5702" spans="1:10" x14ac:dyDescent="0.35">
      <c r="A5702">
        <v>290040</v>
      </c>
      <c r="B5702" t="s">
        <v>914</v>
      </c>
      <c r="C5702" t="s">
        <v>92</v>
      </c>
      <c r="D5702" t="s">
        <v>780</v>
      </c>
      <c r="E5702" t="s">
        <v>477</v>
      </c>
      <c r="F5702" t="s">
        <v>244</v>
      </c>
      <c r="G5702" s="39">
        <v>42374</v>
      </c>
      <c r="J5702" t="s">
        <v>90</v>
      </c>
    </row>
    <row r="5703" spans="1:10" x14ac:dyDescent="0.35">
      <c r="A5703">
        <v>14556</v>
      </c>
      <c r="B5703" t="s">
        <v>914</v>
      </c>
      <c r="C5703" t="s">
        <v>92</v>
      </c>
      <c r="D5703" t="s">
        <v>780</v>
      </c>
      <c r="E5703" t="s">
        <v>477</v>
      </c>
      <c r="F5703" t="s">
        <v>245</v>
      </c>
      <c r="G5703" s="39">
        <v>44783</v>
      </c>
      <c r="J5703" t="s">
        <v>90</v>
      </c>
    </row>
    <row r="5704" spans="1:10" x14ac:dyDescent="0.35">
      <c r="A5704">
        <v>17983</v>
      </c>
      <c r="B5704" t="s">
        <v>914</v>
      </c>
      <c r="C5704" t="s">
        <v>92</v>
      </c>
      <c r="D5704" t="s">
        <v>780</v>
      </c>
      <c r="E5704" t="s">
        <v>832</v>
      </c>
      <c r="F5704" t="s">
        <v>244</v>
      </c>
      <c r="G5704" s="39">
        <v>45947</v>
      </c>
      <c r="J5704" t="s">
        <v>90</v>
      </c>
    </row>
    <row r="5705" spans="1:10" x14ac:dyDescent="0.35">
      <c r="A5705">
        <v>14764</v>
      </c>
      <c r="B5705" t="s">
        <v>914</v>
      </c>
      <c r="C5705" t="s">
        <v>92</v>
      </c>
      <c r="D5705" t="s">
        <v>780</v>
      </c>
      <c r="E5705" t="s">
        <v>473</v>
      </c>
      <c r="F5705" t="s">
        <v>244</v>
      </c>
      <c r="G5705" s="39">
        <v>44852</v>
      </c>
      <c r="J5705" t="s">
        <v>90</v>
      </c>
    </row>
    <row r="5706" spans="1:10" x14ac:dyDescent="0.35">
      <c r="A5706">
        <v>15278</v>
      </c>
      <c r="B5706" t="s">
        <v>914</v>
      </c>
      <c r="C5706" t="s">
        <v>92</v>
      </c>
      <c r="D5706" t="s">
        <v>780</v>
      </c>
      <c r="E5706" t="s">
        <v>477</v>
      </c>
      <c r="F5706" t="s">
        <v>244</v>
      </c>
      <c r="G5706" s="39">
        <v>45019</v>
      </c>
      <c r="J5706" t="s">
        <v>90</v>
      </c>
    </row>
    <row r="5707" spans="1:10" x14ac:dyDescent="0.35">
      <c r="A5707">
        <v>310031</v>
      </c>
      <c r="B5707" t="s">
        <v>914</v>
      </c>
      <c r="C5707" t="s">
        <v>92</v>
      </c>
      <c r="D5707" t="s">
        <v>791</v>
      </c>
      <c r="E5707" t="s">
        <v>122</v>
      </c>
      <c r="F5707" t="s">
        <v>244</v>
      </c>
      <c r="G5707" s="39">
        <v>42627</v>
      </c>
      <c r="J5707" t="s">
        <v>90</v>
      </c>
    </row>
    <row r="5708" spans="1:10" x14ac:dyDescent="0.35">
      <c r="A5708">
        <v>290045</v>
      </c>
      <c r="B5708" t="s">
        <v>914</v>
      </c>
      <c r="C5708" t="s">
        <v>92</v>
      </c>
      <c r="D5708" t="s">
        <v>791</v>
      </c>
      <c r="E5708" t="s">
        <v>122</v>
      </c>
      <c r="F5708" t="s">
        <v>244</v>
      </c>
      <c r="G5708" s="39">
        <v>42713</v>
      </c>
      <c r="J5708" t="s">
        <v>90</v>
      </c>
    </row>
    <row r="5709" spans="1:10" x14ac:dyDescent="0.35">
      <c r="A5709">
        <v>11263</v>
      </c>
      <c r="B5709" t="s">
        <v>915</v>
      </c>
      <c r="C5709" t="s">
        <v>92</v>
      </c>
      <c r="D5709" t="s">
        <v>92</v>
      </c>
      <c r="E5709" t="s">
        <v>464</v>
      </c>
      <c r="F5709" t="s">
        <v>244</v>
      </c>
      <c r="G5709" s="39">
        <v>42471</v>
      </c>
      <c r="J5709" t="s">
        <v>90</v>
      </c>
    </row>
    <row r="5710" spans="1:10" x14ac:dyDescent="0.35">
      <c r="A5710">
        <v>117020</v>
      </c>
      <c r="B5710" t="s">
        <v>915</v>
      </c>
      <c r="C5710" t="s">
        <v>92</v>
      </c>
      <c r="D5710" t="s">
        <v>780</v>
      </c>
      <c r="E5710" t="s">
        <v>548</v>
      </c>
      <c r="F5710" t="s">
        <v>244</v>
      </c>
      <c r="G5710" s="39">
        <v>42725</v>
      </c>
      <c r="J5710" t="s">
        <v>90</v>
      </c>
    </row>
    <row r="5711" spans="1:10" x14ac:dyDescent="0.35">
      <c r="A5711">
        <v>620022</v>
      </c>
      <c r="B5711" t="s">
        <v>915</v>
      </c>
      <c r="C5711" t="s">
        <v>92</v>
      </c>
      <c r="D5711" t="s">
        <v>780</v>
      </c>
      <c r="E5711" t="s">
        <v>406</v>
      </c>
      <c r="F5711" t="s">
        <v>244</v>
      </c>
      <c r="G5711" s="39">
        <v>42492</v>
      </c>
      <c r="J5711" t="s">
        <v>90</v>
      </c>
    </row>
    <row r="5712" spans="1:10" x14ac:dyDescent="0.35">
      <c r="A5712">
        <v>620017</v>
      </c>
      <c r="B5712" t="s">
        <v>915</v>
      </c>
      <c r="C5712" t="s">
        <v>92</v>
      </c>
      <c r="D5712" t="s">
        <v>780</v>
      </c>
      <c r="E5712" t="s">
        <v>406</v>
      </c>
      <c r="F5712" t="s">
        <v>244</v>
      </c>
      <c r="G5712" s="39">
        <v>42258</v>
      </c>
      <c r="J5712" t="s">
        <v>90</v>
      </c>
    </row>
    <row r="5713" spans="1:10" x14ac:dyDescent="0.35">
      <c r="A5713">
        <v>620028</v>
      </c>
      <c r="B5713" t="s">
        <v>915</v>
      </c>
      <c r="C5713" t="s">
        <v>92</v>
      </c>
      <c r="D5713" t="s">
        <v>780</v>
      </c>
      <c r="E5713" t="s">
        <v>406</v>
      </c>
      <c r="F5713" t="s">
        <v>244</v>
      </c>
      <c r="G5713" s="39">
        <v>43329</v>
      </c>
      <c r="J5713" t="s">
        <v>90</v>
      </c>
    </row>
    <row r="5714" spans="1:10" x14ac:dyDescent="0.35">
      <c r="A5714">
        <v>18254</v>
      </c>
      <c r="B5714" t="s">
        <v>915</v>
      </c>
      <c r="C5714" t="s">
        <v>92</v>
      </c>
      <c r="D5714" t="s">
        <v>780</v>
      </c>
      <c r="E5714" t="s">
        <v>916</v>
      </c>
      <c r="F5714" t="s">
        <v>244</v>
      </c>
      <c r="G5714" s="39">
        <v>46073</v>
      </c>
      <c r="J5714" t="s">
        <v>90</v>
      </c>
    </row>
    <row r="5715" spans="1:10" x14ac:dyDescent="0.35">
      <c r="A5715">
        <v>620033</v>
      </c>
      <c r="B5715" t="s">
        <v>915</v>
      </c>
      <c r="C5715" t="s">
        <v>92</v>
      </c>
      <c r="D5715" t="s">
        <v>780</v>
      </c>
      <c r="E5715" t="s">
        <v>406</v>
      </c>
      <c r="F5715" t="s">
        <v>244</v>
      </c>
      <c r="G5715" s="39">
        <v>43893</v>
      </c>
      <c r="J5715" t="s">
        <v>90</v>
      </c>
    </row>
    <row r="5716" spans="1:10" x14ac:dyDescent="0.35">
      <c r="A5716">
        <v>620020</v>
      </c>
      <c r="B5716" t="s">
        <v>915</v>
      </c>
      <c r="C5716" t="s">
        <v>92</v>
      </c>
      <c r="D5716" t="s">
        <v>780</v>
      </c>
      <c r="E5716" t="s">
        <v>406</v>
      </c>
      <c r="F5716" t="s">
        <v>244</v>
      </c>
      <c r="G5716" s="39">
        <v>42417</v>
      </c>
      <c r="J5716" t="s">
        <v>90</v>
      </c>
    </row>
    <row r="5717" spans="1:10" x14ac:dyDescent="0.35">
      <c r="A5717">
        <v>580011</v>
      </c>
      <c r="B5717" t="s">
        <v>915</v>
      </c>
      <c r="C5717" t="s">
        <v>92</v>
      </c>
      <c r="D5717" t="s">
        <v>780</v>
      </c>
      <c r="E5717" t="s">
        <v>406</v>
      </c>
      <c r="F5717" t="s">
        <v>244</v>
      </c>
      <c r="G5717" s="39">
        <v>39595</v>
      </c>
      <c r="J5717" t="s">
        <v>90</v>
      </c>
    </row>
    <row r="5718" spans="1:10" x14ac:dyDescent="0.35">
      <c r="A5718">
        <v>18331</v>
      </c>
      <c r="B5718" t="s">
        <v>92</v>
      </c>
      <c r="C5718" t="s">
        <v>876</v>
      </c>
      <c r="D5718" t="s">
        <v>780</v>
      </c>
      <c r="E5718" t="s">
        <v>783</v>
      </c>
      <c r="F5718" t="s">
        <v>244</v>
      </c>
      <c r="G5718" s="39">
        <v>46092</v>
      </c>
      <c r="J5718" t="s">
        <v>90</v>
      </c>
    </row>
    <row r="5719" spans="1:10" x14ac:dyDescent="0.35">
      <c r="A5719">
        <v>620014</v>
      </c>
      <c r="B5719" t="s">
        <v>915</v>
      </c>
      <c r="C5719" t="s">
        <v>92</v>
      </c>
      <c r="D5719" t="s">
        <v>791</v>
      </c>
      <c r="E5719" t="s">
        <v>122</v>
      </c>
      <c r="F5719" t="s">
        <v>244</v>
      </c>
      <c r="G5719" s="39">
        <v>41688</v>
      </c>
      <c r="J5719" t="s">
        <v>90</v>
      </c>
    </row>
    <row r="5720" spans="1:10" x14ac:dyDescent="0.35">
      <c r="A5720">
        <v>430008</v>
      </c>
      <c r="B5720" t="s">
        <v>917</v>
      </c>
      <c r="C5720" t="s">
        <v>92</v>
      </c>
      <c r="D5720" t="s">
        <v>92</v>
      </c>
      <c r="E5720" t="s">
        <v>464</v>
      </c>
      <c r="F5720" t="s">
        <v>244</v>
      </c>
      <c r="G5720" s="39">
        <v>41061</v>
      </c>
      <c r="J5720" t="s">
        <v>90</v>
      </c>
    </row>
    <row r="5721" spans="1:10" x14ac:dyDescent="0.35">
      <c r="A5721">
        <v>770022</v>
      </c>
      <c r="B5721" t="s">
        <v>917</v>
      </c>
      <c r="C5721" t="s">
        <v>92</v>
      </c>
      <c r="D5721" t="s">
        <v>780</v>
      </c>
      <c r="E5721" t="s">
        <v>506</v>
      </c>
      <c r="F5721" t="s">
        <v>244</v>
      </c>
      <c r="G5721" s="39">
        <v>43035</v>
      </c>
      <c r="J5721" t="s">
        <v>90</v>
      </c>
    </row>
    <row r="5722" spans="1:10" x14ac:dyDescent="0.35">
      <c r="A5722">
        <v>770027</v>
      </c>
      <c r="B5722" t="s">
        <v>917</v>
      </c>
      <c r="C5722" t="s">
        <v>92</v>
      </c>
      <c r="D5722" t="s">
        <v>780</v>
      </c>
      <c r="E5722" t="s">
        <v>487</v>
      </c>
      <c r="F5722" t="s">
        <v>244</v>
      </c>
      <c r="G5722" s="39">
        <v>44554</v>
      </c>
      <c r="J5722" t="s">
        <v>90</v>
      </c>
    </row>
    <row r="5723" spans="1:10" x14ac:dyDescent="0.35">
      <c r="A5723">
        <v>770013</v>
      </c>
      <c r="B5723" t="s">
        <v>917</v>
      </c>
      <c r="C5723" t="s">
        <v>92</v>
      </c>
      <c r="D5723" t="s">
        <v>780</v>
      </c>
      <c r="E5723" t="s">
        <v>406</v>
      </c>
      <c r="F5723" t="s">
        <v>244</v>
      </c>
      <c r="G5723" s="39">
        <v>41634</v>
      </c>
      <c r="J5723" t="s">
        <v>90</v>
      </c>
    </row>
    <row r="5724" spans="1:10" x14ac:dyDescent="0.35">
      <c r="A5724">
        <v>770020</v>
      </c>
      <c r="B5724" t="s">
        <v>917</v>
      </c>
      <c r="C5724" t="s">
        <v>92</v>
      </c>
      <c r="D5724" t="s">
        <v>780</v>
      </c>
      <c r="E5724" t="s">
        <v>406</v>
      </c>
      <c r="F5724" t="s">
        <v>244</v>
      </c>
      <c r="G5724" s="39">
        <v>42649</v>
      </c>
      <c r="J5724" t="s">
        <v>90</v>
      </c>
    </row>
    <row r="5725" spans="1:10" x14ac:dyDescent="0.35">
      <c r="A5725">
        <v>430021</v>
      </c>
      <c r="B5725" t="s">
        <v>917</v>
      </c>
      <c r="C5725" t="s">
        <v>92</v>
      </c>
      <c r="D5725" t="s">
        <v>780</v>
      </c>
      <c r="E5725" t="s">
        <v>406</v>
      </c>
      <c r="F5725" t="s">
        <v>244</v>
      </c>
      <c r="G5725" s="39">
        <v>43570</v>
      </c>
      <c r="J5725" t="s">
        <v>90</v>
      </c>
    </row>
    <row r="5726" spans="1:10" x14ac:dyDescent="0.35">
      <c r="A5726">
        <v>770023</v>
      </c>
      <c r="B5726" t="s">
        <v>917</v>
      </c>
      <c r="C5726" t="s">
        <v>92</v>
      </c>
      <c r="D5726" t="s">
        <v>780</v>
      </c>
      <c r="E5726" t="s">
        <v>406</v>
      </c>
      <c r="F5726" t="s">
        <v>244</v>
      </c>
      <c r="G5726" s="39">
        <v>43199</v>
      </c>
      <c r="J5726" t="s">
        <v>90</v>
      </c>
    </row>
    <row r="5727" spans="1:10" x14ac:dyDescent="0.35">
      <c r="A5727">
        <v>16700</v>
      </c>
      <c r="B5727" t="s">
        <v>917</v>
      </c>
      <c r="C5727" t="s">
        <v>92</v>
      </c>
      <c r="D5727" t="s">
        <v>791</v>
      </c>
      <c r="E5727" t="s">
        <v>122</v>
      </c>
      <c r="F5727" t="s">
        <v>244</v>
      </c>
      <c r="G5727" s="39">
        <v>45525</v>
      </c>
      <c r="J5727" t="s">
        <v>90</v>
      </c>
    </row>
    <row r="5728" spans="1:10" x14ac:dyDescent="0.35">
      <c r="A5728">
        <v>300129</v>
      </c>
      <c r="B5728" t="s">
        <v>918</v>
      </c>
      <c r="C5728" t="s">
        <v>92</v>
      </c>
      <c r="D5728" t="s">
        <v>92</v>
      </c>
      <c r="E5728" t="s">
        <v>464</v>
      </c>
      <c r="F5728" t="s">
        <v>244</v>
      </c>
      <c r="G5728" s="39">
        <v>43227</v>
      </c>
      <c r="J5728" t="s">
        <v>90</v>
      </c>
    </row>
    <row r="5729" spans="1:10" x14ac:dyDescent="0.35">
      <c r="A5729">
        <v>390018</v>
      </c>
      <c r="B5729" t="s">
        <v>918</v>
      </c>
      <c r="C5729" t="s">
        <v>92</v>
      </c>
      <c r="D5729" t="s">
        <v>780</v>
      </c>
      <c r="E5729" t="s">
        <v>506</v>
      </c>
      <c r="F5729" t="s">
        <v>244</v>
      </c>
      <c r="G5729" s="39">
        <v>42633</v>
      </c>
      <c r="J5729" t="s">
        <v>90</v>
      </c>
    </row>
    <row r="5730" spans="1:10" x14ac:dyDescent="0.35">
      <c r="A5730">
        <v>16007</v>
      </c>
      <c r="B5730" t="s">
        <v>918</v>
      </c>
      <c r="C5730" t="s">
        <v>92</v>
      </c>
      <c r="D5730" t="s">
        <v>780</v>
      </c>
      <c r="E5730" t="s">
        <v>531</v>
      </c>
      <c r="F5730" t="s">
        <v>244</v>
      </c>
      <c r="G5730" s="39">
        <v>45265</v>
      </c>
      <c r="J5730" t="s">
        <v>90</v>
      </c>
    </row>
    <row r="5731" spans="1:10" x14ac:dyDescent="0.35">
      <c r="A5731">
        <v>390022</v>
      </c>
      <c r="B5731" t="s">
        <v>918</v>
      </c>
      <c r="C5731" t="s">
        <v>92</v>
      </c>
      <c r="D5731" t="s">
        <v>780</v>
      </c>
      <c r="E5731" t="s">
        <v>487</v>
      </c>
      <c r="F5731" t="s">
        <v>244</v>
      </c>
      <c r="G5731" s="39">
        <v>42752</v>
      </c>
      <c r="J5731" t="s">
        <v>90</v>
      </c>
    </row>
    <row r="5732" spans="1:10" x14ac:dyDescent="0.35">
      <c r="A5732">
        <v>390025</v>
      </c>
      <c r="B5732" t="s">
        <v>918</v>
      </c>
      <c r="C5732" t="s">
        <v>92</v>
      </c>
      <c r="D5732" t="s">
        <v>780</v>
      </c>
      <c r="E5732" t="s">
        <v>406</v>
      </c>
      <c r="F5732" t="s">
        <v>244</v>
      </c>
      <c r="G5732" s="39">
        <v>43252</v>
      </c>
      <c r="J5732" t="s">
        <v>90</v>
      </c>
    </row>
    <row r="5733" spans="1:10" x14ac:dyDescent="0.35">
      <c r="A5733">
        <v>113036</v>
      </c>
      <c r="B5733" t="s">
        <v>918</v>
      </c>
      <c r="C5733" t="s">
        <v>92</v>
      </c>
      <c r="D5733" t="s">
        <v>780</v>
      </c>
      <c r="E5733" t="s">
        <v>406</v>
      </c>
      <c r="F5733" t="s">
        <v>244</v>
      </c>
      <c r="G5733" s="39">
        <v>42752</v>
      </c>
      <c r="J5733" t="s">
        <v>90</v>
      </c>
    </row>
    <row r="5734" spans="1:10" x14ac:dyDescent="0.35">
      <c r="A5734">
        <v>300042</v>
      </c>
      <c r="B5734" t="s">
        <v>918</v>
      </c>
      <c r="C5734" t="s">
        <v>92</v>
      </c>
      <c r="D5734" t="s">
        <v>780</v>
      </c>
      <c r="E5734" t="s">
        <v>406</v>
      </c>
      <c r="F5734" t="s">
        <v>244</v>
      </c>
      <c r="G5734" s="39">
        <v>42723</v>
      </c>
      <c r="J5734" t="s">
        <v>90</v>
      </c>
    </row>
    <row r="5735" spans="1:10" x14ac:dyDescent="0.35">
      <c r="A5735">
        <v>390017</v>
      </c>
      <c r="B5735" t="s">
        <v>918</v>
      </c>
      <c r="C5735" t="s">
        <v>92</v>
      </c>
      <c r="D5735" t="s">
        <v>780</v>
      </c>
      <c r="E5735" t="s">
        <v>406</v>
      </c>
      <c r="F5735" t="s">
        <v>244</v>
      </c>
      <c r="G5735" s="39">
        <v>41863</v>
      </c>
      <c r="J5735" t="s">
        <v>90</v>
      </c>
    </row>
    <row r="5736" spans="1:10" x14ac:dyDescent="0.35">
      <c r="A5736">
        <v>390041</v>
      </c>
      <c r="B5736" t="s">
        <v>918</v>
      </c>
      <c r="C5736" t="s">
        <v>92</v>
      </c>
      <c r="D5736" t="s">
        <v>780</v>
      </c>
      <c r="E5736" t="s">
        <v>477</v>
      </c>
      <c r="F5736" t="s">
        <v>244</v>
      </c>
      <c r="G5736" s="39">
        <v>44638</v>
      </c>
      <c r="J5736" t="s">
        <v>90</v>
      </c>
    </row>
    <row r="5737" spans="1:10" x14ac:dyDescent="0.35">
      <c r="A5737">
        <v>390040</v>
      </c>
      <c r="B5737" t="s">
        <v>918</v>
      </c>
      <c r="C5737" t="s">
        <v>92</v>
      </c>
      <c r="D5737" t="s">
        <v>780</v>
      </c>
      <c r="E5737" t="s">
        <v>919</v>
      </c>
      <c r="F5737" t="s">
        <v>411</v>
      </c>
      <c r="G5737" s="39">
        <v>44566</v>
      </c>
      <c r="J5737" t="s">
        <v>90</v>
      </c>
    </row>
    <row r="5738" spans="1:10" x14ac:dyDescent="0.35">
      <c r="A5738">
        <v>17984</v>
      </c>
      <c r="B5738" t="s">
        <v>918</v>
      </c>
      <c r="C5738" t="s">
        <v>92</v>
      </c>
      <c r="D5738" t="s">
        <v>780</v>
      </c>
      <c r="E5738" t="s">
        <v>832</v>
      </c>
      <c r="F5738" t="s">
        <v>244</v>
      </c>
      <c r="G5738" s="39">
        <v>45946</v>
      </c>
      <c r="J5738" t="s">
        <v>90</v>
      </c>
    </row>
    <row r="5739" spans="1:10" x14ac:dyDescent="0.35">
      <c r="A5739">
        <v>390028</v>
      </c>
      <c r="B5739" t="s">
        <v>918</v>
      </c>
      <c r="C5739" t="s">
        <v>92</v>
      </c>
      <c r="D5739" t="s">
        <v>791</v>
      </c>
      <c r="E5739" t="s">
        <v>122</v>
      </c>
      <c r="F5739" t="s">
        <v>244</v>
      </c>
      <c r="G5739" s="39">
        <v>43837</v>
      </c>
      <c r="J5739" t="s">
        <v>90</v>
      </c>
    </row>
    <row r="5740" spans="1:10" x14ac:dyDescent="0.35">
      <c r="A5740">
        <v>820007</v>
      </c>
      <c r="B5740" t="s">
        <v>920</v>
      </c>
      <c r="C5740" t="s">
        <v>92</v>
      </c>
      <c r="D5740" t="s">
        <v>92</v>
      </c>
      <c r="E5740" t="s">
        <v>464</v>
      </c>
      <c r="F5740" t="s">
        <v>244</v>
      </c>
      <c r="G5740" s="39">
        <v>40486</v>
      </c>
      <c r="J5740" t="s">
        <v>90</v>
      </c>
    </row>
    <row r="5741" spans="1:10" x14ac:dyDescent="0.35">
      <c r="A5741">
        <v>530030</v>
      </c>
      <c r="B5741" t="s">
        <v>920</v>
      </c>
      <c r="C5741" t="s">
        <v>92</v>
      </c>
      <c r="D5741" t="s">
        <v>780</v>
      </c>
      <c r="E5741" t="s">
        <v>506</v>
      </c>
      <c r="F5741" t="s">
        <v>244</v>
      </c>
      <c r="G5741" s="39">
        <v>44426</v>
      </c>
      <c r="J5741" t="s">
        <v>90</v>
      </c>
    </row>
    <row r="5742" spans="1:10" x14ac:dyDescent="0.35">
      <c r="A5742">
        <v>14624</v>
      </c>
      <c r="B5742" t="s">
        <v>920</v>
      </c>
      <c r="C5742" t="s">
        <v>92</v>
      </c>
      <c r="D5742" t="s">
        <v>780</v>
      </c>
      <c r="E5742" t="s">
        <v>531</v>
      </c>
      <c r="F5742" t="s">
        <v>244</v>
      </c>
      <c r="G5742" s="39">
        <v>44810</v>
      </c>
      <c r="J5742" t="s">
        <v>90</v>
      </c>
    </row>
    <row r="5743" spans="1:10" x14ac:dyDescent="0.35">
      <c r="A5743">
        <v>17699</v>
      </c>
      <c r="B5743" t="s">
        <v>920</v>
      </c>
      <c r="C5743" t="s">
        <v>92</v>
      </c>
      <c r="D5743" t="s">
        <v>780</v>
      </c>
      <c r="E5743" t="s">
        <v>474</v>
      </c>
      <c r="F5743" t="s">
        <v>244</v>
      </c>
      <c r="G5743" s="39">
        <v>45845</v>
      </c>
      <c r="J5743" t="s">
        <v>90</v>
      </c>
    </row>
    <row r="5744" spans="1:10" x14ac:dyDescent="0.35">
      <c r="A5744">
        <v>530005</v>
      </c>
      <c r="B5744" t="s">
        <v>920</v>
      </c>
      <c r="C5744" t="s">
        <v>92</v>
      </c>
      <c r="D5744" t="s">
        <v>780</v>
      </c>
      <c r="E5744" t="s">
        <v>406</v>
      </c>
      <c r="F5744" t="s">
        <v>244</v>
      </c>
      <c r="G5744" s="39">
        <v>40597</v>
      </c>
      <c r="J5744" t="s">
        <v>90</v>
      </c>
    </row>
    <row r="5745" spans="1:10" x14ac:dyDescent="0.35">
      <c r="A5745">
        <v>530014</v>
      </c>
      <c r="B5745" t="s">
        <v>920</v>
      </c>
      <c r="C5745" t="s">
        <v>92</v>
      </c>
      <c r="D5745" t="s">
        <v>780</v>
      </c>
      <c r="E5745" t="s">
        <v>406</v>
      </c>
      <c r="F5745" t="s">
        <v>244</v>
      </c>
      <c r="G5745" s="39">
        <v>41893</v>
      </c>
      <c r="J5745" t="s">
        <v>90</v>
      </c>
    </row>
    <row r="5746" spans="1:10" x14ac:dyDescent="0.35">
      <c r="A5746">
        <v>530009</v>
      </c>
      <c r="B5746" t="s">
        <v>920</v>
      </c>
      <c r="C5746" t="s">
        <v>92</v>
      </c>
      <c r="D5746" t="s">
        <v>780</v>
      </c>
      <c r="E5746" t="s">
        <v>406</v>
      </c>
      <c r="F5746" t="s">
        <v>244</v>
      </c>
      <c r="G5746" s="39">
        <v>40597</v>
      </c>
      <c r="J5746" t="s">
        <v>90</v>
      </c>
    </row>
    <row r="5747" spans="1:10" x14ac:dyDescent="0.35">
      <c r="A5747">
        <v>15292</v>
      </c>
      <c r="B5747" t="s">
        <v>920</v>
      </c>
      <c r="C5747" t="s">
        <v>92</v>
      </c>
      <c r="D5747" t="s">
        <v>780</v>
      </c>
      <c r="E5747" t="s">
        <v>477</v>
      </c>
      <c r="F5747" t="s">
        <v>244</v>
      </c>
      <c r="G5747" s="39">
        <v>45019</v>
      </c>
      <c r="J5747" t="s">
        <v>90</v>
      </c>
    </row>
    <row r="5748" spans="1:10" x14ac:dyDescent="0.35">
      <c r="A5748">
        <v>18251</v>
      </c>
      <c r="B5748" t="s">
        <v>920</v>
      </c>
      <c r="C5748" t="s">
        <v>92</v>
      </c>
      <c r="D5748" t="s">
        <v>780</v>
      </c>
      <c r="E5748" t="s">
        <v>783</v>
      </c>
      <c r="F5748" t="s">
        <v>244</v>
      </c>
      <c r="G5748" s="39">
        <v>46072</v>
      </c>
      <c r="J5748" t="s">
        <v>90</v>
      </c>
    </row>
    <row r="5749" spans="1:10" x14ac:dyDescent="0.35">
      <c r="A5749">
        <v>17266</v>
      </c>
      <c r="B5749" t="s">
        <v>920</v>
      </c>
      <c r="C5749" t="s">
        <v>92</v>
      </c>
      <c r="D5749" t="s">
        <v>780</v>
      </c>
      <c r="E5749" t="s">
        <v>473</v>
      </c>
      <c r="F5749" t="s">
        <v>244</v>
      </c>
      <c r="G5749" s="39">
        <v>45693</v>
      </c>
      <c r="J5749" t="s">
        <v>90</v>
      </c>
    </row>
    <row r="5750" spans="1:10" x14ac:dyDescent="0.35">
      <c r="A5750">
        <v>530015</v>
      </c>
      <c r="B5750" t="s">
        <v>920</v>
      </c>
      <c r="C5750" t="s">
        <v>92</v>
      </c>
      <c r="D5750" t="s">
        <v>791</v>
      </c>
      <c r="E5750" t="s">
        <v>122</v>
      </c>
      <c r="F5750" t="s">
        <v>244</v>
      </c>
      <c r="G5750" s="39">
        <v>42632</v>
      </c>
      <c r="J5750" t="s">
        <v>90</v>
      </c>
    </row>
    <row r="5751" spans="1:10" x14ac:dyDescent="0.35">
      <c r="A5751">
        <v>14746</v>
      </c>
      <c r="B5751" t="s">
        <v>920</v>
      </c>
      <c r="C5751" t="s">
        <v>92</v>
      </c>
      <c r="D5751" t="s">
        <v>827</v>
      </c>
      <c r="E5751" t="s">
        <v>151</v>
      </c>
      <c r="F5751" t="s">
        <v>244</v>
      </c>
      <c r="G5751" s="39">
        <v>44845</v>
      </c>
      <c r="J5751" t="s">
        <v>90</v>
      </c>
    </row>
    <row r="5752" spans="1:10" x14ac:dyDescent="0.35">
      <c r="A5752">
        <v>530018</v>
      </c>
      <c r="B5752" t="s">
        <v>920</v>
      </c>
      <c r="C5752" t="s">
        <v>92</v>
      </c>
      <c r="D5752" t="s">
        <v>827</v>
      </c>
      <c r="E5752" t="s">
        <v>109</v>
      </c>
      <c r="F5752" t="s">
        <v>244</v>
      </c>
      <c r="G5752" s="39">
        <v>42744</v>
      </c>
      <c r="J5752" t="s">
        <v>90</v>
      </c>
    </row>
    <row r="5753" spans="1:10" x14ac:dyDescent="0.35">
      <c r="A5753">
        <v>16639</v>
      </c>
      <c r="B5753" t="s">
        <v>920</v>
      </c>
      <c r="C5753" t="s">
        <v>92</v>
      </c>
      <c r="D5753" t="s">
        <v>827</v>
      </c>
      <c r="E5753" t="s">
        <v>103</v>
      </c>
      <c r="F5753" t="s">
        <v>244</v>
      </c>
      <c r="G5753" s="39">
        <v>45509</v>
      </c>
      <c r="J5753" t="s">
        <v>90</v>
      </c>
    </row>
    <row r="5754" spans="1:10" x14ac:dyDescent="0.35">
      <c r="A5754">
        <v>16653</v>
      </c>
      <c r="B5754" t="s">
        <v>920</v>
      </c>
      <c r="C5754" t="s">
        <v>92</v>
      </c>
      <c r="D5754" t="s">
        <v>827</v>
      </c>
      <c r="E5754" t="s">
        <v>103</v>
      </c>
      <c r="F5754" t="s">
        <v>244</v>
      </c>
      <c r="G5754" s="39">
        <v>45523</v>
      </c>
      <c r="J5754" t="s">
        <v>90</v>
      </c>
    </row>
    <row r="5755" spans="1:10" x14ac:dyDescent="0.35">
      <c r="A5755">
        <v>18719</v>
      </c>
      <c r="B5755" t="s">
        <v>920</v>
      </c>
      <c r="C5755" t="s">
        <v>92</v>
      </c>
      <c r="D5755" t="s">
        <v>827</v>
      </c>
      <c r="E5755" t="s">
        <v>106</v>
      </c>
      <c r="F5755" t="s">
        <v>244</v>
      </c>
      <c r="G5755" s="39">
        <v>46197</v>
      </c>
      <c r="J5755" t="s">
        <v>90</v>
      </c>
    </row>
    <row r="5756" spans="1:10" x14ac:dyDescent="0.35">
      <c r="A5756">
        <v>610019</v>
      </c>
      <c r="B5756" t="s">
        <v>921</v>
      </c>
      <c r="C5756" t="s">
        <v>92</v>
      </c>
      <c r="D5756" t="s">
        <v>92</v>
      </c>
      <c r="E5756" t="s">
        <v>464</v>
      </c>
      <c r="F5756" t="s">
        <v>244</v>
      </c>
      <c r="G5756" s="39">
        <v>42020</v>
      </c>
      <c r="J5756" t="s">
        <v>90</v>
      </c>
    </row>
    <row r="5757" spans="1:10" x14ac:dyDescent="0.35">
      <c r="A5757">
        <v>310004</v>
      </c>
      <c r="B5757" t="s">
        <v>921</v>
      </c>
      <c r="C5757" t="s">
        <v>92</v>
      </c>
      <c r="D5757" t="s">
        <v>780</v>
      </c>
      <c r="E5757" t="s">
        <v>548</v>
      </c>
      <c r="F5757" t="s">
        <v>244</v>
      </c>
      <c r="G5757" s="39">
        <v>37410</v>
      </c>
      <c r="J5757" t="s">
        <v>90</v>
      </c>
    </row>
    <row r="5758" spans="1:10" x14ac:dyDescent="0.35">
      <c r="A5758">
        <v>310043</v>
      </c>
      <c r="B5758" t="s">
        <v>921</v>
      </c>
      <c r="C5758" t="s">
        <v>92</v>
      </c>
      <c r="D5758" t="s">
        <v>780</v>
      </c>
      <c r="E5758" t="s">
        <v>548</v>
      </c>
      <c r="F5758" t="s">
        <v>244</v>
      </c>
      <c r="G5758" s="39">
        <v>43864</v>
      </c>
      <c r="J5758" t="s">
        <v>90</v>
      </c>
    </row>
    <row r="5759" spans="1:10" x14ac:dyDescent="0.35">
      <c r="A5759">
        <v>290065</v>
      </c>
      <c r="B5759" t="s">
        <v>921</v>
      </c>
      <c r="C5759" t="s">
        <v>92</v>
      </c>
      <c r="D5759" t="s">
        <v>780</v>
      </c>
      <c r="E5759" t="s">
        <v>782</v>
      </c>
      <c r="F5759" t="s">
        <v>244</v>
      </c>
      <c r="G5759" s="39">
        <v>44622</v>
      </c>
      <c r="J5759" t="s">
        <v>90</v>
      </c>
    </row>
    <row r="5760" spans="1:10" x14ac:dyDescent="0.35">
      <c r="A5760">
        <v>290067</v>
      </c>
      <c r="B5760" t="s">
        <v>921</v>
      </c>
      <c r="C5760" t="s">
        <v>92</v>
      </c>
      <c r="D5760" t="s">
        <v>780</v>
      </c>
      <c r="E5760" t="s">
        <v>782</v>
      </c>
      <c r="F5760" t="s">
        <v>244</v>
      </c>
      <c r="G5760" s="39">
        <v>44625</v>
      </c>
      <c r="J5760" t="s">
        <v>90</v>
      </c>
    </row>
    <row r="5761" spans="1:10" x14ac:dyDescent="0.35">
      <c r="A5761">
        <v>135001</v>
      </c>
      <c r="B5761" t="s">
        <v>921</v>
      </c>
      <c r="C5761" t="s">
        <v>92</v>
      </c>
      <c r="D5761" t="s">
        <v>780</v>
      </c>
      <c r="E5761" t="s">
        <v>782</v>
      </c>
      <c r="F5761" t="s">
        <v>244</v>
      </c>
      <c r="G5761" s="39">
        <v>43871</v>
      </c>
      <c r="J5761" t="s">
        <v>90</v>
      </c>
    </row>
    <row r="5762" spans="1:10" x14ac:dyDescent="0.35">
      <c r="A5762">
        <v>310045</v>
      </c>
      <c r="B5762" t="s">
        <v>921</v>
      </c>
      <c r="C5762" t="s">
        <v>92</v>
      </c>
      <c r="D5762" t="s">
        <v>780</v>
      </c>
      <c r="E5762" t="s">
        <v>782</v>
      </c>
      <c r="F5762" t="s">
        <v>244</v>
      </c>
      <c r="G5762" s="39">
        <v>44624</v>
      </c>
      <c r="J5762" t="s">
        <v>90</v>
      </c>
    </row>
    <row r="5763" spans="1:10" x14ac:dyDescent="0.35">
      <c r="A5763">
        <v>290052</v>
      </c>
      <c r="B5763" t="s">
        <v>921</v>
      </c>
      <c r="C5763" t="s">
        <v>92</v>
      </c>
      <c r="D5763" t="s">
        <v>780</v>
      </c>
      <c r="E5763" t="s">
        <v>406</v>
      </c>
      <c r="F5763" t="s">
        <v>244</v>
      </c>
      <c r="G5763" s="39">
        <v>43406</v>
      </c>
      <c r="J5763" t="s">
        <v>90</v>
      </c>
    </row>
    <row r="5764" spans="1:10" x14ac:dyDescent="0.35">
      <c r="A5764">
        <v>660023</v>
      </c>
      <c r="B5764" t="s">
        <v>922</v>
      </c>
      <c r="C5764" t="s">
        <v>92</v>
      </c>
      <c r="D5764" t="s">
        <v>92</v>
      </c>
      <c r="E5764" t="s">
        <v>464</v>
      </c>
      <c r="F5764" t="s">
        <v>244</v>
      </c>
      <c r="G5764" s="39">
        <v>42012</v>
      </c>
      <c r="J5764" t="s">
        <v>90</v>
      </c>
    </row>
    <row r="5765" spans="1:10" x14ac:dyDescent="0.35">
      <c r="A5765">
        <v>16666</v>
      </c>
      <c r="B5765" t="s">
        <v>922</v>
      </c>
      <c r="C5765" t="s">
        <v>92</v>
      </c>
      <c r="D5765" t="s">
        <v>780</v>
      </c>
      <c r="E5765" t="s">
        <v>530</v>
      </c>
      <c r="F5765" t="s">
        <v>244</v>
      </c>
      <c r="G5765" s="39">
        <v>45516</v>
      </c>
      <c r="J5765" t="s">
        <v>90</v>
      </c>
    </row>
    <row r="5766" spans="1:10" x14ac:dyDescent="0.35">
      <c r="A5766">
        <v>780014</v>
      </c>
      <c r="B5766" t="s">
        <v>922</v>
      </c>
      <c r="C5766" t="s">
        <v>92</v>
      </c>
      <c r="D5766" t="s">
        <v>780</v>
      </c>
      <c r="E5766" t="s">
        <v>406</v>
      </c>
      <c r="F5766" t="s">
        <v>244</v>
      </c>
      <c r="G5766" s="39">
        <v>42471</v>
      </c>
      <c r="J5766" t="s">
        <v>90</v>
      </c>
    </row>
    <row r="5767" spans="1:10" x14ac:dyDescent="0.35">
      <c r="A5767">
        <v>17129</v>
      </c>
      <c r="B5767" t="s">
        <v>922</v>
      </c>
      <c r="C5767" t="s">
        <v>92</v>
      </c>
      <c r="D5767" t="s">
        <v>780</v>
      </c>
      <c r="E5767" t="s">
        <v>474</v>
      </c>
      <c r="F5767" t="s">
        <v>244</v>
      </c>
      <c r="G5767" s="39">
        <v>45643</v>
      </c>
      <c r="J5767" t="s">
        <v>90</v>
      </c>
    </row>
    <row r="5768" spans="1:10" x14ac:dyDescent="0.35">
      <c r="A5768">
        <v>15304</v>
      </c>
      <c r="B5768" t="s">
        <v>922</v>
      </c>
      <c r="C5768" t="s">
        <v>92</v>
      </c>
      <c r="D5768" t="s">
        <v>780</v>
      </c>
      <c r="E5768" t="s">
        <v>477</v>
      </c>
      <c r="F5768" t="s">
        <v>244</v>
      </c>
      <c r="G5768" s="39">
        <v>45021</v>
      </c>
      <c r="J5768" t="s">
        <v>90</v>
      </c>
    </row>
    <row r="5769" spans="1:10" x14ac:dyDescent="0.35">
      <c r="A5769">
        <v>780020</v>
      </c>
      <c r="B5769" t="s">
        <v>922</v>
      </c>
      <c r="C5769" t="s">
        <v>92</v>
      </c>
      <c r="D5769" t="s">
        <v>791</v>
      </c>
      <c r="E5769" t="s">
        <v>122</v>
      </c>
      <c r="F5769" t="s">
        <v>244</v>
      </c>
      <c r="G5769" s="39">
        <v>44466</v>
      </c>
      <c r="J5769" t="s">
        <v>90</v>
      </c>
    </row>
    <row r="5770" spans="1:10" x14ac:dyDescent="0.35">
      <c r="A5770">
        <v>280020</v>
      </c>
      <c r="B5770" t="s">
        <v>923</v>
      </c>
      <c r="C5770" t="s">
        <v>92</v>
      </c>
      <c r="D5770" t="s">
        <v>92</v>
      </c>
      <c r="E5770" t="s">
        <v>464</v>
      </c>
      <c r="F5770" t="s">
        <v>244</v>
      </c>
      <c r="G5770" s="39">
        <v>41960</v>
      </c>
      <c r="J5770" t="s">
        <v>90</v>
      </c>
    </row>
    <row r="5771" spans="1:10" x14ac:dyDescent="0.35">
      <c r="A5771">
        <v>17235</v>
      </c>
      <c r="B5771" t="s">
        <v>923</v>
      </c>
      <c r="C5771" t="s">
        <v>92</v>
      </c>
      <c r="D5771" t="s">
        <v>780</v>
      </c>
      <c r="E5771" t="s">
        <v>530</v>
      </c>
      <c r="F5771" t="s">
        <v>244</v>
      </c>
      <c r="G5771" s="39">
        <v>45679</v>
      </c>
      <c r="J5771" t="s">
        <v>90</v>
      </c>
    </row>
    <row r="5772" spans="1:10" x14ac:dyDescent="0.35">
      <c r="A5772">
        <v>16418</v>
      </c>
      <c r="B5772" t="s">
        <v>923</v>
      </c>
      <c r="C5772" t="s">
        <v>92</v>
      </c>
      <c r="D5772" t="s">
        <v>780</v>
      </c>
      <c r="E5772" t="s">
        <v>474</v>
      </c>
      <c r="F5772" t="s">
        <v>244</v>
      </c>
      <c r="G5772" s="39">
        <v>45385</v>
      </c>
      <c r="J5772" t="s">
        <v>90</v>
      </c>
    </row>
    <row r="5773" spans="1:10" x14ac:dyDescent="0.35">
      <c r="A5773">
        <v>710028</v>
      </c>
      <c r="B5773" t="s">
        <v>923</v>
      </c>
      <c r="C5773" t="s">
        <v>92</v>
      </c>
      <c r="D5773" t="s">
        <v>780</v>
      </c>
      <c r="E5773" t="s">
        <v>406</v>
      </c>
      <c r="F5773" t="s">
        <v>244</v>
      </c>
      <c r="G5773" s="39">
        <v>42515</v>
      </c>
      <c r="J5773" t="s">
        <v>90</v>
      </c>
    </row>
    <row r="5774" spans="1:10" x14ac:dyDescent="0.35">
      <c r="A5774">
        <v>200006</v>
      </c>
      <c r="B5774" t="s">
        <v>923</v>
      </c>
      <c r="C5774" t="s">
        <v>92</v>
      </c>
      <c r="D5774" t="s">
        <v>780</v>
      </c>
      <c r="E5774" t="s">
        <v>406</v>
      </c>
      <c r="F5774" t="s">
        <v>244</v>
      </c>
      <c r="G5774" s="39">
        <v>43490</v>
      </c>
      <c r="J5774" t="s">
        <v>90</v>
      </c>
    </row>
    <row r="5775" spans="1:10" x14ac:dyDescent="0.35">
      <c r="A5775">
        <v>520017</v>
      </c>
      <c r="B5775" t="s">
        <v>923</v>
      </c>
      <c r="C5775" t="s">
        <v>92</v>
      </c>
      <c r="D5775" t="s">
        <v>780</v>
      </c>
      <c r="E5775" t="s">
        <v>406</v>
      </c>
      <c r="F5775" t="s">
        <v>244</v>
      </c>
      <c r="G5775" s="39">
        <v>42011</v>
      </c>
      <c r="J5775" t="s">
        <v>90</v>
      </c>
    </row>
    <row r="5776" spans="1:10" x14ac:dyDescent="0.35">
      <c r="A5776">
        <v>710035</v>
      </c>
      <c r="B5776" t="s">
        <v>923</v>
      </c>
      <c r="C5776" t="s">
        <v>92</v>
      </c>
      <c r="D5776" t="s">
        <v>780</v>
      </c>
      <c r="E5776" t="s">
        <v>406</v>
      </c>
      <c r="F5776" t="s">
        <v>244</v>
      </c>
      <c r="G5776" s="39">
        <v>43318</v>
      </c>
      <c r="J5776" t="s">
        <v>90</v>
      </c>
    </row>
    <row r="5777" spans="1:10" x14ac:dyDescent="0.35">
      <c r="A5777">
        <v>710027</v>
      </c>
      <c r="B5777" t="s">
        <v>923</v>
      </c>
      <c r="C5777" t="s">
        <v>92</v>
      </c>
      <c r="D5777" t="s">
        <v>780</v>
      </c>
      <c r="E5777" t="s">
        <v>406</v>
      </c>
      <c r="F5777" t="s">
        <v>244</v>
      </c>
      <c r="G5777" s="39">
        <v>42515</v>
      </c>
      <c r="J5777" t="s">
        <v>90</v>
      </c>
    </row>
    <row r="5778" spans="1:10" x14ac:dyDescent="0.35">
      <c r="A5778">
        <v>710042</v>
      </c>
      <c r="B5778" t="s">
        <v>923</v>
      </c>
      <c r="C5778" t="s">
        <v>92</v>
      </c>
      <c r="D5778" t="s">
        <v>780</v>
      </c>
      <c r="E5778" t="s">
        <v>477</v>
      </c>
      <c r="F5778" t="s">
        <v>244</v>
      </c>
      <c r="G5778" s="39">
        <v>44568</v>
      </c>
      <c r="J5778" t="s">
        <v>90</v>
      </c>
    </row>
    <row r="5779" spans="1:10" x14ac:dyDescent="0.35">
      <c r="A5779">
        <v>17912</v>
      </c>
      <c r="B5779" t="s">
        <v>923</v>
      </c>
      <c r="C5779" t="s">
        <v>92</v>
      </c>
      <c r="D5779" t="s">
        <v>780</v>
      </c>
      <c r="E5779" t="s">
        <v>473</v>
      </c>
      <c r="F5779" t="s">
        <v>244</v>
      </c>
      <c r="G5779" s="39">
        <v>45915</v>
      </c>
      <c r="J5779" t="s">
        <v>90</v>
      </c>
    </row>
    <row r="5780" spans="1:10" x14ac:dyDescent="0.35">
      <c r="A5780">
        <v>15076</v>
      </c>
      <c r="B5780" t="s">
        <v>923</v>
      </c>
      <c r="C5780" t="s">
        <v>92</v>
      </c>
      <c r="D5780" t="s">
        <v>780</v>
      </c>
      <c r="E5780" t="s">
        <v>496</v>
      </c>
      <c r="F5780" t="s">
        <v>244</v>
      </c>
      <c r="G5780" s="39">
        <v>44942</v>
      </c>
      <c r="J5780" t="s">
        <v>90</v>
      </c>
    </row>
    <row r="5781" spans="1:10" x14ac:dyDescent="0.35">
      <c r="A5781">
        <v>710040</v>
      </c>
      <c r="B5781" t="s">
        <v>923</v>
      </c>
      <c r="C5781" t="s">
        <v>92</v>
      </c>
      <c r="D5781" t="s">
        <v>791</v>
      </c>
      <c r="E5781" t="s">
        <v>122</v>
      </c>
      <c r="F5781" t="s">
        <v>244</v>
      </c>
      <c r="G5781" s="39">
        <v>44532</v>
      </c>
      <c r="J5781" t="s">
        <v>90</v>
      </c>
    </row>
    <row r="5782" spans="1:10" x14ac:dyDescent="0.35">
      <c r="A5782">
        <v>17219</v>
      </c>
      <c r="B5782" t="s">
        <v>923</v>
      </c>
      <c r="C5782" t="s">
        <v>92</v>
      </c>
      <c r="D5782" t="s">
        <v>791</v>
      </c>
      <c r="E5782" t="s">
        <v>122</v>
      </c>
      <c r="F5782" t="s">
        <v>244</v>
      </c>
      <c r="G5782" s="39">
        <v>45663</v>
      </c>
      <c r="J5782" t="s">
        <v>90</v>
      </c>
    </row>
    <row r="5783" spans="1:10" x14ac:dyDescent="0.35">
      <c r="A5783">
        <v>710039</v>
      </c>
      <c r="B5783" t="s">
        <v>923</v>
      </c>
      <c r="C5783" t="s">
        <v>92</v>
      </c>
      <c r="D5783" t="s">
        <v>827</v>
      </c>
      <c r="E5783" t="s">
        <v>151</v>
      </c>
      <c r="F5783" t="s">
        <v>244</v>
      </c>
      <c r="G5783" s="39">
        <v>44474</v>
      </c>
      <c r="J5783" t="s">
        <v>90</v>
      </c>
    </row>
    <row r="5784" spans="1:10" x14ac:dyDescent="0.35">
      <c r="A5784">
        <v>710041</v>
      </c>
      <c r="B5784" t="s">
        <v>923</v>
      </c>
      <c r="C5784" t="s">
        <v>92</v>
      </c>
      <c r="D5784" t="s">
        <v>827</v>
      </c>
      <c r="E5784" t="s">
        <v>109</v>
      </c>
      <c r="F5784" t="s">
        <v>244</v>
      </c>
      <c r="G5784" s="39">
        <v>44532</v>
      </c>
      <c r="J5784" t="s">
        <v>90</v>
      </c>
    </row>
    <row r="5785" spans="1:10" x14ac:dyDescent="0.35">
      <c r="A5785">
        <v>14148</v>
      </c>
      <c r="B5785" t="s">
        <v>923</v>
      </c>
      <c r="C5785" t="s">
        <v>92</v>
      </c>
      <c r="D5785" t="s">
        <v>827</v>
      </c>
      <c r="E5785" t="s">
        <v>102</v>
      </c>
      <c r="F5785" t="s">
        <v>244</v>
      </c>
      <c r="G5785" s="39">
        <v>44676</v>
      </c>
      <c r="J5785" t="s">
        <v>90</v>
      </c>
    </row>
    <row r="5786" spans="1:10" x14ac:dyDescent="0.35">
      <c r="A5786">
        <v>14343</v>
      </c>
      <c r="B5786" t="s">
        <v>923</v>
      </c>
      <c r="C5786" t="s">
        <v>92</v>
      </c>
      <c r="D5786" t="s">
        <v>827</v>
      </c>
      <c r="E5786" t="s">
        <v>102</v>
      </c>
      <c r="F5786" t="s">
        <v>244</v>
      </c>
      <c r="G5786" s="39">
        <v>44736</v>
      </c>
      <c r="J5786" t="s">
        <v>90</v>
      </c>
    </row>
    <row r="5787" spans="1:10" x14ac:dyDescent="0.35">
      <c r="A5787">
        <v>17363</v>
      </c>
      <c r="B5787" t="s">
        <v>923</v>
      </c>
      <c r="C5787" t="s">
        <v>92</v>
      </c>
      <c r="D5787" t="s">
        <v>827</v>
      </c>
      <c r="E5787" t="s">
        <v>103</v>
      </c>
      <c r="F5787" t="s">
        <v>244</v>
      </c>
      <c r="G5787" s="39">
        <v>45720</v>
      </c>
      <c r="J5787" t="s">
        <v>90</v>
      </c>
    </row>
    <row r="5788" spans="1:10" x14ac:dyDescent="0.35">
      <c r="A5788">
        <v>720009</v>
      </c>
      <c r="B5788" t="s">
        <v>924</v>
      </c>
      <c r="C5788" t="s">
        <v>92</v>
      </c>
      <c r="D5788" t="s">
        <v>92</v>
      </c>
      <c r="E5788" t="s">
        <v>464</v>
      </c>
      <c r="F5788" t="s">
        <v>244</v>
      </c>
      <c r="G5788" s="39">
        <v>38860</v>
      </c>
      <c r="J5788" t="s">
        <v>90</v>
      </c>
    </row>
    <row r="5789" spans="1:10" x14ac:dyDescent="0.35">
      <c r="A5789">
        <v>520012</v>
      </c>
      <c r="B5789" t="s">
        <v>924</v>
      </c>
      <c r="C5789" t="s">
        <v>92</v>
      </c>
      <c r="D5789" t="s">
        <v>780</v>
      </c>
      <c r="E5789" t="s">
        <v>506</v>
      </c>
      <c r="F5789" t="s">
        <v>244</v>
      </c>
      <c r="G5789" s="39">
        <v>41395</v>
      </c>
      <c r="J5789" t="s">
        <v>90</v>
      </c>
    </row>
    <row r="5790" spans="1:10" x14ac:dyDescent="0.35">
      <c r="A5790">
        <v>15690</v>
      </c>
      <c r="B5790" t="s">
        <v>924</v>
      </c>
      <c r="C5790" t="s">
        <v>92</v>
      </c>
      <c r="D5790" t="s">
        <v>780</v>
      </c>
      <c r="E5790" t="s">
        <v>782</v>
      </c>
      <c r="F5790" t="s">
        <v>244</v>
      </c>
      <c r="G5790" s="39">
        <v>45166</v>
      </c>
      <c r="J5790" t="s">
        <v>90</v>
      </c>
    </row>
    <row r="5791" spans="1:10" x14ac:dyDescent="0.35">
      <c r="A5791">
        <v>520020</v>
      </c>
      <c r="B5791" t="s">
        <v>924</v>
      </c>
      <c r="C5791" t="s">
        <v>92</v>
      </c>
      <c r="D5791" t="s">
        <v>780</v>
      </c>
      <c r="E5791" t="s">
        <v>487</v>
      </c>
      <c r="F5791" t="s">
        <v>244</v>
      </c>
      <c r="G5791" s="39">
        <v>42515</v>
      </c>
      <c r="J5791" t="s">
        <v>90</v>
      </c>
    </row>
    <row r="5792" spans="1:10" x14ac:dyDescent="0.35">
      <c r="A5792">
        <v>520022</v>
      </c>
      <c r="B5792" t="s">
        <v>924</v>
      </c>
      <c r="C5792" t="s">
        <v>92</v>
      </c>
      <c r="D5792" t="s">
        <v>780</v>
      </c>
      <c r="E5792" t="s">
        <v>406</v>
      </c>
      <c r="F5792" t="s">
        <v>244</v>
      </c>
      <c r="G5792" s="39">
        <v>42538</v>
      </c>
      <c r="J5792" t="s">
        <v>90</v>
      </c>
    </row>
    <row r="5793" spans="1:10" x14ac:dyDescent="0.35">
      <c r="A5793">
        <v>520025</v>
      </c>
      <c r="B5793" t="s">
        <v>924</v>
      </c>
      <c r="C5793" t="s">
        <v>92</v>
      </c>
      <c r="D5793" t="s">
        <v>780</v>
      </c>
      <c r="E5793" t="s">
        <v>406</v>
      </c>
      <c r="F5793" t="s">
        <v>244</v>
      </c>
      <c r="G5793" s="39">
        <v>42559</v>
      </c>
      <c r="J5793" t="s">
        <v>90</v>
      </c>
    </row>
    <row r="5794" spans="1:10" x14ac:dyDescent="0.35">
      <c r="A5794">
        <v>520024</v>
      </c>
      <c r="B5794" t="s">
        <v>924</v>
      </c>
      <c r="C5794" t="s">
        <v>92</v>
      </c>
      <c r="D5794" t="s">
        <v>780</v>
      </c>
      <c r="E5794" t="s">
        <v>406</v>
      </c>
      <c r="F5794" t="s">
        <v>411</v>
      </c>
      <c r="G5794" s="39">
        <v>42551</v>
      </c>
      <c r="J5794" t="s">
        <v>90</v>
      </c>
    </row>
    <row r="5795" spans="1:10" x14ac:dyDescent="0.35">
      <c r="A5795">
        <v>200005</v>
      </c>
      <c r="B5795" t="s">
        <v>924</v>
      </c>
      <c r="C5795" t="s">
        <v>92</v>
      </c>
      <c r="D5795" t="s">
        <v>780</v>
      </c>
      <c r="E5795" t="s">
        <v>406</v>
      </c>
      <c r="F5795" t="s">
        <v>244</v>
      </c>
      <c r="G5795" s="39">
        <v>43419</v>
      </c>
      <c r="J5795" t="s">
        <v>90</v>
      </c>
    </row>
    <row r="5796" spans="1:10" x14ac:dyDescent="0.35">
      <c r="A5796">
        <v>520011</v>
      </c>
      <c r="B5796" t="s">
        <v>924</v>
      </c>
      <c r="C5796" t="s">
        <v>92</v>
      </c>
      <c r="D5796" t="s">
        <v>780</v>
      </c>
      <c r="E5796" t="s">
        <v>406</v>
      </c>
      <c r="F5796" t="s">
        <v>244</v>
      </c>
      <c r="G5796" s="39">
        <v>40885</v>
      </c>
      <c r="J5796" t="s">
        <v>90</v>
      </c>
    </row>
    <row r="5797" spans="1:10" x14ac:dyDescent="0.35">
      <c r="A5797">
        <v>14089</v>
      </c>
      <c r="B5797" t="s">
        <v>924</v>
      </c>
      <c r="C5797" t="s">
        <v>92</v>
      </c>
      <c r="D5797" t="s">
        <v>780</v>
      </c>
      <c r="E5797" t="s">
        <v>477</v>
      </c>
      <c r="F5797" t="s">
        <v>244</v>
      </c>
      <c r="G5797" s="39">
        <v>44657</v>
      </c>
      <c r="J5797" t="s">
        <v>90</v>
      </c>
    </row>
    <row r="5798" spans="1:10" x14ac:dyDescent="0.35">
      <c r="A5798">
        <v>14807</v>
      </c>
      <c r="B5798" t="s">
        <v>924</v>
      </c>
      <c r="C5798" t="s">
        <v>92</v>
      </c>
      <c r="D5798" t="s">
        <v>791</v>
      </c>
      <c r="E5798" t="s">
        <v>122</v>
      </c>
      <c r="F5798" t="s">
        <v>244</v>
      </c>
      <c r="G5798" s="39">
        <v>44866</v>
      </c>
      <c r="J5798" t="s">
        <v>90</v>
      </c>
    </row>
    <row r="5799" spans="1:10" x14ac:dyDescent="0.35">
      <c r="A5799">
        <v>122016</v>
      </c>
      <c r="B5799" t="s">
        <v>813</v>
      </c>
      <c r="C5799" t="s">
        <v>92</v>
      </c>
      <c r="D5799" t="s">
        <v>780</v>
      </c>
      <c r="E5799" t="s">
        <v>477</v>
      </c>
      <c r="F5799" t="s">
        <v>244</v>
      </c>
      <c r="G5799" s="39">
        <v>43868</v>
      </c>
      <c r="J5799" t="s">
        <v>90</v>
      </c>
    </row>
    <row r="5800" spans="1:10" x14ac:dyDescent="0.35">
      <c r="A5800">
        <v>14558</v>
      </c>
      <c r="B5800" t="s">
        <v>813</v>
      </c>
      <c r="C5800" t="s">
        <v>92</v>
      </c>
      <c r="D5800" t="s">
        <v>780</v>
      </c>
      <c r="E5800" t="s">
        <v>531</v>
      </c>
      <c r="F5800" t="s">
        <v>244</v>
      </c>
      <c r="G5800" s="39">
        <v>44783</v>
      </c>
      <c r="J5800" t="s">
        <v>90</v>
      </c>
    </row>
    <row r="5801" spans="1:10" x14ac:dyDescent="0.35">
      <c r="A5801">
        <v>17909</v>
      </c>
      <c r="B5801" t="s">
        <v>813</v>
      </c>
      <c r="C5801" t="s">
        <v>92</v>
      </c>
      <c r="D5801" t="s">
        <v>780</v>
      </c>
      <c r="E5801" t="s">
        <v>496</v>
      </c>
      <c r="F5801" t="s">
        <v>244</v>
      </c>
      <c r="G5801" s="39">
        <v>45911</v>
      </c>
      <c r="J5801" t="s">
        <v>90</v>
      </c>
    </row>
    <row r="5802" spans="1:10" x14ac:dyDescent="0.35">
      <c r="A5802">
        <v>112015</v>
      </c>
      <c r="B5802" t="s">
        <v>813</v>
      </c>
      <c r="C5802" t="s">
        <v>92</v>
      </c>
      <c r="D5802" t="s">
        <v>791</v>
      </c>
      <c r="E5802" t="s">
        <v>122</v>
      </c>
      <c r="F5802" t="s">
        <v>244</v>
      </c>
      <c r="G5802" s="39">
        <v>43678</v>
      </c>
      <c r="J5802" t="s">
        <v>90</v>
      </c>
    </row>
    <row r="5803" spans="1:10" x14ac:dyDescent="0.35">
      <c r="A5803">
        <v>810002</v>
      </c>
      <c r="B5803" t="s">
        <v>925</v>
      </c>
      <c r="C5803" t="s">
        <v>92</v>
      </c>
      <c r="D5803" t="s">
        <v>92</v>
      </c>
      <c r="E5803" t="s">
        <v>464</v>
      </c>
      <c r="F5803" t="s">
        <v>244</v>
      </c>
      <c r="G5803" s="39">
        <v>37537</v>
      </c>
      <c r="J5803" t="s">
        <v>90</v>
      </c>
    </row>
    <row r="5804" spans="1:10" x14ac:dyDescent="0.35">
      <c r="A5804">
        <v>810016</v>
      </c>
      <c r="B5804" t="s">
        <v>925</v>
      </c>
      <c r="C5804" t="s">
        <v>92</v>
      </c>
      <c r="D5804" t="s">
        <v>780</v>
      </c>
      <c r="E5804" t="s">
        <v>548</v>
      </c>
      <c r="F5804" t="s">
        <v>244</v>
      </c>
      <c r="G5804" s="39">
        <v>42635</v>
      </c>
      <c r="J5804" t="s">
        <v>90</v>
      </c>
    </row>
    <row r="5805" spans="1:10" x14ac:dyDescent="0.35">
      <c r="A5805">
        <v>810009</v>
      </c>
      <c r="B5805" t="s">
        <v>925</v>
      </c>
      <c r="C5805" t="s">
        <v>92</v>
      </c>
      <c r="D5805" t="s">
        <v>780</v>
      </c>
      <c r="E5805" t="s">
        <v>506</v>
      </c>
      <c r="F5805" t="s">
        <v>244</v>
      </c>
      <c r="G5805" s="39">
        <v>40492</v>
      </c>
      <c r="J5805" t="s">
        <v>90</v>
      </c>
    </row>
    <row r="5806" spans="1:10" x14ac:dyDescent="0.35">
      <c r="A5806">
        <v>810015</v>
      </c>
      <c r="B5806" t="s">
        <v>925</v>
      </c>
      <c r="C5806" t="s">
        <v>92</v>
      </c>
      <c r="D5806" t="s">
        <v>780</v>
      </c>
      <c r="E5806" t="s">
        <v>487</v>
      </c>
      <c r="F5806" t="s">
        <v>244</v>
      </c>
      <c r="G5806" s="39">
        <v>42594</v>
      </c>
      <c r="J5806" t="s">
        <v>90</v>
      </c>
    </row>
    <row r="5807" spans="1:10" x14ac:dyDescent="0.35">
      <c r="A5807">
        <v>810004</v>
      </c>
      <c r="B5807" t="s">
        <v>925</v>
      </c>
      <c r="C5807" t="s">
        <v>92</v>
      </c>
      <c r="D5807" t="s">
        <v>780</v>
      </c>
      <c r="E5807" t="s">
        <v>406</v>
      </c>
      <c r="F5807" t="s">
        <v>244</v>
      </c>
      <c r="G5807" s="39">
        <v>41079</v>
      </c>
      <c r="J5807" t="s">
        <v>90</v>
      </c>
    </row>
    <row r="5808" spans="1:10" x14ac:dyDescent="0.35">
      <c r="A5808">
        <v>810020</v>
      </c>
      <c r="B5808" t="s">
        <v>925</v>
      </c>
      <c r="C5808" t="s">
        <v>92</v>
      </c>
      <c r="D5808" t="s">
        <v>780</v>
      </c>
      <c r="E5808" t="s">
        <v>406</v>
      </c>
      <c r="F5808" t="s">
        <v>244</v>
      </c>
      <c r="G5808" s="39">
        <v>43894</v>
      </c>
      <c r="J5808" t="s">
        <v>90</v>
      </c>
    </row>
    <row r="5809" spans="1:10" x14ac:dyDescent="0.35">
      <c r="A5809">
        <v>810017</v>
      </c>
      <c r="B5809" t="s">
        <v>925</v>
      </c>
      <c r="C5809" t="s">
        <v>92</v>
      </c>
      <c r="D5809" t="s">
        <v>780</v>
      </c>
      <c r="E5809" t="s">
        <v>406</v>
      </c>
      <c r="F5809" t="s">
        <v>244</v>
      </c>
      <c r="G5809" s="39">
        <v>42676</v>
      </c>
      <c r="J5809" t="s">
        <v>90</v>
      </c>
    </row>
    <row r="5810" spans="1:10" x14ac:dyDescent="0.35">
      <c r="A5810">
        <v>14351</v>
      </c>
      <c r="B5810" t="s">
        <v>925</v>
      </c>
      <c r="C5810" t="s">
        <v>92</v>
      </c>
      <c r="D5810" t="s">
        <v>791</v>
      </c>
      <c r="E5810" t="s">
        <v>122</v>
      </c>
      <c r="F5810" t="s">
        <v>244</v>
      </c>
      <c r="G5810" s="39">
        <v>44736</v>
      </c>
      <c r="J5810" t="s">
        <v>90</v>
      </c>
    </row>
    <row r="5811" spans="1:10" x14ac:dyDescent="0.35">
      <c r="A5811">
        <v>420019</v>
      </c>
      <c r="B5811" t="s">
        <v>926</v>
      </c>
      <c r="C5811" t="s">
        <v>92</v>
      </c>
      <c r="D5811" t="s">
        <v>92</v>
      </c>
      <c r="E5811" t="s">
        <v>99</v>
      </c>
      <c r="F5811" t="s">
        <v>244</v>
      </c>
      <c r="G5811" s="39">
        <v>36710</v>
      </c>
      <c r="J5811" t="s">
        <v>90</v>
      </c>
    </row>
    <row r="5812" spans="1:10" x14ac:dyDescent="0.35">
      <c r="A5812">
        <v>12430</v>
      </c>
      <c r="B5812" t="s">
        <v>926</v>
      </c>
      <c r="C5812" t="s">
        <v>92</v>
      </c>
      <c r="D5812" t="s">
        <v>92</v>
      </c>
      <c r="E5812" t="s">
        <v>464</v>
      </c>
      <c r="F5812" t="s">
        <v>244</v>
      </c>
      <c r="G5812" s="39">
        <v>43748</v>
      </c>
      <c r="J5812" t="s">
        <v>90</v>
      </c>
    </row>
    <row r="5813" spans="1:10" x14ac:dyDescent="0.35">
      <c r="A5813">
        <v>420032</v>
      </c>
      <c r="B5813" t="s">
        <v>926</v>
      </c>
      <c r="C5813" t="s">
        <v>92</v>
      </c>
      <c r="D5813" t="s">
        <v>780</v>
      </c>
      <c r="E5813" t="s">
        <v>506</v>
      </c>
      <c r="F5813" t="s">
        <v>244</v>
      </c>
      <c r="G5813" s="39">
        <v>42604</v>
      </c>
      <c r="J5813" t="s">
        <v>90</v>
      </c>
    </row>
    <row r="5814" spans="1:10" x14ac:dyDescent="0.35">
      <c r="A5814">
        <v>420021</v>
      </c>
      <c r="B5814" t="s">
        <v>926</v>
      </c>
      <c r="C5814" t="s">
        <v>92</v>
      </c>
      <c r="D5814" t="s">
        <v>780</v>
      </c>
      <c r="E5814" t="s">
        <v>506</v>
      </c>
      <c r="F5814" t="s">
        <v>244</v>
      </c>
      <c r="G5814" s="39">
        <v>36719</v>
      </c>
      <c r="J5814" t="s">
        <v>90</v>
      </c>
    </row>
    <row r="5815" spans="1:10" x14ac:dyDescent="0.35">
      <c r="A5815">
        <v>15828</v>
      </c>
      <c r="B5815" t="s">
        <v>926</v>
      </c>
      <c r="C5815" t="s">
        <v>92</v>
      </c>
      <c r="D5815" t="s">
        <v>780</v>
      </c>
      <c r="E5815" t="s">
        <v>782</v>
      </c>
      <c r="F5815" t="s">
        <v>244</v>
      </c>
      <c r="G5815" s="39">
        <v>45209</v>
      </c>
      <c r="J5815" t="s">
        <v>90</v>
      </c>
    </row>
    <row r="5816" spans="1:10" x14ac:dyDescent="0.35">
      <c r="A5816">
        <v>18075</v>
      </c>
      <c r="B5816" t="s">
        <v>926</v>
      </c>
      <c r="C5816" t="s">
        <v>92</v>
      </c>
      <c r="D5816" t="s">
        <v>780</v>
      </c>
      <c r="E5816" t="s">
        <v>496</v>
      </c>
      <c r="F5816" t="s">
        <v>244</v>
      </c>
      <c r="G5816" s="39">
        <v>45985</v>
      </c>
      <c r="J5816" t="s">
        <v>90</v>
      </c>
    </row>
    <row r="5817" spans="1:10" x14ac:dyDescent="0.35">
      <c r="A5817">
        <v>11862</v>
      </c>
      <c r="B5817" t="s">
        <v>926</v>
      </c>
      <c r="C5817" t="s">
        <v>92</v>
      </c>
      <c r="D5817" t="s">
        <v>780</v>
      </c>
      <c r="E5817" t="s">
        <v>171</v>
      </c>
      <c r="F5817" t="s">
        <v>244</v>
      </c>
      <c r="G5817" s="39">
        <v>43210</v>
      </c>
      <c r="J5817" t="s">
        <v>90</v>
      </c>
    </row>
    <row r="5818" spans="1:10" x14ac:dyDescent="0.35">
      <c r="A5818">
        <v>10679</v>
      </c>
      <c r="B5818" t="s">
        <v>926</v>
      </c>
      <c r="C5818" t="s">
        <v>92</v>
      </c>
      <c r="D5818" t="s">
        <v>780</v>
      </c>
      <c r="E5818" t="s">
        <v>171</v>
      </c>
      <c r="F5818" t="s">
        <v>244</v>
      </c>
      <c r="G5818" s="39">
        <v>41640</v>
      </c>
      <c r="J5818" t="s">
        <v>90</v>
      </c>
    </row>
    <row r="5819" spans="1:10" x14ac:dyDescent="0.35">
      <c r="A5819">
        <v>830019</v>
      </c>
      <c r="B5819" t="s">
        <v>926</v>
      </c>
      <c r="C5819" t="s">
        <v>92</v>
      </c>
      <c r="D5819" t="s">
        <v>780</v>
      </c>
      <c r="E5819" t="s">
        <v>151</v>
      </c>
      <c r="F5819" t="s">
        <v>244</v>
      </c>
      <c r="G5819" s="39">
        <v>42346</v>
      </c>
      <c r="J5819" t="s">
        <v>90</v>
      </c>
    </row>
    <row r="5820" spans="1:10" x14ac:dyDescent="0.35">
      <c r="A5820">
        <v>420040</v>
      </c>
      <c r="B5820" t="s">
        <v>926</v>
      </c>
      <c r="C5820" t="s">
        <v>92</v>
      </c>
      <c r="D5820" t="s">
        <v>780</v>
      </c>
      <c r="E5820" t="s">
        <v>406</v>
      </c>
      <c r="F5820" t="s">
        <v>244</v>
      </c>
      <c r="G5820" s="39">
        <v>43080</v>
      </c>
      <c r="J5820" t="s">
        <v>90</v>
      </c>
    </row>
    <row r="5821" spans="1:10" x14ac:dyDescent="0.35">
      <c r="A5821">
        <v>810013</v>
      </c>
      <c r="B5821" t="s">
        <v>926</v>
      </c>
      <c r="C5821" t="s">
        <v>92</v>
      </c>
      <c r="D5821" t="s">
        <v>780</v>
      </c>
      <c r="E5821" t="s">
        <v>406</v>
      </c>
      <c r="F5821" t="s">
        <v>244</v>
      </c>
      <c r="G5821" s="39">
        <v>42219</v>
      </c>
      <c r="J5821" t="s">
        <v>90</v>
      </c>
    </row>
    <row r="5822" spans="1:10" x14ac:dyDescent="0.35">
      <c r="A5822">
        <v>420042</v>
      </c>
      <c r="B5822" t="s">
        <v>926</v>
      </c>
      <c r="C5822" t="s">
        <v>92</v>
      </c>
      <c r="D5822" t="s">
        <v>780</v>
      </c>
      <c r="E5822" t="s">
        <v>406</v>
      </c>
      <c r="F5822" t="s">
        <v>244</v>
      </c>
      <c r="G5822" s="39">
        <v>43173</v>
      </c>
      <c r="J5822" t="s">
        <v>90</v>
      </c>
    </row>
    <row r="5823" spans="1:10" x14ac:dyDescent="0.35">
      <c r="A5823">
        <v>420022</v>
      </c>
      <c r="B5823" t="s">
        <v>926</v>
      </c>
      <c r="C5823" t="s">
        <v>92</v>
      </c>
      <c r="D5823" t="s">
        <v>780</v>
      </c>
      <c r="E5823" t="s">
        <v>406</v>
      </c>
      <c r="F5823" t="s">
        <v>244</v>
      </c>
      <c r="G5823" s="39">
        <v>41913</v>
      </c>
      <c r="J5823" t="s">
        <v>90</v>
      </c>
    </row>
    <row r="5824" spans="1:10" x14ac:dyDescent="0.35">
      <c r="A5824">
        <v>14765</v>
      </c>
      <c r="B5824" t="s">
        <v>926</v>
      </c>
      <c r="C5824" t="s">
        <v>92</v>
      </c>
      <c r="D5824" t="s">
        <v>780</v>
      </c>
      <c r="E5824" t="s">
        <v>477</v>
      </c>
      <c r="F5824" t="s">
        <v>245</v>
      </c>
      <c r="G5824" s="39">
        <v>44852</v>
      </c>
      <c r="J5824" t="s">
        <v>90</v>
      </c>
    </row>
    <row r="5825" spans="1:10" x14ac:dyDescent="0.35">
      <c r="A5825">
        <v>18081</v>
      </c>
      <c r="B5825" t="s">
        <v>926</v>
      </c>
      <c r="C5825" t="s">
        <v>92</v>
      </c>
      <c r="D5825" t="s">
        <v>780</v>
      </c>
      <c r="E5825" t="s">
        <v>835</v>
      </c>
      <c r="F5825" t="s">
        <v>244</v>
      </c>
      <c r="G5825" s="39">
        <v>45987</v>
      </c>
      <c r="J5825" t="s">
        <v>90</v>
      </c>
    </row>
    <row r="5826" spans="1:10" x14ac:dyDescent="0.35">
      <c r="A5826">
        <v>830033</v>
      </c>
      <c r="B5826" t="s">
        <v>926</v>
      </c>
      <c r="C5826" t="s">
        <v>92</v>
      </c>
      <c r="D5826" t="s">
        <v>780</v>
      </c>
      <c r="E5826" t="s">
        <v>477</v>
      </c>
      <c r="F5826" t="s">
        <v>244</v>
      </c>
      <c r="G5826" s="39">
        <v>44383</v>
      </c>
      <c r="J5826" t="s">
        <v>90</v>
      </c>
    </row>
    <row r="5827" spans="1:10" x14ac:dyDescent="0.35">
      <c r="A5827">
        <v>201004</v>
      </c>
      <c r="B5827" t="s">
        <v>926</v>
      </c>
      <c r="C5827" t="s">
        <v>92</v>
      </c>
      <c r="D5827" t="s">
        <v>780</v>
      </c>
      <c r="E5827" t="s">
        <v>473</v>
      </c>
      <c r="F5827" t="s">
        <v>244</v>
      </c>
      <c r="G5827" s="39">
        <v>43745</v>
      </c>
      <c r="J5827" t="s">
        <v>90</v>
      </c>
    </row>
    <row r="5828" spans="1:10" x14ac:dyDescent="0.35">
      <c r="A5828">
        <v>16645</v>
      </c>
      <c r="B5828" t="s">
        <v>926</v>
      </c>
      <c r="C5828" t="s">
        <v>92</v>
      </c>
      <c r="D5828" t="s">
        <v>780</v>
      </c>
      <c r="E5828" t="s">
        <v>919</v>
      </c>
      <c r="F5828" t="s">
        <v>244</v>
      </c>
      <c r="G5828" s="39">
        <v>45509</v>
      </c>
      <c r="J5828" t="s">
        <v>90</v>
      </c>
    </row>
    <row r="5829" spans="1:10" x14ac:dyDescent="0.35">
      <c r="A5829">
        <v>14192</v>
      </c>
      <c r="B5829" t="s">
        <v>926</v>
      </c>
      <c r="C5829" t="s">
        <v>92</v>
      </c>
      <c r="D5829" t="s">
        <v>780</v>
      </c>
      <c r="E5829" t="s">
        <v>477</v>
      </c>
      <c r="F5829" t="s">
        <v>244</v>
      </c>
      <c r="G5829" s="39">
        <v>44697</v>
      </c>
      <c r="J5829" t="s">
        <v>90</v>
      </c>
    </row>
    <row r="5830" spans="1:10" x14ac:dyDescent="0.35">
      <c r="A5830">
        <v>15542</v>
      </c>
      <c r="B5830" t="s">
        <v>926</v>
      </c>
      <c r="C5830" t="s">
        <v>92</v>
      </c>
      <c r="D5830" t="s">
        <v>780</v>
      </c>
      <c r="E5830" t="s">
        <v>473</v>
      </c>
      <c r="F5830" t="s">
        <v>244</v>
      </c>
      <c r="G5830" s="39">
        <v>45120</v>
      </c>
      <c r="J5830" t="s">
        <v>90</v>
      </c>
    </row>
    <row r="5831" spans="1:10" x14ac:dyDescent="0.35">
      <c r="A5831">
        <v>16094</v>
      </c>
      <c r="B5831" t="s">
        <v>926</v>
      </c>
      <c r="C5831" t="s">
        <v>92</v>
      </c>
      <c r="D5831" t="s">
        <v>780</v>
      </c>
      <c r="E5831" t="s">
        <v>473</v>
      </c>
      <c r="F5831" t="s">
        <v>244</v>
      </c>
      <c r="G5831" s="39">
        <v>45282</v>
      </c>
      <c r="J5831" t="s">
        <v>90</v>
      </c>
    </row>
    <row r="5832" spans="1:10" x14ac:dyDescent="0.35">
      <c r="A5832">
        <v>420045</v>
      </c>
      <c r="B5832" t="s">
        <v>926</v>
      </c>
      <c r="C5832" t="s">
        <v>92</v>
      </c>
      <c r="D5832" t="s">
        <v>780</v>
      </c>
      <c r="E5832" t="s">
        <v>474</v>
      </c>
      <c r="F5832" t="s">
        <v>411</v>
      </c>
      <c r="G5832" s="39">
        <v>43515</v>
      </c>
      <c r="J5832" t="s">
        <v>90</v>
      </c>
    </row>
    <row r="5833" spans="1:10" x14ac:dyDescent="0.35">
      <c r="A5833">
        <v>17270</v>
      </c>
      <c r="B5833" t="s">
        <v>926</v>
      </c>
      <c r="C5833" t="s">
        <v>92</v>
      </c>
      <c r="D5833" t="s">
        <v>780</v>
      </c>
      <c r="E5833" t="s">
        <v>536</v>
      </c>
      <c r="F5833" t="s">
        <v>244</v>
      </c>
      <c r="G5833" s="39">
        <v>45694</v>
      </c>
      <c r="J5833" t="s">
        <v>90</v>
      </c>
    </row>
    <row r="5834" spans="1:10" x14ac:dyDescent="0.35">
      <c r="A5834">
        <v>18485</v>
      </c>
      <c r="B5834" t="s">
        <v>926</v>
      </c>
      <c r="C5834" t="s">
        <v>92</v>
      </c>
      <c r="D5834" t="s">
        <v>780</v>
      </c>
      <c r="E5834" t="s">
        <v>475</v>
      </c>
      <c r="F5834" t="s">
        <v>244</v>
      </c>
      <c r="G5834" s="39">
        <v>46140</v>
      </c>
      <c r="J5834" t="s">
        <v>90</v>
      </c>
    </row>
    <row r="5835" spans="1:10" x14ac:dyDescent="0.35">
      <c r="A5835">
        <v>420049</v>
      </c>
      <c r="B5835" t="s">
        <v>926</v>
      </c>
      <c r="C5835" t="s">
        <v>92</v>
      </c>
      <c r="D5835" t="s">
        <v>791</v>
      </c>
      <c r="E5835" t="s">
        <v>122</v>
      </c>
      <c r="F5835" t="s">
        <v>244</v>
      </c>
      <c r="G5835" s="39">
        <v>43864</v>
      </c>
      <c r="J5835" t="s">
        <v>90</v>
      </c>
    </row>
    <row r="5836" spans="1:10" x14ac:dyDescent="0.35">
      <c r="A5836">
        <v>420058</v>
      </c>
      <c r="B5836" t="s">
        <v>926</v>
      </c>
      <c r="C5836" t="s">
        <v>92</v>
      </c>
      <c r="D5836" t="s">
        <v>791</v>
      </c>
      <c r="E5836" t="s">
        <v>122</v>
      </c>
      <c r="F5836" t="s">
        <v>244</v>
      </c>
      <c r="G5836" s="39">
        <v>44636</v>
      </c>
      <c r="J5836" t="s">
        <v>90</v>
      </c>
    </row>
    <row r="5837" spans="1:10" x14ac:dyDescent="0.35">
      <c r="A5837">
        <v>420051</v>
      </c>
      <c r="B5837" t="s">
        <v>926</v>
      </c>
      <c r="C5837" t="s">
        <v>92</v>
      </c>
      <c r="D5837" t="s">
        <v>827</v>
      </c>
      <c r="E5837" t="s">
        <v>151</v>
      </c>
      <c r="F5837" t="s">
        <v>244</v>
      </c>
      <c r="G5837" s="39">
        <v>44446</v>
      </c>
      <c r="J5837" t="s">
        <v>90</v>
      </c>
    </row>
    <row r="5838" spans="1:10" x14ac:dyDescent="0.35">
      <c r="A5838">
        <v>420055</v>
      </c>
      <c r="B5838" t="s">
        <v>926</v>
      </c>
      <c r="C5838" t="s">
        <v>92</v>
      </c>
      <c r="D5838" t="s">
        <v>827</v>
      </c>
      <c r="E5838" t="s">
        <v>109</v>
      </c>
      <c r="F5838" t="s">
        <v>244</v>
      </c>
      <c r="G5838" s="39">
        <v>44516</v>
      </c>
      <c r="J5838" t="s">
        <v>90</v>
      </c>
    </row>
    <row r="5839" spans="1:10" x14ac:dyDescent="0.35">
      <c r="A5839">
        <v>420046</v>
      </c>
      <c r="B5839" t="s">
        <v>926</v>
      </c>
      <c r="C5839" t="s">
        <v>92</v>
      </c>
      <c r="D5839" t="s">
        <v>827</v>
      </c>
      <c r="E5839" t="s">
        <v>103</v>
      </c>
      <c r="F5839" t="s">
        <v>244</v>
      </c>
      <c r="G5839" s="39">
        <v>43732</v>
      </c>
      <c r="J5839" t="s">
        <v>90</v>
      </c>
    </row>
    <row r="5840" spans="1:10" x14ac:dyDescent="0.35">
      <c r="A5840">
        <v>18014</v>
      </c>
      <c r="B5840" t="s">
        <v>926</v>
      </c>
      <c r="C5840" t="s">
        <v>92</v>
      </c>
      <c r="D5840" t="s">
        <v>827</v>
      </c>
      <c r="E5840" t="s">
        <v>106</v>
      </c>
      <c r="F5840" t="s">
        <v>244</v>
      </c>
      <c r="G5840" s="39">
        <v>45964</v>
      </c>
      <c r="J5840" t="s">
        <v>90</v>
      </c>
    </row>
    <row r="5841" spans="1:10" x14ac:dyDescent="0.35">
      <c r="A5841">
        <v>18020</v>
      </c>
      <c r="B5841" t="s">
        <v>926</v>
      </c>
      <c r="C5841" t="s">
        <v>92</v>
      </c>
      <c r="D5841" t="s">
        <v>827</v>
      </c>
      <c r="E5841" t="s">
        <v>103</v>
      </c>
      <c r="F5841" t="s">
        <v>244</v>
      </c>
      <c r="G5841" s="39">
        <v>45965</v>
      </c>
      <c r="J5841" t="s">
        <v>90</v>
      </c>
    </row>
    <row r="5842" spans="1:10" x14ac:dyDescent="0.35">
      <c r="A5842">
        <v>18614</v>
      </c>
      <c r="B5842" t="s">
        <v>926</v>
      </c>
      <c r="C5842" t="s">
        <v>92</v>
      </c>
      <c r="D5842" t="s">
        <v>827</v>
      </c>
      <c r="E5842" t="s">
        <v>106</v>
      </c>
      <c r="F5842" t="s">
        <v>244</v>
      </c>
      <c r="G5842" s="39">
        <v>46174</v>
      </c>
      <c r="J5842" t="s">
        <v>90</v>
      </c>
    </row>
    <row r="5843" spans="1:10" x14ac:dyDescent="0.35">
      <c r="A5843">
        <v>660036</v>
      </c>
      <c r="B5843" t="s">
        <v>92</v>
      </c>
      <c r="C5843" t="s">
        <v>927</v>
      </c>
      <c r="D5843" t="s">
        <v>92</v>
      </c>
      <c r="E5843" t="s">
        <v>464</v>
      </c>
      <c r="F5843" t="s">
        <v>244</v>
      </c>
      <c r="G5843" s="39">
        <v>43076</v>
      </c>
      <c r="J5843" t="s">
        <v>90</v>
      </c>
    </row>
    <row r="5844" spans="1:10" x14ac:dyDescent="0.35">
      <c r="A5844">
        <v>15790</v>
      </c>
      <c r="B5844" t="s">
        <v>92</v>
      </c>
      <c r="C5844" t="s">
        <v>927</v>
      </c>
      <c r="D5844" t="s">
        <v>780</v>
      </c>
      <c r="E5844" t="s">
        <v>496</v>
      </c>
      <c r="F5844" t="s">
        <v>244</v>
      </c>
      <c r="G5844" s="39">
        <v>45195</v>
      </c>
      <c r="J5844" t="s">
        <v>90</v>
      </c>
    </row>
    <row r="5845" spans="1:10" x14ac:dyDescent="0.35">
      <c r="A5845">
        <v>18962</v>
      </c>
      <c r="B5845" t="s">
        <v>92</v>
      </c>
      <c r="C5845" t="s">
        <v>927</v>
      </c>
      <c r="D5845" t="s">
        <v>780</v>
      </c>
      <c r="E5845" t="s">
        <v>496</v>
      </c>
      <c r="F5845" t="s">
        <v>244</v>
      </c>
      <c r="G5845" s="39">
        <v>46251</v>
      </c>
      <c r="J5845" t="s">
        <v>90</v>
      </c>
    </row>
    <row r="5846" spans="1:10" x14ac:dyDescent="0.35">
      <c r="A5846">
        <v>15632</v>
      </c>
      <c r="B5846" t="s">
        <v>92</v>
      </c>
      <c r="C5846" t="s">
        <v>927</v>
      </c>
      <c r="D5846" t="s">
        <v>780</v>
      </c>
      <c r="E5846" t="s">
        <v>782</v>
      </c>
      <c r="F5846" t="s">
        <v>244</v>
      </c>
      <c r="G5846" s="39">
        <v>45147</v>
      </c>
      <c r="J5846" t="s">
        <v>90</v>
      </c>
    </row>
    <row r="5847" spans="1:10" x14ac:dyDescent="0.35">
      <c r="A5847">
        <v>14101</v>
      </c>
      <c r="B5847" t="s">
        <v>92</v>
      </c>
      <c r="C5847" t="s">
        <v>927</v>
      </c>
      <c r="D5847" t="s">
        <v>780</v>
      </c>
      <c r="E5847" t="s">
        <v>782</v>
      </c>
      <c r="F5847" t="s">
        <v>244</v>
      </c>
      <c r="G5847" s="39">
        <v>44658</v>
      </c>
      <c r="J5847" t="s">
        <v>90</v>
      </c>
    </row>
    <row r="5848" spans="1:10" x14ac:dyDescent="0.35">
      <c r="A5848">
        <v>15957</v>
      </c>
      <c r="B5848" t="s">
        <v>92</v>
      </c>
      <c r="C5848" t="s">
        <v>927</v>
      </c>
      <c r="D5848" t="s">
        <v>780</v>
      </c>
      <c r="E5848" t="s">
        <v>782</v>
      </c>
      <c r="F5848" t="s">
        <v>244</v>
      </c>
      <c r="G5848" s="39">
        <v>45250</v>
      </c>
      <c r="J5848" t="s">
        <v>90</v>
      </c>
    </row>
    <row r="5849" spans="1:10" x14ac:dyDescent="0.35">
      <c r="A5849">
        <v>170027</v>
      </c>
      <c r="B5849" t="s">
        <v>928</v>
      </c>
      <c r="C5849" t="s">
        <v>92</v>
      </c>
      <c r="D5849" t="s">
        <v>92</v>
      </c>
      <c r="E5849" t="s">
        <v>464</v>
      </c>
      <c r="F5849" t="s">
        <v>244</v>
      </c>
      <c r="G5849" s="39">
        <v>41899</v>
      </c>
      <c r="J5849" t="s">
        <v>90</v>
      </c>
    </row>
    <row r="5850" spans="1:10" x14ac:dyDescent="0.35">
      <c r="A5850">
        <v>660002</v>
      </c>
      <c r="B5850" t="s">
        <v>928</v>
      </c>
      <c r="C5850" t="s">
        <v>92</v>
      </c>
      <c r="D5850" t="s">
        <v>780</v>
      </c>
      <c r="E5850" t="s">
        <v>506</v>
      </c>
      <c r="F5850" t="s">
        <v>244</v>
      </c>
      <c r="G5850" s="39">
        <v>36710</v>
      </c>
      <c r="J5850" t="s">
        <v>90</v>
      </c>
    </row>
    <row r="5851" spans="1:10" x14ac:dyDescent="0.35">
      <c r="A5851">
        <v>660009</v>
      </c>
      <c r="B5851" t="s">
        <v>928</v>
      </c>
      <c r="C5851" t="s">
        <v>92</v>
      </c>
      <c r="D5851" t="s">
        <v>780</v>
      </c>
      <c r="E5851" t="s">
        <v>506</v>
      </c>
      <c r="F5851" t="s">
        <v>244</v>
      </c>
      <c r="G5851" s="39">
        <v>40163</v>
      </c>
      <c r="J5851" t="s">
        <v>90</v>
      </c>
    </row>
    <row r="5852" spans="1:10" x14ac:dyDescent="0.35">
      <c r="A5852">
        <v>17949</v>
      </c>
      <c r="B5852" t="s">
        <v>928</v>
      </c>
      <c r="C5852" t="s">
        <v>92</v>
      </c>
      <c r="D5852" t="s">
        <v>780</v>
      </c>
      <c r="E5852" t="s">
        <v>474</v>
      </c>
      <c r="F5852" t="s">
        <v>244</v>
      </c>
      <c r="G5852" s="39">
        <v>45933</v>
      </c>
      <c r="J5852" t="s">
        <v>90</v>
      </c>
    </row>
    <row r="5853" spans="1:10" x14ac:dyDescent="0.35">
      <c r="A5853">
        <v>980019</v>
      </c>
      <c r="B5853" t="s">
        <v>928</v>
      </c>
      <c r="C5853" t="s">
        <v>92</v>
      </c>
      <c r="D5853" t="s">
        <v>780</v>
      </c>
      <c r="E5853" t="s">
        <v>406</v>
      </c>
      <c r="F5853" t="s">
        <v>244</v>
      </c>
      <c r="G5853" s="39">
        <v>42858</v>
      </c>
      <c r="J5853" t="s">
        <v>90</v>
      </c>
    </row>
    <row r="5854" spans="1:10" x14ac:dyDescent="0.35">
      <c r="A5854">
        <v>660039</v>
      </c>
      <c r="B5854" t="s">
        <v>928</v>
      </c>
      <c r="C5854" t="s">
        <v>92</v>
      </c>
      <c r="D5854" t="s">
        <v>780</v>
      </c>
      <c r="E5854" t="s">
        <v>406</v>
      </c>
      <c r="F5854" t="s">
        <v>244</v>
      </c>
      <c r="G5854" s="39">
        <v>43675</v>
      </c>
      <c r="J5854" t="s">
        <v>90</v>
      </c>
    </row>
    <row r="5855" spans="1:10" x14ac:dyDescent="0.35">
      <c r="A5855">
        <v>420047</v>
      </c>
      <c r="B5855" t="s">
        <v>928</v>
      </c>
      <c r="C5855" t="s">
        <v>92</v>
      </c>
      <c r="D5855" t="s">
        <v>780</v>
      </c>
      <c r="E5855" t="s">
        <v>406</v>
      </c>
      <c r="F5855" t="s">
        <v>411</v>
      </c>
      <c r="G5855" s="39">
        <v>43756</v>
      </c>
      <c r="J5855" t="s">
        <v>90</v>
      </c>
    </row>
    <row r="5856" spans="1:10" x14ac:dyDescent="0.35">
      <c r="A5856">
        <v>18100</v>
      </c>
      <c r="B5856" t="s">
        <v>928</v>
      </c>
      <c r="C5856" t="s">
        <v>92</v>
      </c>
      <c r="D5856" t="s">
        <v>780</v>
      </c>
      <c r="E5856" t="s">
        <v>832</v>
      </c>
      <c r="F5856" t="s">
        <v>244</v>
      </c>
      <c r="G5856" s="39">
        <v>45994</v>
      </c>
      <c r="J5856" t="s">
        <v>90</v>
      </c>
    </row>
    <row r="5857" spans="1:10" x14ac:dyDescent="0.35">
      <c r="A5857">
        <v>660020</v>
      </c>
      <c r="B5857" t="s">
        <v>928</v>
      </c>
      <c r="C5857" t="s">
        <v>92</v>
      </c>
      <c r="D5857" t="s">
        <v>780</v>
      </c>
      <c r="E5857" t="s">
        <v>406</v>
      </c>
      <c r="F5857" t="s">
        <v>244</v>
      </c>
      <c r="G5857" s="39">
        <v>41933</v>
      </c>
      <c r="J5857" t="s">
        <v>90</v>
      </c>
    </row>
    <row r="5858" spans="1:10" x14ac:dyDescent="0.35">
      <c r="A5858">
        <v>660033</v>
      </c>
      <c r="B5858" t="s">
        <v>928</v>
      </c>
      <c r="C5858" t="s">
        <v>92</v>
      </c>
      <c r="D5858" t="s">
        <v>780</v>
      </c>
      <c r="E5858" t="s">
        <v>151</v>
      </c>
      <c r="F5858" t="s">
        <v>244</v>
      </c>
      <c r="G5858" s="39">
        <v>42936</v>
      </c>
      <c r="J5858" t="s">
        <v>90</v>
      </c>
    </row>
    <row r="5859" spans="1:10" x14ac:dyDescent="0.35">
      <c r="A5859">
        <v>980016</v>
      </c>
      <c r="B5859" t="s">
        <v>928</v>
      </c>
      <c r="C5859" t="s">
        <v>92</v>
      </c>
      <c r="D5859" t="s">
        <v>780</v>
      </c>
      <c r="E5859" t="s">
        <v>406</v>
      </c>
      <c r="F5859" t="s">
        <v>244</v>
      </c>
      <c r="G5859" s="39">
        <v>42858</v>
      </c>
      <c r="J5859" t="s">
        <v>90</v>
      </c>
    </row>
    <row r="5860" spans="1:10" x14ac:dyDescent="0.35">
      <c r="A5860">
        <v>660025</v>
      </c>
      <c r="B5860" t="s">
        <v>928</v>
      </c>
      <c r="C5860" t="s">
        <v>92</v>
      </c>
      <c r="D5860" t="s">
        <v>780</v>
      </c>
      <c r="E5860" t="s">
        <v>406</v>
      </c>
      <c r="F5860" t="s">
        <v>244</v>
      </c>
      <c r="G5860" s="39">
        <v>42193</v>
      </c>
      <c r="J5860" t="s">
        <v>90</v>
      </c>
    </row>
    <row r="5861" spans="1:10" x14ac:dyDescent="0.35">
      <c r="A5861">
        <v>15068</v>
      </c>
      <c r="B5861" t="s">
        <v>928</v>
      </c>
      <c r="C5861" t="s">
        <v>92</v>
      </c>
      <c r="D5861" t="s">
        <v>780</v>
      </c>
      <c r="E5861" t="s">
        <v>477</v>
      </c>
      <c r="F5861" t="s">
        <v>244</v>
      </c>
      <c r="G5861" s="39">
        <v>44937</v>
      </c>
      <c r="J5861" t="s">
        <v>90</v>
      </c>
    </row>
    <row r="5862" spans="1:10" x14ac:dyDescent="0.35">
      <c r="A5862">
        <v>14153</v>
      </c>
      <c r="B5862" t="s">
        <v>928</v>
      </c>
      <c r="C5862" t="s">
        <v>92</v>
      </c>
      <c r="D5862" t="s">
        <v>780</v>
      </c>
      <c r="E5862" t="s">
        <v>477</v>
      </c>
      <c r="F5862" t="s">
        <v>244</v>
      </c>
      <c r="G5862" s="39">
        <v>44676</v>
      </c>
      <c r="J5862" t="s">
        <v>90</v>
      </c>
    </row>
    <row r="5863" spans="1:10" x14ac:dyDescent="0.35">
      <c r="A5863">
        <v>17330</v>
      </c>
      <c r="B5863" t="s">
        <v>928</v>
      </c>
      <c r="C5863" t="s">
        <v>92</v>
      </c>
      <c r="D5863" t="s">
        <v>780</v>
      </c>
      <c r="E5863" t="s">
        <v>473</v>
      </c>
      <c r="F5863" t="s">
        <v>244</v>
      </c>
      <c r="G5863" s="39">
        <v>45709</v>
      </c>
      <c r="J5863" t="s">
        <v>90</v>
      </c>
    </row>
    <row r="5864" spans="1:10" x14ac:dyDescent="0.35">
      <c r="A5864">
        <v>16963</v>
      </c>
      <c r="B5864" t="s">
        <v>928</v>
      </c>
      <c r="C5864" t="s">
        <v>92</v>
      </c>
      <c r="D5864" t="s">
        <v>780</v>
      </c>
      <c r="E5864" t="s">
        <v>473</v>
      </c>
      <c r="F5864" t="s">
        <v>244</v>
      </c>
      <c r="G5864" s="39">
        <v>45579</v>
      </c>
      <c r="J5864" t="s">
        <v>90</v>
      </c>
    </row>
    <row r="5865" spans="1:10" x14ac:dyDescent="0.35">
      <c r="A5865">
        <v>18624</v>
      </c>
      <c r="B5865" t="s">
        <v>928</v>
      </c>
      <c r="C5865" t="s">
        <v>92</v>
      </c>
      <c r="D5865" t="s">
        <v>780</v>
      </c>
      <c r="E5865" t="s">
        <v>823</v>
      </c>
      <c r="F5865" t="s">
        <v>244</v>
      </c>
      <c r="G5865" s="39">
        <v>46176</v>
      </c>
      <c r="J5865" t="s">
        <v>90</v>
      </c>
    </row>
    <row r="5866" spans="1:10" x14ac:dyDescent="0.35">
      <c r="A5866">
        <v>17950</v>
      </c>
      <c r="B5866" t="s">
        <v>928</v>
      </c>
      <c r="C5866" t="s">
        <v>92</v>
      </c>
      <c r="D5866" t="s">
        <v>780</v>
      </c>
      <c r="E5866" t="s">
        <v>496</v>
      </c>
      <c r="F5866" t="s">
        <v>244</v>
      </c>
      <c r="G5866" s="39">
        <v>45936</v>
      </c>
      <c r="J5866" t="s">
        <v>90</v>
      </c>
    </row>
    <row r="5867" spans="1:10" x14ac:dyDescent="0.35">
      <c r="A5867">
        <v>660015</v>
      </c>
      <c r="B5867" t="s">
        <v>928</v>
      </c>
      <c r="C5867" t="s">
        <v>92</v>
      </c>
      <c r="D5867" t="s">
        <v>791</v>
      </c>
      <c r="E5867" t="s">
        <v>122</v>
      </c>
      <c r="F5867" t="s">
        <v>244</v>
      </c>
      <c r="G5867" s="39">
        <v>40392</v>
      </c>
      <c r="J5867" t="s">
        <v>90</v>
      </c>
    </row>
    <row r="5868" spans="1:10" x14ac:dyDescent="0.35">
      <c r="A5868">
        <v>660027</v>
      </c>
      <c r="B5868" t="s">
        <v>928</v>
      </c>
      <c r="C5868" t="s">
        <v>92</v>
      </c>
      <c r="D5868" t="s">
        <v>827</v>
      </c>
      <c r="E5868" t="s">
        <v>151</v>
      </c>
      <c r="F5868" t="s">
        <v>244</v>
      </c>
      <c r="G5868" s="39">
        <v>42276</v>
      </c>
      <c r="J5868" t="s">
        <v>90</v>
      </c>
    </row>
    <row r="5869" spans="1:10" x14ac:dyDescent="0.35">
      <c r="A5869">
        <v>660050</v>
      </c>
      <c r="B5869" t="s">
        <v>928</v>
      </c>
      <c r="C5869" t="s">
        <v>92</v>
      </c>
      <c r="D5869" t="s">
        <v>827</v>
      </c>
      <c r="E5869" t="s">
        <v>102</v>
      </c>
      <c r="F5869" t="s">
        <v>244</v>
      </c>
      <c r="G5869" s="39">
        <v>44606</v>
      </c>
      <c r="J5869" t="s">
        <v>90</v>
      </c>
    </row>
    <row r="5870" spans="1:10" x14ac:dyDescent="0.35">
      <c r="A5870">
        <v>14660</v>
      </c>
      <c r="B5870" t="s">
        <v>928</v>
      </c>
      <c r="C5870" t="s">
        <v>92</v>
      </c>
      <c r="D5870" t="s">
        <v>827</v>
      </c>
      <c r="E5870" t="s">
        <v>102</v>
      </c>
      <c r="F5870" t="s">
        <v>244</v>
      </c>
      <c r="G5870" s="39">
        <v>44816</v>
      </c>
      <c r="J5870" t="s">
        <v>90</v>
      </c>
    </row>
    <row r="5871" spans="1:10" x14ac:dyDescent="0.35">
      <c r="A5871">
        <v>16953</v>
      </c>
      <c r="B5871" t="s">
        <v>928</v>
      </c>
      <c r="C5871" t="s">
        <v>92</v>
      </c>
      <c r="D5871" t="s">
        <v>827</v>
      </c>
      <c r="E5871" t="s">
        <v>103</v>
      </c>
      <c r="F5871" t="s">
        <v>244</v>
      </c>
      <c r="G5871" s="39">
        <v>45575</v>
      </c>
      <c r="J5871" t="s">
        <v>90</v>
      </c>
    </row>
    <row r="5872" spans="1:10" x14ac:dyDescent="0.35">
      <c r="A5872">
        <v>17455</v>
      </c>
      <c r="B5872" t="s">
        <v>928</v>
      </c>
      <c r="C5872" t="s">
        <v>92</v>
      </c>
      <c r="D5872" t="s">
        <v>827</v>
      </c>
      <c r="E5872" t="s">
        <v>103</v>
      </c>
      <c r="F5872" t="s">
        <v>244</v>
      </c>
      <c r="G5872" s="39">
        <v>45761</v>
      </c>
      <c r="J5872" t="s">
        <v>90</v>
      </c>
    </row>
    <row r="5873" spans="1:10" x14ac:dyDescent="0.35">
      <c r="A5873">
        <v>740017</v>
      </c>
      <c r="B5873" t="s">
        <v>929</v>
      </c>
      <c r="C5873" t="s">
        <v>92</v>
      </c>
      <c r="D5873" t="s">
        <v>92</v>
      </c>
      <c r="E5873" t="s">
        <v>464</v>
      </c>
      <c r="F5873" t="s">
        <v>244</v>
      </c>
      <c r="G5873" s="39">
        <v>42038</v>
      </c>
      <c r="J5873" t="s">
        <v>90</v>
      </c>
    </row>
    <row r="5874" spans="1:10" x14ac:dyDescent="0.35">
      <c r="A5874">
        <v>320023</v>
      </c>
      <c r="B5874" t="s">
        <v>929</v>
      </c>
      <c r="C5874" t="s">
        <v>92</v>
      </c>
      <c r="D5874" t="s">
        <v>780</v>
      </c>
      <c r="E5874" t="s">
        <v>506</v>
      </c>
      <c r="F5874" t="s">
        <v>244</v>
      </c>
      <c r="G5874" s="39">
        <v>42811</v>
      </c>
      <c r="J5874" t="s">
        <v>90</v>
      </c>
    </row>
    <row r="5875" spans="1:10" x14ac:dyDescent="0.35">
      <c r="A5875">
        <v>16402</v>
      </c>
      <c r="B5875" t="s">
        <v>929</v>
      </c>
      <c r="C5875" t="s">
        <v>92</v>
      </c>
      <c r="D5875" t="s">
        <v>780</v>
      </c>
      <c r="E5875" t="s">
        <v>474</v>
      </c>
      <c r="F5875" t="s">
        <v>244</v>
      </c>
      <c r="G5875" s="39">
        <v>45370</v>
      </c>
      <c r="J5875" t="s">
        <v>90</v>
      </c>
    </row>
    <row r="5876" spans="1:10" x14ac:dyDescent="0.35">
      <c r="A5876">
        <v>320019</v>
      </c>
      <c r="B5876" t="s">
        <v>929</v>
      </c>
      <c r="C5876" t="s">
        <v>92</v>
      </c>
      <c r="D5876" t="s">
        <v>780</v>
      </c>
      <c r="E5876" t="s">
        <v>406</v>
      </c>
      <c r="F5876" t="s">
        <v>244</v>
      </c>
      <c r="G5876" s="39">
        <v>39419</v>
      </c>
      <c r="J5876" t="s">
        <v>90</v>
      </c>
    </row>
    <row r="5877" spans="1:10" x14ac:dyDescent="0.35">
      <c r="A5877">
        <v>320013</v>
      </c>
      <c r="B5877" t="s">
        <v>929</v>
      </c>
      <c r="C5877" t="s">
        <v>92</v>
      </c>
      <c r="D5877" t="s">
        <v>780</v>
      </c>
      <c r="E5877" t="s">
        <v>406</v>
      </c>
      <c r="F5877" t="s">
        <v>244</v>
      </c>
      <c r="G5877" s="39">
        <v>40954</v>
      </c>
      <c r="J5877" t="s">
        <v>90</v>
      </c>
    </row>
    <row r="5878" spans="1:10" x14ac:dyDescent="0.35">
      <c r="A5878">
        <v>610024</v>
      </c>
      <c r="B5878" t="s">
        <v>929</v>
      </c>
      <c r="C5878" t="s">
        <v>92</v>
      </c>
      <c r="D5878" t="s">
        <v>780</v>
      </c>
      <c r="E5878" t="s">
        <v>406</v>
      </c>
      <c r="F5878" t="s">
        <v>244</v>
      </c>
      <c r="G5878" s="39">
        <v>42695</v>
      </c>
      <c r="J5878" t="s">
        <v>90</v>
      </c>
    </row>
    <row r="5879" spans="1:10" x14ac:dyDescent="0.35">
      <c r="A5879">
        <v>300126</v>
      </c>
      <c r="B5879" t="s">
        <v>929</v>
      </c>
      <c r="C5879" t="s">
        <v>92</v>
      </c>
      <c r="D5879" t="s">
        <v>780</v>
      </c>
      <c r="E5879" t="s">
        <v>406</v>
      </c>
      <c r="F5879" t="s">
        <v>244</v>
      </c>
      <c r="G5879" s="39">
        <v>43165</v>
      </c>
      <c r="J5879" t="s">
        <v>90</v>
      </c>
    </row>
    <row r="5880" spans="1:10" x14ac:dyDescent="0.35">
      <c r="A5880">
        <v>320029</v>
      </c>
      <c r="B5880" t="s">
        <v>929</v>
      </c>
      <c r="C5880" t="s">
        <v>92</v>
      </c>
      <c r="D5880" t="s">
        <v>780</v>
      </c>
      <c r="E5880" t="s">
        <v>406</v>
      </c>
      <c r="F5880" t="s">
        <v>244</v>
      </c>
      <c r="G5880" s="39">
        <v>43612</v>
      </c>
      <c r="J5880" t="s">
        <v>90</v>
      </c>
    </row>
    <row r="5881" spans="1:10" x14ac:dyDescent="0.35">
      <c r="A5881">
        <v>290043</v>
      </c>
      <c r="B5881" t="s">
        <v>929</v>
      </c>
      <c r="C5881" t="s">
        <v>92</v>
      </c>
      <c r="D5881" t="s">
        <v>780</v>
      </c>
      <c r="E5881" t="s">
        <v>151</v>
      </c>
      <c r="F5881" t="s">
        <v>244</v>
      </c>
      <c r="G5881" s="39">
        <v>42545</v>
      </c>
      <c r="J5881" t="s">
        <v>90</v>
      </c>
    </row>
    <row r="5882" spans="1:10" x14ac:dyDescent="0.35">
      <c r="A5882">
        <v>320027</v>
      </c>
      <c r="B5882" t="s">
        <v>929</v>
      </c>
      <c r="C5882" t="s">
        <v>92</v>
      </c>
      <c r="D5882" t="s">
        <v>780</v>
      </c>
      <c r="E5882" t="s">
        <v>406</v>
      </c>
      <c r="F5882" t="s">
        <v>244</v>
      </c>
      <c r="G5882" s="39">
        <v>43346</v>
      </c>
      <c r="J5882" t="s">
        <v>90</v>
      </c>
    </row>
    <row r="5883" spans="1:10" x14ac:dyDescent="0.35">
      <c r="A5883">
        <v>320022</v>
      </c>
      <c r="B5883" t="s">
        <v>929</v>
      </c>
      <c r="C5883" t="s">
        <v>92</v>
      </c>
      <c r="D5883" t="s">
        <v>780</v>
      </c>
      <c r="E5883" t="s">
        <v>406</v>
      </c>
      <c r="F5883" t="s">
        <v>244</v>
      </c>
      <c r="G5883" s="39">
        <v>42780</v>
      </c>
      <c r="J5883" t="s">
        <v>90</v>
      </c>
    </row>
    <row r="5884" spans="1:10" x14ac:dyDescent="0.35">
      <c r="A5884">
        <v>320031</v>
      </c>
      <c r="B5884" t="s">
        <v>929</v>
      </c>
      <c r="C5884" t="s">
        <v>92</v>
      </c>
      <c r="D5884" t="s">
        <v>780</v>
      </c>
      <c r="E5884" t="s">
        <v>473</v>
      </c>
      <c r="F5884" t="s">
        <v>244</v>
      </c>
      <c r="G5884" s="39">
        <v>44466</v>
      </c>
      <c r="J5884" t="s">
        <v>90</v>
      </c>
    </row>
    <row r="5885" spans="1:10" x14ac:dyDescent="0.35">
      <c r="A5885">
        <v>17913</v>
      </c>
      <c r="B5885" t="s">
        <v>929</v>
      </c>
      <c r="C5885" t="s">
        <v>92</v>
      </c>
      <c r="D5885" t="s">
        <v>780</v>
      </c>
      <c r="E5885" t="s">
        <v>823</v>
      </c>
      <c r="F5885" t="s">
        <v>244</v>
      </c>
      <c r="G5885" s="39">
        <v>45915</v>
      </c>
      <c r="J5885" t="s">
        <v>90</v>
      </c>
    </row>
    <row r="5886" spans="1:10" x14ac:dyDescent="0.35">
      <c r="A5886">
        <v>18078</v>
      </c>
      <c r="B5886" t="s">
        <v>929</v>
      </c>
      <c r="C5886" t="s">
        <v>92</v>
      </c>
      <c r="D5886" t="s">
        <v>780</v>
      </c>
      <c r="E5886" t="s">
        <v>496</v>
      </c>
      <c r="F5886" t="s">
        <v>244</v>
      </c>
      <c r="G5886" s="39">
        <v>45986</v>
      </c>
      <c r="J5886" t="s">
        <v>90</v>
      </c>
    </row>
    <row r="5887" spans="1:10" x14ac:dyDescent="0.35">
      <c r="A5887">
        <v>19124</v>
      </c>
      <c r="B5887" t="s">
        <v>929</v>
      </c>
      <c r="C5887" t="s">
        <v>92</v>
      </c>
      <c r="D5887" t="s">
        <v>780</v>
      </c>
      <c r="E5887" t="s">
        <v>783</v>
      </c>
      <c r="F5887" t="s">
        <v>244</v>
      </c>
      <c r="G5887" s="39">
        <v>46273</v>
      </c>
      <c r="J5887" t="s">
        <v>90</v>
      </c>
    </row>
    <row r="5888" spans="1:10" x14ac:dyDescent="0.35">
      <c r="A5888">
        <v>17106</v>
      </c>
      <c r="B5888" t="s">
        <v>929</v>
      </c>
      <c r="C5888" t="s">
        <v>92</v>
      </c>
      <c r="D5888" t="s">
        <v>780</v>
      </c>
      <c r="E5888" t="s">
        <v>858</v>
      </c>
      <c r="F5888" t="s">
        <v>244</v>
      </c>
      <c r="G5888" s="39">
        <v>45631</v>
      </c>
      <c r="J5888" t="s">
        <v>90</v>
      </c>
    </row>
    <row r="5889" spans="1:10" x14ac:dyDescent="0.35">
      <c r="A5889">
        <v>290062</v>
      </c>
      <c r="B5889" t="s">
        <v>929</v>
      </c>
      <c r="C5889" t="s">
        <v>92</v>
      </c>
      <c r="D5889" t="s">
        <v>827</v>
      </c>
      <c r="E5889" t="s">
        <v>109</v>
      </c>
      <c r="F5889" t="s">
        <v>244</v>
      </c>
      <c r="G5889" s="39">
        <v>44490</v>
      </c>
      <c r="J5889" t="s">
        <v>90</v>
      </c>
    </row>
    <row r="5890" spans="1:10" x14ac:dyDescent="0.35">
      <c r="A5890">
        <v>16035</v>
      </c>
      <c r="B5890" t="s">
        <v>929</v>
      </c>
      <c r="C5890" t="s">
        <v>92</v>
      </c>
      <c r="D5890" t="s">
        <v>827</v>
      </c>
      <c r="E5890" t="s">
        <v>103</v>
      </c>
      <c r="F5890" t="s">
        <v>244</v>
      </c>
      <c r="G5890" s="39">
        <v>45268</v>
      </c>
      <c r="J5890" t="s">
        <v>90</v>
      </c>
    </row>
    <row r="5891" spans="1:10" x14ac:dyDescent="0.35">
      <c r="A5891">
        <v>18180</v>
      </c>
      <c r="B5891" t="s">
        <v>929</v>
      </c>
      <c r="C5891" t="s">
        <v>92</v>
      </c>
      <c r="D5891" t="s">
        <v>827</v>
      </c>
      <c r="E5891" t="s">
        <v>106</v>
      </c>
      <c r="F5891" t="s">
        <v>244</v>
      </c>
      <c r="G5891" s="39">
        <v>46034</v>
      </c>
      <c r="J5891" t="s">
        <v>90</v>
      </c>
    </row>
    <row r="5892" spans="1:10" x14ac:dyDescent="0.35">
      <c r="A5892">
        <v>18620</v>
      </c>
      <c r="B5892" t="s">
        <v>929</v>
      </c>
      <c r="C5892" t="s">
        <v>92</v>
      </c>
      <c r="D5892" t="s">
        <v>827</v>
      </c>
      <c r="E5892" t="s">
        <v>106</v>
      </c>
      <c r="F5892" t="s">
        <v>244</v>
      </c>
      <c r="G5892" s="39">
        <v>46174</v>
      </c>
      <c r="J5892" t="s">
        <v>90</v>
      </c>
    </row>
    <row r="5893" spans="1:10" x14ac:dyDescent="0.35">
      <c r="A5893">
        <v>16057</v>
      </c>
      <c r="B5893" t="s">
        <v>929</v>
      </c>
      <c r="C5893" t="s">
        <v>92</v>
      </c>
      <c r="D5893" t="s">
        <v>791</v>
      </c>
      <c r="E5893" t="s">
        <v>122</v>
      </c>
      <c r="F5893" t="s">
        <v>244</v>
      </c>
      <c r="G5893" s="39">
        <v>45278</v>
      </c>
      <c r="J5893" t="s">
        <v>90</v>
      </c>
    </row>
    <row r="5894" spans="1:10" x14ac:dyDescent="0.35">
      <c r="A5894">
        <v>15077</v>
      </c>
      <c r="B5894" t="s">
        <v>894</v>
      </c>
      <c r="C5894" t="s">
        <v>92</v>
      </c>
      <c r="D5894" t="s">
        <v>780</v>
      </c>
      <c r="E5894" t="s">
        <v>782</v>
      </c>
      <c r="F5894" t="s">
        <v>244</v>
      </c>
      <c r="G5894" s="39">
        <v>44942</v>
      </c>
      <c r="J5894" t="s">
        <v>90</v>
      </c>
    </row>
    <row r="5895" spans="1:10" x14ac:dyDescent="0.35">
      <c r="A5895">
        <v>610030</v>
      </c>
      <c r="B5895" t="s">
        <v>894</v>
      </c>
      <c r="C5895" t="s">
        <v>92</v>
      </c>
      <c r="D5895" t="s">
        <v>780</v>
      </c>
      <c r="E5895" t="s">
        <v>506</v>
      </c>
      <c r="F5895" t="s">
        <v>244</v>
      </c>
      <c r="G5895" s="39">
        <v>44026</v>
      </c>
      <c r="J5895" t="s">
        <v>90</v>
      </c>
    </row>
    <row r="5896" spans="1:10" x14ac:dyDescent="0.35">
      <c r="A5896">
        <v>610032</v>
      </c>
      <c r="B5896" t="s">
        <v>894</v>
      </c>
      <c r="C5896" t="s">
        <v>92</v>
      </c>
      <c r="D5896" t="s">
        <v>780</v>
      </c>
      <c r="E5896" t="s">
        <v>487</v>
      </c>
      <c r="F5896" t="s">
        <v>244</v>
      </c>
      <c r="G5896" s="39">
        <v>44594</v>
      </c>
      <c r="J5896" t="s">
        <v>90</v>
      </c>
    </row>
    <row r="5897" spans="1:10" x14ac:dyDescent="0.35">
      <c r="A5897">
        <v>610023</v>
      </c>
      <c r="B5897" t="s">
        <v>894</v>
      </c>
      <c r="C5897" t="s">
        <v>92</v>
      </c>
      <c r="D5897" t="s">
        <v>780</v>
      </c>
      <c r="E5897" t="s">
        <v>406</v>
      </c>
      <c r="F5897" t="s">
        <v>244</v>
      </c>
      <c r="G5897" s="39">
        <v>42318</v>
      </c>
      <c r="J5897" t="s">
        <v>90</v>
      </c>
    </row>
    <row r="5898" spans="1:10" x14ac:dyDescent="0.35">
      <c r="A5898">
        <v>540017</v>
      </c>
      <c r="B5898" t="s">
        <v>894</v>
      </c>
      <c r="C5898" t="s">
        <v>92</v>
      </c>
      <c r="D5898" t="s">
        <v>780</v>
      </c>
      <c r="E5898" t="s">
        <v>406</v>
      </c>
      <c r="F5898" t="s">
        <v>244</v>
      </c>
      <c r="G5898" s="39">
        <v>41548</v>
      </c>
      <c r="J5898" t="s">
        <v>90</v>
      </c>
    </row>
    <row r="5899" spans="1:10" x14ac:dyDescent="0.35">
      <c r="A5899">
        <v>610012</v>
      </c>
      <c r="B5899" t="s">
        <v>894</v>
      </c>
      <c r="C5899" t="s">
        <v>92</v>
      </c>
      <c r="D5899" t="s">
        <v>791</v>
      </c>
      <c r="E5899" t="s">
        <v>122</v>
      </c>
      <c r="F5899" t="s">
        <v>244</v>
      </c>
      <c r="G5899" s="39">
        <v>41760</v>
      </c>
      <c r="J5899" t="s">
        <v>90</v>
      </c>
    </row>
    <row r="5900" spans="1:10" x14ac:dyDescent="0.35">
      <c r="A5900">
        <v>690020</v>
      </c>
      <c r="B5900" t="s">
        <v>930</v>
      </c>
      <c r="C5900" t="s">
        <v>92</v>
      </c>
      <c r="D5900" t="s">
        <v>780</v>
      </c>
      <c r="E5900" t="s">
        <v>406</v>
      </c>
      <c r="F5900" t="s">
        <v>244</v>
      </c>
      <c r="G5900" s="39">
        <v>42842</v>
      </c>
      <c r="J5900" t="s">
        <v>90</v>
      </c>
    </row>
    <row r="5901" spans="1:10" x14ac:dyDescent="0.35">
      <c r="A5901">
        <v>690023</v>
      </c>
      <c r="B5901" t="s">
        <v>930</v>
      </c>
      <c r="C5901" t="s">
        <v>92</v>
      </c>
      <c r="D5901" t="s">
        <v>780</v>
      </c>
      <c r="E5901" t="s">
        <v>406</v>
      </c>
      <c r="F5901" t="s">
        <v>244</v>
      </c>
      <c r="G5901" s="39">
        <v>43395</v>
      </c>
      <c r="J5901" t="s">
        <v>90</v>
      </c>
    </row>
    <row r="5902" spans="1:10" x14ac:dyDescent="0.35">
      <c r="A5902">
        <v>460030</v>
      </c>
      <c r="B5902" t="s">
        <v>930</v>
      </c>
      <c r="C5902" t="s">
        <v>92</v>
      </c>
      <c r="D5902" t="s">
        <v>780</v>
      </c>
      <c r="E5902" t="s">
        <v>406</v>
      </c>
      <c r="F5902" t="s">
        <v>244</v>
      </c>
      <c r="G5902" s="39">
        <v>43327</v>
      </c>
      <c r="J5902" t="s">
        <v>90</v>
      </c>
    </row>
    <row r="5903" spans="1:10" x14ac:dyDescent="0.35">
      <c r="A5903">
        <v>690021</v>
      </c>
      <c r="B5903" t="s">
        <v>930</v>
      </c>
      <c r="C5903" t="s">
        <v>92</v>
      </c>
      <c r="D5903" t="s">
        <v>780</v>
      </c>
      <c r="E5903" t="s">
        <v>406</v>
      </c>
      <c r="F5903" t="s">
        <v>244</v>
      </c>
      <c r="G5903" s="39">
        <v>43224</v>
      </c>
      <c r="J5903" t="s">
        <v>90</v>
      </c>
    </row>
    <row r="5904" spans="1:10" x14ac:dyDescent="0.35">
      <c r="A5904">
        <v>17322</v>
      </c>
      <c r="B5904" t="s">
        <v>930</v>
      </c>
      <c r="C5904" t="s">
        <v>92</v>
      </c>
      <c r="D5904" t="s">
        <v>780</v>
      </c>
      <c r="E5904" t="s">
        <v>473</v>
      </c>
      <c r="F5904" t="s">
        <v>244</v>
      </c>
      <c r="G5904" s="39">
        <v>45708</v>
      </c>
      <c r="J5904" t="s">
        <v>90</v>
      </c>
    </row>
    <row r="5905" spans="1:10" x14ac:dyDescent="0.35">
      <c r="A5905">
        <v>18213</v>
      </c>
      <c r="B5905" t="s">
        <v>930</v>
      </c>
      <c r="C5905" t="s">
        <v>92</v>
      </c>
      <c r="D5905" t="s">
        <v>780</v>
      </c>
      <c r="E5905" t="s">
        <v>475</v>
      </c>
      <c r="F5905" t="s">
        <v>244</v>
      </c>
      <c r="G5905" s="39">
        <v>46057</v>
      </c>
      <c r="J5905" t="s">
        <v>90</v>
      </c>
    </row>
    <row r="5906" spans="1:10" x14ac:dyDescent="0.35">
      <c r="A5906">
        <v>18900</v>
      </c>
      <c r="B5906" t="s">
        <v>930</v>
      </c>
      <c r="C5906" t="s">
        <v>92</v>
      </c>
      <c r="D5906" t="s">
        <v>780</v>
      </c>
      <c r="E5906" t="s">
        <v>824</v>
      </c>
      <c r="F5906" t="s">
        <v>244</v>
      </c>
      <c r="G5906" s="39">
        <v>46238</v>
      </c>
      <c r="J5906" t="s">
        <v>90</v>
      </c>
    </row>
    <row r="5907" spans="1:10" x14ac:dyDescent="0.35">
      <c r="A5907">
        <v>690018</v>
      </c>
      <c r="B5907" t="s">
        <v>930</v>
      </c>
      <c r="C5907" t="s">
        <v>92</v>
      </c>
      <c r="D5907" t="s">
        <v>791</v>
      </c>
      <c r="E5907" t="s">
        <v>122</v>
      </c>
      <c r="F5907" t="s">
        <v>244</v>
      </c>
      <c r="G5907" s="39">
        <v>42705</v>
      </c>
      <c r="J5907" t="s">
        <v>90</v>
      </c>
    </row>
    <row r="5908" spans="1:10" x14ac:dyDescent="0.35">
      <c r="A5908">
        <v>530025</v>
      </c>
      <c r="B5908" t="s">
        <v>931</v>
      </c>
      <c r="C5908" t="s">
        <v>92</v>
      </c>
      <c r="D5908" t="s">
        <v>92</v>
      </c>
      <c r="E5908" t="s">
        <v>464</v>
      </c>
      <c r="F5908" t="s">
        <v>244</v>
      </c>
      <c r="G5908" s="39">
        <v>44358</v>
      </c>
      <c r="J5908" t="s">
        <v>90</v>
      </c>
    </row>
    <row r="5909" spans="1:10" x14ac:dyDescent="0.35">
      <c r="A5909">
        <v>740033</v>
      </c>
      <c r="B5909" t="s">
        <v>931</v>
      </c>
      <c r="C5909" t="s">
        <v>92</v>
      </c>
      <c r="D5909" t="s">
        <v>780</v>
      </c>
      <c r="E5909" t="s">
        <v>506</v>
      </c>
      <c r="F5909" t="s">
        <v>244</v>
      </c>
      <c r="G5909" s="39">
        <v>43623</v>
      </c>
      <c r="J5909" t="s">
        <v>90</v>
      </c>
    </row>
    <row r="5910" spans="1:10" x14ac:dyDescent="0.35">
      <c r="A5910">
        <v>530021</v>
      </c>
      <c r="B5910" t="s">
        <v>931</v>
      </c>
      <c r="C5910" t="s">
        <v>92</v>
      </c>
      <c r="D5910" t="s">
        <v>780</v>
      </c>
      <c r="E5910" t="s">
        <v>406</v>
      </c>
      <c r="F5910" t="s">
        <v>244</v>
      </c>
      <c r="G5910" s="39">
        <v>43661</v>
      </c>
      <c r="J5910" t="s">
        <v>90</v>
      </c>
    </row>
    <row r="5911" spans="1:10" x14ac:dyDescent="0.35">
      <c r="A5911">
        <v>740027</v>
      </c>
      <c r="B5911" t="s">
        <v>931</v>
      </c>
      <c r="C5911" t="s">
        <v>92</v>
      </c>
      <c r="D5911" t="s">
        <v>780</v>
      </c>
      <c r="E5911" t="s">
        <v>406</v>
      </c>
      <c r="F5911" t="s">
        <v>244</v>
      </c>
      <c r="G5911" s="39">
        <v>42516</v>
      </c>
      <c r="J5911" t="s">
        <v>90</v>
      </c>
    </row>
    <row r="5912" spans="1:10" x14ac:dyDescent="0.35">
      <c r="A5912">
        <v>260011</v>
      </c>
      <c r="B5912" t="s">
        <v>931</v>
      </c>
      <c r="C5912" t="s">
        <v>92</v>
      </c>
      <c r="D5912" t="s">
        <v>780</v>
      </c>
      <c r="E5912" t="s">
        <v>406</v>
      </c>
      <c r="F5912" t="s">
        <v>244</v>
      </c>
      <c r="G5912" s="39">
        <v>42060</v>
      </c>
      <c r="J5912" t="s">
        <v>90</v>
      </c>
    </row>
    <row r="5913" spans="1:10" x14ac:dyDescent="0.35">
      <c r="A5913">
        <v>740028</v>
      </c>
      <c r="B5913" t="s">
        <v>931</v>
      </c>
      <c r="C5913" t="s">
        <v>92</v>
      </c>
      <c r="D5913" t="s">
        <v>780</v>
      </c>
      <c r="E5913" t="s">
        <v>477</v>
      </c>
      <c r="F5913" t="s">
        <v>411</v>
      </c>
      <c r="G5913" s="39">
        <v>42614</v>
      </c>
      <c r="J5913" t="s">
        <v>90</v>
      </c>
    </row>
    <row r="5914" spans="1:10" x14ac:dyDescent="0.35">
      <c r="A5914">
        <v>14918</v>
      </c>
      <c r="B5914" t="s">
        <v>931</v>
      </c>
      <c r="C5914" t="s">
        <v>92</v>
      </c>
      <c r="D5914" t="s">
        <v>780</v>
      </c>
      <c r="E5914" t="s">
        <v>832</v>
      </c>
      <c r="F5914" t="s">
        <v>244</v>
      </c>
      <c r="G5914" s="39">
        <v>44890</v>
      </c>
      <c r="J5914" t="s">
        <v>90</v>
      </c>
    </row>
    <row r="5915" spans="1:10" x14ac:dyDescent="0.35">
      <c r="A5915">
        <v>18759</v>
      </c>
      <c r="B5915" t="s">
        <v>931</v>
      </c>
      <c r="C5915" t="s">
        <v>92</v>
      </c>
      <c r="D5915" t="s">
        <v>780</v>
      </c>
      <c r="E5915" t="s">
        <v>475</v>
      </c>
      <c r="F5915" t="s">
        <v>244</v>
      </c>
      <c r="G5915" s="39">
        <v>46206</v>
      </c>
      <c r="J5915" t="s">
        <v>90</v>
      </c>
    </row>
    <row r="5916" spans="1:10" x14ac:dyDescent="0.35">
      <c r="A5916">
        <v>740006</v>
      </c>
      <c r="B5916" t="s">
        <v>931</v>
      </c>
      <c r="C5916" t="s">
        <v>92</v>
      </c>
      <c r="D5916" t="s">
        <v>791</v>
      </c>
      <c r="E5916" t="s">
        <v>122</v>
      </c>
      <c r="F5916" t="s">
        <v>244</v>
      </c>
      <c r="G5916" s="39">
        <v>40087</v>
      </c>
      <c r="J5916" t="s">
        <v>90</v>
      </c>
    </row>
    <row r="5917" spans="1:10" x14ac:dyDescent="0.35">
      <c r="A5917">
        <v>510016</v>
      </c>
      <c r="B5917" t="s">
        <v>932</v>
      </c>
      <c r="C5917" t="s">
        <v>92</v>
      </c>
      <c r="D5917" t="s">
        <v>92</v>
      </c>
      <c r="E5917" t="s">
        <v>464</v>
      </c>
      <c r="F5917" t="s">
        <v>244</v>
      </c>
      <c r="G5917" s="39">
        <v>41619</v>
      </c>
      <c r="J5917" t="s">
        <v>90</v>
      </c>
    </row>
    <row r="5918" spans="1:10" x14ac:dyDescent="0.35">
      <c r="A5918">
        <v>640020</v>
      </c>
      <c r="B5918" t="s">
        <v>932</v>
      </c>
      <c r="C5918" t="s">
        <v>92</v>
      </c>
      <c r="D5918" t="s">
        <v>780</v>
      </c>
      <c r="E5918" t="s">
        <v>782</v>
      </c>
      <c r="F5918" t="s">
        <v>244</v>
      </c>
      <c r="G5918" s="39">
        <v>42537</v>
      </c>
      <c r="J5918" t="s">
        <v>90</v>
      </c>
    </row>
    <row r="5919" spans="1:10" x14ac:dyDescent="0.35">
      <c r="A5919">
        <v>680010</v>
      </c>
      <c r="B5919" t="s">
        <v>932</v>
      </c>
      <c r="C5919" t="s">
        <v>92</v>
      </c>
      <c r="D5919" t="s">
        <v>780</v>
      </c>
      <c r="E5919" t="s">
        <v>782</v>
      </c>
      <c r="F5919" t="s">
        <v>244</v>
      </c>
      <c r="G5919" s="39">
        <v>41106</v>
      </c>
      <c r="J5919" t="s">
        <v>90</v>
      </c>
    </row>
    <row r="5920" spans="1:10" x14ac:dyDescent="0.35">
      <c r="A5920">
        <v>640004</v>
      </c>
      <c r="B5920" t="s">
        <v>932</v>
      </c>
      <c r="C5920" t="s">
        <v>92</v>
      </c>
      <c r="D5920" t="s">
        <v>780</v>
      </c>
      <c r="E5920" t="s">
        <v>506</v>
      </c>
      <c r="F5920" t="s">
        <v>244</v>
      </c>
      <c r="G5920" s="39">
        <v>39190</v>
      </c>
      <c r="J5920" t="s">
        <v>90</v>
      </c>
    </row>
    <row r="5921" spans="1:10" x14ac:dyDescent="0.35">
      <c r="A5921">
        <v>730030</v>
      </c>
      <c r="B5921" t="s">
        <v>932</v>
      </c>
      <c r="C5921" t="s">
        <v>92</v>
      </c>
      <c r="D5921" t="s">
        <v>780</v>
      </c>
      <c r="E5921" t="s">
        <v>406</v>
      </c>
      <c r="F5921" t="s">
        <v>244</v>
      </c>
      <c r="G5921" s="39">
        <v>42191</v>
      </c>
      <c r="J5921" t="s">
        <v>90</v>
      </c>
    </row>
    <row r="5922" spans="1:10" x14ac:dyDescent="0.35">
      <c r="A5922">
        <v>640006</v>
      </c>
      <c r="B5922" t="s">
        <v>932</v>
      </c>
      <c r="C5922" t="s">
        <v>92</v>
      </c>
      <c r="D5922" t="s">
        <v>780</v>
      </c>
      <c r="E5922" t="s">
        <v>406</v>
      </c>
      <c r="F5922" t="s">
        <v>244</v>
      </c>
      <c r="G5922" s="39">
        <v>40781</v>
      </c>
      <c r="J5922" t="s">
        <v>90</v>
      </c>
    </row>
    <row r="5923" spans="1:10" x14ac:dyDescent="0.35">
      <c r="A5923">
        <v>207003</v>
      </c>
      <c r="B5923" t="s">
        <v>932</v>
      </c>
      <c r="C5923" t="s">
        <v>92</v>
      </c>
      <c r="D5923" t="s">
        <v>780</v>
      </c>
      <c r="E5923" t="s">
        <v>406</v>
      </c>
      <c r="F5923" t="s">
        <v>244</v>
      </c>
      <c r="G5923" s="39">
        <v>43479</v>
      </c>
      <c r="J5923" t="s">
        <v>90</v>
      </c>
    </row>
    <row r="5924" spans="1:10" x14ac:dyDescent="0.35">
      <c r="A5924">
        <v>14914</v>
      </c>
      <c r="B5924" t="s">
        <v>932</v>
      </c>
      <c r="C5924" t="s">
        <v>92</v>
      </c>
      <c r="D5924" t="s">
        <v>780</v>
      </c>
      <c r="E5924" t="s">
        <v>477</v>
      </c>
      <c r="F5924" t="s">
        <v>244</v>
      </c>
      <c r="G5924" s="39">
        <v>44890</v>
      </c>
      <c r="J5924" t="s">
        <v>90</v>
      </c>
    </row>
    <row r="5925" spans="1:10" x14ac:dyDescent="0.35">
      <c r="A5925">
        <v>18341</v>
      </c>
      <c r="B5925" t="s">
        <v>932</v>
      </c>
      <c r="C5925" t="s">
        <v>92</v>
      </c>
      <c r="D5925" t="s">
        <v>780</v>
      </c>
      <c r="E5925" t="s">
        <v>475</v>
      </c>
      <c r="F5925" t="s">
        <v>244</v>
      </c>
      <c r="G5925" s="39">
        <v>46097</v>
      </c>
      <c r="J5925" t="s">
        <v>90</v>
      </c>
    </row>
    <row r="5926" spans="1:10" x14ac:dyDescent="0.35">
      <c r="A5926">
        <v>640009</v>
      </c>
      <c r="B5926" t="s">
        <v>932</v>
      </c>
      <c r="C5926" t="s">
        <v>92</v>
      </c>
      <c r="D5926" t="s">
        <v>791</v>
      </c>
      <c r="E5926" t="s">
        <v>122</v>
      </c>
      <c r="F5926" t="s">
        <v>244</v>
      </c>
      <c r="G5926" s="39">
        <v>38733</v>
      </c>
      <c r="J5926" t="s">
        <v>90</v>
      </c>
    </row>
    <row r="5927" spans="1:10" x14ac:dyDescent="0.35">
      <c r="A5927">
        <v>670030</v>
      </c>
      <c r="B5927" t="s">
        <v>933</v>
      </c>
      <c r="C5927" t="s">
        <v>92</v>
      </c>
      <c r="D5927" t="s">
        <v>92</v>
      </c>
      <c r="E5927" t="s">
        <v>464</v>
      </c>
      <c r="F5927" t="s">
        <v>244</v>
      </c>
      <c r="G5927" s="39">
        <v>42278</v>
      </c>
      <c r="J5927" t="s">
        <v>90</v>
      </c>
    </row>
    <row r="5928" spans="1:10" x14ac:dyDescent="0.35">
      <c r="A5928">
        <v>470003</v>
      </c>
      <c r="B5928" t="s">
        <v>933</v>
      </c>
      <c r="C5928" t="s">
        <v>92</v>
      </c>
      <c r="D5928" t="s">
        <v>780</v>
      </c>
      <c r="E5928" t="s">
        <v>506</v>
      </c>
      <c r="F5928" t="s">
        <v>244</v>
      </c>
      <c r="G5928" s="39">
        <v>38400</v>
      </c>
      <c r="J5928" t="s">
        <v>90</v>
      </c>
    </row>
    <row r="5929" spans="1:10" x14ac:dyDescent="0.35">
      <c r="A5929">
        <v>15025</v>
      </c>
      <c r="B5929" t="s">
        <v>933</v>
      </c>
      <c r="C5929" t="s">
        <v>92</v>
      </c>
      <c r="D5929" t="s">
        <v>780</v>
      </c>
      <c r="E5929" t="s">
        <v>496</v>
      </c>
      <c r="F5929" t="s">
        <v>244</v>
      </c>
      <c r="G5929" s="39">
        <v>44921</v>
      </c>
      <c r="J5929" t="s">
        <v>90</v>
      </c>
    </row>
    <row r="5930" spans="1:10" x14ac:dyDescent="0.35">
      <c r="A5930">
        <v>470040</v>
      </c>
      <c r="B5930" t="s">
        <v>933</v>
      </c>
      <c r="C5930" t="s">
        <v>92</v>
      </c>
      <c r="D5930" t="s">
        <v>780</v>
      </c>
      <c r="E5930" t="s">
        <v>406</v>
      </c>
      <c r="F5930" t="s">
        <v>244</v>
      </c>
      <c r="G5930" s="39">
        <v>43774</v>
      </c>
      <c r="J5930" t="s">
        <v>90</v>
      </c>
    </row>
    <row r="5931" spans="1:10" x14ac:dyDescent="0.35">
      <c r="A5931">
        <v>470035</v>
      </c>
      <c r="B5931" t="s">
        <v>933</v>
      </c>
      <c r="C5931" t="s">
        <v>92</v>
      </c>
      <c r="D5931" t="s">
        <v>780</v>
      </c>
      <c r="E5931" t="s">
        <v>406</v>
      </c>
      <c r="F5931" t="s">
        <v>244</v>
      </c>
      <c r="G5931" s="39">
        <v>42821</v>
      </c>
      <c r="J5931" t="s">
        <v>90</v>
      </c>
    </row>
    <row r="5932" spans="1:10" x14ac:dyDescent="0.35">
      <c r="A5932">
        <v>470041</v>
      </c>
      <c r="B5932" t="s">
        <v>933</v>
      </c>
      <c r="C5932" t="s">
        <v>92</v>
      </c>
      <c r="D5932" t="s">
        <v>780</v>
      </c>
      <c r="E5932" t="s">
        <v>406</v>
      </c>
      <c r="F5932" t="s">
        <v>244</v>
      </c>
      <c r="G5932" s="39">
        <v>43766</v>
      </c>
      <c r="J5932" t="s">
        <v>90</v>
      </c>
    </row>
    <row r="5933" spans="1:10" x14ac:dyDescent="0.35">
      <c r="A5933">
        <v>470043</v>
      </c>
      <c r="B5933" t="s">
        <v>933</v>
      </c>
      <c r="C5933" t="s">
        <v>92</v>
      </c>
      <c r="D5933" t="s">
        <v>780</v>
      </c>
      <c r="E5933" t="s">
        <v>406</v>
      </c>
      <c r="F5933" t="s">
        <v>244</v>
      </c>
      <c r="G5933" s="39">
        <v>44020</v>
      </c>
      <c r="J5933" t="s">
        <v>90</v>
      </c>
    </row>
    <row r="5934" spans="1:10" x14ac:dyDescent="0.35">
      <c r="A5934">
        <v>730047</v>
      </c>
      <c r="B5934" t="s">
        <v>933</v>
      </c>
      <c r="C5934" t="s">
        <v>92</v>
      </c>
      <c r="D5934" t="s">
        <v>780</v>
      </c>
      <c r="E5934" t="s">
        <v>406</v>
      </c>
      <c r="F5934" t="s">
        <v>244</v>
      </c>
      <c r="G5934" s="39">
        <v>44298</v>
      </c>
      <c r="J5934" t="s">
        <v>90</v>
      </c>
    </row>
    <row r="5935" spans="1:10" x14ac:dyDescent="0.35">
      <c r="A5935">
        <v>470037</v>
      </c>
      <c r="B5935" t="s">
        <v>933</v>
      </c>
      <c r="C5935" t="s">
        <v>92</v>
      </c>
      <c r="D5935" t="s">
        <v>780</v>
      </c>
      <c r="E5935" t="s">
        <v>406</v>
      </c>
      <c r="F5935" t="s">
        <v>244</v>
      </c>
      <c r="G5935" s="39">
        <v>43388</v>
      </c>
      <c r="J5935" t="s">
        <v>90</v>
      </c>
    </row>
    <row r="5936" spans="1:10" x14ac:dyDescent="0.35">
      <c r="A5936">
        <v>470045</v>
      </c>
      <c r="B5936" t="s">
        <v>933</v>
      </c>
      <c r="C5936" t="s">
        <v>92</v>
      </c>
      <c r="D5936" t="s">
        <v>780</v>
      </c>
      <c r="E5936" t="s">
        <v>406</v>
      </c>
      <c r="F5936" t="s">
        <v>244</v>
      </c>
      <c r="G5936" s="39">
        <v>44595</v>
      </c>
      <c r="J5936" t="s">
        <v>90</v>
      </c>
    </row>
    <row r="5937" spans="1:10" x14ac:dyDescent="0.35">
      <c r="A5937">
        <v>14516</v>
      </c>
      <c r="B5937" t="s">
        <v>933</v>
      </c>
      <c r="C5937" t="s">
        <v>92</v>
      </c>
      <c r="D5937" t="s">
        <v>780</v>
      </c>
      <c r="E5937" t="s">
        <v>477</v>
      </c>
      <c r="F5937" t="s">
        <v>244</v>
      </c>
      <c r="G5937" s="39">
        <v>44775</v>
      </c>
      <c r="J5937" t="s">
        <v>90</v>
      </c>
    </row>
    <row r="5938" spans="1:10" x14ac:dyDescent="0.35">
      <c r="A5938">
        <v>17121</v>
      </c>
      <c r="B5938" t="s">
        <v>933</v>
      </c>
      <c r="C5938" t="s">
        <v>92</v>
      </c>
      <c r="D5938" t="s">
        <v>780</v>
      </c>
      <c r="E5938" t="s">
        <v>473</v>
      </c>
      <c r="F5938" t="s">
        <v>244</v>
      </c>
      <c r="G5938" s="39">
        <v>45638</v>
      </c>
      <c r="J5938" t="s">
        <v>90</v>
      </c>
    </row>
    <row r="5939" spans="1:10" x14ac:dyDescent="0.35">
      <c r="A5939">
        <v>17914</v>
      </c>
      <c r="B5939" t="s">
        <v>933</v>
      </c>
      <c r="C5939" t="s">
        <v>92</v>
      </c>
      <c r="D5939" t="s">
        <v>791</v>
      </c>
      <c r="E5939" t="s">
        <v>122</v>
      </c>
      <c r="F5939" t="s">
        <v>244</v>
      </c>
      <c r="G5939" s="39">
        <v>45915</v>
      </c>
      <c r="J5939" t="s">
        <v>90</v>
      </c>
    </row>
    <row r="5940" spans="1:10" x14ac:dyDescent="0.35">
      <c r="A5940">
        <v>12840</v>
      </c>
      <c r="B5940" t="s">
        <v>934</v>
      </c>
      <c r="C5940" t="s">
        <v>92</v>
      </c>
      <c r="D5940" t="s">
        <v>92</v>
      </c>
      <c r="E5940" t="s">
        <v>464</v>
      </c>
      <c r="F5940" t="s">
        <v>244</v>
      </c>
      <c r="G5940" s="39">
        <v>44015</v>
      </c>
      <c r="J5940" t="s">
        <v>90</v>
      </c>
    </row>
    <row r="5941" spans="1:10" x14ac:dyDescent="0.35">
      <c r="A5941">
        <v>690010</v>
      </c>
      <c r="B5941" t="s">
        <v>934</v>
      </c>
      <c r="C5941" t="s">
        <v>92</v>
      </c>
      <c r="D5941" t="s">
        <v>780</v>
      </c>
      <c r="E5941" t="s">
        <v>506</v>
      </c>
      <c r="F5941" t="s">
        <v>244</v>
      </c>
      <c r="G5941" s="39">
        <v>39539</v>
      </c>
      <c r="J5941" t="s">
        <v>90</v>
      </c>
    </row>
    <row r="5942" spans="1:10" x14ac:dyDescent="0.35">
      <c r="A5942">
        <v>460036</v>
      </c>
      <c r="B5942" t="s">
        <v>934</v>
      </c>
      <c r="C5942" t="s">
        <v>92</v>
      </c>
      <c r="D5942" t="s">
        <v>780</v>
      </c>
      <c r="E5942" t="s">
        <v>506</v>
      </c>
      <c r="F5942" t="s">
        <v>244</v>
      </c>
      <c r="G5942" s="39">
        <v>43893</v>
      </c>
      <c r="J5942" t="s">
        <v>90</v>
      </c>
    </row>
    <row r="5943" spans="1:10" x14ac:dyDescent="0.35">
      <c r="A5943">
        <v>460015</v>
      </c>
      <c r="B5943" t="s">
        <v>934</v>
      </c>
      <c r="C5943" t="s">
        <v>92</v>
      </c>
      <c r="D5943" t="s">
        <v>780</v>
      </c>
      <c r="E5943" t="s">
        <v>783</v>
      </c>
      <c r="F5943" t="s">
        <v>244</v>
      </c>
      <c r="G5943" s="39">
        <v>37362</v>
      </c>
      <c r="J5943" t="s">
        <v>90</v>
      </c>
    </row>
    <row r="5944" spans="1:10" x14ac:dyDescent="0.35">
      <c r="A5944">
        <v>17947</v>
      </c>
      <c r="B5944" t="s">
        <v>934</v>
      </c>
      <c r="C5944" t="s">
        <v>92</v>
      </c>
      <c r="D5944" t="s">
        <v>780</v>
      </c>
      <c r="E5944" t="s">
        <v>474</v>
      </c>
      <c r="F5944" t="s">
        <v>244</v>
      </c>
      <c r="G5944" s="39">
        <v>45933</v>
      </c>
      <c r="J5944" t="s">
        <v>90</v>
      </c>
    </row>
    <row r="5945" spans="1:10" x14ac:dyDescent="0.35">
      <c r="A5945">
        <v>300066</v>
      </c>
      <c r="B5945" t="s">
        <v>934</v>
      </c>
      <c r="C5945" t="s">
        <v>92</v>
      </c>
      <c r="D5945" t="s">
        <v>780</v>
      </c>
      <c r="E5945" t="s">
        <v>406</v>
      </c>
      <c r="F5945" t="s">
        <v>244</v>
      </c>
      <c r="G5945" s="39">
        <v>42809</v>
      </c>
      <c r="J5945" t="s">
        <v>90</v>
      </c>
    </row>
    <row r="5946" spans="1:10" x14ac:dyDescent="0.35">
      <c r="A5946">
        <v>690015</v>
      </c>
      <c r="B5946" t="s">
        <v>934</v>
      </c>
      <c r="C5946" t="s">
        <v>92</v>
      </c>
      <c r="D5946" t="s">
        <v>780</v>
      </c>
      <c r="E5946" t="s">
        <v>151</v>
      </c>
      <c r="F5946" t="s">
        <v>244</v>
      </c>
      <c r="G5946" s="39">
        <v>41995</v>
      </c>
      <c r="J5946" t="s">
        <v>90</v>
      </c>
    </row>
    <row r="5947" spans="1:10" x14ac:dyDescent="0.35">
      <c r="A5947">
        <v>460020</v>
      </c>
      <c r="B5947" t="s">
        <v>934</v>
      </c>
      <c r="C5947" t="s">
        <v>92</v>
      </c>
      <c r="D5947" t="s">
        <v>780</v>
      </c>
      <c r="E5947" t="s">
        <v>406</v>
      </c>
      <c r="F5947" t="s">
        <v>244</v>
      </c>
      <c r="G5947" s="39">
        <v>41927</v>
      </c>
      <c r="J5947" t="s">
        <v>90</v>
      </c>
    </row>
    <row r="5948" spans="1:10" x14ac:dyDescent="0.35">
      <c r="A5948">
        <v>460032</v>
      </c>
      <c r="B5948" t="s">
        <v>934</v>
      </c>
      <c r="C5948" t="s">
        <v>92</v>
      </c>
      <c r="D5948" t="s">
        <v>780</v>
      </c>
      <c r="E5948" t="s">
        <v>406</v>
      </c>
      <c r="F5948" t="s">
        <v>244</v>
      </c>
      <c r="G5948" s="39">
        <v>43563</v>
      </c>
      <c r="J5948" t="s">
        <v>90</v>
      </c>
    </row>
    <row r="5949" spans="1:10" x14ac:dyDescent="0.35">
      <c r="A5949">
        <v>460037</v>
      </c>
      <c r="B5949" t="s">
        <v>934</v>
      </c>
      <c r="C5949" t="s">
        <v>92</v>
      </c>
      <c r="D5949" t="s">
        <v>780</v>
      </c>
      <c r="E5949" t="s">
        <v>406</v>
      </c>
      <c r="F5949" t="s">
        <v>244</v>
      </c>
      <c r="G5949" s="39">
        <v>44274</v>
      </c>
      <c r="J5949" t="s">
        <v>90</v>
      </c>
    </row>
    <row r="5950" spans="1:10" x14ac:dyDescent="0.35">
      <c r="A5950">
        <v>14171</v>
      </c>
      <c r="B5950" t="s">
        <v>934</v>
      </c>
      <c r="C5950" t="s">
        <v>92</v>
      </c>
      <c r="D5950" t="s">
        <v>780</v>
      </c>
      <c r="E5950" t="s">
        <v>477</v>
      </c>
      <c r="F5950" t="s">
        <v>411</v>
      </c>
      <c r="G5950" s="39">
        <v>44686</v>
      </c>
      <c r="J5950" t="s">
        <v>90</v>
      </c>
    </row>
    <row r="5951" spans="1:10" x14ac:dyDescent="0.35">
      <c r="A5951">
        <v>460034</v>
      </c>
      <c r="B5951" t="s">
        <v>934</v>
      </c>
      <c r="C5951" t="s">
        <v>92</v>
      </c>
      <c r="D5951" t="s">
        <v>780</v>
      </c>
      <c r="E5951" t="s">
        <v>473</v>
      </c>
      <c r="F5951" t="s">
        <v>244</v>
      </c>
      <c r="G5951" s="39">
        <v>43745</v>
      </c>
      <c r="J5951" t="s">
        <v>90</v>
      </c>
    </row>
    <row r="5952" spans="1:10" x14ac:dyDescent="0.35">
      <c r="A5952">
        <v>17318</v>
      </c>
      <c r="B5952" t="s">
        <v>934</v>
      </c>
      <c r="C5952" t="s">
        <v>92</v>
      </c>
      <c r="D5952" t="s">
        <v>780</v>
      </c>
      <c r="E5952" t="s">
        <v>473</v>
      </c>
      <c r="F5952" t="s">
        <v>244</v>
      </c>
      <c r="G5952" s="39">
        <v>45706</v>
      </c>
      <c r="J5952" t="s">
        <v>90</v>
      </c>
    </row>
    <row r="5953" spans="1:10" x14ac:dyDescent="0.35">
      <c r="A5953">
        <v>460031</v>
      </c>
      <c r="B5953" t="s">
        <v>934</v>
      </c>
      <c r="C5953" t="s">
        <v>92</v>
      </c>
      <c r="D5953" t="s">
        <v>780</v>
      </c>
      <c r="E5953" t="s">
        <v>473</v>
      </c>
      <c r="F5953" t="s">
        <v>244</v>
      </c>
      <c r="G5953" s="39">
        <v>43563</v>
      </c>
      <c r="J5953" t="s">
        <v>90</v>
      </c>
    </row>
    <row r="5954" spans="1:10" x14ac:dyDescent="0.35">
      <c r="A5954">
        <v>460024</v>
      </c>
      <c r="B5954" t="s">
        <v>934</v>
      </c>
      <c r="C5954" t="s">
        <v>92</v>
      </c>
      <c r="D5954" t="s">
        <v>791</v>
      </c>
      <c r="E5954" t="s">
        <v>122</v>
      </c>
      <c r="F5954" t="s">
        <v>244</v>
      </c>
      <c r="G5954" s="39">
        <v>42067</v>
      </c>
      <c r="J5954" t="s">
        <v>90</v>
      </c>
    </row>
    <row r="5955" spans="1:10" x14ac:dyDescent="0.35">
      <c r="A5955">
        <v>14904</v>
      </c>
      <c r="B5955" t="s">
        <v>934</v>
      </c>
      <c r="C5955" t="s">
        <v>92</v>
      </c>
      <c r="D5955" t="s">
        <v>827</v>
      </c>
      <c r="E5955" t="s">
        <v>151</v>
      </c>
      <c r="F5955" t="s">
        <v>244</v>
      </c>
      <c r="G5955" s="39">
        <v>44887</v>
      </c>
      <c r="J5955" t="s">
        <v>90</v>
      </c>
    </row>
    <row r="5956" spans="1:10" x14ac:dyDescent="0.35">
      <c r="A5956">
        <v>460039</v>
      </c>
      <c r="B5956" t="s">
        <v>934</v>
      </c>
      <c r="C5956" t="s">
        <v>92</v>
      </c>
      <c r="D5956" t="s">
        <v>827</v>
      </c>
      <c r="E5956" t="s">
        <v>102</v>
      </c>
      <c r="F5956" t="s">
        <v>244</v>
      </c>
      <c r="G5956" s="39">
        <v>44452</v>
      </c>
      <c r="J5956" t="s">
        <v>90</v>
      </c>
    </row>
    <row r="5957" spans="1:10" x14ac:dyDescent="0.35">
      <c r="A5957">
        <v>17705</v>
      </c>
      <c r="B5957" t="s">
        <v>934</v>
      </c>
      <c r="C5957" t="s">
        <v>92</v>
      </c>
      <c r="D5957" t="s">
        <v>827</v>
      </c>
      <c r="E5957" t="s">
        <v>103</v>
      </c>
      <c r="F5957" t="s">
        <v>244</v>
      </c>
      <c r="G5957" s="39">
        <v>45848</v>
      </c>
      <c r="J5957" t="s">
        <v>90</v>
      </c>
    </row>
    <row r="5958" spans="1:10" x14ac:dyDescent="0.35">
      <c r="A5958">
        <v>18954</v>
      </c>
      <c r="B5958" t="s">
        <v>934</v>
      </c>
      <c r="C5958" t="s">
        <v>92</v>
      </c>
      <c r="D5958" t="s">
        <v>827</v>
      </c>
      <c r="E5958" t="s">
        <v>102</v>
      </c>
      <c r="F5958" t="s">
        <v>244</v>
      </c>
      <c r="G5958" s="39">
        <v>46247</v>
      </c>
      <c r="J5958" t="s">
        <v>90</v>
      </c>
    </row>
    <row r="5959" spans="1:10" x14ac:dyDescent="0.35">
      <c r="A5959">
        <v>18089</v>
      </c>
      <c r="B5959" t="s">
        <v>934</v>
      </c>
      <c r="C5959" t="s">
        <v>92</v>
      </c>
      <c r="D5959" t="s">
        <v>827</v>
      </c>
      <c r="E5959" t="s">
        <v>106</v>
      </c>
      <c r="F5959" t="s">
        <v>244</v>
      </c>
      <c r="G5959" s="39">
        <v>45992</v>
      </c>
      <c r="J5959" t="s">
        <v>90</v>
      </c>
    </row>
    <row r="5960" spans="1:10" x14ac:dyDescent="0.35">
      <c r="A5960">
        <v>560001</v>
      </c>
      <c r="B5960" t="s">
        <v>935</v>
      </c>
      <c r="C5960" t="s">
        <v>92</v>
      </c>
      <c r="D5960" t="s">
        <v>92</v>
      </c>
      <c r="E5960" t="s">
        <v>464</v>
      </c>
      <c r="F5960" t="s">
        <v>244</v>
      </c>
      <c r="G5960" s="39">
        <v>36711</v>
      </c>
      <c r="J5960" t="s">
        <v>90</v>
      </c>
    </row>
    <row r="5961" spans="1:10" x14ac:dyDescent="0.35">
      <c r="A5961">
        <v>116003</v>
      </c>
      <c r="B5961" t="s">
        <v>935</v>
      </c>
      <c r="C5961" t="s">
        <v>92</v>
      </c>
      <c r="D5961" t="s">
        <v>780</v>
      </c>
      <c r="E5961" t="s">
        <v>506</v>
      </c>
      <c r="F5961" t="s">
        <v>244</v>
      </c>
      <c r="G5961" s="39">
        <v>36726</v>
      </c>
      <c r="J5961" t="s">
        <v>90</v>
      </c>
    </row>
    <row r="5962" spans="1:10" x14ac:dyDescent="0.35">
      <c r="A5962">
        <v>116022</v>
      </c>
      <c r="B5962" t="s">
        <v>935</v>
      </c>
      <c r="C5962" t="s">
        <v>92</v>
      </c>
      <c r="D5962" t="s">
        <v>780</v>
      </c>
      <c r="E5962" t="s">
        <v>474</v>
      </c>
      <c r="F5962" t="s">
        <v>411</v>
      </c>
      <c r="G5962" s="39">
        <v>44631</v>
      </c>
      <c r="J5962" t="s">
        <v>90</v>
      </c>
    </row>
    <row r="5963" spans="1:10" x14ac:dyDescent="0.35">
      <c r="A5963">
        <v>17267</v>
      </c>
      <c r="B5963" t="s">
        <v>935</v>
      </c>
      <c r="C5963" t="s">
        <v>92</v>
      </c>
      <c r="D5963" t="s">
        <v>780</v>
      </c>
      <c r="E5963" t="s">
        <v>536</v>
      </c>
      <c r="F5963" t="s">
        <v>244</v>
      </c>
      <c r="G5963" s="39">
        <v>45691</v>
      </c>
      <c r="J5963" t="s">
        <v>90</v>
      </c>
    </row>
    <row r="5964" spans="1:10" x14ac:dyDescent="0.35">
      <c r="A5964">
        <v>116008</v>
      </c>
      <c r="B5964" t="s">
        <v>935</v>
      </c>
      <c r="C5964" t="s">
        <v>92</v>
      </c>
      <c r="D5964" t="s">
        <v>780</v>
      </c>
      <c r="E5964" t="s">
        <v>406</v>
      </c>
      <c r="F5964" t="s">
        <v>244</v>
      </c>
      <c r="G5964" s="39">
        <v>40186</v>
      </c>
      <c r="J5964" t="s">
        <v>90</v>
      </c>
    </row>
    <row r="5965" spans="1:10" x14ac:dyDescent="0.35">
      <c r="A5965">
        <v>116012</v>
      </c>
      <c r="B5965" t="s">
        <v>935</v>
      </c>
      <c r="C5965" t="s">
        <v>92</v>
      </c>
      <c r="D5965" t="s">
        <v>780</v>
      </c>
      <c r="E5965" t="s">
        <v>406</v>
      </c>
      <c r="F5965" t="s">
        <v>411</v>
      </c>
      <c r="G5965" s="39">
        <v>41911</v>
      </c>
      <c r="J5965" t="s">
        <v>90</v>
      </c>
    </row>
    <row r="5966" spans="1:10" x14ac:dyDescent="0.35">
      <c r="A5966">
        <v>17989</v>
      </c>
      <c r="B5966" t="s">
        <v>935</v>
      </c>
      <c r="C5966" t="s">
        <v>92</v>
      </c>
      <c r="D5966" t="s">
        <v>780</v>
      </c>
      <c r="E5966" t="s">
        <v>832</v>
      </c>
      <c r="F5966" t="s">
        <v>244</v>
      </c>
      <c r="G5966" s="39">
        <v>45951</v>
      </c>
      <c r="J5966" t="s">
        <v>90</v>
      </c>
    </row>
    <row r="5967" spans="1:10" x14ac:dyDescent="0.35">
      <c r="A5967">
        <v>116017</v>
      </c>
      <c r="B5967" t="s">
        <v>935</v>
      </c>
      <c r="C5967" t="s">
        <v>92</v>
      </c>
      <c r="D5967" t="s">
        <v>780</v>
      </c>
      <c r="E5967" t="s">
        <v>473</v>
      </c>
      <c r="F5967" t="s">
        <v>411</v>
      </c>
      <c r="G5967" s="39">
        <v>42758</v>
      </c>
      <c r="J5967" t="s">
        <v>90</v>
      </c>
    </row>
    <row r="5968" spans="1:10" x14ac:dyDescent="0.35">
      <c r="A5968">
        <v>18154</v>
      </c>
      <c r="B5968" t="s">
        <v>935</v>
      </c>
      <c r="C5968" t="s">
        <v>92</v>
      </c>
      <c r="D5968" t="s">
        <v>780</v>
      </c>
      <c r="E5968" t="s">
        <v>835</v>
      </c>
      <c r="F5968" t="s">
        <v>244</v>
      </c>
      <c r="G5968" s="39">
        <v>46016</v>
      </c>
      <c r="J5968" t="s">
        <v>90</v>
      </c>
    </row>
    <row r="5969" spans="1:10" x14ac:dyDescent="0.35">
      <c r="A5969">
        <v>16145</v>
      </c>
      <c r="B5969" t="s">
        <v>935</v>
      </c>
      <c r="C5969" t="s">
        <v>92</v>
      </c>
      <c r="D5969" t="s">
        <v>780</v>
      </c>
      <c r="E5969" t="s">
        <v>477</v>
      </c>
      <c r="F5969" t="s">
        <v>244</v>
      </c>
      <c r="G5969" s="39">
        <v>45303</v>
      </c>
      <c r="J5969" t="s">
        <v>90</v>
      </c>
    </row>
    <row r="5970" spans="1:10" x14ac:dyDescent="0.35">
      <c r="A5970">
        <v>116016</v>
      </c>
      <c r="B5970" t="s">
        <v>935</v>
      </c>
      <c r="C5970" t="s">
        <v>92</v>
      </c>
      <c r="D5970" t="s">
        <v>791</v>
      </c>
      <c r="E5970" t="s">
        <v>122</v>
      </c>
      <c r="F5970" t="s">
        <v>244</v>
      </c>
      <c r="G5970" s="39">
        <v>42136</v>
      </c>
      <c r="J5970" t="s">
        <v>90</v>
      </c>
    </row>
    <row r="5971" spans="1:10" x14ac:dyDescent="0.35">
      <c r="A5971">
        <v>13200</v>
      </c>
      <c r="B5971" t="s">
        <v>936</v>
      </c>
      <c r="C5971" t="s">
        <v>92</v>
      </c>
      <c r="D5971" t="s">
        <v>92</v>
      </c>
      <c r="E5971" t="s">
        <v>464</v>
      </c>
      <c r="F5971" t="s">
        <v>244</v>
      </c>
      <c r="G5971" s="39">
        <v>44319</v>
      </c>
      <c r="J5971" t="s">
        <v>90</v>
      </c>
    </row>
    <row r="5972" spans="1:10" x14ac:dyDescent="0.35">
      <c r="A5972">
        <v>590015</v>
      </c>
      <c r="B5972" t="s">
        <v>936</v>
      </c>
      <c r="C5972" t="s">
        <v>92</v>
      </c>
      <c r="D5972" t="s">
        <v>780</v>
      </c>
      <c r="E5972" t="s">
        <v>506</v>
      </c>
      <c r="F5972" t="s">
        <v>244</v>
      </c>
      <c r="G5972" s="39">
        <v>42515</v>
      </c>
      <c r="J5972" t="s">
        <v>90</v>
      </c>
    </row>
    <row r="5973" spans="1:10" x14ac:dyDescent="0.35">
      <c r="A5973">
        <v>18063</v>
      </c>
      <c r="B5973" t="s">
        <v>936</v>
      </c>
      <c r="C5973" t="s">
        <v>92</v>
      </c>
      <c r="D5973" t="s">
        <v>780</v>
      </c>
      <c r="E5973" t="s">
        <v>496</v>
      </c>
      <c r="F5973" t="s">
        <v>244</v>
      </c>
      <c r="G5973" s="39">
        <v>45981</v>
      </c>
      <c r="J5973" t="s">
        <v>90</v>
      </c>
    </row>
    <row r="5974" spans="1:10" x14ac:dyDescent="0.35">
      <c r="A5974">
        <v>590017</v>
      </c>
      <c r="B5974" t="s">
        <v>936</v>
      </c>
      <c r="C5974" t="s">
        <v>92</v>
      </c>
      <c r="D5974" t="s">
        <v>780</v>
      </c>
      <c r="E5974" t="s">
        <v>406</v>
      </c>
      <c r="F5974" t="s">
        <v>244</v>
      </c>
      <c r="G5974" s="39">
        <v>42513</v>
      </c>
      <c r="J5974" t="s">
        <v>90</v>
      </c>
    </row>
    <row r="5975" spans="1:10" x14ac:dyDescent="0.35">
      <c r="A5975">
        <v>18252</v>
      </c>
      <c r="B5975" t="s">
        <v>936</v>
      </c>
      <c r="C5975" t="s">
        <v>92</v>
      </c>
      <c r="D5975" t="s">
        <v>780</v>
      </c>
      <c r="E5975" t="s">
        <v>475</v>
      </c>
      <c r="F5975" t="s">
        <v>244</v>
      </c>
      <c r="G5975" s="39">
        <v>46072</v>
      </c>
      <c r="J5975" t="s">
        <v>90</v>
      </c>
    </row>
    <row r="5976" spans="1:10" x14ac:dyDescent="0.35">
      <c r="A5976">
        <v>590023</v>
      </c>
      <c r="B5976" t="s">
        <v>936</v>
      </c>
      <c r="C5976" t="s">
        <v>92</v>
      </c>
      <c r="D5976" t="s">
        <v>780</v>
      </c>
      <c r="E5976" t="s">
        <v>477</v>
      </c>
      <c r="F5976" t="s">
        <v>244</v>
      </c>
      <c r="G5976" s="39">
        <v>44503</v>
      </c>
      <c r="J5976" t="s">
        <v>90</v>
      </c>
    </row>
    <row r="5977" spans="1:10" x14ac:dyDescent="0.35">
      <c r="A5977">
        <v>18619</v>
      </c>
      <c r="B5977" t="s">
        <v>936</v>
      </c>
      <c r="C5977" t="s">
        <v>92</v>
      </c>
      <c r="D5977" t="s">
        <v>780</v>
      </c>
      <c r="E5977" t="s">
        <v>823</v>
      </c>
      <c r="F5977" t="s">
        <v>244</v>
      </c>
      <c r="G5977" s="39">
        <v>46174</v>
      </c>
      <c r="J5977" t="s">
        <v>90</v>
      </c>
    </row>
    <row r="5978" spans="1:10" x14ac:dyDescent="0.35">
      <c r="A5978">
        <v>590024</v>
      </c>
      <c r="B5978" t="s">
        <v>936</v>
      </c>
      <c r="C5978" t="s">
        <v>92</v>
      </c>
      <c r="D5978" t="s">
        <v>791</v>
      </c>
      <c r="E5978" t="s">
        <v>122</v>
      </c>
      <c r="F5978" t="s">
        <v>244</v>
      </c>
      <c r="G5978" s="39">
        <v>44622</v>
      </c>
      <c r="J5978" t="s">
        <v>90</v>
      </c>
    </row>
    <row r="5979" spans="1:10" x14ac:dyDescent="0.35">
      <c r="A5979">
        <v>700039</v>
      </c>
      <c r="B5979" t="s">
        <v>937</v>
      </c>
      <c r="C5979" t="s">
        <v>92</v>
      </c>
      <c r="D5979" t="s">
        <v>92</v>
      </c>
      <c r="E5979" t="s">
        <v>464</v>
      </c>
      <c r="F5979" t="s">
        <v>244</v>
      </c>
      <c r="G5979" s="39">
        <v>42139</v>
      </c>
      <c r="J5979" t="s">
        <v>90</v>
      </c>
    </row>
    <row r="5980" spans="1:10" x14ac:dyDescent="0.35">
      <c r="A5980">
        <v>630009</v>
      </c>
      <c r="B5980" t="s">
        <v>937</v>
      </c>
      <c r="C5980" t="s">
        <v>92</v>
      </c>
      <c r="D5980" t="s">
        <v>780</v>
      </c>
      <c r="E5980" t="s">
        <v>406</v>
      </c>
      <c r="F5980" t="s">
        <v>244</v>
      </c>
      <c r="G5980" s="39">
        <v>41172</v>
      </c>
      <c r="J5980" t="s">
        <v>90</v>
      </c>
    </row>
    <row r="5981" spans="1:10" x14ac:dyDescent="0.35">
      <c r="A5981">
        <v>15202</v>
      </c>
      <c r="B5981" t="s">
        <v>937</v>
      </c>
      <c r="C5981" t="s">
        <v>92</v>
      </c>
      <c r="D5981" t="s">
        <v>780</v>
      </c>
      <c r="E5981" t="s">
        <v>477</v>
      </c>
      <c r="F5981" t="s">
        <v>244</v>
      </c>
      <c r="G5981" s="39">
        <v>44987</v>
      </c>
      <c r="J5981" t="s">
        <v>90</v>
      </c>
    </row>
    <row r="5982" spans="1:10" x14ac:dyDescent="0.35">
      <c r="A5982">
        <v>630023</v>
      </c>
      <c r="B5982" t="s">
        <v>937</v>
      </c>
      <c r="C5982" t="s">
        <v>92</v>
      </c>
      <c r="D5982" t="s">
        <v>780</v>
      </c>
      <c r="E5982" t="s">
        <v>477</v>
      </c>
      <c r="F5982" t="s">
        <v>244</v>
      </c>
      <c r="G5982" s="39">
        <v>44069</v>
      </c>
      <c r="J5982" t="s">
        <v>90</v>
      </c>
    </row>
    <row r="5983" spans="1:10" x14ac:dyDescent="0.35">
      <c r="A5983">
        <v>630026</v>
      </c>
      <c r="B5983" t="s">
        <v>937</v>
      </c>
      <c r="C5983" t="s">
        <v>92</v>
      </c>
      <c r="D5983" t="s">
        <v>780</v>
      </c>
      <c r="E5983" t="s">
        <v>477</v>
      </c>
      <c r="F5983" t="s">
        <v>244</v>
      </c>
      <c r="G5983" s="39">
        <v>44613</v>
      </c>
      <c r="J5983" t="s">
        <v>90</v>
      </c>
    </row>
    <row r="5984" spans="1:10" x14ac:dyDescent="0.35">
      <c r="A5984">
        <v>17164</v>
      </c>
      <c r="B5984" t="s">
        <v>937</v>
      </c>
      <c r="C5984" t="s">
        <v>92</v>
      </c>
      <c r="D5984" t="s">
        <v>780</v>
      </c>
      <c r="E5984" t="s">
        <v>474</v>
      </c>
      <c r="F5984" t="s">
        <v>244</v>
      </c>
      <c r="G5984" s="39">
        <v>45652</v>
      </c>
      <c r="J5984" t="s">
        <v>90</v>
      </c>
    </row>
    <row r="5985" spans="1:10" x14ac:dyDescent="0.35">
      <c r="A5985">
        <v>17516</v>
      </c>
      <c r="B5985" t="s">
        <v>937</v>
      </c>
      <c r="C5985" t="s">
        <v>92</v>
      </c>
      <c r="D5985" t="s">
        <v>780</v>
      </c>
      <c r="E5985" t="s">
        <v>530</v>
      </c>
      <c r="F5985" t="s">
        <v>244</v>
      </c>
      <c r="G5985" s="39">
        <v>45782</v>
      </c>
      <c r="J5985" t="s">
        <v>90</v>
      </c>
    </row>
    <row r="5986" spans="1:10" x14ac:dyDescent="0.35">
      <c r="A5986">
        <v>630006</v>
      </c>
      <c r="B5986" t="s">
        <v>937</v>
      </c>
      <c r="C5986" t="s">
        <v>92</v>
      </c>
      <c r="D5986" t="s">
        <v>791</v>
      </c>
      <c r="E5986" t="s">
        <v>122</v>
      </c>
      <c r="F5986" t="s">
        <v>244</v>
      </c>
      <c r="G5986" s="39">
        <v>39692</v>
      </c>
      <c r="J5986" t="s">
        <v>90</v>
      </c>
    </row>
    <row r="5987" spans="1:10" x14ac:dyDescent="0.35">
      <c r="A5987">
        <v>790004</v>
      </c>
      <c r="B5987" t="s">
        <v>938</v>
      </c>
      <c r="C5987" t="s">
        <v>92</v>
      </c>
      <c r="D5987" t="s">
        <v>780</v>
      </c>
      <c r="E5987" t="s">
        <v>506</v>
      </c>
      <c r="F5987" t="s">
        <v>244</v>
      </c>
      <c r="G5987" s="39">
        <v>38992</v>
      </c>
      <c r="J5987" t="s">
        <v>90</v>
      </c>
    </row>
    <row r="5988" spans="1:10" x14ac:dyDescent="0.35">
      <c r="A5988">
        <v>15058</v>
      </c>
      <c r="B5988" t="s">
        <v>938</v>
      </c>
      <c r="C5988" t="s">
        <v>92</v>
      </c>
      <c r="D5988" t="s">
        <v>780</v>
      </c>
      <c r="E5988" t="s">
        <v>487</v>
      </c>
      <c r="F5988" t="s">
        <v>244</v>
      </c>
      <c r="G5988" s="39">
        <v>44935</v>
      </c>
      <c r="J5988" t="s">
        <v>90</v>
      </c>
    </row>
    <row r="5989" spans="1:10" x14ac:dyDescent="0.35">
      <c r="A5989">
        <v>300045</v>
      </c>
      <c r="B5989" t="s">
        <v>938</v>
      </c>
      <c r="C5989" t="s">
        <v>92</v>
      </c>
      <c r="D5989" t="s">
        <v>780</v>
      </c>
      <c r="E5989" t="s">
        <v>406</v>
      </c>
      <c r="F5989" t="s">
        <v>244</v>
      </c>
      <c r="G5989" s="39">
        <v>42720</v>
      </c>
      <c r="J5989" t="s">
        <v>90</v>
      </c>
    </row>
    <row r="5990" spans="1:10" x14ac:dyDescent="0.35">
      <c r="A5990">
        <v>580014</v>
      </c>
      <c r="B5990" t="s">
        <v>938</v>
      </c>
      <c r="C5990" t="s">
        <v>92</v>
      </c>
      <c r="D5990" t="s">
        <v>780</v>
      </c>
      <c r="E5990" t="s">
        <v>406</v>
      </c>
      <c r="F5990" t="s">
        <v>244</v>
      </c>
      <c r="G5990" s="39">
        <v>42158</v>
      </c>
      <c r="J5990" t="s">
        <v>90</v>
      </c>
    </row>
    <row r="5991" spans="1:10" x14ac:dyDescent="0.35">
      <c r="A5991">
        <v>780016</v>
      </c>
      <c r="B5991" t="s">
        <v>938</v>
      </c>
      <c r="C5991" t="s">
        <v>92</v>
      </c>
      <c r="D5991" t="s">
        <v>780</v>
      </c>
      <c r="E5991" t="s">
        <v>406</v>
      </c>
      <c r="F5991" t="s">
        <v>244</v>
      </c>
      <c r="G5991" s="39">
        <v>42713</v>
      </c>
      <c r="J5991" t="s">
        <v>90</v>
      </c>
    </row>
    <row r="5992" spans="1:10" x14ac:dyDescent="0.35">
      <c r="A5992">
        <v>780017</v>
      </c>
      <c r="B5992" t="s">
        <v>938</v>
      </c>
      <c r="C5992" t="s">
        <v>92</v>
      </c>
      <c r="D5992" t="s">
        <v>780</v>
      </c>
      <c r="E5992" t="s">
        <v>406</v>
      </c>
      <c r="F5992" t="s">
        <v>244</v>
      </c>
      <c r="G5992" s="39">
        <v>42955</v>
      </c>
      <c r="J5992" t="s">
        <v>90</v>
      </c>
    </row>
    <row r="5993" spans="1:10" x14ac:dyDescent="0.35">
      <c r="A5993">
        <v>790024</v>
      </c>
      <c r="B5993" t="s">
        <v>938</v>
      </c>
      <c r="C5993" t="s">
        <v>92</v>
      </c>
      <c r="D5993" t="s">
        <v>780</v>
      </c>
      <c r="E5993" t="s">
        <v>406</v>
      </c>
      <c r="F5993" t="s">
        <v>244</v>
      </c>
      <c r="G5993" s="39">
        <v>43675</v>
      </c>
      <c r="J5993" t="s">
        <v>90</v>
      </c>
    </row>
    <row r="5994" spans="1:10" x14ac:dyDescent="0.35">
      <c r="A5994">
        <v>790025</v>
      </c>
      <c r="B5994" t="s">
        <v>938</v>
      </c>
      <c r="C5994" t="s">
        <v>92</v>
      </c>
      <c r="D5994" t="s">
        <v>780</v>
      </c>
      <c r="E5994" t="s">
        <v>473</v>
      </c>
      <c r="F5994" t="s">
        <v>244</v>
      </c>
      <c r="G5994" s="39">
        <v>43824</v>
      </c>
      <c r="J5994" t="s">
        <v>90</v>
      </c>
    </row>
    <row r="5995" spans="1:10" x14ac:dyDescent="0.35">
      <c r="A5995">
        <v>790009</v>
      </c>
      <c r="B5995" t="s">
        <v>938</v>
      </c>
      <c r="C5995" t="s">
        <v>92</v>
      </c>
      <c r="D5995" t="s">
        <v>791</v>
      </c>
      <c r="E5995" t="s">
        <v>122</v>
      </c>
      <c r="F5995" t="s">
        <v>244</v>
      </c>
      <c r="G5995" s="39">
        <v>41067</v>
      </c>
      <c r="J5995" t="s">
        <v>90</v>
      </c>
    </row>
    <row r="5996" spans="1:10" x14ac:dyDescent="0.35">
      <c r="A5996">
        <v>650003</v>
      </c>
      <c r="B5996" t="s">
        <v>939</v>
      </c>
      <c r="C5996" t="s">
        <v>92</v>
      </c>
      <c r="D5996" t="s">
        <v>92</v>
      </c>
      <c r="E5996" t="s">
        <v>464</v>
      </c>
      <c r="F5996" t="s">
        <v>244</v>
      </c>
      <c r="G5996" s="39">
        <v>39764</v>
      </c>
      <c r="J5996" t="s">
        <v>90</v>
      </c>
    </row>
    <row r="5997" spans="1:10" x14ac:dyDescent="0.35">
      <c r="A5997">
        <v>11388</v>
      </c>
      <c r="B5997" t="s">
        <v>939</v>
      </c>
      <c r="C5997" t="s">
        <v>92</v>
      </c>
      <c r="D5997" t="s">
        <v>92</v>
      </c>
      <c r="E5997" t="s">
        <v>99</v>
      </c>
      <c r="F5997" t="s">
        <v>244</v>
      </c>
      <c r="G5997" s="39">
        <v>42620</v>
      </c>
      <c r="J5997" t="s">
        <v>90</v>
      </c>
    </row>
    <row r="5998" spans="1:10" x14ac:dyDescent="0.35">
      <c r="A5998">
        <v>770009</v>
      </c>
      <c r="B5998" t="s">
        <v>939</v>
      </c>
      <c r="C5998" t="s">
        <v>92</v>
      </c>
      <c r="D5998" t="s">
        <v>780</v>
      </c>
      <c r="E5998" t="s">
        <v>506</v>
      </c>
      <c r="F5998" t="s">
        <v>244</v>
      </c>
      <c r="G5998" s="39">
        <v>38551</v>
      </c>
      <c r="J5998" t="s">
        <v>90</v>
      </c>
    </row>
    <row r="5999" spans="1:10" x14ac:dyDescent="0.35">
      <c r="A5999">
        <v>14445</v>
      </c>
      <c r="B5999" t="s">
        <v>939</v>
      </c>
      <c r="C5999" t="s">
        <v>92</v>
      </c>
      <c r="D5999" t="s">
        <v>780</v>
      </c>
      <c r="E5999" t="s">
        <v>531</v>
      </c>
      <c r="F5999" t="s">
        <v>244</v>
      </c>
      <c r="G5999" s="39">
        <v>44760</v>
      </c>
      <c r="J5999" t="s">
        <v>90</v>
      </c>
    </row>
    <row r="6000" spans="1:10" x14ac:dyDescent="0.35">
      <c r="A6000">
        <v>11562</v>
      </c>
      <c r="B6000" t="s">
        <v>939</v>
      </c>
      <c r="C6000" t="s">
        <v>92</v>
      </c>
      <c r="D6000" t="s">
        <v>780</v>
      </c>
      <c r="E6000" t="s">
        <v>171</v>
      </c>
      <c r="F6000" t="s">
        <v>244</v>
      </c>
      <c r="G6000" s="39">
        <v>42844</v>
      </c>
      <c r="J6000" t="s">
        <v>90</v>
      </c>
    </row>
    <row r="6001" spans="1:10" x14ac:dyDescent="0.35">
      <c r="A6001">
        <v>11389</v>
      </c>
      <c r="B6001" t="s">
        <v>939</v>
      </c>
      <c r="C6001" t="s">
        <v>92</v>
      </c>
      <c r="D6001" t="s">
        <v>780</v>
      </c>
      <c r="E6001" t="s">
        <v>171</v>
      </c>
      <c r="F6001" t="s">
        <v>244</v>
      </c>
      <c r="G6001" s="39">
        <v>42620</v>
      </c>
      <c r="J6001" t="s">
        <v>90</v>
      </c>
    </row>
    <row r="6002" spans="1:10" x14ac:dyDescent="0.35">
      <c r="A6002">
        <v>17445</v>
      </c>
      <c r="B6002" t="s">
        <v>939</v>
      </c>
      <c r="C6002" t="s">
        <v>92</v>
      </c>
      <c r="D6002" t="s">
        <v>780</v>
      </c>
      <c r="E6002" t="s">
        <v>496</v>
      </c>
      <c r="F6002" t="s">
        <v>244</v>
      </c>
      <c r="G6002" s="39">
        <v>45755</v>
      </c>
      <c r="J6002" t="s">
        <v>90</v>
      </c>
    </row>
    <row r="6003" spans="1:10" x14ac:dyDescent="0.35">
      <c r="A6003">
        <v>17070</v>
      </c>
      <c r="B6003" t="s">
        <v>939</v>
      </c>
      <c r="C6003" t="s">
        <v>92</v>
      </c>
      <c r="D6003" t="s">
        <v>780</v>
      </c>
      <c r="E6003" t="s">
        <v>496</v>
      </c>
      <c r="F6003" t="s">
        <v>244</v>
      </c>
      <c r="G6003" s="39">
        <v>45623</v>
      </c>
      <c r="J6003" t="s">
        <v>90</v>
      </c>
    </row>
    <row r="6004" spans="1:10" x14ac:dyDescent="0.35">
      <c r="A6004">
        <v>760043</v>
      </c>
      <c r="B6004" t="s">
        <v>939</v>
      </c>
      <c r="C6004" t="s">
        <v>92</v>
      </c>
      <c r="D6004" t="s">
        <v>780</v>
      </c>
      <c r="E6004" t="s">
        <v>487</v>
      </c>
      <c r="F6004" t="s">
        <v>244</v>
      </c>
      <c r="G6004" s="39">
        <v>43766</v>
      </c>
      <c r="J6004" t="s">
        <v>90</v>
      </c>
    </row>
    <row r="6005" spans="1:10" x14ac:dyDescent="0.35">
      <c r="A6005">
        <v>760034</v>
      </c>
      <c r="B6005" t="s">
        <v>939</v>
      </c>
      <c r="C6005" t="s">
        <v>92</v>
      </c>
      <c r="D6005" t="s">
        <v>780</v>
      </c>
      <c r="E6005" t="s">
        <v>151</v>
      </c>
      <c r="F6005" t="s">
        <v>244</v>
      </c>
      <c r="G6005" s="39">
        <v>42620</v>
      </c>
      <c r="J6005" t="s">
        <v>90</v>
      </c>
    </row>
    <row r="6006" spans="1:10" x14ac:dyDescent="0.35">
      <c r="A6006">
        <v>760039</v>
      </c>
      <c r="B6006" t="s">
        <v>939</v>
      </c>
      <c r="C6006" t="s">
        <v>92</v>
      </c>
      <c r="D6006" t="s">
        <v>780</v>
      </c>
      <c r="E6006" t="s">
        <v>548</v>
      </c>
      <c r="F6006" t="s">
        <v>244</v>
      </c>
      <c r="G6006" s="39">
        <v>43018</v>
      </c>
      <c r="J6006" t="s">
        <v>90</v>
      </c>
    </row>
    <row r="6007" spans="1:10" x14ac:dyDescent="0.35">
      <c r="A6007">
        <v>760041</v>
      </c>
      <c r="B6007" t="s">
        <v>939</v>
      </c>
      <c r="C6007" t="s">
        <v>92</v>
      </c>
      <c r="D6007" t="s">
        <v>780</v>
      </c>
      <c r="E6007" t="s">
        <v>406</v>
      </c>
      <c r="F6007" t="s">
        <v>244</v>
      </c>
      <c r="G6007" s="39">
        <v>43259</v>
      </c>
      <c r="J6007" t="s">
        <v>90</v>
      </c>
    </row>
    <row r="6008" spans="1:10" x14ac:dyDescent="0.35">
      <c r="A6008">
        <v>760026</v>
      </c>
      <c r="B6008" t="s">
        <v>939</v>
      </c>
      <c r="C6008" t="s">
        <v>92</v>
      </c>
      <c r="D6008" t="s">
        <v>780</v>
      </c>
      <c r="E6008" t="s">
        <v>406</v>
      </c>
      <c r="F6008" t="s">
        <v>244</v>
      </c>
      <c r="G6008" s="39">
        <v>42165</v>
      </c>
      <c r="J6008" t="s">
        <v>90</v>
      </c>
    </row>
    <row r="6009" spans="1:10" x14ac:dyDescent="0.35">
      <c r="A6009">
        <v>760035</v>
      </c>
      <c r="B6009" t="s">
        <v>939</v>
      </c>
      <c r="C6009" t="s">
        <v>92</v>
      </c>
      <c r="D6009" t="s">
        <v>780</v>
      </c>
      <c r="E6009" t="s">
        <v>477</v>
      </c>
      <c r="F6009" t="s">
        <v>411</v>
      </c>
      <c r="G6009" s="39">
        <v>42620</v>
      </c>
      <c r="J6009" t="s">
        <v>90</v>
      </c>
    </row>
    <row r="6010" spans="1:10" x14ac:dyDescent="0.35">
      <c r="A6010">
        <v>760044</v>
      </c>
      <c r="B6010" t="s">
        <v>939</v>
      </c>
      <c r="C6010" t="s">
        <v>92</v>
      </c>
      <c r="D6010" t="s">
        <v>780</v>
      </c>
      <c r="E6010" t="s">
        <v>406</v>
      </c>
      <c r="F6010" t="s">
        <v>244</v>
      </c>
      <c r="G6010" s="39">
        <v>43819</v>
      </c>
      <c r="J6010" t="s">
        <v>90</v>
      </c>
    </row>
    <row r="6011" spans="1:10" x14ac:dyDescent="0.35">
      <c r="A6011">
        <v>16424</v>
      </c>
      <c r="B6011" t="s">
        <v>939</v>
      </c>
      <c r="C6011" t="s">
        <v>92</v>
      </c>
      <c r="D6011" t="s">
        <v>780</v>
      </c>
      <c r="E6011" t="s">
        <v>473</v>
      </c>
      <c r="F6011" t="s">
        <v>244</v>
      </c>
      <c r="G6011" s="39">
        <v>45386</v>
      </c>
      <c r="J6011" t="s">
        <v>90</v>
      </c>
    </row>
    <row r="6012" spans="1:10" x14ac:dyDescent="0.35">
      <c r="A6012">
        <v>14889</v>
      </c>
      <c r="B6012" t="s">
        <v>939</v>
      </c>
      <c r="C6012" t="s">
        <v>92</v>
      </c>
      <c r="D6012" t="s">
        <v>780</v>
      </c>
      <c r="E6012" t="s">
        <v>473</v>
      </c>
      <c r="F6012" t="s">
        <v>411</v>
      </c>
      <c r="G6012" s="39">
        <v>44886</v>
      </c>
      <c r="J6012" t="s">
        <v>90</v>
      </c>
    </row>
    <row r="6013" spans="1:10" x14ac:dyDescent="0.35">
      <c r="A6013">
        <v>18197</v>
      </c>
      <c r="B6013" t="s">
        <v>939</v>
      </c>
      <c r="C6013" t="s">
        <v>92</v>
      </c>
      <c r="D6013" t="s">
        <v>780</v>
      </c>
      <c r="E6013" t="s">
        <v>835</v>
      </c>
      <c r="F6013" t="s">
        <v>244</v>
      </c>
      <c r="G6013" s="39">
        <v>46045</v>
      </c>
      <c r="J6013" t="s">
        <v>90</v>
      </c>
    </row>
    <row r="6014" spans="1:10" x14ac:dyDescent="0.35">
      <c r="A6014">
        <v>17079</v>
      </c>
      <c r="B6014" t="s">
        <v>939</v>
      </c>
      <c r="C6014" t="s">
        <v>92</v>
      </c>
      <c r="D6014" t="s">
        <v>780</v>
      </c>
      <c r="E6014" t="s">
        <v>473</v>
      </c>
      <c r="F6014" t="s">
        <v>244</v>
      </c>
      <c r="G6014" s="39">
        <v>45623</v>
      </c>
      <c r="J6014" t="s">
        <v>90</v>
      </c>
    </row>
    <row r="6015" spans="1:10" x14ac:dyDescent="0.35">
      <c r="A6015">
        <v>760004</v>
      </c>
      <c r="B6015" t="s">
        <v>939</v>
      </c>
      <c r="C6015" t="s">
        <v>92</v>
      </c>
      <c r="D6015" t="s">
        <v>791</v>
      </c>
      <c r="E6015" t="s">
        <v>122</v>
      </c>
      <c r="F6015" t="s">
        <v>244</v>
      </c>
      <c r="G6015" s="39">
        <v>37043</v>
      </c>
      <c r="J6015" t="s">
        <v>90</v>
      </c>
    </row>
    <row r="6016" spans="1:10" x14ac:dyDescent="0.35">
      <c r="A6016">
        <v>16962</v>
      </c>
      <c r="B6016" t="s">
        <v>939</v>
      </c>
      <c r="C6016" t="s">
        <v>92</v>
      </c>
      <c r="D6016" t="s">
        <v>791</v>
      </c>
      <c r="E6016" t="s">
        <v>122</v>
      </c>
      <c r="F6016" t="s">
        <v>244</v>
      </c>
      <c r="G6016" s="39">
        <v>45579</v>
      </c>
      <c r="J6016" t="s">
        <v>90</v>
      </c>
    </row>
    <row r="6017" spans="1:10" x14ac:dyDescent="0.35">
      <c r="A6017">
        <v>760045</v>
      </c>
      <c r="B6017" t="s">
        <v>939</v>
      </c>
      <c r="C6017" t="s">
        <v>92</v>
      </c>
      <c r="D6017" t="s">
        <v>827</v>
      </c>
      <c r="E6017" t="s">
        <v>151</v>
      </c>
      <c r="F6017" t="s">
        <v>244</v>
      </c>
      <c r="G6017" s="39">
        <v>44461</v>
      </c>
      <c r="J6017" t="s">
        <v>90</v>
      </c>
    </row>
    <row r="6018" spans="1:10" x14ac:dyDescent="0.35">
      <c r="A6018">
        <v>760048</v>
      </c>
      <c r="B6018" t="s">
        <v>939</v>
      </c>
      <c r="C6018" t="s">
        <v>92</v>
      </c>
      <c r="D6018" t="s">
        <v>827</v>
      </c>
      <c r="E6018" t="s">
        <v>102</v>
      </c>
      <c r="F6018" t="s">
        <v>244</v>
      </c>
      <c r="G6018" s="39">
        <v>44552</v>
      </c>
      <c r="J6018" t="s">
        <v>90</v>
      </c>
    </row>
    <row r="6019" spans="1:10" x14ac:dyDescent="0.35">
      <c r="A6019">
        <v>760049</v>
      </c>
      <c r="B6019" t="s">
        <v>939</v>
      </c>
      <c r="C6019" t="s">
        <v>92</v>
      </c>
      <c r="D6019" t="s">
        <v>827</v>
      </c>
      <c r="E6019" t="s">
        <v>102</v>
      </c>
      <c r="F6019" t="s">
        <v>244</v>
      </c>
      <c r="G6019" s="39">
        <v>44558</v>
      </c>
      <c r="J6019" t="s">
        <v>90</v>
      </c>
    </row>
    <row r="6020" spans="1:10" x14ac:dyDescent="0.35">
      <c r="A6020">
        <v>760050</v>
      </c>
      <c r="B6020" t="s">
        <v>939</v>
      </c>
      <c r="C6020" t="s">
        <v>92</v>
      </c>
      <c r="D6020" t="s">
        <v>827</v>
      </c>
      <c r="E6020" t="s">
        <v>102</v>
      </c>
      <c r="F6020" t="s">
        <v>244</v>
      </c>
      <c r="G6020" s="39">
        <v>44558</v>
      </c>
      <c r="J6020" t="s">
        <v>90</v>
      </c>
    </row>
    <row r="6021" spans="1:10" x14ac:dyDescent="0.35">
      <c r="A6021">
        <v>14151</v>
      </c>
      <c r="B6021" t="s">
        <v>939</v>
      </c>
      <c r="C6021" t="s">
        <v>92</v>
      </c>
      <c r="D6021" t="s">
        <v>827</v>
      </c>
      <c r="E6021" t="s">
        <v>103</v>
      </c>
      <c r="F6021" t="s">
        <v>244</v>
      </c>
      <c r="G6021" s="39">
        <v>44677</v>
      </c>
      <c r="J6021" t="s">
        <v>90</v>
      </c>
    </row>
    <row r="6022" spans="1:10" x14ac:dyDescent="0.35">
      <c r="A6022">
        <v>12037</v>
      </c>
      <c r="B6022" t="s">
        <v>940</v>
      </c>
      <c r="C6022" t="s">
        <v>92</v>
      </c>
      <c r="D6022" t="s">
        <v>92</v>
      </c>
      <c r="E6022" t="s">
        <v>464</v>
      </c>
      <c r="F6022" t="s">
        <v>244</v>
      </c>
      <c r="G6022" s="39">
        <v>43399</v>
      </c>
      <c r="J6022" t="s">
        <v>90</v>
      </c>
    </row>
    <row r="6023" spans="1:10" x14ac:dyDescent="0.35">
      <c r="A6023">
        <v>115005</v>
      </c>
      <c r="B6023" t="s">
        <v>940</v>
      </c>
      <c r="C6023" t="s">
        <v>92</v>
      </c>
      <c r="D6023" t="s">
        <v>780</v>
      </c>
      <c r="E6023" t="s">
        <v>506</v>
      </c>
      <c r="F6023" t="s">
        <v>244</v>
      </c>
      <c r="G6023" s="39">
        <v>41417</v>
      </c>
      <c r="J6023" t="s">
        <v>90</v>
      </c>
    </row>
    <row r="6024" spans="1:10" x14ac:dyDescent="0.35">
      <c r="A6024">
        <v>16652</v>
      </c>
      <c r="B6024" t="s">
        <v>940</v>
      </c>
      <c r="C6024" t="s">
        <v>92</v>
      </c>
      <c r="D6024" t="s">
        <v>780</v>
      </c>
      <c r="E6024" t="s">
        <v>496</v>
      </c>
      <c r="F6024" t="s">
        <v>244</v>
      </c>
      <c r="G6024" s="39">
        <v>45511</v>
      </c>
      <c r="J6024" t="s">
        <v>90</v>
      </c>
    </row>
    <row r="6025" spans="1:10" x14ac:dyDescent="0.35">
      <c r="A6025">
        <v>17443</v>
      </c>
      <c r="B6025" t="s">
        <v>940</v>
      </c>
      <c r="C6025" t="s">
        <v>92</v>
      </c>
      <c r="D6025" t="s">
        <v>780</v>
      </c>
      <c r="E6025" t="s">
        <v>474</v>
      </c>
      <c r="F6025" t="s">
        <v>244</v>
      </c>
      <c r="G6025" s="39">
        <v>45755</v>
      </c>
      <c r="J6025" t="s">
        <v>90</v>
      </c>
    </row>
    <row r="6026" spans="1:10" x14ac:dyDescent="0.35">
      <c r="A6026">
        <v>300044</v>
      </c>
      <c r="B6026" t="s">
        <v>940</v>
      </c>
      <c r="C6026" t="s">
        <v>92</v>
      </c>
      <c r="D6026" t="s">
        <v>780</v>
      </c>
      <c r="E6026" t="s">
        <v>406</v>
      </c>
      <c r="F6026" t="s">
        <v>244</v>
      </c>
      <c r="G6026" s="39">
        <v>42720</v>
      </c>
      <c r="J6026" t="s">
        <v>90</v>
      </c>
    </row>
    <row r="6027" spans="1:10" x14ac:dyDescent="0.35">
      <c r="A6027">
        <v>290047</v>
      </c>
      <c r="B6027" t="s">
        <v>940</v>
      </c>
      <c r="C6027" t="s">
        <v>92</v>
      </c>
      <c r="D6027" t="s">
        <v>780</v>
      </c>
      <c r="E6027" t="s">
        <v>406</v>
      </c>
      <c r="F6027" t="s">
        <v>244</v>
      </c>
      <c r="G6027" s="39">
        <v>42796</v>
      </c>
      <c r="J6027" t="s">
        <v>90</v>
      </c>
    </row>
    <row r="6028" spans="1:10" x14ac:dyDescent="0.35">
      <c r="A6028">
        <v>510034</v>
      </c>
      <c r="B6028" t="s">
        <v>940</v>
      </c>
      <c r="C6028" t="s">
        <v>92</v>
      </c>
      <c r="D6028" t="s">
        <v>780</v>
      </c>
      <c r="E6028" t="s">
        <v>406</v>
      </c>
      <c r="F6028" t="s">
        <v>244</v>
      </c>
      <c r="G6028" s="39">
        <v>43696</v>
      </c>
      <c r="J6028" t="s">
        <v>90</v>
      </c>
    </row>
    <row r="6029" spans="1:10" x14ac:dyDescent="0.35">
      <c r="A6029">
        <v>510040</v>
      </c>
      <c r="B6029" t="s">
        <v>940</v>
      </c>
      <c r="C6029" t="s">
        <v>92</v>
      </c>
      <c r="D6029" t="s">
        <v>780</v>
      </c>
      <c r="E6029" t="s">
        <v>477</v>
      </c>
      <c r="F6029" t="s">
        <v>244</v>
      </c>
      <c r="G6029" s="39">
        <v>44552</v>
      </c>
      <c r="J6029" t="s">
        <v>90</v>
      </c>
    </row>
    <row r="6030" spans="1:10" x14ac:dyDescent="0.35">
      <c r="A6030">
        <v>510041</v>
      </c>
      <c r="B6030" t="s">
        <v>940</v>
      </c>
      <c r="C6030" t="s">
        <v>92</v>
      </c>
      <c r="D6030" t="s">
        <v>780</v>
      </c>
      <c r="E6030" t="s">
        <v>477</v>
      </c>
      <c r="F6030" t="s">
        <v>244</v>
      </c>
      <c r="G6030" s="39">
        <v>44603</v>
      </c>
      <c r="J6030" t="s">
        <v>90</v>
      </c>
    </row>
    <row r="6031" spans="1:10" x14ac:dyDescent="0.35">
      <c r="A6031">
        <v>15288</v>
      </c>
      <c r="B6031" t="s">
        <v>940</v>
      </c>
      <c r="C6031" t="s">
        <v>92</v>
      </c>
      <c r="D6031" t="s">
        <v>780</v>
      </c>
      <c r="E6031" t="s">
        <v>477</v>
      </c>
      <c r="F6031" t="s">
        <v>244</v>
      </c>
      <c r="G6031" s="39">
        <v>45019</v>
      </c>
      <c r="J6031" t="s">
        <v>90</v>
      </c>
    </row>
    <row r="6032" spans="1:10" x14ac:dyDescent="0.35">
      <c r="A6032">
        <v>14690</v>
      </c>
      <c r="B6032" t="s">
        <v>940</v>
      </c>
      <c r="C6032" t="s">
        <v>92</v>
      </c>
      <c r="D6032" t="s">
        <v>780</v>
      </c>
      <c r="E6032" t="s">
        <v>473</v>
      </c>
      <c r="F6032" t="s">
        <v>244</v>
      </c>
      <c r="G6032" s="39">
        <v>44826</v>
      </c>
      <c r="J6032" t="s">
        <v>90</v>
      </c>
    </row>
    <row r="6033" spans="1:10" x14ac:dyDescent="0.35">
      <c r="A6033">
        <v>17963</v>
      </c>
      <c r="B6033" t="s">
        <v>940</v>
      </c>
      <c r="C6033" t="s">
        <v>92</v>
      </c>
      <c r="D6033" t="s">
        <v>780</v>
      </c>
      <c r="E6033" t="s">
        <v>473</v>
      </c>
      <c r="F6033" t="s">
        <v>244</v>
      </c>
      <c r="G6033" s="39">
        <v>45939</v>
      </c>
      <c r="J6033" t="s">
        <v>90</v>
      </c>
    </row>
    <row r="6034" spans="1:10" x14ac:dyDescent="0.35">
      <c r="A6034">
        <v>16064</v>
      </c>
      <c r="B6034" t="s">
        <v>940</v>
      </c>
      <c r="C6034" t="s">
        <v>92</v>
      </c>
      <c r="D6034" t="s">
        <v>780</v>
      </c>
      <c r="E6034" t="s">
        <v>473</v>
      </c>
      <c r="F6034" t="s">
        <v>244</v>
      </c>
      <c r="G6034" s="39">
        <v>45278</v>
      </c>
      <c r="J6034" t="s">
        <v>90</v>
      </c>
    </row>
    <row r="6035" spans="1:10" x14ac:dyDescent="0.35">
      <c r="A6035">
        <v>17941</v>
      </c>
      <c r="B6035" t="s">
        <v>940</v>
      </c>
      <c r="C6035" t="s">
        <v>92</v>
      </c>
      <c r="D6035" t="s">
        <v>780</v>
      </c>
      <c r="E6035" t="s">
        <v>473</v>
      </c>
      <c r="F6035" t="s">
        <v>244</v>
      </c>
      <c r="G6035" s="39">
        <v>45931</v>
      </c>
      <c r="J6035" t="s">
        <v>90</v>
      </c>
    </row>
    <row r="6036" spans="1:10" x14ac:dyDescent="0.35">
      <c r="A6036">
        <v>14072</v>
      </c>
      <c r="B6036" t="s">
        <v>940</v>
      </c>
      <c r="C6036" t="s">
        <v>92</v>
      </c>
      <c r="D6036" t="s">
        <v>780</v>
      </c>
      <c r="E6036" t="s">
        <v>477</v>
      </c>
      <c r="F6036" t="s">
        <v>244</v>
      </c>
      <c r="G6036" s="39">
        <v>44652</v>
      </c>
      <c r="J6036" t="s">
        <v>90</v>
      </c>
    </row>
    <row r="6037" spans="1:10" x14ac:dyDescent="0.35">
      <c r="A6037">
        <v>510006</v>
      </c>
      <c r="B6037" t="s">
        <v>940</v>
      </c>
      <c r="C6037" t="s">
        <v>92</v>
      </c>
      <c r="D6037" t="s">
        <v>791</v>
      </c>
      <c r="E6037" t="s">
        <v>122</v>
      </c>
      <c r="F6037" t="s">
        <v>244</v>
      </c>
      <c r="G6037" s="39">
        <v>41092</v>
      </c>
      <c r="J6037" t="s">
        <v>90</v>
      </c>
    </row>
    <row r="6038" spans="1:10" x14ac:dyDescent="0.35">
      <c r="A6038">
        <v>510039</v>
      </c>
      <c r="B6038" t="s">
        <v>940</v>
      </c>
      <c r="C6038" t="s">
        <v>92</v>
      </c>
      <c r="D6038" t="s">
        <v>827</v>
      </c>
      <c r="E6038" t="s">
        <v>151</v>
      </c>
      <c r="F6038" t="s">
        <v>244</v>
      </c>
      <c r="G6038" s="39">
        <v>44502</v>
      </c>
      <c r="J6038" t="s">
        <v>90</v>
      </c>
    </row>
    <row r="6039" spans="1:10" x14ac:dyDescent="0.35">
      <c r="A6039">
        <v>14342</v>
      </c>
      <c r="B6039" t="s">
        <v>940</v>
      </c>
      <c r="C6039" t="s">
        <v>92</v>
      </c>
      <c r="D6039" t="s">
        <v>827</v>
      </c>
      <c r="E6039" t="s">
        <v>102</v>
      </c>
      <c r="F6039" t="s">
        <v>244</v>
      </c>
      <c r="G6039" s="39">
        <v>44735</v>
      </c>
      <c r="J6039" t="s">
        <v>90</v>
      </c>
    </row>
    <row r="6040" spans="1:10" x14ac:dyDescent="0.35">
      <c r="A6040">
        <v>14353</v>
      </c>
      <c r="B6040" t="s">
        <v>940</v>
      </c>
      <c r="C6040" t="s">
        <v>92</v>
      </c>
      <c r="D6040" t="s">
        <v>827</v>
      </c>
      <c r="E6040" t="s">
        <v>102</v>
      </c>
      <c r="F6040" t="s">
        <v>244</v>
      </c>
      <c r="G6040" s="39">
        <v>44746</v>
      </c>
      <c r="J6040" t="s">
        <v>90</v>
      </c>
    </row>
    <row r="6041" spans="1:10" x14ac:dyDescent="0.35">
      <c r="A6041">
        <v>14352</v>
      </c>
      <c r="B6041" t="s">
        <v>940</v>
      </c>
      <c r="C6041" t="s">
        <v>92</v>
      </c>
      <c r="D6041" t="s">
        <v>827</v>
      </c>
      <c r="E6041" t="s">
        <v>102</v>
      </c>
      <c r="F6041" t="s">
        <v>244</v>
      </c>
      <c r="G6041" s="39">
        <v>44746</v>
      </c>
      <c r="J6041" t="s">
        <v>90</v>
      </c>
    </row>
    <row r="6042" spans="1:10" x14ac:dyDescent="0.35">
      <c r="A6042">
        <v>18503</v>
      </c>
      <c r="B6042" t="s">
        <v>940</v>
      </c>
      <c r="C6042" t="s">
        <v>92</v>
      </c>
      <c r="D6042" t="s">
        <v>827</v>
      </c>
      <c r="E6042" t="s">
        <v>106</v>
      </c>
      <c r="F6042" t="s">
        <v>244</v>
      </c>
      <c r="G6042" s="39">
        <v>46146</v>
      </c>
      <c r="J6042" t="s">
        <v>90</v>
      </c>
    </row>
    <row r="6043" spans="1:10" x14ac:dyDescent="0.35">
      <c r="A6043">
        <v>700047</v>
      </c>
      <c r="B6043" t="s">
        <v>941</v>
      </c>
      <c r="C6043" t="s">
        <v>92</v>
      </c>
      <c r="D6043" t="s">
        <v>92</v>
      </c>
      <c r="E6043" t="s">
        <v>464</v>
      </c>
      <c r="F6043" t="s">
        <v>244</v>
      </c>
      <c r="G6043" s="39">
        <v>42552</v>
      </c>
      <c r="J6043" t="s">
        <v>90</v>
      </c>
    </row>
    <row r="6044" spans="1:10" x14ac:dyDescent="0.35">
      <c r="A6044">
        <v>710030</v>
      </c>
      <c r="B6044" t="s">
        <v>941</v>
      </c>
      <c r="C6044" t="s">
        <v>92</v>
      </c>
      <c r="D6044" t="s">
        <v>780</v>
      </c>
      <c r="E6044" t="s">
        <v>548</v>
      </c>
      <c r="F6044" t="s">
        <v>244</v>
      </c>
      <c r="G6044" s="39">
        <v>42695</v>
      </c>
      <c r="J6044" t="s">
        <v>90</v>
      </c>
    </row>
    <row r="6045" spans="1:10" x14ac:dyDescent="0.35">
      <c r="A6045">
        <v>200012</v>
      </c>
      <c r="B6045" t="s">
        <v>941</v>
      </c>
      <c r="C6045" t="s">
        <v>92</v>
      </c>
      <c r="D6045" t="s">
        <v>780</v>
      </c>
      <c r="E6045" t="s">
        <v>782</v>
      </c>
      <c r="F6045" t="s">
        <v>411</v>
      </c>
      <c r="G6045" s="39">
        <v>44606</v>
      </c>
      <c r="J6045" t="s">
        <v>90</v>
      </c>
    </row>
    <row r="6046" spans="1:10" x14ac:dyDescent="0.35">
      <c r="A6046">
        <v>18264</v>
      </c>
      <c r="B6046" t="s">
        <v>941</v>
      </c>
      <c r="C6046" t="s">
        <v>92</v>
      </c>
      <c r="D6046" t="s">
        <v>780</v>
      </c>
      <c r="E6046" t="s">
        <v>789</v>
      </c>
      <c r="F6046" t="s">
        <v>244</v>
      </c>
      <c r="G6046" s="39">
        <v>46073</v>
      </c>
      <c r="J6046" t="s">
        <v>90</v>
      </c>
    </row>
    <row r="6047" spans="1:10" x14ac:dyDescent="0.35">
      <c r="A6047">
        <v>17102</v>
      </c>
      <c r="B6047" t="s">
        <v>941</v>
      </c>
      <c r="C6047" t="s">
        <v>92</v>
      </c>
      <c r="D6047" t="s">
        <v>780</v>
      </c>
      <c r="E6047" t="s">
        <v>782</v>
      </c>
      <c r="F6047" t="s">
        <v>244</v>
      </c>
      <c r="G6047" s="39">
        <v>45629</v>
      </c>
      <c r="J6047" t="s">
        <v>90</v>
      </c>
    </row>
    <row r="6048" spans="1:10" x14ac:dyDescent="0.35">
      <c r="A6048">
        <v>16511</v>
      </c>
      <c r="B6048" t="s">
        <v>941</v>
      </c>
      <c r="C6048" t="s">
        <v>92</v>
      </c>
      <c r="D6048" t="s">
        <v>780</v>
      </c>
      <c r="E6048" t="s">
        <v>496</v>
      </c>
      <c r="F6048" t="s">
        <v>244</v>
      </c>
      <c r="G6048" s="39">
        <v>45449</v>
      </c>
      <c r="J6048" t="s">
        <v>90</v>
      </c>
    </row>
    <row r="6049" spans="1:10" x14ac:dyDescent="0.35">
      <c r="A6049">
        <v>16550</v>
      </c>
      <c r="B6049" t="s">
        <v>941</v>
      </c>
      <c r="C6049" t="s">
        <v>92</v>
      </c>
      <c r="D6049" t="s">
        <v>780</v>
      </c>
      <c r="E6049" t="s">
        <v>496</v>
      </c>
      <c r="F6049" t="s">
        <v>244</v>
      </c>
      <c r="G6049" s="39">
        <v>45484</v>
      </c>
      <c r="J6049" t="s">
        <v>90</v>
      </c>
    </row>
    <row r="6050" spans="1:10" x14ac:dyDescent="0.35">
      <c r="A6050">
        <v>720033</v>
      </c>
      <c r="B6050" t="s">
        <v>941</v>
      </c>
      <c r="C6050" t="s">
        <v>92</v>
      </c>
      <c r="D6050" t="s">
        <v>780</v>
      </c>
      <c r="E6050" t="s">
        <v>406</v>
      </c>
      <c r="F6050" t="s">
        <v>244</v>
      </c>
      <c r="G6050" s="39">
        <v>42556</v>
      </c>
      <c r="J6050" t="s">
        <v>90</v>
      </c>
    </row>
    <row r="6051" spans="1:10" x14ac:dyDescent="0.35">
      <c r="A6051">
        <v>14559</v>
      </c>
      <c r="B6051" t="s">
        <v>941</v>
      </c>
      <c r="C6051" t="s">
        <v>92</v>
      </c>
      <c r="D6051" t="s">
        <v>780</v>
      </c>
      <c r="E6051" t="s">
        <v>477</v>
      </c>
      <c r="F6051" t="s">
        <v>244</v>
      </c>
      <c r="G6051" s="39">
        <v>44784</v>
      </c>
      <c r="J6051" t="s">
        <v>90</v>
      </c>
    </row>
    <row r="6052" spans="1:10" x14ac:dyDescent="0.35">
      <c r="A6052">
        <v>200013</v>
      </c>
      <c r="B6052" t="s">
        <v>941</v>
      </c>
      <c r="C6052" t="s">
        <v>92</v>
      </c>
      <c r="D6052" t="s">
        <v>780</v>
      </c>
      <c r="E6052" t="s">
        <v>477</v>
      </c>
      <c r="F6052" t="s">
        <v>244</v>
      </c>
      <c r="G6052" s="39">
        <v>44614</v>
      </c>
      <c r="J6052" t="s">
        <v>90</v>
      </c>
    </row>
    <row r="6053" spans="1:10" x14ac:dyDescent="0.35">
      <c r="A6053">
        <v>17243</v>
      </c>
      <c r="B6053" t="s">
        <v>941</v>
      </c>
      <c r="C6053" t="s">
        <v>92</v>
      </c>
      <c r="D6053" t="s">
        <v>780</v>
      </c>
      <c r="E6053" t="s">
        <v>474</v>
      </c>
      <c r="F6053" t="s">
        <v>244</v>
      </c>
      <c r="G6053" s="39">
        <v>45681</v>
      </c>
      <c r="J6053" t="s">
        <v>90</v>
      </c>
    </row>
    <row r="6054" spans="1:10" x14ac:dyDescent="0.35">
      <c r="A6054">
        <v>200003</v>
      </c>
      <c r="B6054" t="s">
        <v>941</v>
      </c>
      <c r="C6054" t="s">
        <v>92</v>
      </c>
      <c r="D6054" t="s">
        <v>791</v>
      </c>
      <c r="E6054" t="s">
        <v>122</v>
      </c>
      <c r="F6054" t="s">
        <v>244</v>
      </c>
      <c r="G6054" s="39">
        <v>43174</v>
      </c>
      <c r="J6054" t="s">
        <v>90</v>
      </c>
    </row>
    <row r="6055" spans="1:10" x14ac:dyDescent="0.35">
      <c r="A6055">
        <v>390023</v>
      </c>
      <c r="B6055" t="s">
        <v>942</v>
      </c>
      <c r="C6055" t="s">
        <v>92</v>
      </c>
      <c r="D6055" t="s">
        <v>92</v>
      </c>
      <c r="E6055" t="s">
        <v>464</v>
      </c>
      <c r="F6055" t="s">
        <v>244</v>
      </c>
      <c r="G6055" s="39">
        <v>42849</v>
      </c>
      <c r="J6055" t="s">
        <v>90</v>
      </c>
    </row>
    <row r="6056" spans="1:10" x14ac:dyDescent="0.35">
      <c r="A6056">
        <v>11156</v>
      </c>
      <c r="B6056" t="s">
        <v>942</v>
      </c>
      <c r="C6056" t="s">
        <v>92</v>
      </c>
      <c r="D6056" t="s">
        <v>92</v>
      </c>
      <c r="E6056" t="s">
        <v>99</v>
      </c>
      <c r="F6056" t="s">
        <v>244</v>
      </c>
      <c r="G6056" s="39">
        <v>42326</v>
      </c>
      <c r="J6056" t="s">
        <v>90</v>
      </c>
    </row>
    <row r="6057" spans="1:10" x14ac:dyDescent="0.35">
      <c r="A6057">
        <v>470033</v>
      </c>
      <c r="B6057" t="s">
        <v>942</v>
      </c>
      <c r="C6057" t="s">
        <v>92</v>
      </c>
      <c r="D6057" t="s">
        <v>780</v>
      </c>
      <c r="E6057" t="s">
        <v>506</v>
      </c>
      <c r="F6057" t="s">
        <v>244</v>
      </c>
      <c r="G6057" s="39">
        <v>42522</v>
      </c>
      <c r="J6057" t="s">
        <v>90</v>
      </c>
    </row>
    <row r="6058" spans="1:10" x14ac:dyDescent="0.35">
      <c r="A6058">
        <v>450048</v>
      </c>
      <c r="B6058" t="s">
        <v>942</v>
      </c>
      <c r="C6058" t="s">
        <v>92</v>
      </c>
      <c r="D6058" t="s">
        <v>780</v>
      </c>
      <c r="E6058" t="s">
        <v>506</v>
      </c>
      <c r="F6058" t="s">
        <v>244</v>
      </c>
      <c r="G6058" s="39">
        <v>43521</v>
      </c>
      <c r="J6058" t="s">
        <v>90</v>
      </c>
    </row>
    <row r="6059" spans="1:10" x14ac:dyDescent="0.35">
      <c r="A6059">
        <v>11481</v>
      </c>
      <c r="B6059" t="s">
        <v>942</v>
      </c>
      <c r="C6059" t="s">
        <v>92</v>
      </c>
      <c r="D6059" t="s">
        <v>780</v>
      </c>
      <c r="E6059" t="s">
        <v>171</v>
      </c>
      <c r="F6059" t="s">
        <v>244</v>
      </c>
      <c r="G6059" s="39">
        <v>42751</v>
      </c>
      <c r="J6059" t="s">
        <v>90</v>
      </c>
    </row>
    <row r="6060" spans="1:10" x14ac:dyDescent="0.35">
      <c r="A6060">
        <v>13356</v>
      </c>
      <c r="B6060" t="s">
        <v>942</v>
      </c>
      <c r="C6060" t="s">
        <v>92</v>
      </c>
      <c r="D6060" t="s">
        <v>780</v>
      </c>
      <c r="E6060" t="s">
        <v>171</v>
      </c>
      <c r="F6060" t="s">
        <v>244</v>
      </c>
      <c r="G6060" s="39">
        <v>44400</v>
      </c>
      <c r="J6060" t="s">
        <v>90</v>
      </c>
    </row>
    <row r="6061" spans="1:10" x14ac:dyDescent="0.35">
      <c r="A6061">
        <v>17085</v>
      </c>
      <c r="B6061" t="s">
        <v>942</v>
      </c>
      <c r="C6061" t="s">
        <v>92</v>
      </c>
      <c r="D6061" t="s">
        <v>780</v>
      </c>
      <c r="E6061" t="s">
        <v>474</v>
      </c>
      <c r="F6061" t="s">
        <v>244</v>
      </c>
      <c r="G6061" s="39">
        <v>45624</v>
      </c>
      <c r="J6061" t="s">
        <v>90</v>
      </c>
    </row>
    <row r="6062" spans="1:10" x14ac:dyDescent="0.35">
      <c r="A6062">
        <v>450031</v>
      </c>
      <c r="B6062" t="s">
        <v>942</v>
      </c>
      <c r="C6062" t="s">
        <v>92</v>
      </c>
      <c r="D6062" t="s">
        <v>780</v>
      </c>
      <c r="E6062" t="s">
        <v>406</v>
      </c>
      <c r="F6062" t="s">
        <v>244</v>
      </c>
      <c r="G6062" s="39">
        <v>42405</v>
      </c>
      <c r="J6062" t="s">
        <v>90</v>
      </c>
    </row>
    <row r="6063" spans="1:10" x14ac:dyDescent="0.35">
      <c r="A6063">
        <v>450034</v>
      </c>
      <c r="B6063" t="s">
        <v>942</v>
      </c>
      <c r="C6063" t="s">
        <v>92</v>
      </c>
      <c r="D6063" t="s">
        <v>780</v>
      </c>
      <c r="E6063" t="s">
        <v>406</v>
      </c>
      <c r="F6063" t="s">
        <v>244</v>
      </c>
      <c r="G6063" s="39">
        <v>42405</v>
      </c>
      <c r="J6063" t="s">
        <v>90</v>
      </c>
    </row>
    <row r="6064" spans="1:10" x14ac:dyDescent="0.35">
      <c r="A6064">
        <v>450045</v>
      </c>
      <c r="B6064" t="s">
        <v>942</v>
      </c>
      <c r="C6064" t="s">
        <v>92</v>
      </c>
      <c r="D6064" t="s">
        <v>780</v>
      </c>
      <c r="E6064" t="s">
        <v>406</v>
      </c>
      <c r="F6064" t="s">
        <v>244</v>
      </c>
      <c r="G6064" s="39">
        <v>43304</v>
      </c>
      <c r="J6064" t="s">
        <v>90</v>
      </c>
    </row>
    <row r="6065" spans="1:10" x14ac:dyDescent="0.35">
      <c r="A6065">
        <v>470030</v>
      </c>
      <c r="B6065" t="s">
        <v>942</v>
      </c>
      <c r="C6065" t="s">
        <v>92</v>
      </c>
      <c r="D6065" t="s">
        <v>780</v>
      </c>
      <c r="E6065" t="s">
        <v>151</v>
      </c>
      <c r="F6065" t="s">
        <v>244</v>
      </c>
      <c r="G6065" s="39">
        <v>42509</v>
      </c>
      <c r="J6065" t="s">
        <v>90</v>
      </c>
    </row>
    <row r="6066" spans="1:10" x14ac:dyDescent="0.35">
      <c r="A6066">
        <v>450050</v>
      </c>
      <c r="B6066" t="s">
        <v>942</v>
      </c>
      <c r="C6066" t="s">
        <v>92</v>
      </c>
      <c r="D6066" t="s">
        <v>780</v>
      </c>
      <c r="E6066" t="s">
        <v>406</v>
      </c>
      <c r="F6066" t="s">
        <v>244</v>
      </c>
      <c r="G6066" s="39">
        <v>43790</v>
      </c>
      <c r="J6066" t="s">
        <v>90</v>
      </c>
    </row>
    <row r="6067" spans="1:10" x14ac:dyDescent="0.35">
      <c r="A6067">
        <v>450028</v>
      </c>
      <c r="B6067" t="s">
        <v>942</v>
      </c>
      <c r="C6067" t="s">
        <v>92</v>
      </c>
      <c r="D6067" t="s">
        <v>780</v>
      </c>
      <c r="E6067" t="s">
        <v>406</v>
      </c>
      <c r="F6067" t="s">
        <v>244</v>
      </c>
      <c r="G6067" s="39">
        <v>42359</v>
      </c>
      <c r="J6067" t="s">
        <v>90</v>
      </c>
    </row>
    <row r="6068" spans="1:10" x14ac:dyDescent="0.35">
      <c r="A6068">
        <v>450052</v>
      </c>
      <c r="B6068" t="s">
        <v>942</v>
      </c>
      <c r="C6068" t="s">
        <v>92</v>
      </c>
      <c r="D6068" t="s">
        <v>780</v>
      </c>
      <c r="E6068" t="s">
        <v>406</v>
      </c>
      <c r="F6068" t="s">
        <v>244</v>
      </c>
      <c r="G6068" s="39">
        <v>44573</v>
      </c>
      <c r="J6068" t="s">
        <v>90</v>
      </c>
    </row>
    <row r="6069" spans="1:10" x14ac:dyDescent="0.35">
      <c r="A6069">
        <v>14871</v>
      </c>
      <c r="B6069" t="s">
        <v>942</v>
      </c>
      <c r="C6069" t="s">
        <v>92</v>
      </c>
      <c r="D6069" t="s">
        <v>780</v>
      </c>
      <c r="E6069" t="s">
        <v>477</v>
      </c>
      <c r="F6069" t="s">
        <v>244</v>
      </c>
      <c r="G6069" s="39">
        <v>44881</v>
      </c>
      <c r="J6069" t="s">
        <v>90</v>
      </c>
    </row>
    <row r="6070" spans="1:10" x14ac:dyDescent="0.35">
      <c r="A6070">
        <v>14103</v>
      </c>
      <c r="B6070" t="s">
        <v>942</v>
      </c>
      <c r="C6070" t="s">
        <v>92</v>
      </c>
      <c r="D6070" t="s">
        <v>780</v>
      </c>
      <c r="E6070" t="s">
        <v>473</v>
      </c>
      <c r="F6070" t="s">
        <v>244</v>
      </c>
      <c r="G6070" s="39">
        <v>44659</v>
      </c>
      <c r="J6070" t="s">
        <v>90</v>
      </c>
    </row>
    <row r="6071" spans="1:10" x14ac:dyDescent="0.35">
      <c r="A6071">
        <v>14649</v>
      </c>
      <c r="B6071" t="s">
        <v>942</v>
      </c>
      <c r="C6071" t="s">
        <v>92</v>
      </c>
      <c r="D6071" t="s">
        <v>780</v>
      </c>
      <c r="E6071" t="s">
        <v>473</v>
      </c>
      <c r="F6071" t="s">
        <v>244</v>
      </c>
      <c r="G6071" s="39">
        <v>44813</v>
      </c>
      <c r="J6071" t="s">
        <v>90</v>
      </c>
    </row>
    <row r="6072" spans="1:10" x14ac:dyDescent="0.35">
      <c r="A6072">
        <v>14093</v>
      </c>
      <c r="B6072" t="s">
        <v>942</v>
      </c>
      <c r="C6072" t="s">
        <v>92</v>
      </c>
      <c r="D6072" t="s">
        <v>780</v>
      </c>
      <c r="E6072" t="s">
        <v>477</v>
      </c>
      <c r="F6072" t="s">
        <v>244</v>
      </c>
      <c r="G6072" s="39">
        <v>44657</v>
      </c>
      <c r="J6072" t="s">
        <v>90</v>
      </c>
    </row>
    <row r="6073" spans="1:10" x14ac:dyDescent="0.35">
      <c r="A6073">
        <v>17371</v>
      </c>
      <c r="B6073" t="s">
        <v>942</v>
      </c>
      <c r="C6073" t="s">
        <v>92</v>
      </c>
      <c r="D6073" t="s">
        <v>780</v>
      </c>
      <c r="E6073" t="s">
        <v>473</v>
      </c>
      <c r="F6073" t="s">
        <v>244</v>
      </c>
      <c r="G6073" s="39">
        <v>45722</v>
      </c>
      <c r="J6073" t="s">
        <v>90</v>
      </c>
    </row>
    <row r="6074" spans="1:10" x14ac:dyDescent="0.35">
      <c r="A6074">
        <v>450049</v>
      </c>
      <c r="B6074" t="s">
        <v>942</v>
      </c>
      <c r="C6074" t="s">
        <v>92</v>
      </c>
      <c r="D6074" t="s">
        <v>791</v>
      </c>
      <c r="E6074" t="s">
        <v>122</v>
      </c>
      <c r="F6074" t="s">
        <v>244</v>
      </c>
      <c r="G6074" s="39">
        <v>43607</v>
      </c>
      <c r="J6074" t="s">
        <v>90</v>
      </c>
    </row>
    <row r="6075" spans="1:10" x14ac:dyDescent="0.35">
      <c r="A6075">
        <v>14388</v>
      </c>
      <c r="B6075" t="s">
        <v>942</v>
      </c>
      <c r="C6075" t="s">
        <v>92</v>
      </c>
      <c r="D6075" t="s">
        <v>791</v>
      </c>
      <c r="E6075" t="s">
        <v>122</v>
      </c>
      <c r="F6075" t="s">
        <v>244</v>
      </c>
      <c r="G6075" s="39">
        <v>44746</v>
      </c>
      <c r="J6075" t="s">
        <v>90</v>
      </c>
    </row>
    <row r="6076" spans="1:10" x14ac:dyDescent="0.35">
      <c r="A6076">
        <v>460038</v>
      </c>
      <c r="B6076" t="s">
        <v>942</v>
      </c>
      <c r="C6076" t="s">
        <v>92</v>
      </c>
      <c r="D6076" t="s">
        <v>827</v>
      </c>
      <c r="E6076" t="s">
        <v>151</v>
      </c>
      <c r="F6076" t="s">
        <v>244</v>
      </c>
      <c r="G6076" s="39">
        <v>44440</v>
      </c>
      <c r="J6076" t="s">
        <v>90</v>
      </c>
    </row>
    <row r="6077" spans="1:10" x14ac:dyDescent="0.35">
      <c r="A6077">
        <v>14766</v>
      </c>
      <c r="B6077" t="s">
        <v>942</v>
      </c>
      <c r="C6077" t="s">
        <v>92</v>
      </c>
      <c r="D6077" t="s">
        <v>827</v>
      </c>
      <c r="E6077" t="s">
        <v>102</v>
      </c>
      <c r="F6077" t="s">
        <v>244</v>
      </c>
      <c r="G6077" s="39">
        <v>44852</v>
      </c>
      <c r="J6077" t="s">
        <v>90</v>
      </c>
    </row>
    <row r="6078" spans="1:10" x14ac:dyDescent="0.35">
      <c r="A6078">
        <v>460040</v>
      </c>
      <c r="B6078" t="s">
        <v>942</v>
      </c>
      <c r="C6078" t="s">
        <v>92</v>
      </c>
      <c r="D6078" t="s">
        <v>827</v>
      </c>
      <c r="E6078" t="s">
        <v>102</v>
      </c>
      <c r="F6078" t="s">
        <v>244</v>
      </c>
      <c r="G6078" s="39">
        <v>44522</v>
      </c>
      <c r="J6078" t="s">
        <v>90</v>
      </c>
    </row>
    <row r="6079" spans="1:10" x14ac:dyDescent="0.35">
      <c r="A6079">
        <v>15169</v>
      </c>
      <c r="B6079" t="s">
        <v>942</v>
      </c>
      <c r="C6079" t="s">
        <v>92</v>
      </c>
      <c r="D6079" t="s">
        <v>827</v>
      </c>
      <c r="E6079" t="s">
        <v>102</v>
      </c>
      <c r="F6079" t="s">
        <v>244</v>
      </c>
      <c r="G6079" s="39">
        <v>44971</v>
      </c>
      <c r="J6079" t="s">
        <v>90</v>
      </c>
    </row>
    <row r="6080" spans="1:10" x14ac:dyDescent="0.35">
      <c r="A6080">
        <v>15400</v>
      </c>
      <c r="B6080" t="s">
        <v>942</v>
      </c>
      <c r="C6080" t="s">
        <v>92</v>
      </c>
      <c r="D6080" t="s">
        <v>827</v>
      </c>
      <c r="E6080" t="s">
        <v>102</v>
      </c>
      <c r="F6080" t="s">
        <v>244</v>
      </c>
      <c r="G6080" s="39">
        <v>45057</v>
      </c>
      <c r="J6080" t="s">
        <v>90</v>
      </c>
    </row>
    <row r="6081" spans="1:10" x14ac:dyDescent="0.35">
      <c r="A6081">
        <v>15512</v>
      </c>
      <c r="B6081" t="s">
        <v>942</v>
      </c>
      <c r="C6081" t="s">
        <v>92</v>
      </c>
      <c r="D6081" t="s">
        <v>827</v>
      </c>
      <c r="E6081" t="s">
        <v>103</v>
      </c>
      <c r="F6081" t="s">
        <v>244</v>
      </c>
      <c r="G6081" s="39">
        <v>45110</v>
      </c>
      <c r="J6081" t="s">
        <v>90</v>
      </c>
    </row>
    <row r="6082" spans="1:10" x14ac:dyDescent="0.35">
      <c r="A6082">
        <v>180043</v>
      </c>
      <c r="B6082" t="s">
        <v>943</v>
      </c>
      <c r="C6082" t="s">
        <v>92</v>
      </c>
      <c r="D6082" t="s">
        <v>92</v>
      </c>
      <c r="E6082" t="s">
        <v>464</v>
      </c>
      <c r="F6082" t="s">
        <v>244</v>
      </c>
      <c r="G6082" s="39">
        <v>42991</v>
      </c>
      <c r="J6082" t="s">
        <v>90</v>
      </c>
    </row>
    <row r="6083" spans="1:10" x14ac:dyDescent="0.35">
      <c r="A6083">
        <v>750022</v>
      </c>
      <c r="B6083" t="s">
        <v>943</v>
      </c>
      <c r="C6083" t="s">
        <v>92</v>
      </c>
      <c r="D6083" t="s">
        <v>780</v>
      </c>
      <c r="E6083" t="s">
        <v>506</v>
      </c>
      <c r="F6083" t="s">
        <v>244</v>
      </c>
      <c r="G6083" s="39">
        <v>42037</v>
      </c>
      <c r="J6083" t="s">
        <v>90</v>
      </c>
    </row>
    <row r="6084" spans="1:10" x14ac:dyDescent="0.35">
      <c r="A6084">
        <v>14102</v>
      </c>
      <c r="B6084" t="s">
        <v>943</v>
      </c>
      <c r="C6084" t="s">
        <v>92</v>
      </c>
      <c r="D6084" t="s">
        <v>780</v>
      </c>
      <c r="E6084" t="s">
        <v>496</v>
      </c>
      <c r="F6084" t="s">
        <v>244</v>
      </c>
      <c r="G6084" s="39">
        <v>44659</v>
      </c>
      <c r="J6084" t="s">
        <v>90</v>
      </c>
    </row>
    <row r="6085" spans="1:10" x14ac:dyDescent="0.35">
      <c r="A6085">
        <v>18599</v>
      </c>
      <c r="B6085" t="s">
        <v>943</v>
      </c>
      <c r="C6085" t="s">
        <v>92</v>
      </c>
      <c r="D6085" t="s">
        <v>780</v>
      </c>
      <c r="E6085" t="s">
        <v>475</v>
      </c>
      <c r="F6085" t="s">
        <v>244</v>
      </c>
      <c r="G6085" s="39">
        <v>46162</v>
      </c>
      <c r="J6085" t="s">
        <v>90</v>
      </c>
    </row>
    <row r="6086" spans="1:10" x14ac:dyDescent="0.35">
      <c r="A6086">
        <v>300080</v>
      </c>
      <c r="B6086" t="s">
        <v>943</v>
      </c>
      <c r="C6086" t="s">
        <v>92</v>
      </c>
      <c r="D6086" t="s">
        <v>780</v>
      </c>
      <c r="E6086" t="s">
        <v>406</v>
      </c>
      <c r="F6086" t="s">
        <v>244</v>
      </c>
      <c r="G6086" s="39">
        <v>42887</v>
      </c>
      <c r="J6086" t="s">
        <v>90</v>
      </c>
    </row>
    <row r="6087" spans="1:10" x14ac:dyDescent="0.35">
      <c r="A6087">
        <v>410062</v>
      </c>
      <c r="B6087" t="s">
        <v>944</v>
      </c>
      <c r="C6087" t="s">
        <v>92</v>
      </c>
      <c r="D6087" t="s">
        <v>92</v>
      </c>
      <c r="E6087" t="s">
        <v>464</v>
      </c>
      <c r="F6087" t="s">
        <v>244</v>
      </c>
      <c r="G6087" s="39">
        <v>44384</v>
      </c>
      <c r="J6087" t="s">
        <v>90</v>
      </c>
    </row>
    <row r="6088" spans="1:10" x14ac:dyDescent="0.35">
      <c r="A6088">
        <v>16273</v>
      </c>
      <c r="B6088" t="s">
        <v>944</v>
      </c>
      <c r="C6088" t="s">
        <v>92</v>
      </c>
      <c r="D6088" t="s">
        <v>780</v>
      </c>
      <c r="E6088" t="s">
        <v>782</v>
      </c>
      <c r="F6088" t="s">
        <v>244</v>
      </c>
      <c r="G6088" s="39">
        <v>45336</v>
      </c>
      <c r="J6088" t="s">
        <v>90</v>
      </c>
    </row>
    <row r="6089" spans="1:10" x14ac:dyDescent="0.35">
      <c r="A6089">
        <v>17892</v>
      </c>
      <c r="B6089" t="s">
        <v>944</v>
      </c>
      <c r="C6089" t="s">
        <v>92</v>
      </c>
      <c r="D6089" t="s">
        <v>780</v>
      </c>
      <c r="E6089" t="s">
        <v>783</v>
      </c>
      <c r="F6089" t="s">
        <v>244</v>
      </c>
      <c r="G6089" s="39">
        <v>45905</v>
      </c>
      <c r="J6089" t="s">
        <v>90</v>
      </c>
    </row>
    <row r="6090" spans="1:10" x14ac:dyDescent="0.35">
      <c r="A6090">
        <v>17341</v>
      </c>
      <c r="B6090" t="s">
        <v>944</v>
      </c>
      <c r="C6090" t="s">
        <v>92</v>
      </c>
      <c r="D6090" t="s">
        <v>780</v>
      </c>
      <c r="E6090" t="s">
        <v>474</v>
      </c>
      <c r="F6090" t="s">
        <v>244</v>
      </c>
      <c r="G6090" s="39">
        <v>45712</v>
      </c>
      <c r="J6090" t="s">
        <v>90</v>
      </c>
    </row>
    <row r="6091" spans="1:10" x14ac:dyDescent="0.35">
      <c r="A6091">
        <v>300082</v>
      </c>
      <c r="B6091" t="s">
        <v>944</v>
      </c>
      <c r="C6091" t="s">
        <v>92</v>
      </c>
      <c r="D6091" t="s">
        <v>780</v>
      </c>
      <c r="E6091" t="s">
        <v>406</v>
      </c>
      <c r="F6091" t="s">
        <v>244</v>
      </c>
      <c r="G6091" s="39">
        <v>42891</v>
      </c>
      <c r="J6091" t="s">
        <v>90</v>
      </c>
    </row>
    <row r="6092" spans="1:10" x14ac:dyDescent="0.35">
      <c r="A6092">
        <v>480028</v>
      </c>
      <c r="B6092" t="s">
        <v>944</v>
      </c>
      <c r="C6092" t="s">
        <v>92</v>
      </c>
      <c r="D6092" t="s">
        <v>780</v>
      </c>
      <c r="E6092" t="s">
        <v>406</v>
      </c>
      <c r="F6092" t="s">
        <v>244</v>
      </c>
      <c r="G6092" s="39">
        <v>43332</v>
      </c>
      <c r="J6092" t="s">
        <v>90</v>
      </c>
    </row>
    <row r="6093" spans="1:10" x14ac:dyDescent="0.35">
      <c r="A6093">
        <v>480011</v>
      </c>
      <c r="B6093" t="s">
        <v>944</v>
      </c>
      <c r="C6093" t="s">
        <v>92</v>
      </c>
      <c r="D6093" t="s">
        <v>780</v>
      </c>
      <c r="E6093" t="s">
        <v>406</v>
      </c>
      <c r="F6093" t="s">
        <v>244</v>
      </c>
      <c r="G6093" s="39">
        <v>40694</v>
      </c>
      <c r="J6093" t="s">
        <v>90</v>
      </c>
    </row>
    <row r="6094" spans="1:10" x14ac:dyDescent="0.35">
      <c r="A6094">
        <v>17899</v>
      </c>
      <c r="B6094" t="s">
        <v>944</v>
      </c>
      <c r="C6094" t="s">
        <v>92</v>
      </c>
      <c r="D6094" t="s">
        <v>780</v>
      </c>
      <c r="E6094" t="s">
        <v>823</v>
      </c>
      <c r="F6094" t="s">
        <v>244</v>
      </c>
      <c r="G6094" s="39">
        <v>45908</v>
      </c>
      <c r="J6094" t="s">
        <v>90</v>
      </c>
    </row>
    <row r="6095" spans="1:10" x14ac:dyDescent="0.35">
      <c r="A6095">
        <v>17323</v>
      </c>
      <c r="B6095" t="s">
        <v>944</v>
      </c>
      <c r="C6095" t="s">
        <v>92</v>
      </c>
      <c r="D6095" t="s">
        <v>780</v>
      </c>
      <c r="E6095" t="s">
        <v>473</v>
      </c>
      <c r="F6095" t="s">
        <v>244</v>
      </c>
      <c r="G6095" s="39">
        <v>45708</v>
      </c>
      <c r="J6095" t="s">
        <v>90</v>
      </c>
    </row>
    <row r="6096" spans="1:10" x14ac:dyDescent="0.35">
      <c r="A6096">
        <v>18580</v>
      </c>
      <c r="B6096" t="s">
        <v>944</v>
      </c>
      <c r="C6096" t="s">
        <v>92</v>
      </c>
      <c r="D6096" t="s">
        <v>780</v>
      </c>
      <c r="E6096" t="s">
        <v>824</v>
      </c>
      <c r="F6096" t="s">
        <v>244</v>
      </c>
      <c r="G6096" s="39">
        <v>46160</v>
      </c>
      <c r="J6096" t="s">
        <v>90</v>
      </c>
    </row>
    <row r="6097" spans="1:10" x14ac:dyDescent="0.35">
      <c r="A6097">
        <v>14734</v>
      </c>
      <c r="B6097" t="s">
        <v>944</v>
      </c>
      <c r="C6097" t="s">
        <v>92</v>
      </c>
      <c r="D6097" t="s">
        <v>791</v>
      </c>
      <c r="E6097" t="s">
        <v>122</v>
      </c>
      <c r="F6097" t="s">
        <v>244</v>
      </c>
      <c r="G6097" s="39">
        <v>44839</v>
      </c>
      <c r="J6097" t="s">
        <v>90</v>
      </c>
    </row>
    <row r="6098" spans="1:10" x14ac:dyDescent="0.35">
      <c r="A6098">
        <v>113028</v>
      </c>
      <c r="B6098" t="s">
        <v>945</v>
      </c>
      <c r="C6098" t="s">
        <v>92</v>
      </c>
      <c r="D6098" t="s">
        <v>92</v>
      </c>
      <c r="E6098" t="s">
        <v>464</v>
      </c>
      <c r="F6098" t="s">
        <v>244</v>
      </c>
      <c r="G6098" s="39">
        <v>42012</v>
      </c>
      <c r="J6098" t="s">
        <v>90</v>
      </c>
    </row>
    <row r="6099" spans="1:10" x14ac:dyDescent="0.35">
      <c r="A6099">
        <v>470010</v>
      </c>
      <c r="B6099" t="s">
        <v>945</v>
      </c>
      <c r="C6099" t="s">
        <v>92</v>
      </c>
      <c r="D6099" t="s">
        <v>92</v>
      </c>
      <c r="E6099" t="s">
        <v>99</v>
      </c>
      <c r="F6099" t="s">
        <v>244</v>
      </c>
      <c r="G6099" s="39">
        <v>40505</v>
      </c>
      <c r="J6099" t="s">
        <v>90</v>
      </c>
    </row>
    <row r="6100" spans="1:10" x14ac:dyDescent="0.35">
      <c r="A6100">
        <v>113032</v>
      </c>
      <c r="B6100" t="s">
        <v>945</v>
      </c>
      <c r="C6100" t="s">
        <v>92</v>
      </c>
      <c r="D6100" t="s">
        <v>780</v>
      </c>
      <c r="E6100" t="s">
        <v>548</v>
      </c>
      <c r="F6100" t="s">
        <v>244</v>
      </c>
      <c r="G6100" s="39">
        <v>42675</v>
      </c>
      <c r="J6100" t="s">
        <v>90</v>
      </c>
    </row>
    <row r="6101" spans="1:10" x14ac:dyDescent="0.35">
      <c r="A6101">
        <v>113043</v>
      </c>
      <c r="B6101" t="s">
        <v>945</v>
      </c>
      <c r="C6101" t="s">
        <v>92</v>
      </c>
      <c r="D6101" t="s">
        <v>780</v>
      </c>
      <c r="E6101" t="s">
        <v>782</v>
      </c>
      <c r="F6101" t="s">
        <v>244</v>
      </c>
      <c r="G6101" s="39">
        <v>43851</v>
      </c>
      <c r="J6101" t="s">
        <v>90</v>
      </c>
    </row>
    <row r="6102" spans="1:10" x14ac:dyDescent="0.35">
      <c r="A6102">
        <v>15296</v>
      </c>
      <c r="B6102" t="s">
        <v>945</v>
      </c>
      <c r="C6102" t="s">
        <v>92</v>
      </c>
      <c r="D6102" t="s">
        <v>780</v>
      </c>
      <c r="E6102" t="s">
        <v>782</v>
      </c>
      <c r="F6102" t="s">
        <v>244</v>
      </c>
      <c r="G6102" s="39">
        <v>45019</v>
      </c>
      <c r="J6102" t="s">
        <v>90</v>
      </c>
    </row>
    <row r="6103" spans="1:10" x14ac:dyDescent="0.35">
      <c r="A6103">
        <v>14212</v>
      </c>
      <c r="B6103" t="s">
        <v>945</v>
      </c>
      <c r="C6103" t="s">
        <v>92</v>
      </c>
      <c r="D6103" t="s">
        <v>780</v>
      </c>
      <c r="E6103" t="s">
        <v>531</v>
      </c>
      <c r="F6103" t="s">
        <v>244</v>
      </c>
      <c r="G6103" s="39">
        <v>44699</v>
      </c>
      <c r="J6103" t="s">
        <v>90</v>
      </c>
    </row>
    <row r="6104" spans="1:10" x14ac:dyDescent="0.35">
      <c r="A6104">
        <v>113029</v>
      </c>
      <c r="B6104" t="s">
        <v>945</v>
      </c>
      <c r="C6104" t="s">
        <v>92</v>
      </c>
      <c r="D6104" t="s">
        <v>780</v>
      </c>
      <c r="E6104" t="s">
        <v>171</v>
      </c>
      <c r="F6104" t="s">
        <v>244</v>
      </c>
      <c r="G6104" s="39">
        <v>42054</v>
      </c>
      <c r="J6104" t="s">
        <v>90</v>
      </c>
    </row>
    <row r="6105" spans="1:10" x14ac:dyDescent="0.35">
      <c r="A6105">
        <v>113011</v>
      </c>
      <c r="B6105" t="s">
        <v>945</v>
      </c>
      <c r="C6105" t="s">
        <v>92</v>
      </c>
      <c r="D6105" t="s">
        <v>780</v>
      </c>
      <c r="E6105" t="s">
        <v>171</v>
      </c>
      <c r="F6105" t="s">
        <v>244</v>
      </c>
      <c r="G6105" s="39">
        <v>40347</v>
      </c>
      <c r="J6105" t="s">
        <v>90</v>
      </c>
    </row>
    <row r="6106" spans="1:10" x14ac:dyDescent="0.35">
      <c r="A6106">
        <v>16836</v>
      </c>
      <c r="B6106" t="s">
        <v>945</v>
      </c>
      <c r="C6106" t="s">
        <v>92</v>
      </c>
      <c r="D6106" t="s">
        <v>780</v>
      </c>
      <c r="E6106" t="s">
        <v>474</v>
      </c>
      <c r="F6106" t="s">
        <v>244</v>
      </c>
      <c r="G6106" s="39">
        <v>45567</v>
      </c>
      <c r="J6106" t="s">
        <v>90</v>
      </c>
    </row>
    <row r="6107" spans="1:10" x14ac:dyDescent="0.35">
      <c r="A6107">
        <v>560017</v>
      </c>
      <c r="B6107" t="s">
        <v>945</v>
      </c>
      <c r="C6107" t="s">
        <v>92</v>
      </c>
      <c r="D6107" t="s">
        <v>780</v>
      </c>
      <c r="E6107" t="s">
        <v>151</v>
      </c>
      <c r="F6107" t="s">
        <v>244</v>
      </c>
      <c r="G6107" s="39">
        <v>42822</v>
      </c>
      <c r="J6107" t="s">
        <v>90</v>
      </c>
    </row>
    <row r="6108" spans="1:10" x14ac:dyDescent="0.35">
      <c r="A6108">
        <v>113042</v>
      </c>
      <c r="B6108" t="s">
        <v>945</v>
      </c>
      <c r="C6108" t="s">
        <v>92</v>
      </c>
      <c r="D6108" t="s">
        <v>780</v>
      </c>
      <c r="E6108" t="s">
        <v>406</v>
      </c>
      <c r="F6108" t="s">
        <v>244</v>
      </c>
      <c r="G6108" s="39">
        <v>43843</v>
      </c>
      <c r="J6108" t="s">
        <v>90</v>
      </c>
    </row>
    <row r="6109" spans="1:10" x14ac:dyDescent="0.35">
      <c r="A6109">
        <v>113045</v>
      </c>
      <c r="B6109" t="s">
        <v>945</v>
      </c>
      <c r="C6109" t="s">
        <v>92</v>
      </c>
      <c r="D6109" t="s">
        <v>780</v>
      </c>
      <c r="E6109" t="s">
        <v>406</v>
      </c>
      <c r="F6109" t="s">
        <v>244</v>
      </c>
      <c r="G6109" s="39">
        <v>44076</v>
      </c>
      <c r="J6109" t="s">
        <v>90</v>
      </c>
    </row>
    <row r="6110" spans="1:10" x14ac:dyDescent="0.35">
      <c r="A6110">
        <v>113040</v>
      </c>
      <c r="B6110" t="s">
        <v>945</v>
      </c>
      <c r="C6110" t="s">
        <v>92</v>
      </c>
      <c r="D6110" t="s">
        <v>780</v>
      </c>
      <c r="E6110" t="s">
        <v>406</v>
      </c>
      <c r="F6110" t="s">
        <v>244</v>
      </c>
      <c r="G6110" s="39">
        <v>43766</v>
      </c>
      <c r="J6110" t="s">
        <v>90</v>
      </c>
    </row>
    <row r="6111" spans="1:10" x14ac:dyDescent="0.35">
      <c r="A6111">
        <v>113046</v>
      </c>
      <c r="B6111" t="s">
        <v>945</v>
      </c>
      <c r="C6111" t="s">
        <v>92</v>
      </c>
      <c r="D6111" t="s">
        <v>780</v>
      </c>
      <c r="E6111" t="s">
        <v>406</v>
      </c>
      <c r="F6111" t="s">
        <v>244</v>
      </c>
      <c r="G6111" s="39">
        <v>44399</v>
      </c>
      <c r="J6111" t="s">
        <v>90</v>
      </c>
    </row>
    <row r="6112" spans="1:10" x14ac:dyDescent="0.35">
      <c r="A6112">
        <v>113053</v>
      </c>
      <c r="B6112" t="s">
        <v>945</v>
      </c>
      <c r="C6112" t="s">
        <v>92</v>
      </c>
      <c r="D6112" t="s">
        <v>780</v>
      </c>
      <c r="E6112" t="s">
        <v>473</v>
      </c>
      <c r="F6112" t="s">
        <v>244</v>
      </c>
      <c r="G6112" s="39">
        <v>44504</v>
      </c>
      <c r="J6112" t="s">
        <v>90</v>
      </c>
    </row>
    <row r="6113" spans="1:10" x14ac:dyDescent="0.35">
      <c r="A6113">
        <v>17043</v>
      </c>
      <c r="B6113" t="s">
        <v>945</v>
      </c>
      <c r="C6113" t="s">
        <v>92</v>
      </c>
      <c r="D6113" t="s">
        <v>780</v>
      </c>
      <c r="E6113" t="s">
        <v>473</v>
      </c>
      <c r="F6113" t="s">
        <v>244</v>
      </c>
      <c r="G6113" s="39">
        <v>45601</v>
      </c>
      <c r="J6113" t="s">
        <v>90</v>
      </c>
    </row>
    <row r="6114" spans="1:10" x14ac:dyDescent="0.35">
      <c r="A6114">
        <v>113039</v>
      </c>
      <c r="B6114" t="s">
        <v>945</v>
      </c>
      <c r="C6114" t="s">
        <v>92</v>
      </c>
      <c r="D6114" t="s">
        <v>791</v>
      </c>
      <c r="E6114" t="s">
        <v>122</v>
      </c>
      <c r="F6114" t="s">
        <v>244</v>
      </c>
      <c r="G6114" s="39">
        <v>43655</v>
      </c>
      <c r="J6114" t="s">
        <v>90</v>
      </c>
    </row>
    <row r="6115" spans="1:10" x14ac:dyDescent="0.35">
      <c r="A6115">
        <v>15455</v>
      </c>
      <c r="B6115" t="s">
        <v>945</v>
      </c>
      <c r="C6115" t="s">
        <v>92</v>
      </c>
      <c r="D6115" t="s">
        <v>791</v>
      </c>
      <c r="E6115" t="s">
        <v>122</v>
      </c>
      <c r="F6115" t="s">
        <v>244</v>
      </c>
      <c r="G6115" s="39">
        <v>45078</v>
      </c>
      <c r="J6115" t="s">
        <v>90</v>
      </c>
    </row>
    <row r="6116" spans="1:10" x14ac:dyDescent="0.35">
      <c r="A6116">
        <v>113048</v>
      </c>
      <c r="B6116" t="s">
        <v>945</v>
      </c>
      <c r="C6116" t="s">
        <v>92</v>
      </c>
      <c r="D6116" t="s">
        <v>827</v>
      </c>
      <c r="E6116" t="s">
        <v>151</v>
      </c>
      <c r="F6116" t="s">
        <v>244</v>
      </c>
      <c r="G6116" s="39">
        <v>44441</v>
      </c>
      <c r="J6116" t="s">
        <v>90</v>
      </c>
    </row>
    <row r="6117" spans="1:10" x14ac:dyDescent="0.35">
      <c r="A6117">
        <v>113047</v>
      </c>
      <c r="B6117" t="s">
        <v>945</v>
      </c>
      <c r="C6117" t="s">
        <v>92</v>
      </c>
      <c r="D6117" t="s">
        <v>827</v>
      </c>
      <c r="E6117" t="s">
        <v>109</v>
      </c>
      <c r="F6117" t="s">
        <v>244</v>
      </c>
      <c r="G6117" s="39">
        <v>44440</v>
      </c>
      <c r="J6117" t="s">
        <v>90</v>
      </c>
    </row>
    <row r="6118" spans="1:10" x14ac:dyDescent="0.35">
      <c r="A6118">
        <v>15661</v>
      </c>
      <c r="B6118" t="s">
        <v>945</v>
      </c>
      <c r="C6118" t="s">
        <v>92</v>
      </c>
      <c r="D6118" t="s">
        <v>827</v>
      </c>
      <c r="E6118" t="s">
        <v>103</v>
      </c>
      <c r="F6118" t="s">
        <v>244</v>
      </c>
      <c r="G6118" s="39">
        <v>45156</v>
      </c>
      <c r="J6118" t="s">
        <v>90</v>
      </c>
    </row>
    <row r="6119" spans="1:10" x14ac:dyDescent="0.35">
      <c r="A6119">
        <v>113038</v>
      </c>
      <c r="B6119" t="s">
        <v>945</v>
      </c>
      <c r="C6119" t="s">
        <v>92</v>
      </c>
      <c r="D6119" t="s">
        <v>827</v>
      </c>
      <c r="E6119" t="s">
        <v>103</v>
      </c>
      <c r="F6119" t="s">
        <v>244</v>
      </c>
      <c r="G6119" s="39">
        <v>43259</v>
      </c>
      <c r="J6119" t="s">
        <v>90</v>
      </c>
    </row>
    <row r="6120" spans="1:10" x14ac:dyDescent="0.35">
      <c r="A6120">
        <v>113044</v>
      </c>
      <c r="B6120" t="s">
        <v>945</v>
      </c>
      <c r="C6120" t="s">
        <v>92</v>
      </c>
      <c r="D6120" t="s">
        <v>827</v>
      </c>
      <c r="E6120" t="s">
        <v>103</v>
      </c>
      <c r="F6120" t="s">
        <v>244</v>
      </c>
      <c r="G6120" s="39">
        <v>43874</v>
      </c>
      <c r="J6120" t="s">
        <v>90</v>
      </c>
    </row>
    <row r="6121" spans="1:10" x14ac:dyDescent="0.35">
      <c r="A6121">
        <v>17084</v>
      </c>
      <c r="B6121" t="s">
        <v>946</v>
      </c>
      <c r="C6121" t="s">
        <v>92</v>
      </c>
      <c r="D6121" t="s">
        <v>92</v>
      </c>
      <c r="E6121" t="s">
        <v>464</v>
      </c>
      <c r="F6121" t="s">
        <v>244</v>
      </c>
      <c r="G6121" s="39">
        <v>45628</v>
      </c>
      <c r="J6121" t="s">
        <v>90</v>
      </c>
    </row>
    <row r="6122" spans="1:10" x14ac:dyDescent="0.35">
      <c r="A6122">
        <v>840011</v>
      </c>
      <c r="B6122" t="s">
        <v>946</v>
      </c>
      <c r="C6122" t="s">
        <v>92</v>
      </c>
      <c r="D6122" t="s">
        <v>780</v>
      </c>
      <c r="E6122" t="s">
        <v>506</v>
      </c>
      <c r="F6122" t="s">
        <v>244</v>
      </c>
      <c r="G6122" s="39">
        <v>38504</v>
      </c>
      <c r="J6122" t="s">
        <v>90</v>
      </c>
    </row>
    <row r="6123" spans="1:10" x14ac:dyDescent="0.35">
      <c r="A6123">
        <v>840020</v>
      </c>
      <c r="B6123" t="s">
        <v>946</v>
      </c>
      <c r="C6123" t="s">
        <v>92</v>
      </c>
      <c r="D6123" t="s">
        <v>780</v>
      </c>
      <c r="E6123" t="s">
        <v>406</v>
      </c>
      <c r="F6123" t="s">
        <v>244</v>
      </c>
      <c r="G6123" s="39">
        <v>43824</v>
      </c>
      <c r="J6123" t="s">
        <v>90</v>
      </c>
    </row>
    <row r="6124" spans="1:10" x14ac:dyDescent="0.35">
      <c r="A6124">
        <v>620023</v>
      </c>
      <c r="B6124" t="s">
        <v>946</v>
      </c>
      <c r="C6124" t="s">
        <v>92</v>
      </c>
      <c r="D6124" t="s">
        <v>780</v>
      </c>
      <c r="E6124" t="s">
        <v>406</v>
      </c>
      <c r="F6124" t="s">
        <v>244</v>
      </c>
      <c r="G6124" s="39">
        <v>42543</v>
      </c>
      <c r="J6124" t="s">
        <v>90</v>
      </c>
    </row>
    <row r="6125" spans="1:10" x14ac:dyDescent="0.35">
      <c r="A6125">
        <v>620027</v>
      </c>
      <c r="B6125" t="s">
        <v>946</v>
      </c>
      <c r="C6125" t="s">
        <v>92</v>
      </c>
      <c r="D6125" t="s">
        <v>780</v>
      </c>
      <c r="E6125" t="s">
        <v>406</v>
      </c>
      <c r="F6125" t="s">
        <v>244</v>
      </c>
      <c r="G6125" s="39">
        <v>43160</v>
      </c>
      <c r="J6125" t="s">
        <v>90</v>
      </c>
    </row>
    <row r="6126" spans="1:10" x14ac:dyDescent="0.35">
      <c r="A6126">
        <v>410051</v>
      </c>
      <c r="B6126" t="s">
        <v>946</v>
      </c>
      <c r="C6126" t="s">
        <v>92</v>
      </c>
      <c r="D6126" t="s">
        <v>780</v>
      </c>
      <c r="E6126" t="s">
        <v>477</v>
      </c>
      <c r="F6126" t="s">
        <v>244</v>
      </c>
      <c r="G6126" s="39">
        <v>42845</v>
      </c>
      <c r="J6126" t="s">
        <v>90</v>
      </c>
    </row>
    <row r="6127" spans="1:10" x14ac:dyDescent="0.35">
      <c r="A6127">
        <v>840006</v>
      </c>
      <c r="B6127" t="s">
        <v>946</v>
      </c>
      <c r="C6127" t="s">
        <v>92</v>
      </c>
      <c r="D6127" t="s">
        <v>780</v>
      </c>
      <c r="E6127" t="s">
        <v>477</v>
      </c>
      <c r="F6127" t="s">
        <v>244</v>
      </c>
      <c r="G6127" s="39">
        <v>40316</v>
      </c>
      <c r="J6127" t="s">
        <v>90</v>
      </c>
    </row>
    <row r="6128" spans="1:10" x14ac:dyDescent="0.35">
      <c r="A6128">
        <v>18500</v>
      </c>
      <c r="B6128" t="s">
        <v>946</v>
      </c>
      <c r="C6128" t="s">
        <v>92</v>
      </c>
      <c r="D6128" t="s">
        <v>780</v>
      </c>
      <c r="E6128" t="s">
        <v>475</v>
      </c>
      <c r="F6128" t="s">
        <v>244</v>
      </c>
      <c r="G6128" s="39">
        <v>46146</v>
      </c>
      <c r="J6128" t="s">
        <v>90</v>
      </c>
    </row>
    <row r="6129" spans="1:10" x14ac:dyDescent="0.35">
      <c r="A6129">
        <v>840015</v>
      </c>
      <c r="B6129" t="s">
        <v>946</v>
      </c>
      <c r="C6129" t="s">
        <v>92</v>
      </c>
      <c r="D6129" t="s">
        <v>791</v>
      </c>
      <c r="E6129" t="s">
        <v>122</v>
      </c>
      <c r="F6129" t="s">
        <v>244</v>
      </c>
      <c r="G6129" s="39">
        <v>42121</v>
      </c>
      <c r="J6129" t="s">
        <v>90</v>
      </c>
    </row>
    <row r="6130" spans="1:10" x14ac:dyDescent="0.35">
      <c r="A6130">
        <v>820001</v>
      </c>
      <c r="B6130" t="s">
        <v>947</v>
      </c>
      <c r="C6130" t="s">
        <v>92</v>
      </c>
      <c r="D6130" t="s">
        <v>92</v>
      </c>
      <c r="E6130" t="s">
        <v>464</v>
      </c>
      <c r="F6130" t="s">
        <v>244</v>
      </c>
      <c r="G6130" s="39">
        <v>36710</v>
      </c>
      <c r="J6130" t="s">
        <v>90</v>
      </c>
    </row>
    <row r="6131" spans="1:10" x14ac:dyDescent="0.35">
      <c r="A6131">
        <v>820018</v>
      </c>
      <c r="B6131" t="s">
        <v>947</v>
      </c>
      <c r="C6131" t="s">
        <v>92</v>
      </c>
      <c r="D6131" t="s">
        <v>780</v>
      </c>
      <c r="E6131" t="s">
        <v>548</v>
      </c>
      <c r="F6131" t="s">
        <v>244</v>
      </c>
      <c r="G6131" s="39">
        <v>42723</v>
      </c>
      <c r="J6131" t="s">
        <v>90</v>
      </c>
    </row>
    <row r="6132" spans="1:10" x14ac:dyDescent="0.35">
      <c r="A6132">
        <v>16547</v>
      </c>
      <c r="B6132" t="s">
        <v>947</v>
      </c>
      <c r="C6132" t="s">
        <v>92</v>
      </c>
      <c r="D6132" t="s">
        <v>780</v>
      </c>
      <c r="E6132" t="s">
        <v>530</v>
      </c>
      <c r="F6132" t="s">
        <v>244</v>
      </c>
      <c r="G6132" s="39">
        <v>45481</v>
      </c>
      <c r="J6132" t="s">
        <v>90</v>
      </c>
    </row>
    <row r="6133" spans="1:10" x14ac:dyDescent="0.35">
      <c r="A6133">
        <v>16717</v>
      </c>
      <c r="B6133" t="s">
        <v>947</v>
      </c>
      <c r="C6133" t="s">
        <v>92</v>
      </c>
      <c r="D6133" t="s">
        <v>780</v>
      </c>
      <c r="E6133" t="s">
        <v>474</v>
      </c>
      <c r="F6133" t="s">
        <v>244</v>
      </c>
      <c r="G6133" s="39">
        <v>45544</v>
      </c>
      <c r="J6133" t="s">
        <v>90</v>
      </c>
    </row>
    <row r="6134" spans="1:10" x14ac:dyDescent="0.35">
      <c r="A6134">
        <v>820011</v>
      </c>
      <c r="B6134" t="s">
        <v>947</v>
      </c>
      <c r="C6134" t="s">
        <v>92</v>
      </c>
      <c r="D6134" t="s">
        <v>780</v>
      </c>
      <c r="E6134" t="s">
        <v>406</v>
      </c>
      <c r="F6134" t="s">
        <v>244</v>
      </c>
      <c r="G6134" s="39">
        <v>41549</v>
      </c>
      <c r="J6134" t="s">
        <v>90</v>
      </c>
    </row>
    <row r="6135" spans="1:10" x14ac:dyDescent="0.35">
      <c r="A6135">
        <v>820020</v>
      </c>
      <c r="B6135" t="s">
        <v>947</v>
      </c>
      <c r="C6135" t="s">
        <v>92</v>
      </c>
      <c r="D6135" t="s">
        <v>780</v>
      </c>
      <c r="E6135" t="s">
        <v>477</v>
      </c>
      <c r="F6135" t="s">
        <v>244</v>
      </c>
      <c r="G6135" s="39">
        <v>43885</v>
      </c>
      <c r="J6135" t="s">
        <v>90</v>
      </c>
    </row>
    <row r="6136" spans="1:10" x14ac:dyDescent="0.35">
      <c r="A6136">
        <v>15640</v>
      </c>
      <c r="B6136" t="s">
        <v>947</v>
      </c>
      <c r="C6136" t="s">
        <v>92</v>
      </c>
      <c r="D6136" t="s">
        <v>780</v>
      </c>
      <c r="E6136" t="s">
        <v>473</v>
      </c>
      <c r="F6136" t="s">
        <v>244</v>
      </c>
      <c r="G6136" s="39">
        <v>45149</v>
      </c>
      <c r="J6136" t="s">
        <v>90</v>
      </c>
    </row>
    <row r="6137" spans="1:10" x14ac:dyDescent="0.35">
      <c r="A6137">
        <v>820002</v>
      </c>
      <c r="B6137" t="s">
        <v>947</v>
      </c>
      <c r="C6137" t="s">
        <v>92</v>
      </c>
      <c r="D6137" t="s">
        <v>791</v>
      </c>
      <c r="E6137" t="s">
        <v>122</v>
      </c>
      <c r="F6137" t="s">
        <v>244</v>
      </c>
      <c r="G6137" s="39">
        <v>36717</v>
      </c>
      <c r="J6137" t="s">
        <v>90</v>
      </c>
    </row>
    <row r="6138" spans="1:10" x14ac:dyDescent="0.35">
      <c r="A6138">
        <v>250021</v>
      </c>
      <c r="B6138" t="s">
        <v>948</v>
      </c>
      <c r="C6138" t="s">
        <v>92</v>
      </c>
      <c r="D6138" t="s">
        <v>92</v>
      </c>
      <c r="E6138" t="s">
        <v>464</v>
      </c>
      <c r="F6138" t="s">
        <v>244</v>
      </c>
      <c r="G6138" s="39">
        <v>41061</v>
      </c>
      <c r="J6138" t="s">
        <v>90</v>
      </c>
    </row>
    <row r="6139" spans="1:10" x14ac:dyDescent="0.35">
      <c r="A6139">
        <v>880016</v>
      </c>
      <c r="B6139" t="s">
        <v>948</v>
      </c>
      <c r="C6139" t="s">
        <v>92</v>
      </c>
      <c r="D6139" t="s">
        <v>92</v>
      </c>
      <c r="E6139" t="s">
        <v>99</v>
      </c>
      <c r="F6139" t="s">
        <v>244</v>
      </c>
      <c r="G6139" s="39">
        <v>37186</v>
      </c>
      <c r="J6139" t="s">
        <v>90</v>
      </c>
    </row>
    <row r="6140" spans="1:10" x14ac:dyDescent="0.35">
      <c r="A6140">
        <v>880007</v>
      </c>
      <c r="B6140" t="s">
        <v>948</v>
      </c>
      <c r="C6140" t="s">
        <v>92</v>
      </c>
      <c r="D6140" t="s">
        <v>780</v>
      </c>
      <c r="E6140" t="s">
        <v>506</v>
      </c>
      <c r="F6140" t="s">
        <v>244</v>
      </c>
      <c r="G6140" s="39">
        <v>41015</v>
      </c>
      <c r="J6140" t="s">
        <v>90</v>
      </c>
    </row>
    <row r="6141" spans="1:10" x14ac:dyDescent="0.35">
      <c r="A6141">
        <v>410040</v>
      </c>
      <c r="B6141" t="s">
        <v>948</v>
      </c>
      <c r="C6141" t="s">
        <v>92</v>
      </c>
      <c r="D6141" t="s">
        <v>780</v>
      </c>
      <c r="E6141" t="s">
        <v>171</v>
      </c>
      <c r="F6141" t="s">
        <v>244</v>
      </c>
      <c r="G6141" s="39">
        <v>42130</v>
      </c>
      <c r="J6141" t="s">
        <v>90</v>
      </c>
    </row>
    <row r="6142" spans="1:10" x14ac:dyDescent="0.35">
      <c r="A6142">
        <v>880025</v>
      </c>
      <c r="B6142" t="s">
        <v>948</v>
      </c>
      <c r="C6142" t="s">
        <v>92</v>
      </c>
      <c r="D6142" t="s">
        <v>780</v>
      </c>
      <c r="E6142" t="s">
        <v>171</v>
      </c>
      <c r="F6142" t="s">
        <v>244</v>
      </c>
      <c r="G6142" s="39">
        <v>41852</v>
      </c>
      <c r="J6142" t="s">
        <v>90</v>
      </c>
    </row>
    <row r="6143" spans="1:10" x14ac:dyDescent="0.35">
      <c r="A6143">
        <v>880045</v>
      </c>
      <c r="B6143" t="s">
        <v>948</v>
      </c>
      <c r="C6143" t="s">
        <v>92</v>
      </c>
      <c r="D6143" t="s">
        <v>780</v>
      </c>
      <c r="E6143" t="s">
        <v>406</v>
      </c>
      <c r="F6143" t="s">
        <v>244</v>
      </c>
      <c r="G6143" s="39">
        <v>43761</v>
      </c>
      <c r="J6143" t="s">
        <v>90</v>
      </c>
    </row>
    <row r="6144" spans="1:10" x14ac:dyDescent="0.35">
      <c r="A6144">
        <v>880035</v>
      </c>
      <c r="B6144" t="s">
        <v>948</v>
      </c>
      <c r="C6144" t="s">
        <v>92</v>
      </c>
      <c r="D6144" t="s">
        <v>780</v>
      </c>
      <c r="E6144" t="s">
        <v>406</v>
      </c>
      <c r="F6144" t="s">
        <v>244</v>
      </c>
      <c r="G6144" s="39">
        <v>42831</v>
      </c>
      <c r="J6144" t="s">
        <v>90</v>
      </c>
    </row>
    <row r="6145" spans="1:10" x14ac:dyDescent="0.35">
      <c r="A6145">
        <v>880019</v>
      </c>
      <c r="B6145" t="s">
        <v>948</v>
      </c>
      <c r="C6145" t="s">
        <v>92</v>
      </c>
      <c r="D6145" t="s">
        <v>780</v>
      </c>
      <c r="E6145" t="s">
        <v>406</v>
      </c>
      <c r="F6145" t="s">
        <v>244</v>
      </c>
      <c r="G6145" s="39">
        <v>39692</v>
      </c>
      <c r="J6145" t="s">
        <v>90</v>
      </c>
    </row>
    <row r="6146" spans="1:10" x14ac:dyDescent="0.35">
      <c r="A6146">
        <v>300090</v>
      </c>
      <c r="B6146" t="s">
        <v>948</v>
      </c>
      <c r="C6146" t="s">
        <v>92</v>
      </c>
      <c r="D6146" t="s">
        <v>780</v>
      </c>
      <c r="E6146" t="s">
        <v>406</v>
      </c>
      <c r="F6146" t="s">
        <v>244</v>
      </c>
      <c r="G6146" s="39">
        <v>42905</v>
      </c>
      <c r="J6146" t="s">
        <v>90</v>
      </c>
    </row>
    <row r="6147" spans="1:10" x14ac:dyDescent="0.35">
      <c r="A6147">
        <v>880043</v>
      </c>
      <c r="B6147" t="s">
        <v>948</v>
      </c>
      <c r="C6147" t="s">
        <v>92</v>
      </c>
      <c r="D6147" t="s">
        <v>780</v>
      </c>
      <c r="E6147" t="s">
        <v>406</v>
      </c>
      <c r="F6147" t="s">
        <v>244</v>
      </c>
      <c r="G6147" s="39">
        <v>43406</v>
      </c>
      <c r="J6147" t="s">
        <v>90</v>
      </c>
    </row>
    <row r="6148" spans="1:10" x14ac:dyDescent="0.35">
      <c r="A6148">
        <v>880042</v>
      </c>
      <c r="B6148" t="s">
        <v>948</v>
      </c>
      <c r="C6148" t="s">
        <v>92</v>
      </c>
      <c r="D6148" t="s">
        <v>780</v>
      </c>
      <c r="E6148" t="s">
        <v>406</v>
      </c>
      <c r="F6148" t="s">
        <v>244</v>
      </c>
      <c r="G6148" s="39">
        <v>43347</v>
      </c>
      <c r="J6148" t="s">
        <v>90</v>
      </c>
    </row>
    <row r="6149" spans="1:10" x14ac:dyDescent="0.35">
      <c r="A6149">
        <v>880041</v>
      </c>
      <c r="B6149" t="s">
        <v>948</v>
      </c>
      <c r="C6149" t="s">
        <v>92</v>
      </c>
      <c r="D6149" t="s">
        <v>780</v>
      </c>
      <c r="E6149" t="s">
        <v>473</v>
      </c>
      <c r="F6149" t="s">
        <v>244</v>
      </c>
      <c r="G6149" s="39">
        <v>43326</v>
      </c>
      <c r="J6149" t="s">
        <v>90</v>
      </c>
    </row>
    <row r="6150" spans="1:10" x14ac:dyDescent="0.35">
      <c r="A6150">
        <v>17238</v>
      </c>
      <c r="B6150" t="s">
        <v>948</v>
      </c>
      <c r="C6150" t="s">
        <v>92</v>
      </c>
      <c r="D6150" t="s">
        <v>780</v>
      </c>
      <c r="E6150" t="s">
        <v>473</v>
      </c>
      <c r="F6150" t="s">
        <v>244</v>
      </c>
      <c r="G6150" s="39">
        <v>45679</v>
      </c>
      <c r="J6150" t="s">
        <v>90</v>
      </c>
    </row>
    <row r="6151" spans="1:10" x14ac:dyDescent="0.35">
      <c r="A6151">
        <v>880048</v>
      </c>
      <c r="B6151" t="s">
        <v>948</v>
      </c>
      <c r="C6151" t="s">
        <v>92</v>
      </c>
      <c r="D6151" t="s">
        <v>791</v>
      </c>
      <c r="E6151" t="s">
        <v>122</v>
      </c>
      <c r="F6151" t="s">
        <v>244</v>
      </c>
      <c r="G6151" s="39">
        <v>44410</v>
      </c>
      <c r="J6151" t="s">
        <v>90</v>
      </c>
    </row>
    <row r="6152" spans="1:10" x14ac:dyDescent="0.35">
      <c r="A6152">
        <v>14653</v>
      </c>
      <c r="B6152" t="s">
        <v>948</v>
      </c>
      <c r="C6152" t="s">
        <v>92</v>
      </c>
      <c r="D6152" t="s">
        <v>791</v>
      </c>
      <c r="E6152" t="s">
        <v>122</v>
      </c>
      <c r="F6152" t="s">
        <v>244</v>
      </c>
      <c r="G6152" s="39">
        <v>44816</v>
      </c>
      <c r="J6152" t="s">
        <v>90</v>
      </c>
    </row>
    <row r="6153" spans="1:10" x14ac:dyDescent="0.35">
      <c r="A6153">
        <v>430002</v>
      </c>
      <c r="B6153" t="s">
        <v>949</v>
      </c>
      <c r="C6153" t="s">
        <v>92</v>
      </c>
      <c r="D6153" t="s">
        <v>92</v>
      </c>
      <c r="E6153" t="s">
        <v>464</v>
      </c>
      <c r="F6153" t="s">
        <v>244</v>
      </c>
      <c r="G6153" s="39">
        <v>40696</v>
      </c>
      <c r="J6153" t="s">
        <v>90</v>
      </c>
    </row>
    <row r="6154" spans="1:10" x14ac:dyDescent="0.35">
      <c r="A6154">
        <v>430009</v>
      </c>
      <c r="B6154" t="s">
        <v>949</v>
      </c>
      <c r="C6154" t="s">
        <v>92</v>
      </c>
      <c r="D6154" t="s">
        <v>780</v>
      </c>
      <c r="E6154" t="s">
        <v>506</v>
      </c>
      <c r="F6154" t="s">
        <v>244</v>
      </c>
      <c r="G6154" s="39">
        <v>39223</v>
      </c>
      <c r="J6154" t="s">
        <v>90</v>
      </c>
    </row>
    <row r="6155" spans="1:10" x14ac:dyDescent="0.35">
      <c r="A6155">
        <v>17115</v>
      </c>
      <c r="B6155" t="s">
        <v>949</v>
      </c>
      <c r="C6155" t="s">
        <v>92</v>
      </c>
      <c r="D6155" t="s">
        <v>780</v>
      </c>
      <c r="E6155" t="s">
        <v>530</v>
      </c>
      <c r="F6155" t="s">
        <v>244</v>
      </c>
      <c r="G6155" s="39">
        <v>45635</v>
      </c>
      <c r="J6155" t="s">
        <v>90</v>
      </c>
    </row>
    <row r="6156" spans="1:10" x14ac:dyDescent="0.35">
      <c r="A6156">
        <v>750027</v>
      </c>
      <c r="B6156" t="s">
        <v>949</v>
      </c>
      <c r="C6156" t="s">
        <v>92</v>
      </c>
      <c r="D6156" t="s">
        <v>780</v>
      </c>
      <c r="E6156" t="s">
        <v>406</v>
      </c>
      <c r="F6156" t="s">
        <v>244</v>
      </c>
      <c r="G6156" s="39">
        <v>42436</v>
      </c>
      <c r="J6156" t="s">
        <v>90</v>
      </c>
    </row>
    <row r="6157" spans="1:10" x14ac:dyDescent="0.35">
      <c r="A6157">
        <v>430003</v>
      </c>
      <c r="B6157" t="s">
        <v>949</v>
      </c>
      <c r="C6157" t="s">
        <v>92</v>
      </c>
      <c r="D6157" t="s">
        <v>780</v>
      </c>
      <c r="E6157" t="s">
        <v>406</v>
      </c>
      <c r="F6157" t="s">
        <v>573</v>
      </c>
      <c r="G6157" s="39">
        <v>40544</v>
      </c>
      <c r="J6157" t="s">
        <v>90</v>
      </c>
    </row>
    <row r="6158" spans="1:10" x14ac:dyDescent="0.35">
      <c r="A6158">
        <v>430023</v>
      </c>
      <c r="B6158" t="s">
        <v>949</v>
      </c>
      <c r="C6158" t="s">
        <v>92</v>
      </c>
      <c r="D6158" t="s">
        <v>780</v>
      </c>
      <c r="E6158" t="s">
        <v>406</v>
      </c>
      <c r="F6158" t="s">
        <v>244</v>
      </c>
      <c r="G6158" s="39">
        <v>43866</v>
      </c>
      <c r="J6158" t="s">
        <v>90</v>
      </c>
    </row>
    <row r="6159" spans="1:10" x14ac:dyDescent="0.35">
      <c r="A6159">
        <v>750032</v>
      </c>
      <c r="B6159" t="s">
        <v>949</v>
      </c>
      <c r="C6159" t="s">
        <v>92</v>
      </c>
      <c r="D6159" t="s">
        <v>780</v>
      </c>
      <c r="E6159" t="s">
        <v>406</v>
      </c>
      <c r="F6159" t="s">
        <v>244</v>
      </c>
      <c r="G6159" s="39">
        <v>43781</v>
      </c>
      <c r="J6159" t="s">
        <v>90</v>
      </c>
    </row>
    <row r="6160" spans="1:10" x14ac:dyDescent="0.35">
      <c r="A6160">
        <v>14533</v>
      </c>
      <c r="B6160" t="s">
        <v>949</v>
      </c>
      <c r="C6160" t="s">
        <v>92</v>
      </c>
      <c r="D6160" t="s">
        <v>780</v>
      </c>
      <c r="E6160" t="s">
        <v>477</v>
      </c>
      <c r="F6160" t="s">
        <v>244</v>
      </c>
      <c r="G6160" s="39">
        <v>44778</v>
      </c>
      <c r="J6160" t="s">
        <v>90</v>
      </c>
    </row>
    <row r="6161" spans="1:10" x14ac:dyDescent="0.35">
      <c r="A6161">
        <v>750030</v>
      </c>
      <c r="B6161" t="s">
        <v>949</v>
      </c>
      <c r="C6161" t="s">
        <v>92</v>
      </c>
      <c r="D6161" t="s">
        <v>780</v>
      </c>
      <c r="E6161" t="s">
        <v>477</v>
      </c>
      <c r="F6161" t="s">
        <v>244</v>
      </c>
      <c r="G6161" s="39">
        <v>43256</v>
      </c>
      <c r="J6161" t="s">
        <v>90</v>
      </c>
    </row>
    <row r="6162" spans="1:10" x14ac:dyDescent="0.35">
      <c r="A6162">
        <v>14095</v>
      </c>
      <c r="B6162" t="s">
        <v>949</v>
      </c>
      <c r="C6162" t="s">
        <v>92</v>
      </c>
      <c r="D6162" t="s">
        <v>780</v>
      </c>
      <c r="E6162" t="s">
        <v>477</v>
      </c>
      <c r="F6162" t="s">
        <v>244</v>
      </c>
      <c r="G6162" s="39">
        <v>44657</v>
      </c>
      <c r="J6162" t="s">
        <v>90</v>
      </c>
    </row>
    <row r="6163" spans="1:10" x14ac:dyDescent="0.35">
      <c r="A6163">
        <v>430016</v>
      </c>
      <c r="B6163" t="s">
        <v>949</v>
      </c>
      <c r="C6163" t="s">
        <v>92</v>
      </c>
      <c r="D6163" t="s">
        <v>780</v>
      </c>
      <c r="E6163" t="s">
        <v>473</v>
      </c>
      <c r="F6163" t="s">
        <v>244</v>
      </c>
      <c r="G6163" s="39">
        <v>42646</v>
      </c>
      <c r="J6163" t="s">
        <v>90</v>
      </c>
    </row>
    <row r="6164" spans="1:10" x14ac:dyDescent="0.35">
      <c r="A6164">
        <v>18367</v>
      </c>
      <c r="B6164" t="s">
        <v>949</v>
      </c>
      <c r="C6164" t="s">
        <v>92</v>
      </c>
      <c r="D6164" t="s">
        <v>780</v>
      </c>
      <c r="E6164" t="s">
        <v>475</v>
      </c>
      <c r="F6164" t="s">
        <v>244</v>
      </c>
      <c r="G6164" s="39">
        <v>46113</v>
      </c>
      <c r="J6164" t="s">
        <v>90</v>
      </c>
    </row>
    <row r="6165" spans="1:10" x14ac:dyDescent="0.35">
      <c r="A6165">
        <v>14214</v>
      </c>
      <c r="B6165" t="s">
        <v>949</v>
      </c>
      <c r="C6165" t="s">
        <v>92</v>
      </c>
      <c r="D6165" t="s">
        <v>827</v>
      </c>
      <c r="E6165" t="s">
        <v>151</v>
      </c>
      <c r="F6165" t="s">
        <v>244</v>
      </c>
      <c r="G6165" s="39">
        <v>44699</v>
      </c>
      <c r="J6165" t="s">
        <v>90</v>
      </c>
    </row>
    <row r="6166" spans="1:10" x14ac:dyDescent="0.35">
      <c r="A6166">
        <v>430024</v>
      </c>
      <c r="B6166" t="s">
        <v>949</v>
      </c>
      <c r="C6166" t="s">
        <v>92</v>
      </c>
      <c r="D6166" t="s">
        <v>827</v>
      </c>
      <c r="E6166" t="s">
        <v>109</v>
      </c>
      <c r="F6166" t="s">
        <v>244</v>
      </c>
      <c r="G6166" s="39">
        <v>44462</v>
      </c>
      <c r="J6166" t="s">
        <v>90</v>
      </c>
    </row>
    <row r="6167" spans="1:10" x14ac:dyDescent="0.35">
      <c r="A6167">
        <v>14552</v>
      </c>
      <c r="B6167" t="s">
        <v>949</v>
      </c>
      <c r="C6167" t="s">
        <v>92</v>
      </c>
      <c r="D6167" t="s">
        <v>827</v>
      </c>
      <c r="E6167" t="s">
        <v>109</v>
      </c>
      <c r="F6167" t="s">
        <v>244</v>
      </c>
      <c r="G6167" s="39">
        <v>44783</v>
      </c>
      <c r="J6167" t="s">
        <v>90</v>
      </c>
    </row>
    <row r="6168" spans="1:10" x14ac:dyDescent="0.35">
      <c r="A6168">
        <v>430025</v>
      </c>
      <c r="B6168" t="s">
        <v>949</v>
      </c>
      <c r="C6168" t="s">
        <v>92</v>
      </c>
      <c r="D6168" t="s">
        <v>827</v>
      </c>
      <c r="E6168" t="s">
        <v>109</v>
      </c>
      <c r="F6168" t="s">
        <v>244</v>
      </c>
      <c r="G6168" s="39">
        <v>44476</v>
      </c>
      <c r="J6168" t="s">
        <v>90</v>
      </c>
    </row>
    <row r="6169" spans="1:10" x14ac:dyDescent="0.35">
      <c r="A6169">
        <v>15933</v>
      </c>
      <c r="B6169" t="s">
        <v>949</v>
      </c>
      <c r="C6169" t="s">
        <v>92</v>
      </c>
      <c r="D6169" t="s">
        <v>827</v>
      </c>
      <c r="E6169" t="s">
        <v>103</v>
      </c>
      <c r="F6169" t="s">
        <v>244</v>
      </c>
      <c r="G6169" s="39">
        <v>45245</v>
      </c>
      <c r="J6169" t="s">
        <v>90</v>
      </c>
    </row>
    <row r="6170" spans="1:10" x14ac:dyDescent="0.35">
      <c r="A6170">
        <v>16815</v>
      </c>
      <c r="B6170" t="s">
        <v>949</v>
      </c>
      <c r="C6170" t="s">
        <v>92</v>
      </c>
      <c r="D6170" t="s">
        <v>791</v>
      </c>
      <c r="E6170" t="s">
        <v>122</v>
      </c>
      <c r="F6170" t="s">
        <v>244</v>
      </c>
      <c r="G6170" s="39">
        <v>45559</v>
      </c>
      <c r="J6170" t="s">
        <v>90</v>
      </c>
    </row>
    <row r="6171" spans="1:10" x14ac:dyDescent="0.35">
      <c r="A6171">
        <v>118022</v>
      </c>
      <c r="B6171" t="s">
        <v>950</v>
      </c>
      <c r="C6171" t="s">
        <v>92</v>
      </c>
      <c r="D6171" t="s">
        <v>92</v>
      </c>
      <c r="E6171" t="s">
        <v>464</v>
      </c>
      <c r="F6171" t="s">
        <v>244</v>
      </c>
      <c r="G6171" s="39">
        <v>42555</v>
      </c>
      <c r="J6171" t="s">
        <v>90</v>
      </c>
    </row>
    <row r="6172" spans="1:10" x14ac:dyDescent="0.35">
      <c r="A6172">
        <v>17933</v>
      </c>
      <c r="B6172" t="s">
        <v>950</v>
      </c>
      <c r="C6172" t="s">
        <v>92</v>
      </c>
      <c r="D6172" t="s">
        <v>780</v>
      </c>
      <c r="E6172" t="s">
        <v>530</v>
      </c>
      <c r="F6172" t="s">
        <v>244</v>
      </c>
      <c r="G6172" s="39">
        <v>45924</v>
      </c>
      <c r="J6172" t="s">
        <v>90</v>
      </c>
    </row>
    <row r="6173" spans="1:10" x14ac:dyDescent="0.35">
      <c r="A6173">
        <v>15287</v>
      </c>
      <c r="B6173" t="s">
        <v>950</v>
      </c>
      <c r="C6173" t="s">
        <v>92</v>
      </c>
      <c r="D6173" t="s">
        <v>780</v>
      </c>
      <c r="E6173" t="s">
        <v>782</v>
      </c>
      <c r="F6173" t="s">
        <v>244</v>
      </c>
      <c r="G6173" s="39">
        <v>45012</v>
      </c>
      <c r="J6173" t="s">
        <v>90</v>
      </c>
    </row>
    <row r="6174" spans="1:10" x14ac:dyDescent="0.35">
      <c r="A6174">
        <v>14215</v>
      </c>
      <c r="B6174" t="s">
        <v>950</v>
      </c>
      <c r="C6174" t="s">
        <v>92</v>
      </c>
      <c r="D6174" t="s">
        <v>780</v>
      </c>
      <c r="E6174" t="s">
        <v>477</v>
      </c>
      <c r="F6174" t="s">
        <v>244</v>
      </c>
      <c r="G6174" s="39">
        <v>44699</v>
      </c>
      <c r="J6174" t="s">
        <v>90</v>
      </c>
    </row>
    <row r="6175" spans="1:10" x14ac:dyDescent="0.35">
      <c r="A6175">
        <v>14697</v>
      </c>
      <c r="B6175" t="s">
        <v>950</v>
      </c>
      <c r="C6175" t="s">
        <v>92</v>
      </c>
      <c r="D6175" t="s">
        <v>791</v>
      </c>
      <c r="E6175" t="s">
        <v>122</v>
      </c>
      <c r="F6175" t="s">
        <v>244</v>
      </c>
      <c r="G6175" s="39">
        <v>44826</v>
      </c>
      <c r="J6175" t="s">
        <v>90</v>
      </c>
    </row>
    <row r="6176" spans="1:10" x14ac:dyDescent="0.35">
      <c r="A6176">
        <v>490015</v>
      </c>
      <c r="B6176" t="s">
        <v>951</v>
      </c>
      <c r="C6176" t="s">
        <v>92</v>
      </c>
      <c r="D6176" t="s">
        <v>780</v>
      </c>
      <c r="E6176" t="s">
        <v>506</v>
      </c>
      <c r="F6176" t="s">
        <v>244</v>
      </c>
      <c r="G6176" s="39">
        <v>39699</v>
      </c>
      <c r="J6176" t="s">
        <v>90</v>
      </c>
    </row>
    <row r="6177" spans="1:10" x14ac:dyDescent="0.35">
      <c r="A6177">
        <v>490021</v>
      </c>
      <c r="B6177" t="s">
        <v>951</v>
      </c>
      <c r="C6177" t="s">
        <v>92</v>
      </c>
      <c r="D6177" t="s">
        <v>780</v>
      </c>
      <c r="E6177" t="s">
        <v>487</v>
      </c>
      <c r="F6177" t="s">
        <v>244</v>
      </c>
      <c r="G6177" s="39">
        <v>43824</v>
      </c>
      <c r="J6177" t="s">
        <v>90</v>
      </c>
    </row>
    <row r="6178" spans="1:10" x14ac:dyDescent="0.35">
      <c r="A6178">
        <v>300079</v>
      </c>
      <c r="B6178" t="s">
        <v>951</v>
      </c>
      <c r="C6178" t="s">
        <v>92</v>
      </c>
      <c r="D6178" t="s">
        <v>780</v>
      </c>
      <c r="E6178" t="s">
        <v>406</v>
      </c>
      <c r="F6178" t="s">
        <v>244</v>
      </c>
      <c r="G6178" s="39">
        <v>42881</v>
      </c>
      <c r="J6178" t="s">
        <v>90</v>
      </c>
    </row>
    <row r="6179" spans="1:10" x14ac:dyDescent="0.35">
      <c r="A6179">
        <v>490016</v>
      </c>
      <c r="B6179" t="s">
        <v>951</v>
      </c>
      <c r="C6179" t="s">
        <v>92</v>
      </c>
      <c r="D6179" t="s">
        <v>780</v>
      </c>
      <c r="E6179" t="s">
        <v>406</v>
      </c>
      <c r="F6179" t="s">
        <v>244</v>
      </c>
      <c r="G6179" s="39">
        <v>41925</v>
      </c>
      <c r="J6179" t="s">
        <v>90</v>
      </c>
    </row>
    <row r="6180" spans="1:10" x14ac:dyDescent="0.35">
      <c r="A6180">
        <v>490017</v>
      </c>
      <c r="B6180" t="s">
        <v>951</v>
      </c>
      <c r="C6180" t="s">
        <v>92</v>
      </c>
      <c r="D6180" t="s">
        <v>780</v>
      </c>
      <c r="E6180" t="s">
        <v>477</v>
      </c>
      <c r="F6180" t="s">
        <v>244</v>
      </c>
      <c r="G6180" s="39">
        <v>42909</v>
      </c>
      <c r="J6180" t="s">
        <v>90</v>
      </c>
    </row>
    <row r="6181" spans="1:10" x14ac:dyDescent="0.35">
      <c r="A6181">
        <v>490018</v>
      </c>
      <c r="B6181" t="s">
        <v>951</v>
      </c>
      <c r="C6181" t="s">
        <v>92</v>
      </c>
      <c r="D6181" t="s">
        <v>791</v>
      </c>
      <c r="E6181" t="s">
        <v>122</v>
      </c>
      <c r="F6181" t="s">
        <v>244</v>
      </c>
      <c r="G6181" s="39">
        <v>43000</v>
      </c>
      <c r="J6181" t="s">
        <v>90</v>
      </c>
    </row>
    <row r="6182" spans="1:10" x14ac:dyDescent="0.35">
      <c r="A6182">
        <v>850102</v>
      </c>
      <c r="B6182" t="s">
        <v>92</v>
      </c>
      <c r="C6182" t="s">
        <v>952</v>
      </c>
      <c r="D6182" t="s">
        <v>92</v>
      </c>
      <c r="E6182" t="s">
        <v>464</v>
      </c>
      <c r="F6182" t="s">
        <v>244</v>
      </c>
      <c r="G6182" s="39">
        <v>43755</v>
      </c>
      <c r="J6182" t="s">
        <v>90</v>
      </c>
    </row>
    <row r="6183" spans="1:10" x14ac:dyDescent="0.35">
      <c r="A6183">
        <v>15037</v>
      </c>
      <c r="B6183" t="s">
        <v>92</v>
      </c>
      <c r="C6183" t="s">
        <v>952</v>
      </c>
      <c r="D6183" t="s">
        <v>780</v>
      </c>
      <c r="E6183" t="s">
        <v>782</v>
      </c>
      <c r="F6183" t="s">
        <v>244</v>
      </c>
      <c r="G6183" s="39">
        <v>44931</v>
      </c>
      <c r="J6183" t="s">
        <v>90</v>
      </c>
    </row>
    <row r="6184" spans="1:10" x14ac:dyDescent="0.35">
      <c r="A6184">
        <v>15035</v>
      </c>
      <c r="B6184" t="s">
        <v>92</v>
      </c>
      <c r="C6184" t="s">
        <v>952</v>
      </c>
      <c r="D6184" t="s">
        <v>780</v>
      </c>
      <c r="E6184" t="s">
        <v>782</v>
      </c>
      <c r="F6184" t="s">
        <v>244</v>
      </c>
      <c r="G6184" s="39">
        <v>44931</v>
      </c>
      <c r="J6184" t="s">
        <v>90</v>
      </c>
    </row>
    <row r="6185" spans="1:10" x14ac:dyDescent="0.35">
      <c r="A6185">
        <v>15168</v>
      </c>
      <c r="B6185" t="s">
        <v>92</v>
      </c>
      <c r="C6185" t="s">
        <v>952</v>
      </c>
      <c r="D6185" t="s">
        <v>780</v>
      </c>
      <c r="E6185" t="s">
        <v>782</v>
      </c>
      <c r="F6185" t="s">
        <v>244</v>
      </c>
      <c r="G6185" s="39">
        <v>44971</v>
      </c>
      <c r="J6185" t="s">
        <v>90</v>
      </c>
    </row>
    <row r="6186" spans="1:10" x14ac:dyDescent="0.35">
      <c r="A6186">
        <v>15119</v>
      </c>
      <c r="B6186" t="s">
        <v>92</v>
      </c>
      <c r="C6186" t="s">
        <v>952</v>
      </c>
      <c r="D6186" t="s">
        <v>780</v>
      </c>
      <c r="E6186" t="s">
        <v>782</v>
      </c>
      <c r="F6186" t="s">
        <v>244</v>
      </c>
      <c r="G6186" s="39">
        <v>44958</v>
      </c>
      <c r="J6186" t="s">
        <v>90</v>
      </c>
    </row>
    <row r="6187" spans="1:10" x14ac:dyDescent="0.35">
      <c r="A6187">
        <v>121023</v>
      </c>
      <c r="B6187" t="s">
        <v>92</v>
      </c>
      <c r="C6187" t="s">
        <v>953</v>
      </c>
      <c r="D6187" t="s">
        <v>92</v>
      </c>
      <c r="E6187" t="s">
        <v>464</v>
      </c>
      <c r="F6187" t="s">
        <v>244</v>
      </c>
      <c r="G6187" s="39">
        <v>43699</v>
      </c>
      <c r="J6187" t="s">
        <v>90</v>
      </c>
    </row>
    <row r="6188" spans="1:10" x14ac:dyDescent="0.35">
      <c r="A6188">
        <v>15154</v>
      </c>
      <c r="B6188" t="s">
        <v>92</v>
      </c>
      <c r="C6188" t="s">
        <v>953</v>
      </c>
      <c r="D6188" t="s">
        <v>780</v>
      </c>
      <c r="E6188" t="s">
        <v>782</v>
      </c>
      <c r="F6188" t="s">
        <v>244</v>
      </c>
      <c r="G6188" s="39">
        <v>44965</v>
      </c>
      <c r="J6188" t="s">
        <v>90</v>
      </c>
    </row>
    <row r="6189" spans="1:10" x14ac:dyDescent="0.35">
      <c r="A6189">
        <v>15476</v>
      </c>
      <c r="B6189" t="s">
        <v>92</v>
      </c>
      <c r="C6189" t="s">
        <v>953</v>
      </c>
      <c r="D6189" t="s">
        <v>780</v>
      </c>
      <c r="E6189" t="s">
        <v>782</v>
      </c>
      <c r="F6189" t="s">
        <v>244</v>
      </c>
      <c r="G6189" s="39">
        <v>45085</v>
      </c>
      <c r="J6189" t="s">
        <v>90</v>
      </c>
    </row>
    <row r="6190" spans="1:10" x14ac:dyDescent="0.35">
      <c r="A6190">
        <v>15465</v>
      </c>
      <c r="B6190" t="s">
        <v>92</v>
      </c>
      <c r="C6190" t="s">
        <v>953</v>
      </c>
      <c r="D6190" t="s">
        <v>780</v>
      </c>
      <c r="E6190" t="s">
        <v>496</v>
      </c>
      <c r="F6190" t="s">
        <v>244</v>
      </c>
      <c r="G6190" s="39">
        <v>45082</v>
      </c>
      <c r="J6190" t="s">
        <v>90</v>
      </c>
    </row>
    <row r="6191" spans="1:10" x14ac:dyDescent="0.35">
      <c r="A6191">
        <v>15693</v>
      </c>
      <c r="B6191" t="s">
        <v>92</v>
      </c>
      <c r="C6191" t="s">
        <v>953</v>
      </c>
      <c r="D6191" t="s">
        <v>780</v>
      </c>
      <c r="E6191" t="s">
        <v>496</v>
      </c>
      <c r="F6191" t="s">
        <v>244</v>
      </c>
      <c r="G6191" s="39">
        <v>45166</v>
      </c>
      <c r="J6191" t="s">
        <v>90</v>
      </c>
    </row>
    <row r="6192" spans="1:10" x14ac:dyDescent="0.35">
      <c r="A6192">
        <v>360029</v>
      </c>
      <c r="B6192" t="s">
        <v>92</v>
      </c>
      <c r="C6192" t="s">
        <v>955</v>
      </c>
      <c r="D6192" t="s">
        <v>92</v>
      </c>
      <c r="E6192" t="s">
        <v>464</v>
      </c>
      <c r="F6192" t="s">
        <v>244</v>
      </c>
      <c r="G6192" s="39">
        <v>43678</v>
      </c>
      <c r="J6192" t="s">
        <v>90</v>
      </c>
    </row>
    <row r="6193" spans="1:10" x14ac:dyDescent="0.35">
      <c r="A6193">
        <v>15118</v>
      </c>
      <c r="B6193" t="s">
        <v>92</v>
      </c>
      <c r="C6193" t="s">
        <v>955</v>
      </c>
      <c r="D6193" t="s">
        <v>780</v>
      </c>
      <c r="E6193" t="s">
        <v>782</v>
      </c>
      <c r="F6193" t="s">
        <v>244</v>
      </c>
      <c r="G6193" s="39">
        <v>44952</v>
      </c>
      <c r="J6193" t="s">
        <v>90</v>
      </c>
    </row>
    <row r="6194" spans="1:10" x14ac:dyDescent="0.35">
      <c r="A6194">
        <v>360027</v>
      </c>
      <c r="B6194" t="s">
        <v>92</v>
      </c>
      <c r="C6194" t="s">
        <v>956</v>
      </c>
      <c r="D6194" t="s">
        <v>92</v>
      </c>
      <c r="E6194" t="s">
        <v>464</v>
      </c>
      <c r="F6194" t="s">
        <v>244</v>
      </c>
      <c r="G6194" s="39">
        <v>43678</v>
      </c>
      <c r="J6194" t="s">
        <v>90</v>
      </c>
    </row>
    <row r="6195" spans="1:10" x14ac:dyDescent="0.35">
      <c r="A6195">
        <v>15136</v>
      </c>
      <c r="B6195" t="s">
        <v>92</v>
      </c>
      <c r="C6195" t="s">
        <v>956</v>
      </c>
      <c r="D6195" t="s">
        <v>780</v>
      </c>
      <c r="E6195" t="s">
        <v>782</v>
      </c>
      <c r="F6195" t="s">
        <v>244</v>
      </c>
      <c r="G6195" s="39">
        <v>44959</v>
      </c>
      <c r="J6195" t="s">
        <v>90</v>
      </c>
    </row>
    <row r="6196" spans="1:10" x14ac:dyDescent="0.35">
      <c r="A6196">
        <v>15385</v>
      </c>
      <c r="B6196" t="s">
        <v>92</v>
      </c>
      <c r="C6196" t="s">
        <v>956</v>
      </c>
      <c r="D6196" t="s">
        <v>780</v>
      </c>
      <c r="E6196" t="s">
        <v>496</v>
      </c>
      <c r="F6196" t="s">
        <v>244</v>
      </c>
      <c r="G6196" s="39">
        <v>45050</v>
      </c>
      <c r="J6196" t="s">
        <v>90</v>
      </c>
    </row>
    <row r="6197" spans="1:10" x14ac:dyDescent="0.35">
      <c r="A6197">
        <v>15387</v>
      </c>
      <c r="B6197" t="s">
        <v>92</v>
      </c>
      <c r="C6197" t="s">
        <v>956</v>
      </c>
      <c r="D6197" t="s">
        <v>780</v>
      </c>
      <c r="E6197" t="s">
        <v>782</v>
      </c>
      <c r="F6197" t="s">
        <v>244</v>
      </c>
      <c r="G6197" s="39">
        <v>45050</v>
      </c>
      <c r="J6197" t="s">
        <v>90</v>
      </c>
    </row>
    <row r="6198" spans="1:10" x14ac:dyDescent="0.35">
      <c r="A6198">
        <v>15605</v>
      </c>
      <c r="B6198" t="s">
        <v>92</v>
      </c>
      <c r="C6198" t="s">
        <v>956</v>
      </c>
      <c r="D6198" t="s">
        <v>780</v>
      </c>
      <c r="E6198" t="s">
        <v>496</v>
      </c>
      <c r="F6198" t="s">
        <v>244</v>
      </c>
      <c r="G6198" s="39">
        <v>45133</v>
      </c>
      <c r="J6198" t="s">
        <v>90</v>
      </c>
    </row>
    <row r="6199" spans="1:10" x14ac:dyDescent="0.35">
      <c r="A6199">
        <v>18153</v>
      </c>
      <c r="B6199" t="s">
        <v>92</v>
      </c>
      <c r="C6199" t="s">
        <v>956</v>
      </c>
      <c r="D6199" t="s">
        <v>780</v>
      </c>
      <c r="E6199" t="s">
        <v>496</v>
      </c>
      <c r="F6199" t="s">
        <v>244</v>
      </c>
      <c r="G6199" s="39">
        <v>46016</v>
      </c>
      <c r="J6199" t="s">
        <v>90</v>
      </c>
    </row>
    <row r="6200" spans="1:10" x14ac:dyDescent="0.35">
      <c r="A6200">
        <v>17258</v>
      </c>
      <c r="B6200" t="s">
        <v>92</v>
      </c>
      <c r="C6200" t="s">
        <v>956</v>
      </c>
      <c r="D6200" t="s">
        <v>780</v>
      </c>
      <c r="E6200" t="s">
        <v>496</v>
      </c>
      <c r="F6200" t="s">
        <v>244</v>
      </c>
      <c r="G6200" s="39">
        <v>45692</v>
      </c>
      <c r="J6200" t="s">
        <v>90</v>
      </c>
    </row>
    <row r="6201" spans="1:10" x14ac:dyDescent="0.35">
      <c r="A6201">
        <v>17686</v>
      </c>
      <c r="B6201" t="s">
        <v>92</v>
      </c>
      <c r="C6201" t="s">
        <v>956</v>
      </c>
      <c r="D6201" t="s">
        <v>780</v>
      </c>
      <c r="E6201" t="s">
        <v>496</v>
      </c>
      <c r="F6201" t="s">
        <v>244</v>
      </c>
      <c r="G6201" s="39">
        <v>45845</v>
      </c>
      <c r="J6201" t="s">
        <v>90</v>
      </c>
    </row>
    <row r="6202" spans="1:10" x14ac:dyDescent="0.35">
      <c r="A6202">
        <v>850101</v>
      </c>
      <c r="B6202" t="s">
        <v>92</v>
      </c>
      <c r="C6202" t="s">
        <v>958</v>
      </c>
      <c r="D6202" t="s">
        <v>92</v>
      </c>
      <c r="E6202" t="s">
        <v>464</v>
      </c>
      <c r="F6202" t="s">
        <v>244</v>
      </c>
      <c r="G6202" s="39">
        <v>43755</v>
      </c>
      <c r="J6202" t="s">
        <v>90</v>
      </c>
    </row>
    <row r="6203" spans="1:10" x14ac:dyDescent="0.35">
      <c r="A6203">
        <v>360033</v>
      </c>
      <c r="B6203" t="s">
        <v>92</v>
      </c>
      <c r="C6203" t="s">
        <v>958</v>
      </c>
      <c r="D6203" t="s">
        <v>780</v>
      </c>
      <c r="E6203" t="s">
        <v>496</v>
      </c>
      <c r="F6203" t="s">
        <v>244</v>
      </c>
      <c r="G6203" s="39">
        <v>43759</v>
      </c>
      <c r="J6203" t="s">
        <v>90</v>
      </c>
    </row>
    <row r="6204" spans="1:10" x14ac:dyDescent="0.35">
      <c r="A6204">
        <v>15141</v>
      </c>
      <c r="B6204" t="s">
        <v>92</v>
      </c>
      <c r="C6204" t="s">
        <v>958</v>
      </c>
      <c r="D6204" t="s">
        <v>780</v>
      </c>
      <c r="E6204" t="s">
        <v>782</v>
      </c>
      <c r="F6204" t="s">
        <v>244</v>
      </c>
      <c r="G6204" s="39">
        <v>44963</v>
      </c>
      <c r="J6204" t="s">
        <v>90</v>
      </c>
    </row>
    <row r="6205" spans="1:10" x14ac:dyDescent="0.35">
      <c r="A6205">
        <v>15034</v>
      </c>
      <c r="B6205" t="s">
        <v>92</v>
      </c>
      <c r="C6205" t="s">
        <v>958</v>
      </c>
      <c r="D6205" t="s">
        <v>780</v>
      </c>
      <c r="E6205" t="s">
        <v>782</v>
      </c>
      <c r="F6205" t="s">
        <v>244</v>
      </c>
      <c r="G6205" s="39">
        <v>44923</v>
      </c>
      <c r="J6205" t="s">
        <v>90</v>
      </c>
    </row>
    <row r="6206" spans="1:10" x14ac:dyDescent="0.35">
      <c r="A6206">
        <v>15090</v>
      </c>
      <c r="B6206" t="s">
        <v>92</v>
      </c>
      <c r="C6206" t="s">
        <v>958</v>
      </c>
      <c r="D6206" t="s">
        <v>780</v>
      </c>
      <c r="E6206" t="s">
        <v>782</v>
      </c>
      <c r="F6206" t="s">
        <v>244</v>
      </c>
      <c r="G6206" s="39">
        <v>44944</v>
      </c>
      <c r="J6206" t="s">
        <v>90</v>
      </c>
    </row>
    <row r="6207" spans="1:10" x14ac:dyDescent="0.35">
      <c r="A6207">
        <v>15056</v>
      </c>
      <c r="B6207" t="s">
        <v>92</v>
      </c>
      <c r="C6207" t="s">
        <v>958</v>
      </c>
      <c r="D6207" t="s">
        <v>780</v>
      </c>
      <c r="E6207" t="s">
        <v>496</v>
      </c>
      <c r="F6207" t="s">
        <v>244</v>
      </c>
      <c r="G6207" s="39">
        <v>44935</v>
      </c>
      <c r="J6207" t="s">
        <v>90</v>
      </c>
    </row>
    <row r="6208" spans="1:10" x14ac:dyDescent="0.35">
      <c r="A6208">
        <v>350032</v>
      </c>
      <c r="B6208" t="s">
        <v>960</v>
      </c>
      <c r="C6208" t="s">
        <v>92</v>
      </c>
      <c r="D6208" t="s">
        <v>92</v>
      </c>
      <c r="E6208" t="s">
        <v>464</v>
      </c>
      <c r="F6208" t="s">
        <v>244</v>
      </c>
      <c r="G6208" s="39">
        <v>43678</v>
      </c>
      <c r="J6208" t="s">
        <v>90</v>
      </c>
    </row>
    <row r="6209" spans="1:10" x14ac:dyDescent="0.35">
      <c r="A6209">
        <v>330021</v>
      </c>
      <c r="B6209" t="s">
        <v>960</v>
      </c>
      <c r="C6209" t="s">
        <v>92</v>
      </c>
      <c r="D6209" t="s">
        <v>780</v>
      </c>
      <c r="E6209" t="s">
        <v>531</v>
      </c>
      <c r="F6209" t="s">
        <v>244</v>
      </c>
      <c r="G6209" s="39">
        <v>43647</v>
      </c>
      <c r="J6209" t="s">
        <v>90</v>
      </c>
    </row>
    <row r="6210" spans="1:10" x14ac:dyDescent="0.35">
      <c r="A6210">
        <v>15740</v>
      </c>
      <c r="B6210" t="s">
        <v>960</v>
      </c>
      <c r="C6210" t="s">
        <v>92</v>
      </c>
      <c r="D6210" t="s">
        <v>780</v>
      </c>
      <c r="E6210" t="s">
        <v>487</v>
      </c>
      <c r="F6210" t="s">
        <v>244</v>
      </c>
      <c r="G6210" s="39">
        <v>45181</v>
      </c>
      <c r="J6210" t="s">
        <v>90</v>
      </c>
    </row>
    <row r="6211" spans="1:10" x14ac:dyDescent="0.35">
      <c r="A6211">
        <v>330019</v>
      </c>
      <c r="B6211" t="s">
        <v>960</v>
      </c>
      <c r="C6211" t="s">
        <v>92</v>
      </c>
      <c r="D6211" t="s">
        <v>780</v>
      </c>
      <c r="E6211" t="s">
        <v>406</v>
      </c>
      <c r="F6211" t="s">
        <v>244</v>
      </c>
      <c r="G6211" s="39">
        <v>43647</v>
      </c>
      <c r="J6211" t="s">
        <v>90</v>
      </c>
    </row>
    <row r="6212" spans="1:10" x14ac:dyDescent="0.35">
      <c r="A6212">
        <v>330032</v>
      </c>
      <c r="B6212" t="s">
        <v>960</v>
      </c>
      <c r="C6212" t="s">
        <v>92</v>
      </c>
      <c r="D6212" t="s">
        <v>780</v>
      </c>
      <c r="E6212" t="s">
        <v>477</v>
      </c>
      <c r="F6212" t="s">
        <v>244</v>
      </c>
      <c r="G6212" s="39">
        <v>44238</v>
      </c>
      <c r="J6212" t="s">
        <v>90</v>
      </c>
    </row>
    <row r="6213" spans="1:10" x14ac:dyDescent="0.35">
      <c r="A6213">
        <v>15298</v>
      </c>
      <c r="B6213" t="s">
        <v>960</v>
      </c>
      <c r="C6213" t="s">
        <v>92</v>
      </c>
      <c r="D6213" t="s">
        <v>780</v>
      </c>
      <c r="E6213" t="s">
        <v>473</v>
      </c>
      <c r="F6213" t="s">
        <v>244</v>
      </c>
      <c r="G6213" s="39">
        <v>45020</v>
      </c>
      <c r="J6213" t="s">
        <v>90</v>
      </c>
    </row>
    <row r="6214" spans="1:10" x14ac:dyDescent="0.35">
      <c r="A6214">
        <v>16574</v>
      </c>
      <c r="B6214" t="s">
        <v>960</v>
      </c>
      <c r="C6214" t="s">
        <v>92</v>
      </c>
      <c r="D6214" t="s">
        <v>791</v>
      </c>
      <c r="E6214" t="s">
        <v>122</v>
      </c>
      <c r="F6214" t="s">
        <v>244</v>
      </c>
      <c r="G6214" s="39">
        <v>45475</v>
      </c>
      <c r="J6214" t="s">
        <v>90</v>
      </c>
    </row>
    <row r="6215" spans="1:10" x14ac:dyDescent="0.35">
      <c r="A6215">
        <v>350041</v>
      </c>
      <c r="B6215" t="s">
        <v>889</v>
      </c>
      <c r="C6215" t="s">
        <v>92</v>
      </c>
      <c r="D6215" t="s">
        <v>780</v>
      </c>
      <c r="E6215" t="s">
        <v>548</v>
      </c>
      <c r="F6215" t="s">
        <v>244</v>
      </c>
      <c r="G6215" s="39">
        <v>44141</v>
      </c>
      <c r="J6215" t="s">
        <v>90</v>
      </c>
    </row>
    <row r="6216" spans="1:10" x14ac:dyDescent="0.35">
      <c r="A6216">
        <v>14333</v>
      </c>
      <c r="B6216" t="s">
        <v>889</v>
      </c>
      <c r="C6216" t="s">
        <v>92</v>
      </c>
      <c r="D6216" t="s">
        <v>780</v>
      </c>
      <c r="E6216" t="s">
        <v>531</v>
      </c>
      <c r="F6216" t="s">
        <v>244</v>
      </c>
      <c r="G6216" s="39">
        <v>44735</v>
      </c>
      <c r="J6216" t="s">
        <v>90</v>
      </c>
    </row>
    <row r="6217" spans="1:10" x14ac:dyDescent="0.35">
      <c r="A6217">
        <v>16116</v>
      </c>
      <c r="B6217" t="s">
        <v>889</v>
      </c>
      <c r="C6217" t="s">
        <v>92</v>
      </c>
      <c r="D6217" t="s">
        <v>780</v>
      </c>
      <c r="E6217" t="s">
        <v>487</v>
      </c>
      <c r="F6217" t="s">
        <v>244</v>
      </c>
      <c r="G6217" s="39">
        <v>45288</v>
      </c>
      <c r="J6217" t="s">
        <v>90</v>
      </c>
    </row>
    <row r="6218" spans="1:10" x14ac:dyDescent="0.35">
      <c r="A6218">
        <v>350037</v>
      </c>
      <c r="B6218" t="s">
        <v>889</v>
      </c>
      <c r="C6218" t="s">
        <v>92</v>
      </c>
      <c r="D6218" t="s">
        <v>780</v>
      </c>
      <c r="E6218" t="s">
        <v>406</v>
      </c>
      <c r="F6218" t="s">
        <v>244</v>
      </c>
      <c r="G6218" s="39">
        <v>43691</v>
      </c>
      <c r="J6218" t="s">
        <v>90</v>
      </c>
    </row>
    <row r="6219" spans="1:10" x14ac:dyDescent="0.35">
      <c r="A6219">
        <v>350042</v>
      </c>
      <c r="B6219" t="s">
        <v>889</v>
      </c>
      <c r="C6219" t="s">
        <v>92</v>
      </c>
      <c r="D6219" t="s">
        <v>780</v>
      </c>
      <c r="E6219" t="s">
        <v>406</v>
      </c>
      <c r="F6219" t="s">
        <v>244</v>
      </c>
      <c r="G6219" s="39">
        <v>44369</v>
      </c>
      <c r="J6219" t="s">
        <v>90</v>
      </c>
    </row>
    <row r="6220" spans="1:10" x14ac:dyDescent="0.35">
      <c r="A6220">
        <v>350043</v>
      </c>
      <c r="B6220" t="s">
        <v>889</v>
      </c>
      <c r="C6220" t="s">
        <v>92</v>
      </c>
      <c r="D6220" t="s">
        <v>780</v>
      </c>
      <c r="E6220" t="s">
        <v>477</v>
      </c>
      <c r="F6220" t="s">
        <v>244</v>
      </c>
      <c r="G6220" s="39">
        <v>44550</v>
      </c>
      <c r="J6220" t="s">
        <v>90</v>
      </c>
    </row>
    <row r="6221" spans="1:10" x14ac:dyDescent="0.35">
      <c r="A6221">
        <v>350036</v>
      </c>
      <c r="B6221" t="s">
        <v>889</v>
      </c>
      <c r="C6221" t="s">
        <v>92</v>
      </c>
      <c r="D6221" t="s">
        <v>791</v>
      </c>
      <c r="E6221" t="s">
        <v>122</v>
      </c>
      <c r="F6221" t="s">
        <v>244</v>
      </c>
      <c r="G6221" s="39">
        <v>43678</v>
      </c>
      <c r="J6221" t="s">
        <v>90</v>
      </c>
    </row>
    <row r="6222" spans="1:10" x14ac:dyDescent="0.35">
      <c r="A6222">
        <v>17012</v>
      </c>
      <c r="B6222" t="s">
        <v>954</v>
      </c>
      <c r="C6222" t="s">
        <v>92</v>
      </c>
      <c r="D6222" t="s">
        <v>780</v>
      </c>
      <c r="E6222" t="s">
        <v>474</v>
      </c>
      <c r="F6222" t="s">
        <v>244</v>
      </c>
      <c r="G6222" s="39">
        <v>45621</v>
      </c>
      <c r="J6222" t="s">
        <v>90</v>
      </c>
    </row>
    <row r="6223" spans="1:10" x14ac:dyDescent="0.35">
      <c r="A6223">
        <v>360032</v>
      </c>
      <c r="B6223" t="s">
        <v>954</v>
      </c>
      <c r="C6223" t="s">
        <v>92</v>
      </c>
      <c r="D6223" t="s">
        <v>780</v>
      </c>
      <c r="E6223" t="s">
        <v>406</v>
      </c>
      <c r="F6223" t="s">
        <v>244</v>
      </c>
      <c r="G6223" s="39">
        <v>43759</v>
      </c>
      <c r="J6223" t="s">
        <v>90</v>
      </c>
    </row>
    <row r="6224" spans="1:10" x14ac:dyDescent="0.35">
      <c r="A6224">
        <v>16274</v>
      </c>
      <c r="B6224" t="s">
        <v>954</v>
      </c>
      <c r="C6224" t="s">
        <v>92</v>
      </c>
      <c r="D6224" t="s">
        <v>780</v>
      </c>
      <c r="E6224" t="s">
        <v>473</v>
      </c>
      <c r="F6224" t="s">
        <v>244</v>
      </c>
      <c r="G6224" s="39">
        <v>45338</v>
      </c>
      <c r="J6224" t="s">
        <v>90</v>
      </c>
    </row>
    <row r="6225" spans="1:10" x14ac:dyDescent="0.35">
      <c r="A6225">
        <v>16209</v>
      </c>
      <c r="B6225" t="s">
        <v>954</v>
      </c>
      <c r="C6225" t="s">
        <v>92</v>
      </c>
      <c r="D6225" t="s">
        <v>780</v>
      </c>
      <c r="E6225" t="s">
        <v>473</v>
      </c>
      <c r="F6225" t="s">
        <v>244</v>
      </c>
      <c r="G6225" s="39">
        <v>45352</v>
      </c>
      <c r="J6225" t="s">
        <v>90</v>
      </c>
    </row>
    <row r="6226" spans="1:10" x14ac:dyDescent="0.35">
      <c r="A6226">
        <v>18616</v>
      </c>
      <c r="B6226" t="s">
        <v>954</v>
      </c>
      <c r="C6226" t="s">
        <v>92</v>
      </c>
      <c r="D6226" t="s">
        <v>780</v>
      </c>
      <c r="E6226" t="s">
        <v>824</v>
      </c>
      <c r="F6226" t="s">
        <v>244</v>
      </c>
      <c r="G6226" s="39">
        <v>46174</v>
      </c>
      <c r="J6226" t="s">
        <v>90</v>
      </c>
    </row>
    <row r="6227" spans="1:10" x14ac:dyDescent="0.35">
      <c r="A6227">
        <v>15964</v>
      </c>
      <c r="B6227" t="s">
        <v>954</v>
      </c>
      <c r="C6227" t="s">
        <v>92</v>
      </c>
      <c r="D6227" t="s">
        <v>791</v>
      </c>
      <c r="E6227" t="s">
        <v>122</v>
      </c>
      <c r="F6227" t="s">
        <v>244</v>
      </c>
      <c r="G6227" s="39">
        <v>45245</v>
      </c>
      <c r="J6227" t="s">
        <v>90</v>
      </c>
    </row>
    <row r="6228" spans="1:10" x14ac:dyDescent="0.35">
      <c r="A6228">
        <v>13393</v>
      </c>
      <c r="B6228" t="s">
        <v>961</v>
      </c>
      <c r="C6228" t="s">
        <v>92</v>
      </c>
      <c r="D6228" t="s">
        <v>92</v>
      </c>
      <c r="E6228" t="s">
        <v>464</v>
      </c>
      <c r="F6228" t="s">
        <v>244</v>
      </c>
      <c r="G6228" s="39">
        <v>44421</v>
      </c>
      <c r="J6228" t="s">
        <v>90</v>
      </c>
    </row>
    <row r="6229" spans="1:10" x14ac:dyDescent="0.35">
      <c r="A6229">
        <v>850106</v>
      </c>
      <c r="B6229" t="s">
        <v>961</v>
      </c>
      <c r="C6229" t="s">
        <v>92</v>
      </c>
      <c r="D6229" t="s">
        <v>92</v>
      </c>
      <c r="E6229" t="s">
        <v>99</v>
      </c>
      <c r="F6229" t="s">
        <v>244</v>
      </c>
      <c r="G6229" s="39">
        <v>43755</v>
      </c>
      <c r="J6229" t="s">
        <v>90</v>
      </c>
    </row>
    <row r="6230" spans="1:10" x14ac:dyDescent="0.35">
      <c r="A6230">
        <v>370024</v>
      </c>
      <c r="B6230" t="s">
        <v>961</v>
      </c>
      <c r="C6230" t="s">
        <v>92</v>
      </c>
      <c r="D6230" t="s">
        <v>780</v>
      </c>
      <c r="E6230" t="s">
        <v>506</v>
      </c>
      <c r="F6230" t="s">
        <v>244</v>
      </c>
      <c r="G6230" s="39">
        <v>43731</v>
      </c>
      <c r="J6230" t="s">
        <v>90</v>
      </c>
    </row>
    <row r="6231" spans="1:10" x14ac:dyDescent="0.35">
      <c r="A6231">
        <v>14106</v>
      </c>
      <c r="B6231" t="s">
        <v>961</v>
      </c>
      <c r="C6231" t="s">
        <v>92</v>
      </c>
      <c r="D6231" t="s">
        <v>780</v>
      </c>
      <c r="E6231" t="s">
        <v>531</v>
      </c>
      <c r="F6231" t="s">
        <v>244</v>
      </c>
      <c r="G6231" s="39">
        <v>44658</v>
      </c>
      <c r="J6231" t="s">
        <v>90</v>
      </c>
    </row>
    <row r="6232" spans="1:10" x14ac:dyDescent="0.35">
      <c r="A6232">
        <v>850103</v>
      </c>
      <c r="B6232" t="s">
        <v>961</v>
      </c>
      <c r="C6232" t="s">
        <v>92</v>
      </c>
      <c r="D6232" t="s">
        <v>780</v>
      </c>
      <c r="E6232" t="s">
        <v>531</v>
      </c>
      <c r="F6232" t="s">
        <v>244</v>
      </c>
      <c r="G6232" s="39">
        <v>43755</v>
      </c>
      <c r="J6232" t="s">
        <v>90</v>
      </c>
    </row>
    <row r="6233" spans="1:10" x14ac:dyDescent="0.35">
      <c r="A6233">
        <v>18259</v>
      </c>
      <c r="B6233" t="s">
        <v>961</v>
      </c>
      <c r="C6233" t="s">
        <v>92</v>
      </c>
      <c r="D6233" t="s">
        <v>780</v>
      </c>
      <c r="E6233" t="s">
        <v>475</v>
      </c>
      <c r="F6233" t="s">
        <v>244</v>
      </c>
      <c r="G6233" s="39">
        <v>46076</v>
      </c>
      <c r="J6233" t="s">
        <v>90</v>
      </c>
    </row>
    <row r="6234" spans="1:10" x14ac:dyDescent="0.35">
      <c r="A6234">
        <v>15457</v>
      </c>
      <c r="B6234" t="s">
        <v>961</v>
      </c>
      <c r="C6234" t="s">
        <v>92</v>
      </c>
      <c r="D6234" t="s">
        <v>780</v>
      </c>
      <c r="E6234" t="s">
        <v>531</v>
      </c>
      <c r="F6234" t="s">
        <v>244</v>
      </c>
      <c r="G6234" s="39">
        <v>45078</v>
      </c>
      <c r="J6234" t="s">
        <v>90</v>
      </c>
    </row>
    <row r="6235" spans="1:10" x14ac:dyDescent="0.35">
      <c r="A6235">
        <v>12439</v>
      </c>
      <c r="B6235" t="s">
        <v>961</v>
      </c>
      <c r="C6235" t="s">
        <v>92</v>
      </c>
      <c r="D6235" t="s">
        <v>780</v>
      </c>
      <c r="E6235" t="s">
        <v>171</v>
      </c>
      <c r="F6235" t="s">
        <v>244</v>
      </c>
      <c r="G6235" s="39">
        <v>43755</v>
      </c>
      <c r="J6235" t="s">
        <v>90</v>
      </c>
    </row>
    <row r="6236" spans="1:10" x14ac:dyDescent="0.35">
      <c r="A6236">
        <v>12442</v>
      </c>
      <c r="B6236" t="s">
        <v>961</v>
      </c>
      <c r="C6236" t="s">
        <v>92</v>
      </c>
      <c r="D6236" t="s">
        <v>780</v>
      </c>
      <c r="E6236" t="s">
        <v>171</v>
      </c>
      <c r="F6236" t="s">
        <v>244</v>
      </c>
      <c r="G6236" s="39">
        <v>43755</v>
      </c>
      <c r="J6236" t="s">
        <v>90</v>
      </c>
    </row>
    <row r="6237" spans="1:10" x14ac:dyDescent="0.35">
      <c r="A6237">
        <v>14463</v>
      </c>
      <c r="B6237" t="s">
        <v>961</v>
      </c>
      <c r="C6237" t="s">
        <v>92</v>
      </c>
      <c r="D6237" t="s">
        <v>780</v>
      </c>
      <c r="E6237" t="s">
        <v>496</v>
      </c>
      <c r="F6237" t="s">
        <v>244</v>
      </c>
      <c r="G6237" s="39">
        <v>44762</v>
      </c>
      <c r="J6237" t="s">
        <v>90</v>
      </c>
    </row>
    <row r="6238" spans="1:10" x14ac:dyDescent="0.35">
      <c r="A6238">
        <v>18260</v>
      </c>
      <c r="B6238" t="s">
        <v>961</v>
      </c>
      <c r="C6238" t="s">
        <v>92</v>
      </c>
      <c r="D6238" t="s">
        <v>780</v>
      </c>
      <c r="E6238" t="s">
        <v>783</v>
      </c>
      <c r="F6238" t="s">
        <v>244</v>
      </c>
      <c r="G6238" s="39">
        <v>46076</v>
      </c>
      <c r="J6238" t="s">
        <v>90</v>
      </c>
    </row>
    <row r="6239" spans="1:10" x14ac:dyDescent="0.35">
      <c r="A6239">
        <v>340022</v>
      </c>
      <c r="B6239" t="s">
        <v>961</v>
      </c>
      <c r="C6239" t="s">
        <v>92</v>
      </c>
      <c r="D6239" t="s">
        <v>780</v>
      </c>
      <c r="E6239" t="s">
        <v>406</v>
      </c>
      <c r="F6239" t="s">
        <v>244</v>
      </c>
      <c r="G6239" s="39">
        <v>43731</v>
      </c>
      <c r="J6239" t="s">
        <v>90</v>
      </c>
    </row>
    <row r="6240" spans="1:10" x14ac:dyDescent="0.35">
      <c r="A6240">
        <v>370022</v>
      </c>
      <c r="B6240" t="s">
        <v>961</v>
      </c>
      <c r="C6240" t="s">
        <v>92</v>
      </c>
      <c r="D6240" t="s">
        <v>780</v>
      </c>
      <c r="E6240" t="s">
        <v>477</v>
      </c>
      <c r="F6240" t="s">
        <v>244</v>
      </c>
      <c r="G6240" s="39">
        <v>43731</v>
      </c>
      <c r="J6240" t="s">
        <v>90</v>
      </c>
    </row>
    <row r="6241" spans="1:10" x14ac:dyDescent="0.35">
      <c r="A6241">
        <v>360031</v>
      </c>
      <c r="B6241" t="s">
        <v>961</v>
      </c>
      <c r="C6241" t="s">
        <v>92</v>
      </c>
      <c r="D6241" t="s">
        <v>780</v>
      </c>
      <c r="E6241" t="s">
        <v>406</v>
      </c>
      <c r="F6241" t="s">
        <v>244</v>
      </c>
      <c r="G6241" s="39">
        <v>43759</v>
      </c>
      <c r="J6241" t="s">
        <v>90</v>
      </c>
    </row>
    <row r="6242" spans="1:10" x14ac:dyDescent="0.35">
      <c r="A6242">
        <v>850108</v>
      </c>
      <c r="B6242" t="s">
        <v>961</v>
      </c>
      <c r="C6242" t="s">
        <v>92</v>
      </c>
      <c r="D6242" t="s">
        <v>780</v>
      </c>
      <c r="E6242" t="s">
        <v>406</v>
      </c>
      <c r="F6242" t="s">
        <v>244</v>
      </c>
      <c r="G6242" s="39">
        <v>43763</v>
      </c>
      <c r="J6242" t="s">
        <v>90</v>
      </c>
    </row>
    <row r="6243" spans="1:10" x14ac:dyDescent="0.35">
      <c r="A6243">
        <v>850113</v>
      </c>
      <c r="B6243" t="s">
        <v>961</v>
      </c>
      <c r="C6243" t="s">
        <v>92</v>
      </c>
      <c r="D6243" t="s">
        <v>780</v>
      </c>
      <c r="E6243" t="s">
        <v>477</v>
      </c>
      <c r="F6243" t="s">
        <v>244</v>
      </c>
      <c r="G6243" s="39">
        <v>44166</v>
      </c>
      <c r="J6243" t="s">
        <v>90</v>
      </c>
    </row>
    <row r="6244" spans="1:10" x14ac:dyDescent="0.35">
      <c r="A6244">
        <v>370029</v>
      </c>
      <c r="B6244" t="s">
        <v>961</v>
      </c>
      <c r="C6244" t="s">
        <v>92</v>
      </c>
      <c r="D6244" t="s">
        <v>780</v>
      </c>
      <c r="E6244" t="s">
        <v>406</v>
      </c>
      <c r="F6244" t="s">
        <v>244</v>
      </c>
      <c r="G6244" s="39">
        <v>44238</v>
      </c>
      <c r="J6244" t="s">
        <v>90</v>
      </c>
    </row>
    <row r="6245" spans="1:10" x14ac:dyDescent="0.35">
      <c r="A6245">
        <v>850112</v>
      </c>
      <c r="B6245" t="s">
        <v>961</v>
      </c>
      <c r="C6245" t="s">
        <v>92</v>
      </c>
      <c r="D6245" t="s">
        <v>780</v>
      </c>
      <c r="E6245" t="s">
        <v>473</v>
      </c>
      <c r="F6245" t="s">
        <v>411</v>
      </c>
      <c r="G6245" s="39">
        <v>44141</v>
      </c>
      <c r="J6245" t="s">
        <v>90</v>
      </c>
    </row>
    <row r="6246" spans="1:10" x14ac:dyDescent="0.35">
      <c r="A6246">
        <v>15967</v>
      </c>
      <c r="B6246" t="s">
        <v>961</v>
      </c>
      <c r="C6246" t="s">
        <v>92</v>
      </c>
      <c r="D6246" t="s">
        <v>780</v>
      </c>
      <c r="E6246" t="s">
        <v>473</v>
      </c>
      <c r="F6246" t="s">
        <v>244</v>
      </c>
      <c r="G6246" s="39">
        <v>45253</v>
      </c>
      <c r="J6246" t="s">
        <v>90</v>
      </c>
    </row>
    <row r="6247" spans="1:10" x14ac:dyDescent="0.35">
      <c r="A6247">
        <v>16251</v>
      </c>
      <c r="B6247" t="s">
        <v>961</v>
      </c>
      <c r="C6247" t="s">
        <v>92</v>
      </c>
      <c r="D6247" t="s">
        <v>780</v>
      </c>
      <c r="E6247" t="s">
        <v>477</v>
      </c>
      <c r="F6247" t="s">
        <v>244</v>
      </c>
      <c r="G6247" s="39">
        <v>45330</v>
      </c>
      <c r="J6247" t="s">
        <v>90</v>
      </c>
    </row>
    <row r="6248" spans="1:10" x14ac:dyDescent="0.35">
      <c r="A6248">
        <v>16423</v>
      </c>
      <c r="B6248" t="s">
        <v>961</v>
      </c>
      <c r="C6248" t="s">
        <v>92</v>
      </c>
      <c r="D6248" t="s">
        <v>780</v>
      </c>
      <c r="E6248" t="s">
        <v>473</v>
      </c>
      <c r="F6248" t="s">
        <v>244</v>
      </c>
      <c r="G6248" s="39">
        <v>45386</v>
      </c>
      <c r="J6248" t="s">
        <v>90</v>
      </c>
    </row>
    <row r="6249" spans="1:10" x14ac:dyDescent="0.35">
      <c r="A6249">
        <v>17734</v>
      </c>
      <c r="B6249" t="s">
        <v>961</v>
      </c>
      <c r="C6249" t="s">
        <v>92</v>
      </c>
      <c r="D6249" t="s">
        <v>780</v>
      </c>
      <c r="E6249" t="s">
        <v>473</v>
      </c>
      <c r="F6249" t="s">
        <v>244</v>
      </c>
      <c r="G6249" s="39">
        <v>45859</v>
      </c>
      <c r="J6249" t="s">
        <v>90</v>
      </c>
    </row>
    <row r="6250" spans="1:10" x14ac:dyDescent="0.35">
      <c r="A6250">
        <v>18545</v>
      </c>
      <c r="B6250" t="s">
        <v>961</v>
      </c>
      <c r="C6250" t="s">
        <v>92</v>
      </c>
      <c r="D6250" t="s">
        <v>780</v>
      </c>
      <c r="E6250" t="s">
        <v>823</v>
      </c>
      <c r="F6250" t="s">
        <v>244</v>
      </c>
      <c r="G6250" s="39">
        <v>46150</v>
      </c>
      <c r="J6250" t="s">
        <v>90</v>
      </c>
    </row>
    <row r="6251" spans="1:10" x14ac:dyDescent="0.35">
      <c r="A6251">
        <v>17287</v>
      </c>
      <c r="B6251" t="s">
        <v>961</v>
      </c>
      <c r="C6251" t="s">
        <v>92</v>
      </c>
      <c r="D6251" t="s">
        <v>780</v>
      </c>
      <c r="E6251" t="s">
        <v>823</v>
      </c>
      <c r="F6251" t="s">
        <v>244</v>
      </c>
      <c r="G6251" s="39">
        <v>45695</v>
      </c>
      <c r="J6251" t="s">
        <v>90</v>
      </c>
    </row>
    <row r="6252" spans="1:10" x14ac:dyDescent="0.35">
      <c r="A6252">
        <v>850109</v>
      </c>
      <c r="B6252" t="s">
        <v>961</v>
      </c>
      <c r="C6252" t="s">
        <v>92</v>
      </c>
      <c r="D6252" t="s">
        <v>791</v>
      </c>
      <c r="E6252" t="s">
        <v>122</v>
      </c>
      <c r="F6252" t="s">
        <v>244</v>
      </c>
      <c r="G6252" s="39">
        <v>43819</v>
      </c>
      <c r="J6252" t="s">
        <v>90</v>
      </c>
    </row>
    <row r="6253" spans="1:10" x14ac:dyDescent="0.35">
      <c r="A6253">
        <v>850116</v>
      </c>
      <c r="B6253" t="s">
        <v>961</v>
      </c>
      <c r="C6253" t="s">
        <v>92</v>
      </c>
      <c r="D6253" t="s">
        <v>791</v>
      </c>
      <c r="E6253" t="s">
        <v>122</v>
      </c>
      <c r="F6253" t="s">
        <v>244</v>
      </c>
      <c r="G6253" s="39">
        <v>44593</v>
      </c>
      <c r="J6253" t="s">
        <v>90</v>
      </c>
    </row>
    <row r="6254" spans="1:10" x14ac:dyDescent="0.35">
      <c r="A6254">
        <v>17595</v>
      </c>
      <c r="B6254" t="s">
        <v>961</v>
      </c>
      <c r="C6254" t="s">
        <v>92</v>
      </c>
      <c r="D6254" t="s">
        <v>827</v>
      </c>
      <c r="E6254" t="s">
        <v>151</v>
      </c>
      <c r="F6254" t="s">
        <v>244</v>
      </c>
      <c r="G6254" s="39">
        <v>45804</v>
      </c>
      <c r="J6254" t="s">
        <v>90</v>
      </c>
    </row>
    <row r="6255" spans="1:10" x14ac:dyDescent="0.35">
      <c r="A6255">
        <v>14426</v>
      </c>
      <c r="B6255" t="s">
        <v>961</v>
      </c>
      <c r="C6255" t="s">
        <v>92</v>
      </c>
      <c r="D6255" t="s">
        <v>827</v>
      </c>
      <c r="E6255" t="s">
        <v>109</v>
      </c>
      <c r="F6255" t="s">
        <v>244</v>
      </c>
      <c r="G6255" s="39">
        <v>44756</v>
      </c>
      <c r="J6255" t="s">
        <v>90</v>
      </c>
    </row>
    <row r="6256" spans="1:10" x14ac:dyDescent="0.35">
      <c r="A6256">
        <v>14634</v>
      </c>
      <c r="B6256" t="s">
        <v>961</v>
      </c>
      <c r="C6256" t="s">
        <v>92</v>
      </c>
      <c r="D6256" t="s">
        <v>827</v>
      </c>
      <c r="E6256" t="s">
        <v>102</v>
      </c>
      <c r="F6256" t="s">
        <v>244</v>
      </c>
      <c r="G6256" s="39">
        <v>44811</v>
      </c>
      <c r="J6256" t="s">
        <v>90</v>
      </c>
    </row>
    <row r="6257" spans="1:10" x14ac:dyDescent="0.35">
      <c r="A6257">
        <v>15748</v>
      </c>
      <c r="B6257" t="s">
        <v>961</v>
      </c>
      <c r="C6257" t="s">
        <v>92</v>
      </c>
      <c r="D6257" t="s">
        <v>827</v>
      </c>
      <c r="E6257" t="s">
        <v>102</v>
      </c>
      <c r="F6257" t="s">
        <v>244</v>
      </c>
      <c r="G6257" s="39">
        <v>45184</v>
      </c>
      <c r="J6257" t="s">
        <v>90</v>
      </c>
    </row>
    <row r="6258" spans="1:10" x14ac:dyDescent="0.35">
      <c r="A6258">
        <v>17026</v>
      </c>
      <c r="B6258" t="s">
        <v>961</v>
      </c>
      <c r="C6258" t="s">
        <v>92</v>
      </c>
      <c r="D6258" t="s">
        <v>827</v>
      </c>
      <c r="E6258" t="s">
        <v>103</v>
      </c>
      <c r="F6258" t="s">
        <v>244</v>
      </c>
      <c r="G6258" s="39">
        <v>45615</v>
      </c>
      <c r="J6258" t="s">
        <v>90</v>
      </c>
    </row>
    <row r="6259" spans="1:10" x14ac:dyDescent="0.35">
      <c r="A6259">
        <v>17143</v>
      </c>
      <c r="B6259" t="s">
        <v>961</v>
      </c>
      <c r="C6259" t="s">
        <v>92</v>
      </c>
      <c r="D6259" t="s">
        <v>780</v>
      </c>
      <c r="E6259" t="s">
        <v>858</v>
      </c>
      <c r="F6259" t="s">
        <v>244</v>
      </c>
      <c r="G6259" s="39">
        <v>45649</v>
      </c>
      <c r="J6259" t="s">
        <v>90</v>
      </c>
    </row>
    <row r="6260" spans="1:10" x14ac:dyDescent="0.35">
      <c r="A6260">
        <v>350033</v>
      </c>
      <c r="B6260" t="s">
        <v>962</v>
      </c>
      <c r="C6260" t="s">
        <v>92</v>
      </c>
      <c r="D6260" t="s">
        <v>92</v>
      </c>
      <c r="E6260" t="s">
        <v>464</v>
      </c>
      <c r="F6260" t="s">
        <v>244</v>
      </c>
      <c r="G6260" s="39">
        <v>43678</v>
      </c>
      <c r="J6260" t="s">
        <v>90</v>
      </c>
    </row>
    <row r="6261" spans="1:10" x14ac:dyDescent="0.35">
      <c r="A6261">
        <v>340025</v>
      </c>
      <c r="B6261" t="s">
        <v>962</v>
      </c>
      <c r="C6261" t="s">
        <v>92</v>
      </c>
      <c r="D6261" t="s">
        <v>780</v>
      </c>
      <c r="E6261" t="s">
        <v>531</v>
      </c>
      <c r="F6261" t="s">
        <v>244</v>
      </c>
      <c r="G6261" s="39">
        <v>43731</v>
      </c>
      <c r="J6261" t="s">
        <v>90</v>
      </c>
    </row>
    <row r="6262" spans="1:10" x14ac:dyDescent="0.35">
      <c r="A6262">
        <v>15473</v>
      </c>
      <c r="B6262" t="s">
        <v>962</v>
      </c>
      <c r="C6262" t="s">
        <v>92</v>
      </c>
      <c r="D6262" t="s">
        <v>780</v>
      </c>
      <c r="E6262" t="s">
        <v>496</v>
      </c>
      <c r="F6262" t="s">
        <v>244</v>
      </c>
      <c r="G6262" s="39">
        <v>45085</v>
      </c>
      <c r="J6262" t="s">
        <v>90</v>
      </c>
    </row>
    <row r="6263" spans="1:10" x14ac:dyDescent="0.35">
      <c r="A6263">
        <v>340028</v>
      </c>
      <c r="B6263" t="s">
        <v>962</v>
      </c>
      <c r="C6263" t="s">
        <v>92</v>
      </c>
      <c r="D6263" t="s">
        <v>780</v>
      </c>
      <c r="E6263" t="s">
        <v>496</v>
      </c>
      <c r="F6263" t="s">
        <v>244</v>
      </c>
      <c r="G6263" s="39">
        <v>44333</v>
      </c>
      <c r="J6263" t="s">
        <v>90</v>
      </c>
    </row>
    <row r="6264" spans="1:10" x14ac:dyDescent="0.35">
      <c r="A6264">
        <v>330026</v>
      </c>
      <c r="B6264" t="s">
        <v>962</v>
      </c>
      <c r="C6264" t="s">
        <v>92</v>
      </c>
      <c r="D6264" t="s">
        <v>780</v>
      </c>
      <c r="E6264" t="s">
        <v>406</v>
      </c>
      <c r="F6264" t="s">
        <v>244</v>
      </c>
      <c r="G6264" s="39">
        <v>43692</v>
      </c>
      <c r="J6264" t="s">
        <v>90</v>
      </c>
    </row>
    <row r="6265" spans="1:10" x14ac:dyDescent="0.35">
      <c r="A6265">
        <v>14947</v>
      </c>
      <c r="B6265" t="s">
        <v>962</v>
      </c>
      <c r="C6265" t="s">
        <v>92</v>
      </c>
      <c r="D6265" t="s">
        <v>780</v>
      </c>
      <c r="E6265" t="s">
        <v>477</v>
      </c>
      <c r="F6265" t="s">
        <v>244</v>
      </c>
      <c r="G6265" s="39">
        <v>44896</v>
      </c>
      <c r="J6265" t="s">
        <v>90</v>
      </c>
    </row>
    <row r="6266" spans="1:10" x14ac:dyDescent="0.35">
      <c r="A6266">
        <v>16002</v>
      </c>
      <c r="B6266" t="s">
        <v>962</v>
      </c>
      <c r="C6266" t="s">
        <v>92</v>
      </c>
      <c r="D6266" t="s">
        <v>780</v>
      </c>
      <c r="E6266" t="s">
        <v>487</v>
      </c>
      <c r="F6266" t="s">
        <v>244</v>
      </c>
      <c r="G6266" s="39">
        <v>45264</v>
      </c>
      <c r="J6266" t="s">
        <v>90</v>
      </c>
    </row>
    <row r="6267" spans="1:10" x14ac:dyDescent="0.35">
      <c r="A6267">
        <v>340026</v>
      </c>
      <c r="B6267" t="s">
        <v>962</v>
      </c>
      <c r="C6267" t="s">
        <v>92</v>
      </c>
      <c r="D6267" t="s">
        <v>791</v>
      </c>
      <c r="E6267" t="s">
        <v>122</v>
      </c>
      <c r="F6267" t="s">
        <v>244</v>
      </c>
      <c r="G6267" s="39">
        <v>43731</v>
      </c>
      <c r="J6267" t="s">
        <v>90</v>
      </c>
    </row>
    <row r="6268" spans="1:10" x14ac:dyDescent="0.35">
      <c r="A6268">
        <v>380027</v>
      </c>
      <c r="B6268" t="s">
        <v>959</v>
      </c>
      <c r="C6268" t="s">
        <v>92</v>
      </c>
      <c r="D6268" t="s">
        <v>780</v>
      </c>
      <c r="E6268" t="s">
        <v>782</v>
      </c>
      <c r="F6268" t="s">
        <v>244</v>
      </c>
      <c r="G6268" s="39">
        <v>44209</v>
      </c>
      <c r="J6268" t="s">
        <v>90</v>
      </c>
    </row>
    <row r="6269" spans="1:10" x14ac:dyDescent="0.35">
      <c r="A6269">
        <v>380025</v>
      </c>
      <c r="B6269" t="s">
        <v>959</v>
      </c>
      <c r="C6269" t="s">
        <v>92</v>
      </c>
      <c r="D6269" t="s">
        <v>780</v>
      </c>
      <c r="E6269" t="s">
        <v>531</v>
      </c>
      <c r="F6269" t="s">
        <v>244</v>
      </c>
      <c r="G6269" s="39">
        <v>43699</v>
      </c>
      <c r="J6269" t="s">
        <v>90</v>
      </c>
    </row>
    <row r="6270" spans="1:10" x14ac:dyDescent="0.35">
      <c r="A6270">
        <v>330024</v>
      </c>
      <c r="B6270" t="s">
        <v>959</v>
      </c>
      <c r="C6270" t="s">
        <v>92</v>
      </c>
      <c r="D6270" t="s">
        <v>780</v>
      </c>
      <c r="E6270" t="s">
        <v>477</v>
      </c>
      <c r="F6270" t="s">
        <v>244</v>
      </c>
      <c r="G6270" s="39">
        <v>43692</v>
      </c>
      <c r="J6270" t="s">
        <v>90</v>
      </c>
    </row>
    <row r="6271" spans="1:10" x14ac:dyDescent="0.35">
      <c r="A6271">
        <v>18108</v>
      </c>
      <c r="B6271" t="s">
        <v>959</v>
      </c>
      <c r="C6271" t="s">
        <v>92</v>
      </c>
      <c r="D6271" t="s">
        <v>791</v>
      </c>
      <c r="E6271" t="s">
        <v>963</v>
      </c>
      <c r="F6271" t="s">
        <v>244</v>
      </c>
      <c r="G6271" s="39">
        <v>45993</v>
      </c>
      <c r="J6271" t="s">
        <v>90</v>
      </c>
    </row>
    <row r="6272" spans="1:10" x14ac:dyDescent="0.35">
      <c r="A6272">
        <v>12727</v>
      </c>
      <c r="B6272" t="s">
        <v>964</v>
      </c>
      <c r="C6272" t="s">
        <v>92</v>
      </c>
      <c r="D6272" t="s">
        <v>92</v>
      </c>
      <c r="E6272" t="s">
        <v>464</v>
      </c>
      <c r="F6272" t="s">
        <v>244</v>
      </c>
      <c r="G6272" s="39">
        <v>43879</v>
      </c>
      <c r="J6272" t="s">
        <v>90</v>
      </c>
    </row>
    <row r="6273" spans="1:10" x14ac:dyDescent="0.35">
      <c r="A6273">
        <v>18323</v>
      </c>
      <c r="B6273" t="s">
        <v>964</v>
      </c>
      <c r="C6273" t="s">
        <v>92</v>
      </c>
      <c r="D6273" t="s">
        <v>780</v>
      </c>
      <c r="E6273" t="s">
        <v>824</v>
      </c>
      <c r="F6273" t="s">
        <v>244</v>
      </c>
      <c r="G6273" s="39">
        <v>46087</v>
      </c>
      <c r="J6273" t="s">
        <v>90</v>
      </c>
    </row>
    <row r="6274" spans="1:10" x14ac:dyDescent="0.35">
      <c r="A6274">
        <v>17301</v>
      </c>
      <c r="B6274" t="s">
        <v>964</v>
      </c>
      <c r="C6274" t="s">
        <v>92</v>
      </c>
      <c r="D6274" t="s">
        <v>780</v>
      </c>
      <c r="E6274" t="s">
        <v>496</v>
      </c>
      <c r="F6274" t="s">
        <v>244</v>
      </c>
      <c r="G6274" s="39">
        <v>45699</v>
      </c>
      <c r="J6274" t="s">
        <v>90</v>
      </c>
    </row>
    <row r="6275" spans="1:10" x14ac:dyDescent="0.35">
      <c r="A6275">
        <v>330027</v>
      </c>
      <c r="B6275" t="s">
        <v>964</v>
      </c>
      <c r="C6275" t="s">
        <v>92</v>
      </c>
      <c r="D6275" t="s">
        <v>780</v>
      </c>
      <c r="E6275" t="s">
        <v>406</v>
      </c>
      <c r="F6275" t="s">
        <v>244</v>
      </c>
      <c r="G6275" s="39">
        <v>43696</v>
      </c>
      <c r="J6275" t="s">
        <v>90</v>
      </c>
    </row>
    <row r="6276" spans="1:10" x14ac:dyDescent="0.35">
      <c r="A6276">
        <v>15966</v>
      </c>
      <c r="B6276" t="s">
        <v>964</v>
      </c>
      <c r="C6276" t="s">
        <v>92</v>
      </c>
      <c r="D6276" t="s">
        <v>780</v>
      </c>
      <c r="E6276" t="s">
        <v>496</v>
      </c>
      <c r="F6276" t="s">
        <v>244</v>
      </c>
      <c r="G6276" s="39">
        <v>45252</v>
      </c>
      <c r="J6276" t="s">
        <v>90</v>
      </c>
    </row>
    <row r="6277" spans="1:10" x14ac:dyDescent="0.35">
      <c r="A6277">
        <v>14821</v>
      </c>
      <c r="B6277" t="s">
        <v>964</v>
      </c>
      <c r="C6277" t="s">
        <v>92</v>
      </c>
      <c r="D6277" t="s">
        <v>791</v>
      </c>
      <c r="E6277" t="s">
        <v>122</v>
      </c>
      <c r="F6277" t="s">
        <v>244</v>
      </c>
      <c r="G6277" s="39">
        <v>44866</v>
      </c>
      <c r="J6277" t="s">
        <v>90</v>
      </c>
    </row>
    <row r="6278" spans="1:10" x14ac:dyDescent="0.35">
      <c r="A6278">
        <v>850089</v>
      </c>
      <c r="B6278" t="s">
        <v>957</v>
      </c>
      <c r="C6278" t="s">
        <v>92</v>
      </c>
      <c r="D6278" t="s">
        <v>92</v>
      </c>
      <c r="E6278" t="s">
        <v>464</v>
      </c>
      <c r="F6278" t="s">
        <v>244</v>
      </c>
      <c r="G6278" s="39">
        <v>43755</v>
      </c>
      <c r="J6278" t="s">
        <v>90</v>
      </c>
    </row>
    <row r="6279" spans="1:10" x14ac:dyDescent="0.35">
      <c r="A6279">
        <v>15896</v>
      </c>
      <c r="B6279" t="s">
        <v>957</v>
      </c>
      <c r="C6279" t="s">
        <v>92</v>
      </c>
      <c r="D6279" t="s">
        <v>780</v>
      </c>
      <c r="E6279" t="s">
        <v>782</v>
      </c>
      <c r="F6279" t="s">
        <v>245</v>
      </c>
      <c r="G6279" s="39">
        <v>45233</v>
      </c>
      <c r="J6279" t="s">
        <v>90</v>
      </c>
    </row>
    <row r="6280" spans="1:10" x14ac:dyDescent="0.35">
      <c r="A6280">
        <v>17674</v>
      </c>
      <c r="B6280" t="s">
        <v>957</v>
      </c>
      <c r="C6280" t="s">
        <v>92</v>
      </c>
      <c r="D6280" t="s">
        <v>780</v>
      </c>
      <c r="E6280" t="s">
        <v>496</v>
      </c>
      <c r="F6280" t="s">
        <v>244</v>
      </c>
      <c r="G6280" s="39">
        <v>45841</v>
      </c>
      <c r="J6280" t="s">
        <v>90</v>
      </c>
    </row>
    <row r="6281" spans="1:10" x14ac:dyDescent="0.35">
      <c r="A6281">
        <v>16985</v>
      </c>
      <c r="B6281" t="s">
        <v>957</v>
      </c>
      <c r="C6281" t="s">
        <v>92</v>
      </c>
      <c r="D6281" t="s">
        <v>780</v>
      </c>
      <c r="E6281" t="s">
        <v>531</v>
      </c>
      <c r="F6281" t="s">
        <v>244</v>
      </c>
      <c r="G6281" s="39">
        <v>45588</v>
      </c>
      <c r="J6281" t="s">
        <v>90</v>
      </c>
    </row>
    <row r="6282" spans="1:10" x14ac:dyDescent="0.35">
      <c r="A6282">
        <v>360025</v>
      </c>
      <c r="B6282" t="s">
        <v>957</v>
      </c>
      <c r="C6282" t="s">
        <v>92</v>
      </c>
      <c r="D6282" t="s">
        <v>780</v>
      </c>
      <c r="E6282" t="s">
        <v>406</v>
      </c>
      <c r="F6282" t="s">
        <v>244</v>
      </c>
      <c r="G6282" s="39">
        <v>43678</v>
      </c>
      <c r="J6282" t="s">
        <v>90</v>
      </c>
    </row>
    <row r="6283" spans="1:10" x14ac:dyDescent="0.35">
      <c r="A6283">
        <v>18228</v>
      </c>
      <c r="B6283" t="s">
        <v>957</v>
      </c>
      <c r="C6283" t="s">
        <v>92</v>
      </c>
      <c r="D6283" t="s">
        <v>780</v>
      </c>
      <c r="E6283" t="s">
        <v>475</v>
      </c>
      <c r="F6283" t="s">
        <v>244</v>
      </c>
      <c r="G6283" s="39">
        <v>46064</v>
      </c>
      <c r="J6283" t="s">
        <v>90</v>
      </c>
    </row>
    <row r="6284" spans="1:10" x14ac:dyDescent="0.35">
      <c r="A6284">
        <v>360026</v>
      </c>
      <c r="B6284" t="s">
        <v>957</v>
      </c>
      <c r="C6284" t="s">
        <v>92</v>
      </c>
      <c r="D6284" t="s">
        <v>780</v>
      </c>
      <c r="E6284" t="s">
        <v>406</v>
      </c>
      <c r="F6284" t="s">
        <v>244</v>
      </c>
      <c r="G6284" s="39">
        <v>43678</v>
      </c>
      <c r="J6284" t="s">
        <v>90</v>
      </c>
    </row>
    <row r="6285" spans="1:10" x14ac:dyDescent="0.35">
      <c r="A6285">
        <v>360034</v>
      </c>
      <c r="B6285" t="s">
        <v>957</v>
      </c>
      <c r="C6285" t="s">
        <v>92</v>
      </c>
      <c r="D6285" t="s">
        <v>780</v>
      </c>
      <c r="E6285" t="s">
        <v>406</v>
      </c>
      <c r="F6285" t="s">
        <v>244</v>
      </c>
      <c r="G6285" s="39">
        <v>43808</v>
      </c>
      <c r="J6285" t="s">
        <v>90</v>
      </c>
    </row>
    <row r="6286" spans="1:10" x14ac:dyDescent="0.35">
      <c r="A6286">
        <v>360038</v>
      </c>
      <c r="B6286" t="s">
        <v>957</v>
      </c>
      <c r="C6286" t="s">
        <v>92</v>
      </c>
      <c r="D6286" t="s">
        <v>780</v>
      </c>
      <c r="E6286" t="s">
        <v>477</v>
      </c>
      <c r="F6286" t="s">
        <v>244</v>
      </c>
      <c r="G6286" s="39">
        <v>44551</v>
      </c>
      <c r="J6286" t="s">
        <v>90</v>
      </c>
    </row>
    <row r="6287" spans="1:10" x14ac:dyDescent="0.35">
      <c r="A6287">
        <v>15971</v>
      </c>
      <c r="B6287" t="s">
        <v>957</v>
      </c>
      <c r="C6287" t="s">
        <v>92</v>
      </c>
      <c r="D6287" t="s">
        <v>780</v>
      </c>
      <c r="E6287" t="s">
        <v>473</v>
      </c>
      <c r="F6287" t="s">
        <v>244</v>
      </c>
      <c r="G6287" s="39">
        <v>45253</v>
      </c>
      <c r="J6287" t="s">
        <v>90</v>
      </c>
    </row>
    <row r="6288" spans="1:10" x14ac:dyDescent="0.35">
      <c r="A6288">
        <v>18745</v>
      </c>
      <c r="B6288" t="s">
        <v>957</v>
      </c>
      <c r="C6288" t="s">
        <v>92</v>
      </c>
      <c r="D6288" t="s">
        <v>780</v>
      </c>
      <c r="E6288" t="s">
        <v>823</v>
      </c>
      <c r="F6288" t="s">
        <v>244</v>
      </c>
      <c r="G6288" s="39">
        <v>46204</v>
      </c>
      <c r="J6288" t="s">
        <v>90</v>
      </c>
    </row>
    <row r="6289" spans="1:10" x14ac:dyDescent="0.35">
      <c r="A6289">
        <v>360035</v>
      </c>
      <c r="B6289" t="s">
        <v>957</v>
      </c>
      <c r="C6289" t="s">
        <v>92</v>
      </c>
      <c r="D6289" t="s">
        <v>791</v>
      </c>
      <c r="E6289" t="s">
        <v>122</v>
      </c>
      <c r="F6289" t="s">
        <v>244</v>
      </c>
      <c r="G6289" s="39">
        <v>43819</v>
      </c>
      <c r="J6289" t="s">
        <v>90</v>
      </c>
    </row>
    <row r="6290" spans="1:10" x14ac:dyDescent="0.35">
      <c r="A6290">
        <v>18261</v>
      </c>
      <c r="B6290" t="s">
        <v>46</v>
      </c>
      <c r="C6290" t="s">
        <v>172</v>
      </c>
      <c r="D6290" t="s">
        <v>92</v>
      </c>
      <c r="E6290" t="s">
        <v>184</v>
      </c>
      <c r="F6290" t="s">
        <v>246</v>
      </c>
      <c r="G6290" s="39">
        <v>46069</v>
      </c>
      <c r="I6290" t="s">
        <v>1079</v>
      </c>
      <c r="J6290" t="s">
        <v>981</v>
      </c>
    </row>
    <row r="6291" spans="1:10" x14ac:dyDescent="0.35">
      <c r="A6291">
        <v>18452</v>
      </c>
      <c r="B6291" t="s">
        <v>12</v>
      </c>
      <c r="C6291" t="s">
        <v>230</v>
      </c>
      <c r="D6291" t="s">
        <v>92</v>
      </c>
      <c r="E6291" t="s">
        <v>106</v>
      </c>
      <c r="F6291" t="s">
        <v>246</v>
      </c>
      <c r="G6291" s="39">
        <v>46126</v>
      </c>
      <c r="H6291" t="s">
        <v>249</v>
      </c>
      <c r="J6291" t="s">
        <v>981</v>
      </c>
    </row>
    <row r="6292" spans="1:10" x14ac:dyDescent="0.35">
      <c r="A6292">
        <v>18442</v>
      </c>
      <c r="B6292" t="s">
        <v>12</v>
      </c>
      <c r="C6292" t="s">
        <v>158</v>
      </c>
      <c r="D6292" t="s">
        <v>233</v>
      </c>
      <c r="E6292" t="s">
        <v>151</v>
      </c>
      <c r="F6292" t="s">
        <v>246</v>
      </c>
      <c r="G6292" s="39">
        <v>46126</v>
      </c>
      <c r="H6292" t="s">
        <v>249</v>
      </c>
      <c r="J6292" t="s">
        <v>981</v>
      </c>
    </row>
    <row r="6293" spans="1:10" x14ac:dyDescent="0.35">
      <c r="A6293">
        <v>18463</v>
      </c>
      <c r="B6293" t="s">
        <v>12</v>
      </c>
      <c r="C6293" t="s">
        <v>231</v>
      </c>
      <c r="D6293" t="s">
        <v>92</v>
      </c>
      <c r="E6293" t="s">
        <v>103</v>
      </c>
      <c r="F6293" t="s">
        <v>246</v>
      </c>
      <c r="G6293" s="39">
        <v>46127</v>
      </c>
      <c r="H6293" t="s">
        <v>249</v>
      </c>
      <c r="J6293" t="s">
        <v>981</v>
      </c>
    </row>
    <row r="6294" spans="1:10" x14ac:dyDescent="0.35">
      <c r="A6294">
        <v>18373</v>
      </c>
      <c r="B6294" t="s">
        <v>47</v>
      </c>
      <c r="C6294" t="s">
        <v>124</v>
      </c>
      <c r="D6294" t="s">
        <v>92</v>
      </c>
      <c r="E6294" t="s">
        <v>102</v>
      </c>
      <c r="F6294" t="s">
        <v>246</v>
      </c>
      <c r="G6294" s="39">
        <v>46126</v>
      </c>
      <c r="H6294" t="s">
        <v>249</v>
      </c>
      <c r="J6294" t="s">
        <v>981</v>
      </c>
    </row>
    <row r="6295" spans="1:10" x14ac:dyDescent="0.35">
      <c r="A6295">
        <v>18345</v>
      </c>
      <c r="B6295" t="s">
        <v>47</v>
      </c>
      <c r="C6295" t="s">
        <v>124</v>
      </c>
      <c r="D6295" t="s">
        <v>92</v>
      </c>
      <c r="E6295" t="s">
        <v>109</v>
      </c>
      <c r="F6295" t="s">
        <v>246</v>
      </c>
      <c r="G6295" s="39">
        <v>46094</v>
      </c>
      <c r="H6295" t="s">
        <v>249</v>
      </c>
      <c r="J6295" t="s">
        <v>981</v>
      </c>
    </row>
    <row r="6296" spans="1:10" x14ac:dyDescent="0.35">
      <c r="A6296">
        <v>18289</v>
      </c>
      <c r="B6296" t="s">
        <v>22</v>
      </c>
      <c r="C6296" t="s">
        <v>127</v>
      </c>
      <c r="D6296" t="s">
        <v>92</v>
      </c>
      <c r="E6296" t="s">
        <v>109</v>
      </c>
      <c r="F6296" t="s">
        <v>246</v>
      </c>
      <c r="G6296" s="39">
        <v>46072</v>
      </c>
      <c r="H6296" t="s">
        <v>249</v>
      </c>
      <c r="J6296" t="s">
        <v>981</v>
      </c>
    </row>
    <row r="6297" spans="1:10" x14ac:dyDescent="0.35">
      <c r="A6297">
        <v>18433</v>
      </c>
      <c r="B6297" t="s">
        <v>92</v>
      </c>
      <c r="C6297" t="s">
        <v>33</v>
      </c>
      <c r="D6297" t="s">
        <v>104</v>
      </c>
      <c r="E6297" t="s">
        <v>105</v>
      </c>
      <c r="F6297" t="s">
        <v>246</v>
      </c>
      <c r="G6297" s="39">
        <v>46125</v>
      </c>
      <c r="H6297" t="s">
        <v>57</v>
      </c>
      <c r="J6297" t="s">
        <v>981</v>
      </c>
    </row>
    <row r="6298" spans="1:10" x14ac:dyDescent="0.35">
      <c r="A6298">
        <v>18286</v>
      </c>
      <c r="B6298" t="s">
        <v>47</v>
      </c>
      <c r="C6298" t="s">
        <v>124</v>
      </c>
      <c r="D6298" t="s">
        <v>92</v>
      </c>
      <c r="E6298" t="s">
        <v>109</v>
      </c>
      <c r="F6298" t="s">
        <v>246</v>
      </c>
      <c r="G6298" s="39">
        <v>46072</v>
      </c>
      <c r="H6298" t="s">
        <v>249</v>
      </c>
      <c r="J6298" t="s">
        <v>981</v>
      </c>
    </row>
    <row r="6299" spans="1:10" x14ac:dyDescent="0.35">
      <c r="A6299">
        <v>18460</v>
      </c>
      <c r="B6299" t="s">
        <v>12</v>
      </c>
      <c r="C6299" t="s">
        <v>231</v>
      </c>
      <c r="D6299" t="s">
        <v>92</v>
      </c>
      <c r="E6299" t="s">
        <v>234</v>
      </c>
      <c r="F6299" t="s">
        <v>246</v>
      </c>
      <c r="G6299" s="39">
        <v>46126</v>
      </c>
      <c r="H6299" t="s">
        <v>249</v>
      </c>
      <c r="J6299" t="s">
        <v>981</v>
      </c>
    </row>
    <row r="6300" spans="1:10" x14ac:dyDescent="0.35">
      <c r="A6300">
        <v>18275</v>
      </c>
      <c r="B6300" t="s">
        <v>47</v>
      </c>
      <c r="C6300" t="s">
        <v>124</v>
      </c>
      <c r="D6300" t="s">
        <v>92</v>
      </c>
      <c r="E6300" t="s">
        <v>103</v>
      </c>
      <c r="F6300" t="s">
        <v>246</v>
      </c>
      <c r="G6300" s="39">
        <v>46071</v>
      </c>
      <c r="H6300" t="s">
        <v>57</v>
      </c>
      <c r="J6300" t="s">
        <v>981</v>
      </c>
    </row>
    <row r="6301" spans="1:10" x14ac:dyDescent="0.35">
      <c r="A6301">
        <v>18385</v>
      </c>
      <c r="B6301" t="s">
        <v>31</v>
      </c>
      <c r="C6301" t="s">
        <v>117</v>
      </c>
      <c r="D6301" t="s">
        <v>92</v>
      </c>
      <c r="E6301" t="s">
        <v>101</v>
      </c>
      <c r="F6301" t="s">
        <v>246</v>
      </c>
      <c r="G6301" s="39">
        <v>46113</v>
      </c>
      <c r="H6301" t="s">
        <v>57</v>
      </c>
      <c r="J6301" t="s">
        <v>981</v>
      </c>
    </row>
    <row r="6302" spans="1:10" x14ac:dyDescent="0.35">
      <c r="A6302">
        <v>18601</v>
      </c>
      <c r="B6302" t="s">
        <v>56</v>
      </c>
      <c r="C6302" t="s">
        <v>131</v>
      </c>
      <c r="D6302" t="s">
        <v>92</v>
      </c>
      <c r="E6302" t="s">
        <v>103</v>
      </c>
      <c r="F6302" t="s">
        <v>246</v>
      </c>
      <c r="G6302" s="39">
        <v>46160</v>
      </c>
      <c r="H6302" t="s">
        <v>57</v>
      </c>
      <c r="J6302" t="s">
        <v>981</v>
      </c>
    </row>
    <row r="6303" spans="1:10" x14ac:dyDescent="0.35">
      <c r="A6303">
        <v>18832</v>
      </c>
      <c r="B6303" t="s">
        <v>66</v>
      </c>
      <c r="C6303" t="s">
        <v>214</v>
      </c>
      <c r="D6303" t="s">
        <v>92</v>
      </c>
      <c r="E6303" t="s">
        <v>212</v>
      </c>
      <c r="F6303" t="s">
        <v>246</v>
      </c>
      <c r="G6303" s="39">
        <v>46217</v>
      </c>
      <c r="H6303" t="s">
        <v>249</v>
      </c>
      <c r="J6303" t="s">
        <v>982</v>
      </c>
    </row>
    <row r="6304" spans="1:10" x14ac:dyDescent="0.35">
      <c r="A6304">
        <v>18690</v>
      </c>
      <c r="B6304" t="s">
        <v>8</v>
      </c>
      <c r="C6304" t="s">
        <v>166</v>
      </c>
      <c r="D6304" t="s">
        <v>92</v>
      </c>
      <c r="E6304" t="s">
        <v>109</v>
      </c>
      <c r="F6304" t="s">
        <v>246</v>
      </c>
      <c r="G6304" s="39">
        <v>46185</v>
      </c>
      <c r="H6304" t="s">
        <v>249</v>
      </c>
      <c r="J6304" t="s">
        <v>981</v>
      </c>
    </row>
    <row r="6305" spans="1:10" x14ac:dyDescent="0.35">
      <c r="A6305">
        <v>18374</v>
      </c>
      <c r="B6305" t="s">
        <v>47</v>
      </c>
      <c r="C6305" t="s">
        <v>121</v>
      </c>
      <c r="D6305" t="s">
        <v>92</v>
      </c>
      <c r="E6305" t="s">
        <v>106</v>
      </c>
      <c r="F6305" t="s">
        <v>246</v>
      </c>
      <c r="G6305" s="39">
        <v>46113</v>
      </c>
      <c r="H6305" t="s">
        <v>249</v>
      </c>
      <c r="J6305" t="s">
        <v>981</v>
      </c>
    </row>
    <row r="6306" spans="1:10" x14ac:dyDescent="0.35">
      <c r="A6306">
        <v>18515</v>
      </c>
      <c r="B6306" t="s">
        <v>58</v>
      </c>
      <c r="C6306" t="s">
        <v>140</v>
      </c>
      <c r="D6306" t="s">
        <v>92</v>
      </c>
      <c r="E6306" t="s">
        <v>143</v>
      </c>
      <c r="F6306" t="s">
        <v>246</v>
      </c>
      <c r="G6306" s="39">
        <v>46143</v>
      </c>
      <c r="H6306" t="s">
        <v>248</v>
      </c>
      <c r="J6306" t="s">
        <v>981</v>
      </c>
    </row>
    <row r="6307" spans="1:10" x14ac:dyDescent="0.35">
      <c r="A6307">
        <v>18530</v>
      </c>
      <c r="B6307" t="s">
        <v>9</v>
      </c>
      <c r="C6307" t="s">
        <v>165</v>
      </c>
      <c r="D6307" t="s">
        <v>92</v>
      </c>
      <c r="E6307" t="s">
        <v>176</v>
      </c>
      <c r="F6307" t="s">
        <v>246</v>
      </c>
      <c r="G6307" s="39">
        <v>46146</v>
      </c>
      <c r="H6307" t="s">
        <v>249</v>
      </c>
      <c r="J6307" t="s">
        <v>981</v>
      </c>
    </row>
    <row r="6308" spans="1:10" x14ac:dyDescent="0.35">
      <c r="A6308">
        <v>18239</v>
      </c>
      <c r="B6308" t="s">
        <v>22</v>
      </c>
      <c r="C6308" t="s">
        <v>107</v>
      </c>
      <c r="D6308" t="s">
        <v>108</v>
      </c>
      <c r="E6308" t="s">
        <v>103</v>
      </c>
      <c r="F6308" t="s">
        <v>246</v>
      </c>
      <c r="G6308" s="39">
        <v>46064</v>
      </c>
      <c r="H6308" t="s">
        <v>248</v>
      </c>
      <c r="J6308" t="s">
        <v>981</v>
      </c>
    </row>
    <row r="6309" spans="1:10" x14ac:dyDescent="0.35">
      <c r="A6309">
        <v>19095</v>
      </c>
      <c r="B6309" t="s">
        <v>9</v>
      </c>
      <c r="C6309" t="s">
        <v>164</v>
      </c>
      <c r="D6309" t="s">
        <v>92</v>
      </c>
      <c r="E6309" t="s">
        <v>273</v>
      </c>
      <c r="F6309" t="s">
        <v>246</v>
      </c>
      <c r="G6309" s="39">
        <v>46251</v>
      </c>
      <c r="H6309" t="s">
        <v>249</v>
      </c>
      <c r="J6309" t="s">
        <v>981</v>
      </c>
    </row>
    <row r="6310" spans="1:10" x14ac:dyDescent="0.35">
      <c r="A6310">
        <v>18514</v>
      </c>
      <c r="B6310" t="s">
        <v>58</v>
      </c>
      <c r="C6310" t="s">
        <v>137</v>
      </c>
      <c r="D6310" t="s">
        <v>92</v>
      </c>
      <c r="E6310" t="s">
        <v>142</v>
      </c>
      <c r="F6310" t="s">
        <v>246</v>
      </c>
      <c r="G6310" s="39">
        <v>46143</v>
      </c>
      <c r="H6310" t="s">
        <v>248</v>
      </c>
      <c r="J6310" t="s">
        <v>981</v>
      </c>
    </row>
    <row r="6311" spans="1:10" x14ac:dyDescent="0.35">
      <c r="A6311">
        <v>18479</v>
      </c>
      <c r="B6311" t="s">
        <v>9</v>
      </c>
      <c r="C6311" t="s">
        <v>165</v>
      </c>
      <c r="D6311" t="s">
        <v>92</v>
      </c>
      <c r="E6311" t="s">
        <v>177</v>
      </c>
      <c r="F6311" t="s">
        <v>246</v>
      </c>
      <c r="G6311" s="39">
        <v>46132</v>
      </c>
      <c r="H6311" t="s">
        <v>249</v>
      </c>
      <c r="J6311" t="s">
        <v>981</v>
      </c>
    </row>
    <row r="6312" spans="1:10" x14ac:dyDescent="0.35">
      <c r="A6312">
        <v>18434</v>
      </c>
      <c r="B6312" t="s">
        <v>92</v>
      </c>
      <c r="C6312" t="s">
        <v>33</v>
      </c>
      <c r="D6312" t="s">
        <v>104</v>
      </c>
      <c r="E6312" t="s">
        <v>105</v>
      </c>
      <c r="F6312" t="s">
        <v>246</v>
      </c>
      <c r="G6312" s="39">
        <v>46125</v>
      </c>
      <c r="H6312" t="s">
        <v>249</v>
      </c>
      <c r="J6312" t="s">
        <v>981</v>
      </c>
    </row>
    <row r="6313" spans="1:10" x14ac:dyDescent="0.35">
      <c r="A6313">
        <v>19050</v>
      </c>
      <c r="B6313" t="s">
        <v>9</v>
      </c>
      <c r="C6313" t="s">
        <v>165</v>
      </c>
      <c r="D6313" t="s">
        <v>92</v>
      </c>
      <c r="E6313" t="s">
        <v>279</v>
      </c>
      <c r="F6313" t="s">
        <v>246</v>
      </c>
      <c r="G6313" s="39">
        <v>46259</v>
      </c>
      <c r="H6313" t="s">
        <v>249</v>
      </c>
      <c r="J6313" t="s">
        <v>981</v>
      </c>
    </row>
    <row r="6314" spans="1:10" x14ac:dyDescent="0.35">
      <c r="A6314">
        <v>19039</v>
      </c>
      <c r="B6314" t="s">
        <v>9</v>
      </c>
      <c r="C6314" t="s">
        <v>165</v>
      </c>
      <c r="D6314" t="s">
        <v>92</v>
      </c>
      <c r="E6314" t="s">
        <v>270</v>
      </c>
      <c r="F6314" t="s">
        <v>246</v>
      </c>
      <c r="G6314" s="39">
        <v>46259</v>
      </c>
      <c r="H6314" t="s">
        <v>249</v>
      </c>
      <c r="J6314" t="s">
        <v>981</v>
      </c>
    </row>
  </sheetData>
  <autoFilter ref="A1:K6314" xr:uid="{2B858025-2894-4255-BD55-6CE8AF14967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9366C-E125-44E4-AE4D-EC822D0FE214}">
  <dimension ref="A1:B59"/>
  <sheetViews>
    <sheetView topLeftCell="A37" zoomScale="82" workbookViewId="0">
      <selection activeCell="F15" sqref="A15:F17"/>
    </sheetView>
  </sheetViews>
  <sheetFormatPr defaultColWidth="8.81640625" defaultRowHeight="14.5" x14ac:dyDescent="0.35"/>
  <cols>
    <col min="1" max="1" width="44.36328125" bestFit="1" customWidth="1"/>
    <col min="2" max="2" width="12.453125" customWidth="1"/>
  </cols>
  <sheetData>
    <row r="1" spans="1:2" s="12" customFormat="1" ht="53" thickBot="1" x14ac:dyDescent="0.4">
      <c r="A1" s="21" t="s">
        <v>286</v>
      </c>
      <c r="B1" s="22" t="s">
        <v>287</v>
      </c>
    </row>
    <row r="2" spans="1:2" s="12" customFormat="1" ht="15" thickBot="1" x14ac:dyDescent="0.4">
      <c r="B2" s="23"/>
    </row>
    <row r="3" spans="1:2" ht="15" thickBot="1" x14ac:dyDescent="0.4">
      <c r="A3" s="24" t="s">
        <v>288</v>
      </c>
      <c r="B3" s="25">
        <v>1</v>
      </c>
    </row>
    <row r="4" spans="1:2" x14ac:dyDescent="0.35">
      <c r="A4" s="26" t="s">
        <v>289</v>
      </c>
      <c r="B4" s="27">
        <v>10</v>
      </c>
    </row>
    <row r="5" spans="1:2" x14ac:dyDescent="0.35">
      <c r="A5" s="28" t="s">
        <v>290</v>
      </c>
      <c r="B5" s="29">
        <v>6</v>
      </c>
    </row>
    <row r="6" spans="1:2" x14ac:dyDescent="0.35">
      <c r="A6" s="28" t="s">
        <v>291</v>
      </c>
      <c r="B6" s="29">
        <v>8</v>
      </c>
    </row>
    <row r="7" spans="1:2" x14ac:dyDescent="0.35">
      <c r="A7" s="28" t="s">
        <v>292</v>
      </c>
      <c r="B7" s="29">
        <v>8</v>
      </c>
    </row>
    <row r="8" spans="1:2" x14ac:dyDescent="0.35">
      <c r="A8" s="28" t="s">
        <v>293</v>
      </c>
      <c r="B8" s="29">
        <v>46</v>
      </c>
    </row>
    <row r="9" spans="1:2" x14ac:dyDescent="0.35">
      <c r="A9" s="28" t="s">
        <v>294</v>
      </c>
      <c r="B9" s="29">
        <v>37</v>
      </c>
    </row>
    <row r="10" spans="1:2" x14ac:dyDescent="0.35">
      <c r="A10" s="28" t="s">
        <v>295</v>
      </c>
      <c r="B10" s="29">
        <v>5</v>
      </c>
    </row>
    <row r="11" spans="1:2" x14ac:dyDescent="0.35">
      <c r="A11" s="28" t="s">
        <v>296</v>
      </c>
      <c r="B11" s="29">
        <v>1</v>
      </c>
    </row>
    <row r="12" spans="1:2" x14ac:dyDescent="0.35">
      <c r="A12" s="30" t="s">
        <v>297</v>
      </c>
      <c r="B12" s="31">
        <v>7</v>
      </c>
    </row>
    <row r="13" spans="1:2" ht="15" thickBot="1" x14ac:dyDescent="0.4"/>
    <row r="14" spans="1:2" ht="15" thickBot="1" x14ac:dyDescent="0.4">
      <c r="A14" s="24" t="s">
        <v>298</v>
      </c>
      <c r="B14" s="25">
        <v>1</v>
      </c>
    </row>
    <row r="15" spans="1:2" x14ac:dyDescent="0.35">
      <c r="A15" s="26" t="s">
        <v>299</v>
      </c>
      <c r="B15" s="27">
        <v>38</v>
      </c>
    </row>
    <row r="16" spans="1:2" x14ac:dyDescent="0.35">
      <c r="A16" s="28" t="s">
        <v>300</v>
      </c>
      <c r="B16" s="29">
        <v>4</v>
      </c>
    </row>
    <row r="17" spans="1:2" x14ac:dyDescent="0.35">
      <c r="A17" s="28" t="s">
        <v>301</v>
      </c>
      <c r="B17" s="29">
        <v>3</v>
      </c>
    </row>
    <row r="18" spans="1:2" x14ac:dyDescent="0.35">
      <c r="A18" s="28" t="s">
        <v>302</v>
      </c>
      <c r="B18" s="29">
        <v>68</v>
      </c>
    </row>
    <row r="19" spans="1:2" x14ac:dyDescent="0.35">
      <c r="A19" s="28" t="s">
        <v>303</v>
      </c>
      <c r="B19" s="29">
        <v>21</v>
      </c>
    </row>
    <row r="20" spans="1:2" x14ac:dyDescent="0.35">
      <c r="A20" s="28" t="s">
        <v>304</v>
      </c>
      <c r="B20" s="29">
        <v>8</v>
      </c>
    </row>
    <row r="21" spans="1:2" x14ac:dyDescent="0.35">
      <c r="A21" s="28" t="s">
        <v>305</v>
      </c>
      <c r="B21" s="29">
        <v>128</v>
      </c>
    </row>
    <row r="22" spans="1:2" x14ac:dyDescent="0.35">
      <c r="A22" s="28" t="s">
        <v>306</v>
      </c>
      <c r="B22" s="29">
        <v>19</v>
      </c>
    </row>
    <row r="23" spans="1:2" x14ac:dyDescent="0.35">
      <c r="A23" s="28" t="s">
        <v>307</v>
      </c>
      <c r="B23" s="29">
        <v>6</v>
      </c>
    </row>
    <row r="24" spans="1:2" x14ac:dyDescent="0.35">
      <c r="A24" s="28" t="s">
        <v>296</v>
      </c>
      <c r="B24" s="29">
        <v>1</v>
      </c>
    </row>
    <row r="25" spans="1:2" ht="15" thickBot="1" x14ac:dyDescent="0.4"/>
    <row r="26" spans="1:2" ht="15" thickBot="1" x14ac:dyDescent="0.4">
      <c r="A26" s="32" t="s">
        <v>308</v>
      </c>
      <c r="B26" s="33">
        <v>1</v>
      </c>
    </row>
    <row r="27" spans="1:2" x14ac:dyDescent="0.35">
      <c r="A27" s="26" t="s">
        <v>309</v>
      </c>
      <c r="B27" s="2">
        <v>12</v>
      </c>
    </row>
    <row r="28" spans="1:2" x14ac:dyDescent="0.35">
      <c r="A28" s="28" t="s">
        <v>310</v>
      </c>
      <c r="B28" s="1">
        <v>23</v>
      </c>
    </row>
    <row r="29" spans="1:2" x14ac:dyDescent="0.35">
      <c r="A29" s="28" t="s">
        <v>311</v>
      </c>
      <c r="B29" s="1">
        <v>11</v>
      </c>
    </row>
    <row r="30" spans="1:2" x14ac:dyDescent="0.35">
      <c r="A30" s="28" t="s">
        <v>312</v>
      </c>
      <c r="B30" s="1">
        <v>5</v>
      </c>
    </row>
    <row r="31" spans="1:2" x14ac:dyDescent="0.35">
      <c r="A31" s="28" t="s">
        <v>296</v>
      </c>
      <c r="B31" s="1">
        <v>1</v>
      </c>
    </row>
    <row r="32" spans="1:2" x14ac:dyDescent="0.35">
      <c r="A32" s="30" t="s">
        <v>297</v>
      </c>
      <c r="B32" s="34">
        <v>9</v>
      </c>
    </row>
    <row r="33" spans="1:2" ht="15" thickBot="1" x14ac:dyDescent="0.4"/>
    <row r="34" spans="1:2" ht="15" thickBot="1" x14ac:dyDescent="0.4">
      <c r="A34" s="32" t="s">
        <v>313</v>
      </c>
      <c r="B34" s="35">
        <v>0</v>
      </c>
    </row>
    <row r="35" spans="1:2" x14ac:dyDescent="0.35">
      <c r="A35" s="26" t="s">
        <v>314</v>
      </c>
      <c r="B35" s="2">
        <v>133</v>
      </c>
    </row>
    <row r="36" spans="1:2" x14ac:dyDescent="0.35">
      <c r="A36" s="28" t="s">
        <v>315</v>
      </c>
      <c r="B36" s="1">
        <v>20</v>
      </c>
    </row>
    <row r="37" spans="1:2" x14ac:dyDescent="0.35">
      <c r="A37" s="30" t="s">
        <v>297</v>
      </c>
      <c r="B37" s="34">
        <v>6</v>
      </c>
    </row>
    <row r="38" spans="1:2" ht="15" thickBot="1" x14ac:dyDescent="0.4"/>
    <row r="39" spans="1:2" ht="15" thickBot="1" x14ac:dyDescent="0.4">
      <c r="A39" s="32" t="s">
        <v>316</v>
      </c>
      <c r="B39" s="35">
        <v>1</v>
      </c>
    </row>
    <row r="40" spans="1:2" x14ac:dyDescent="0.35">
      <c r="A40" s="2" t="s">
        <v>317</v>
      </c>
      <c r="B40" s="2">
        <v>29</v>
      </c>
    </row>
    <row r="41" spans="1:2" x14ac:dyDescent="0.35">
      <c r="A41" s="1" t="s">
        <v>318</v>
      </c>
      <c r="B41" s="1">
        <v>8</v>
      </c>
    </row>
    <row r="42" spans="1:2" x14ac:dyDescent="0.35">
      <c r="A42" s="1" t="s">
        <v>319</v>
      </c>
      <c r="B42" s="1">
        <v>2</v>
      </c>
    </row>
    <row r="43" spans="1:2" x14ac:dyDescent="0.35">
      <c r="A43" s="1" t="s">
        <v>320</v>
      </c>
      <c r="B43" s="1">
        <v>2</v>
      </c>
    </row>
    <row r="44" spans="1:2" x14ac:dyDescent="0.35">
      <c r="A44" s="1" t="s">
        <v>296</v>
      </c>
      <c r="B44" s="1">
        <v>1</v>
      </c>
    </row>
    <row r="45" spans="1:2" x14ac:dyDescent="0.35">
      <c r="A45" s="34" t="s">
        <v>297</v>
      </c>
      <c r="B45" s="34">
        <v>2</v>
      </c>
    </row>
    <row r="46" spans="1:2" ht="15" thickBot="1" x14ac:dyDescent="0.4"/>
    <row r="47" spans="1:2" ht="15" thickBot="1" x14ac:dyDescent="0.4">
      <c r="A47" s="32" t="s">
        <v>321</v>
      </c>
      <c r="B47" s="35">
        <v>1</v>
      </c>
    </row>
    <row r="48" spans="1:2" x14ac:dyDescent="0.35">
      <c r="A48" s="2" t="s">
        <v>322</v>
      </c>
      <c r="B48" s="2">
        <v>4</v>
      </c>
    </row>
    <row r="49" spans="1:2" x14ac:dyDescent="0.35">
      <c r="A49" s="1" t="s">
        <v>323</v>
      </c>
      <c r="B49" s="1">
        <v>4</v>
      </c>
    </row>
    <row r="50" spans="1:2" x14ac:dyDescent="0.35">
      <c r="A50" s="1" t="s">
        <v>324</v>
      </c>
      <c r="B50" s="1">
        <v>6</v>
      </c>
    </row>
    <row r="51" spans="1:2" x14ac:dyDescent="0.35">
      <c r="A51" s="1" t="s">
        <v>296</v>
      </c>
      <c r="B51" s="1">
        <v>1</v>
      </c>
    </row>
    <row r="52" spans="1:2" x14ac:dyDescent="0.35">
      <c r="A52" s="34" t="s">
        <v>297</v>
      </c>
      <c r="B52" s="34">
        <v>2</v>
      </c>
    </row>
    <row r="53" spans="1:2" ht="15" thickBot="1" x14ac:dyDescent="0.4"/>
    <row r="54" spans="1:2" ht="15" thickBot="1" x14ac:dyDescent="0.4">
      <c r="A54" s="32" t="s">
        <v>325</v>
      </c>
      <c r="B54" s="35">
        <v>1</v>
      </c>
    </row>
    <row r="55" spans="1:2" ht="15" thickBot="1" x14ac:dyDescent="0.4"/>
    <row r="56" spans="1:2" ht="15" thickBot="1" x14ac:dyDescent="0.4">
      <c r="A56" s="32" t="s">
        <v>326</v>
      </c>
      <c r="B56" s="35">
        <v>168</v>
      </c>
    </row>
    <row r="57" spans="1:2" x14ac:dyDescent="0.35">
      <c r="A57" s="36" t="s">
        <v>297</v>
      </c>
      <c r="B57" s="37">
        <v>5</v>
      </c>
    </row>
    <row r="58" spans="1:2" ht="15" thickBot="1" x14ac:dyDescent="0.4"/>
    <row r="59" spans="1:2" ht="15" thickBot="1" x14ac:dyDescent="0.4">
      <c r="A59" s="38" t="s">
        <v>327</v>
      </c>
      <c r="B59" s="3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F441-6108-4023-BEE6-F2E3A46444D1}">
  <dimension ref="A3:E25"/>
  <sheetViews>
    <sheetView zoomScale="75" zoomScaleNormal="75" workbookViewId="0">
      <selection activeCell="D13" sqref="D13"/>
    </sheetView>
  </sheetViews>
  <sheetFormatPr defaultRowHeight="14.5" x14ac:dyDescent="0.35"/>
  <cols>
    <col min="1" max="1" width="41.453125" customWidth="1"/>
    <col min="2" max="2" width="21" style="6" customWidth="1"/>
    <col min="3" max="3" width="17.08984375" style="6" customWidth="1"/>
    <col min="4" max="4" width="26.81640625" style="11" customWidth="1"/>
    <col min="5" max="5" width="46.453125" bestFit="1" customWidth="1"/>
  </cols>
  <sheetData>
    <row r="3" spans="1:5" x14ac:dyDescent="0.35">
      <c r="A3" s="52" t="s">
        <v>328</v>
      </c>
      <c r="B3" s="53" t="s">
        <v>329</v>
      </c>
      <c r="C3" s="54" t="s">
        <v>330</v>
      </c>
      <c r="D3" s="54" t="s">
        <v>256</v>
      </c>
      <c r="E3" s="54" t="s">
        <v>365</v>
      </c>
    </row>
    <row r="4" spans="1:5" x14ac:dyDescent="0.35">
      <c r="A4" s="55" t="s">
        <v>64</v>
      </c>
      <c r="B4" s="53">
        <v>3</v>
      </c>
      <c r="C4" s="53">
        <v>1</v>
      </c>
      <c r="D4" s="55"/>
      <c r="E4" s="1"/>
    </row>
    <row r="5" spans="1:5" x14ac:dyDescent="0.35">
      <c r="A5" s="55" t="s">
        <v>331</v>
      </c>
      <c r="B5" s="53">
        <v>1</v>
      </c>
      <c r="C5" s="53">
        <v>0</v>
      </c>
      <c r="D5" s="55"/>
      <c r="E5" s="1"/>
    </row>
    <row r="6" spans="1:5" x14ac:dyDescent="0.35">
      <c r="A6" s="55" t="s">
        <v>332</v>
      </c>
      <c r="B6" s="53">
        <v>1</v>
      </c>
      <c r="C6" s="53">
        <v>0</v>
      </c>
      <c r="D6" s="55"/>
      <c r="E6" s="1"/>
    </row>
    <row r="7" spans="1:5" x14ac:dyDescent="0.35">
      <c r="A7" s="55" t="s">
        <v>65</v>
      </c>
      <c r="B7" s="53">
        <v>2</v>
      </c>
      <c r="C7" s="53">
        <v>0</v>
      </c>
      <c r="D7" s="55"/>
      <c r="E7" s="1"/>
    </row>
    <row r="8" spans="1:5" x14ac:dyDescent="0.35">
      <c r="A8" s="55" t="s">
        <v>333</v>
      </c>
      <c r="B8" s="53">
        <v>3</v>
      </c>
      <c r="C8" s="53">
        <v>0</v>
      </c>
      <c r="D8" s="55"/>
      <c r="E8" s="1"/>
    </row>
    <row r="9" spans="1:5" x14ac:dyDescent="0.35">
      <c r="A9" s="55" t="s">
        <v>334</v>
      </c>
      <c r="B9" s="53">
        <v>10</v>
      </c>
      <c r="C9" s="53">
        <v>0</v>
      </c>
      <c r="D9" s="55"/>
      <c r="E9" s="1"/>
    </row>
    <row r="10" spans="1:5" x14ac:dyDescent="0.35">
      <c r="A10" s="55" t="s">
        <v>335</v>
      </c>
      <c r="B10" s="53">
        <v>11</v>
      </c>
      <c r="C10" s="53">
        <v>2</v>
      </c>
      <c r="D10" s="55"/>
      <c r="E10" s="1"/>
    </row>
    <row r="11" spans="1:5" x14ac:dyDescent="0.35">
      <c r="A11" s="55" t="s">
        <v>336</v>
      </c>
      <c r="B11" s="53">
        <v>3</v>
      </c>
      <c r="C11" s="53">
        <v>1</v>
      </c>
      <c r="D11" s="55"/>
      <c r="E11" s="1"/>
    </row>
    <row r="12" spans="1:5" x14ac:dyDescent="0.35">
      <c r="A12" s="55" t="s">
        <v>337</v>
      </c>
      <c r="B12" s="53">
        <v>3</v>
      </c>
      <c r="C12" s="53">
        <v>0</v>
      </c>
      <c r="D12" s="55"/>
      <c r="E12" s="1"/>
    </row>
    <row r="13" spans="1:5" ht="87" x14ac:dyDescent="0.35">
      <c r="A13" s="55" t="s">
        <v>338</v>
      </c>
      <c r="B13" s="53">
        <v>162</v>
      </c>
      <c r="C13" s="53">
        <v>26</v>
      </c>
      <c r="D13" s="56" t="s">
        <v>339</v>
      </c>
      <c r="E13" s="57"/>
    </row>
    <row r="14" spans="1:5" x14ac:dyDescent="0.35">
      <c r="A14" s="55" t="s">
        <v>56</v>
      </c>
      <c r="B14" s="53">
        <v>4</v>
      </c>
      <c r="C14" s="53">
        <v>2</v>
      </c>
      <c r="D14" s="56" t="s">
        <v>340</v>
      </c>
      <c r="E14" s="57"/>
    </row>
    <row r="15" spans="1:5" x14ac:dyDescent="0.35">
      <c r="A15" s="55" t="s">
        <v>341</v>
      </c>
      <c r="B15" s="53">
        <v>11</v>
      </c>
      <c r="C15" s="53">
        <v>0</v>
      </c>
      <c r="D15" s="56"/>
      <c r="E15" s="57"/>
    </row>
    <row r="16" spans="1:5" x14ac:dyDescent="0.35">
      <c r="A16" s="55" t="s">
        <v>342</v>
      </c>
      <c r="B16" s="53">
        <v>10</v>
      </c>
      <c r="C16" s="53">
        <v>3</v>
      </c>
      <c r="D16" s="56"/>
      <c r="E16" s="57"/>
    </row>
    <row r="17" spans="1:5" ht="58" x14ac:dyDescent="0.35">
      <c r="A17" s="55" t="s">
        <v>50</v>
      </c>
      <c r="B17" s="53">
        <v>13</v>
      </c>
      <c r="C17" s="53">
        <f>1+3</f>
        <v>4</v>
      </c>
      <c r="D17" s="56" t="s">
        <v>343</v>
      </c>
      <c r="E17" s="57" t="s">
        <v>340</v>
      </c>
    </row>
    <row r="18" spans="1:5" x14ac:dyDescent="0.35">
      <c r="A18" s="55" t="s">
        <v>344</v>
      </c>
      <c r="B18" s="53">
        <v>26</v>
      </c>
      <c r="C18" s="53">
        <v>5</v>
      </c>
      <c r="D18" s="56"/>
      <c r="E18" s="57"/>
    </row>
    <row r="19" spans="1:5" x14ac:dyDescent="0.35">
      <c r="A19" s="55" t="s">
        <v>345</v>
      </c>
      <c r="B19" s="53">
        <v>2</v>
      </c>
      <c r="C19" s="53">
        <v>0</v>
      </c>
      <c r="D19" s="56"/>
      <c r="E19" s="57"/>
    </row>
    <row r="20" spans="1:5" ht="29" x14ac:dyDescent="0.35">
      <c r="A20" s="55" t="s">
        <v>346</v>
      </c>
      <c r="B20" s="53">
        <v>117</v>
      </c>
      <c r="C20" s="53">
        <f>10+3</f>
        <v>13</v>
      </c>
      <c r="D20" s="56" t="s">
        <v>347</v>
      </c>
      <c r="E20" s="57" t="s">
        <v>340</v>
      </c>
    </row>
    <row r="21" spans="1:5" x14ac:dyDescent="0.35">
      <c r="A21" s="58" t="s">
        <v>348</v>
      </c>
      <c r="B21" s="59">
        <v>38</v>
      </c>
      <c r="C21" s="53"/>
      <c r="D21" s="55"/>
      <c r="E21" s="1"/>
    </row>
    <row r="22" spans="1:5" x14ac:dyDescent="0.35">
      <c r="A22" s="55" t="s">
        <v>349</v>
      </c>
      <c r="B22" s="53">
        <v>8</v>
      </c>
      <c r="C22" s="53">
        <v>0</v>
      </c>
      <c r="D22" s="55"/>
      <c r="E22" s="1"/>
    </row>
    <row r="23" spans="1:5" x14ac:dyDescent="0.35">
      <c r="A23" s="55" t="s">
        <v>350</v>
      </c>
      <c r="B23" s="53">
        <v>141</v>
      </c>
      <c r="C23" s="53">
        <v>0</v>
      </c>
      <c r="D23" s="55"/>
      <c r="E23" s="1"/>
    </row>
    <row r="24" spans="1:5" x14ac:dyDescent="0.35">
      <c r="A24" s="55" t="s">
        <v>351</v>
      </c>
      <c r="B24" s="53">
        <v>28</v>
      </c>
      <c r="C24" s="53">
        <v>0</v>
      </c>
      <c r="D24" s="55"/>
      <c r="E24" s="1"/>
    </row>
    <row r="25" spans="1:5" x14ac:dyDescent="0.35">
      <c r="A25" s="60" t="s">
        <v>352</v>
      </c>
      <c r="B25" s="61">
        <v>597</v>
      </c>
      <c r="C25" s="62">
        <f>SUM(C4:C24)</f>
        <v>57</v>
      </c>
      <c r="D25" s="55"/>
      <c r="E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ştat sayları</vt:lpstr>
      <vt:lpstr>əlavə ştat</vt:lpstr>
      <vt:lpstr>yekun ştat və vakant</vt:lpstr>
      <vt:lpstr>baza</vt:lpstr>
      <vt:lpstr>birmarket</vt:lpstr>
      <vt:lpstr>pashapay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Aysel A. Yusifova</dc:creator>
  <cp:lastModifiedBy>Nizami B. Tahirov</cp:lastModifiedBy>
  <dcterms:created xsi:type="dcterms:W3CDTF">2026-08-18T18:47:01Z</dcterms:created>
  <dcterms:modified xsi:type="dcterms:W3CDTF">2026-09-17T16:33:45Z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db2b6245-d434-4b06-9079-79f4ee700823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db2b6245-d434-4b06-9079-79f4ee700823</vt:lpwstr>
  </property>
  <property fmtid="{D5CDD505-2E9C-101B-9397-08002B2CF9AE}" pid="6" name="UserId">
    <vt:lpwstr>Nizami B. Tahirov</vt:lpwstr>
  </property>
  <property fmtid="{D5CDD505-2E9C-101B-9397-08002B2CF9AE}" pid="7" name="TagDateTime">
    <vt:lpwstr>17-09-2026</vt:lpwstr>
  </property>
  <property fmtid="{D5CDD505-2E9C-101B-9397-08002B2CF9AE}" pid="8" name="GVData">
    <vt:lpwstr>eyJPUyI6IldpbmRvd3MiLCJkb2NJRCI6ImRiMmI2MjQ1LWQ0MzQtNGIwNi05MDc5LTc5ZjRlZTcwMDgyMyIsImRvY1N0YXRlIjoie30iLCJwYXJlbnRMaW5lSWRzIjoiW1wiYWUzMzkyNTgtZjUzMS00YThhLWI1NzAtYTYxMmY5MzFjZWI4XCIsXCI2MjhjNGMyMy05</vt:lpwstr>
  </property>
  <property fmtid="{D5CDD505-2E9C-101B-9397-08002B2CF9AE}" pid="9" name="GVData0">
    <vt:lpwstr>YTA5LTQ5ZjgtOTQ5OS02NTZiZGU3NzU4ZTNcIixcImZjMTNjODM1LTJjZWQtNDIyYi04ZjkxLTA1NGEyY2I4MGVkOVwiLFwiODlhM2M0MzktZjg3NC00MzhkLWIxOWMtZTgwMTVhNTA0MjIyXCIsXCI2YTE3OTUwYi01MTliLTQwMzUtYjE0Yi0wNzUzNzEyNTg0Nzhc</vt:lpwstr>
  </property>
  <property fmtid="{D5CDD505-2E9C-101B-9397-08002B2CF9AE}" pid="10" name="GVData1">
    <vt:lpwstr>IixcImM0OTgyYTk2LTVkZWQtNDJhYy1hMTBmLWM2YThkZDFhZjllM1wiLFwiNjIyZDc2YzMtZDFkMy00NzY1LTg4YmUtYjMwMzQ1YWU3YWYzXCIsXCI5YTRmMjZiYy0yOTg1LTQ0MzItOTIyMi00NmMxMDUyZWUwZWVcIixcIjg3OWZjMDViLWRmMjAtNDY4ZS04NzU2</vt:lpwstr>
  </property>
  <property fmtid="{D5CDD505-2E9C-101B-9397-08002B2CF9AE}" pid="11" name="GVData2">
    <vt:lpwstr>LWQ1ZjlmNTBiMTY0ZFwiLFwiNGEyZWQzZGMtOTkyZC00MzI1LTkyZGMtNjQxZDdhNmY2NjkxXCJdIiwid3JpdHRlbktleXMiOiJbXCJDbGFzc2lmaWNhdGlvblRhZ1NldElkXCIsXCJDb21wbGlhbmNlVGFnU2V0SWRcIixcIkZpbGVJZFwiLFwiZ3Zkb2NpZFwiLFwi</vt:lpwstr>
  </property>
  <property fmtid="{D5CDD505-2E9C-101B-9397-08002B2CF9AE}" pid="12" name="GVData3">
    <vt:lpwstr>VGFnRGF0ZVRpbWVcIixcIlVzZXJJZFwiXSIsIm5vT2ZHdkRhdGFFbnRyaWVzIjoiNSIsImxpbmVJZCI6IjM2NDg0ZWMxLWNkMTYtNDQyMi05YjE3LWMxZTVkZjU5YmVkYiJ9</vt:lpwstr>
  </property>
  <property fmtid="{D5CDD505-2E9C-101B-9397-08002B2CF9AE}" pid="13" name="GVData4">
    <vt:lpwstr>(end)</vt:lpwstr>
  </property>
</Properties>
</file>